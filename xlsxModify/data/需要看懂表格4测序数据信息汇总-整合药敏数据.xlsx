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7"/>
  <workbookPr codeName="ThisWorkbook"/>
  <mc:AlternateContent xmlns:mc="http://schemas.openxmlformats.org/markup-compatibility/2006">
    <mc:Choice Requires="x15">
      <x15ac:absPath xmlns:x15ac="http://schemas.microsoft.com/office/spreadsheetml/2010/11/ac" url="/Users/banmary/Documents/ZHL-shuang/肝癌肿瘤类器官/"/>
    </mc:Choice>
  </mc:AlternateContent>
  <xr:revisionPtr revIDLastSave="0" documentId="13_ncr:1_{49EAB15B-6460-B447-BA27-D4A7A1104CE2}" xr6:coauthVersionLast="47" xr6:coauthVersionMax="47" xr10:uidLastSave="{00000000-0000-0000-0000-000000000000}"/>
  <bookViews>
    <workbookView xWindow="0" yWindow="900" windowWidth="30240" windowHeight="17160" xr2:uid="{00000000-000D-0000-FFFF-FFFF00000000}"/>
  </bookViews>
  <sheets>
    <sheet name="all" sheetId="1" r:id="rId1"/>
    <sheet name="WES" sheetId="3" r:id="rId2"/>
    <sheet name="RNA-seq" sheetId="2" r:id="rId3"/>
  </sheets>
  <externalReferences>
    <externalReference r:id="rId4"/>
    <externalReference r:id="rId5"/>
  </externalReferences>
  <definedNames>
    <definedName name="_xlnm._FilterDatabase" localSheetId="2" hidden="1">'RNA-seq'!$A$2:$AU$389</definedName>
    <definedName name="_xlnm._FilterDatabase" localSheetId="1" hidden="1">WES!$A$2:$AV$2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378" i="3" l="1"/>
  <c r="AU378" i="3"/>
  <c r="AT378" i="3"/>
  <c r="AS378" i="3"/>
  <c r="AQ378" i="3"/>
  <c r="AP378" i="3"/>
  <c r="AO378" i="3"/>
  <c r="AN378" i="3"/>
  <c r="AL378" i="3"/>
  <c r="AK378" i="3"/>
  <c r="AJ378" i="3"/>
  <c r="AI378" i="3"/>
  <c r="AG378" i="3"/>
  <c r="AF378" i="3"/>
  <c r="AE378" i="3"/>
  <c r="AD378" i="3"/>
  <c r="AB378" i="3"/>
  <c r="AA378" i="3"/>
  <c r="Z378" i="3"/>
  <c r="Y378" i="3"/>
  <c r="W378" i="3"/>
  <c r="V378" i="3"/>
  <c r="U378" i="3"/>
  <c r="T378" i="3"/>
  <c r="R378" i="3"/>
  <c r="Q378" i="3"/>
  <c r="P378" i="3"/>
  <c r="O378" i="3"/>
  <c r="M378" i="3"/>
  <c r="L378" i="3"/>
  <c r="K378" i="3"/>
  <c r="J378" i="3"/>
  <c r="AV377" i="3"/>
  <c r="AU377" i="3"/>
  <c r="AT377" i="3"/>
  <c r="AS377" i="3"/>
  <c r="AQ377" i="3"/>
  <c r="AP377" i="3"/>
  <c r="AO377" i="3"/>
  <c r="AN377" i="3"/>
  <c r="AL377" i="3"/>
  <c r="AK377" i="3"/>
  <c r="AJ377" i="3"/>
  <c r="AI377" i="3"/>
  <c r="AG377" i="3"/>
  <c r="AF377" i="3"/>
  <c r="AE377" i="3"/>
  <c r="AD377" i="3"/>
  <c r="AB377" i="3"/>
  <c r="AA377" i="3"/>
  <c r="Z377" i="3"/>
  <c r="Y377" i="3"/>
  <c r="W377" i="3"/>
  <c r="V377" i="3"/>
  <c r="U377" i="3"/>
  <c r="T377" i="3"/>
  <c r="R377" i="3"/>
  <c r="Q377" i="3"/>
  <c r="P377" i="3"/>
  <c r="O377" i="3"/>
  <c r="M377" i="3"/>
  <c r="L377" i="3"/>
  <c r="K377" i="3"/>
  <c r="J377" i="3"/>
  <c r="AV376" i="3"/>
  <c r="AU376" i="3"/>
  <c r="AT376" i="3"/>
  <c r="AS376" i="3"/>
  <c r="AQ376" i="3"/>
  <c r="AP376" i="3"/>
  <c r="AO376" i="3"/>
  <c r="AN376" i="3"/>
  <c r="AL376" i="3"/>
  <c r="AK376" i="3"/>
  <c r="AJ376" i="3"/>
  <c r="AI376" i="3"/>
  <c r="AG376" i="3"/>
  <c r="AF376" i="3"/>
  <c r="AE376" i="3"/>
  <c r="AD376" i="3"/>
  <c r="AB376" i="3"/>
  <c r="AA376" i="3"/>
  <c r="Z376" i="3"/>
  <c r="Y376" i="3"/>
  <c r="W376" i="3"/>
  <c r="V376" i="3"/>
  <c r="U376" i="3"/>
  <c r="T376" i="3"/>
  <c r="R376" i="3"/>
  <c r="Q376" i="3"/>
  <c r="P376" i="3"/>
  <c r="O376" i="3"/>
  <c r="M376" i="3"/>
  <c r="L376" i="3"/>
  <c r="K376" i="3"/>
  <c r="J376" i="3"/>
  <c r="AV375" i="3"/>
  <c r="AU375" i="3"/>
  <c r="AT375" i="3"/>
  <c r="AS375" i="3"/>
  <c r="AQ375" i="3"/>
  <c r="AP375" i="3"/>
  <c r="AO375" i="3"/>
  <c r="AN375" i="3"/>
  <c r="AL375" i="3"/>
  <c r="AK375" i="3"/>
  <c r="AJ375" i="3"/>
  <c r="AI375" i="3"/>
  <c r="AG375" i="3"/>
  <c r="AF375" i="3"/>
  <c r="AE375" i="3"/>
  <c r="AD375" i="3"/>
  <c r="AB375" i="3"/>
  <c r="AA375" i="3"/>
  <c r="Z375" i="3"/>
  <c r="Y375" i="3"/>
  <c r="W375" i="3"/>
  <c r="V375" i="3"/>
  <c r="U375" i="3"/>
  <c r="T375" i="3"/>
  <c r="R375" i="3"/>
  <c r="Q375" i="3"/>
  <c r="P375" i="3"/>
  <c r="O375" i="3"/>
  <c r="M375" i="3"/>
  <c r="L375" i="3"/>
  <c r="K375" i="3"/>
  <c r="J375" i="3"/>
  <c r="AV374" i="3"/>
  <c r="AU374" i="3"/>
  <c r="AT374" i="3"/>
  <c r="AS374" i="3"/>
  <c r="AQ374" i="3"/>
  <c r="AP374" i="3"/>
  <c r="AO374" i="3"/>
  <c r="AN374" i="3"/>
  <c r="AL374" i="3"/>
  <c r="AK374" i="3"/>
  <c r="AJ374" i="3"/>
  <c r="AI374" i="3"/>
  <c r="AG374" i="3"/>
  <c r="AF374" i="3"/>
  <c r="AE374" i="3"/>
  <c r="AD374" i="3"/>
  <c r="AB374" i="3"/>
  <c r="AA374" i="3"/>
  <c r="Z374" i="3"/>
  <c r="Y374" i="3"/>
  <c r="W374" i="3"/>
  <c r="V374" i="3"/>
  <c r="U374" i="3"/>
  <c r="T374" i="3"/>
  <c r="R374" i="3"/>
  <c r="Q374" i="3"/>
  <c r="P374" i="3"/>
  <c r="O374" i="3"/>
  <c r="M374" i="3"/>
  <c r="L374" i="3"/>
  <c r="K374" i="3"/>
  <c r="J374" i="3"/>
  <c r="AV373" i="3"/>
  <c r="AU373" i="3"/>
  <c r="AT373" i="3"/>
  <c r="AS373" i="3"/>
  <c r="AQ373" i="3"/>
  <c r="AP373" i="3"/>
  <c r="AO373" i="3"/>
  <c r="AN373" i="3"/>
  <c r="AL373" i="3"/>
  <c r="AK373" i="3"/>
  <c r="AJ373" i="3"/>
  <c r="AI373" i="3"/>
  <c r="AG373" i="3"/>
  <c r="AF373" i="3"/>
  <c r="AE373" i="3"/>
  <c r="AD373" i="3"/>
  <c r="AB373" i="3"/>
  <c r="AA373" i="3"/>
  <c r="Z373" i="3"/>
  <c r="Y373" i="3"/>
  <c r="W373" i="3"/>
  <c r="V373" i="3"/>
  <c r="U373" i="3"/>
  <c r="T373" i="3"/>
  <c r="R373" i="3"/>
  <c r="Q373" i="3"/>
  <c r="P373" i="3"/>
  <c r="O373" i="3"/>
  <c r="M373" i="3"/>
  <c r="L373" i="3"/>
  <c r="K373" i="3"/>
  <c r="J373" i="3"/>
  <c r="AV372" i="3"/>
  <c r="AU372" i="3"/>
  <c r="AT372" i="3"/>
  <c r="AS372" i="3"/>
  <c r="AQ372" i="3"/>
  <c r="AP372" i="3"/>
  <c r="AO372" i="3"/>
  <c r="AN372" i="3"/>
  <c r="AL372" i="3"/>
  <c r="AK372" i="3"/>
  <c r="AJ372" i="3"/>
  <c r="AI372" i="3"/>
  <c r="AG372" i="3"/>
  <c r="AF372" i="3"/>
  <c r="AE372" i="3"/>
  <c r="AD372" i="3"/>
  <c r="AB372" i="3"/>
  <c r="AA372" i="3"/>
  <c r="Z372" i="3"/>
  <c r="Y372" i="3"/>
  <c r="W372" i="3"/>
  <c r="V372" i="3"/>
  <c r="U372" i="3"/>
  <c r="T372" i="3"/>
  <c r="R372" i="3"/>
  <c r="Q372" i="3"/>
  <c r="P372" i="3"/>
  <c r="O372" i="3"/>
  <c r="M372" i="3"/>
  <c r="L372" i="3"/>
  <c r="K372" i="3"/>
  <c r="J372" i="3"/>
  <c r="AV371" i="3"/>
  <c r="AU371" i="3"/>
  <c r="AT371" i="3"/>
  <c r="AS371" i="3"/>
  <c r="AQ371" i="3"/>
  <c r="AP371" i="3"/>
  <c r="AO371" i="3"/>
  <c r="AN371" i="3"/>
  <c r="AL371" i="3"/>
  <c r="AK371" i="3"/>
  <c r="AJ371" i="3"/>
  <c r="AI371" i="3"/>
  <c r="AG371" i="3"/>
  <c r="AF371" i="3"/>
  <c r="AE371" i="3"/>
  <c r="AD371" i="3"/>
  <c r="AB371" i="3"/>
  <c r="AA371" i="3"/>
  <c r="Z371" i="3"/>
  <c r="Y371" i="3"/>
  <c r="W371" i="3"/>
  <c r="V371" i="3"/>
  <c r="U371" i="3"/>
  <c r="T371" i="3"/>
  <c r="R371" i="3"/>
  <c r="Q371" i="3"/>
  <c r="P371" i="3"/>
  <c r="O371" i="3"/>
  <c r="M371" i="3"/>
  <c r="L371" i="3"/>
  <c r="K371" i="3"/>
  <c r="J371" i="3"/>
  <c r="AV370" i="3"/>
  <c r="AU370" i="3"/>
  <c r="AT370" i="3"/>
  <c r="AS370" i="3"/>
  <c r="AQ370" i="3"/>
  <c r="AP370" i="3"/>
  <c r="AO370" i="3"/>
  <c r="AN370" i="3"/>
  <c r="AL370" i="3"/>
  <c r="AK370" i="3"/>
  <c r="AJ370" i="3"/>
  <c r="AI370" i="3"/>
  <c r="AG370" i="3"/>
  <c r="AF370" i="3"/>
  <c r="AE370" i="3"/>
  <c r="AD370" i="3"/>
  <c r="AB370" i="3"/>
  <c r="AA370" i="3"/>
  <c r="Z370" i="3"/>
  <c r="Y370" i="3"/>
  <c r="W370" i="3"/>
  <c r="V370" i="3"/>
  <c r="U370" i="3"/>
  <c r="T370" i="3"/>
  <c r="R370" i="3"/>
  <c r="Q370" i="3"/>
  <c r="P370" i="3"/>
  <c r="O370" i="3"/>
  <c r="M370" i="3"/>
  <c r="L370" i="3"/>
  <c r="K370" i="3"/>
  <c r="J370" i="3"/>
  <c r="AV369" i="3"/>
  <c r="AU369" i="3"/>
  <c r="AT369" i="3"/>
  <c r="AS369" i="3"/>
  <c r="AQ369" i="3"/>
  <c r="AP369" i="3"/>
  <c r="AO369" i="3"/>
  <c r="AN369" i="3"/>
  <c r="AL369" i="3"/>
  <c r="AK369" i="3"/>
  <c r="AJ369" i="3"/>
  <c r="AI369" i="3"/>
  <c r="AG369" i="3"/>
  <c r="AF369" i="3"/>
  <c r="AE369" i="3"/>
  <c r="AD369" i="3"/>
  <c r="AB369" i="3"/>
  <c r="AA369" i="3"/>
  <c r="Z369" i="3"/>
  <c r="Y369" i="3"/>
  <c r="W369" i="3"/>
  <c r="V369" i="3"/>
  <c r="U369" i="3"/>
  <c r="T369" i="3"/>
  <c r="R369" i="3"/>
  <c r="Q369" i="3"/>
  <c r="P369" i="3"/>
  <c r="O369" i="3"/>
  <c r="M369" i="3"/>
  <c r="L369" i="3"/>
  <c r="K369" i="3"/>
  <c r="J369" i="3"/>
  <c r="AV368" i="3"/>
  <c r="AU368" i="3"/>
  <c r="AT368" i="3"/>
  <c r="AS368" i="3"/>
  <c r="AQ368" i="3"/>
  <c r="AP368" i="3"/>
  <c r="AO368" i="3"/>
  <c r="AN368" i="3"/>
  <c r="AL368" i="3"/>
  <c r="AK368" i="3"/>
  <c r="AJ368" i="3"/>
  <c r="AI368" i="3"/>
  <c r="AG368" i="3"/>
  <c r="AF368" i="3"/>
  <c r="AE368" i="3"/>
  <c r="AD368" i="3"/>
  <c r="AB368" i="3"/>
  <c r="AA368" i="3"/>
  <c r="Z368" i="3"/>
  <c r="Y368" i="3"/>
  <c r="W368" i="3"/>
  <c r="V368" i="3"/>
  <c r="U368" i="3"/>
  <c r="T368" i="3"/>
  <c r="R368" i="3"/>
  <c r="Q368" i="3"/>
  <c r="P368" i="3"/>
  <c r="O368" i="3"/>
  <c r="M368" i="3"/>
  <c r="L368" i="3"/>
  <c r="K368" i="3"/>
  <c r="J368" i="3"/>
  <c r="AV367" i="3"/>
  <c r="AU367" i="3"/>
  <c r="AT367" i="3"/>
  <c r="AS367" i="3"/>
  <c r="AQ367" i="3"/>
  <c r="AP367" i="3"/>
  <c r="AO367" i="3"/>
  <c r="AN367" i="3"/>
  <c r="AL367" i="3"/>
  <c r="AK367" i="3"/>
  <c r="AJ367" i="3"/>
  <c r="AI367" i="3"/>
  <c r="AG367" i="3"/>
  <c r="AF367" i="3"/>
  <c r="AE367" i="3"/>
  <c r="AD367" i="3"/>
  <c r="AB367" i="3"/>
  <c r="AA367" i="3"/>
  <c r="Z367" i="3"/>
  <c r="Y367" i="3"/>
  <c r="W367" i="3"/>
  <c r="V367" i="3"/>
  <c r="U367" i="3"/>
  <c r="T367" i="3"/>
  <c r="R367" i="3"/>
  <c r="Q367" i="3"/>
  <c r="P367" i="3"/>
  <c r="O367" i="3"/>
  <c r="M367" i="3"/>
  <c r="L367" i="3"/>
  <c r="K367" i="3"/>
  <c r="J367" i="3"/>
  <c r="AV366" i="3"/>
  <c r="AU366" i="3"/>
  <c r="AT366" i="3"/>
  <c r="AS366" i="3"/>
  <c r="AQ366" i="3"/>
  <c r="AP366" i="3"/>
  <c r="AO366" i="3"/>
  <c r="AN366" i="3"/>
  <c r="AL366" i="3"/>
  <c r="AK366" i="3"/>
  <c r="AJ366" i="3"/>
  <c r="AI366" i="3"/>
  <c r="AG366" i="3"/>
  <c r="AF366" i="3"/>
  <c r="AE366" i="3"/>
  <c r="AD366" i="3"/>
  <c r="AB366" i="3"/>
  <c r="AA366" i="3"/>
  <c r="Z366" i="3"/>
  <c r="Y366" i="3"/>
  <c r="W366" i="3"/>
  <c r="V366" i="3"/>
  <c r="U366" i="3"/>
  <c r="T366" i="3"/>
  <c r="R366" i="3"/>
  <c r="Q366" i="3"/>
  <c r="P366" i="3"/>
  <c r="O366" i="3"/>
  <c r="M366" i="3"/>
  <c r="L366" i="3"/>
  <c r="K366" i="3"/>
  <c r="J366" i="3"/>
  <c r="AV365" i="3"/>
  <c r="AU365" i="3"/>
  <c r="AT365" i="3"/>
  <c r="AS365" i="3"/>
  <c r="AQ365" i="3"/>
  <c r="AP365" i="3"/>
  <c r="AO365" i="3"/>
  <c r="AN365" i="3"/>
  <c r="AL365" i="3"/>
  <c r="AK365" i="3"/>
  <c r="AJ365" i="3"/>
  <c r="AI365" i="3"/>
  <c r="AG365" i="3"/>
  <c r="AF365" i="3"/>
  <c r="AE365" i="3"/>
  <c r="AD365" i="3"/>
  <c r="AB365" i="3"/>
  <c r="AA365" i="3"/>
  <c r="Z365" i="3"/>
  <c r="Y365" i="3"/>
  <c r="W365" i="3"/>
  <c r="V365" i="3"/>
  <c r="U365" i="3"/>
  <c r="T365" i="3"/>
  <c r="R365" i="3"/>
  <c r="Q365" i="3"/>
  <c r="P365" i="3"/>
  <c r="O365" i="3"/>
  <c r="M365" i="3"/>
  <c r="L365" i="3"/>
  <c r="K365" i="3"/>
  <c r="J365" i="3"/>
  <c r="AV364" i="3"/>
  <c r="AU364" i="3"/>
  <c r="AT364" i="3"/>
  <c r="AS364" i="3"/>
  <c r="AQ364" i="3"/>
  <c r="AP364" i="3"/>
  <c r="AO364" i="3"/>
  <c r="AN364" i="3"/>
  <c r="AL364" i="3"/>
  <c r="AK364" i="3"/>
  <c r="AJ364" i="3"/>
  <c r="AI364" i="3"/>
  <c r="AG364" i="3"/>
  <c r="AF364" i="3"/>
  <c r="AE364" i="3"/>
  <c r="AD364" i="3"/>
  <c r="AB364" i="3"/>
  <c r="AA364" i="3"/>
  <c r="Z364" i="3"/>
  <c r="Y364" i="3"/>
  <c r="W364" i="3"/>
  <c r="V364" i="3"/>
  <c r="U364" i="3"/>
  <c r="T364" i="3"/>
  <c r="R364" i="3"/>
  <c r="Q364" i="3"/>
  <c r="P364" i="3"/>
  <c r="O364" i="3"/>
  <c r="M364" i="3"/>
  <c r="L364" i="3"/>
  <c r="K364" i="3"/>
  <c r="J364" i="3"/>
  <c r="AV363" i="3"/>
  <c r="AU363" i="3"/>
  <c r="AT363" i="3"/>
  <c r="AS363" i="3"/>
  <c r="AQ363" i="3"/>
  <c r="AP363" i="3"/>
  <c r="AO363" i="3"/>
  <c r="AN363" i="3"/>
  <c r="AL363" i="3"/>
  <c r="AK363" i="3"/>
  <c r="AJ363" i="3"/>
  <c r="AI363" i="3"/>
  <c r="AG363" i="3"/>
  <c r="AF363" i="3"/>
  <c r="AE363" i="3"/>
  <c r="AD363" i="3"/>
  <c r="AB363" i="3"/>
  <c r="AA363" i="3"/>
  <c r="Z363" i="3"/>
  <c r="Y363" i="3"/>
  <c r="W363" i="3"/>
  <c r="V363" i="3"/>
  <c r="U363" i="3"/>
  <c r="T363" i="3"/>
  <c r="R363" i="3"/>
  <c r="Q363" i="3"/>
  <c r="P363" i="3"/>
  <c r="O363" i="3"/>
  <c r="M363" i="3"/>
  <c r="L363" i="3"/>
  <c r="K363" i="3"/>
  <c r="J363" i="3"/>
  <c r="AV362" i="3"/>
  <c r="AU362" i="3"/>
  <c r="AT362" i="3"/>
  <c r="AS362" i="3"/>
  <c r="AQ362" i="3"/>
  <c r="AP362" i="3"/>
  <c r="AO362" i="3"/>
  <c r="AN362" i="3"/>
  <c r="AL362" i="3"/>
  <c r="AK362" i="3"/>
  <c r="AJ362" i="3"/>
  <c r="AI362" i="3"/>
  <c r="AG362" i="3"/>
  <c r="AF362" i="3"/>
  <c r="AE362" i="3"/>
  <c r="AD362" i="3"/>
  <c r="AB362" i="3"/>
  <c r="AA362" i="3"/>
  <c r="Z362" i="3"/>
  <c r="Y362" i="3"/>
  <c r="W362" i="3"/>
  <c r="V362" i="3"/>
  <c r="U362" i="3"/>
  <c r="T362" i="3"/>
  <c r="R362" i="3"/>
  <c r="Q362" i="3"/>
  <c r="P362" i="3"/>
  <c r="O362" i="3"/>
  <c r="M362" i="3"/>
  <c r="L362" i="3"/>
  <c r="K362" i="3"/>
  <c r="J362" i="3"/>
  <c r="AV361" i="3"/>
  <c r="AU361" i="3"/>
  <c r="AT361" i="3"/>
  <c r="AS361" i="3"/>
  <c r="AQ361" i="3"/>
  <c r="AP361" i="3"/>
  <c r="AO361" i="3"/>
  <c r="AN361" i="3"/>
  <c r="AL361" i="3"/>
  <c r="AK361" i="3"/>
  <c r="AJ361" i="3"/>
  <c r="AI361" i="3"/>
  <c r="AG361" i="3"/>
  <c r="AF361" i="3"/>
  <c r="AE361" i="3"/>
  <c r="AD361" i="3"/>
  <c r="AB361" i="3"/>
  <c r="AA361" i="3"/>
  <c r="Z361" i="3"/>
  <c r="Y361" i="3"/>
  <c r="W361" i="3"/>
  <c r="V361" i="3"/>
  <c r="U361" i="3"/>
  <c r="T361" i="3"/>
  <c r="R361" i="3"/>
  <c r="Q361" i="3"/>
  <c r="P361" i="3"/>
  <c r="O361" i="3"/>
  <c r="M361" i="3"/>
  <c r="L361" i="3"/>
  <c r="K361" i="3"/>
  <c r="J361" i="3"/>
  <c r="AV360" i="3"/>
  <c r="AU360" i="3"/>
  <c r="AT360" i="3"/>
  <c r="AS360" i="3"/>
  <c r="AQ360" i="3"/>
  <c r="AP360" i="3"/>
  <c r="AO360" i="3"/>
  <c r="AN360" i="3"/>
  <c r="AL360" i="3"/>
  <c r="AK360" i="3"/>
  <c r="AJ360" i="3"/>
  <c r="AI360" i="3"/>
  <c r="AG360" i="3"/>
  <c r="AF360" i="3"/>
  <c r="AE360" i="3"/>
  <c r="AD360" i="3"/>
  <c r="AB360" i="3"/>
  <c r="AA360" i="3"/>
  <c r="Z360" i="3"/>
  <c r="Y360" i="3"/>
  <c r="W360" i="3"/>
  <c r="V360" i="3"/>
  <c r="U360" i="3"/>
  <c r="T360" i="3"/>
  <c r="R360" i="3"/>
  <c r="Q360" i="3"/>
  <c r="P360" i="3"/>
  <c r="O360" i="3"/>
  <c r="M360" i="3"/>
  <c r="L360" i="3"/>
  <c r="K360" i="3"/>
  <c r="J360" i="3"/>
  <c r="AV359" i="3"/>
  <c r="AU359" i="3"/>
  <c r="AT359" i="3"/>
  <c r="AS359" i="3"/>
  <c r="AQ359" i="3"/>
  <c r="AP359" i="3"/>
  <c r="AO359" i="3"/>
  <c r="AN359" i="3"/>
  <c r="AL359" i="3"/>
  <c r="AK359" i="3"/>
  <c r="AJ359" i="3"/>
  <c r="AI359" i="3"/>
  <c r="AG359" i="3"/>
  <c r="AF359" i="3"/>
  <c r="AE359" i="3"/>
  <c r="AD359" i="3"/>
  <c r="AB359" i="3"/>
  <c r="AA359" i="3"/>
  <c r="Z359" i="3"/>
  <c r="Y359" i="3"/>
  <c r="W359" i="3"/>
  <c r="V359" i="3"/>
  <c r="U359" i="3"/>
  <c r="T359" i="3"/>
  <c r="R359" i="3"/>
  <c r="Q359" i="3"/>
  <c r="P359" i="3"/>
  <c r="O359" i="3"/>
  <c r="M359" i="3"/>
  <c r="L359" i="3"/>
  <c r="K359" i="3"/>
  <c r="J359" i="3"/>
  <c r="AV358" i="3"/>
  <c r="AU358" i="3"/>
  <c r="AT358" i="3"/>
  <c r="AS358" i="3"/>
  <c r="AQ358" i="3"/>
  <c r="AP358" i="3"/>
  <c r="AO358" i="3"/>
  <c r="AN358" i="3"/>
  <c r="AL358" i="3"/>
  <c r="AK358" i="3"/>
  <c r="AJ358" i="3"/>
  <c r="AI358" i="3"/>
  <c r="AG358" i="3"/>
  <c r="AF358" i="3"/>
  <c r="AE358" i="3"/>
  <c r="AD358" i="3"/>
  <c r="AB358" i="3"/>
  <c r="AA358" i="3"/>
  <c r="Z358" i="3"/>
  <c r="Y358" i="3"/>
  <c r="W358" i="3"/>
  <c r="V358" i="3"/>
  <c r="U358" i="3"/>
  <c r="T358" i="3"/>
  <c r="R358" i="3"/>
  <c r="Q358" i="3"/>
  <c r="P358" i="3"/>
  <c r="O358" i="3"/>
  <c r="M358" i="3"/>
  <c r="L358" i="3"/>
  <c r="K358" i="3"/>
  <c r="J358" i="3"/>
  <c r="AV357" i="3"/>
  <c r="AU357" i="3"/>
  <c r="AT357" i="3"/>
  <c r="AS357" i="3"/>
  <c r="AQ357" i="3"/>
  <c r="AP357" i="3"/>
  <c r="AO357" i="3"/>
  <c r="AN357" i="3"/>
  <c r="AL357" i="3"/>
  <c r="AK357" i="3"/>
  <c r="AJ357" i="3"/>
  <c r="AI357" i="3"/>
  <c r="AG357" i="3"/>
  <c r="AF357" i="3"/>
  <c r="AE357" i="3"/>
  <c r="AD357" i="3"/>
  <c r="AB357" i="3"/>
  <c r="AA357" i="3"/>
  <c r="Z357" i="3"/>
  <c r="Y357" i="3"/>
  <c r="W357" i="3"/>
  <c r="V357" i="3"/>
  <c r="U357" i="3"/>
  <c r="T357" i="3"/>
  <c r="R357" i="3"/>
  <c r="Q357" i="3"/>
  <c r="P357" i="3"/>
  <c r="O357" i="3"/>
  <c r="M357" i="3"/>
  <c r="L357" i="3"/>
  <c r="K357" i="3"/>
  <c r="J357" i="3"/>
  <c r="AV356" i="3"/>
  <c r="AU356" i="3"/>
  <c r="AT356" i="3"/>
  <c r="AS356" i="3"/>
  <c r="AQ356" i="3"/>
  <c r="AP356" i="3"/>
  <c r="AO356" i="3"/>
  <c r="AN356" i="3"/>
  <c r="AL356" i="3"/>
  <c r="AK356" i="3"/>
  <c r="AJ356" i="3"/>
  <c r="AI356" i="3"/>
  <c r="AG356" i="3"/>
  <c r="AF356" i="3"/>
  <c r="AE356" i="3"/>
  <c r="AD356" i="3"/>
  <c r="AB356" i="3"/>
  <c r="AA356" i="3"/>
  <c r="Z356" i="3"/>
  <c r="Y356" i="3"/>
  <c r="W356" i="3"/>
  <c r="V356" i="3"/>
  <c r="U356" i="3"/>
  <c r="T356" i="3"/>
  <c r="R356" i="3"/>
  <c r="Q356" i="3"/>
  <c r="P356" i="3"/>
  <c r="O356" i="3"/>
  <c r="M356" i="3"/>
  <c r="L356" i="3"/>
  <c r="K356" i="3"/>
  <c r="J356" i="3"/>
  <c r="AV355" i="3"/>
  <c r="AU355" i="3"/>
  <c r="AT355" i="3"/>
  <c r="AS355" i="3"/>
  <c r="AQ355" i="3"/>
  <c r="AP355" i="3"/>
  <c r="AO355" i="3"/>
  <c r="AN355" i="3"/>
  <c r="AL355" i="3"/>
  <c r="AK355" i="3"/>
  <c r="AJ355" i="3"/>
  <c r="AI355" i="3"/>
  <c r="AG355" i="3"/>
  <c r="AF355" i="3"/>
  <c r="AE355" i="3"/>
  <c r="AD355" i="3"/>
  <c r="AB355" i="3"/>
  <c r="AA355" i="3"/>
  <c r="Z355" i="3"/>
  <c r="Y355" i="3"/>
  <c r="W355" i="3"/>
  <c r="V355" i="3"/>
  <c r="U355" i="3"/>
  <c r="T355" i="3"/>
  <c r="R355" i="3"/>
  <c r="Q355" i="3"/>
  <c r="P355" i="3"/>
  <c r="O355" i="3"/>
  <c r="M355" i="3"/>
  <c r="L355" i="3"/>
  <c r="K355" i="3"/>
  <c r="J355" i="3"/>
  <c r="AV354" i="3"/>
  <c r="AU354" i="3"/>
  <c r="AT354" i="3"/>
  <c r="AS354" i="3"/>
  <c r="AQ354" i="3"/>
  <c r="AP354" i="3"/>
  <c r="AO354" i="3"/>
  <c r="AN354" i="3"/>
  <c r="AL354" i="3"/>
  <c r="AK354" i="3"/>
  <c r="AJ354" i="3"/>
  <c r="AI354" i="3"/>
  <c r="AG354" i="3"/>
  <c r="AF354" i="3"/>
  <c r="AE354" i="3"/>
  <c r="AD354" i="3"/>
  <c r="AB354" i="3"/>
  <c r="AA354" i="3"/>
  <c r="Z354" i="3"/>
  <c r="Y354" i="3"/>
  <c r="W354" i="3"/>
  <c r="V354" i="3"/>
  <c r="U354" i="3"/>
  <c r="T354" i="3"/>
  <c r="R354" i="3"/>
  <c r="Q354" i="3"/>
  <c r="P354" i="3"/>
  <c r="O354" i="3"/>
  <c r="M354" i="3"/>
  <c r="L354" i="3"/>
  <c r="K354" i="3"/>
  <c r="J354" i="3"/>
  <c r="AV353" i="3"/>
  <c r="AU353" i="3"/>
  <c r="AT353" i="3"/>
  <c r="AS353" i="3"/>
  <c r="AQ353" i="3"/>
  <c r="AP353" i="3"/>
  <c r="AO353" i="3"/>
  <c r="AN353" i="3"/>
  <c r="AL353" i="3"/>
  <c r="AK353" i="3"/>
  <c r="AJ353" i="3"/>
  <c r="AI353" i="3"/>
  <c r="AG353" i="3"/>
  <c r="AF353" i="3"/>
  <c r="AE353" i="3"/>
  <c r="AD353" i="3"/>
  <c r="AB353" i="3"/>
  <c r="AA353" i="3"/>
  <c r="Z353" i="3"/>
  <c r="Y353" i="3"/>
  <c r="W353" i="3"/>
  <c r="V353" i="3"/>
  <c r="U353" i="3"/>
  <c r="T353" i="3"/>
  <c r="R353" i="3"/>
  <c r="Q353" i="3"/>
  <c r="P353" i="3"/>
  <c r="O353" i="3"/>
  <c r="M353" i="3"/>
  <c r="L353" i="3"/>
  <c r="K353" i="3"/>
  <c r="J353" i="3"/>
  <c r="AV352" i="3"/>
  <c r="AU352" i="3"/>
  <c r="AT352" i="3"/>
  <c r="AS352" i="3"/>
  <c r="AQ352" i="3"/>
  <c r="AP352" i="3"/>
  <c r="AO352" i="3"/>
  <c r="AN352" i="3"/>
  <c r="AL352" i="3"/>
  <c r="AK352" i="3"/>
  <c r="AJ352" i="3"/>
  <c r="AI352" i="3"/>
  <c r="AG352" i="3"/>
  <c r="AF352" i="3"/>
  <c r="AE352" i="3"/>
  <c r="AD352" i="3"/>
  <c r="AB352" i="3"/>
  <c r="AA352" i="3"/>
  <c r="Z352" i="3"/>
  <c r="Y352" i="3"/>
  <c r="W352" i="3"/>
  <c r="V352" i="3"/>
  <c r="U352" i="3"/>
  <c r="T352" i="3"/>
  <c r="R352" i="3"/>
  <c r="Q352" i="3"/>
  <c r="P352" i="3"/>
  <c r="O352" i="3"/>
  <c r="M352" i="3"/>
  <c r="L352" i="3"/>
  <c r="K352" i="3"/>
  <c r="J352" i="3"/>
  <c r="AV351" i="3"/>
  <c r="AU351" i="3"/>
  <c r="AT351" i="3"/>
  <c r="AS351" i="3"/>
  <c r="AQ351" i="3"/>
  <c r="AP351" i="3"/>
  <c r="AO351" i="3"/>
  <c r="AN351" i="3"/>
  <c r="AL351" i="3"/>
  <c r="AK351" i="3"/>
  <c r="AJ351" i="3"/>
  <c r="AI351" i="3"/>
  <c r="AG351" i="3"/>
  <c r="AF351" i="3"/>
  <c r="AE351" i="3"/>
  <c r="AD351" i="3"/>
  <c r="AB351" i="3"/>
  <c r="AA351" i="3"/>
  <c r="Z351" i="3"/>
  <c r="Y351" i="3"/>
  <c r="W351" i="3"/>
  <c r="V351" i="3"/>
  <c r="U351" i="3"/>
  <c r="T351" i="3"/>
  <c r="R351" i="3"/>
  <c r="Q351" i="3"/>
  <c r="P351" i="3"/>
  <c r="O351" i="3"/>
  <c r="M351" i="3"/>
  <c r="L351" i="3"/>
  <c r="K351" i="3"/>
  <c r="J351" i="3"/>
  <c r="AV350" i="3"/>
  <c r="AU350" i="3"/>
  <c r="AT350" i="3"/>
  <c r="AS350" i="3"/>
  <c r="AQ350" i="3"/>
  <c r="AP350" i="3"/>
  <c r="AO350" i="3"/>
  <c r="AN350" i="3"/>
  <c r="AL350" i="3"/>
  <c r="AK350" i="3"/>
  <c r="AJ350" i="3"/>
  <c r="AI350" i="3"/>
  <c r="AG350" i="3"/>
  <c r="AF350" i="3"/>
  <c r="AE350" i="3"/>
  <c r="AD350" i="3"/>
  <c r="AB350" i="3"/>
  <c r="AA350" i="3"/>
  <c r="Z350" i="3"/>
  <c r="Y350" i="3"/>
  <c r="W350" i="3"/>
  <c r="V350" i="3"/>
  <c r="U350" i="3"/>
  <c r="T350" i="3"/>
  <c r="R350" i="3"/>
  <c r="Q350" i="3"/>
  <c r="P350" i="3"/>
  <c r="O350" i="3"/>
  <c r="M350" i="3"/>
  <c r="L350" i="3"/>
  <c r="K350" i="3"/>
  <c r="J350" i="3"/>
  <c r="AV349" i="3"/>
  <c r="AU349" i="3"/>
  <c r="AT349" i="3"/>
  <c r="AS349" i="3"/>
  <c r="AQ349" i="3"/>
  <c r="AP349" i="3"/>
  <c r="AO349" i="3"/>
  <c r="AN349" i="3"/>
  <c r="AL349" i="3"/>
  <c r="AK349" i="3"/>
  <c r="AJ349" i="3"/>
  <c r="AI349" i="3"/>
  <c r="AG349" i="3"/>
  <c r="AF349" i="3"/>
  <c r="AE349" i="3"/>
  <c r="AD349" i="3"/>
  <c r="AB349" i="3"/>
  <c r="AA349" i="3"/>
  <c r="Z349" i="3"/>
  <c r="Y349" i="3"/>
  <c r="W349" i="3"/>
  <c r="V349" i="3"/>
  <c r="U349" i="3"/>
  <c r="T349" i="3"/>
  <c r="R349" i="3"/>
  <c r="Q349" i="3"/>
  <c r="P349" i="3"/>
  <c r="O349" i="3"/>
  <c r="M349" i="3"/>
  <c r="L349" i="3"/>
  <c r="K349" i="3"/>
  <c r="J349" i="3"/>
  <c r="AV348" i="3"/>
  <c r="AU348" i="3"/>
  <c r="AT348" i="3"/>
  <c r="AS348" i="3"/>
  <c r="AQ348" i="3"/>
  <c r="AP348" i="3"/>
  <c r="AO348" i="3"/>
  <c r="AN348" i="3"/>
  <c r="AL348" i="3"/>
  <c r="AK348" i="3"/>
  <c r="AJ348" i="3"/>
  <c r="AI348" i="3"/>
  <c r="AG348" i="3"/>
  <c r="AF348" i="3"/>
  <c r="AE348" i="3"/>
  <c r="AD348" i="3"/>
  <c r="AB348" i="3"/>
  <c r="AA348" i="3"/>
  <c r="Z348" i="3"/>
  <c r="Y348" i="3"/>
  <c r="W348" i="3"/>
  <c r="V348" i="3"/>
  <c r="U348" i="3"/>
  <c r="T348" i="3"/>
  <c r="R348" i="3"/>
  <c r="Q348" i="3"/>
  <c r="P348" i="3"/>
  <c r="O348" i="3"/>
  <c r="M348" i="3"/>
  <c r="L348" i="3"/>
  <c r="K348" i="3"/>
  <c r="J348" i="3"/>
  <c r="AV347" i="3"/>
  <c r="AU347" i="3"/>
  <c r="AT347" i="3"/>
  <c r="AS347" i="3"/>
  <c r="AQ347" i="3"/>
  <c r="AP347" i="3"/>
  <c r="AO347" i="3"/>
  <c r="AN347" i="3"/>
  <c r="AL347" i="3"/>
  <c r="AK347" i="3"/>
  <c r="AJ347" i="3"/>
  <c r="AI347" i="3"/>
  <c r="AG347" i="3"/>
  <c r="AF347" i="3"/>
  <c r="AE347" i="3"/>
  <c r="AD347" i="3"/>
  <c r="AB347" i="3"/>
  <c r="AA347" i="3"/>
  <c r="Z347" i="3"/>
  <c r="Y347" i="3"/>
  <c r="W347" i="3"/>
  <c r="V347" i="3"/>
  <c r="U347" i="3"/>
  <c r="T347" i="3"/>
  <c r="R347" i="3"/>
  <c r="Q347" i="3"/>
  <c r="P347" i="3"/>
  <c r="O347" i="3"/>
  <c r="M347" i="3"/>
  <c r="L347" i="3"/>
  <c r="K347" i="3"/>
  <c r="J347" i="3"/>
  <c r="AV346" i="3"/>
  <c r="AU346" i="3"/>
  <c r="AT346" i="3"/>
  <c r="AS346" i="3"/>
  <c r="AQ346" i="3"/>
  <c r="AP346" i="3"/>
  <c r="AO346" i="3"/>
  <c r="AN346" i="3"/>
  <c r="AL346" i="3"/>
  <c r="AK346" i="3"/>
  <c r="AJ346" i="3"/>
  <c r="AI346" i="3"/>
  <c r="AG346" i="3"/>
  <c r="AF346" i="3"/>
  <c r="AE346" i="3"/>
  <c r="AD346" i="3"/>
  <c r="AB346" i="3"/>
  <c r="AA346" i="3"/>
  <c r="Z346" i="3"/>
  <c r="Y346" i="3"/>
  <c r="W346" i="3"/>
  <c r="V346" i="3"/>
  <c r="U346" i="3"/>
  <c r="T346" i="3"/>
  <c r="R346" i="3"/>
  <c r="Q346" i="3"/>
  <c r="P346" i="3"/>
  <c r="O346" i="3"/>
  <c r="M346" i="3"/>
  <c r="L346" i="3"/>
  <c r="K346" i="3"/>
  <c r="J346" i="3"/>
  <c r="AV345" i="3"/>
  <c r="AU345" i="3"/>
  <c r="AT345" i="3"/>
  <c r="AS345" i="3"/>
  <c r="AQ345" i="3"/>
  <c r="AP345" i="3"/>
  <c r="AO345" i="3"/>
  <c r="AN345" i="3"/>
  <c r="AL345" i="3"/>
  <c r="AK345" i="3"/>
  <c r="AJ345" i="3"/>
  <c r="AI345" i="3"/>
  <c r="AG345" i="3"/>
  <c r="AF345" i="3"/>
  <c r="AE345" i="3"/>
  <c r="AD345" i="3"/>
  <c r="AB345" i="3"/>
  <c r="AA345" i="3"/>
  <c r="Z345" i="3"/>
  <c r="Y345" i="3"/>
  <c r="W345" i="3"/>
  <c r="V345" i="3"/>
  <c r="U345" i="3"/>
  <c r="T345" i="3"/>
  <c r="R345" i="3"/>
  <c r="Q345" i="3"/>
  <c r="P345" i="3"/>
  <c r="O345" i="3"/>
  <c r="M345" i="3"/>
  <c r="L345" i="3"/>
  <c r="K345" i="3"/>
  <c r="J345" i="3"/>
  <c r="AV344" i="3"/>
  <c r="AU344" i="3"/>
  <c r="AT344" i="3"/>
  <c r="AS344" i="3"/>
  <c r="AQ344" i="3"/>
  <c r="AP344" i="3"/>
  <c r="AO344" i="3"/>
  <c r="AN344" i="3"/>
  <c r="AL344" i="3"/>
  <c r="AK344" i="3"/>
  <c r="AJ344" i="3"/>
  <c r="AI344" i="3"/>
  <c r="AG344" i="3"/>
  <c r="AF344" i="3"/>
  <c r="AE344" i="3"/>
  <c r="AD344" i="3"/>
  <c r="AB344" i="3"/>
  <c r="AA344" i="3"/>
  <c r="Z344" i="3"/>
  <c r="Y344" i="3"/>
  <c r="W344" i="3"/>
  <c r="V344" i="3"/>
  <c r="U344" i="3"/>
  <c r="T344" i="3"/>
  <c r="R344" i="3"/>
  <c r="Q344" i="3"/>
  <c r="P344" i="3"/>
  <c r="O344" i="3"/>
  <c r="M344" i="3"/>
  <c r="L344" i="3"/>
  <c r="K344" i="3"/>
  <c r="J344" i="3"/>
  <c r="AV343" i="3"/>
  <c r="AU343" i="3"/>
  <c r="AT343" i="3"/>
  <c r="AS343" i="3"/>
  <c r="AQ343" i="3"/>
  <c r="AP343" i="3"/>
  <c r="AO343" i="3"/>
  <c r="AN343" i="3"/>
  <c r="AL343" i="3"/>
  <c r="AK343" i="3"/>
  <c r="AJ343" i="3"/>
  <c r="AI343" i="3"/>
  <c r="AG343" i="3"/>
  <c r="AF343" i="3"/>
  <c r="AE343" i="3"/>
  <c r="AD343" i="3"/>
  <c r="AB343" i="3"/>
  <c r="AA343" i="3"/>
  <c r="Z343" i="3"/>
  <c r="Y343" i="3"/>
  <c r="W343" i="3"/>
  <c r="V343" i="3"/>
  <c r="U343" i="3"/>
  <c r="T343" i="3"/>
  <c r="R343" i="3"/>
  <c r="Q343" i="3"/>
  <c r="P343" i="3"/>
  <c r="O343" i="3"/>
  <c r="M343" i="3"/>
  <c r="L343" i="3"/>
  <c r="K343" i="3"/>
  <c r="J343" i="3"/>
  <c r="AV342" i="3"/>
  <c r="AU342" i="3"/>
  <c r="AT342" i="3"/>
  <c r="AS342" i="3"/>
  <c r="AQ342" i="3"/>
  <c r="AP342" i="3"/>
  <c r="AO342" i="3"/>
  <c r="AN342" i="3"/>
  <c r="AL342" i="3"/>
  <c r="AK342" i="3"/>
  <c r="AJ342" i="3"/>
  <c r="AI342" i="3"/>
  <c r="AG342" i="3"/>
  <c r="AF342" i="3"/>
  <c r="AE342" i="3"/>
  <c r="AD342" i="3"/>
  <c r="AB342" i="3"/>
  <c r="AA342" i="3"/>
  <c r="Z342" i="3"/>
  <c r="Y342" i="3"/>
  <c r="W342" i="3"/>
  <c r="V342" i="3"/>
  <c r="U342" i="3"/>
  <c r="T342" i="3"/>
  <c r="R342" i="3"/>
  <c r="Q342" i="3"/>
  <c r="P342" i="3"/>
  <c r="O342" i="3"/>
  <c r="M342" i="3"/>
  <c r="L342" i="3"/>
  <c r="K342" i="3"/>
  <c r="J342" i="3"/>
  <c r="AV341" i="3"/>
  <c r="AU341" i="3"/>
  <c r="AT341" i="3"/>
  <c r="AS341" i="3"/>
  <c r="AQ341" i="3"/>
  <c r="AP341" i="3"/>
  <c r="AO341" i="3"/>
  <c r="AN341" i="3"/>
  <c r="AL341" i="3"/>
  <c r="AK341" i="3"/>
  <c r="AJ341" i="3"/>
  <c r="AI341" i="3"/>
  <c r="AG341" i="3"/>
  <c r="AF341" i="3"/>
  <c r="AE341" i="3"/>
  <c r="AD341" i="3"/>
  <c r="AB341" i="3"/>
  <c r="AA341" i="3"/>
  <c r="Z341" i="3"/>
  <c r="Y341" i="3"/>
  <c r="W341" i="3"/>
  <c r="V341" i="3"/>
  <c r="U341" i="3"/>
  <c r="T341" i="3"/>
  <c r="R341" i="3"/>
  <c r="Q341" i="3"/>
  <c r="P341" i="3"/>
  <c r="O341" i="3"/>
  <c r="M341" i="3"/>
  <c r="L341" i="3"/>
  <c r="K341" i="3"/>
  <c r="J341" i="3"/>
  <c r="AV340" i="3"/>
  <c r="AU340" i="3"/>
  <c r="AT340" i="3"/>
  <c r="AS340" i="3"/>
  <c r="AQ340" i="3"/>
  <c r="AP340" i="3"/>
  <c r="AO340" i="3"/>
  <c r="AN340" i="3"/>
  <c r="AL340" i="3"/>
  <c r="AK340" i="3"/>
  <c r="AJ340" i="3"/>
  <c r="AI340" i="3"/>
  <c r="AG340" i="3"/>
  <c r="AF340" i="3"/>
  <c r="AE340" i="3"/>
  <c r="AD340" i="3"/>
  <c r="AB340" i="3"/>
  <c r="AA340" i="3"/>
  <c r="Z340" i="3"/>
  <c r="Y340" i="3"/>
  <c r="W340" i="3"/>
  <c r="V340" i="3"/>
  <c r="U340" i="3"/>
  <c r="T340" i="3"/>
  <c r="R340" i="3"/>
  <c r="Q340" i="3"/>
  <c r="P340" i="3"/>
  <c r="O340" i="3"/>
  <c r="M340" i="3"/>
  <c r="L340" i="3"/>
  <c r="K340" i="3"/>
  <c r="J340" i="3"/>
  <c r="AV339" i="3"/>
  <c r="AU339" i="3"/>
  <c r="AT339" i="3"/>
  <c r="AS339" i="3"/>
  <c r="AQ339" i="3"/>
  <c r="AP339" i="3"/>
  <c r="AO339" i="3"/>
  <c r="AN339" i="3"/>
  <c r="AL339" i="3"/>
  <c r="AK339" i="3"/>
  <c r="AJ339" i="3"/>
  <c r="AI339" i="3"/>
  <c r="AG339" i="3"/>
  <c r="AF339" i="3"/>
  <c r="AE339" i="3"/>
  <c r="AD339" i="3"/>
  <c r="AB339" i="3"/>
  <c r="AA339" i="3"/>
  <c r="Z339" i="3"/>
  <c r="Y339" i="3"/>
  <c r="W339" i="3"/>
  <c r="V339" i="3"/>
  <c r="U339" i="3"/>
  <c r="T339" i="3"/>
  <c r="R339" i="3"/>
  <c r="Q339" i="3"/>
  <c r="P339" i="3"/>
  <c r="O339" i="3"/>
  <c r="M339" i="3"/>
  <c r="L339" i="3"/>
  <c r="K339" i="3"/>
  <c r="J339" i="3"/>
  <c r="AV338" i="3"/>
  <c r="AU338" i="3"/>
  <c r="AT338" i="3"/>
  <c r="AS338" i="3"/>
  <c r="AQ338" i="3"/>
  <c r="AP338" i="3"/>
  <c r="AO338" i="3"/>
  <c r="AN338" i="3"/>
  <c r="AL338" i="3"/>
  <c r="AK338" i="3"/>
  <c r="AJ338" i="3"/>
  <c r="AI338" i="3"/>
  <c r="AG338" i="3"/>
  <c r="AF338" i="3"/>
  <c r="AE338" i="3"/>
  <c r="AD338" i="3"/>
  <c r="AB338" i="3"/>
  <c r="AA338" i="3"/>
  <c r="Z338" i="3"/>
  <c r="Y338" i="3"/>
  <c r="W338" i="3"/>
  <c r="V338" i="3"/>
  <c r="U338" i="3"/>
  <c r="T338" i="3"/>
  <c r="R338" i="3"/>
  <c r="Q338" i="3"/>
  <c r="P338" i="3"/>
  <c r="O338" i="3"/>
  <c r="M338" i="3"/>
  <c r="L338" i="3"/>
  <c r="K338" i="3"/>
  <c r="J338" i="3"/>
  <c r="AV337" i="3"/>
  <c r="AU337" i="3"/>
  <c r="AT337" i="3"/>
  <c r="AS337" i="3"/>
  <c r="AQ337" i="3"/>
  <c r="AP337" i="3"/>
  <c r="AO337" i="3"/>
  <c r="AN337" i="3"/>
  <c r="AL337" i="3"/>
  <c r="AK337" i="3"/>
  <c r="AJ337" i="3"/>
  <c r="AI337" i="3"/>
  <c r="AG337" i="3"/>
  <c r="AF337" i="3"/>
  <c r="AE337" i="3"/>
  <c r="AD337" i="3"/>
  <c r="AB337" i="3"/>
  <c r="AA337" i="3"/>
  <c r="Z337" i="3"/>
  <c r="Y337" i="3"/>
  <c r="W337" i="3"/>
  <c r="V337" i="3"/>
  <c r="U337" i="3"/>
  <c r="T337" i="3"/>
  <c r="R337" i="3"/>
  <c r="Q337" i="3"/>
  <c r="P337" i="3"/>
  <c r="O337" i="3"/>
  <c r="M337" i="3"/>
  <c r="L337" i="3"/>
  <c r="K337" i="3"/>
  <c r="J337" i="3"/>
  <c r="AV336" i="3"/>
  <c r="AU336" i="3"/>
  <c r="AT336" i="3"/>
  <c r="AS336" i="3"/>
  <c r="AQ336" i="3"/>
  <c r="AP336" i="3"/>
  <c r="AO336" i="3"/>
  <c r="AN336" i="3"/>
  <c r="AL336" i="3"/>
  <c r="AK336" i="3"/>
  <c r="AJ336" i="3"/>
  <c r="AI336" i="3"/>
  <c r="AG336" i="3"/>
  <c r="AF336" i="3"/>
  <c r="AE336" i="3"/>
  <c r="AD336" i="3"/>
  <c r="AB336" i="3"/>
  <c r="AA336" i="3"/>
  <c r="Z336" i="3"/>
  <c r="Y336" i="3"/>
  <c r="W336" i="3"/>
  <c r="V336" i="3"/>
  <c r="U336" i="3"/>
  <c r="T336" i="3"/>
  <c r="R336" i="3"/>
  <c r="Q336" i="3"/>
  <c r="P336" i="3"/>
  <c r="O336" i="3"/>
  <c r="M336" i="3"/>
  <c r="L336" i="3"/>
  <c r="K336" i="3"/>
  <c r="J336" i="3"/>
  <c r="AV335" i="3"/>
  <c r="AU335" i="3"/>
  <c r="AT335" i="3"/>
  <c r="AS335" i="3"/>
  <c r="AQ335" i="3"/>
  <c r="AP335" i="3"/>
  <c r="AO335" i="3"/>
  <c r="AN335" i="3"/>
  <c r="AL335" i="3"/>
  <c r="AK335" i="3"/>
  <c r="AJ335" i="3"/>
  <c r="AI335" i="3"/>
  <c r="AG335" i="3"/>
  <c r="AF335" i="3"/>
  <c r="AE335" i="3"/>
  <c r="AD335" i="3"/>
  <c r="AB335" i="3"/>
  <c r="AA335" i="3"/>
  <c r="Z335" i="3"/>
  <c r="Y335" i="3"/>
  <c r="W335" i="3"/>
  <c r="V335" i="3"/>
  <c r="U335" i="3"/>
  <c r="T335" i="3"/>
  <c r="R335" i="3"/>
  <c r="Q335" i="3"/>
  <c r="P335" i="3"/>
  <c r="O335" i="3"/>
  <c r="M335" i="3"/>
  <c r="L335" i="3"/>
  <c r="K335" i="3"/>
  <c r="J335" i="3"/>
  <c r="AV334" i="3"/>
  <c r="AU334" i="3"/>
  <c r="AT334" i="3"/>
  <c r="AS334" i="3"/>
  <c r="AQ334" i="3"/>
  <c r="AP334" i="3"/>
  <c r="AO334" i="3"/>
  <c r="AN334" i="3"/>
  <c r="AL334" i="3"/>
  <c r="AK334" i="3"/>
  <c r="AJ334" i="3"/>
  <c r="AI334" i="3"/>
  <c r="AG334" i="3"/>
  <c r="AF334" i="3"/>
  <c r="AE334" i="3"/>
  <c r="AD334" i="3"/>
  <c r="AB334" i="3"/>
  <c r="AA334" i="3"/>
  <c r="Z334" i="3"/>
  <c r="Y334" i="3"/>
  <c r="W334" i="3"/>
  <c r="V334" i="3"/>
  <c r="U334" i="3"/>
  <c r="T334" i="3"/>
  <c r="R334" i="3"/>
  <c r="Q334" i="3"/>
  <c r="P334" i="3"/>
  <c r="O334" i="3"/>
  <c r="M334" i="3"/>
  <c r="L334" i="3"/>
  <c r="K334" i="3"/>
  <c r="J334" i="3"/>
  <c r="AV333" i="3"/>
  <c r="AU333" i="3"/>
  <c r="AT333" i="3"/>
  <c r="AS333" i="3"/>
  <c r="AQ333" i="3"/>
  <c r="AP333" i="3"/>
  <c r="AO333" i="3"/>
  <c r="AN333" i="3"/>
  <c r="AL333" i="3"/>
  <c r="AK333" i="3"/>
  <c r="AJ333" i="3"/>
  <c r="AI333" i="3"/>
  <c r="AG333" i="3"/>
  <c r="AF333" i="3"/>
  <c r="AE333" i="3"/>
  <c r="AD333" i="3"/>
  <c r="AB333" i="3"/>
  <c r="AA333" i="3"/>
  <c r="Z333" i="3"/>
  <c r="Y333" i="3"/>
  <c r="W333" i="3"/>
  <c r="V333" i="3"/>
  <c r="U333" i="3"/>
  <c r="T333" i="3"/>
  <c r="R333" i="3"/>
  <c r="Q333" i="3"/>
  <c r="P333" i="3"/>
  <c r="O333" i="3"/>
  <c r="M333" i="3"/>
  <c r="L333" i="3"/>
  <c r="K333" i="3"/>
  <c r="J333" i="3"/>
  <c r="AV332" i="3"/>
  <c r="AU332" i="3"/>
  <c r="AT332" i="3"/>
  <c r="AS332" i="3"/>
  <c r="AQ332" i="3"/>
  <c r="AP332" i="3"/>
  <c r="AO332" i="3"/>
  <c r="AN332" i="3"/>
  <c r="AL332" i="3"/>
  <c r="AK332" i="3"/>
  <c r="AJ332" i="3"/>
  <c r="AI332" i="3"/>
  <c r="AG332" i="3"/>
  <c r="AF332" i="3"/>
  <c r="AE332" i="3"/>
  <c r="AD332" i="3"/>
  <c r="AB332" i="3"/>
  <c r="AA332" i="3"/>
  <c r="Z332" i="3"/>
  <c r="Y332" i="3"/>
  <c r="W332" i="3"/>
  <c r="V332" i="3"/>
  <c r="U332" i="3"/>
  <c r="T332" i="3"/>
  <c r="R332" i="3"/>
  <c r="Q332" i="3"/>
  <c r="P332" i="3"/>
  <c r="O332" i="3"/>
  <c r="M332" i="3"/>
  <c r="L332" i="3"/>
  <c r="K332" i="3"/>
  <c r="J332" i="3"/>
  <c r="AV331" i="3"/>
  <c r="AU331" i="3"/>
  <c r="AT331" i="3"/>
  <c r="AS331" i="3"/>
  <c r="AQ331" i="3"/>
  <c r="AP331" i="3"/>
  <c r="AO331" i="3"/>
  <c r="AN331" i="3"/>
  <c r="AL331" i="3"/>
  <c r="AK331" i="3"/>
  <c r="AJ331" i="3"/>
  <c r="AI331" i="3"/>
  <c r="AG331" i="3"/>
  <c r="AF331" i="3"/>
  <c r="AE331" i="3"/>
  <c r="AD331" i="3"/>
  <c r="AB331" i="3"/>
  <c r="AA331" i="3"/>
  <c r="Z331" i="3"/>
  <c r="Y331" i="3"/>
  <c r="W331" i="3"/>
  <c r="V331" i="3"/>
  <c r="U331" i="3"/>
  <c r="T331" i="3"/>
  <c r="R331" i="3"/>
  <c r="Q331" i="3"/>
  <c r="P331" i="3"/>
  <c r="O331" i="3"/>
  <c r="M331" i="3"/>
  <c r="L331" i="3"/>
  <c r="K331" i="3"/>
  <c r="J331" i="3"/>
  <c r="AV330" i="3"/>
  <c r="AU330" i="3"/>
  <c r="AT330" i="3"/>
  <c r="AS330" i="3"/>
  <c r="AQ330" i="3"/>
  <c r="AP330" i="3"/>
  <c r="AO330" i="3"/>
  <c r="AN330" i="3"/>
  <c r="AL330" i="3"/>
  <c r="AK330" i="3"/>
  <c r="AJ330" i="3"/>
  <c r="AI330" i="3"/>
  <c r="AG330" i="3"/>
  <c r="AF330" i="3"/>
  <c r="AE330" i="3"/>
  <c r="AD330" i="3"/>
  <c r="AB330" i="3"/>
  <c r="AA330" i="3"/>
  <c r="Z330" i="3"/>
  <c r="Y330" i="3"/>
  <c r="W330" i="3"/>
  <c r="V330" i="3"/>
  <c r="U330" i="3"/>
  <c r="T330" i="3"/>
  <c r="R330" i="3"/>
  <c r="Q330" i="3"/>
  <c r="P330" i="3"/>
  <c r="O330" i="3"/>
  <c r="M330" i="3"/>
  <c r="L330" i="3"/>
  <c r="K330" i="3"/>
  <c r="J330" i="3"/>
  <c r="AV329" i="3"/>
  <c r="AU329" i="3"/>
  <c r="AT329" i="3"/>
  <c r="AS329" i="3"/>
  <c r="AQ329" i="3"/>
  <c r="AP329" i="3"/>
  <c r="AO329" i="3"/>
  <c r="AN329" i="3"/>
  <c r="AL329" i="3"/>
  <c r="AK329" i="3"/>
  <c r="AJ329" i="3"/>
  <c r="AI329" i="3"/>
  <c r="AG329" i="3"/>
  <c r="AF329" i="3"/>
  <c r="AE329" i="3"/>
  <c r="AD329" i="3"/>
  <c r="AB329" i="3"/>
  <c r="AA329" i="3"/>
  <c r="Z329" i="3"/>
  <c r="Y329" i="3"/>
  <c r="W329" i="3"/>
  <c r="V329" i="3"/>
  <c r="U329" i="3"/>
  <c r="T329" i="3"/>
  <c r="R329" i="3"/>
  <c r="Q329" i="3"/>
  <c r="P329" i="3"/>
  <c r="O329" i="3"/>
  <c r="M329" i="3"/>
  <c r="L329" i="3"/>
  <c r="K329" i="3"/>
  <c r="J329" i="3"/>
  <c r="AV328" i="3"/>
  <c r="AU328" i="3"/>
  <c r="AT328" i="3"/>
  <c r="AS328" i="3"/>
  <c r="AQ328" i="3"/>
  <c r="AP328" i="3"/>
  <c r="AO328" i="3"/>
  <c r="AN328" i="3"/>
  <c r="AL328" i="3"/>
  <c r="AK328" i="3"/>
  <c r="AJ328" i="3"/>
  <c r="AI328" i="3"/>
  <c r="AG328" i="3"/>
  <c r="AF328" i="3"/>
  <c r="AE328" i="3"/>
  <c r="AD328" i="3"/>
  <c r="AB328" i="3"/>
  <c r="AA328" i="3"/>
  <c r="Z328" i="3"/>
  <c r="Y328" i="3"/>
  <c r="W328" i="3"/>
  <c r="V328" i="3"/>
  <c r="U328" i="3"/>
  <c r="T328" i="3"/>
  <c r="R328" i="3"/>
  <c r="Q328" i="3"/>
  <c r="P328" i="3"/>
  <c r="O328" i="3"/>
  <c r="M328" i="3"/>
  <c r="L328" i="3"/>
  <c r="K328" i="3"/>
  <c r="J328" i="3"/>
  <c r="AV327" i="3"/>
  <c r="AU327" i="3"/>
  <c r="AT327" i="3"/>
  <c r="AS327" i="3"/>
  <c r="AQ327" i="3"/>
  <c r="AP327" i="3"/>
  <c r="AO327" i="3"/>
  <c r="AN327" i="3"/>
  <c r="AL327" i="3"/>
  <c r="AK327" i="3"/>
  <c r="AJ327" i="3"/>
  <c r="AI327" i="3"/>
  <c r="AG327" i="3"/>
  <c r="AF327" i="3"/>
  <c r="AE327" i="3"/>
  <c r="AD327" i="3"/>
  <c r="AB327" i="3"/>
  <c r="AA327" i="3"/>
  <c r="Z327" i="3"/>
  <c r="Y327" i="3"/>
  <c r="W327" i="3"/>
  <c r="V327" i="3"/>
  <c r="U327" i="3"/>
  <c r="T327" i="3"/>
  <c r="R327" i="3"/>
  <c r="Q327" i="3"/>
  <c r="P327" i="3"/>
  <c r="O327" i="3"/>
  <c r="M327" i="3"/>
  <c r="L327" i="3"/>
  <c r="K327" i="3"/>
  <c r="J327" i="3"/>
  <c r="AV326" i="3"/>
  <c r="AU326" i="3"/>
  <c r="AT326" i="3"/>
  <c r="AS326" i="3"/>
  <c r="AQ326" i="3"/>
  <c r="AP326" i="3"/>
  <c r="AO326" i="3"/>
  <c r="AN326" i="3"/>
  <c r="AL326" i="3"/>
  <c r="AK326" i="3"/>
  <c r="AJ326" i="3"/>
  <c r="AI326" i="3"/>
  <c r="AG326" i="3"/>
  <c r="AF326" i="3"/>
  <c r="AE326" i="3"/>
  <c r="AD326" i="3"/>
  <c r="AB326" i="3"/>
  <c r="AA326" i="3"/>
  <c r="Z326" i="3"/>
  <c r="Y326" i="3"/>
  <c r="W326" i="3"/>
  <c r="V326" i="3"/>
  <c r="U326" i="3"/>
  <c r="T326" i="3"/>
  <c r="R326" i="3"/>
  <c r="Q326" i="3"/>
  <c r="P326" i="3"/>
  <c r="O326" i="3"/>
  <c r="M326" i="3"/>
  <c r="L326" i="3"/>
  <c r="K326" i="3"/>
  <c r="J326" i="3"/>
  <c r="AV325" i="3"/>
  <c r="AU325" i="3"/>
  <c r="AT325" i="3"/>
  <c r="AS325" i="3"/>
  <c r="AQ325" i="3"/>
  <c r="AP325" i="3"/>
  <c r="AO325" i="3"/>
  <c r="AN325" i="3"/>
  <c r="AL325" i="3"/>
  <c r="AK325" i="3"/>
  <c r="AJ325" i="3"/>
  <c r="AI325" i="3"/>
  <c r="AG325" i="3"/>
  <c r="AF325" i="3"/>
  <c r="AE325" i="3"/>
  <c r="AD325" i="3"/>
  <c r="AB325" i="3"/>
  <c r="AA325" i="3"/>
  <c r="Z325" i="3"/>
  <c r="Y325" i="3"/>
  <c r="W325" i="3"/>
  <c r="V325" i="3"/>
  <c r="U325" i="3"/>
  <c r="T325" i="3"/>
  <c r="R325" i="3"/>
  <c r="Q325" i="3"/>
  <c r="P325" i="3"/>
  <c r="O325" i="3"/>
  <c r="M325" i="3"/>
  <c r="L325" i="3"/>
  <c r="K325" i="3"/>
  <c r="J325" i="3"/>
  <c r="AV324" i="3"/>
  <c r="AU324" i="3"/>
  <c r="AT324" i="3"/>
  <c r="AS324" i="3"/>
  <c r="AQ324" i="3"/>
  <c r="AP324" i="3"/>
  <c r="AO324" i="3"/>
  <c r="AN324" i="3"/>
  <c r="AL324" i="3"/>
  <c r="AK324" i="3"/>
  <c r="AJ324" i="3"/>
  <c r="AI324" i="3"/>
  <c r="AG324" i="3"/>
  <c r="AF324" i="3"/>
  <c r="AE324" i="3"/>
  <c r="AD324" i="3"/>
  <c r="AB324" i="3"/>
  <c r="AA324" i="3"/>
  <c r="Z324" i="3"/>
  <c r="Y324" i="3"/>
  <c r="W324" i="3"/>
  <c r="V324" i="3"/>
  <c r="U324" i="3"/>
  <c r="T324" i="3"/>
  <c r="R324" i="3"/>
  <c r="Q324" i="3"/>
  <c r="P324" i="3"/>
  <c r="O324" i="3"/>
  <c r="M324" i="3"/>
  <c r="L324" i="3"/>
  <c r="K324" i="3"/>
  <c r="J324" i="3"/>
  <c r="AV323" i="3"/>
  <c r="AU323" i="3"/>
  <c r="AT323" i="3"/>
  <c r="AS323" i="3"/>
  <c r="AQ323" i="3"/>
  <c r="AP323" i="3"/>
  <c r="AO323" i="3"/>
  <c r="AN323" i="3"/>
  <c r="AL323" i="3"/>
  <c r="AK323" i="3"/>
  <c r="AJ323" i="3"/>
  <c r="AI323" i="3"/>
  <c r="AG323" i="3"/>
  <c r="AF323" i="3"/>
  <c r="AE323" i="3"/>
  <c r="AD323" i="3"/>
  <c r="AB323" i="3"/>
  <c r="AA323" i="3"/>
  <c r="Z323" i="3"/>
  <c r="Y323" i="3"/>
  <c r="W323" i="3"/>
  <c r="V323" i="3"/>
  <c r="U323" i="3"/>
  <c r="T323" i="3"/>
  <c r="R323" i="3"/>
  <c r="Q323" i="3"/>
  <c r="P323" i="3"/>
  <c r="O323" i="3"/>
  <c r="M323" i="3"/>
  <c r="L323" i="3"/>
  <c r="K323" i="3"/>
  <c r="J323" i="3"/>
  <c r="AV322" i="3"/>
  <c r="AU322" i="3"/>
  <c r="AT322" i="3"/>
  <c r="AS322" i="3"/>
  <c r="AQ322" i="3"/>
  <c r="AP322" i="3"/>
  <c r="AO322" i="3"/>
  <c r="AN322" i="3"/>
  <c r="AL322" i="3"/>
  <c r="AK322" i="3"/>
  <c r="AJ322" i="3"/>
  <c r="AI322" i="3"/>
  <c r="AG322" i="3"/>
  <c r="AF322" i="3"/>
  <c r="AE322" i="3"/>
  <c r="AD322" i="3"/>
  <c r="AB322" i="3"/>
  <c r="AA322" i="3"/>
  <c r="Z322" i="3"/>
  <c r="Y322" i="3"/>
  <c r="W322" i="3"/>
  <c r="V322" i="3"/>
  <c r="U322" i="3"/>
  <c r="T322" i="3"/>
  <c r="R322" i="3"/>
  <c r="Q322" i="3"/>
  <c r="P322" i="3"/>
  <c r="O322" i="3"/>
  <c r="M322" i="3"/>
  <c r="L322" i="3"/>
  <c r="K322" i="3"/>
  <c r="J322" i="3"/>
  <c r="AV321" i="3"/>
  <c r="AU321" i="3"/>
  <c r="AT321" i="3"/>
  <c r="AS321" i="3"/>
  <c r="AQ321" i="3"/>
  <c r="AP321" i="3"/>
  <c r="AO321" i="3"/>
  <c r="AN321" i="3"/>
  <c r="AL321" i="3"/>
  <c r="AK321" i="3"/>
  <c r="AJ321" i="3"/>
  <c r="AI321" i="3"/>
  <c r="AG321" i="3"/>
  <c r="AF321" i="3"/>
  <c r="AE321" i="3"/>
  <c r="AD321" i="3"/>
  <c r="AB321" i="3"/>
  <c r="AA321" i="3"/>
  <c r="Z321" i="3"/>
  <c r="Y321" i="3"/>
  <c r="W321" i="3"/>
  <c r="V321" i="3"/>
  <c r="U321" i="3"/>
  <c r="T321" i="3"/>
  <c r="R321" i="3"/>
  <c r="Q321" i="3"/>
  <c r="P321" i="3"/>
  <c r="O321" i="3"/>
  <c r="M321" i="3"/>
  <c r="L321" i="3"/>
  <c r="K321" i="3"/>
  <c r="J321" i="3"/>
  <c r="AV320" i="3"/>
  <c r="AU320" i="3"/>
  <c r="AT320" i="3"/>
  <c r="AS320" i="3"/>
  <c r="AQ320" i="3"/>
  <c r="AP320" i="3"/>
  <c r="AO320" i="3"/>
  <c r="AN320" i="3"/>
  <c r="AL320" i="3"/>
  <c r="AK320" i="3"/>
  <c r="AJ320" i="3"/>
  <c r="AI320" i="3"/>
  <c r="AG320" i="3"/>
  <c r="AF320" i="3"/>
  <c r="AE320" i="3"/>
  <c r="AD320" i="3"/>
  <c r="AB320" i="3"/>
  <c r="AA320" i="3"/>
  <c r="Z320" i="3"/>
  <c r="Y320" i="3"/>
  <c r="W320" i="3"/>
  <c r="V320" i="3"/>
  <c r="U320" i="3"/>
  <c r="T320" i="3"/>
  <c r="R320" i="3"/>
  <c r="Q320" i="3"/>
  <c r="P320" i="3"/>
  <c r="O320" i="3"/>
  <c r="M320" i="3"/>
  <c r="L320" i="3"/>
  <c r="K320" i="3"/>
  <c r="J320" i="3"/>
  <c r="AV319" i="3"/>
  <c r="AU319" i="3"/>
  <c r="AT319" i="3"/>
  <c r="AS319" i="3"/>
  <c r="AQ319" i="3"/>
  <c r="AP319" i="3"/>
  <c r="AO319" i="3"/>
  <c r="AN319" i="3"/>
  <c r="AL319" i="3"/>
  <c r="AK319" i="3"/>
  <c r="AJ319" i="3"/>
  <c r="AI319" i="3"/>
  <c r="AG319" i="3"/>
  <c r="AF319" i="3"/>
  <c r="AE319" i="3"/>
  <c r="AD319" i="3"/>
  <c r="AB319" i="3"/>
  <c r="AA319" i="3"/>
  <c r="Z319" i="3"/>
  <c r="Y319" i="3"/>
  <c r="W319" i="3"/>
  <c r="V319" i="3"/>
  <c r="U319" i="3"/>
  <c r="T319" i="3"/>
  <c r="R319" i="3"/>
  <c r="Q319" i="3"/>
  <c r="P319" i="3"/>
  <c r="O319" i="3"/>
  <c r="M319" i="3"/>
  <c r="L319" i="3"/>
  <c r="K319" i="3"/>
  <c r="J319" i="3"/>
  <c r="AV318" i="3"/>
  <c r="AU318" i="3"/>
  <c r="AT318" i="3"/>
  <c r="AS318" i="3"/>
  <c r="AQ318" i="3"/>
  <c r="AP318" i="3"/>
  <c r="AO318" i="3"/>
  <c r="AN318" i="3"/>
  <c r="AL318" i="3"/>
  <c r="AK318" i="3"/>
  <c r="AJ318" i="3"/>
  <c r="AI318" i="3"/>
  <c r="AG318" i="3"/>
  <c r="AF318" i="3"/>
  <c r="AE318" i="3"/>
  <c r="AD318" i="3"/>
  <c r="AB318" i="3"/>
  <c r="AA318" i="3"/>
  <c r="Z318" i="3"/>
  <c r="Y318" i="3"/>
  <c r="W318" i="3"/>
  <c r="V318" i="3"/>
  <c r="U318" i="3"/>
  <c r="T318" i="3"/>
  <c r="R318" i="3"/>
  <c r="Q318" i="3"/>
  <c r="P318" i="3"/>
  <c r="O318" i="3"/>
  <c r="M318" i="3"/>
  <c r="L318" i="3"/>
  <c r="K318" i="3"/>
  <c r="J318" i="3"/>
  <c r="AV317" i="3"/>
  <c r="AU317" i="3"/>
  <c r="AT317" i="3"/>
  <c r="AS317" i="3"/>
  <c r="AQ317" i="3"/>
  <c r="AP317" i="3"/>
  <c r="AO317" i="3"/>
  <c r="AN317" i="3"/>
  <c r="AL317" i="3"/>
  <c r="AK317" i="3"/>
  <c r="AJ317" i="3"/>
  <c r="AI317" i="3"/>
  <c r="AG317" i="3"/>
  <c r="AF317" i="3"/>
  <c r="AE317" i="3"/>
  <c r="AD317" i="3"/>
  <c r="AB317" i="3"/>
  <c r="AA317" i="3"/>
  <c r="Z317" i="3"/>
  <c r="Y317" i="3"/>
  <c r="W317" i="3"/>
  <c r="V317" i="3"/>
  <c r="U317" i="3"/>
  <c r="T317" i="3"/>
  <c r="R317" i="3"/>
  <c r="Q317" i="3"/>
  <c r="P317" i="3"/>
  <c r="O317" i="3"/>
  <c r="M317" i="3"/>
  <c r="L317" i="3"/>
  <c r="K317" i="3"/>
  <c r="J317" i="3"/>
  <c r="AV316" i="3"/>
  <c r="AU316" i="3"/>
  <c r="AT316" i="3"/>
  <c r="AS316" i="3"/>
  <c r="AQ316" i="3"/>
  <c r="AP316" i="3"/>
  <c r="AO316" i="3"/>
  <c r="AN316" i="3"/>
  <c r="AL316" i="3"/>
  <c r="AK316" i="3"/>
  <c r="AJ316" i="3"/>
  <c r="AI316" i="3"/>
  <c r="AG316" i="3"/>
  <c r="AF316" i="3"/>
  <c r="AE316" i="3"/>
  <c r="AD316" i="3"/>
  <c r="AB316" i="3"/>
  <c r="AA316" i="3"/>
  <c r="Z316" i="3"/>
  <c r="Y316" i="3"/>
  <c r="W316" i="3"/>
  <c r="V316" i="3"/>
  <c r="U316" i="3"/>
  <c r="T316" i="3"/>
  <c r="R316" i="3"/>
  <c r="Q316" i="3"/>
  <c r="P316" i="3"/>
  <c r="O316" i="3"/>
  <c r="M316" i="3"/>
  <c r="L316" i="3"/>
  <c r="K316" i="3"/>
  <c r="J316" i="3"/>
  <c r="AV315" i="3"/>
  <c r="AU315" i="3"/>
  <c r="AT315" i="3"/>
  <c r="AS315" i="3"/>
  <c r="AQ315" i="3"/>
  <c r="AP315" i="3"/>
  <c r="AO315" i="3"/>
  <c r="AN315" i="3"/>
  <c r="AL315" i="3"/>
  <c r="AK315" i="3"/>
  <c r="AJ315" i="3"/>
  <c r="AI315" i="3"/>
  <c r="AG315" i="3"/>
  <c r="AF315" i="3"/>
  <c r="AE315" i="3"/>
  <c r="AD315" i="3"/>
  <c r="AB315" i="3"/>
  <c r="AA315" i="3"/>
  <c r="Z315" i="3"/>
  <c r="Y315" i="3"/>
  <c r="W315" i="3"/>
  <c r="V315" i="3"/>
  <c r="U315" i="3"/>
  <c r="T315" i="3"/>
  <c r="R315" i="3"/>
  <c r="Q315" i="3"/>
  <c r="P315" i="3"/>
  <c r="O315" i="3"/>
  <c r="M315" i="3"/>
  <c r="L315" i="3"/>
  <c r="K315" i="3"/>
  <c r="J315" i="3"/>
  <c r="AV314" i="3"/>
  <c r="AU314" i="3"/>
  <c r="AT314" i="3"/>
  <c r="AS314" i="3"/>
  <c r="AQ314" i="3"/>
  <c r="AP314" i="3"/>
  <c r="AO314" i="3"/>
  <c r="AN314" i="3"/>
  <c r="AL314" i="3"/>
  <c r="AK314" i="3"/>
  <c r="AJ314" i="3"/>
  <c r="AI314" i="3"/>
  <c r="AG314" i="3"/>
  <c r="AF314" i="3"/>
  <c r="AE314" i="3"/>
  <c r="AD314" i="3"/>
  <c r="AB314" i="3"/>
  <c r="AA314" i="3"/>
  <c r="Z314" i="3"/>
  <c r="Y314" i="3"/>
  <c r="W314" i="3"/>
  <c r="V314" i="3"/>
  <c r="U314" i="3"/>
  <c r="T314" i="3"/>
  <c r="R314" i="3"/>
  <c r="Q314" i="3"/>
  <c r="P314" i="3"/>
  <c r="O314" i="3"/>
  <c r="M314" i="3"/>
  <c r="L314" i="3"/>
  <c r="K314" i="3"/>
  <c r="J314" i="3"/>
  <c r="AV313" i="3"/>
  <c r="AU313" i="3"/>
  <c r="AT313" i="3"/>
  <c r="AS313" i="3"/>
  <c r="AQ313" i="3"/>
  <c r="AP313" i="3"/>
  <c r="AO313" i="3"/>
  <c r="AN313" i="3"/>
  <c r="AL313" i="3"/>
  <c r="AK313" i="3"/>
  <c r="AJ313" i="3"/>
  <c r="AI313" i="3"/>
  <c r="AG313" i="3"/>
  <c r="AF313" i="3"/>
  <c r="AE313" i="3"/>
  <c r="AD313" i="3"/>
  <c r="AB313" i="3"/>
  <c r="AA313" i="3"/>
  <c r="Z313" i="3"/>
  <c r="Y313" i="3"/>
  <c r="W313" i="3"/>
  <c r="V313" i="3"/>
  <c r="U313" i="3"/>
  <c r="T313" i="3"/>
  <c r="R313" i="3"/>
  <c r="Q313" i="3"/>
  <c r="P313" i="3"/>
  <c r="O313" i="3"/>
  <c r="M313" i="3"/>
  <c r="L313" i="3"/>
  <c r="K313" i="3"/>
  <c r="J313" i="3"/>
  <c r="AV312" i="3"/>
  <c r="AU312" i="3"/>
  <c r="AT312" i="3"/>
  <c r="AS312" i="3"/>
  <c r="AQ312" i="3"/>
  <c r="AP312" i="3"/>
  <c r="AO312" i="3"/>
  <c r="AN312" i="3"/>
  <c r="AL312" i="3"/>
  <c r="AK312" i="3"/>
  <c r="AJ312" i="3"/>
  <c r="AI312" i="3"/>
  <c r="AG312" i="3"/>
  <c r="AF312" i="3"/>
  <c r="AE312" i="3"/>
  <c r="AD312" i="3"/>
  <c r="AB312" i="3"/>
  <c r="AA312" i="3"/>
  <c r="Z312" i="3"/>
  <c r="Y312" i="3"/>
  <c r="W312" i="3"/>
  <c r="V312" i="3"/>
  <c r="U312" i="3"/>
  <c r="T312" i="3"/>
  <c r="R312" i="3"/>
  <c r="Q312" i="3"/>
  <c r="P312" i="3"/>
  <c r="O312" i="3"/>
  <c r="M312" i="3"/>
  <c r="L312" i="3"/>
  <c r="K312" i="3"/>
  <c r="J312" i="3"/>
  <c r="AV311" i="3"/>
  <c r="AU311" i="3"/>
  <c r="AT311" i="3"/>
  <c r="AS311" i="3"/>
  <c r="AQ311" i="3"/>
  <c r="AP311" i="3"/>
  <c r="AO311" i="3"/>
  <c r="AN311" i="3"/>
  <c r="AL311" i="3"/>
  <c r="AK311" i="3"/>
  <c r="AJ311" i="3"/>
  <c r="AI311" i="3"/>
  <c r="AG311" i="3"/>
  <c r="AF311" i="3"/>
  <c r="AE311" i="3"/>
  <c r="AD311" i="3"/>
  <c r="AB311" i="3"/>
  <c r="AA311" i="3"/>
  <c r="Z311" i="3"/>
  <c r="Y311" i="3"/>
  <c r="W311" i="3"/>
  <c r="V311" i="3"/>
  <c r="U311" i="3"/>
  <c r="T311" i="3"/>
  <c r="R311" i="3"/>
  <c r="Q311" i="3"/>
  <c r="P311" i="3"/>
  <c r="O311" i="3"/>
  <c r="M311" i="3"/>
  <c r="L311" i="3"/>
  <c r="K311" i="3"/>
  <c r="J311" i="3"/>
  <c r="AV310" i="3"/>
  <c r="AU310" i="3"/>
  <c r="AT310" i="3"/>
  <c r="AS310" i="3"/>
  <c r="AQ310" i="3"/>
  <c r="AP310" i="3"/>
  <c r="AO310" i="3"/>
  <c r="AN310" i="3"/>
  <c r="AL310" i="3"/>
  <c r="AK310" i="3"/>
  <c r="AJ310" i="3"/>
  <c r="AI310" i="3"/>
  <c r="AG310" i="3"/>
  <c r="AF310" i="3"/>
  <c r="AE310" i="3"/>
  <c r="AD310" i="3"/>
  <c r="AB310" i="3"/>
  <c r="AA310" i="3"/>
  <c r="Z310" i="3"/>
  <c r="Y310" i="3"/>
  <c r="W310" i="3"/>
  <c r="V310" i="3"/>
  <c r="U310" i="3"/>
  <c r="T310" i="3"/>
  <c r="R310" i="3"/>
  <c r="Q310" i="3"/>
  <c r="P310" i="3"/>
  <c r="O310" i="3"/>
  <c r="M310" i="3"/>
  <c r="L310" i="3"/>
  <c r="K310" i="3"/>
  <c r="J310" i="3"/>
  <c r="AV309" i="3"/>
  <c r="AU309" i="3"/>
  <c r="AT309" i="3"/>
  <c r="AS309" i="3"/>
  <c r="AQ309" i="3"/>
  <c r="AP309" i="3"/>
  <c r="AO309" i="3"/>
  <c r="AN309" i="3"/>
  <c r="AL309" i="3"/>
  <c r="AK309" i="3"/>
  <c r="AJ309" i="3"/>
  <c r="AI309" i="3"/>
  <c r="AG309" i="3"/>
  <c r="AF309" i="3"/>
  <c r="AE309" i="3"/>
  <c r="AD309" i="3"/>
  <c r="AB309" i="3"/>
  <c r="AA309" i="3"/>
  <c r="Z309" i="3"/>
  <c r="Y309" i="3"/>
  <c r="W309" i="3"/>
  <c r="V309" i="3"/>
  <c r="U309" i="3"/>
  <c r="T309" i="3"/>
  <c r="R309" i="3"/>
  <c r="Q309" i="3"/>
  <c r="P309" i="3"/>
  <c r="O309" i="3"/>
  <c r="M309" i="3"/>
  <c r="L309" i="3"/>
  <c r="K309" i="3"/>
  <c r="J309" i="3"/>
  <c r="AV308" i="3"/>
  <c r="AU308" i="3"/>
  <c r="AT308" i="3"/>
  <c r="AS308" i="3"/>
  <c r="AQ308" i="3"/>
  <c r="AP308" i="3"/>
  <c r="AO308" i="3"/>
  <c r="AN308" i="3"/>
  <c r="AL308" i="3"/>
  <c r="AK308" i="3"/>
  <c r="AJ308" i="3"/>
  <c r="AI308" i="3"/>
  <c r="AG308" i="3"/>
  <c r="AF308" i="3"/>
  <c r="AE308" i="3"/>
  <c r="AD308" i="3"/>
  <c r="AB308" i="3"/>
  <c r="AA308" i="3"/>
  <c r="Z308" i="3"/>
  <c r="Y308" i="3"/>
  <c r="W308" i="3"/>
  <c r="V308" i="3"/>
  <c r="U308" i="3"/>
  <c r="T308" i="3"/>
  <c r="R308" i="3"/>
  <c r="Q308" i="3"/>
  <c r="P308" i="3"/>
  <c r="O308" i="3"/>
  <c r="M308" i="3"/>
  <c r="L308" i="3"/>
  <c r="K308" i="3"/>
  <c r="J308" i="3"/>
  <c r="AV307" i="3"/>
  <c r="AU307" i="3"/>
  <c r="AT307" i="3"/>
  <c r="AS307" i="3"/>
  <c r="AQ307" i="3"/>
  <c r="AP307" i="3"/>
  <c r="AO307" i="3"/>
  <c r="AN307" i="3"/>
  <c r="AL307" i="3"/>
  <c r="AK307" i="3"/>
  <c r="AJ307" i="3"/>
  <c r="AI307" i="3"/>
  <c r="AG307" i="3"/>
  <c r="AF307" i="3"/>
  <c r="AE307" i="3"/>
  <c r="AD307" i="3"/>
  <c r="AB307" i="3"/>
  <c r="AA307" i="3"/>
  <c r="Z307" i="3"/>
  <c r="Y307" i="3"/>
  <c r="W307" i="3"/>
  <c r="V307" i="3"/>
  <c r="U307" i="3"/>
  <c r="T307" i="3"/>
  <c r="R307" i="3"/>
  <c r="Q307" i="3"/>
  <c r="P307" i="3"/>
  <c r="O307" i="3"/>
  <c r="M307" i="3"/>
  <c r="L307" i="3"/>
  <c r="K307" i="3"/>
  <c r="J307" i="3"/>
  <c r="AV306" i="3"/>
  <c r="AU306" i="3"/>
  <c r="AT306" i="3"/>
  <c r="AS306" i="3"/>
  <c r="AQ306" i="3"/>
  <c r="AP306" i="3"/>
  <c r="AO306" i="3"/>
  <c r="AN306" i="3"/>
  <c r="AL306" i="3"/>
  <c r="AK306" i="3"/>
  <c r="AJ306" i="3"/>
  <c r="AI306" i="3"/>
  <c r="AG306" i="3"/>
  <c r="AF306" i="3"/>
  <c r="AE306" i="3"/>
  <c r="AD306" i="3"/>
  <c r="AB306" i="3"/>
  <c r="AA306" i="3"/>
  <c r="Z306" i="3"/>
  <c r="Y306" i="3"/>
  <c r="W306" i="3"/>
  <c r="V306" i="3"/>
  <c r="U306" i="3"/>
  <c r="T306" i="3"/>
  <c r="R306" i="3"/>
  <c r="Q306" i="3"/>
  <c r="P306" i="3"/>
  <c r="O306" i="3"/>
  <c r="M306" i="3"/>
  <c r="L306" i="3"/>
  <c r="K306" i="3"/>
  <c r="J306" i="3"/>
  <c r="AV305" i="3"/>
  <c r="AU305" i="3"/>
  <c r="AT305" i="3"/>
  <c r="AS305" i="3"/>
  <c r="AQ305" i="3"/>
  <c r="AP305" i="3"/>
  <c r="AO305" i="3"/>
  <c r="AN305" i="3"/>
  <c r="AL305" i="3"/>
  <c r="AK305" i="3"/>
  <c r="AJ305" i="3"/>
  <c r="AI305" i="3"/>
  <c r="AG305" i="3"/>
  <c r="AF305" i="3"/>
  <c r="AE305" i="3"/>
  <c r="AD305" i="3"/>
  <c r="AB305" i="3"/>
  <c r="AA305" i="3"/>
  <c r="Z305" i="3"/>
  <c r="Y305" i="3"/>
  <c r="W305" i="3"/>
  <c r="V305" i="3"/>
  <c r="U305" i="3"/>
  <c r="T305" i="3"/>
  <c r="R305" i="3"/>
  <c r="Q305" i="3"/>
  <c r="P305" i="3"/>
  <c r="O305" i="3"/>
  <c r="M305" i="3"/>
  <c r="L305" i="3"/>
  <c r="K305" i="3"/>
  <c r="J305" i="3"/>
  <c r="AV304" i="3"/>
  <c r="AU304" i="3"/>
  <c r="AT304" i="3"/>
  <c r="AS304" i="3"/>
  <c r="AQ304" i="3"/>
  <c r="AP304" i="3"/>
  <c r="AO304" i="3"/>
  <c r="AN304" i="3"/>
  <c r="AL304" i="3"/>
  <c r="AK304" i="3"/>
  <c r="AJ304" i="3"/>
  <c r="AI304" i="3"/>
  <c r="AG304" i="3"/>
  <c r="AF304" i="3"/>
  <c r="AE304" i="3"/>
  <c r="AD304" i="3"/>
  <c r="AB304" i="3"/>
  <c r="AA304" i="3"/>
  <c r="Z304" i="3"/>
  <c r="Y304" i="3"/>
  <c r="W304" i="3"/>
  <c r="V304" i="3"/>
  <c r="U304" i="3"/>
  <c r="T304" i="3"/>
  <c r="R304" i="3"/>
  <c r="Q304" i="3"/>
  <c r="P304" i="3"/>
  <c r="O304" i="3"/>
  <c r="M304" i="3"/>
  <c r="L304" i="3"/>
  <c r="K304" i="3"/>
  <c r="J304" i="3"/>
  <c r="AV303" i="3"/>
  <c r="AU303" i="3"/>
  <c r="AT303" i="3"/>
  <c r="AS303" i="3"/>
  <c r="AQ303" i="3"/>
  <c r="AP303" i="3"/>
  <c r="AO303" i="3"/>
  <c r="AN303" i="3"/>
  <c r="AL303" i="3"/>
  <c r="AK303" i="3"/>
  <c r="AJ303" i="3"/>
  <c r="AI303" i="3"/>
  <c r="AG303" i="3"/>
  <c r="AF303" i="3"/>
  <c r="AE303" i="3"/>
  <c r="AD303" i="3"/>
  <c r="AB303" i="3"/>
  <c r="AA303" i="3"/>
  <c r="Z303" i="3"/>
  <c r="Y303" i="3"/>
  <c r="W303" i="3"/>
  <c r="V303" i="3"/>
  <c r="U303" i="3"/>
  <c r="T303" i="3"/>
  <c r="R303" i="3"/>
  <c r="Q303" i="3"/>
  <c r="P303" i="3"/>
  <c r="O303" i="3"/>
  <c r="M303" i="3"/>
  <c r="L303" i="3"/>
  <c r="K303" i="3"/>
  <c r="J303" i="3"/>
  <c r="AV302" i="3"/>
  <c r="AU302" i="3"/>
  <c r="AT302" i="3"/>
  <c r="AS302" i="3"/>
  <c r="AQ302" i="3"/>
  <c r="AP302" i="3"/>
  <c r="AO302" i="3"/>
  <c r="AN302" i="3"/>
  <c r="AL302" i="3"/>
  <c r="AK302" i="3"/>
  <c r="AJ302" i="3"/>
  <c r="AI302" i="3"/>
  <c r="AG302" i="3"/>
  <c r="AF302" i="3"/>
  <c r="AE302" i="3"/>
  <c r="AD302" i="3"/>
  <c r="AB302" i="3"/>
  <c r="AA302" i="3"/>
  <c r="Z302" i="3"/>
  <c r="Y302" i="3"/>
  <c r="W302" i="3"/>
  <c r="V302" i="3"/>
  <c r="U302" i="3"/>
  <c r="T302" i="3"/>
  <c r="R302" i="3"/>
  <c r="Q302" i="3"/>
  <c r="P302" i="3"/>
  <c r="O302" i="3"/>
  <c r="M302" i="3"/>
  <c r="L302" i="3"/>
  <c r="K302" i="3"/>
  <c r="J302" i="3"/>
  <c r="AV301" i="3"/>
  <c r="AU301" i="3"/>
  <c r="AT301" i="3"/>
  <c r="AS301" i="3"/>
  <c r="AQ301" i="3"/>
  <c r="AP301" i="3"/>
  <c r="AO301" i="3"/>
  <c r="AN301" i="3"/>
  <c r="AL301" i="3"/>
  <c r="AK301" i="3"/>
  <c r="AJ301" i="3"/>
  <c r="AI301" i="3"/>
  <c r="AG301" i="3"/>
  <c r="AF301" i="3"/>
  <c r="AE301" i="3"/>
  <c r="AD301" i="3"/>
  <c r="AB301" i="3"/>
  <c r="AA301" i="3"/>
  <c r="Z301" i="3"/>
  <c r="Y301" i="3"/>
  <c r="W301" i="3"/>
  <c r="V301" i="3"/>
  <c r="U301" i="3"/>
  <c r="T301" i="3"/>
  <c r="R301" i="3"/>
  <c r="Q301" i="3"/>
  <c r="P301" i="3"/>
  <c r="O301" i="3"/>
  <c r="M301" i="3"/>
  <c r="L301" i="3"/>
  <c r="K301" i="3"/>
  <c r="J301" i="3"/>
  <c r="AV300" i="3"/>
  <c r="AU300" i="3"/>
  <c r="AT300" i="3"/>
  <c r="AS300" i="3"/>
  <c r="AQ300" i="3"/>
  <c r="AP300" i="3"/>
  <c r="AO300" i="3"/>
  <c r="AN300" i="3"/>
  <c r="AL300" i="3"/>
  <c r="AK300" i="3"/>
  <c r="AJ300" i="3"/>
  <c r="AI300" i="3"/>
  <c r="AG300" i="3"/>
  <c r="AF300" i="3"/>
  <c r="AE300" i="3"/>
  <c r="AD300" i="3"/>
  <c r="AB300" i="3"/>
  <c r="AA300" i="3"/>
  <c r="Z300" i="3"/>
  <c r="Y300" i="3"/>
  <c r="W300" i="3"/>
  <c r="V300" i="3"/>
  <c r="U300" i="3"/>
  <c r="T300" i="3"/>
  <c r="R300" i="3"/>
  <c r="Q300" i="3"/>
  <c r="P300" i="3"/>
  <c r="O300" i="3"/>
  <c r="M300" i="3"/>
  <c r="L300" i="3"/>
  <c r="K300" i="3"/>
  <c r="J300" i="3"/>
  <c r="AV299" i="3"/>
  <c r="AU299" i="3"/>
  <c r="AT299" i="3"/>
  <c r="AS299" i="3"/>
  <c r="AQ299" i="3"/>
  <c r="AP299" i="3"/>
  <c r="AO299" i="3"/>
  <c r="AN299" i="3"/>
  <c r="AL299" i="3"/>
  <c r="AK299" i="3"/>
  <c r="AJ299" i="3"/>
  <c r="AI299" i="3"/>
  <c r="AG299" i="3"/>
  <c r="AF299" i="3"/>
  <c r="AE299" i="3"/>
  <c r="AD299" i="3"/>
  <c r="AB299" i="3"/>
  <c r="AA299" i="3"/>
  <c r="Z299" i="3"/>
  <c r="Y299" i="3"/>
  <c r="W299" i="3"/>
  <c r="V299" i="3"/>
  <c r="U299" i="3"/>
  <c r="T299" i="3"/>
  <c r="R299" i="3"/>
  <c r="Q299" i="3"/>
  <c r="P299" i="3"/>
  <c r="O299" i="3"/>
  <c r="M299" i="3"/>
  <c r="L299" i="3"/>
  <c r="K299" i="3"/>
  <c r="J299" i="3"/>
  <c r="AV298" i="3"/>
  <c r="AU298" i="3"/>
  <c r="AT298" i="3"/>
  <c r="AS298" i="3"/>
  <c r="AQ298" i="3"/>
  <c r="AP298" i="3"/>
  <c r="AO298" i="3"/>
  <c r="AN298" i="3"/>
  <c r="AL298" i="3"/>
  <c r="AK298" i="3"/>
  <c r="AJ298" i="3"/>
  <c r="AI298" i="3"/>
  <c r="AG298" i="3"/>
  <c r="AF298" i="3"/>
  <c r="AE298" i="3"/>
  <c r="AD298" i="3"/>
  <c r="AB298" i="3"/>
  <c r="AA298" i="3"/>
  <c r="Z298" i="3"/>
  <c r="Y298" i="3"/>
  <c r="W298" i="3"/>
  <c r="V298" i="3"/>
  <c r="U298" i="3"/>
  <c r="T298" i="3"/>
  <c r="R298" i="3"/>
  <c r="Q298" i="3"/>
  <c r="P298" i="3"/>
  <c r="O298" i="3"/>
  <c r="M298" i="3"/>
  <c r="L298" i="3"/>
  <c r="K298" i="3"/>
  <c r="J298" i="3"/>
  <c r="AV297" i="3"/>
  <c r="AU297" i="3"/>
  <c r="AT297" i="3"/>
  <c r="AS297" i="3"/>
  <c r="AQ297" i="3"/>
  <c r="AP297" i="3"/>
  <c r="AO297" i="3"/>
  <c r="AN297" i="3"/>
  <c r="AL297" i="3"/>
  <c r="AK297" i="3"/>
  <c r="AJ297" i="3"/>
  <c r="AI297" i="3"/>
  <c r="AG297" i="3"/>
  <c r="AF297" i="3"/>
  <c r="AE297" i="3"/>
  <c r="AD297" i="3"/>
  <c r="AB297" i="3"/>
  <c r="AA297" i="3"/>
  <c r="Z297" i="3"/>
  <c r="Y297" i="3"/>
  <c r="W297" i="3"/>
  <c r="V297" i="3"/>
  <c r="U297" i="3"/>
  <c r="T297" i="3"/>
  <c r="R297" i="3"/>
  <c r="Q297" i="3"/>
  <c r="P297" i="3"/>
  <c r="O297" i="3"/>
  <c r="M297" i="3"/>
  <c r="L297" i="3"/>
  <c r="K297" i="3"/>
  <c r="J297" i="3"/>
  <c r="AV296" i="3"/>
  <c r="AU296" i="3"/>
  <c r="AT296" i="3"/>
  <c r="AS296" i="3"/>
  <c r="AQ296" i="3"/>
  <c r="AP296" i="3"/>
  <c r="AO296" i="3"/>
  <c r="AN296" i="3"/>
  <c r="AL296" i="3"/>
  <c r="AK296" i="3"/>
  <c r="AJ296" i="3"/>
  <c r="AI296" i="3"/>
  <c r="AG296" i="3"/>
  <c r="AF296" i="3"/>
  <c r="AE296" i="3"/>
  <c r="AD296" i="3"/>
  <c r="AB296" i="3"/>
  <c r="AA296" i="3"/>
  <c r="Z296" i="3"/>
  <c r="Y296" i="3"/>
  <c r="W296" i="3"/>
  <c r="V296" i="3"/>
  <c r="U296" i="3"/>
  <c r="T296" i="3"/>
  <c r="R296" i="3"/>
  <c r="Q296" i="3"/>
  <c r="P296" i="3"/>
  <c r="O296" i="3"/>
  <c r="M296" i="3"/>
  <c r="L296" i="3"/>
  <c r="K296" i="3"/>
  <c r="J296" i="3"/>
  <c r="AV295" i="3"/>
  <c r="AU295" i="3"/>
  <c r="AT295" i="3"/>
  <c r="AS295" i="3"/>
  <c r="AQ295" i="3"/>
  <c r="AP295" i="3"/>
  <c r="AO295" i="3"/>
  <c r="AN295" i="3"/>
  <c r="AL295" i="3"/>
  <c r="AK295" i="3"/>
  <c r="AJ295" i="3"/>
  <c r="AI295" i="3"/>
  <c r="AG295" i="3"/>
  <c r="AF295" i="3"/>
  <c r="AE295" i="3"/>
  <c r="AD295" i="3"/>
  <c r="AB295" i="3"/>
  <c r="AA295" i="3"/>
  <c r="Z295" i="3"/>
  <c r="Y295" i="3"/>
  <c r="W295" i="3"/>
  <c r="V295" i="3"/>
  <c r="U295" i="3"/>
  <c r="T295" i="3"/>
  <c r="R295" i="3"/>
  <c r="Q295" i="3"/>
  <c r="P295" i="3"/>
  <c r="O295" i="3"/>
  <c r="M295" i="3"/>
  <c r="L295" i="3"/>
  <c r="K295" i="3"/>
  <c r="J295" i="3"/>
  <c r="AV294" i="3"/>
  <c r="AU294" i="3"/>
  <c r="AT294" i="3"/>
  <c r="AS294" i="3"/>
  <c r="AQ294" i="3"/>
  <c r="AP294" i="3"/>
  <c r="AO294" i="3"/>
  <c r="AN294" i="3"/>
  <c r="AL294" i="3"/>
  <c r="AK294" i="3"/>
  <c r="AJ294" i="3"/>
  <c r="AI294" i="3"/>
  <c r="AG294" i="3"/>
  <c r="AF294" i="3"/>
  <c r="AE294" i="3"/>
  <c r="AD294" i="3"/>
  <c r="AB294" i="3"/>
  <c r="AA294" i="3"/>
  <c r="Z294" i="3"/>
  <c r="Y294" i="3"/>
  <c r="W294" i="3"/>
  <c r="V294" i="3"/>
  <c r="U294" i="3"/>
  <c r="T294" i="3"/>
  <c r="R294" i="3"/>
  <c r="Q294" i="3"/>
  <c r="P294" i="3"/>
  <c r="O294" i="3"/>
  <c r="M294" i="3"/>
  <c r="L294" i="3"/>
  <c r="K294" i="3"/>
  <c r="J294" i="3"/>
  <c r="AV293" i="3"/>
  <c r="AU293" i="3"/>
  <c r="AT293" i="3"/>
  <c r="AS293" i="3"/>
  <c r="AQ293" i="3"/>
  <c r="AP293" i="3"/>
  <c r="AO293" i="3"/>
  <c r="AN293" i="3"/>
  <c r="AL293" i="3"/>
  <c r="AK293" i="3"/>
  <c r="AJ293" i="3"/>
  <c r="AI293" i="3"/>
  <c r="AG293" i="3"/>
  <c r="AF293" i="3"/>
  <c r="AE293" i="3"/>
  <c r="AD293" i="3"/>
  <c r="AB293" i="3"/>
  <c r="AA293" i="3"/>
  <c r="Z293" i="3"/>
  <c r="Y293" i="3"/>
  <c r="W293" i="3"/>
  <c r="V293" i="3"/>
  <c r="U293" i="3"/>
  <c r="T293" i="3"/>
  <c r="R293" i="3"/>
  <c r="Q293" i="3"/>
  <c r="P293" i="3"/>
  <c r="O293" i="3"/>
  <c r="M293" i="3"/>
  <c r="L293" i="3"/>
  <c r="K293" i="3"/>
  <c r="J293" i="3"/>
  <c r="AV292" i="3"/>
  <c r="AU292" i="3"/>
  <c r="AT292" i="3"/>
  <c r="AS292" i="3"/>
  <c r="AQ292" i="3"/>
  <c r="AP292" i="3"/>
  <c r="AO292" i="3"/>
  <c r="AN292" i="3"/>
  <c r="AL292" i="3"/>
  <c r="AK292" i="3"/>
  <c r="AJ292" i="3"/>
  <c r="AI292" i="3"/>
  <c r="AG292" i="3"/>
  <c r="AF292" i="3"/>
  <c r="AE292" i="3"/>
  <c r="AD292" i="3"/>
  <c r="AB292" i="3"/>
  <c r="AA292" i="3"/>
  <c r="Z292" i="3"/>
  <c r="Y292" i="3"/>
  <c r="W292" i="3"/>
  <c r="V292" i="3"/>
  <c r="U292" i="3"/>
  <c r="T292" i="3"/>
  <c r="R292" i="3"/>
  <c r="Q292" i="3"/>
  <c r="P292" i="3"/>
  <c r="O292" i="3"/>
  <c r="M292" i="3"/>
  <c r="L292" i="3"/>
  <c r="K292" i="3"/>
  <c r="J292" i="3"/>
  <c r="AV291" i="3"/>
  <c r="AU291" i="3"/>
  <c r="AT291" i="3"/>
  <c r="AS291" i="3"/>
  <c r="AQ291" i="3"/>
  <c r="AP291" i="3"/>
  <c r="AO291" i="3"/>
  <c r="AN291" i="3"/>
  <c r="AL291" i="3"/>
  <c r="AK291" i="3"/>
  <c r="AJ291" i="3"/>
  <c r="AI291" i="3"/>
  <c r="AG291" i="3"/>
  <c r="AF291" i="3"/>
  <c r="AE291" i="3"/>
  <c r="AD291" i="3"/>
  <c r="AB291" i="3"/>
  <c r="AA291" i="3"/>
  <c r="Z291" i="3"/>
  <c r="Y291" i="3"/>
  <c r="W291" i="3"/>
  <c r="V291" i="3"/>
  <c r="U291" i="3"/>
  <c r="T291" i="3"/>
  <c r="R291" i="3"/>
  <c r="Q291" i="3"/>
  <c r="P291" i="3"/>
  <c r="O291" i="3"/>
  <c r="M291" i="3"/>
  <c r="L291" i="3"/>
  <c r="K291" i="3"/>
  <c r="J291" i="3"/>
  <c r="AV290" i="3"/>
  <c r="AU290" i="3"/>
  <c r="AT290" i="3"/>
  <c r="AS290" i="3"/>
  <c r="AQ290" i="3"/>
  <c r="AP290" i="3"/>
  <c r="AO290" i="3"/>
  <c r="AN290" i="3"/>
  <c r="AL290" i="3"/>
  <c r="AK290" i="3"/>
  <c r="AJ290" i="3"/>
  <c r="AI290" i="3"/>
  <c r="AG290" i="3"/>
  <c r="AF290" i="3"/>
  <c r="AE290" i="3"/>
  <c r="AD290" i="3"/>
  <c r="AB290" i="3"/>
  <c r="AA290" i="3"/>
  <c r="Z290" i="3"/>
  <c r="Y290" i="3"/>
  <c r="W290" i="3"/>
  <c r="V290" i="3"/>
  <c r="U290" i="3"/>
  <c r="T290" i="3"/>
  <c r="R290" i="3"/>
  <c r="Q290" i="3"/>
  <c r="P290" i="3"/>
  <c r="O290" i="3"/>
  <c r="M290" i="3"/>
  <c r="L290" i="3"/>
  <c r="K290" i="3"/>
  <c r="J290" i="3"/>
  <c r="AV289" i="3"/>
  <c r="AU289" i="3"/>
  <c r="AT289" i="3"/>
  <c r="AS289" i="3"/>
  <c r="AQ289" i="3"/>
  <c r="AP289" i="3"/>
  <c r="AO289" i="3"/>
  <c r="AN289" i="3"/>
  <c r="AL289" i="3"/>
  <c r="AK289" i="3"/>
  <c r="AJ289" i="3"/>
  <c r="AI289" i="3"/>
  <c r="AG289" i="3"/>
  <c r="AF289" i="3"/>
  <c r="AE289" i="3"/>
  <c r="AD289" i="3"/>
  <c r="AB289" i="3"/>
  <c r="AA289" i="3"/>
  <c r="Z289" i="3"/>
  <c r="Y289" i="3"/>
  <c r="W289" i="3"/>
  <c r="V289" i="3"/>
  <c r="U289" i="3"/>
  <c r="T289" i="3"/>
  <c r="R289" i="3"/>
  <c r="Q289" i="3"/>
  <c r="P289" i="3"/>
  <c r="O289" i="3"/>
  <c r="M289" i="3"/>
  <c r="L289" i="3"/>
  <c r="K289" i="3"/>
  <c r="J289" i="3"/>
  <c r="AV288" i="3"/>
  <c r="AU288" i="3"/>
  <c r="AT288" i="3"/>
  <c r="AS288" i="3"/>
  <c r="AQ288" i="3"/>
  <c r="AP288" i="3"/>
  <c r="AO288" i="3"/>
  <c r="AN288" i="3"/>
  <c r="AL288" i="3"/>
  <c r="AK288" i="3"/>
  <c r="AJ288" i="3"/>
  <c r="AI288" i="3"/>
  <c r="AG288" i="3"/>
  <c r="AF288" i="3"/>
  <c r="AE288" i="3"/>
  <c r="AD288" i="3"/>
  <c r="AB288" i="3"/>
  <c r="AA288" i="3"/>
  <c r="Z288" i="3"/>
  <c r="Y288" i="3"/>
  <c r="W288" i="3"/>
  <c r="V288" i="3"/>
  <c r="U288" i="3"/>
  <c r="T288" i="3"/>
  <c r="R288" i="3"/>
  <c r="Q288" i="3"/>
  <c r="P288" i="3"/>
  <c r="O288" i="3"/>
  <c r="M288" i="3"/>
  <c r="L288" i="3"/>
  <c r="K288" i="3"/>
  <c r="J288" i="3"/>
  <c r="AV287" i="3"/>
  <c r="AU287" i="3"/>
  <c r="AT287" i="3"/>
  <c r="AS287" i="3"/>
  <c r="AQ287" i="3"/>
  <c r="AP287" i="3"/>
  <c r="AO287" i="3"/>
  <c r="AN287" i="3"/>
  <c r="AL287" i="3"/>
  <c r="AK287" i="3"/>
  <c r="AJ287" i="3"/>
  <c r="AI287" i="3"/>
  <c r="AG287" i="3"/>
  <c r="AF287" i="3"/>
  <c r="AE287" i="3"/>
  <c r="AD287" i="3"/>
  <c r="AB287" i="3"/>
  <c r="AA287" i="3"/>
  <c r="Z287" i="3"/>
  <c r="Y287" i="3"/>
  <c r="W287" i="3"/>
  <c r="V287" i="3"/>
  <c r="U287" i="3"/>
  <c r="T287" i="3"/>
  <c r="R287" i="3"/>
  <c r="Q287" i="3"/>
  <c r="P287" i="3"/>
  <c r="O287" i="3"/>
  <c r="M287" i="3"/>
  <c r="L287" i="3"/>
  <c r="K287" i="3"/>
  <c r="J287" i="3"/>
  <c r="AV286" i="3"/>
  <c r="AU286" i="3"/>
  <c r="AT286" i="3"/>
  <c r="AS286" i="3"/>
  <c r="AQ286" i="3"/>
  <c r="AP286" i="3"/>
  <c r="AO286" i="3"/>
  <c r="AN286" i="3"/>
  <c r="AL286" i="3"/>
  <c r="AK286" i="3"/>
  <c r="AJ286" i="3"/>
  <c r="AI286" i="3"/>
  <c r="AG286" i="3"/>
  <c r="AF286" i="3"/>
  <c r="AE286" i="3"/>
  <c r="AD286" i="3"/>
  <c r="AB286" i="3"/>
  <c r="AA286" i="3"/>
  <c r="Z286" i="3"/>
  <c r="Y286" i="3"/>
  <c r="W286" i="3"/>
  <c r="V286" i="3"/>
  <c r="U286" i="3"/>
  <c r="T286" i="3"/>
  <c r="R286" i="3"/>
  <c r="Q286" i="3"/>
  <c r="P286" i="3"/>
  <c r="O286" i="3"/>
  <c r="M286" i="3"/>
  <c r="L286" i="3"/>
  <c r="K286" i="3"/>
  <c r="J286" i="3"/>
  <c r="AV285" i="3"/>
  <c r="AU285" i="3"/>
  <c r="AT285" i="3"/>
  <c r="AS285" i="3"/>
  <c r="AQ285" i="3"/>
  <c r="AP285" i="3"/>
  <c r="AO285" i="3"/>
  <c r="AN285" i="3"/>
  <c r="AL285" i="3"/>
  <c r="AK285" i="3"/>
  <c r="AJ285" i="3"/>
  <c r="AI285" i="3"/>
  <c r="AG285" i="3"/>
  <c r="AF285" i="3"/>
  <c r="AE285" i="3"/>
  <c r="AD285" i="3"/>
  <c r="AB285" i="3"/>
  <c r="AA285" i="3"/>
  <c r="Z285" i="3"/>
  <c r="Y285" i="3"/>
  <c r="W285" i="3"/>
  <c r="V285" i="3"/>
  <c r="U285" i="3"/>
  <c r="T285" i="3"/>
  <c r="R285" i="3"/>
  <c r="Q285" i="3"/>
  <c r="P285" i="3"/>
  <c r="O285" i="3"/>
  <c r="M285" i="3"/>
  <c r="L285" i="3"/>
  <c r="K285" i="3"/>
  <c r="J285" i="3"/>
  <c r="AV284" i="3"/>
  <c r="AU284" i="3"/>
  <c r="AT284" i="3"/>
  <c r="AS284" i="3"/>
  <c r="AQ284" i="3"/>
  <c r="AP284" i="3"/>
  <c r="AO284" i="3"/>
  <c r="AN284" i="3"/>
  <c r="AL284" i="3"/>
  <c r="AK284" i="3"/>
  <c r="AJ284" i="3"/>
  <c r="AI284" i="3"/>
  <c r="AG284" i="3"/>
  <c r="AF284" i="3"/>
  <c r="AE284" i="3"/>
  <c r="AD284" i="3"/>
  <c r="AB284" i="3"/>
  <c r="AA284" i="3"/>
  <c r="Z284" i="3"/>
  <c r="Y284" i="3"/>
  <c r="W284" i="3"/>
  <c r="V284" i="3"/>
  <c r="U284" i="3"/>
  <c r="T284" i="3"/>
  <c r="R284" i="3"/>
  <c r="Q284" i="3"/>
  <c r="P284" i="3"/>
  <c r="O284" i="3"/>
  <c r="M284" i="3"/>
  <c r="L284" i="3"/>
  <c r="K284" i="3"/>
  <c r="J284" i="3"/>
  <c r="AV283" i="3"/>
  <c r="AU283" i="3"/>
  <c r="AT283" i="3"/>
  <c r="AS283" i="3"/>
  <c r="AQ283" i="3"/>
  <c r="AP283" i="3"/>
  <c r="AO283" i="3"/>
  <c r="AN283" i="3"/>
  <c r="AL283" i="3"/>
  <c r="AK283" i="3"/>
  <c r="AJ283" i="3"/>
  <c r="AI283" i="3"/>
  <c r="AG283" i="3"/>
  <c r="AF283" i="3"/>
  <c r="AE283" i="3"/>
  <c r="AD283" i="3"/>
  <c r="AB283" i="3"/>
  <c r="AA283" i="3"/>
  <c r="Z283" i="3"/>
  <c r="Y283" i="3"/>
  <c r="W283" i="3"/>
  <c r="V283" i="3"/>
  <c r="U283" i="3"/>
  <c r="T283" i="3"/>
  <c r="R283" i="3"/>
  <c r="Q283" i="3"/>
  <c r="P283" i="3"/>
  <c r="O283" i="3"/>
  <c r="M283" i="3"/>
  <c r="L283" i="3"/>
  <c r="K283" i="3"/>
  <c r="J283" i="3"/>
  <c r="AV282" i="3"/>
  <c r="AU282" i="3"/>
  <c r="AT282" i="3"/>
  <c r="AS282" i="3"/>
  <c r="AQ282" i="3"/>
  <c r="AP282" i="3"/>
  <c r="AO282" i="3"/>
  <c r="AN282" i="3"/>
  <c r="AL282" i="3"/>
  <c r="AK282" i="3"/>
  <c r="AJ282" i="3"/>
  <c r="AI282" i="3"/>
  <c r="AG282" i="3"/>
  <c r="AF282" i="3"/>
  <c r="AE282" i="3"/>
  <c r="AD282" i="3"/>
  <c r="AB282" i="3"/>
  <c r="AA282" i="3"/>
  <c r="Z282" i="3"/>
  <c r="Y282" i="3"/>
  <c r="W282" i="3"/>
  <c r="V282" i="3"/>
  <c r="U282" i="3"/>
  <c r="T282" i="3"/>
  <c r="R282" i="3"/>
  <c r="Q282" i="3"/>
  <c r="P282" i="3"/>
  <c r="O282" i="3"/>
  <c r="M282" i="3"/>
  <c r="L282" i="3"/>
  <c r="K282" i="3"/>
  <c r="J282" i="3"/>
  <c r="AV281" i="3"/>
  <c r="AU281" i="3"/>
  <c r="AT281" i="3"/>
  <c r="AS281" i="3"/>
  <c r="AQ281" i="3"/>
  <c r="AP281" i="3"/>
  <c r="AO281" i="3"/>
  <c r="AN281" i="3"/>
  <c r="AL281" i="3"/>
  <c r="AK281" i="3"/>
  <c r="AJ281" i="3"/>
  <c r="AI281" i="3"/>
  <c r="AG281" i="3"/>
  <c r="AF281" i="3"/>
  <c r="AE281" i="3"/>
  <c r="AD281" i="3"/>
  <c r="AB281" i="3"/>
  <c r="AA281" i="3"/>
  <c r="Z281" i="3"/>
  <c r="Y281" i="3"/>
  <c r="W281" i="3"/>
  <c r="V281" i="3"/>
  <c r="U281" i="3"/>
  <c r="T281" i="3"/>
  <c r="R281" i="3"/>
  <c r="Q281" i="3"/>
  <c r="P281" i="3"/>
  <c r="O281" i="3"/>
  <c r="M281" i="3"/>
  <c r="L281" i="3"/>
  <c r="K281" i="3"/>
  <c r="J281" i="3"/>
  <c r="AV280" i="3"/>
  <c r="AU280" i="3"/>
  <c r="AT280" i="3"/>
  <c r="AS280" i="3"/>
  <c r="AQ280" i="3"/>
  <c r="AP280" i="3"/>
  <c r="AO280" i="3"/>
  <c r="AN280" i="3"/>
  <c r="AL280" i="3"/>
  <c r="AK280" i="3"/>
  <c r="AJ280" i="3"/>
  <c r="AI280" i="3"/>
  <c r="AG280" i="3"/>
  <c r="AF280" i="3"/>
  <c r="AE280" i="3"/>
  <c r="AD280" i="3"/>
  <c r="AB280" i="3"/>
  <c r="AA280" i="3"/>
  <c r="Z280" i="3"/>
  <c r="Y280" i="3"/>
  <c r="W280" i="3"/>
  <c r="V280" i="3"/>
  <c r="U280" i="3"/>
  <c r="T280" i="3"/>
  <c r="R280" i="3"/>
  <c r="Q280" i="3"/>
  <c r="P280" i="3"/>
  <c r="O280" i="3"/>
  <c r="M280" i="3"/>
  <c r="L280" i="3"/>
  <c r="K280" i="3"/>
  <c r="J280" i="3"/>
  <c r="AV279" i="3"/>
  <c r="AU279" i="3"/>
  <c r="AT279" i="3"/>
  <c r="AS279" i="3"/>
  <c r="AQ279" i="3"/>
  <c r="AP279" i="3"/>
  <c r="AO279" i="3"/>
  <c r="AN279" i="3"/>
  <c r="AL279" i="3"/>
  <c r="AK279" i="3"/>
  <c r="AJ279" i="3"/>
  <c r="AI279" i="3"/>
  <c r="AG279" i="3"/>
  <c r="AF279" i="3"/>
  <c r="AE279" i="3"/>
  <c r="AD279" i="3"/>
  <c r="AB279" i="3"/>
  <c r="AA279" i="3"/>
  <c r="Z279" i="3"/>
  <c r="Y279" i="3"/>
  <c r="W279" i="3"/>
  <c r="V279" i="3"/>
  <c r="U279" i="3"/>
  <c r="T279" i="3"/>
  <c r="R279" i="3"/>
  <c r="Q279" i="3"/>
  <c r="P279" i="3"/>
  <c r="O279" i="3"/>
  <c r="M279" i="3"/>
  <c r="L279" i="3"/>
  <c r="K279" i="3"/>
  <c r="J279" i="3"/>
  <c r="AV278" i="3"/>
  <c r="AU278" i="3"/>
  <c r="AT278" i="3"/>
  <c r="AS278" i="3"/>
  <c r="AQ278" i="3"/>
  <c r="AP278" i="3"/>
  <c r="AO278" i="3"/>
  <c r="AN278" i="3"/>
  <c r="AL278" i="3"/>
  <c r="AK278" i="3"/>
  <c r="AJ278" i="3"/>
  <c r="AI278" i="3"/>
  <c r="AG278" i="3"/>
  <c r="AF278" i="3"/>
  <c r="AE278" i="3"/>
  <c r="AD278" i="3"/>
  <c r="AB278" i="3"/>
  <c r="AA278" i="3"/>
  <c r="Z278" i="3"/>
  <c r="Y278" i="3"/>
  <c r="W278" i="3"/>
  <c r="V278" i="3"/>
  <c r="U278" i="3"/>
  <c r="T278" i="3"/>
  <c r="R278" i="3"/>
  <c r="Q278" i="3"/>
  <c r="P278" i="3"/>
  <c r="O278" i="3"/>
  <c r="M278" i="3"/>
  <c r="L278" i="3"/>
  <c r="K278" i="3"/>
  <c r="J278" i="3"/>
  <c r="AV277" i="3"/>
  <c r="AU277" i="3"/>
  <c r="AT277" i="3"/>
  <c r="AS277" i="3"/>
  <c r="AQ277" i="3"/>
  <c r="AP277" i="3"/>
  <c r="AO277" i="3"/>
  <c r="AN277" i="3"/>
  <c r="AL277" i="3"/>
  <c r="AK277" i="3"/>
  <c r="AJ277" i="3"/>
  <c r="AI277" i="3"/>
  <c r="AG277" i="3"/>
  <c r="AF277" i="3"/>
  <c r="AE277" i="3"/>
  <c r="AD277" i="3"/>
  <c r="AB277" i="3"/>
  <c r="AA277" i="3"/>
  <c r="Z277" i="3"/>
  <c r="Y277" i="3"/>
  <c r="W277" i="3"/>
  <c r="V277" i="3"/>
  <c r="U277" i="3"/>
  <c r="T277" i="3"/>
  <c r="R277" i="3"/>
  <c r="Q277" i="3"/>
  <c r="P277" i="3"/>
  <c r="O277" i="3"/>
  <c r="M277" i="3"/>
  <c r="L277" i="3"/>
  <c r="K277" i="3"/>
  <c r="J277" i="3"/>
  <c r="AV276" i="3"/>
  <c r="AU276" i="3"/>
  <c r="AT276" i="3"/>
  <c r="AS276" i="3"/>
  <c r="AQ276" i="3"/>
  <c r="AP276" i="3"/>
  <c r="AO276" i="3"/>
  <c r="AN276" i="3"/>
  <c r="AL276" i="3"/>
  <c r="AK276" i="3"/>
  <c r="AJ276" i="3"/>
  <c r="AI276" i="3"/>
  <c r="AG276" i="3"/>
  <c r="AF276" i="3"/>
  <c r="AE276" i="3"/>
  <c r="AD276" i="3"/>
  <c r="AB276" i="3"/>
  <c r="AA276" i="3"/>
  <c r="Z276" i="3"/>
  <c r="Y276" i="3"/>
  <c r="W276" i="3"/>
  <c r="V276" i="3"/>
  <c r="U276" i="3"/>
  <c r="T276" i="3"/>
  <c r="R276" i="3"/>
  <c r="Q276" i="3"/>
  <c r="P276" i="3"/>
  <c r="O276" i="3"/>
  <c r="M276" i="3"/>
  <c r="L276" i="3"/>
  <c r="K276" i="3"/>
  <c r="J276" i="3"/>
  <c r="AV275" i="3"/>
  <c r="AU275" i="3"/>
  <c r="AT275" i="3"/>
  <c r="AS275" i="3"/>
  <c r="AQ275" i="3"/>
  <c r="AP275" i="3"/>
  <c r="AO275" i="3"/>
  <c r="AN275" i="3"/>
  <c r="AL275" i="3"/>
  <c r="AK275" i="3"/>
  <c r="AJ275" i="3"/>
  <c r="AI275" i="3"/>
  <c r="AG275" i="3"/>
  <c r="AF275" i="3"/>
  <c r="AE275" i="3"/>
  <c r="AD275" i="3"/>
  <c r="AB275" i="3"/>
  <c r="AA275" i="3"/>
  <c r="Z275" i="3"/>
  <c r="Y275" i="3"/>
  <c r="W275" i="3"/>
  <c r="V275" i="3"/>
  <c r="U275" i="3"/>
  <c r="T275" i="3"/>
  <c r="R275" i="3"/>
  <c r="Q275" i="3"/>
  <c r="P275" i="3"/>
  <c r="O275" i="3"/>
  <c r="M275" i="3"/>
  <c r="L275" i="3"/>
  <c r="K275" i="3"/>
  <c r="J275" i="3"/>
  <c r="AV274" i="3"/>
  <c r="AU274" i="3"/>
  <c r="AT274" i="3"/>
  <c r="AS274" i="3"/>
  <c r="AQ274" i="3"/>
  <c r="AP274" i="3"/>
  <c r="AO274" i="3"/>
  <c r="AN274" i="3"/>
  <c r="AL274" i="3"/>
  <c r="AK274" i="3"/>
  <c r="AJ274" i="3"/>
  <c r="AI274" i="3"/>
  <c r="AG274" i="3"/>
  <c r="AF274" i="3"/>
  <c r="AE274" i="3"/>
  <c r="AD274" i="3"/>
  <c r="AB274" i="3"/>
  <c r="AA274" i="3"/>
  <c r="Z274" i="3"/>
  <c r="Y274" i="3"/>
  <c r="W274" i="3"/>
  <c r="V274" i="3"/>
  <c r="U274" i="3"/>
  <c r="T274" i="3"/>
  <c r="R274" i="3"/>
  <c r="Q274" i="3"/>
  <c r="P274" i="3"/>
  <c r="O274" i="3"/>
  <c r="M274" i="3"/>
  <c r="L274" i="3"/>
  <c r="K274" i="3"/>
  <c r="J274" i="3"/>
  <c r="AV273" i="3"/>
  <c r="AU273" i="3"/>
  <c r="AT273" i="3"/>
  <c r="AS273" i="3"/>
  <c r="AQ273" i="3"/>
  <c r="AP273" i="3"/>
  <c r="AO273" i="3"/>
  <c r="AN273" i="3"/>
  <c r="AL273" i="3"/>
  <c r="AK273" i="3"/>
  <c r="AJ273" i="3"/>
  <c r="AI273" i="3"/>
  <c r="AG273" i="3"/>
  <c r="AF273" i="3"/>
  <c r="AE273" i="3"/>
  <c r="AD273" i="3"/>
  <c r="AB273" i="3"/>
  <c r="AA273" i="3"/>
  <c r="Z273" i="3"/>
  <c r="Y273" i="3"/>
  <c r="W273" i="3"/>
  <c r="V273" i="3"/>
  <c r="U273" i="3"/>
  <c r="T273" i="3"/>
  <c r="R273" i="3"/>
  <c r="Q273" i="3"/>
  <c r="P273" i="3"/>
  <c r="O273" i="3"/>
  <c r="M273" i="3"/>
  <c r="L273" i="3"/>
  <c r="K273" i="3"/>
  <c r="J273" i="3"/>
  <c r="AV272" i="3"/>
  <c r="AU272" i="3"/>
  <c r="AT272" i="3"/>
  <c r="AS272" i="3"/>
  <c r="AQ272" i="3"/>
  <c r="AP272" i="3"/>
  <c r="AO272" i="3"/>
  <c r="AN272" i="3"/>
  <c r="AL272" i="3"/>
  <c r="AK272" i="3"/>
  <c r="AJ272" i="3"/>
  <c r="AI272" i="3"/>
  <c r="AG272" i="3"/>
  <c r="AF272" i="3"/>
  <c r="AE272" i="3"/>
  <c r="AD272" i="3"/>
  <c r="AB272" i="3"/>
  <c r="AA272" i="3"/>
  <c r="Z272" i="3"/>
  <c r="Y272" i="3"/>
  <c r="W272" i="3"/>
  <c r="V272" i="3"/>
  <c r="U272" i="3"/>
  <c r="T272" i="3"/>
  <c r="R272" i="3"/>
  <c r="Q272" i="3"/>
  <c r="P272" i="3"/>
  <c r="O272" i="3"/>
  <c r="M272" i="3"/>
  <c r="L272" i="3"/>
  <c r="K272" i="3"/>
  <c r="J272" i="3"/>
  <c r="AV271" i="3"/>
  <c r="AU271" i="3"/>
  <c r="AT271" i="3"/>
  <c r="AS271" i="3"/>
  <c r="AQ271" i="3"/>
  <c r="AP271" i="3"/>
  <c r="AO271" i="3"/>
  <c r="AN271" i="3"/>
  <c r="AL271" i="3"/>
  <c r="AK271" i="3"/>
  <c r="AJ271" i="3"/>
  <c r="AI271" i="3"/>
  <c r="AG271" i="3"/>
  <c r="AF271" i="3"/>
  <c r="AE271" i="3"/>
  <c r="AD271" i="3"/>
  <c r="AB271" i="3"/>
  <c r="AA271" i="3"/>
  <c r="Z271" i="3"/>
  <c r="Y271" i="3"/>
  <c r="W271" i="3"/>
  <c r="V271" i="3"/>
  <c r="U271" i="3"/>
  <c r="T271" i="3"/>
  <c r="R271" i="3"/>
  <c r="Q271" i="3"/>
  <c r="P271" i="3"/>
  <c r="O271" i="3"/>
  <c r="M271" i="3"/>
  <c r="L271" i="3"/>
  <c r="K271" i="3"/>
  <c r="J271" i="3"/>
  <c r="AV270" i="3"/>
  <c r="AU270" i="3"/>
  <c r="AT270" i="3"/>
  <c r="AS270" i="3"/>
  <c r="AQ270" i="3"/>
  <c r="AP270" i="3"/>
  <c r="AO270" i="3"/>
  <c r="AN270" i="3"/>
  <c r="AL270" i="3"/>
  <c r="AK270" i="3"/>
  <c r="AJ270" i="3"/>
  <c r="AI270" i="3"/>
  <c r="AG270" i="3"/>
  <c r="AF270" i="3"/>
  <c r="AE270" i="3"/>
  <c r="AD270" i="3"/>
  <c r="AB270" i="3"/>
  <c r="AA270" i="3"/>
  <c r="Z270" i="3"/>
  <c r="Y270" i="3"/>
  <c r="W270" i="3"/>
  <c r="V270" i="3"/>
  <c r="U270" i="3"/>
  <c r="T270" i="3"/>
  <c r="R270" i="3"/>
  <c r="Q270" i="3"/>
  <c r="P270" i="3"/>
  <c r="O270" i="3"/>
  <c r="M270" i="3"/>
  <c r="L270" i="3"/>
  <c r="K270" i="3"/>
  <c r="J270" i="3"/>
  <c r="AV269" i="3"/>
  <c r="AU269" i="3"/>
  <c r="AT269" i="3"/>
  <c r="AS269" i="3"/>
  <c r="AQ269" i="3"/>
  <c r="AP269" i="3"/>
  <c r="AO269" i="3"/>
  <c r="AN269" i="3"/>
  <c r="AL269" i="3"/>
  <c r="AK269" i="3"/>
  <c r="AJ269" i="3"/>
  <c r="AI269" i="3"/>
  <c r="AG269" i="3"/>
  <c r="AF269" i="3"/>
  <c r="AE269" i="3"/>
  <c r="AD269" i="3"/>
  <c r="AB269" i="3"/>
  <c r="AA269" i="3"/>
  <c r="Z269" i="3"/>
  <c r="Y269" i="3"/>
  <c r="W269" i="3"/>
  <c r="V269" i="3"/>
  <c r="U269" i="3"/>
  <c r="T269" i="3"/>
  <c r="R269" i="3"/>
  <c r="Q269" i="3"/>
  <c r="P269" i="3"/>
  <c r="O269" i="3"/>
  <c r="M269" i="3"/>
  <c r="L269" i="3"/>
  <c r="K269" i="3"/>
  <c r="J269" i="3"/>
  <c r="AV268" i="3"/>
  <c r="AU268" i="3"/>
  <c r="AT268" i="3"/>
  <c r="AS268" i="3"/>
  <c r="AQ268" i="3"/>
  <c r="AP268" i="3"/>
  <c r="AO268" i="3"/>
  <c r="AN268" i="3"/>
  <c r="AL268" i="3"/>
  <c r="AK268" i="3"/>
  <c r="AJ268" i="3"/>
  <c r="AI268" i="3"/>
  <c r="AG268" i="3"/>
  <c r="AF268" i="3"/>
  <c r="AE268" i="3"/>
  <c r="AD268" i="3"/>
  <c r="AB268" i="3"/>
  <c r="AA268" i="3"/>
  <c r="Z268" i="3"/>
  <c r="Y268" i="3"/>
  <c r="W268" i="3"/>
  <c r="V268" i="3"/>
  <c r="U268" i="3"/>
  <c r="T268" i="3"/>
  <c r="R268" i="3"/>
  <c r="Q268" i="3"/>
  <c r="P268" i="3"/>
  <c r="O268" i="3"/>
  <c r="M268" i="3"/>
  <c r="L268" i="3"/>
  <c r="K268" i="3"/>
  <c r="J268" i="3"/>
  <c r="AV267" i="3"/>
  <c r="AU267" i="3"/>
  <c r="AT267" i="3"/>
  <c r="AS267" i="3"/>
  <c r="AQ267" i="3"/>
  <c r="AP267" i="3"/>
  <c r="AO267" i="3"/>
  <c r="AN267" i="3"/>
  <c r="AL267" i="3"/>
  <c r="AK267" i="3"/>
  <c r="AJ267" i="3"/>
  <c r="AI267" i="3"/>
  <c r="AG267" i="3"/>
  <c r="AF267" i="3"/>
  <c r="AE267" i="3"/>
  <c r="AD267" i="3"/>
  <c r="AB267" i="3"/>
  <c r="AA267" i="3"/>
  <c r="Z267" i="3"/>
  <c r="Y267" i="3"/>
  <c r="W267" i="3"/>
  <c r="V267" i="3"/>
  <c r="U267" i="3"/>
  <c r="T267" i="3"/>
  <c r="R267" i="3"/>
  <c r="Q267" i="3"/>
  <c r="P267" i="3"/>
  <c r="O267" i="3"/>
  <c r="M267" i="3"/>
  <c r="L267" i="3"/>
  <c r="K267" i="3"/>
  <c r="J267" i="3"/>
  <c r="AV266" i="3"/>
  <c r="AU266" i="3"/>
  <c r="AT266" i="3"/>
  <c r="AS266" i="3"/>
  <c r="AQ266" i="3"/>
  <c r="AP266" i="3"/>
  <c r="AO266" i="3"/>
  <c r="AN266" i="3"/>
  <c r="AL266" i="3"/>
  <c r="AK266" i="3"/>
  <c r="AJ266" i="3"/>
  <c r="AI266" i="3"/>
  <c r="AG266" i="3"/>
  <c r="AF266" i="3"/>
  <c r="AE266" i="3"/>
  <c r="AD266" i="3"/>
  <c r="AB266" i="3"/>
  <c r="AA266" i="3"/>
  <c r="Z266" i="3"/>
  <c r="Y266" i="3"/>
  <c r="W266" i="3"/>
  <c r="V266" i="3"/>
  <c r="U266" i="3"/>
  <c r="T266" i="3"/>
  <c r="R266" i="3"/>
  <c r="Q266" i="3"/>
  <c r="P266" i="3"/>
  <c r="O266" i="3"/>
  <c r="M266" i="3"/>
  <c r="L266" i="3"/>
  <c r="K266" i="3"/>
  <c r="J266" i="3"/>
  <c r="AV265" i="3"/>
  <c r="AU265" i="3"/>
  <c r="AT265" i="3"/>
  <c r="AS265" i="3"/>
  <c r="AQ265" i="3"/>
  <c r="AP265" i="3"/>
  <c r="AO265" i="3"/>
  <c r="AN265" i="3"/>
  <c r="AL265" i="3"/>
  <c r="AK265" i="3"/>
  <c r="AJ265" i="3"/>
  <c r="AI265" i="3"/>
  <c r="AG265" i="3"/>
  <c r="AF265" i="3"/>
  <c r="AE265" i="3"/>
  <c r="AD265" i="3"/>
  <c r="AB265" i="3"/>
  <c r="AA265" i="3"/>
  <c r="Z265" i="3"/>
  <c r="Y265" i="3"/>
  <c r="W265" i="3"/>
  <c r="V265" i="3"/>
  <c r="U265" i="3"/>
  <c r="T265" i="3"/>
  <c r="R265" i="3"/>
  <c r="Q265" i="3"/>
  <c r="P265" i="3"/>
  <c r="O265" i="3"/>
  <c r="M265" i="3"/>
  <c r="L265" i="3"/>
  <c r="K265" i="3"/>
  <c r="J265" i="3"/>
  <c r="AV264" i="3"/>
  <c r="AU264" i="3"/>
  <c r="AT264" i="3"/>
  <c r="AS264" i="3"/>
  <c r="AQ264" i="3"/>
  <c r="AP264" i="3"/>
  <c r="AO264" i="3"/>
  <c r="AN264" i="3"/>
  <c r="AL264" i="3"/>
  <c r="AK264" i="3"/>
  <c r="AJ264" i="3"/>
  <c r="AI264" i="3"/>
  <c r="AG264" i="3"/>
  <c r="AF264" i="3"/>
  <c r="AE264" i="3"/>
  <c r="AD264" i="3"/>
  <c r="AB264" i="3"/>
  <c r="AA264" i="3"/>
  <c r="Z264" i="3"/>
  <c r="Y264" i="3"/>
  <c r="W264" i="3"/>
  <c r="V264" i="3"/>
  <c r="U264" i="3"/>
  <c r="T264" i="3"/>
  <c r="R264" i="3"/>
  <c r="Q264" i="3"/>
  <c r="P264" i="3"/>
  <c r="O264" i="3"/>
  <c r="M264" i="3"/>
  <c r="L264" i="3"/>
  <c r="K264" i="3"/>
  <c r="J264" i="3"/>
  <c r="AV263" i="3"/>
  <c r="AU263" i="3"/>
  <c r="AT263" i="3"/>
  <c r="AS263" i="3"/>
  <c r="AQ263" i="3"/>
  <c r="AP263" i="3"/>
  <c r="AO263" i="3"/>
  <c r="AN263" i="3"/>
  <c r="AL263" i="3"/>
  <c r="AK263" i="3"/>
  <c r="AJ263" i="3"/>
  <c r="AI263" i="3"/>
  <c r="AG263" i="3"/>
  <c r="AF263" i="3"/>
  <c r="AE263" i="3"/>
  <c r="AD263" i="3"/>
  <c r="AB263" i="3"/>
  <c r="AA263" i="3"/>
  <c r="Z263" i="3"/>
  <c r="Y263" i="3"/>
  <c r="W263" i="3"/>
  <c r="V263" i="3"/>
  <c r="U263" i="3"/>
  <c r="T263" i="3"/>
  <c r="R263" i="3"/>
  <c r="Q263" i="3"/>
  <c r="P263" i="3"/>
  <c r="O263" i="3"/>
  <c r="M263" i="3"/>
  <c r="L263" i="3"/>
  <c r="K263" i="3"/>
  <c r="J263" i="3"/>
  <c r="AV262" i="3"/>
  <c r="AU262" i="3"/>
  <c r="AT262" i="3"/>
  <c r="AS262" i="3"/>
  <c r="AQ262" i="3"/>
  <c r="AP262" i="3"/>
  <c r="AO262" i="3"/>
  <c r="AN262" i="3"/>
  <c r="AL262" i="3"/>
  <c r="AK262" i="3"/>
  <c r="AJ262" i="3"/>
  <c r="AI262" i="3"/>
  <c r="AG262" i="3"/>
  <c r="AF262" i="3"/>
  <c r="AE262" i="3"/>
  <c r="AD262" i="3"/>
  <c r="AB262" i="3"/>
  <c r="AA262" i="3"/>
  <c r="Z262" i="3"/>
  <c r="Y262" i="3"/>
  <c r="W262" i="3"/>
  <c r="V262" i="3"/>
  <c r="U262" i="3"/>
  <c r="T262" i="3"/>
  <c r="R262" i="3"/>
  <c r="Q262" i="3"/>
  <c r="P262" i="3"/>
  <c r="O262" i="3"/>
  <c r="M262" i="3"/>
  <c r="L262" i="3"/>
  <c r="K262" i="3"/>
  <c r="J262" i="3"/>
  <c r="AV261" i="3"/>
  <c r="AU261" i="3"/>
  <c r="AT261" i="3"/>
  <c r="AS261" i="3"/>
  <c r="AQ261" i="3"/>
  <c r="AP261" i="3"/>
  <c r="AO261" i="3"/>
  <c r="AN261" i="3"/>
  <c r="AL261" i="3"/>
  <c r="AK261" i="3"/>
  <c r="AJ261" i="3"/>
  <c r="AI261" i="3"/>
  <c r="AG261" i="3"/>
  <c r="AF261" i="3"/>
  <c r="AE261" i="3"/>
  <c r="AD261" i="3"/>
  <c r="AB261" i="3"/>
  <c r="AA261" i="3"/>
  <c r="Z261" i="3"/>
  <c r="Y261" i="3"/>
  <c r="W261" i="3"/>
  <c r="V261" i="3"/>
  <c r="U261" i="3"/>
  <c r="T261" i="3"/>
  <c r="R261" i="3"/>
  <c r="Q261" i="3"/>
  <c r="P261" i="3"/>
  <c r="O261" i="3"/>
  <c r="M261" i="3"/>
  <c r="L261" i="3"/>
  <c r="K261" i="3"/>
  <c r="J261" i="3"/>
  <c r="AV260" i="3"/>
  <c r="AU260" i="3"/>
  <c r="AT260" i="3"/>
  <c r="AS260" i="3"/>
  <c r="AQ260" i="3"/>
  <c r="AP260" i="3"/>
  <c r="AO260" i="3"/>
  <c r="AN260" i="3"/>
  <c r="AL260" i="3"/>
  <c r="AK260" i="3"/>
  <c r="AJ260" i="3"/>
  <c r="AI260" i="3"/>
  <c r="AG260" i="3"/>
  <c r="AF260" i="3"/>
  <c r="AE260" i="3"/>
  <c r="AD260" i="3"/>
  <c r="AB260" i="3"/>
  <c r="AA260" i="3"/>
  <c r="Z260" i="3"/>
  <c r="Y260" i="3"/>
  <c r="W260" i="3"/>
  <c r="V260" i="3"/>
  <c r="U260" i="3"/>
  <c r="T260" i="3"/>
  <c r="R260" i="3"/>
  <c r="Q260" i="3"/>
  <c r="P260" i="3"/>
  <c r="O260" i="3"/>
  <c r="M260" i="3"/>
  <c r="L260" i="3"/>
  <c r="K260" i="3"/>
  <c r="J260" i="3"/>
  <c r="AV259" i="3"/>
  <c r="AU259" i="3"/>
  <c r="AT259" i="3"/>
  <c r="AS259" i="3"/>
  <c r="AQ259" i="3"/>
  <c r="AP259" i="3"/>
  <c r="AO259" i="3"/>
  <c r="AN259" i="3"/>
  <c r="AL259" i="3"/>
  <c r="AK259" i="3"/>
  <c r="AJ259" i="3"/>
  <c r="AI259" i="3"/>
  <c r="AG259" i="3"/>
  <c r="AF259" i="3"/>
  <c r="AE259" i="3"/>
  <c r="AD259" i="3"/>
  <c r="AB259" i="3"/>
  <c r="AA259" i="3"/>
  <c r="Z259" i="3"/>
  <c r="Y259" i="3"/>
  <c r="W259" i="3"/>
  <c r="V259" i="3"/>
  <c r="U259" i="3"/>
  <c r="T259" i="3"/>
  <c r="R259" i="3"/>
  <c r="Q259" i="3"/>
  <c r="P259" i="3"/>
  <c r="O259" i="3"/>
  <c r="M259" i="3"/>
  <c r="L259" i="3"/>
  <c r="K259" i="3"/>
  <c r="J259" i="3"/>
  <c r="AV258" i="3"/>
  <c r="AU258" i="3"/>
  <c r="AT258" i="3"/>
  <c r="AS258" i="3"/>
  <c r="AQ258" i="3"/>
  <c r="AP258" i="3"/>
  <c r="AO258" i="3"/>
  <c r="AN258" i="3"/>
  <c r="AL258" i="3"/>
  <c r="AK258" i="3"/>
  <c r="AJ258" i="3"/>
  <c r="AI258" i="3"/>
  <c r="AG258" i="3"/>
  <c r="AF258" i="3"/>
  <c r="AE258" i="3"/>
  <c r="AD258" i="3"/>
  <c r="AB258" i="3"/>
  <c r="AA258" i="3"/>
  <c r="Z258" i="3"/>
  <c r="Y258" i="3"/>
  <c r="W258" i="3"/>
  <c r="V258" i="3"/>
  <c r="U258" i="3"/>
  <c r="T258" i="3"/>
  <c r="R258" i="3"/>
  <c r="Q258" i="3"/>
  <c r="P258" i="3"/>
  <c r="O258" i="3"/>
  <c r="M258" i="3"/>
  <c r="L258" i="3"/>
  <c r="K258" i="3"/>
  <c r="J258" i="3"/>
  <c r="AV257" i="3"/>
  <c r="AU257" i="3"/>
  <c r="AT257" i="3"/>
  <c r="AS257" i="3"/>
  <c r="AQ257" i="3"/>
  <c r="AP257" i="3"/>
  <c r="AO257" i="3"/>
  <c r="AN257" i="3"/>
  <c r="AL257" i="3"/>
  <c r="AK257" i="3"/>
  <c r="AJ257" i="3"/>
  <c r="AI257" i="3"/>
  <c r="AG257" i="3"/>
  <c r="AF257" i="3"/>
  <c r="AE257" i="3"/>
  <c r="AD257" i="3"/>
  <c r="AB257" i="3"/>
  <c r="AA257" i="3"/>
  <c r="Z257" i="3"/>
  <c r="Y257" i="3"/>
  <c r="W257" i="3"/>
  <c r="V257" i="3"/>
  <c r="U257" i="3"/>
  <c r="T257" i="3"/>
  <c r="R257" i="3"/>
  <c r="Q257" i="3"/>
  <c r="P257" i="3"/>
  <c r="O257" i="3"/>
  <c r="M257" i="3"/>
  <c r="L257" i="3"/>
  <c r="K257" i="3"/>
  <c r="J257" i="3"/>
  <c r="AV256" i="3"/>
  <c r="AU256" i="3"/>
  <c r="AT256" i="3"/>
  <c r="AS256" i="3"/>
  <c r="AQ256" i="3"/>
  <c r="AP256" i="3"/>
  <c r="AO256" i="3"/>
  <c r="AN256" i="3"/>
  <c r="AL256" i="3"/>
  <c r="AK256" i="3"/>
  <c r="AJ256" i="3"/>
  <c r="AI256" i="3"/>
  <c r="AG256" i="3"/>
  <c r="AF256" i="3"/>
  <c r="AE256" i="3"/>
  <c r="AD256" i="3"/>
  <c r="AB256" i="3"/>
  <c r="AA256" i="3"/>
  <c r="Z256" i="3"/>
  <c r="Y256" i="3"/>
  <c r="W256" i="3"/>
  <c r="V256" i="3"/>
  <c r="U256" i="3"/>
  <c r="T256" i="3"/>
  <c r="R256" i="3"/>
  <c r="Q256" i="3"/>
  <c r="P256" i="3"/>
  <c r="O256" i="3"/>
  <c r="M256" i="3"/>
  <c r="L256" i="3"/>
  <c r="K256" i="3"/>
  <c r="J256" i="3"/>
  <c r="AV255" i="3"/>
  <c r="AU255" i="3"/>
  <c r="AT255" i="3"/>
  <c r="AS255" i="3"/>
  <c r="AQ255" i="3"/>
  <c r="AP255" i="3"/>
  <c r="AO255" i="3"/>
  <c r="AN255" i="3"/>
  <c r="AL255" i="3"/>
  <c r="AK255" i="3"/>
  <c r="AJ255" i="3"/>
  <c r="AI255" i="3"/>
  <c r="AG255" i="3"/>
  <c r="AF255" i="3"/>
  <c r="AE255" i="3"/>
  <c r="AD255" i="3"/>
  <c r="AB255" i="3"/>
  <c r="AA255" i="3"/>
  <c r="Z255" i="3"/>
  <c r="Y255" i="3"/>
  <c r="W255" i="3"/>
  <c r="V255" i="3"/>
  <c r="U255" i="3"/>
  <c r="T255" i="3"/>
  <c r="R255" i="3"/>
  <c r="Q255" i="3"/>
  <c r="P255" i="3"/>
  <c r="O255" i="3"/>
  <c r="M255" i="3"/>
  <c r="L255" i="3"/>
  <c r="K255" i="3"/>
  <c r="J255" i="3"/>
  <c r="AV254" i="3"/>
  <c r="AU254" i="3"/>
  <c r="AT254" i="3"/>
  <c r="AS254" i="3"/>
  <c r="AQ254" i="3"/>
  <c r="AP254" i="3"/>
  <c r="AO254" i="3"/>
  <c r="AN254" i="3"/>
  <c r="AL254" i="3"/>
  <c r="AK254" i="3"/>
  <c r="AJ254" i="3"/>
  <c r="AI254" i="3"/>
  <c r="AG254" i="3"/>
  <c r="AF254" i="3"/>
  <c r="AE254" i="3"/>
  <c r="AD254" i="3"/>
  <c r="AB254" i="3"/>
  <c r="AA254" i="3"/>
  <c r="Z254" i="3"/>
  <c r="Y254" i="3"/>
  <c r="W254" i="3"/>
  <c r="V254" i="3"/>
  <c r="U254" i="3"/>
  <c r="T254" i="3"/>
  <c r="R254" i="3"/>
  <c r="Q254" i="3"/>
  <c r="P254" i="3"/>
  <c r="O254" i="3"/>
  <c r="M254" i="3"/>
  <c r="L254" i="3"/>
  <c r="K254" i="3"/>
  <c r="J254" i="3"/>
  <c r="AV253" i="3"/>
  <c r="AU253" i="3"/>
  <c r="AT253" i="3"/>
  <c r="AS253" i="3"/>
  <c r="AQ253" i="3"/>
  <c r="AP253" i="3"/>
  <c r="AO253" i="3"/>
  <c r="AN253" i="3"/>
  <c r="AL253" i="3"/>
  <c r="AK253" i="3"/>
  <c r="AJ253" i="3"/>
  <c r="AI253" i="3"/>
  <c r="AG253" i="3"/>
  <c r="AF253" i="3"/>
  <c r="AE253" i="3"/>
  <c r="AD253" i="3"/>
  <c r="AB253" i="3"/>
  <c r="AA253" i="3"/>
  <c r="Z253" i="3"/>
  <c r="Y253" i="3"/>
  <c r="W253" i="3"/>
  <c r="V253" i="3"/>
  <c r="U253" i="3"/>
  <c r="T253" i="3"/>
  <c r="R253" i="3"/>
  <c r="Q253" i="3"/>
  <c r="P253" i="3"/>
  <c r="O253" i="3"/>
  <c r="M253" i="3"/>
  <c r="L253" i="3"/>
  <c r="K253" i="3"/>
  <c r="J253" i="3"/>
  <c r="AV252" i="3"/>
  <c r="AU252" i="3"/>
  <c r="AT252" i="3"/>
  <c r="AS252" i="3"/>
  <c r="AQ252" i="3"/>
  <c r="AP252" i="3"/>
  <c r="AO252" i="3"/>
  <c r="AN252" i="3"/>
  <c r="AL252" i="3"/>
  <c r="AK252" i="3"/>
  <c r="AJ252" i="3"/>
  <c r="AI252" i="3"/>
  <c r="AG252" i="3"/>
  <c r="AF252" i="3"/>
  <c r="AE252" i="3"/>
  <c r="AD252" i="3"/>
  <c r="AB252" i="3"/>
  <c r="AA252" i="3"/>
  <c r="Z252" i="3"/>
  <c r="Y252" i="3"/>
  <c r="W252" i="3"/>
  <c r="V252" i="3"/>
  <c r="U252" i="3"/>
  <c r="T252" i="3"/>
  <c r="R252" i="3"/>
  <c r="Q252" i="3"/>
  <c r="P252" i="3"/>
  <c r="O252" i="3"/>
  <c r="M252" i="3"/>
  <c r="L252" i="3"/>
  <c r="K252" i="3"/>
  <c r="J252" i="3"/>
  <c r="AV251" i="3"/>
  <c r="AU251" i="3"/>
  <c r="AT251" i="3"/>
  <c r="AS251" i="3"/>
  <c r="AQ251" i="3"/>
  <c r="AP251" i="3"/>
  <c r="AO251" i="3"/>
  <c r="AN251" i="3"/>
  <c r="AL251" i="3"/>
  <c r="AK251" i="3"/>
  <c r="AJ251" i="3"/>
  <c r="AI251" i="3"/>
  <c r="AG251" i="3"/>
  <c r="AF251" i="3"/>
  <c r="AE251" i="3"/>
  <c r="AD251" i="3"/>
  <c r="AB251" i="3"/>
  <c r="AA251" i="3"/>
  <c r="Z251" i="3"/>
  <c r="Y251" i="3"/>
  <c r="W251" i="3"/>
  <c r="V251" i="3"/>
  <c r="U251" i="3"/>
  <c r="T251" i="3"/>
  <c r="R251" i="3"/>
  <c r="Q251" i="3"/>
  <c r="P251" i="3"/>
  <c r="O251" i="3"/>
  <c r="M251" i="3"/>
  <c r="L251" i="3"/>
  <c r="K251" i="3"/>
  <c r="J251" i="3"/>
  <c r="AV250" i="3"/>
  <c r="AU250" i="3"/>
  <c r="AT250" i="3"/>
  <c r="AS250" i="3"/>
  <c r="AQ250" i="3"/>
  <c r="AP250" i="3"/>
  <c r="AO250" i="3"/>
  <c r="AN250" i="3"/>
  <c r="AL250" i="3"/>
  <c r="AK250" i="3"/>
  <c r="AJ250" i="3"/>
  <c r="AI250" i="3"/>
  <c r="AG250" i="3"/>
  <c r="AF250" i="3"/>
  <c r="AE250" i="3"/>
  <c r="AD250" i="3"/>
  <c r="AB250" i="3"/>
  <c r="AA250" i="3"/>
  <c r="Z250" i="3"/>
  <c r="Y250" i="3"/>
  <c r="W250" i="3"/>
  <c r="V250" i="3"/>
  <c r="U250" i="3"/>
  <c r="T250" i="3"/>
  <c r="R250" i="3"/>
  <c r="Q250" i="3"/>
  <c r="P250" i="3"/>
  <c r="O250" i="3"/>
  <c r="M250" i="3"/>
  <c r="L250" i="3"/>
  <c r="K250" i="3"/>
  <c r="J250" i="3"/>
  <c r="AV249" i="3"/>
  <c r="AU249" i="3"/>
  <c r="AT249" i="3"/>
  <c r="AS249" i="3"/>
  <c r="AQ249" i="3"/>
  <c r="AP249" i="3"/>
  <c r="AO249" i="3"/>
  <c r="AN249" i="3"/>
  <c r="AL249" i="3"/>
  <c r="AK249" i="3"/>
  <c r="AJ249" i="3"/>
  <c r="AI249" i="3"/>
  <c r="AG249" i="3"/>
  <c r="AF249" i="3"/>
  <c r="AE249" i="3"/>
  <c r="AD249" i="3"/>
  <c r="AB249" i="3"/>
  <c r="AA249" i="3"/>
  <c r="Z249" i="3"/>
  <c r="Y249" i="3"/>
  <c r="W249" i="3"/>
  <c r="V249" i="3"/>
  <c r="U249" i="3"/>
  <c r="T249" i="3"/>
  <c r="R249" i="3"/>
  <c r="Q249" i="3"/>
  <c r="P249" i="3"/>
  <c r="O249" i="3"/>
  <c r="M249" i="3"/>
  <c r="L249" i="3"/>
  <c r="K249" i="3"/>
  <c r="J249" i="3"/>
  <c r="AV248" i="3"/>
  <c r="AU248" i="3"/>
  <c r="AT248" i="3"/>
  <c r="AS248" i="3"/>
  <c r="AQ248" i="3"/>
  <c r="AP248" i="3"/>
  <c r="AO248" i="3"/>
  <c r="AN248" i="3"/>
  <c r="AL248" i="3"/>
  <c r="AK248" i="3"/>
  <c r="AJ248" i="3"/>
  <c r="AI248" i="3"/>
  <c r="AG248" i="3"/>
  <c r="AF248" i="3"/>
  <c r="AE248" i="3"/>
  <c r="AD248" i="3"/>
  <c r="AB248" i="3"/>
  <c r="AA248" i="3"/>
  <c r="Z248" i="3"/>
  <c r="Y248" i="3"/>
  <c r="W248" i="3"/>
  <c r="V248" i="3"/>
  <c r="U248" i="3"/>
  <c r="T248" i="3"/>
  <c r="R248" i="3"/>
  <c r="Q248" i="3"/>
  <c r="P248" i="3"/>
  <c r="O248" i="3"/>
  <c r="M248" i="3"/>
  <c r="L248" i="3"/>
  <c r="K248" i="3"/>
  <c r="J248" i="3"/>
  <c r="AV247" i="3"/>
  <c r="AU247" i="3"/>
  <c r="AT247" i="3"/>
  <c r="AS247" i="3"/>
  <c r="AQ247" i="3"/>
  <c r="AP247" i="3"/>
  <c r="AO247" i="3"/>
  <c r="AN247" i="3"/>
  <c r="AL247" i="3"/>
  <c r="AK247" i="3"/>
  <c r="AJ247" i="3"/>
  <c r="AI247" i="3"/>
  <c r="AG247" i="3"/>
  <c r="AF247" i="3"/>
  <c r="AE247" i="3"/>
  <c r="AD247" i="3"/>
  <c r="AB247" i="3"/>
  <c r="AA247" i="3"/>
  <c r="Z247" i="3"/>
  <c r="Y247" i="3"/>
  <c r="W247" i="3"/>
  <c r="V247" i="3"/>
  <c r="U247" i="3"/>
  <c r="T247" i="3"/>
  <c r="R247" i="3"/>
  <c r="Q247" i="3"/>
  <c r="P247" i="3"/>
  <c r="O247" i="3"/>
  <c r="M247" i="3"/>
  <c r="L247" i="3"/>
  <c r="K247" i="3"/>
  <c r="J247" i="3"/>
  <c r="AV246" i="3"/>
  <c r="AU246" i="3"/>
  <c r="AT246" i="3"/>
  <c r="AS246" i="3"/>
  <c r="AQ246" i="3"/>
  <c r="AP246" i="3"/>
  <c r="AO246" i="3"/>
  <c r="AN246" i="3"/>
  <c r="AL246" i="3"/>
  <c r="AK246" i="3"/>
  <c r="AJ246" i="3"/>
  <c r="AI246" i="3"/>
  <c r="AG246" i="3"/>
  <c r="AF246" i="3"/>
  <c r="AE246" i="3"/>
  <c r="AD246" i="3"/>
  <c r="AB246" i="3"/>
  <c r="AA246" i="3"/>
  <c r="Z246" i="3"/>
  <c r="Y246" i="3"/>
  <c r="W246" i="3"/>
  <c r="V246" i="3"/>
  <c r="U246" i="3"/>
  <c r="T246" i="3"/>
  <c r="R246" i="3"/>
  <c r="Q246" i="3"/>
  <c r="P246" i="3"/>
  <c r="O246" i="3"/>
  <c r="M246" i="3"/>
  <c r="L246" i="3"/>
  <c r="K246" i="3"/>
  <c r="J246" i="3"/>
  <c r="AV245" i="3"/>
  <c r="AU245" i="3"/>
  <c r="AT245" i="3"/>
  <c r="AS245" i="3"/>
  <c r="AQ245" i="3"/>
  <c r="AP245" i="3"/>
  <c r="AO245" i="3"/>
  <c r="AN245" i="3"/>
  <c r="AL245" i="3"/>
  <c r="AK245" i="3"/>
  <c r="AJ245" i="3"/>
  <c r="AI245" i="3"/>
  <c r="AG245" i="3"/>
  <c r="AF245" i="3"/>
  <c r="AE245" i="3"/>
  <c r="AD245" i="3"/>
  <c r="AB245" i="3"/>
  <c r="AA245" i="3"/>
  <c r="Z245" i="3"/>
  <c r="Y245" i="3"/>
  <c r="W245" i="3"/>
  <c r="V245" i="3"/>
  <c r="U245" i="3"/>
  <c r="T245" i="3"/>
  <c r="R245" i="3"/>
  <c r="Q245" i="3"/>
  <c r="P245" i="3"/>
  <c r="O245" i="3"/>
  <c r="M245" i="3"/>
  <c r="L245" i="3"/>
  <c r="K245" i="3"/>
  <c r="J245" i="3"/>
  <c r="AV244" i="3"/>
  <c r="AU244" i="3"/>
  <c r="AT244" i="3"/>
  <c r="AS244" i="3"/>
  <c r="AQ244" i="3"/>
  <c r="AP244" i="3"/>
  <c r="AO244" i="3"/>
  <c r="AN244" i="3"/>
  <c r="AL244" i="3"/>
  <c r="AK244" i="3"/>
  <c r="AJ244" i="3"/>
  <c r="AI244" i="3"/>
  <c r="AG244" i="3"/>
  <c r="AF244" i="3"/>
  <c r="AE244" i="3"/>
  <c r="AD244" i="3"/>
  <c r="AB244" i="3"/>
  <c r="AA244" i="3"/>
  <c r="Z244" i="3"/>
  <c r="Y244" i="3"/>
  <c r="W244" i="3"/>
  <c r="V244" i="3"/>
  <c r="U244" i="3"/>
  <c r="T244" i="3"/>
  <c r="R244" i="3"/>
  <c r="Q244" i="3"/>
  <c r="P244" i="3"/>
  <c r="O244" i="3"/>
  <c r="M244" i="3"/>
  <c r="L244" i="3"/>
  <c r="K244" i="3"/>
  <c r="J244" i="3"/>
  <c r="AV243" i="3"/>
  <c r="AU243" i="3"/>
  <c r="AT243" i="3"/>
  <c r="AS243" i="3"/>
  <c r="AQ243" i="3"/>
  <c r="AP243" i="3"/>
  <c r="AO243" i="3"/>
  <c r="AN243" i="3"/>
  <c r="AL243" i="3"/>
  <c r="AK243" i="3"/>
  <c r="AJ243" i="3"/>
  <c r="AI243" i="3"/>
  <c r="AG243" i="3"/>
  <c r="AF243" i="3"/>
  <c r="AE243" i="3"/>
  <c r="AD243" i="3"/>
  <c r="AB243" i="3"/>
  <c r="AA243" i="3"/>
  <c r="Z243" i="3"/>
  <c r="Y243" i="3"/>
  <c r="W243" i="3"/>
  <c r="V243" i="3"/>
  <c r="U243" i="3"/>
  <c r="T243" i="3"/>
  <c r="R243" i="3"/>
  <c r="Q243" i="3"/>
  <c r="P243" i="3"/>
  <c r="O243" i="3"/>
  <c r="M243" i="3"/>
  <c r="L243" i="3"/>
  <c r="K243" i="3"/>
  <c r="J243" i="3"/>
  <c r="AV242" i="3"/>
  <c r="AU242" i="3"/>
  <c r="AT242" i="3"/>
  <c r="AS242" i="3"/>
  <c r="AQ242" i="3"/>
  <c r="AP242" i="3"/>
  <c r="AO242" i="3"/>
  <c r="AN242" i="3"/>
  <c r="AL242" i="3"/>
  <c r="AK242" i="3"/>
  <c r="AJ242" i="3"/>
  <c r="AI242" i="3"/>
  <c r="AG242" i="3"/>
  <c r="AF242" i="3"/>
  <c r="AE242" i="3"/>
  <c r="AD242" i="3"/>
  <c r="AB242" i="3"/>
  <c r="AA242" i="3"/>
  <c r="Z242" i="3"/>
  <c r="Y242" i="3"/>
  <c r="W242" i="3"/>
  <c r="V242" i="3"/>
  <c r="U242" i="3"/>
  <c r="T242" i="3"/>
  <c r="R242" i="3"/>
  <c r="Q242" i="3"/>
  <c r="P242" i="3"/>
  <c r="O242" i="3"/>
  <c r="M242" i="3"/>
  <c r="L242" i="3"/>
  <c r="K242" i="3"/>
  <c r="J242" i="3"/>
  <c r="AV241" i="3"/>
  <c r="AU241" i="3"/>
  <c r="AT241" i="3"/>
  <c r="AS241" i="3"/>
  <c r="AQ241" i="3"/>
  <c r="AP241" i="3"/>
  <c r="AO241" i="3"/>
  <c r="AN241" i="3"/>
  <c r="AL241" i="3"/>
  <c r="AK241" i="3"/>
  <c r="AJ241" i="3"/>
  <c r="AI241" i="3"/>
  <c r="AG241" i="3"/>
  <c r="AF241" i="3"/>
  <c r="AE241" i="3"/>
  <c r="AD241" i="3"/>
  <c r="AB241" i="3"/>
  <c r="AA241" i="3"/>
  <c r="Z241" i="3"/>
  <c r="Y241" i="3"/>
  <c r="W241" i="3"/>
  <c r="V241" i="3"/>
  <c r="U241" i="3"/>
  <c r="T241" i="3"/>
  <c r="R241" i="3"/>
  <c r="Q241" i="3"/>
  <c r="P241" i="3"/>
  <c r="O241" i="3"/>
  <c r="M241" i="3"/>
  <c r="L241" i="3"/>
  <c r="K241" i="3"/>
  <c r="J241" i="3"/>
  <c r="AV240" i="3"/>
  <c r="AU240" i="3"/>
  <c r="AT240" i="3"/>
  <c r="AS240" i="3"/>
  <c r="AQ240" i="3"/>
  <c r="AP240" i="3"/>
  <c r="AO240" i="3"/>
  <c r="AN240" i="3"/>
  <c r="AL240" i="3"/>
  <c r="AK240" i="3"/>
  <c r="AJ240" i="3"/>
  <c r="AI240" i="3"/>
  <c r="AG240" i="3"/>
  <c r="AF240" i="3"/>
  <c r="AE240" i="3"/>
  <c r="AD240" i="3"/>
  <c r="AB240" i="3"/>
  <c r="AA240" i="3"/>
  <c r="Z240" i="3"/>
  <c r="Y240" i="3"/>
  <c r="W240" i="3"/>
  <c r="V240" i="3"/>
  <c r="U240" i="3"/>
  <c r="T240" i="3"/>
  <c r="R240" i="3"/>
  <c r="Q240" i="3"/>
  <c r="P240" i="3"/>
  <c r="O240" i="3"/>
  <c r="M240" i="3"/>
  <c r="L240" i="3"/>
  <c r="K240" i="3"/>
  <c r="J240" i="3"/>
  <c r="AV239" i="3"/>
  <c r="AU239" i="3"/>
  <c r="AT239" i="3"/>
  <c r="AS239" i="3"/>
  <c r="AQ239" i="3"/>
  <c r="AP239" i="3"/>
  <c r="AO239" i="3"/>
  <c r="AN239" i="3"/>
  <c r="AL239" i="3"/>
  <c r="AK239" i="3"/>
  <c r="AJ239" i="3"/>
  <c r="AI239" i="3"/>
  <c r="AG239" i="3"/>
  <c r="AF239" i="3"/>
  <c r="AE239" i="3"/>
  <c r="AD239" i="3"/>
  <c r="AB239" i="3"/>
  <c r="AA239" i="3"/>
  <c r="Z239" i="3"/>
  <c r="Y239" i="3"/>
  <c r="W239" i="3"/>
  <c r="V239" i="3"/>
  <c r="U239" i="3"/>
  <c r="T239" i="3"/>
  <c r="R239" i="3"/>
  <c r="Q239" i="3"/>
  <c r="P239" i="3"/>
  <c r="O239" i="3"/>
  <c r="M239" i="3"/>
  <c r="L239" i="3"/>
  <c r="K239" i="3"/>
  <c r="J239" i="3"/>
  <c r="AV238" i="3"/>
  <c r="AU238" i="3"/>
  <c r="AT238" i="3"/>
  <c r="AS238" i="3"/>
  <c r="AQ238" i="3"/>
  <c r="AP238" i="3"/>
  <c r="AO238" i="3"/>
  <c r="AN238" i="3"/>
  <c r="AL238" i="3"/>
  <c r="AK238" i="3"/>
  <c r="AJ238" i="3"/>
  <c r="AI238" i="3"/>
  <c r="AG238" i="3"/>
  <c r="AF238" i="3"/>
  <c r="AE238" i="3"/>
  <c r="AD238" i="3"/>
  <c r="AB238" i="3"/>
  <c r="AA238" i="3"/>
  <c r="Z238" i="3"/>
  <c r="Y238" i="3"/>
  <c r="W238" i="3"/>
  <c r="V238" i="3"/>
  <c r="U238" i="3"/>
  <c r="T238" i="3"/>
  <c r="R238" i="3"/>
  <c r="Q238" i="3"/>
  <c r="P238" i="3"/>
  <c r="O238" i="3"/>
  <c r="M238" i="3"/>
  <c r="L238" i="3"/>
  <c r="K238" i="3"/>
  <c r="J238" i="3"/>
  <c r="AV237" i="3"/>
  <c r="AU237" i="3"/>
  <c r="AT237" i="3"/>
  <c r="AS237" i="3"/>
  <c r="AQ237" i="3"/>
  <c r="AP237" i="3"/>
  <c r="AO237" i="3"/>
  <c r="AN237" i="3"/>
  <c r="AL237" i="3"/>
  <c r="AK237" i="3"/>
  <c r="AJ237" i="3"/>
  <c r="AI237" i="3"/>
  <c r="AG237" i="3"/>
  <c r="AF237" i="3"/>
  <c r="AE237" i="3"/>
  <c r="AD237" i="3"/>
  <c r="AB237" i="3"/>
  <c r="AA237" i="3"/>
  <c r="Z237" i="3"/>
  <c r="Y237" i="3"/>
  <c r="W237" i="3"/>
  <c r="V237" i="3"/>
  <c r="U237" i="3"/>
  <c r="T237" i="3"/>
  <c r="R237" i="3"/>
  <c r="Q237" i="3"/>
  <c r="P237" i="3"/>
  <c r="O237" i="3"/>
  <c r="M237" i="3"/>
  <c r="L237" i="3"/>
  <c r="K237" i="3"/>
  <c r="J237" i="3"/>
  <c r="AV236" i="3"/>
  <c r="AU236" i="3"/>
  <c r="AT236" i="3"/>
  <c r="AS236" i="3"/>
  <c r="AQ236" i="3"/>
  <c r="AP236" i="3"/>
  <c r="AO236" i="3"/>
  <c r="AN236" i="3"/>
  <c r="AL236" i="3"/>
  <c r="AK236" i="3"/>
  <c r="AJ236" i="3"/>
  <c r="AI236" i="3"/>
  <c r="AG236" i="3"/>
  <c r="AF236" i="3"/>
  <c r="AE236" i="3"/>
  <c r="AD236" i="3"/>
  <c r="AB236" i="3"/>
  <c r="AA236" i="3"/>
  <c r="Z236" i="3"/>
  <c r="Y236" i="3"/>
  <c r="W236" i="3"/>
  <c r="V236" i="3"/>
  <c r="U236" i="3"/>
  <c r="T236" i="3"/>
  <c r="R236" i="3"/>
  <c r="Q236" i="3"/>
  <c r="P236" i="3"/>
  <c r="O236" i="3"/>
  <c r="M236" i="3"/>
  <c r="L236" i="3"/>
  <c r="K236" i="3"/>
  <c r="J236" i="3"/>
  <c r="AV235" i="3"/>
  <c r="AU235" i="3"/>
  <c r="AT235" i="3"/>
  <c r="AS235" i="3"/>
  <c r="AQ235" i="3"/>
  <c r="AP235" i="3"/>
  <c r="AO235" i="3"/>
  <c r="AN235" i="3"/>
  <c r="AL235" i="3"/>
  <c r="AK235" i="3"/>
  <c r="AJ235" i="3"/>
  <c r="AI235" i="3"/>
  <c r="AG235" i="3"/>
  <c r="AF235" i="3"/>
  <c r="AE235" i="3"/>
  <c r="AD235" i="3"/>
  <c r="AB235" i="3"/>
  <c r="AA235" i="3"/>
  <c r="Z235" i="3"/>
  <c r="Y235" i="3"/>
  <c r="W235" i="3"/>
  <c r="V235" i="3"/>
  <c r="U235" i="3"/>
  <c r="T235" i="3"/>
  <c r="R235" i="3"/>
  <c r="Q235" i="3"/>
  <c r="P235" i="3"/>
  <c r="O235" i="3"/>
  <c r="M235" i="3"/>
  <c r="L235" i="3"/>
  <c r="K235" i="3"/>
  <c r="J235" i="3"/>
  <c r="AV234" i="3"/>
  <c r="AU234" i="3"/>
  <c r="AT234" i="3"/>
  <c r="AS234" i="3"/>
  <c r="AQ234" i="3"/>
  <c r="AP234" i="3"/>
  <c r="AO234" i="3"/>
  <c r="AN234" i="3"/>
  <c r="AL234" i="3"/>
  <c r="AK234" i="3"/>
  <c r="AJ234" i="3"/>
  <c r="AI234" i="3"/>
  <c r="AG234" i="3"/>
  <c r="AF234" i="3"/>
  <c r="AE234" i="3"/>
  <c r="AD234" i="3"/>
  <c r="AB234" i="3"/>
  <c r="AA234" i="3"/>
  <c r="Z234" i="3"/>
  <c r="Y234" i="3"/>
  <c r="W234" i="3"/>
  <c r="V234" i="3"/>
  <c r="U234" i="3"/>
  <c r="T234" i="3"/>
  <c r="R234" i="3"/>
  <c r="Q234" i="3"/>
  <c r="P234" i="3"/>
  <c r="O234" i="3"/>
  <c r="M234" i="3"/>
  <c r="L234" i="3"/>
  <c r="K234" i="3"/>
  <c r="J234" i="3"/>
  <c r="AV233" i="3"/>
  <c r="AU233" i="3"/>
  <c r="AT233" i="3"/>
  <c r="AS233" i="3"/>
  <c r="AQ233" i="3"/>
  <c r="AP233" i="3"/>
  <c r="AO233" i="3"/>
  <c r="AN233" i="3"/>
  <c r="AL233" i="3"/>
  <c r="AK233" i="3"/>
  <c r="AJ233" i="3"/>
  <c r="AI233" i="3"/>
  <c r="AG233" i="3"/>
  <c r="AF233" i="3"/>
  <c r="AE233" i="3"/>
  <c r="AD233" i="3"/>
  <c r="AB233" i="3"/>
  <c r="AA233" i="3"/>
  <c r="Z233" i="3"/>
  <c r="Y233" i="3"/>
  <c r="W233" i="3"/>
  <c r="V233" i="3"/>
  <c r="U233" i="3"/>
  <c r="T233" i="3"/>
  <c r="R233" i="3"/>
  <c r="Q233" i="3"/>
  <c r="P233" i="3"/>
  <c r="O233" i="3"/>
  <c r="M233" i="3"/>
  <c r="L233" i="3"/>
  <c r="K233" i="3"/>
  <c r="J233" i="3"/>
  <c r="AV232" i="3"/>
  <c r="AU232" i="3"/>
  <c r="AT232" i="3"/>
  <c r="AS232" i="3"/>
  <c r="AQ232" i="3"/>
  <c r="AP232" i="3"/>
  <c r="AO232" i="3"/>
  <c r="AN232" i="3"/>
  <c r="AL232" i="3"/>
  <c r="AK232" i="3"/>
  <c r="AJ232" i="3"/>
  <c r="AI232" i="3"/>
  <c r="AG232" i="3"/>
  <c r="AF232" i="3"/>
  <c r="AE232" i="3"/>
  <c r="AD232" i="3"/>
  <c r="AB232" i="3"/>
  <c r="AA232" i="3"/>
  <c r="Z232" i="3"/>
  <c r="Y232" i="3"/>
  <c r="W232" i="3"/>
  <c r="V232" i="3"/>
  <c r="U232" i="3"/>
  <c r="T232" i="3"/>
  <c r="R232" i="3"/>
  <c r="Q232" i="3"/>
  <c r="P232" i="3"/>
  <c r="O232" i="3"/>
  <c r="M232" i="3"/>
  <c r="L232" i="3"/>
  <c r="K232" i="3"/>
  <c r="J232" i="3"/>
  <c r="AV231" i="3"/>
  <c r="AU231" i="3"/>
  <c r="AT231" i="3"/>
  <c r="AS231" i="3"/>
  <c r="AQ231" i="3"/>
  <c r="AP231" i="3"/>
  <c r="AO231" i="3"/>
  <c r="AN231" i="3"/>
  <c r="AL231" i="3"/>
  <c r="AK231" i="3"/>
  <c r="AJ231" i="3"/>
  <c r="AI231" i="3"/>
  <c r="AG231" i="3"/>
  <c r="AF231" i="3"/>
  <c r="AE231" i="3"/>
  <c r="AD231" i="3"/>
  <c r="AB231" i="3"/>
  <c r="AA231" i="3"/>
  <c r="Z231" i="3"/>
  <c r="Y231" i="3"/>
  <c r="W231" i="3"/>
  <c r="V231" i="3"/>
  <c r="U231" i="3"/>
  <c r="T231" i="3"/>
  <c r="R231" i="3"/>
  <c r="Q231" i="3"/>
  <c r="P231" i="3"/>
  <c r="O231" i="3"/>
  <c r="M231" i="3"/>
  <c r="L231" i="3"/>
  <c r="K231" i="3"/>
  <c r="J231" i="3"/>
  <c r="AV230" i="3"/>
  <c r="AU230" i="3"/>
  <c r="AT230" i="3"/>
  <c r="AS230" i="3"/>
  <c r="AQ230" i="3"/>
  <c r="AP230" i="3"/>
  <c r="AO230" i="3"/>
  <c r="AN230" i="3"/>
  <c r="AL230" i="3"/>
  <c r="AK230" i="3"/>
  <c r="AJ230" i="3"/>
  <c r="AI230" i="3"/>
  <c r="AG230" i="3"/>
  <c r="AF230" i="3"/>
  <c r="AE230" i="3"/>
  <c r="AD230" i="3"/>
  <c r="AB230" i="3"/>
  <c r="AA230" i="3"/>
  <c r="Z230" i="3"/>
  <c r="Y230" i="3"/>
  <c r="W230" i="3"/>
  <c r="V230" i="3"/>
  <c r="U230" i="3"/>
  <c r="T230" i="3"/>
  <c r="R230" i="3"/>
  <c r="Q230" i="3"/>
  <c r="P230" i="3"/>
  <c r="O230" i="3"/>
  <c r="M230" i="3"/>
  <c r="L230" i="3"/>
  <c r="K230" i="3"/>
  <c r="J230" i="3"/>
  <c r="AV229" i="3"/>
  <c r="AU229" i="3"/>
  <c r="AT229" i="3"/>
  <c r="AS229" i="3"/>
  <c r="AQ229" i="3"/>
  <c r="AP229" i="3"/>
  <c r="AO229" i="3"/>
  <c r="AN229" i="3"/>
  <c r="AL229" i="3"/>
  <c r="AK229" i="3"/>
  <c r="AJ229" i="3"/>
  <c r="AI229" i="3"/>
  <c r="AG229" i="3"/>
  <c r="AF229" i="3"/>
  <c r="AE229" i="3"/>
  <c r="AD229" i="3"/>
  <c r="AB229" i="3"/>
  <c r="AA229" i="3"/>
  <c r="Z229" i="3"/>
  <c r="Y229" i="3"/>
  <c r="W229" i="3"/>
  <c r="V229" i="3"/>
  <c r="U229" i="3"/>
  <c r="T229" i="3"/>
  <c r="R229" i="3"/>
  <c r="Q229" i="3"/>
  <c r="P229" i="3"/>
  <c r="O229" i="3"/>
  <c r="M229" i="3"/>
  <c r="L229" i="3"/>
  <c r="K229" i="3"/>
  <c r="J229" i="3"/>
  <c r="AV228" i="3"/>
  <c r="AU228" i="3"/>
  <c r="AT228" i="3"/>
  <c r="AS228" i="3"/>
  <c r="AQ228" i="3"/>
  <c r="AP228" i="3"/>
  <c r="AO228" i="3"/>
  <c r="AN228" i="3"/>
  <c r="AL228" i="3"/>
  <c r="AK228" i="3"/>
  <c r="AJ228" i="3"/>
  <c r="AI228" i="3"/>
  <c r="AG228" i="3"/>
  <c r="AF228" i="3"/>
  <c r="AE228" i="3"/>
  <c r="AD228" i="3"/>
  <c r="AB228" i="3"/>
  <c r="AA228" i="3"/>
  <c r="Z228" i="3"/>
  <c r="Y228" i="3"/>
  <c r="W228" i="3"/>
  <c r="V228" i="3"/>
  <c r="U228" i="3"/>
  <c r="T228" i="3"/>
  <c r="R228" i="3"/>
  <c r="Q228" i="3"/>
  <c r="P228" i="3"/>
  <c r="O228" i="3"/>
  <c r="M228" i="3"/>
  <c r="L228" i="3"/>
  <c r="K228" i="3"/>
  <c r="J228" i="3"/>
  <c r="AV227" i="3"/>
  <c r="AU227" i="3"/>
  <c r="AT227" i="3"/>
  <c r="AS227" i="3"/>
  <c r="AQ227" i="3"/>
  <c r="AP227" i="3"/>
  <c r="AO227" i="3"/>
  <c r="AN227" i="3"/>
  <c r="AL227" i="3"/>
  <c r="AK227" i="3"/>
  <c r="AJ227" i="3"/>
  <c r="AI227" i="3"/>
  <c r="AG227" i="3"/>
  <c r="AF227" i="3"/>
  <c r="AE227" i="3"/>
  <c r="AD227" i="3"/>
  <c r="AB227" i="3"/>
  <c r="AA227" i="3"/>
  <c r="Z227" i="3"/>
  <c r="Y227" i="3"/>
  <c r="W227" i="3"/>
  <c r="V227" i="3"/>
  <c r="U227" i="3"/>
  <c r="T227" i="3"/>
  <c r="R227" i="3"/>
  <c r="Q227" i="3"/>
  <c r="P227" i="3"/>
  <c r="O227" i="3"/>
  <c r="M227" i="3"/>
  <c r="L227" i="3"/>
  <c r="K227" i="3"/>
  <c r="J227" i="3"/>
  <c r="AV226" i="3"/>
  <c r="AU226" i="3"/>
  <c r="AT226" i="3"/>
  <c r="AS226" i="3"/>
  <c r="AQ226" i="3"/>
  <c r="AP226" i="3"/>
  <c r="AO226" i="3"/>
  <c r="AN226" i="3"/>
  <c r="AL226" i="3"/>
  <c r="AK226" i="3"/>
  <c r="AJ226" i="3"/>
  <c r="AI226" i="3"/>
  <c r="AG226" i="3"/>
  <c r="AF226" i="3"/>
  <c r="AE226" i="3"/>
  <c r="AD226" i="3"/>
  <c r="AB226" i="3"/>
  <c r="AA226" i="3"/>
  <c r="Z226" i="3"/>
  <c r="Y226" i="3"/>
  <c r="W226" i="3"/>
  <c r="V226" i="3"/>
  <c r="U226" i="3"/>
  <c r="T226" i="3"/>
  <c r="R226" i="3"/>
  <c r="Q226" i="3"/>
  <c r="P226" i="3"/>
  <c r="O226" i="3"/>
  <c r="M226" i="3"/>
  <c r="L226" i="3"/>
  <c r="K226" i="3"/>
  <c r="J226" i="3"/>
  <c r="AV225" i="3"/>
  <c r="AU225" i="3"/>
  <c r="AT225" i="3"/>
  <c r="AS225" i="3"/>
  <c r="AQ225" i="3"/>
  <c r="AP225" i="3"/>
  <c r="AO225" i="3"/>
  <c r="AN225" i="3"/>
  <c r="AL225" i="3"/>
  <c r="AK225" i="3"/>
  <c r="AJ225" i="3"/>
  <c r="AI225" i="3"/>
  <c r="AG225" i="3"/>
  <c r="AF225" i="3"/>
  <c r="AE225" i="3"/>
  <c r="AD225" i="3"/>
  <c r="AB225" i="3"/>
  <c r="AA225" i="3"/>
  <c r="Z225" i="3"/>
  <c r="Y225" i="3"/>
  <c r="W225" i="3"/>
  <c r="V225" i="3"/>
  <c r="U225" i="3"/>
  <c r="T225" i="3"/>
  <c r="R225" i="3"/>
  <c r="Q225" i="3"/>
  <c r="P225" i="3"/>
  <c r="O225" i="3"/>
  <c r="M225" i="3"/>
  <c r="L225" i="3"/>
  <c r="K225" i="3"/>
  <c r="J225" i="3"/>
  <c r="AV224" i="3"/>
  <c r="AU224" i="3"/>
  <c r="AT224" i="3"/>
  <c r="AS224" i="3"/>
  <c r="AQ224" i="3"/>
  <c r="AP224" i="3"/>
  <c r="AO224" i="3"/>
  <c r="AN224" i="3"/>
  <c r="AL224" i="3"/>
  <c r="AK224" i="3"/>
  <c r="AJ224" i="3"/>
  <c r="AI224" i="3"/>
  <c r="AG224" i="3"/>
  <c r="AF224" i="3"/>
  <c r="AE224" i="3"/>
  <c r="AD224" i="3"/>
  <c r="AB224" i="3"/>
  <c r="AA224" i="3"/>
  <c r="Z224" i="3"/>
  <c r="Y224" i="3"/>
  <c r="W224" i="3"/>
  <c r="V224" i="3"/>
  <c r="U224" i="3"/>
  <c r="T224" i="3"/>
  <c r="R224" i="3"/>
  <c r="Q224" i="3"/>
  <c r="P224" i="3"/>
  <c r="O224" i="3"/>
  <c r="M224" i="3"/>
  <c r="L224" i="3"/>
  <c r="K224" i="3"/>
  <c r="J224" i="3"/>
  <c r="AV223" i="3"/>
  <c r="AU223" i="3"/>
  <c r="AT223" i="3"/>
  <c r="AS223" i="3"/>
  <c r="AQ223" i="3"/>
  <c r="AP223" i="3"/>
  <c r="AO223" i="3"/>
  <c r="AN223" i="3"/>
  <c r="AL223" i="3"/>
  <c r="AK223" i="3"/>
  <c r="AJ223" i="3"/>
  <c r="AI223" i="3"/>
  <c r="AG223" i="3"/>
  <c r="AF223" i="3"/>
  <c r="AE223" i="3"/>
  <c r="AD223" i="3"/>
  <c r="AB223" i="3"/>
  <c r="AA223" i="3"/>
  <c r="Z223" i="3"/>
  <c r="Y223" i="3"/>
  <c r="W223" i="3"/>
  <c r="V223" i="3"/>
  <c r="U223" i="3"/>
  <c r="T223" i="3"/>
  <c r="R223" i="3"/>
  <c r="Q223" i="3"/>
  <c r="P223" i="3"/>
  <c r="O223" i="3"/>
  <c r="M223" i="3"/>
  <c r="L223" i="3"/>
  <c r="K223" i="3"/>
  <c r="J223" i="3"/>
  <c r="AV222" i="3"/>
  <c r="AU222" i="3"/>
  <c r="AT222" i="3"/>
  <c r="AS222" i="3"/>
  <c r="AQ222" i="3"/>
  <c r="AP222" i="3"/>
  <c r="AO222" i="3"/>
  <c r="AN222" i="3"/>
  <c r="AL222" i="3"/>
  <c r="AK222" i="3"/>
  <c r="AJ222" i="3"/>
  <c r="AI222" i="3"/>
  <c r="AG222" i="3"/>
  <c r="AF222" i="3"/>
  <c r="AE222" i="3"/>
  <c r="AD222" i="3"/>
  <c r="AB222" i="3"/>
  <c r="AA222" i="3"/>
  <c r="Z222" i="3"/>
  <c r="Y222" i="3"/>
  <c r="W222" i="3"/>
  <c r="V222" i="3"/>
  <c r="U222" i="3"/>
  <c r="T222" i="3"/>
  <c r="R222" i="3"/>
  <c r="Q222" i="3"/>
  <c r="P222" i="3"/>
  <c r="O222" i="3"/>
  <c r="M222" i="3"/>
  <c r="L222" i="3"/>
  <c r="K222" i="3"/>
  <c r="J222" i="3"/>
  <c r="AV221" i="3"/>
  <c r="AU221" i="3"/>
  <c r="AT221" i="3"/>
  <c r="AS221" i="3"/>
  <c r="AQ221" i="3"/>
  <c r="AP221" i="3"/>
  <c r="AO221" i="3"/>
  <c r="AN221" i="3"/>
  <c r="AL221" i="3"/>
  <c r="AK221" i="3"/>
  <c r="AJ221" i="3"/>
  <c r="AI221" i="3"/>
  <c r="AG221" i="3"/>
  <c r="AF221" i="3"/>
  <c r="AE221" i="3"/>
  <c r="AD221" i="3"/>
  <c r="AB221" i="3"/>
  <c r="AA221" i="3"/>
  <c r="Z221" i="3"/>
  <c r="Y221" i="3"/>
  <c r="W221" i="3"/>
  <c r="V221" i="3"/>
  <c r="U221" i="3"/>
  <c r="T221" i="3"/>
  <c r="R221" i="3"/>
  <c r="Q221" i="3"/>
  <c r="P221" i="3"/>
  <c r="O221" i="3"/>
  <c r="M221" i="3"/>
  <c r="L221" i="3"/>
  <c r="K221" i="3"/>
  <c r="J221" i="3"/>
  <c r="AV220" i="3"/>
  <c r="AU220" i="3"/>
  <c r="AT220" i="3"/>
  <c r="AS220" i="3"/>
  <c r="AQ220" i="3"/>
  <c r="AP220" i="3"/>
  <c r="AO220" i="3"/>
  <c r="AN220" i="3"/>
  <c r="AL220" i="3"/>
  <c r="AK220" i="3"/>
  <c r="AJ220" i="3"/>
  <c r="AI220" i="3"/>
  <c r="AG220" i="3"/>
  <c r="AF220" i="3"/>
  <c r="AE220" i="3"/>
  <c r="AD220" i="3"/>
  <c r="AB220" i="3"/>
  <c r="AA220" i="3"/>
  <c r="Z220" i="3"/>
  <c r="Y220" i="3"/>
  <c r="W220" i="3"/>
  <c r="V220" i="3"/>
  <c r="U220" i="3"/>
  <c r="T220" i="3"/>
  <c r="R220" i="3"/>
  <c r="Q220" i="3"/>
  <c r="P220" i="3"/>
  <c r="O220" i="3"/>
  <c r="M220" i="3"/>
  <c r="L220" i="3"/>
  <c r="K220" i="3"/>
  <c r="J220" i="3"/>
  <c r="AV219" i="3"/>
  <c r="AU219" i="3"/>
  <c r="AT219" i="3"/>
  <c r="AS219" i="3"/>
  <c r="AQ219" i="3"/>
  <c r="AP219" i="3"/>
  <c r="AO219" i="3"/>
  <c r="AN219" i="3"/>
  <c r="AL219" i="3"/>
  <c r="AK219" i="3"/>
  <c r="AJ219" i="3"/>
  <c r="AI219" i="3"/>
  <c r="AG219" i="3"/>
  <c r="AF219" i="3"/>
  <c r="AE219" i="3"/>
  <c r="AD219" i="3"/>
  <c r="AB219" i="3"/>
  <c r="AA219" i="3"/>
  <c r="Z219" i="3"/>
  <c r="Y219" i="3"/>
  <c r="W219" i="3"/>
  <c r="V219" i="3"/>
  <c r="U219" i="3"/>
  <c r="T219" i="3"/>
  <c r="R219" i="3"/>
  <c r="Q219" i="3"/>
  <c r="P219" i="3"/>
  <c r="O219" i="3"/>
  <c r="M219" i="3"/>
  <c r="L219" i="3"/>
  <c r="K219" i="3"/>
  <c r="J219" i="3"/>
  <c r="AV218" i="3"/>
  <c r="AU218" i="3"/>
  <c r="AT218" i="3"/>
  <c r="AS218" i="3"/>
  <c r="AQ218" i="3"/>
  <c r="AP218" i="3"/>
  <c r="AO218" i="3"/>
  <c r="AN218" i="3"/>
  <c r="AL218" i="3"/>
  <c r="AK218" i="3"/>
  <c r="AJ218" i="3"/>
  <c r="AI218" i="3"/>
  <c r="AG218" i="3"/>
  <c r="AF218" i="3"/>
  <c r="AE218" i="3"/>
  <c r="AD218" i="3"/>
  <c r="AB218" i="3"/>
  <c r="AA218" i="3"/>
  <c r="Z218" i="3"/>
  <c r="Y218" i="3"/>
  <c r="W218" i="3"/>
  <c r="V218" i="3"/>
  <c r="U218" i="3"/>
  <c r="T218" i="3"/>
  <c r="R218" i="3"/>
  <c r="Q218" i="3"/>
  <c r="P218" i="3"/>
  <c r="O218" i="3"/>
  <c r="M218" i="3"/>
  <c r="L218" i="3"/>
  <c r="K218" i="3"/>
  <c r="J218" i="3"/>
  <c r="AV217" i="3"/>
  <c r="AU217" i="3"/>
  <c r="AT217" i="3"/>
  <c r="AS217" i="3"/>
  <c r="AQ217" i="3"/>
  <c r="AP217" i="3"/>
  <c r="AO217" i="3"/>
  <c r="AN217" i="3"/>
  <c r="AL217" i="3"/>
  <c r="AK217" i="3"/>
  <c r="AJ217" i="3"/>
  <c r="AI217" i="3"/>
  <c r="AG217" i="3"/>
  <c r="AF217" i="3"/>
  <c r="AE217" i="3"/>
  <c r="AD217" i="3"/>
  <c r="AB217" i="3"/>
  <c r="AA217" i="3"/>
  <c r="Z217" i="3"/>
  <c r="Y217" i="3"/>
  <c r="W217" i="3"/>
  <c r="V217" i="3"/>
  <c r="U217" i="3"/>
  <c r="T217" i="3"/>
  <c r="R217" i="3"/>
  <c r="Q217" i="3"/>
  <c r="P217" i="3"/>
  <c r="O217" i="3"/>
  <c r="M217" i="3"/>
  <c r="L217" i="3"/>
  <c r="K217" i="3"/>
  <c r="J217" i="3"/>
  <c r="AV216" i="3"/>
  <c r="AU216" i="3"/>
  <c r="AT216" i="3"/>
  <c r="AS216" i="3"/>
  <c r="AQ216" i="3"/>
  <c r="AP216" i="3"/>
  <c r="AO216" i="3"/>
  <c r="AN216" i="3"/>
  <c r="AL216" i="3"/>
  <c r="AK216" i="3"/>
  <c r="AJ216" i="3"/>
  <c r="AI216" i="3"/>
  <c r="AG216" i="3"/>
  <c r="AF216" i="3"/>
  <c r="AE216" i="3"/>
  <c r="AD216" i="3"/>
  <c r="AB216" i="3"/>
  <c r="AA216" i="3"/>
  <c r="Z216" i="3"/>
  <c r="Y216" i="3"/>
  <c r="W216" i="3"/>
  <c r="V216" i="3"/>
  <c r="U216" i="3"/>
  <c r="T216" i="3"/>
  <c r="R216" i="3"/>
  <c r="Q216" i="3"/>
  <c r="P216" i="3"/>
  <c r="O216" i="3"/>
  <c r="M216" i="3"/>
  <c r="L216" i="3"/>
  <c r="K216" i="3"/>
  <c r="J216" i="3"/>
  <c r="AV215" i="3"/>
  <c r="AU215" i="3"/>
  <c r="AT215" i="3"/>
  <c r="AS215" i="3"/>
  <c r="AQ215" i="3"/>
  <c r="AP215" i="3"/>
  <c r="AO215" i="3"/>
  <c r="AN215" i="3"/>
  <c r="AL215" i="3"/>
  <c r="AK215" i="3"/>
  <c r="AJ215" i="3"/>
  <c r="AI215" i="3"/>
  <c r="AG215" i="3"/>
  <c r="AF215" i="3"/>
  <c r="AE215" i="3"/>
  <c r="AD215" i="3"/>
  <c r="AB215" i="3"/>
  <c r="AA215" i="3"/>
  <c r="Z215" i="3"/>
  <c r="Y215" i="3"/>
  <c r="W215" i="3"/>
  <c r="V215" i="3"/>
  <c r="U215" i="3"/>
  <c r="T215" i="3"/>
  <c r="R215" i="3"/>
  <c r="Q215" i="3"/>
  <c r="P215" i="3"/>
  <c r="O215" i="3"/>
  <c r="M215" i="3"/>
  <c r="L215" i="3"/>
  <c r="K215" i="3"/>
  <c r="J215" i="3"/>
  <c r="AV214" i="3"/>
  <c r="AU214" i="3"/>
  <c r="AT214" i="3"/>
  <c r="AS214" i="3"/>
  <c r="AQ214" i="3"/>
  <c r="AP214" i="3"/>
  <c r="AO214" i="3"/>
  <c r="AN214" i="3"/>
  <c r="AL214" i="3"/>
  <c r="AK214" i="3"/>
  <c r="AJ214" i="3"/>
  <c r="AI214" i="3"/>
  <c r="AG214" i="3"/>
  <c r="AF214" i="3"/>
  <c r="AE214" i="3"/>
  <c r="AD214" i="3"/>
  <c r="AB214" i="3"/>
  <c r="AA214" i="3"/>
  <c r="Z214" i="3"/>
  <c r="Y214" i="3"/>
  <c r="W214" i="3"/>
  <c r="V214" i="3"/>
  <c r="U214" i="3"/>
  <c r="T214" i="3"/>
  <c r="R214" i="3"/>
  <c r="Q214" i="3"/>
  <c r="P214" i="3"/>
  <c r="O214" i="3"/>
  <c r="M214" i="3"/>
  <c r="L214" i="3"/>
  <c r="K214" i="3"/>
  <c r="J214" i="3"/>
  <c r="AV213" i="3"/>
  <c r="AU213" i="3"/>
  <c r="AT213" i="3"/>
  <c r="AS213" i="3"/>
  <c r="AQ213" i="3"/>
  <c r="AP213" i="3"/>
  <c r="AO213" i="3"/>
  <c r="AN213" i="3"/>
  <c r="AL213" i="3"/>
  <c r="AK213" i="3"/>
  <c r="AJ213" i="3"/>
  <c r="AI213" i="3"/>
  <c r="AG213" i="3"/>
  <c r="AF213" i="3"/>
  <c r="AE213" i="3"/>
  <c r="AD213" i="3"/>
  <c r="AB213" i="3"/>
  <c r="AA213" i="3"/>
  <c r="Z213" i="3"/>
  <c r="Y213" i="3"/>
  <c r="W213" i="3"/>
  <c r="V213" i="3"/>
  <c r="U213" i="3"/>
  <c r="T213" i="3"/>
  <c r="R213" i="3"/>
  <c r="Q213" i="3"/>
  <c r="P213" i="3"/>
  <c r="O213" i="3"/>
  <c r="M213" i="3"/>
  <c r="L213" i="3"/>
  <c r="K213" i="3"/>
  <c r="J213" i="3"/>
  <c r="AV212" i="3"/>
  <c r="AU212" i="3"/>
  <c r="AT212" i="3"/>
  <c r="AS212" i="3"/>
  <c r="AQ212" i="3"/>
  <c r="AP212" i="3"/>
  <c r="AO212" i="3"/>
  <c r="AN212" i="3"/>
  <c r="AL212" i="3"/>
  <c r="AK212" i="3"/>
  <c r="AJ212" i="3"/>
  <c r="AI212" i="3"/>
  <c r="AG212" i="3"/>
  <c r="AF212" i="3"/>
  <c r="AE212" i="3"/>
  <c r="AD212" i="3"/>
  <c r="AB212" i="3"/>
  <c r="AA212" i="3"/>
  <c r="Z212" i="3"/>
  <c r="Y212" i="3"/>
  <c r="W212" i="3"/>
  <c r="V212" i="3"/>
  <c r="U212" i="3"/>
  <c r="T212" i="3"/>
  <c r="R212" i="3"/>
  <c r="Q212" i="3"/>
  <c r="P212" i="3"/>
  <c r="O212" i="3"/>
  <c r="M212" i="3"/>
  <c r="L212" i="3"/>
  <c r="K212" i="3"/>
  <c r="J212" i="3"/>
  <c r="AV211" i="3"/>
  <c r="AU211" i="3"/>
  <c r="AT211" i="3"/>
  <c r="AS211" i="3"/>
  <c r="AQ211" i="3"/>
  <c r="AP211" i="3"/>
  <c r="AO211" i="3"/>
  <c r="AN211" i="3"/>
  <c r="AL211" i="3"/>
  <c r="AK211" i="3"/>
  <c r="AJ211" i="3"/>
  <c r="AI211" i="3"/>
  <c r="AG211" i="3"/>
  <c r="AF211" i="3"/>
  <c r="AE211" i="3"/>
  <c r="AD211" i="3"/>
  <c r="AB211" i="3"/>
  <c r="AA211" i="3"/>
  <c r="Z211" i="3"/>
  <c r="Y211" i="3"/>
  <c r="W211" i="3"/>
  <c r="V211" i="3"/>
  <c r="U211" i="3"/>
  <c r="T211" i="3"/>
  <c r="R211" i="3"/>
  <c r="Q211" i="3"/>
  <c r="P211" i="3"/>
  <c r="O211" i="3"/>
  <c r="M211" i="3"/>
  <c r="L211" i="3"/>
  <c r="K211" i="3"/>
  <c r="J211" i="3"/>
  <c r="AV210" i="3"/>
  <c r="AU210" i="3"/>
  <c r="AT210" i="3"/>
  <c r="AS210" i="3"/>
  <c r="AQ210" i="3"/>
  <c r="AP210" i="3"/>
  <c r="AO210" i="3"/>
  <c r="AN210" i="3"/>
  <c r="AL210" i="3"/>
  <c r="AK210" i="3"/>
  <c r="AJ210" i="3"/>
  <c r="AI210" i="3"/>
  <c r="AG210" i="3"/>
  <c r="AF210" i="3"/>
  <c r="AE210" i="3"/>
  <c r="AD210" i="3"/>
  <c r="AB210" i="3"/>
  <c r="AA210" i="3"/>
  <c r="Z210" i="3"/>
  <c r="Y210" i="3"/>
  <c r="W210" i="3"/>
  <c r="V210" i="3"/>
  <c r="U210" i="3"/>
  <c r="T210" i="3"/>
  <c r="R210" i="3"/>
  <c r="Q210" i="3"/>
  <c r="P210" i="3"/>
  <c r="O210" i="3"/>
  <c r="M210" i="3"/>
  <c r="L210" i="3"/>
  <c r="K210" i="3"/>
  <c r="J210" i="3"/>
  <c r="AV209" i="3"/>
  <c r="AU209" i="3"/>
  <c r="AT209" i="3"/>
  <c r="AS209" i="3"/>
  <c r="AQ209" i="3"/>
  <c r="AP209" i="3"/>
  <c r="AO209" i="3"/>
  <c r="AN209" i="3"/>
  <c r="AL209" i="3"/>
  <c r="AK209" i="3"/>
  <c r="AJ209" i="3"/>
  <c r="AI209" i="3"/>
  <c r="AG209" i="3"/>
  <c r="AF209" i="3"/>
  <c r="AE209" i="3"/>
  <c r="AD209" i="3"/>
  <c r="AB209" i="3"/>
  <c r="AA209" i="3"/>
  <c r="Z209" i="3"/>
  <c r="Y209" i="3"/>
  <c r="W209" i="3"/>
  <c r="V209" i="3"/>
  <c r="U209" i="3"/>
  <c r="T209" i="3"/>
  <c r="R209" i="3"/>
  <c r="Q209" i="3"/>
  <c r="P209" i="3"/>
  <c r="O209" i="3"/>
  <c r="M209" i="3"/>
  <c r="L209" i="3"/>
  <c r="K209" i="3"/>
  <c r="J209" i="3"/>
  <c r="AV208" i="3"/>
  <c r="AU208" i="3"/>
  <c r="AT208" i="3"/>
  <c r="AS208" i="3"/>
  <c r="AQ208" i="3"/>
  <c r="AP208" i="3"/>
  <c r="AO208" i="3"/>
  <c r="AN208" i="3"/>
  <c r="AL208" i="3"/>
  <c r="AK208" i="3"/>
  <c r="AJ208" i="3"/>
  <c r="AI208" i="3"/>
  <c r="AG208" i="3"/>
  <c r="AF208" i="3"/>
  <c r="AE208" i="3"/>
  <c r="AD208" i="3"/>
  <c r="AB208" i="3"/>
  <c r="AA208" i="3"/>
  <c r="Z208" i="3"/>
  <c r="Y208" i="3"/>
  <c r="W208" i="3"/>
  <c r="V208" i="3"/>
  <c r="U208" i="3"/>
  <c r="T208" i="3"/>
  <c r="R208" i="3"/>
  <c r="Q208" i="3"/>
  <c r="P208" i="3"/>
  <c r="O208" i="3"/>
  <c r="M208" i="3"/>
  <c r="L208" i="3"/>
  <c r="K208" i="3"/>
  <c r="J208" i="3"/>
  <c r="AV207" i="3"/>
  <c r="AU207" i="3"/>
  <c r="AT207" i="3"/>
  <c r="AS207" i="3"/>
  <c r="AQ207" i="3"/>
  <c r="AP207" i="3"/>
  <c r="AO207" i="3"/>
  <c r="AN207" i="3"/>
  <c r="AL207" i="3"/>
  <c r="AK207" i="3"/>
  <c r="AJ207" i="3"/>
  <c r="AI207" i="3"/>
  <c r="AG207" i="3"/>
  <c r="AF207" i="3"/>
  <c r="AE207" i="3"/>
  <c r="AD207" i="3"/>
  <c r="AB207" i="3"/>
  <c r="AA207" i="3"/>
  <c r="Z207" i="3"/>
  <c r="Y207" i="3"/>
  <c r="W207" i="3"/>
  <c r="V207" i="3"/>
  <c r="U207" i="3"/>
  <c r="T207" i="3"/>
  <c r="R207" i="3"/>
  <c r="Q207" i="3"/>
  <c r="P207" i="3"/>
  <c r="O207" i="3"/>
  <c r="M207" i="3"/>
  <c r="L207" i="3"/>
  <c r="K207" i="3"/>
  <c r="J207" i="3"/>
  <c r="AV206" i="3"/>
  <c r="AU206" i="3"/>
  <c r="AT206" i="3"/>
  <c r="AS206" i="3"/>
  <c r="AQ206" i="3"/>
  <c r="AP206" i="3"/>
  <c r="AO206" i="3"/>
  <c r="AN206" i="3"/>
  <c r="AL206" i="3"/>
  <c r="AK206" i="3"/>
  <c r="AJ206" i="3"/>
  <c r="AI206" i="3"/>
  <c r="AG206" i="3"/>
  <c r="AF206" i="3"/>
  <c r="AE206" i="3"/>
  <c r="AD206" i="3"/>
  <c r="AB206" i="3"/>
  <c r="AA206" i="3"/>
  <c r="Z206" i="3"/>
  <c r="Y206" i="3"/>
  <c r="W206" i="3"/>
  <c r="V206" i="3"/>
  <c r="U206" i="3"/>
  <c r="T206" i="3"/>
  <c r="R206" i="3"/>
  <c r="Q206" i="3"/>
  <c r="P206" i="3"/>
  <c r="O206" i="3"/>
  <c r="M206" i="3"/>
  <c r="L206" i="3"/>
  <c r="K206" i="3"/>
  <c r="J206" i="3"/>
  <c r="AV205" i="3"/>
  <c r="AU205" i="3"/>
  <c r="AT205" i="3"/>
  <c r="AS205" i="3"/>
  <c r="AQ205" i="3"/>
  <c r="AP205" i="3"/>
  <c r="AO205" i="3"/>
  <c r="AN205" i="3"/>
  <c r="AL205" i="3"/>
  <c r="AK205" i="3"/>
  <c r="AJ205" i="3"/>
  <c r="AI205" i="3"/>
  <c r="AG205" i="3"/>
  <c r="AF205" i="3"/>
  <c r="AE205" i="3"/>
  <c r="AD205" i="3"/>
  <c r="AB205" i="3"/>
  <c r="AA205" i="3"/>
  <c r="Z205" i="3"/>
  <c r="Y205" i="3"/>
  <c r="W205" i="3"/>
  <c r="V205" i="3"/>
  <c r="U205" i="3"/>
  <c r="T205" i="3"/>
  <c r="R205" i="3"/>
  <c r="Q205" i="3"/>
  <c r="P205" i="3"/>
  <c r="O205" i="3"/>
  <c r="M205" i="3"/>
  <c r="L205" i="3"/>
  <c r="K205" i="3"/>
  <c r="J205" i="3"/>
  <c r="AV204" i="3"/>
  <c r="AU204" i="3"/>
  <c r="AT204" i="3"/>
  <c r="AS204" i="3"/>
  <c r="AQ204" i="3"/>
  <c r="AP204" i="3"/>
  <c r="AO204" i="3"/>
  <c r="AN204" i="3"/>
  <c r="AL204" i="3"/>
  <c r="AK204" i="3"/>
  <c r="AJ204" i="3"/>
  <c r="AI204" i="3"/>
  <c r="AG204" i="3"/>
  <c r="AF204" i="3"/>
  <c r="AE204" i="3"/>
  <c r="AD204" i="3"/>
  <c r="AB204" i="3"/>
  <c r="AA204" i="3"/>
  <c r="Z204" i="3"/>
  <c r="Y204" i="3"/>
  <c r="W204" i="3"/>
  <c r="V204" i="3"/>
  <c r="U204" i="3"/>
  <c r="T204" i="3"/>
  <c r="R204" i="3"/>
  <c r="Q204" i="3"/>
  <c r="P204" i="3"/>
  <c r="O204" i="3"/>
  <c r="M204" i="3"/>
  <c r="L204" i="3"/>
  <c r="K204" i="3"/>
  <c r="J204" i="3"/>
  <c r="AV203" i="3"/>
  <c r="AU203" i="3"/>
  <c r="AT203" i="3"/>
  <c r="AS203" i="3"/>
  <c r="AQ203" i="3"/>
  <c r="AP203" i="3"/>
  <c r="AO203" i="3"/>
  <c r="AN203" i="3"/>
  <c r="AL203" i="3"/>
  <c r="AK203" i="3"/>
  <c r="AJ203" i="3"/>
  <c r="AI203" i="3"/>
  <c r="AG203" i="3"/>
  <c r="AF203" i="3"/>
  <c r="AE203" i="3"/>
  <c r="AD203" i="3"/>
  <c r="AB203" i="3"/>
  <c r="AA203" i="3"/>
  <c r="Z203" i="3"/>
  <c r="Y203" i="3"/>
  <c r="W203" i="3"/>
  <c r="V203" i="3"/>
  <c r="U203" i="3"/>
  <c r="T203" i="3"/>
  <c r="R203" i="3"/>
  <c r="Q203" i="3"/>
  <c r="P203" i="3"/>
  <c r="O203" i="3"/>
  <c r="M203" i="3"/>
  <c r="L203" i="3"/>
  <c r="K203" i="3"/>
  <c r="J203" i="3"/>
  <c r="AV202" i="3"/>
  <c r="AU202" i="3"/>
  <c r="AT202" i="3"/>
  <c r="AS202" i="3"/>
  <c r="AQ202" i="3"/>
  <c r="AP202" i="3"/>
  <c r="AO202" i="3"/>
  <c r="AN202" i="3"/>
  <c r="AL202" i="3"/>
  <c r="AK202" i="3"/>
  <c r="AJ202" i="3"/>
  <c r="AI202" i="3"/>
  <c r="AG202" i="3"/>
  <c r="AF202" i="3"/>
  <c r="AE202" i="3"/>
  <c r="AD202" i="3"/>
  <c r="AB202" i="3"/>
  <c r="AA202" i="3"/>
  <c r="Z202" i="3"/>
  <c r="Y202" i="3"/>
  <c r="W202" i="3"/>
  <c r="V202" i="3"/>
  <c r="U202" i="3"/>
  <c r="T202" i="3"/>
  <c r="R202" i="3"/>
  <c r="Q202" i="3"/>
  <c r="P202" i="3"/>
  <c r="O202" i="3"/>
  <c r="M202" i="3"/>
  <c r="L202" i="3"/>
  <c r="K202" i="3"/>
  <c r="J202" i="3"/>
  <c r="AV201" i="3"/>
  <c r="AU201" i="3"/>
  <c r="AT201" i="3"/>
  <c r="AS201" i="3"/>
  <c r="AQ201" i="3"/>
  <c r="AP201" i="3"/>
  <c r="AO201" i="3"/>
  <c r="AN201" i="3"/>
  <c r="AL201" i="3"/>
  <c r="AK201" i="3"/>
  <c r="AJ201" i="3"/>
  <c r="AI201" i="3"/>
  <c r="AG201" i="3"/>
  <c r="AF201" i="3"/>
  <c r="AE201" i="3"/>
  <c r="AD201" i="3"/>
  <c r="AB201" i="3"/>
  <c r="AA201" i="3"/>
  <c r="Z201" i="3"/>
  <c r="Y201" i="3"/>
  <c r="W201" i="3"/>
  <c r="V201" i="3"/>
  <c r="U201" i="3"/>
  <c r="T201" i="3"/>
  <c r="R201" i="3"/>
  <c r="Q201" i="3"/>
  <c r="P201" i="3"/>
  <c r="O201" i="3"/>
  <c r="M201" i="3"/>
  <c r="L201" i="3"/>
  <c r="K201" i="3"/>
  <c r="J201" i="3"/>
  <c r="AV200" i="3"/>
  <c r="AU200" i="3"/>
  <c r="AT200" i="3"/>
  <c r="AS200" i="3"/>
  <c r="AQ200" i="3"/>
  <c r="AP200" i="3"/>
  <c r="AO200" i="3"/>
  <c r="AN200" i="3"/>
  <c r="AL200" i="3"/>
  <c r="AK200" i="3"/>
  <c r="AJ200" i="3"/>
  <c r="AI200" i="3"/>
  <c r="AG200" i="3"/>
  <c r="AF200" i="3"/>
  <c r="AE200" i="3"/>
  <c r="AD200" i="3"/>
  <c r="AB200" i="3"/>
  <c r="AA200" i="3"/>
  <c r="Z200" i="3"/>
  <c r="Y200" i="3"/>
  <c r="W200" i="3"/>
  <c r="V200" i="3"/>
  <c r="U200" i="3"/>
  <c r="T200" i="3"/>
  <c r="R200" i="3"/>
  <c r="Q200" i="3"/>
  <c r="P200" i="3"/>
  <c r="O200" i="3"/>
  <c r="M200" i="3"/>
  <c r="L200" i="3"/>
  <c r="K200" i="3"/>
  <c r="J200" i="3"/>
  <c r="AV199" i="3"/>
  <c r="AU199" i="3"/>
  <c r="AT199" i="3"/>
  <c r="AS199" i="3"/>
  <c r="AQ199" i="3"/>
  <c r="AP199" i="3"/>
  <c r="AO199" i="3"/>
  <c r="AN199" i="3"/>
  <c r="AL199" i="3"/>
  <c r="AK199" i="3"/>
  <c r="AJ199" i="3"/>
  <c r="AI199" i="3"/>
  <c r="AG199" i="3"/>
  <c r="AF199" i="3"/>
  <c r="AE199" i="3"/>
  <c r="AD199" i="3"/>
  <c r="AB199" i="3"/>
  <c r="AA199" i="3"/>
  <c r="Z199" i="3"/>
  <c r="Y199" i="3"/>
  <c r="W199" i="3"/>
  <c r="V199" i="3"/>
  <c r="U199" i="3"/>
  <c r="T199" i="3"/>
  <c r="R199" i="3"/>
  <c r="Q199" i="3"/>
  <c r="P199" i="3"/>
  <c r="O199" i="3"/>
  <c r="M199" i="3"/>
  <c r="L199" i="3"/>
  <c r="K199" i="3"/>
  <c r="J199" i="3"/>
  <c r="AV198" i="3"/>
  <c r="AU198" i="3"/>
  <c r="AT198" i="3"/>
  <c r="AS198" i="3"/>
  <c r="AQ198" i="3"/>
  <c r="AP198" i="3"/>
  <c r="AO198" i="3"/>
  <c r="AN198" i="3"/>
  <c r="AL198" i="3"/>
  <c r="AK198" i="3"/>
  <c r="AJ198" i="3"/>
  <c r="AI198" i="3"/>
  <c r="AG198" i="3"/>
  <c r="AF198" i="3"/>
  <c r="AE198" i="3"/>
  <c r="AD198" i="3"/>
  <c r="AB198" i="3"/>
  <c r="AA198" i="3"/>
  <c r="Z198" i="3"/>
  <c r="Y198" i="3"/>
  <c r="W198" i="3"/>
  <c r="V198" i="3"/>
  <c r="U198" i="3"/>
  <c r="T198" i="3"/>
  <c r="R198" i="3"/>
  <c r="Q198" i="3"/>
  <c r="P198" i="3"/>
  <c r="O198" i="3"/>
  <c r="M198" i="3"/>
  <c r="L198" i="3"/>
  <c r="K198" i="3"/>
  <c r="J198" i="3"/>
  <c r="AV197" i="3"/>
  <c r="AU197" i="3"/>
  <c r="AT197" i="3"/>
  <c r="AS197" i="3"/>
  <c r="AQ197" i="3"/>
  <c r="AP197" i="3"/>
  <c r="AO197" i="3"/>
  <c r="AN197" i="3"/>
  <c r="AL197" i="3"/>
  <c r="AK197" i="3"/>
  <c r="AJ197" i="3"/>
  <c r="AI197" i="3"/>
  <c r="AG197" i="3"/>
  <c r="AF197" i="3"/>
  <c r="AE197" i="3"/>
  <c r="AD197" i="3"/>
  <c r="AB197" i="3"/>
  <c r="AA197" i="3"/>
  <c r="Z197" i="3"/>
  <c r="Y197" i="3"/>
  <c r="W197" i="3"/>
  <c r="V197" i="3"/>
  <c r="U197" i="3"/>
  <c r="T197" i="3"/>
  <c r="R197" i="3"/>
  <c r="Q197" i="3"/>
  <c r="P197" i="3"/>
  <c r="O197" i="3"/>
  <c r="M197" i="3"/>
  <c r="L197" i="3"/>
  <c r="K197" i="3"/>
  <c r="J197" i="3"/>
  <c r="AV196" i="3"/>
  <c r="AU196" i="3"/>
  <c r="AT196" i="3"/>
  <c r="AS196" i="3"/>
  <c r="AQ196" i="3"/>
  <c r="AP196" i="3"/>
  <c r="AO196" i="3"/>
  <c r="AN196" i="3"/>
  <c r="AL196" i="3"/>
  <c r="AK196" i="3"/>
  <c r="AJ196" i="3"/>
  <c r="AI196" i="3"/>
  <c r="AG196" i="3"/>
  <c r="AF196" i="3"/>
  <c r="AE196" i="3"/>
  <c r="AD196" i="3"/>
  <c r="AB196" i="3"/>
  <c r="AA196" i="3"/>
  <c r="Z196" i="3"/>
  <c r="Y196" i="3"/>
  <c r="W196" i="3"/>
  <c r="V196" i="3"/>
  <c r="U196" i="3"/>
  <c r="T196" i="3"/>
  <c r="R196" i="3"/>
  <c r="Q196" i="3"/>
  <c r="P196" i="3"/>
  <c r="O196" i="3"/>
  <c r="M196" i="3"/>
  <c r="L196" i="3"/>
  <c r="K196" i="3"/>
  <c r="J196" i="3"/>
  <c r="AV195" i="3"/>
  <c r="AU195" i="3"/>
  <c r="AT195" i="3"/>
  <c r="AS195" i="3"/>
  <c r="AQ195" i="3"/>
  <c r="AP195" i="3"/>
  <c r="AO195" i="3"/>
  <c r="AN195" i="3"/>
  <c r="AL195" i="3"/>
  <c r="AK195" i="3"/>
  <c r="AJ195" i="3"/>
  <c r="AI195" i="3"/>
  <c r="AG195" i="3"/>
  <c r="AF195" i="3"/>
  <c r="AE195" i="3"/>
  <c r="AD195" i="3"/>
  <c r="AB195" i="3"/>
  <c r="AA195" i="3"/>
  <c r="Z195" i="3"/>
  <c r="Y195" i="3"/>
  <c r="W195" i="3"/>
  <c r="V195" i="3"/>
  <c r="U195" i="3"/>
  <c r="T195" i="3"/>
  <c r="R195" i="3"/>
  <c r="Q195" i="3"/>
  <c r="P195" i="3"/>
  <c r="O195" i="3"/>
  <c r="M195" i="3"/>
  <c r="L195" i="3"/>
  <c r="K195" i="3"/>
  <c r="J195" i="3"/>
  <c r="AV194" i="3"/>
  <c r="AU194" i="3"/>
  <c r="AT194" i="3"/>
  <c r="AS194" i="3"/>
  <c r="AQ194" i="3"/>
  <c r="AP194" i="3"/>
  <c r="AO194" i="3"/>
  <c r="AN194" i="3"/>
  <c r="AL194" i="3"/>
  <c r="AK194" i="3"/>
  <c r="AJ194" i="3"/>
  <c r="AI194" i="3"/>
  <c r="AG194" i="3"/>
  <c r="AF194" i="3"/>
  <c r="AE194" i="3"/>
  <c r="AD194" i="3"/>
  <c r="AB194" i="3"/>
  <c r="AA194" i="3"/>
  <c r="Z194" i="3"/>
  <c r="Y194" i="3"/>
  <c r="W194" i="3"/>
  <c r="V194" i="3"/>
  <c r="U194" i="3"/>
  <c r="T194" i="3"/>
  <c r="R194" i="3"/>
  <c r="Q194" i="3"/>
  <c r="P194" i="3"/>
  <c r="O194" i="3"/>
  <c r="M194" i="3"/>
  <c r="L194" i="3"/>
  <c r="K194" i="3"/>
  <c r="J194" i="3"/>
  <c r="AV193" i="3"/>
  <c r="AU193" i="3"/>
  <c r="AT193" i="3"/>
  <c r="AS193" i="3"/>
  <c r="AQ193" i="3"/>
  <c r="AP193" i="3"/>
  <c r="AO193" i="3"/>
  <c r="AN193" i="3"/>
  <c r="AL193" i="3"/>
  <c r="AK193" i="3"/>
  <c r="AJ193" i="3"/>
  <c r="AI193" i="3"/>
  <c r="AG193" i="3"/>
  <c r="AF193" i="3"/>
  <c r="AE193" i="3"/>
  <c r="AD193" i="3"/>
  <c r="AB193" i="3"/>
  <c r="AA193" i="3"/>
  <c r="Z193" i="3"/>
  <c r="Y193" i="3"/>
  <c r="W193" i="3"/>
  <c r="V193" i="3"/>
  <c r="U193" i="3"/>
  <c r="T193" i="3"/>
  <c r="R193" i="3"/>
  <c r="Q193" i="3"/>
  <c r="P193" i="3"/>
  <c r="O193" i="3"/>
  <c r="M193" i="3"/>
  <c r="L193" i="3"/>
  <c r="K193" i="3"/>
  <c r="J193" i="3"/>
  <c r="AV192" i="3"/>
  <c r="AU192" i="3"/>
  <c r="AT192" i="3"/>
  <c r="AS192" i="3"/>
  <c r="AQ192" i="3"/>
  <c r="AP192" i="3"/>
  <c r="AO192" i="3"/>
  <c r="AN192" i="3"/>
  <c r="AL192" i="3"/>
  <c r="AK192" i="3"/>
  <c r="AJ192" i="3"/>
  <c r="AI192" i="3"/>
  <c r="AG192" i="3"/>
  <c r="AF192" i="3"/>
  <c r="AE192" i="3"/>
  <c r="AD192" i="3"/>
  <c r="AB192" i="3"/>
  <c r="AA192" i="3"/>
  <c r="Z192" i="3"/>
  <c r="Y192" i="3"/>
  <c r="W192" i="3"/>
  <c r="V192" i="3"/>
  <c r="U192" i="3"/>
  <c r="T192" i="3"/>
  <c r="R192" i="3"/>
  <c r="Q192" i="3"/>
  <c r="P192" i="3"/>
  <c r="O192" i="3"/>
  <c r="M192" i="3"/>
  <c r="L192" i="3"/>
  <c r="K192" i="3"/>
  <c r="J192" i="3"/>
  <c r="AV191" i="3"/>
  <c r="AU191" i="3"/>
  <c r="AT191" i="3"/>
  <c r="AS191" i="3"/>
  <c r="AQ191" i="3"/>
  <c r="AP191" i="3"/>
  <c r="AO191" i="3"/>
  <c r="AN191" i="3"/>
  <c r="AL191" i="3"/>
  <c r="AK191" i="3"/>
  <c r="AJ191" i="3"/>
  <c r="AI191" i="3"/>
  <c r="AG191" i="3"/>
  <c r="AF191" i="3"/>
  <c r="AE191" i="3"/>
  <c r="AD191" i="3"/>
  <c r="AB191" i="3"/>
  <c r="AA191" i="3"/>
  <c r="Z191" i="3"/>
  <c r="Y191" i="3"/>
  <c r="W191" i="3"/>
  <c r="V191" i="3"/>
  <c r="U191" i="3"/>
  <c r="T191" i="3"/>
  <c r="R191" i="3"/>
  <c r="Q191" i="3"/>
  <c r="P191" i="3"/>
  <c r="O191" i="3"/>
  <c r="M191" i="3"/>
  <c r="L191" i="3"/>
  <c r="K191" i="3"/>
  <c r="J191" i="3"/>
  <c r="AV190" i="3"/>
  <c r="AU190" i="3"/>
  <c r="AT190" i="3"/>
  <c r="AS190" i="3"/>
  <c r="AQ190" i="3"/>
  <c r="AP190" i="3"/>
  <c r="AO190" i="3"/>
  <c r="AN190" i="3"/>
  <c r="AL190" i="3"/>
  <c r="AK190" i="3"/>
  <c r="AJ190" i="3"/>
  <c r="AI190" i="3"/>
  <c r="AG190" i="3"/>
  <c r="AF190" i="3"/>
  <c r="AE190" i="3"/>
  <c r="AD190" i="3"/>
  <c r="AB190" i="3"/>
  <c r="AA190" i="3"/>
  <c r="Z190" i="3"/>
  <c r="Y190" i="3"/>
  <c r="W190" i="3"/>
  <c r="V190" i="3"/>
  <c r="U190" i="3"/>
  <c r="T190" i="3"/>
  <c r="R190" i="3"/>
  <c r="Q190" i="3"/>
  <c r="P190" i="3"/>
  <c r="O190" i="3"/>
  <c r="M190" i="3"/>
  <c r="L190" i="3"/>
  <c r="K190" i="3"/>
  <c r="J190" i="3"/>
  <c r="AV189" i="3"/>
  <c r="AU189" i="3"/>
  <c r="AT189" i="3"/>
  <c r="AS189" i="3"/>
  <c r="AQ189" i="3"/>
  <c r="AP189" i="3"/>
  <c r="AO189" i="3"/>
  <c r="AN189" i="3"/>
  <c r="AL189" i="3"/>
  <c r="AK189" i="3"/>
  <c r="AJ189" i="3"/>
  <c r="AI189" i="3"/>
  <c r="AG189" i="3"/>
  <c r="AF189" i="3"/>
  <c r="AE189" i="3"/>
  <c r="AD189" i="3"/>
  <c r="AB189" i="3"/>
  <c r="AA189" i="3"/>
  <c r="Z189" i="3"/>
  <c r="Y189" i="3"/>
  <c r="W189" i="3"/>
  <c r="V189" i="3"/>
  <c r="U189" i="3"/>
  <c r="T189" i="3"/>
  <c r="R189" i="3"/>
  <c r="Q189" i="3"/>
  <c r="P189" i="3"/>
  <c r="O189" i="3"/>
  <c r="M189" i="3"/>
  <c r="L189" i="3"/>
  <c r="K189" i="3"/>
  <c r="J189" i="3"/>
  <c r="AV188" i="3"/>
  <c r="AU188" i="3"/>
  <c r="AT188" i="3"/>
  <c r="AS188" i="3"/>
  <c r="AQ188" i="3"/>
  <c r="AP188" i="3"/>
  <c r="AO188" i="3"/>
  <c r="AN188" i="3"/>
  <c r="AL188" i="3"/>
  <c r="AK188" i="3"/>
  <c r="AJ188" i="3"/>
  <c r="AI188" i="3"/>
  <c r="AG188" i="3"/>
  <c r="AF188" i="3"/>
  <c r="AE188" i="3"/>
  <c r="AD188" i="3"/>
  <c r="AB188" i="3"/>
  <c r="AA188" i="3"/>
  <c r="Z188" i="3"/>
  <c r="Y188" i="3"/>
  <c r="W188" i="3"/>
  <c r="V188" i="3"/>
  <c r="U188" i="3"/>
  <c r="T188" i="3"/>
  <c r="R188" i="3"/>
  <c r="Q188" i="3"/>
  <c r="P188" i="3"/>
  <c r="O188" i="3"/>
  <c r="M188" i="3"/>
  <c r="L188" i="3"/>
  <c r="K188" i="3"/>
  <c r="J188" i="3"/>
  <c r="AV187" i="3"/>
  <c r="AU187" i="3"/>
  <c r="AT187" i="3"/>
  <c r="AS187" i="3"/>
  <c r="AQ187" i="3"/>
  <c r="AP187" i="3"/>
  <c r="AO187" i="3"/>
  <c r="AN187" i="3"/>
  <c r="AL187" i="3"/>
  <c r="AK187" i="3"/>
  <c r="AJ187" i="3"/>
  <c r="AI187" i="3"/>
  <c r="AG187" i="3"/>
  <c r="AF187" i="3"/>
  <c r="AE187" i="3"/>
  <c r="AD187" i="3"/>
  <c r="AB187" i="3"/>
  <c r="AA187" i="3"/>
  <c r="Z187" i="3"/>
  <c r="Y187" i="3"/>
  <c r="W187" i="3"/>
  <c r="V187" i="3"/>
  <c r="U187" i="3"/>
  <c r="T187" i="3"/>
  <c r="R187" i="3"/>
  <c r="Q187" i="3"/>
  <c r="P187" i="3"/>
  <c r="O187" i="3"/>
  <c r="M187" i="3"/>
  <c r="L187" i="3"/>
  <c r="K187" i="3"/>
  <c r="J187" i="3"/>
  <c r="AV186" i="3"/>
  <c r="AU186" i="3"/>
  <c r="AT186" i="3"/>
  <c r="AS186" i="3"/>
  <c r="AQ186" i="3"/>
  <c r="AP186" i="3"/>
  <c r="AO186" i="3"/>
  <c r="AN186" i="3"/>
  <c r="AL186" i="3"/>
  <c r="AK186" i="3"/>
  <c r="AJ186" i="3"/>
  <c r="AI186" i="3"/>
  <c r="AG186" i="3"/>
  <c r="AF186" i="3"/>
  <c r="AE186" i="3"/>
  <c r="AD186" i="3"/>
  <c r="AB186" i="3"/>
  <c r="AA186" i="3"/>
  <c r="Z186" i="3"/>
  <c r="Y186" i="3"/>
  <c r="W186" i="3"/>
  <c r="V186" i="3"/>
  <c r="U186" i="3"/>
  <c r="T186" i="3"/>
  <c r="R186" i="3"/>
  <c r="Q186" i="3"/>
  <c r="P186" i="3"/>
  <c r="O186" i="3"/>
  <c r="M186" i="3"/>
  <c r="L186" i="3"/>
  <c r="K186" i="3"/>
  <c r="J186" i="3"/>
  <c r="AV185" i="3"/>
  <c r="AU185" i="3"/>
  <c r="AT185" i="3"/>
  <c r="AS185" i="3"/>
  <c r="AQ185" i="3"/>
  <c r="AP185" i="3"/>
  <c r="AO185" i="3"/>
  <c r="AN185" i="3"/>
  <c r="AL185" i="3"/>
  <c r="AK185" i="3"/>
  <c r="AJ185" i="3"/>
  <c r="AI185" i="3"/>
  <c r="AG185" i="3"/>
  <c r="AF185" i="3"/>
  <c r="AE185" i="3"/>
  <c r="AD185" i="3"/>
  <c r="AB185" i="3"/>
  <c r="AA185" i="3"/>
  <c r="Z185" i="3"/>
  <c r="Y185" i="3"/>
  <c r="W185" i="3"/>
  <c r="V185" i="3"/>
  <c r="U185" i="3"/>
  <c r="T185" i="3"/>
  <c r="R185" i="3"/>
  <c r="Q185" i="3"/>
  <c r="P185" i="3"/>
  <c r="O185" i="3"/>
  <c r="M185" i="3"/>
  <c r="L185" i="3"/>
  <c r="K185" i="3"/>
  <c r="J185" i="3"/>
  <c r="AV184" i="3"/>
  <c r="AU184" i="3"/>
  <c r="AT184" i="3"/>
  <c r="AS184" i="3"/>
  <c r="AQ184" i="3"/>
  <c r="AP184" i="3"/>
  <c r="AO184" i="3"/>
  <c r="AN184" i="3"/>
  <c r="AL184" i="3"/>
  <c r="AK184" i="3"/>
  <c r="AJ184" i="3"/>
  <c r="AI184" i="3"/>
  <c r="AG184" i="3"/>
  <c r="AF184" i="3"/>
  <c r="AE184" i="3"/>
  <c r="AD184" i="3"/>
  <c r="AB184" i="3"/>
  <c r="AA184" i="3"/>
  <c r="Z184" i="3"/>
  <c r="Y184" i="3"/>
  <c r="W184" i="3"/>
  <c r="V184" i="3"/>
  <c r="U184" i="3"/>
  <c r="T184" i="3"/>
  <c r="R184" i="3"/>
  <c r="Q184" i="3"/>
  <c r="P184" i="3"/>
  <c r="O184" i="3"/>
  <c r="M184" i="3"/>
  <c r="L184" i="3"/>
  <c r="K184" i="3"/>
  <c r="J184" i="3"/>
  <c r="AV183" i="3"/>
  <c r="AU183" i="3"/>
  <c r="AT183" i="3"/>
  <c r="AS183" i="3"/>
  <c r="AQ183" i="3"/>
  <c r="AP183" i="3"/>
  <c r="AO183" i="3"/>
  <c r="AN183" i="3"/>
  <c r="AL183" i="3"/>
  <c r="AK183" i="3"/>
  <c r="AJ183" i="3"/>
  <c r="AI183" i="3"/>
  <c r="AG183" i="3"/>
  <c r="AF183" i="3"/>
  <c r="AE183" i="3"/>
  <c r="AD183" i="3"/>
  <c r="AB183" i="3"/>
  <c r="AA183" i="3"/>
  <c r="Z183" i="3"/>
  <c r="Y183" i="3"/>
  <c r="W183" i="3"/>
  <c r="V183" i="3"/>
  <c r="U183" i="3"/>
  <c r="T183" i="3"/>
  <c r="R183" i="3"/>
  <c r="Q183" i="3"/>
  <c r="P183" i="3"/>
  <c r="O183" i="3"/>
  <c r="M183" i="3"/>
  <c r="L183" i="3"/>
  <c r="K183" i="3"/>
  <c r="J183" i="3"/>
  <c r="AV182" i="3"/>
  <c r="AU182" i="3"/>
  <c r="AT182" i="3"/>
  <c r="AS182" i="3"/>
  <c r="AQ182" i="3"/>
  <c r="AP182" i="3"/>
  <c r="AO182" i="3"/>
  <c r="AN182" i="3"/>
  <c r="AL182" i="3"/>
  <c r="AK182" i="3"/>
  <c r="AJ182" i="3"/>
  <c r="AI182" i="3"/>
  <c r="AG182" i="3"/>
  <c r="AF182" i="3"/>
  <c r="AE182" i="3"/>
  <c r="AD182" i="3"/>
  <c r="AB182" i="3"/>
  <c r="AA182" i="3"/>
  <c r="Z182" i="3"/>
  <c r="Y182" i="3"/>
  <c r="W182" i="3"/>
  <c r="V182" i="3"/>
  <c r="U182" i="3"/>
  <c r="T182" i="3"/>
  <c r="R182" i="3"/>
  <c r="Q182" i="3"/>
  <c r="P182" i="3"/>
  <c r="O182" i="3"/>
  <c r="M182" i="3"/>
  <c r="L182" i="3"/>
  <c r="K182" i="3"/>
  <c r="J182" i="3"/>
  <c r="AV181" i="3"/>
  <c r="AU181" i="3"/>
  <c r="AT181" i="3"/>
  <c r="AS181" i="3"/>
  <c r="AQ181" i="3"/>
  <c r="AP181" i="3"/>
  <c r="AO181" i="3"/>
  <c r="AN181" i="3"/>
  <c r="AL181" i="3"/>
  <c r="AK181" i="3"/>
  <c r="AJ181" i="3"/>
  <c r="AI181" i="3"/>
  <c r="AG181" i="3"/>
  <c r="AF181" i="3"/>
  <c r="AE181" i="3"/>
  <c r="AD181" i="3"/>
  <c r="AB181" i="3"/>
  <c r="AA181" i="3"/>
  <c r="Z181" i="3"/>
  <c r="Y181" i="3"/>
  <c r="W181" i="3"/>
  <c r="V181" i="3"/>
  <c r="U181" i="3"/>
  <c r="T181" i="3"/>
  <c r="R181" i="3"/>
  <c r="Q181" i="3"/>
  <c r="P181" i="3"/>
  <c r="O181" i="3"/>
  <c r="M181" i="3"/>
  <c r="L181" i="3"/>
  <c r="K181" i="3"/>
  <c r="J181" i="3"/>
  <c r="AV180" i="3"/>
  <c r="AU180" i="3"/>
  <c r="AT180" i="3"/>
  <c r="AS180" i="3"/>
  <c r="AQ180" i="3"/>
  <c r="AP180" i="3"/>
  <c r="AO180" i="3"/>
  <c r="AN180" i="3"/>
  <c r="AL180" i="3"/>
  <c r="AK180" i="3"/>
  <c r="AJ180" i="3"/>
  <c r="AI180" i="3"/>
  <c r="AG180" i="3"/>
  <c r="AF180" i="3"/>
  <c r="AE180" i="3"/>
  <c r="AD180" i="3"/>
  <c r="AB180" i="3"/>
  <c r="AA180" i="3"/>
  <c r="Z180" i="3"/>
  <c r="Y180" i="3"/>
  <c r="W180" i="3"/>
  <c r="V180" i="3"/>
  <c r="U180" i="3"/>
  <c r="T180" i="3"/>
  <c r="R180" i="3"/>
  <c r="Q180" i="3"/>
  <c r="P180" i="3"/>
  <c r="O180" i="3"/>
  <c r="M180" i="3"/>
  <c r="L180" i="3"/>
  <c r="K180" i="3"/>
  <c r="J180" i="3"/>
  <c r="AV179" i="3"/>
  <c r="AU179" i="3"/>
  <c r="AT179" i="3"/>
  <c r="AS179" i="3"/>
  <c r="AQ179" i="3"/>
  <c r="AP179" i="3"/>
  <c r="AO179" i="3"/>
  <c r="AN179" i="3"/>
  <c r="AL179" i="3"/>
  <c r="AK179" i="3"/>
  <c r="AJ179" i="3"/>
  <c r="AI179" i="3"/>
  <c r="AG179" i="3"/>
  <c r="AF179" i="3"/>
  <c r="AE179" i="3"/>
  <c r="AD179" i="3"/>
  <c r="AB179" i="3"/>
  <c r="AA179" i="3"/>
  <c r="Z179" i="3"/>
  <c r="Y179" i="3"/>
  <c r="W179" i="3"/>
  <c r="V179" i="3"/>
  <c r="U179" i="3"/>
  <c r="T179" i="3"/>
  <c r="R179" i="3"/>
  <c r="Q179" i="3"/>
  <c r="P179" i="3"/>
  <c r="O179" i="3"/>
  <c r="M179" i="3"/>
  <c r="L179" i="3"/>
  <c r="K179" i="3"/>
  <c r="J179" i="3"/>
  <c r="AV178" i="3"/>
  <c r="AU178" i="3"/>
  <c r="AT178" i="3"/>
  <c r="AS178" i="3"/>
  <c r="AQ178" i="3"/>
  <c r="AP178" i="3"/>
  <c r="AO178" i="3"/>
  <c r="AN178" i="3"/>
  <c r="AL178" i="3"/>
  <c r="AK178" i="3"/>
  <c r="AJ178" i="3"/>
  <c r="AI178" i="3"/>
  <c r="AG178" i="3"/>
  <c r="AF178" i="3"/>
  <c r="AE178" i="3"/>
  <c r="AD178" i="3"/>
  <c r="AB178" i="3"/>
  <c r="AA178" i="3"/>
  <c r="Z178" i="3"/>
  <c r="Y178" i="3"/>
  <c r="W178" i="3"/>
  <c r="V178" i="3"/>
  <c r="U178" i="3"/>
  <c r="T178" i="3"/>
  <c r="R178" i="3"/>
  <c r="Q178" i="3"/>
  <c r="P178" i="3"/>
  <c r="O178" i="3"/>
  <c r="M178" i="3"/>
  <c r="L178" i="3"/>
  <c r="K178" i="3"/>
  <c r="J178" i="3"/>
  <c r="AV177" i="3"/>
  <c r="AU177" i="3"/>
  <c r="AT177" i="3"/>
  <c r="AS177" i="3"/>
  <c r="AQ177" i="3"/>
  <c r="AP177" i="3"/>
  <c r="AO177" i="3"/>
  <c r="AN177" i="3"/>
  <c r="AL177" i="3"/>
  <c r="AK177" i="3"/>
  <c r="AJ177" i="3"/>
  <c r="AI177" i="3"/>
  <c r="AG177" i="3"/>
  <c r="AF177" i="3"/>
  <c r="AE177" i="3"/>
  <c r="AD177" i="3"/>
  <c r="AB177" i="3"/>
  <c r="AA177" i="3"/>
  <c r="Z177" i="3"/>
  <c r="Y177" i="3"/>
  <c r="W177" i="3"/>
  <c r="V177" i="3"/>
  <c r="U177" i="3"/>
  <c r="T177" i="3"/>
  <c r="R177" i="3"/>
  <c r="Q177" i="3"/>
  <c r="P177" i="3"/>
  <c r="O177" i="3"/>
  <c r="M177" i="3"/>
  <c r="L177" i="3"/>
  <c r="K177" i="3"/>
  <c r="J177" i="3"/>
  <c r="AV176" i="3"/>
  <c r="AU176" i="3"/>
  <c r="AT176" i="3"/>
  <c r="AS176" i="3"/>
  <c r="AQ176" i="3"/>
  <c r="AP176" i="3"/>
  <c r="AO176" i="3"/>
  <c r="AN176" i="3"/>
  <c r="AL176" i="3"/>
  <c r="AK176" i="3"/>
  <c r="AJ176" i="3"/>
  <c r="AI176" i="3"/>
  <c r="AG176" i="3"/>
  <c r="AF176" i="3"/>
  <c r="AE176" i="3"/>
  <c r="AD176" i="3"/>
  <c r="AB176" i="3"/>
  <c r="AA176" i="3"/>
  <c r="Z176" i="3"/>
  <c r="Y176" i="3"/>
  <c r="W176" i="3"/>
  <c r="V176" i="3"/>
  <c r="U176" i="3"/>
  <c r="T176" i="3"/>
  <c r="R176" i="3"/>
  <c r="Q176" i="3"/>
  <c r="P176" i="3"/>
  <c r="O176" i="3"/>
  <c r="M176" i="3"/>
  <c r="L176" i="3"/>
  <c r="K176" i="3"/>
  <c r="J176" i="3"/>
  <c r="AV175" i="3"/>
  <c r="AU175" i="3"/>
  <c r="AT175" i="3"/>
  <c r="AS175" i="3"/>
  <c r="AQ175" i="3"/>
  <c r="AP175" i="3"/>
  <c r="AO175" i="3"/>
  <c r="AN175" i="3"/>
  <c r="AL175" i="3"/>
  <c r="AK175" i="3"/>
  <c r="AJ175" i="3"/>
  <c r="AI175" i="3"/>
  <c r="AG175" i="3"/>
  <c r="AF175" i="3"/>
  <c r="AE175" i="3"/>
  <c r="AD175" i="3"/>
  <c r="AB175" i="3"/>
  <c r="AA175" i="3"/>
  <c r="Z175" i="3"/>
  <c r="Y175" i="3"/>
  <c r="W175" i="3"/>
  <c r="V175" i="3"/>
  <c r="U175" i="3"/>
  <c r="T175" i="3"/>
  <c r="R175" i="3"/>
  <c r="Q175" i="3"/>
  <c r="P175" i="3"/>
  <c r="O175" i="3"/>
  <c r="M175" i="3"/>
  <c r="L175" i="3"/>
  <c r="K175" i="3"/>
  <c r="J175" i="3"/>
  <c r="AV174" i="3"/>
  <c r="AU174" i="3"/>
  <c r="AT174" i="3"/>
  <c r="AS174" i="3"/>
  <c r="AQ174" i="3"/>
  <c r="AP174" i="3"/>
  <c r="AO174" i="3"/>
  <c r="AN174" i="3"/>
  <c r="AL174" i="3"/>
  <c r="AK174" i="3"/>
  <c r="AJ174" i="3"/>
  <c r="AI174" i="3"/>
  <c r="AG174" i="3"/>
  <c r="AF174" i="3"/>
  <c r="AE174" i="3"/>
  <c r="AD174" i="3"/>
  <c r="AB174" i="3"/>
  <c r="AA174" i="3"/>
  <c r="Z174" i="3"/>
  <c r="Y174" i="3"/>
  <c r="W174" i="3"/>
  <c r="V174" i="3"/>
  <c r="U174" i="3"/>
  <c r="T174" i="3"/>
  <c r="R174" i="3"/>
  <c r="Q174" i="3"/>
  <c r="P174" i="3"/>
  <c r="O174" i="3"/>
  <c r="M174" i="3"/>
  <c r="L174" i="3"/>
  <c r="K174" i="3"/>
  <c r="J174" i="3"/>
  <c r="AV173" i="3"/>
  <c r="AU173" i="3"/>
  <c r="AT173" i="3"/>
  <c r="AS173" i="3"/>
  <c r="AQ173" i="3"/>
  <c r="AP173" i="3"/>
  <c r="AO173" i="3"/>
  <c r="AN173" i="3"/>
  <c r="AL173" i="3"/>
  <c r="AK173" i="3"/>
  <c r="AJ173" i="3"/>
  <c r="AI173" i="3"/>
  <c r="AG173" i="3"/>
  <c r="AF173" i="3"/>
  <c r="AE173" i="3"/>
  <c r="AD173" i="3"/>
  <c r="AB173" i="3"/>
  <c r="AA173" i="3"/>
  <c r="Z173" i="3"/>
  <c r="Y173" i="3"/>
  <c r="W173" i="3"/>
  <c r="V173" i="3"/>
  <c r="U173" i="3"/>
  <c r="T173" i="3"/>
  <c r="R173" i="3"/>
  <c r="Q173" i="3"/>
  <c r="P173" i="3"/>
  <c r="O173" i="3"/>
  <c r="M173" i="3"/>
  <c r="L173" i="3"/>
  <c r="K173" i="3"/>
  <c r="J173" i="3"/>
  <c r="AV172" i="3"/>
  <c r="AU172" i="3"/>
  <c r="AT172" i="3"/>
  <c r="AS172" i="3"/>
  <c r="AQ172" i="3"/>
  <c r="AP172" i="3"/>
  <c r="AO172" i="3"/>
  <c r="AN172" i="3"/>
  <c r="AL172" i="3"/>
  <c r="AK172" i="3"/>
  <c r="AJ172" i="3"/>
  <c r="AI172" i="3"/>
  <c r="AG172" i="3"/>
  <c r="AF172" i="3"/>
  <c r="AE172" i="3"/>
  <c r="AD172" i="3"/>
  <c r="AB172" i="3"/>
  <c r="AA172" i="3"/>
  <c r="Z172" i="3"/>
  <c r="Y172" i="3"/>
  <c r="W172" i="3"/>
  <c r="V172" i="3"/>
  <c r="U172" i="3"/>
  <c r="T172" i="3"/>
  <c r="R172" i="3"/>
  <c r="Q172" i="3"/>
  <c r="P172" i="3"/>
  <c r="O172" i="3"/>
  <c r="M172" i="3"/>
  <c r="L172" i="3"/>
  <c r="K172" i="3"/>
  <c r="J172" i="3"/>
  <c r="AV171" i="3"/>
  <c r="AU171" i="3"/>
  <c r="AT171" i="3"/>
  <c r="AS171" i="3"/>
  <c r="AQ171" i="3"/>
  <c r="AP171" i="3"/>
  <c r="AO171" i="3"/>
  <c r="AN171" i="3"/>
  <c r="AL171" i="3"/>
  <c r="AK171" i="3"/>
  <c r="AJ171" i="3"/>
  <c r="AI171" i="3"/>
  <c r="AG171" i="3"/>
  <c r="AF171" i="3"/>
  <c r="AE171" i="3"/>
  <c r="AD171" i="3"/>
  <c r="AB171" i="3"/>
  <c r="AA171" i="3"/>
  <c r="Z171" i="3"/>
  <c r="Y171" i="3"/>
  <c r="W171" i="3"/>
  <c r="V171" i="3"/>
  <c r="U171" i="3"/>
  <c r="T171" i="3"/>
  <c r="R171" i="3"/>
  <c r="Q171" i="3"/>
  <c r="P171" i="3"/>
  <c r="O171" i="3"/>
  <c r="M171" i="3"/>
  <c r="L171" i="3"/>
  <c r="K171" i="3"/>
  <c r="J171" i="3"/>
  <c r="AV170" i="3"/>
  <c r="AU170" i="3"/>
  <c r="AT170" i="3"/>
  <c r="AS170" i="3"/>
  <c r="AQ170" i="3"/>
  <c r="AP170" i="3"/>
  <c r="AO170" i="3"/>
  <c r="AN170" i="3"/>
  <c r="AL170" i="3"/>
  <c r="AK170" i="3"/>
  <c r="AJ170" i="3"/>
  <c r="AI170" i="3"/>
  <c r="AG170" i="3"/>
  <c r="AF170" i="3"/>
  <c r="AE170" i="3"/>
  <c r="AD170" i="3"/>
  <c r="AB170" i="3"/>
  <c r="AA170" i="3"/>
  <c r="Z170" i="3"/>
  <c r="Y170" i="3"/>
  <c r="W170" i="3"/>
  <c r="V170" i="3"/>
  <c r="U170" i="3"/>
  <c r="T170" i="3"/>
  <c r="R170" i="3"/>
  <c r="Q170" i="3"/>
  <c r="P170" i="3"/>
  <c r="O170" i="3"/>
  <c r="M170" i="3"/>
  <c r="L170" i="3"/>
  <c r="K170" i="3"/>
  <c r="J170" i="3"/>
  <c r="AV169" i="3"/>
  <c r="AU169" i="3"/>
  <c r="AT169" i="3"/>
  <c r="AS169" i="3"/>
  <c r="AQ169" i="3"/>
  <c r="AP169" i="3"/>
  <c r="AO169" i="3"/>
  <c r="AN169" i="3"/>
  <c r="AL169" i="3"/>
  <c r="AK169" i="3"/>
  <c r="AJ169" i="3"/>
  <c r="AI169" i="3"/>
  <c r="AG169" i="3"/>
  <c r="AF169" i="3"/>
  <c r="AE169" i="3"/>
  <c r="AD169" i="3"/>
  <c r="AB169" i="3"/>
  <c r="AA169" i="3"/>
  <c r="Z169" i="3"/>
  <c r="Y169" i="3"/>
  <c r="W169" i="3"/>
  <c r="V169" i="3"/>
  <c r="U169" i="3"/>
  <c r="T169" i="3"/>
  <c r="R169" i="3"/>
  <c r="Q169" i="3"/>
  <c r="P169" i="3"/>
  <c r="O169" i="3"/>
  <c r="M169" i="3"/>
  <c r="L169" i="3"/>
  <c r="K169" i="3"/>
  <c r="J169" i="3"/>
  <c r="AV168" i="3"/>
  <c r="AU168" i="3"/>
  <c r="AT168" i="3"/>
  <c r="AS168" i="3"/>
  <c r="AQ168" i="3"/>
  <c r="AP168" i="3"/>
  <c r="AO168" i="3"/>
  <c r="AN168" i="3"/>
  <c r="AL168" i="3"/>
  <c r="AK168" i="3"/>
  <c r="AJ168" i="3"/>
  <c r="AI168" i="3"/>
  <c r="AG168" i="3"/>
  <c r="AF168" i="3"/>
  <c r="AE168" i="3"/>
  <c r="AD168" i="3"/>
  <c r="AB168" i="3"/>
  <c r="AA168" i="3"/>
  <c r="Z168" i="3"/>
  <c r="Y168" i="3"/>
  <c r="W168" i="3"/>
  <c r="V168" i="3"/>
  <c r="U168" i="3"/>
  <c r="T168" i="3"/>
  <c r="R168" i="3"/>
  <c r="Q168" i="3"/>
  <c r="P168" i="3"/>
  <c r="O168" i="3"/>
  <c r="M168" i="3"/>
  <c r="L168" i="3"/>
  <c r="K168" i="3"/>
  <c r="J168" i="3"/>
  <c r="AV167" i="3"/>
  <c r="AU167" i="3"/>
  <c r="AT167" i="3"/>
  <c r="AS167" i="3"/>
  <c r="AQ167" i="3"/>
  <c r="AP167" i="3"/>
  <c r="AO167" i="3"/>
  <c r="AN167" i="3"/>
  <c r="AL167" i="3"/>
  <c r="AK167" i="3"/>
  <c r="AJ167" i="3"/>
  <c r="AI167" i="3"/>
  <c r="AG167" i="3"/>
  <c r="AF167" i="3"/>
  <c r="AE167" i="3"/>
  <c r="AD167" i="3"/>
  <c r="AB167" i="3"/>
  <c r="AA167" i="3"/>
  <c r="Z167" i="3"/>
  <c r="Y167" i="3"/>
  <c r="W167" i="3"/>
  <c r="V167" i="3"/>
  <c r="U167" i="3"/>
  <c r="T167" i="3"/>
  <c r="R167" i="3"/>
  <c r="Q167" i="3"/>
  <c r="P167" i="3"/>
  <c r="O167" i="3"/>
  <c r="M167" i="3"/>
  <c r="L167" i="3"/>
  <c r="K167" i="3"/>
  <c r="J167" i="3"/>
  <c r="AV166" i="3"/>
  <c r="AU166" i="3"/>
  <c r="AT166" i="3"/>
  <c r="AS166" i="3"/>
  <c r="AQ166" i="3"/>
  <c r="AP166" i="3"/>
  <c r="AO166" i="3"/>
  <c r="AN166" i="3"/>
  <c r="AL166" i="3"/>
  <c r="AK166" i="3"/>
  <c r="AJ166" i="3"/>
  <c r="AI166" i="3"/>
  <c r="AG166" i="3"/>
  <c r="AF166" i="3"/>
  <c r="AE166" i="3"/>
  <c r="AD166" i="3"/>
  <c r="AB166" i="3"/>
  <c r="AA166" i="3"/>
  <c r="Z166" i="3"/>
  <c r="Y166" i="3"/>
  <c r="W166" i="3"/>
  <c r="V166" i="3"/>
  <c r="U166" i="3"/>
  <c r="T166" i="3"/>
  <c r="R166" i="3"/>
  <c r="Q166" i="3"/>
  <c r="P166" i="3"/>
  <c r="O166" i="3"/>
  <c r="M166" i="3"/>
  <c r="L166" i="3"/>
  <c r="K166" i="3"/>
  <c r="J166" i="3"/>
  <c r="AV165" i="3"/>
  <c r="AU165" i="3"/>
  <c r="AT165" i="3"/>
  <c r="AS165" i="3"/>
  <c r="AQ165" i="3"/>
  <c r="AP165" i="3"/>
  <c r="AO165" i="3"/>
  <c r="AN165" i="3"/>
  <c r="AL165" i="3"/>
  <c r="AK165" i="3"/>
  <c r="AJ165" i="3"/>
  <c r="AI165" i="3"/>
  <c r="AG165" i="3"/>
  <c r="AF165" i="3"/>
  <c r="AE165" i="3"/>
  <c r="AD165" i="3"/>
  <c r="AB165" i="3"/>
  <c r="AA165" i="3"/>
  <c r="Z165" i="3"/>
  <c r="Y165" i="3"/>
  <c r="W165" i="3"/>
  <c r="V165" i="3"/>
  <c r="U165" i="3"/>
  <c r="T165" i="3"/>
  <c r="R165" i="3"/>
  <c r="Q165" i="3"/>
  <c r="P165" i="3"/>
  <c r="O165" i="3"/>
  <c r="M165" i="3"/>
  <c r="L165" i="3"/>
  <c r="K165" i="3"/>
  <c r="J165" i="3"/>
  <c r="AV164" i="3"/>
  <c r="AU164" i="3"/>
  <c r="AT164" i="3"/>
  <c r="AS164" i="3"/>
  <c r="AQ164" i="3"/>
  <c r="AP164" i="3"/>
  <c r="AO164" i="3"/>
  <c r="AN164" i="3"/>
  <c r="AL164" i="3"/>
  <c r="AK164" i="3"/>
  <c r="AJ164" i="3"/>
  <c r="AI164" i="3"/>
  <c r="AG164" i="3"/>
  <c r="AF164" i="3"/>
  <c r="AE164" i="3"/>
  <c r="AD164" i="3"/>
  <c r="AB164" i="3"/>
  <c r="AA164" i="3"/>
  <c r="Z164" i="3"/>
  <c r="Y164" i="3"/>
  <c r="W164" i="3"/>
  <c r="V164" i="3"/>
  <c r="U164" i="3"/>
  <c r="T164" i="3"/>
  <c r="R164" i="3"/>
  <c r="Q164" i="3"/>
  <c r="P164" i="3"/>
  <c r="O164" i="3"/>
  <c r="M164" i="3"/>
  <c r="L164" i="3"/>
  <c r="K164" i="3"/>
  <c r="J164" i="3"/>
  <c r="AV163" i="3"/>
  <c r="AU163" i="3"/>
  <c r="AT163" i="3"/>
  <c r="AS163" i="3"/>
  <c r="AQ163" i="3"/>
  <c r="AP163" i="3"/>
  <c r="AO163" i="3"/>
  <c r="AN163" i="3"/>
  <c r="AL163" i="3"/>
  <c r="AK163" i="3"/>
  <c r="AJ163" i="3"/>
  <c r="AI163" i="3"/>
  <c r="AG163" i="3"/>
  <c r="AF163" i="3"/>
  <c r="AE163" i="3"/>
  <c r="AD163" i="3"/>
  <c r="AB163" i="3"/>
  <c r="AA163" i="3"/>
  <c r="Z163" i="3"/>
  <c r="Y163" i="3"/>
  <c r="W163" i="3"/>
  <c r="V163" i="3"/>
  <c r="U163" i="3"/>
  <c r="T163" i="3"/>
  <c r="R163" i="3"/>
  <c r="Q163" i="3"/>
  <c r="P163" i="3"/>
  <c r="O163" i="3"/>
  <c r="M163" i="3"/>
  <c r="L163" i="3"/>
  <c r="K163" i="3"/>
  <c r="J163" i="3"/>
  <c r="AV162" i="3"/>
  <c r="AU162" i="3"/>
  <c r="AT162" i="3"/>
  <c r="AS162" i="3"/>
  <c r="AQ162" i="3"/>
  <c r="AP162" i="3"/>
  <c r="AO162" i="3"/>
  <c r="AN162" i="3"/>
  <c r="AL162" i="3"/>
  <c r="AK162" i="3"/>
  <c r="AJ162" i="3"/>
  <c r="AI162" i="3"/>
  <c r="AG162" i="3"/>
  <c r="AF162" i="3"/>
  <c r="AE162" i="3"/>
  <c r="AD162" i="3"/>
  <c r="AB162" i="3"/>
  <c r="AA162" i="3"/>
  <c r="Z162" i="3"/>
  <c r="Y162" i="3"/>
  <c r="W162" i="3"/>
  <c r="V162" i="3"/>
  <c r="U162" i="3"/>
  <c r="T162" i="3"/>
  <c r="R162" i="3"/>
  <c r="Q162" i="3"/>
  <c r="P162" i="3"/>
  <c r="O162" i="3"/>
  <c r="M162" i="3"/>
  <c r="L162" i="3"/>
  <c r="K162" i="3"/>
  <c r="J162" i="3"/>
  <c r="AV161" i="3"/>
  <c r="AU161" i="3"/>
  <c r="AT161" i="3"/>
  <c r="AS161" i="3"/>
  <c r="AQ161" i="3"/>
  <c r="AP161" i="3"/>
  <c r="AO161" i="3"/>
  <c r="AN161" i="3"/>
  <c r="AL161" i="3"/>
  <c r="AK161" i="3"/>
  <c r="AJ161" i="3"/>
  <c r="AI161" i="3"/>
  <c r="AG161" i="3"/>
  <c r="AF161" i="3"/>
  <c r="AE161" i="3"/>
  <c r="AD161" i="3"/>
  <c r="AB161" i="3"/>
  <c r="AA161" i="3"/>
  <c r="Z161" i="3"/>
  <c r="Y161" i="3"/>
  <c r="W161" i="3"/>
  <c r="V161" i="3"/>
  <c r="U161" i="3"/>
  <c r="T161" i="3"/>
  <c r="R161" i="3"/>
  <c r="Q161" i="3"/>
  <c r="P161" i="3"/>
  <c r="O161" i="3"/>
  <c r="M161" i="3"/>
  <c r="L161" i="3"/>
  <c r="K161" i="3"/>
  <c r="J161" i="3"/>
  <c r="AV160" i="3"/>
  <c r="AU160" i="3"/>
  <c r="AT160" i="3"/>
  <c r="AS160" i="3"/>
  <c r="AQ160" i="3"/>
  <c r="AP160" i="3"/>
  <c r="AO160" i="3"/>
  <c r="AN160" i="3"/>
  <c r="AL160" i="3"/>
  <c r="AK160" i="3"/>
  <c r="AJ160" i="3"/>
  <c r="AI160" i="3"/>
  <c r="AG160" i="3"/>
  <c r="AF160" i="3"/>
  <c r="AE160" i="3"/>
  <c r="AD160" i="3"/>
  <c r="AB160" i="3"/>
  <c r="AA160" i="3"/>
  <c r="Z160" i="3"/>
  <c r="Y160" i="3"/>
  <c r="W160" i="3"/>
  <c r="V160" i="3"/>
  <c r="U160" i="3"/>
  <c r="T160" i="3"/>
  <c r="R160" i="3"/>
  <c r="Q160" i="3"/>
  <c r="P160" i="3"/>
  <c r="O160" i="3"/>
  <c r="M160" i="3"/>
  <c r="L160" i="3"/>
  <c r="K160" i="3"/>
  <c r="J160" i="3"/>
  <c r="AV159" i="3"/>
  <c r="AU159" i="3"/>
  <c r="AT159" i="3"/>
  <c r="AS159" i="3"/>
  <c r="AQ159" i="3"/>
  <c r="AP159" i="3"/>
  <c r="AO159" i="3"/>
  <c r="AN159" i="3"/>
  <c r="AL159" i="3"/>
  <c r="AK159" i="3"/>
  <c r="AJ159" i="3"/>
  <c r="AI159" i="3"/>
  <c r="AG159" i="3"/>
  <c r="AF159" i="3"/>
  <c r="AE159" i="3"/>
  <c r="AD159" i="3"/>
  <c r="AB159" i="3"/>
  <c r="AA159" i="3"/>
  <c r="Z159" i="3"/>
  <c r="Y159" i="3"/>
  <c r="W159" i="3"/>
  <c r="V159" i="3"/>
  <c r="U159" i="3"/>
  <c r="T159" i="3"/>
  <c r="R159" i="3"/>
  <c r="Q159" i="3"/>
  <c r="P159" i="3"/>
  <c r="O159" i="3"/>
  <c r="M159" i="3"/>
  <c r="L159" i="3"/>
  <c r="K159" i="3"/>
  <c r="J159" i="3"/>
  <c r="AV158" i="3"/>
  <c r="AU158" i="3"/>
  <c r="AT158" i="3"/>
  <c r="AS158" i="3"/>
  <c r="AQ158" i="3"/>
  <c r="AP158" i="3"/>
  <c r="AO158" i="3"/>
  <c r="AN158" i="3"/>
  <c r="AL158" i="3"/>
  <c r="AK158" i="3"/>
  <c r="AJ158" i="3"/>
  <c r="AI158" i="3"/>
  <c r="AG158" i="3"/>
  <c r="AF158" i="3"/>
  <c r="AE158" i="3"/>
  <c r="AD158" i="3"/>
  <c r="AB158" i="3"/>
  <c r="AA158" i="3"/>
  <c r="Z158" i="3"/>
  <c r="Y158" i="3"/>
  <c r="W158" i="3"/>
  <c r="V158" i="3"/>
  <c r="U158" i="3"/>
  <c r="T158" i="3"/>
  <c r="R158" i="3"/>
  <c r="Q158" i="3"/>
  <c r="P158" i="3"/>
  <c r="O158" i="3"/>
  <c r="M158" i="3"/>
  <c r="L158" i="3"/>
  <c r="K158" i="3"/>
  <c r="J158" i="3"/>
  <c r="AV157" i="3"/>
  <c r="AU157" i="3"/>
  <c r="AT157" i="3"/>
  <c r="AS157" i="3"/>
  <c r="AQ157" i="3"/>
  <c r="AP157" i="3"/>
  <c r="AO157" i="3"/>
  <c r="AN157" i="3"/>
  <c r="AL157" i="3"/>
  <c r="AK157" i="3"/>
  <c r="AJ157" i="3"/>
  <c r="AI157" i="3"/>
  <c r="AG157" i="3"/>
  <c r="AF157" i="3"/>
  <c r="AE157" i="3"/>
  <c r="AD157" i="3"/>
  <c r="AB157" i="3"/>
  <c r="AA157" i="3"/>
  <c r="Z157" i="3"/>
  <c r="Y157" i="3"/>
  <c r="W157" i="3"/>
  <c r="V157" i="3"/>
  <c r="U157" i="3"/>
  <c r="T157" i="3"/>
  <c r="R157" i="3"/>
  <c r="Q157" i="3"/>
  <c r="P157" i="3"/>
  <c r="O157" i="3"/>
  <c r="M157" i="3"/>
  <c r="L157" i="3"/>
  <c r="K157" i="3"/>
  <c r="J157" i="3"/>
  <c r="AV156" i="3"/>
  <c r="AU156" i="3"/>
  <c r="AT156" i="3"/>
  <c r="AS156" i="3"/>
  <c r="AQ156" i="3"/>
  <c r="AP156" i="3"/>
  <c r="AO156" i="3"/>
  <c r="AN156" i="3"/>
  <c r="AL156" i="3"/>
  <c r="AK156" i="3"/>
  <c r="AJ156" i="3"/>
  <c r="AI156" i="3"/>
  <c r="AG156" i="3"/>
  <c r="AF156" i="3"/>
  <c r="AE156" i="3"/>
  <c r="AD156" i="3"/>
  <c r="AB156" i="3"/>
  <c r="AA156" i="3"/>
  <c r="Z156" i="3"/>
  <c r="Y156" i="3"/>
  <c r="W156" i="3"/>
  <c r="V156" i="3"/>
  <c r="U156" i="3"/>
  <c r="T156" i="3"/>
  <c r="R156" i="3"/>
  <c r="Q156" i="3"/>
  <c r="P156" i="3"/>
  <c r="O156" i="3"/>
  <c r="M156" i="3"/>
  <c r="L156" i="3"/>
  <c r="K156" i="3"/>
  <c r="J156" i="3"/>
  <c r="AV155" i="3"/>
  <c r="AU155" i="3"/>
  <c r="AT155" i="3"/>
  <c r="AS155" i="3"/>
  <c r="AQ155" i="3"/>
  <c r="AP155" i="3"/>
  <c r="AO155" i="3"/>
  <c r="AN155" i="3"/>
  <c r="AL155" i="3"/>
  <c r="AK155" i="3"/>
  <c r="AJ155" i="3"/>
  <c r="AI155" i="3"/>
  <c r="AG155" i="3"/>
  <c r="AF155" i="3"/>
  <c r="AE155" i="3"/>
  <c r="AD155" i="3"/>
  <c r="AB155" i="3"/>
  <c r="AA155" i="3"/>
  <c r="Z155" i="3"/>
  <c r="Y155" i="3"/>
  <c r="W155" i="3"/>
  <c r="V155" i="3"/>
  <c r="U155" i="3"/>
  <c r="T155" i="3"/>
  <c r="R155" i="3"/>
  <c r="Q155" i="3"/>
  <c r="P155" i="3"/>
  <c r="O155" i="3"/>
  <c r="M155" i="3"/>
  <c r="L155" i="3"/>
  <c r="K155" i="3"/>
  <c r="J155" i="3"/>
  <c r="AV154" i="3"/>
  <c r="AU154" i="3"/>
  <c r="AT154" i="3"/>
  <c r="AS154" i="3"/>
  <c r="AQ154" i="3"/>
  <c r="AP154" i="3"/>
  <c r="AO154" i="3"/>
  <c r="AN154" i="3"/>
  <c r="AL154" i="3"/>
  <c r="AK154" i="3"/>
  <c r="AJ154" i="3"/>
  <c r="AI154" i="3"/>
  <c r="AG154" i="3"/>
  <c r="AF154" i="3"/>
  <c r="AE154" i="3"/>
  <c r="AD154" i="3"/>
  <c r="AB154" i="3"/>
  <c r="AA154" i="3"/>
  <c r="Z154" i="3"/>
  <c r="Y154" i="3"/>
  <c r="W154" i="3"/>
  <c r="V154" i="3"/>
  <c r="U154" i="3"/>
  <c r="T154" i="3"/>
  <c r="R154" i="3"/>
  <c r="Q154" i="3"/>
  <c r="P154" i="3"/>
  <c r="O154" i="3"/>
  <c r="M154" i="3"/>
  <c r="L154" i="3"/>
  <c r="K154" i="3"/>
  <c r="J154" i="3"/>
  <c r="AV153" i="3"/>
  <c r="AU153" i="3"/>
  <c r="AT153" i="3"/>
  <c r="AS153" i="3"/>
  <c r="AQ153" i="3"/>
  <c r="AP153" i="3"/>
  <c r="AO153" i="3"/>
  <c r="AN153" i="3"/>
  <c r="AL153" i="3"/>
  <c r="AK153" i="3"/>
  <c r="AJ153" i="3"/>
  <c r="AI153" i="3"/>
  <c r="AG153" i="3"/>
  <c r="AF153" i="3"/>
  <c r="AE153" i="3"/>
  <c r="AD153" i="3"/>
  <c r="AB153" i="3"/>
  <c r="AA153" i="3"/>
  <c r="Z153" i="3"/>
  <c r="Y153" i="3"/>
  <c r="W153" i="3"/>
  <c r="V153" i="3"/>
  <c r="U153" i="3"/>
  <c r="T153" i="3"/>
  <c r="R153" i="3"/>
  <c r="Q153" i="3"/>
  <c r="P153" i="3"/>
  <c r="O153" i="3"/>
  <c r="M153" i="3"/>
  <c r="L153" i="3"/>
  <c r="K153" i="3"/>
  <c r="J153" i="3"/>
  <c r="AV152" i="3"/>
  <c r="AU152" i="3"/>
  <c r="AT152" i="3"/>
  <c r="AS152" i="3"/>
  <c r="AQ152" i="3"/>
  <c r="AP152" i="3"/>
  <c r="AO152" i="3"/>
  <c r="AN152" i="3"/>
  <c r="AL152" i="3"/>
  <c r="AK152" i="3"/>
  <c r="AJ152" i="3"/>
  <c r="AI152" i="3"/>
  <c r="AG152" i="3"/>
  <c r="AF152" i="3"/>
  <c r="AE152" i="3"/>
  <c r="AD152" i="3"/>
  <c r="AB152" i="3"/>
  <c r="AA152" i="3"/>
  <c r="Z152" i="3"/>
  <c r="Y152" i="3"/>
  <c r="W152" i="3"/>
  <c r="V152" i="3"/>
  <c r="U152" i="3"/>
  <c r="T152" i="3"/>
  <c r="R152" i="3"/>
  <c r="Q152" i="3"/>
  <c r="P152" i="3"/>
  <c r="O152" i="3"/>
  <c r="M152" i="3"/>
  <c r="L152" i="3"/>
  <c r="K152" i="3"/>
  <c r="J152" i="3"/>
  <c r="AV151" i="3"/>
  <c r="AU151" i="3"/>
  <c r="AT151" i="3"/>
  <c r="AS151" i="3"/>
  <c r="AQ151" i="3"/>
  <c r="AP151" i="3"/>
  <c r="AO151" i="3"/>
  <c r="AN151" i="3"/>
  <c r="AL151" i="3"/>
  <c r="AK151" i="3"/>
  <c r="AJ151" i="3"/>
  <c r="AI151" i="3"/>
  <c r="AG151" i="3"/>
  <c r="AF151" i="3"/>
  <c r="AE151" i="3"/>
  <c r="AD151" i="3"/>
  <c r="AB151" i="3"/>
  <c r="AA151" i="3"/>
  <c r="Z151" i="3"/>
  <c r="Y151" i="3"/>
  <c r="W151" i="3"/>
  <c r="V151" i="3"/>
  <c r="U151" i="3"/>
  <c r="T151" i="3"/>
  <c r="R151" i="3"/>
  <c r="Q151" i="3"/>
  <c r="P151" i="3"/>
  <c r="O151" i="3"/>
  <c r="M151" i="3"/>
  <c r="L151" i="3"/>
  <c r="K151" i="3"/>
  <c r="J151" i="3"/>
  <c r="AV150" i="3"/>
  <c r="AU150" i="3"/>
  <c r="AT150" i="3"/>
  <c r="AS150" i="3"/>
  <c r="AQ150" i="3"/>
  <c r="AP150" i="3"/>
  <c r="AO150" i="3"/>
  <c r="AN150" i="3"/>
  <c r="AL150" i="3"/>
  <c r="AK150" i="3"/>
  <c r="AJ150" i="3"/>
  <c r="AI150" i="3"/>
  <c r="AG150" i="3"/>
  <c r="AF150" i="3"/>
  <c r="AE150" i="3"/>
  <c r="AD150" i="3"/>
  <c r="AB150" i="3"/>
  <c r="AA150" i="3"/>
  <c r="Z150" i="3"/>
  <c r="Y150" i="3"/>
  <c r="W150" i="3"/>
  <c r="V150" i="3"/>
  <c r="U150" i="3"/>
  <c r="T150" i="3"/>
  <c r="R150" i="3"/>
  <c r="Q150" i="3"/>
  <c r="P150" i="3"/>
  <c r="O150" i="3"/>
  <c r="M150" i="3"/>
  <c r="L150" i="3"/>
  <c r="K150" i="3"/>
  <c r="J150" i="3"/>
  <c r="AV149" i="3"/>
  <c r="AU149" i="3"/>
  <c r="AT149" i="3"/>
  <c r="AS149" i="3"/>
  <c r="AQ149" i="3"/>
  <c r="AP149" i="3"/>
  <c r="AO149" i="3"/>
  <c r="AN149" i="3"/>
  <c r="AL149" i="3"/>
  <c r="AK149" i="3"/>
  <c r="AJ149" i="3"/>
  <c r="AI149" i="3"/>
  <c r="AG149" i="3"/>
  <c r="AF149" i="3"/>
  <c r="AE149" i="3"/>
  <c r="AD149" i="3"/>
  <c r="AB149" i="3"/>
  <c r="AA149" i="3"/>
  <c r="Z149" i="3"/>
  <c r="Y149" i="3"/>
  <c r="W149" i="3"/>
  <c r="V149" i="3"/>
  <c r="U149" i="3"/>
  <c r="T149" i="3"/>
  <c r="R149" i="3"/>
  <c r="Q149" i="3"/>
  <c r="P149" i="3"/>
  <c r="O149" i="3"/>
  <c r="M149" i="3"/>
  <c r="L149" i="3"/>
  <c r="K149" i="3"/>
  <c r="J149" i="3"/>
  <c r="AV148" i="3"/>
  <c r="AU148" i="3"/>
  <c r="AT148" i="3"/>
  <c r="AS148" i="3"/>
  <c r="AQ148" i="3"/>
  <c r="AP148" i="3"/>
  <c r="AO148" i="3"/>
  <c r="AN148" i="3"/>
  <c r="AL148" i="3"/>
  <c r="AK148" i="3"/>
  <c r="AJ148" i="3"/>
  <c r="AI148" i="3"/>
  <c r="AG148" i="3"/>
  <c r="AF148" i="3"/>
  <c r="AE148" i="3"/>
  <c r="AD148" i="3"/>
  <c r="AB148" i="3"/>
  <c r="AA148" i="3"/>
  <c r="Z148" i="3"/>
  <c r="Y148" i="3"/>
  <c r="W148" i="3"/>
  <c r="V148" i="3"/>
  <c r="U148" i="3"/>
  <c r="T148" i="3"/>
  <c r="R148" i="3"/>
  <c r="Q148" i="3"/>
  <c r="P148" i="3"/>
  <c r="O148" i="3"/>
  <c r="M148" i="3"/>
  <c r="L148" i="3"/>
  <c r="K148" i="3"/>
  <c r="J148" i="3"/>
  <c r="AV147" i="3"/>
  <c r="AU147" i="3"/>
  <c r="AT147" i="3"/>
  <c r="AS147" i="3"/>
  <c r="AQ147" i="3"/>
  <c r="AP147" i="3"/>
  <c r="AO147" i="3"/>
  <c r="AN147" i="3"/>
  <c r="AL147" i="3"/>
  <c r="AK147" i="3"/>
  <c r="AJ147" i="3"/>
  <c r="AI147" i="3"/>
  <c r="AG147" i="3"/>
  <c r="AF147" i="3"/>
  <c r="AE147" i="3"/>
  <c r="AD147" i="3"/>
  <c r="AB147" i="3"/>
  <c r="AA147" i="3"/>
  <c r="Z147" i="3"/>
  <c r="Y147" i="3"/>
  <c r="W147" i="3"/>
  <c r="V147" i="3"/>
  <c r="U147" i="3"/>
  <c r="T147" i="3"/>
  <c r="R147" i="3"/>
  <c r="Q147" i="3"/>
  <c r="P147" i="3"/>
  <c r="O147" i="3"/>
  <c r="M147" i="3"/>
  <c r="L147" i="3"/>
  <c r="K147" i="3"/>
  <c r="J147" i="3"/>
  <c r="AV146" i="3"/>
  <c r="AU146" i="3"/>
  <c r="AT146" i="3"/>
  <c r="AS146" i="3"/>
  <c r="AQ146" i="3"/>
  <c r="AP146" i="3"/>
  <c r="AO146" i="3"/>
  <c r="AN146" i="3"/>
  <c r="AL146" i="3"/>
  <c r="AK146" i="3"/>
  <c r="AJ146" i="3"/>
  <c r="AI146" i="3"/>
  <c r="AG146" i="3"/>
  <c r="AF146" i="3"/>
  <c r="AE146" i="3"/>
  <c r="AD146" i="3"/>
  <c r="AB146" i="3"/>
  <c r="AA146" i="3"/>
  <c r="Z146" i="3"/>
  <c r="Y146" i="3"/>
  <c r="W146" i="3"/>
  <c r="V146" i="3"/>
  <c r="U146" i="3"/>
  <c r="T146" i="3"/>
  <c r="R146" i="3"/>
  <c r="Q146" i="3"/>
  <c r="P146" i="3"/>
  <c r="O146" i="3"/>
  <c r="M146" i="3"/>
  <c r="L146" i="3"/>
  <c r="K146" i="3"/>
  <c r="J146" i="3"/>
  <c r="AV145" i="3"/>
  <c r="AU145" i="3"/>
  <c r="AT145" i="3"/>
  <c r="AS145" i="3"/>
  <c r="AQ145" i="3"/>
  <c r="AP145" i="3"/>
  <c r="AO145" i="3"/>
  <c r="AN145" i="3"/>
  <c r="AL145" i="3"/>
  <c r="AK145" i="3"/>
  <c r="AJ145" i="3"/>
  <c r="AI145" i="3"/>
  <c r="AG145" i="3"/>
  <c r="AF145" i="3"/>
  <c r="AE145" i="3"/>
  <c r="AD145" i="3"/>
  <c r="AB145" i="3"/>
  <c r="AA145" i="3"/>
  <c r="Z145" i="3"/>
  <c r="Y145" i="3"/>
  <c r="W145" i="3"/>
  <c r="V145" i="3"/>
  <c r="U145" i="3"/>
  <c r="T145" i="3"/>
  <c r="R145" i="3"/>
  <c r="Q145" i="3"/>
  <c r="P145" i="3"/>
  <c r="O145" i="3"/>
  <c r="M145" i="3"/>
  <c r="L145" i="3"/>
  <c r="K145" i="3"/>
  <c r="J145" i="3"/>
  <c r="AV144" i="3"/>
  <c r="AU144" i="3"/>
  <c r="AT144" i="3"/>
  <c r="AS144" i="3"/>
  <c r="AQ144" i="3"/>
  <c r="AP144" i="3"/>
  <c r="AO144" i="3"/>
  <c r="AN144" i="3"/>
  <c r="AL144" i="3"/>
  <c r="AK144" i="3"/>
  <c r="AJ144" i="3"/>
  <c r="AI144" i="3"/>
  <c r="AG144" i="3"/>
  <c r="AF144" i="3"/>
  <c r="AE144" i="3"/>
  <c r="AD144" i="3"/>
  <c r="AB144" i="3"/>
  <c r="AA144" i="3"/>
  <c r="Z144" i="3"/>
  <c r="Y144" i="3"/>
  <c r="W144" i="3"/>
  <c r="V144" i="3"/>
  <c r="U144" i="3"/>
  <c r="T144" i="3"/>
  <c r="R144" i="3"/>
  <c r="Q144" i="3"/>
  <c r="P144" i="3"/>
  <c r="O144" i="3"/>
  <c r="M144" i="3"/>
  <c r="L144" i="3"/>
  <c r="K144" i="3"/>
  <c r="J144" i="3"/>
  <c r="AV143" i="3"/>
  <c r="AU143" i="3"/>
  <c r="AT143" i="3"/>
  <c r="AS143" i="3"/>
  <c r="AQ143" i="3"/>
  <c r="AP143" i="3"/>
  <c r="AO143" i="3"/>
  <c r="AN143" i="3"/>
  <c r="AL143" i="3"/>
  <c r="AK143" i="3"/>
  <c r="AJ143" i="3"/>
  <c r="AI143" i="3"/>
  <c r="AG143" i="3"/>
  <c r="AF143" i="3"/>
  <c r="AE143" i="3"/>
  <c r="AD143" i="3"/>
  <c r="AB143" i="3"/>
  <c r="AA143" i="3"/>
  <c r="Z143" i="3"/>
  <c r="Y143" i="3"/>
  <c r="W143" i="3"/>
  <c r="V143" i="3"/>
  <c r="U143" i="3"/>
  <c r="T143" i="3"/>
  <c r="R143" i="3"/>
  <c r="Q143" i="3"/>
  <c r="P143" i="3"/>
  <c r="O143" i="3"/>
  <c r="M143" i="3"/>
  <c r="L143" i="3"/>
  <c r="K143" i="3"/>
  <c r="J143" i="3"/>
  <c r="AV142" i="3"/>
  <c r="AU142" i="3"/>
  <c r="AT142" i="3"/>
  <c r="AS142" i="3"/>
  <c r="AQ142" i="3"/>
  <c r="AP142" i="3"/>
  <c r="AO142" i="3"/>
  <c r="AN142" i="3"/>
  <c r="AL142" i="3"/>
  <c r="AK142" i="3"/>
  <c r="AJ142" i="3"/>
  <c r="AI142" i="3"/>
  <c r="AG142" i="3"/>
  <c r="AF142" i="3"/>
  <c r="AE142" i="3"/>
  <c r="AD142" i="3"/>
  <c r="AB142" i="3"/>
  <c r="AA142" i="3"/>
  <c r="Z142" i="3"/>
  <c r="Y142" i="3"/>
  <c r="W142" i="3"/>
  <c r="V142" i="3"/>
  <c r="U142" i="3"/>
  <c r="T142" i="3"/>
  <c r="R142" i="3"/>
  <c r="Q142" i="3"/>
  <c r="P142" i="3"/>
  <c r="O142" i="3"/>
  <c r="M142" i="3"/>
  <c r="L142" i="3"/>
  <c r="K142" i="3"/>
  <c r="J142" i="3"/>
  <c r="AV141" i="3"/>
  <c r="AU141" i="3"/>
  <c r="AT141" i="3"/>
  <c r="AS141" i="3"/>
  <c r="AQ141" i="3"/>
  <c r="AP141" i="3"/>
  <c r="AO141" i="3"/>
  <c r="AN141" i="3"/>
  <c r="AL141" i="3"/>
  <c r="AK141" i="3"/>
  <c r="AJ141" i="3"/>
  <c r="AI141" i="3"/>
  <c r="AG141" i="3"/>
  <c r="AF141" i="3"/>
  <c r="AE141" i="3"/>
  <c r="AD141" i="3"/>
  <c r="AB141" i="3"/>
  <c r="AA141" i="3"/>
  <c r="Z141" i="3"/>
  <c r="Y141" i="3"/>
  <c r="W141" i="3"/>
  <c r="V141" i="3"/>
  <c r="U141" i="3"/>
  <c r="T141" i="3"/>
  <c r="R141" i="3"/>
  <c r="Q141" i="3"/>
  <c r="P141" i="3"/>
  <c r="O141" i="3"/>
  <c r="M141" i="3"/>
  <c r="L141" i="3"/>
  <c r="K141" i="3"/>
  <c r="J141" i="3"/>
  <c r="AV140" i="3"/>
  <c r="AU140" i="3"/>
  <c r="AT140" i="3"/>
  <c r="AS140" i="3"/>
  <c r="AQ140" i="3"/>
  <c r="AP140" i="3"/>
  <c r="AO140" i="3"/>
  <c r="AN140" i="3"/>
  <c r="AL140" i="3"/>
  <c r="AK140" i="3"/>
  <c r="AJ140" i="3"/>
  <c r="AI140" i="3"/>
  <c r="AG140" i="3"/>
  <c r="AF140" i="3"/>
  <c r="AE140" i="3"/>
  <c r="AD140" i="3"/>
  <c r="AB140" i="3"/>
  <c r="AA140" i="3"/>
  <c r="Z140" i="3"/>
  <c r="Y140" i="3"/>
  <c r="W140" i="3"/>
  <c r="V140" i="3"/>
  <c r="U140" i="3"/>
  <c r="T140" i="3"/>
  <c r="R140" i="3"/>
  <c r="Q140" i="3"/>
  <c r="P140" i="3"/>
  <c r="O140" i="3"/>
  <c r="M140" i="3"/>
  <c r="L140" i="3"/>
  <c r="K140" i="3"/>
  <c r="J140" i="3"/>
  <c r="AV139" i="3"/>
  <c r="AU139" i="3"/>
  <c r="AT139" i="3"/>
  <c r="AS139" i="3"/>
  <c r="AQ139" i="3"/>
  <c r="AP139" i="3"/>
  <c r="AO139" i="3"/>
  <c r="AN139" i="3"/>
  <c r="AL139" i="3"/>
  <c r="AK139" i="3"/>
  <c r="AJ139" i="3"/>
  <c r="AI139" i="3"/>
  <c r="AG139" i="3"/>
  <c r="AF139" i="3"/>
  <c r="AE139" i="3"/>
  <c r="AD139" i="3"/>
  <c r="AB139" i="3"/>
  <c r="AA139" i="3"/>
  <c r="Z139" i="3"/>
  <c r="Y139" i="3"/>
  <c r="W139" i="3"/>
  <c r="V139" i="3"/>
  <c r="U139" i="3"/>
  <c r="T139" i="3"/>
  <c r="R139" i="3"/>
  <c r="Q139" i="3"/>
  <c r="P139" i="3"/>
  <c r="O139" i="3"/>
  <c r="M139" i="3"/>
  <c r="L139" i="3"/>
  <c r="K139" i="3"/>
  <c r="J139" i="3"/>
  <c r="AV138" i="3"/>
  <c r="AU138" i="3"/>
  <c r="AT138" i="3"/>
  <c r="AS138" i="3"/>
  <c r="AQ138" i="3"/>
  <c r="AP138" i="3"/>
  <c r="AO138" i="3"/>
  <c r="AN138" i="3"/>
  <c r="AL138" i="3"/>
  <c r="AK138" i="3"/>
  <c r="AJ138" i="3"/>
  <c r="AI138" i="3"/>
  <c r="AG138" i="3"/>
  <c r="AF138" i="3"/>
  <c r="AE138" i="3"/>
  <c r="AD138" i="3"/>
  <c r="AB138" i="3"/>
  <c r="AA138" i="3"/>
  <c r="Z138" i="3"/>
  <c r="Y138" i="3"/>
  <c r="W138" i="3"/>
  <c r="V138" i="3"/>
  <c r="U138" i="3"/>
  <c r="T138" i="3"/>
  <c r="R138" i="3"/>
  <c r="Q138" i="3"/>
  <c r="P138" i="3"/>
  <c r="O138" i="3"/>
  <c r="M138" i="3"/>
  <c r="L138" i="3"/>
  <c r="K138" i="3"/>
  <c r="J138" i="3"/>
  <c r="AV137" i="3"/>
  <c r="AU137" i="3"/>
  <c r="AT137" i="3"/>
  <c r="AS137" i="3"/>
  <c r="AQ137" i="3"/>
  <c r="AP137" i="3"/>
  <c r="AO137" i="3"/>
  <c r="AN137" i="3"/>
  <c r="AL137" i="3"/>
  <c r="AK137" i="3"/>
  <c r="AJ137" i="3"/>
  <c r="AI137" i="3"/>
  <c r="AG137" i="3"/>
  <c r="AF137" i="3"/>
  <c r="AE137" i="3"/>
  <c r="AD137" i="3"/>
  <c r="AB137" i="3"/>
  <c r="AA137" i="3"/>
  <c r="Z137" i="3"/>
  <c r="Y137" i="3"/>
  <c r="W137" i="3"/>
  <c r="V137" i="3"/>
  <c r="U137" i="3"/>
  <c r="T137" i="3"/>
  <c r="R137" i="3"/>
  <c r="Q137" i="3"/>
  <c r="P137" i="3"/>
  <c r="O137" i="3"/>
  <c r="M137" i="3"/>
  <c r="L137" i="3"/>
  <c r="K137" i="3"/>
  <c r="J137" i="3"/>
  <c r="AV136" i="3"/>
  <c r="AU136" i="3"/>
  <c r="AT136" i="3"/>
  <c r="AS136" i="3"/>
  <c r="AQ136" i="3"/>
  <c r="AP136" i="3"/>
  <c r="AO136" i="3"/>
  <c r="AN136" i="3"/>
  <c r="AL136" i="3"/>
  <c r="AK136" i="3"/>
  <c r="AJ136" i="3"/>
  <c r="AI136" i="3"/>
  <c r="AG136" i="3"/>
  <c r="AF136" i="3"/>
  <c r="AE136" i="3"/>
  <c r="AD136" i="3"/>
  <c r="AB136" i="3"/>
  <c r="AA136" i="3"/>
  <c r="Z136" i="3"/>
  <c r="Y136" i="3"/>
  <c r="W136" i="3"/>
  <c r="V136" i="3"/>
  <c r="U136" i="3"/>
  <c r="T136" i="3"/>
  <c r="R136" i="3"/>
  <c r="Q136" i="3"/>
  <c r="P136" i="3"/>
  <c r="O136" i="3"/>
  <c r="M136" i="3"/>
  <c r="L136" i="3"/>
  <c r="K136" i="3"/>
  <c r="J136" i="3"/>
  <c r="AV135" i="3"/>
  <c r="AU135" i="3"/>
  <c r="AT135" i="3"/>
  <c r="AS135" i="3"/>
  <c r="AQ135" i="3"/>
  <c r="AP135" i="3"/>
  <c r="AO135" i="3"/>
  <c r="AN135" i="3"/>
  <c r="AL135" i="3"/>
  <c r="AK135" i="3"/>
  <c r="AJ135" i="3"/>
  <c r="AI135" i="3"/>
  <c r="AG135" i="3"/>
  <c r="AF135" i="3"/>
  <c r="AE135" i="3"/>
  <c r="AD135" i="3"/>
  <c r="AB135" i="3"/>
  <c r="AA135" i="3"/>
  <c r="Z135" i="3"/>
  <c r="Y135" i="3"/>
  <c r="W135" i="3"/>
  <c r="V135" i="3"/>
  <c r="U135" i="3"/>
  <c r="T135" i="3"/>
  <c r="R135" i="3"/>
  <c r="Q135" i="3"/>
  <c r="P135" i="3"/>
  <c r="O135" i="3"/>
  <c r="M135" i="3"/>
  <c r="L135" i="3"/>
  <c r="K135" i="3"/>
  <c r="J135" i="3"/>
  <c r="AV134" i="3"/>
  <c r="AU134" i="3"/>
  <c r="AT134" i="3"/>
  <c r="AS134" i="3"/>
  <c r="AQ134" i="3"/>
  <c r="AP134" i="3"/>
  <c r="AO134" i="3"/>
  <c r="AN134" i="3"/>
  <c r="AL134" i="3"/>
  <c r="AK134" i="3"/>
  <c r="AJ134" i="3"/>
  <c r="AI134" i="3"/>
  <c r="AG134" i="3"/>
  <c r="AF134" i="3"/>
  <c r="AE134" i="3"/>
  <c r="AD134" i="3"/>
  <c r="AB134" i="3"/>
  <c r="AA134" i="3"/>
  <c r="Z134" i="3"/>
  <c r="Y134" i="3"/>
  <c r="W134" i="3"/>
  <c r="V134" i="3"/>
  <c r="U134" i="3"/>
  <c r="T134" i="3"/>
  <c r="R134" i="3"/>
  <c r="Q134" i="3"/>
  <c r="P134" i="3"/>
  <c r="O134" i="3"/>
  <c r="M134" i="3"/>
  <c r="L134" i="3"/>
  <c r="K134" i="3"/>
  <c r="J134" i="3"/>
  <c r="AV133" i="3"/>
  <c r="AU133" i="3"/>
  <c r="AT133" i="3"/>
  <c r="AS133" i="3"/>
  <c r="AQ133" i="3"/>
  <c r="AP133" i="3"/>
  <c r="AO133" i="3"/>
  <c r="AN133" i="3"/>
  <c r="AL133" i="3"/>
  <c r="AK133" i="3"/>
  <c r="AJ133" i="3"/>
  <c r="AI133" i="3"/>
  <c r="AG133" i="3"/>
  <c r="AF133" i="3"/>
  <c r="AE133" i="3"/>
  <c r="AD133" i="3"/>
  <c r="AB133" i="3"/>
  <c r="AA133" i="3"/>
  <c r="Z133" i="3"/>
  <c r="Y133" i="3"/>
  <c r="W133" i="3"/>
  <c r="V133" i="3"/>
  <c r="U133" i="3"/>
  <c r="T133" i="3"/>
  <c r="R133" i="3"/>
  <c r="Q133" i="3"/>
  <c r="P133" i="3"/>
  <c r="O133" i="3"/>
  <c r="M133" i="3"/>
  <c r="L133" i="3"/>
  <c r="K133" i="3"/>
  <c r="J133" i="3"/>
  <c r="AV132" i="3"/>
  <c r="AU132" i="3"/>
  <c r="AT132" i="3"/>
  <c r="AS132" i="3"/>
  <c r="AQ132" i="3"/>
  <c r="AP132" i="3"/>
  <c r="AO132" i="3"/>
  <c r="AN132" i="3"/>
  <c r="AL132" i="3"/>
  <c r="AK132" i="3"/>
  <c r="AJ132" i="3"/>
  <c r="AI132" i="3"/>
  <c r="AG132" i="3"/>
  <c r="AF132" i="3"/>
  <c r="AE132" i="3"/>
  <c r="AD132" i="3"/>
  <c r="AB132" i="3"/>
  <c r="AA132" i="3"/>
  <c r="Z132" i="3"/>
  <c r="Y132" i="3"/>
  <c r="W132" i="3"/>
  <c r="V132" i="3"/>
  <c r="U132" i="3"/>
  <c r="T132" i="3"/>
  <c r="R132" i="3"/>
  <c r="Q132" i="3"/>
  <c r="P132" i="3"/>
  <c r="O132" i="3"/>
  <c r="M132" i="3"/>
  <c r="L132" i="3"/>
  <c r="K132" i="3"/>
  <c r="J132" i="3"/>
  <c r="AV131" i="3"/>
  <c r="AU131" i="3"/>
  <c r="AT131" i="3"/>
  <c r="AS131" i="3"/>
  <c r="AQ131" i="3"/>
  <c r="AP131" i="3"/>
  <c r="AO131" i="3"/>
  <c r="AN131" i="3"/>
  <c r="AL131" i="3"/>
  <c r="AK131" i="3"/>
  <c r="AJ131" i="3"/>
  <c r="AI131" i="3"/>
  <c r="AG131" i="3"/>
  <c r="AF131" i="3"/>
  <c r="AE131" i="3"/>
  <c r="AD131" i="3"/>
  <c r="AB131" i="3"/>
  <c r="AA131" i="3"/>
  <c r="Z131" i="3"/>
  <c r="Y131" i="3"/>
  <c r="W131" i="3"/>
  <c r="V131" i="3"/>
  <c r="U131" i="3"/>
  <c r="T131" i="3"/>
  <c r="R131" i="3"/>
  <c r="Q131" i="3"/>
  <c r="P131" i="3"/>
  <c r="O131" i="3"/>
  <c r="M131" i="3"/>
  <c r="L131" i="3"/>
  <c r="K131" i="3"/>
  <c r="J131" i="3"/>
  <c r="AV130" i="3"/>
  <c r="AU130" i="3"/>
  <c r="AT130" i="3"/>
  <c r="AS130" i="3"/>
  <c r="AQ130" i="3"/>
  <c r="AP130" i="3"/>
  <c r="AO130" i="3"/>
  <c r="AN130" i="3"/>
  <c r="AL130" i="3"/>
  <c r="AK130" i="3"/>
  <c r="AJ130" i="3"/>
  <c r="AI130" i="3"/>
  <c r="AG130" i="3"/>
  <c r="AF130" i="3"/>
  <c r="AE130" i="3"/>
  <c r="AD130" i="3"/>
  <c r="AB130" i="3"/>
  <c r="AA130" i="3"/>
  <c r="Z130" i="3"/>
  <c r="Y130" i="3"/>
  <c r="W130" i="3"/>
  <c r="V130" i="3"/>
  <c r="U130" i="3"/>
  <c r="T130" i="3"/>
  <c r="R130" i="3"/>
  <c r="Q130" i="3"/>
  <c r="P130" i="3"/>
  <c r="O130" i="3"/>
  <c r="M130" i="3"/>
  <c r="L130" i="3"/>
  <c r="K130" i="3"/>
  <c r="J130" i="3"/>
  <c r="AV129" i="3"/>
  <c r="AU129" i="3"/>
  <c r="AT129" i="3"/>
  <c r="AS129" i="3"/>
  <c r="AQ129" i="3"/>
  <c r="AP129" i="3"/>
  <c r="AO129" i="3"/>
  <c r="AN129" i="3"/>
  <c r="AL129" i="3"/>
  <c r="AK129" i="3"/>
  <c r="AJ129" i="3"/>
  <c r="AI129" i="3"/>
  <c r="AG129" i="3"/>
  <c r="AF129" i="3"/>
  <c r="AE129" i="3"/>
  <c r="AD129" i="3"/>
  <c r="AB129" i="3"/>
  <c r="AA129" i="3"/>
  <c r="Z129" i="3"/>
  <c r="Y129" i="3"/>
  <c r="W129" i="3"/>
  <c r="V129" i="3"/>
  <c r="U129" i="3"/>
  <c r="T129" i="3"/>
  <c r="R129" i="3"/>
  <c r="Q129" i="3"/>
  <c r="P129" i="3"/>
  <c r="O129" i="3"/>
  <c r="M129" i="3"/>
  <c r="L129" i="3"/>
  <c r="K129" i="3"/>
  <c r="J129" i="3"/>
  <c r="AV128" i="3"/>
  <c r="AU128" i="3"/>
  <c r="AT128" i="3"/>
  <c r="AS128" i="3"/>
  <c r="AQ128" i="3"/>
  <c r="AP128" i="3"/>
  <c r="AO128" i="3"/>
  <c r="AN128" i="3"/>
  <c r="AL128" i="3"/>
  <c r="AK128" i="3"/>
  <c r="AJ128" i="3"/>
  <c r="AI128" i="3"/>
  <c r="AG128" i="3"/>
  <c r="AF128" i="3"/>
  <c r="AE128" i="3"/>
  <c r="AD128" i="3"/>
  <c r="AB128" i="3"/>
  <c r="AA128" i="3"/>
  <c r="Z128" i="3"/>
  <c r="Y128" i="3"/>
  <c r="W128" i="3"/>
  <c r="V128" i="3"/>
  <c r="U128" i="3"/>
  <c r="T128" i="3"/>
  <c r="R128" i="3"/>
  <c r="Q128" i="3"/>
  <c r="P128" i="3"/>
  <c r="O128" i="3"/>
  <c r="M128" i="3"/>
  <c r="L128" i="3"/>
  <c r="K128" i="3"/>
  <c r="J128" i="3"/>
  <c r="AV127" i="3"/>
  <c r="AU127" i="3"/>
  <c r="AT127" i="3"/>
  <c r="AS127" i="3"/>
  <c r="AQ127" i="3"/>
  <c r="AP127" i="3"/>
  <c r="AO127" i="3"/>
  <c r="AN127" i="3"/>
  <c r="AL127" i="3"/>
  <c r="AK127" i="3"/>
  <c r="AJ127" i="3"/>
  <c r="AI127" i="3"/>
  <c r="AG127" i="3"/>
  <c r="AF127" i="3"/>
  <c r="AE127" i="3"/>
  <c r="AD127" i="3"/>
  <c r="AB127" i="3"/>
  <c r="AA127" i="3"/>
  <c r="Z127" i="3"/>
  <c r="Y127" i="3"/>
  <c r="W127" i="3"/>
  <c r="V127" i="3"/>
  <c r="U127" i="3"/>
  <c r="T127" i="3"/>
  <c r="R127" i="3"/>
  <c r="Q127" i="3"/>
  <c r="P127" i="3"/>
  <c r="O127" i="3"/>
  <c r="M127" i="3"/>
  <c r="L127" i="3"/>
  <c r="K127" i="3"/>
  <c r="J127" i="3"/>
  <c r="AV126" i="3"/>
  <c r="AU126" i="3"/>
  <c r="AT126" i="3"/>
  <c r="AS126" i="3"/>
  <c r="AQ126" i="3"/>
  <c r="AP126" i="3"/>
  <c r="AO126" i="3"/>
  <c r="AN126" i="3"/>
  <c r="AL126" i="3"/>
  <c r="AK126" i="3"/>
  <c r="AJ126" i="3"/>
  <c r="AI126" i="3"/>
  <c r="AG126" i="3"/>
  <c r="AF126" i="3"/>
  <c r="AE126" i="3"/>
  <c r="AD126" i="3"/>
  <c r="AB126" i="3"/>
  <c r="AA126" i="3"/>
  <c r="Z126" i="3"/>
  <c r="Y126" i="3"/>
  <c r="W126" i="3"/>
  <c r="V126" i="3"/>
  <c r="U126" i="3"/>
  <c r="T126" i="3"/>
  <c r="R126" i="3"/>
  <c r="Q126" i="3"/>
  <c r="P126" i="3"/>
  <c r="O126" i="3"/>
  <c r="M126" i="3"/>
  <c r="L126" i="3"/>
  <c r="K126" i="3"/>
  <c r="J126" i="3"/>
  <c r="AV125" i="3"/>
  <c r="AU125" i="3"/>
  <c r="AT125" i="3"/>
  <c r="AS125" i="3"/>
  <c r="AQ125" i="3"/>
  <c r="AP125" i="3"/>
  <c r="AO125" i="3"/>
  <c r="AN125" i="3"/>
  <c r="AL125" i="3"/>
  <c r="AK125" i="3"/>
  <c r="AJ125" i="3"/>
  <c r="AI125" i="3"/>
  <c r="AG125" i="3"/>
  <c r="AF125" i="3"/>
  <c r="AE125" i="3"/>
  <c r="AD125" i="3"/>
  <c r="AB125" i="3"/>
  <c r="AA125" i="3"/>
  <c r="Z125" i="3"/>
  <c r="Y125" i="3"/>
  <c r="W125" i="3"/>
  <c r="V125" i="3"/>
  <c r="U125" i="3"/>
  <c r="T125" i="3"/>
  <c r="R125" i="3"/>
  <c r="Q125" i="3"/>
  <c r="P125" i="3"/>
  <c r="O125" i="3"/>
  <c r="M125" i="3"/>
  <c r="L125" i="3"/>
  <c r="K125" i="3"/>
  <c r="J125" i="3"/>
  <c r="AV124" i="3"/>
  <c r="AU124" i="3"/>
  <c r="AT124" i="3"/>
  <c r="AS124" i="3"/>
  <c r="AQ124" i="3"/>
  <c r="AP124" i="3"/>
  <c r="AO124" i="3"/>
  <c r="AN124" i="3"/>
  <c r="AL124" i="3"/>
  <c r="AK124" i="3"/>
  <c r="AJ124" i="3"/>
  <c r="AI124" i="3"/>
  <c r="AG124" i="3"/>
  <c r="AF124" i="3"/>
  <c r="AE124" i="3"/>
  <c r="AD124" i="3"/>
  <c r="AB124" i="3"/>
  <c r="AA124" i="3"/>
  <c r="Z124" i="3"/>
  <c r="Y124" i="3"/>
  <c r="W124" i="3"/>
  <c r="V124" i="3"/>
  <c r="U124" i="3"/>
  <c r="T124" i="3"/>
  <c r="R124" i="3"/>
  <c r="Q124" i="3"/>
  <c r="P124" i="3"/>
  <c r="O124" i="3"/>
  <c r="M124" i="3"/>
  <c r="L124" i="3"/>
  <c r="K124" i="3"/>
  <c r="J124" i="3"/>
  <c r="AV123" i="3"/>
  <c r="AU123" i="3"/>
  <c r="AT123" i="3"/>
  <c r="AS123" i="3"/>
  <c r="AQ123" i="3"/>
  <c r="AP123" i="3"/>
  <c r="AO123" i="3"/>
  <c r="AN123" i="3"/>
  <c r="AL123" i="3"/>
  <c r="AK123" i="3"/>
  <c r="AJ123" i="3"/>
  <c r="AI123" i="3"/>
  <c r="AG123" i="3"/>
  <c r="AF123" i="3"/>
  <c r="AE123" i="3"/>
  <c r="AD123" i="3"/>
  <c r="AB123" i="3"/>
  <c r="AA123" i="3"/>
  <c r="Z123" i="3"/>
  <c r="Y123" i="3"/>
  <c r="W123" i="3"/>
  <c r="V123" i="3"/>
  <c r="U123" i="3"/>
  <c r="T123" i="3"/>
  <c r="R123" i="3"/>
  <c r="Q123" i="3"/>
  <c r="P123" i="3"/>
  <c r="O123" i="3"/>
  <c r="M123" i="3"/>
  <c r="L123" i="3"/>
  <c r="K123" i="3"/>
  <c r="J123" i="3"/>
  <c r="AV122" i="3"/>
  <c r="AU122" i="3"/>
  <c r="AT122" i="3"/>
  <c r="AS122" i="3"/>
  <c r="AQ122" i="3"/>
  <c r="AP122" i="3"/>
  <c r="AO122" i="3"/>
  <c r="AN122" i="3"/>
  <c r="AL122" i="3"/>
  <c r="AK122" i="3"/>
  <c r="AJ122" i="3"/>
  <c r="AI122" i="3"/>
  <c r="AG122" i="3"/>
  <c r="AF122" i="3"/>
  <c r="AE122" i="3"/>
  <c r="AD122" i="3"/>
  <c r="AB122" i="3"/>
  <c r="AA122" i="3"/>
  <c r="Z122" i="3"/>
  <c r="Y122" i="3"/>
  <c r="W122" i="3"/>
  <c r="V122" i="3"/>
  <c r="U122" i="3"/>
  <c r="T122" i="3"/>
  <c r="R122" i="3"/>
  <c r="Q122" i="3"/>
  <c r="P122" i="3"/>
  <c r="O122" i="3"/>
  <c r="M122" i="3"/>
  <c r="L122" i="3"/>
  <c r="K122" i="3"/>
  <c r="J122" i="3"/>
  <c r="AV121" i="3"/>
  <c r="AU121" i="3"/>
  <c r="AT121" i="3"/>
  <c r="AS121" i="3"/>
  <c r="AQ121" i="3"/>
  <c r="AP121" i="3"/>
  <c r="AO121" i="3"/>
  <c r="AN121" i="3"/>
  <c r="AL121" i="3"/>
  <c r="AK121" i="3"/>
  <c r="AJ121" i="3"/>
  <c r="AI121" i="3"/>
  <c r="AG121" i="3"/>
  <c r="AF121" i="3"/>
  <c r="AE121" i="3"/>
  <c r="AD121" i="3"/>
  <c r="AB121" i="3"/>
  <c r="AA121" i="3"/>
  <c r="Z121" i="3"/>
  <c r="Y121" i="3"/>
  <c r="W121" i="3"/>
  <c r="V121" i="3"/>
  <c r="U121" i="3"/>
  <c r="T121" i="3"/>
  <c r="R121" i="3"/>
  <c r="Q121" i="3"/>
  <c r="P121" i="3"/>
  <c r="O121" i="3"/>
  <c r="M121" i="3"/>
  <c r="L121" i="3"/>
  <c r="K121" i="3"/>
  <c r="J121" i="3"/>
  <c r="AV120" i="3"/>
  <c r="AU120" i="3"/>
  <c r="AT120" i="3"/>
  <c r="AS120" i="3"/>
  <c r="AQ120" i="3"/>
  <c r="AP120" i="3"/>
  <c r="AO120" i="3"/>
  <c r="AN120" i="3"/>
  <c r="AL120" i="3"/>
  <c r="AK120" i="3"/>
  <c r="AJ120" i="3"/>
  <c r="AI120" i="3"/>
  <c r="AG120" i="3"/>
  <c r="AF120" i="3"/>
  <c r="AE120" i="3"/>
  <c r="AD120" i="3"/>
  <c r="AB120" i="3"/>
  <c r="AA120" i="3"/>
  <c r="Z120" i="3"/>
  <c r="Y120" i="3"/>
  <c r="W120" i="3"/>
  <c r="V120" i="3"/>
  <c r="U120" i="3"/>
  <c r="T120" i="3"/>
  <c r="R120" i="3"/>
  <c r="Q120" i="3"/>
  <c r="P120" i="3"/>
  <c r="O120" i="3"/>
  <c r="M120" i="3"/>
  <c r="L120" i="3"/>
  <c r="K120" i="3"/>
  <c r="J120" i="3"/>
  <c r="AV119" i="3"/>
  <c r="AU119" i="3"/>
  <c r="AT119" i="3"/>
  <c r="AS119" i="3"/>
  <c r="AQ119" i="3"/>
  <c r="AP119" i="3"/>
  <c r="AO119" i="3"/>
  <c r="AN119" i="3"/>
  <c r="AL119" i="3"/>
  <c r="AK119" i="3"/>
  <c r="AJ119" i="3"/>
  <c r="AI119" i="3"/>
  <c r="AG119" i="3"/>
  <c r="AF119" i="3"/>
  <c r="AE119" i="3"/>
  <c r="AD119" i="3"/>
  <c r="AB119" i="3"/>
  <c r="AA119" i="3"/>
  <c r="Z119" i="3"/>
  <c r="Y119" i="3"/>
  <c r="W119" i="3"/>
  <c r="V119" i="3"/>
  <c r="U119" i="3"/>
  <c r="T119" i="3"/>
  <c r="R119" i="3"/>
  <c r="Q119" i="3"/>
  <c r="P119" i="3"/>
  <c r="O119" i="3"/>
  <c r="M119" i="3"/>
  <c r="L119" i="3"/>
  <c r="K119" i="3"/>
  <c r="J119" i="3"/>
  <c r="AV118" i="3"/>
  <c r="AU118" i="3"/>
  <c r="AT118" i="3"/>
  <c r="AS118" i="3"/>
  <c r="AQ118" i="3"/>
  <c r="AP118" i="3"/>
  <c r="AO118" i="3"/>
  <c r="AN118" i="3"/>
  <c r="AL118" i="3"/>
  <c r="AK118" i="3"/>
  <c r="AJ118" i="3"/>
  <c r="AI118" i="3"/>
  <c r="AG118" i="3"/>
  <c r="AF118" i="3"/>
  <c r="AE118" i="3"/>
  <c r="AD118" i="3"/>
  <c r="AB118" i="3"/>
  <c r="AA118" i="3"/>
  <c r="Z118" i="3"/>
  <c r="Y118" i="3"/>
  <c r="W118" i="3"/>
  <c r="V118" i="3"/>
  <c r="U118" i="3"/>
  <c r="T118" i="3"/>
  <c r="R118" i="3"/>
  <c r="Q118" i="3"/>
  <c r="P118" i="3"/>
  <c r="O118" i="3"/>
  <c r="M118" i="3"/>
  <c r="L118" i="3"/>
  <c r="K118" i="3"/>
  <c r="J118" i="3"/>
  <c r="AV117" i="3"/>
  <c r="AU117" i="3"/>
  <c r="AT117" i="3"/>
  <c r="AS117" i="3"/>
  <c r="AQ117" i="3"/>
  <c r="AP117" i="3"/>
  <c r="AO117" i="3"/>
  <c r="AN117" i="3"/>
  <c r="AL117" i="3"/>
  <c r="AK117" i="3"/>
  <c r="AJ117" i="3"/>
  <c r="AI117" i="3"/>
  <c r="AG117" i="3"/>
  <c r="AF117" i="3"/>
  <c r="AE117" i="3"/>
  <c r="AD117" i="3"/>
  <c r="AB117" i="3"/>
  <c r="AA117" i="3"/>
  <c r="Z117" i="3"/>
  <c r="Y117" i="3"/>
  <c r="W117" i="3"/>
  <c r="V117" i="3"/>
  <c r="U117" i="3"/>
  <c r="T117" i="3"/>
  <c r="R117" i="3"/>
  <c r="Q117" i="3"/>
  <c r="P117" i="3"/>
  <c r="O117" i="3"/>
  <c r="M117" i="3"/>
  <c r="L117" i="3"/>
  <c r="K117" i="3"/>
  <c r="J117" i="3"/>
  <c r="AV116" i="3"/>
  <c r="AU116" i="3"/>
  <c r="AT116" i="3"/>
  <c r="AS116" i="3"/>
  <c r="AQ116" i="3"/>
  <c r="AP116" i="3"/>
  <c r="AO116" i="3"/>
  <c r="AN116" i="3"/>
  <c r="AL116" i="3"/>
  <c r="AK116" i="3"/>
  <c r="AJ116" i="3"/>
  <c r="AI116" i="3"/>
  <c r="AG116" i="3"/>
  <c r="AF116" i="3"/>
  <c r="AE116" i="3"/>
  <c r="AD116" i="3"/>
  <c r="AB116" i="3"/>
  <c r="AA116" i="3"/>
  <c r="Z116" i="3"/>
  <c r="Y116" i="3"/>
  <c r="W116" i="3"/>
  <c r="V116" i="3"/>
  <c r="U116" i="3"/>
  <c r="T116" i="3"/>
  <c r="R116" i="3"/>
  <c r="Q116" i="3"/>
  <c r="P116" i="3"/>
  <c r="O116" i="3"/>
  <c r="M116" i="3"/>
  <c r="L116" i="3"/>
  <c r="K116" i="3"/>
  <c r="J116" i="3"/>
  <c r="AV115" i="3"/>
  <c r="AU115" i="3"/>
  <c r="AT115" i="3"/>
  <c r="AS115" i="3"/>
  <c r="AQ115" i="3"/>
  <c r="AP115" i="3"/>
  <c r="AO115" i="3"/>
  <c r="AN115" i="3"/>
  <c r="AL115" i="3"/>
  <c r="AK115" i="3"/>
  <c r="AJ115" i="3"/>
  <c r="AI115" i="3"/>
  <c r="AG115" i="3"/>
  <c r="AF115" i="3"/>
  <c r="AE115" i="3"/>
  <c r="AD115" i="3"/>
  <c r="AB115" i="3"/>
  <c r="AA115" i="3"/>
  <c r="Z115" i="3"/>
  <c r="Y115" i="3"/>
  <c r="W115" i="3"/>
  <c r="V115" i="3"/>
  <c r="U115" i="3"/>
  <c r="T115" i="3"/>
  <c r="R115" i="3"/>
  <c r="Q115" i="3"/>
  <c r="P115" i="3"/>
  <c r="O115" i="3"/>
  <c r="M115" i="3"/>
  <c r="L115" i="3"/>
  <c r="K115" i="3"/>
  <c r="J115" i="3"/>
  <c r="AV114" i="3"/>
  <c r="AU114" i="3"/>
  <c r="AT114" i="3"/>
  <c r="AS114" i="3"/>
  <c r="AQ114" i="3"/>
  <c r="AP114" i="3"/>
  <c r="AO114" i="3"/>
  <c r="AN114" i="3"/>
  <c r="AL114" i="3"/>
  <c r="AK114" i="3"/>
  <c r="AJ114" i="3"/>
  <c r="AI114" i="3"/>
  <c r="AG114" i="3"/>
  <c r="AF114" i="3"/>
  <c r="AE114" i="3"/>
  <c r="AD114" i="3"/>
  <c r="AB114" i="3"/>
  <c r="AA114" i="3"/>
  <c r="Z114" i="3"/>
  <c r="Y114" i="3"/>
  <c r="W114" i="3"/>
  <c r="V114" i="3"/>
  <c r="U114" i="3"/>
  <c r="T114" i="3"/>
  <c r="R114" i="3"/>
  <c r="Q114" i="3"/>
  <c r="P114" i="3"/>
  <c r="O114" i="3"/>
  <c r="M114" i="3"/>
  <c r="L114" i="3"/>
  <c r="K114" i="3"/>
  <c r="J114" i="3"/>
  <c r="AV113" i="3"/>
  <c r="AU113" i="3"/>
  <c r="AT113" i="3"/>
  <c r="AS113" i="3"/>
  <c r="AQ113" i="3"/>
  <c r="AP113" i="3"/>
  <c r="AO113" i="3"/>
  <c r="AN113" i="3"/>
  <c r="AL113" i="3"/>
  <c r="AK113" i="3"/>
  <c r="AJ113" i="3"/>
  <c r="AI113" i="3"/>
  <c r="AG113" i="3"/>
  <c r="AF113" i="3"/>
  <c r="AE113" i="3"/>
  <c r="AD113" i="3"/>
  <c r="AB113" i="3"/>
  <c r="AA113" i="3"/>
  <c r="Z113" i="3"/>
  <c r="Y113" i="3"/>
  <c r="W113" i="3"/>
  <c r="V113" i="3"/>
  <c r="U113" i="3"/>
  <c r="T113" i="3"/>
  <c r="R113" i="3"/>
  <c r="Q113" i="3"/>
  <c r="P113" i="3"/>
  <c r="O113" i="3"/>
  <c r="M113" i="3"/>
  <c r="L113" i="3"/>
  <c r="K113" i="3"/>
  <c r="J113" i="3"/>
  <c r="AV112" i="3"/>
  <c r="AU112" i="3"/>
  <c r="AT112" i="3"/>
  <c r="AS112" i="3"/>
  <c r="AQ112" i="3"/>
  <c r="AP112" i="3"/>
  <c r="AO112" i="3"/>
  <c r="AN112" i="3"/>
  <c r="AL112" i="3"/>
  <c r="AK112" i="3"/>
  <c r="AJ112" i="3"/>
  <c r="AI112" i="3"/>
  <c r="AG112" i="3"/>
  <c r="AF112" i="3"/>
  <c r="AE112" i="3"/>
  <c r="AD112" i="3"/>
  <c r="AB112" i="3"/>
  <c r="AA112" i="3"/>
  <c r="Z112" i="3"/>
  <c r="Y112" i="3"/>
  <c r="W112" i="3"/>
  <c r="V112" i="3"/>
  <c r="U112" i="3"/>
  <c r="T112" i="3"/>
  <c r="R112" i="3"/>
  <c r="Q112" i="3"/>
  <c r="P112" i="3"/>
  <c r="O112" i="3"/>
  <c r="M112" i="3"/>
  <c r="L112" i="3"/>
  <c r="K112" i="3"/>
  <c r="J112" i="3"/>
  <c r="AV111" i="3"/>
  <c r="AU111" i="3"/>
  <c r="AT111" i="3"/>
  <c r="AS111" i="3"/>
  <c r="AQ111" i="3"/>
  <c r="AP111" i="3"/>
  <c r="AO111" i="3"/>
  <c r="AN111" i="3"/>
  <c r="AL111" i="3"/>
  <c r="AK111" i="3"/>
  <c r="AJ111" i="3"/>
  <c r="AI111" i="3"/>
  <c r="AG111" i="3"/>
  <c r="AF111" i="3"/>
  <c r="AE111" i="3"/>
  <c r="AD111" i="3"/>
  <c r="AB111" i="3"/>
  <c r="AA111" i="3"/>
  <c r="Z111" i="3"/>
  <c r="Y111" i="3"/>
  <c r="W111" i="3"/>
  <c r="V111" i="3"/>
  <c r="U111" i="3"/>
  <c r="T111" i="3"/>
  <c r="R111" i="3"/>
  <c r="Q111" i="3"/>
  <c r="P111" i="3"/>
  <c r="O111" i="3"/>
  <c r="M111" i="3"/>
  <c r="L111" i="3"/>
  <c r="K111" i="3"/>
  <c r="J111" i="3"/>
  <c r="AV110" i="3"/>
  <c r="AU110" i="3"/>
  <c r="AT110" i="3"/>
  <c r="AS110" i="3"/>
  <c r="AQ110" i="3"/>
  <c r="AP110" i="3"/>
  <c r="AO110" i="3"/>
  <c r="AN110" i="3"/>
  <c r="AL110" i="3"/>
  <c r="AK110" i="3"/>
  <c r="AJ110" i="3"/>
  <c r="AI110" i="3"/>
  <c r="AG110" i="3"/>
  <c r="AF110" i="3"/>
  <c r="AE110" i="3"/>
  <c r="AD110" i="3"/>
  <c r="AB110" i="3"/>
  <c r="AA110" i="3"/>
  <c r="Z110" i="3"/>
  <c r="Y110" i="3"/>
  <c r="W110" i="3"/>
  <c r="V110" i="3"/>
  <c r="U110" i="3"/>
  <c r="T110" i="3"/>
  <c r="R110" i="3"/>
  <c r="Q110" i="3"/>
  <c r="P110" i="3"/>
  <c r="O110" i="3"/>
  <c r="M110" i="3"/>
  <c r="L110" i="3"/>
  <c r="K110" i="3"/>
  <c r="J110" i="3"/>
  <c r="AV109" i="3"/>
  <c r="AU109" i="3"/>
  <c r="AT109" i="3"/>
  <c r="AS109" i="3"/>
  <c r="AQ109" i="3"/>
  <c r="AP109" i="3"/>
  <c r="AO109" i="3"/>
  <c r="AN109" i="3"/>
  <c r="AL109" i="3"/>
  <c r="AK109" i="3"/>
  <c r="AJ109" i="3"/>
  <c r="AI109" i="3"/>
  <c r="AG109" i="3"/>
  <c r="AF109" i="3"/>
  <c r="AE109" i="3"/>
  <c r="AD109" i="3"/>
  <c r="AB109" i="3"/>
  <c r="AA109" i="3"/>
  <c r="Z109" i="3"/>
  <c r="Y109" i="3"/>
  <c r="W109" i="3"/>
  <c r="V109" i="3"/>
  <c r="U109" i="3"/>
  <c r="T109" i="3"/>
  <c r="R109" i="3"/>
  <c r="Q109" i="3"/>
  <c r="P109" i="3"/>
  <c r="O109" i="3"/>
  <c r="M109" i="3"/>
  <c r="L109" i="3"/>
  <c r="K109" i="3"/>
  <c r="J109" i="3"/>
  <c r="AV108" i="3"/>
  <c r="AU108" i="3"/>
  <c r="AT108" i="3"/>
  <c r="AS108" i="3"/>
  <c r="AQ108" i="3"/>
  <c r="AP108" i="3"/>
  <c r="AO108" i="3"/>
  <c r="AN108" i="3"/>
  <c r="AL108" i="3"/>
  <c r="AK108" i="3"/>
  <c r="AJ108" i="3"/>
  <c r="AI108" i="3"/>
  <c r="AG108" i="3"/>
  <c r="AF108" i="3"/>
  <c r="AE108" i="3"/>
  <c r="AD108" i="3"/>
  <c r="AB108" i="3"/>
  <c r="AA108" i="3"/>
  <c r="Z108" i="3"/>
  <c r="Y108" i="3"/>
  <c r="W108" i="3"/>
  <c r="V108" i="3"/>
  <c r="U108" i="3"/>
  <c r="T108" i="3"/>
  <c r="R108" i="3"/>
  <c r="Q108" i="3"/>
  <c r="P108" i="3"/>
  <c r="O108" i="3"/>
  <c r="M108" i="3"/>
  <c r="L108" i="3"/>
  <c r="K108" i="3"/>
  <c r="J108" i="3"/>
  <c r="AV107" i="3"/>
  <c r="AU107" i="3"/>
  <c r="AT107" i="3"/>
  <c r="AS107" i="3"/>
  <c r="AQ107" i="3"/>
  <c r="AP107" i="3"/>
  <c r="AO107" i="3"/>
  <c r="AN107" i="3"/>
  <c r="AL107" i="3"/>
  <c r="AK107" i="3"/>
  <c r="AJ107" i="3"/>
  <c r="AI107" i="3"/>
  <c r="AG107" i="3"/>
  <c r="AF107" i="3"/>
  <c r="AE107" i="3"/>
  <c r="AD107" i="3"/>
  <c r="AB107" i="3"/>
  <c r="AA107" i="3"/>
  <c r="Z107" i="3"/>
  <c r="Y107" i="3"/>
  <c r="W107" i="3"/>
  <c r="V107" i="3"/>
  <c r="U107" i="3"/>
  <c r="T107" i="3"/>
  <c r="R107" i="3"/>
  <c r="Q107" i="3"/>
  <c r="P107" i="3"/>
  <c r="O107" i="3"/>
  <c r="M107" i="3"/>
  <c r="L107" i="3"/>
  <c r="K107" i="3"/>
  <c r="J107" i="3"/>
  <c r="AV106" i="3"/>
  <c r="AU106" i="3"/>
  <c r="AT106" i="3"/>
  <c r="AS106" i="3"/>
  <c r="AQ106" i="3"/>
  <c r="AP106" i="3"/>
  <c r="AO106" i="3"/>
  <c r="AN106" i="3"/>
  <c r="AL106" i="3"/>
  <c r="AK106" i="3"/>
  <c r="AJ106" i="3"/>
  <c r="AI106" i="3"/>
  <c r="AG106" i="3"/>
  <c r="AF106" i="3"/>
  <c r="AE106" i="3"/>
  <c r="AD106" i="3"/>
  <c r="AB106" i="3"/>
  <c r="AA106" i="3"/>
  <c r="Z106" i="3"/>
  <c r="Y106" i="3"/>
  <c r="W106" i="3"/>
  <c r="V106" i="3"/>
  <c r="U106" i="3"/>
  <c r="T106" i="3"/>
  <c r="R106" i="3"/>
  <c r="Q106" i="3"/>
  <c r="P106" i="3"/>
  <c r="O106" i="3"/>
  <c r="M106" i="3"/>
  <c r="L106" i="3"/>
  <c r="K106" i="3"/>
  <c r="J106" i="3"/>
  <c r="AV105" i="3"/>
  <c r="AU105" i="3"/>
  <c r="AT105" i="3"/>
  <c r="AS105" i="3"/>
  <c r="AQ105" i="3"/>
  <c r="AP105" i="3"/>
  <c r="AO105" i="3"/>
  <c r="AN105" i="3"/>
  <c r="AL105" i="3"/>
  <c r="AK105" i="3"/>
  <c r="AJ105" i="3"/>
  <c r="AI105" i="3"/>
  <c r="AG105" i="3"/>
  <c r="AF105" i="3"/>
  <c r="AE105" i="3"/>
  <c r="AD105" i="3"/>
  <c r="AB105" i="3"/>
  <c r="AA105" i="3"/>
  <c r="Z105" i="3"/>
  <c r="Y105" i="3"/>
  <c r="W105" i="3"/>
  <c r="V105" i="3"/>
  <c r="U105" i="3"/>
  <c r="T105" i="3"/>
  <c r="R105" i="3"/>
  <c r="Q105" i="3"/>
  <c r="P105" i="3"/>
  <c r="O105" i="3"/>
  <c r="M105" i="3"/>
  <c r="L105" i="3"/>
  <c r="K105" i="3"/>
  <c r="J105" i="3"/>
  <c r="AV104" i="3"/>
  <c r="AU104" i="3"/>
  <c r="AT104" i="3"/>
  <c r="AS104" i="3"/>
  <c r="AQ104" i="3"/>
  <c r="AP104" i="3"/>
  <c r="AO104" i="3"/>
  <c r="AN104" i="3"/>
  <c r="AL104" i="3"/>
  <c r="AK104" i="3"/>
  <c r="AJ104" i="3"/>
  <c r="AI104" i="3"/>
  <c r="AG104" i="3"/>
  <c r="AF104" i="3"/>
  <c r="AE104" i="3"/>
  <c r="AD104" i="3"/>
  <c r="AB104" i="3"/>
  <c r="AA104" i="3"/>
  <c r="Z104" i="3"/>
  <c r="Y104" i="3"/>
  <c r="W104" i="3"/>
  <c r="V104" i="3"/>
  <c r="U104" i="3"/>
  <c r="T104" i="3"/>
  <c r="R104" i="3"/>
  <c r="Q104" i="3"/>
  <c r="P104" i="3"/>
  <c r="O104" i="3"/>
  <c r="M104" i="3"/>
  <c r="L104" i="3"/>
  <c r="K104" i="3"/>
  <c r="J104" i="3"/>
  <c r="AV103" i="3"/>
  <c r="AU103" i="3"/>
  <c r="AT103" i="3"/>
  <c r="AS103" i="3"/>
  <c r="AQ103" i="3"/>
  <c r="AP103" i="3"/>
  <c r="AO103" i="3"/>
  <c r="AN103" i="3"/>
  <c r="AL103" i="3"/>
  <c r="AK103" i="3"/>
  <c r="AJ103" i="3"/>
  <c r="AI103" i="3"/>
  <c r="AG103" i="3"/>
  <c r="AF103" i="3"/>
  <c r="AE103" i="3"/>
  <c r="AD103" i="3"/>
  <c r="AB103" i="3"/>
  <c r="AA103" i="3"/>
  <c r="Z103" i="3"/>
  <c r="Y103" i="3"/>
  <c r="W103" i="3"/>
  <c r="V103" i="3"/>
  <c r="U103" i="3"/>
  <c r="T103" i="3"/>
  <c r="R103" i="3"/>
  <c r="Q103" i="3"/>
  <c r="P103" i="3"/>
  <c r="O103" i="3"/>
  <c r="M103" i="3"/>
  <c r="L103" i="3"/>
  <c r="K103" i="3"/>
  <c r="J103" i="3"/>
  <c r="AV102" i="3"/>
  <c r="AU102" i="3"/>
  <c r="AT102" i="3"/>
  <c r="AS102" i="3"/>
  <c r="AQ102" i="3"/>
  <c r="AP102" i="3"/>
  <c r="AO102" i="3"/>
  <c r="AN102" i="3"/>
  <c r="AL102" i="3"/>
  <c r="AK102" i="3"/>
  <c r="AJ102" i="3"/>
  <c r="AI102" i="3"/>
  <c r="AG102" i="3"/>
  <c r="AF102" i="3"/>
  <c r="AE102" i="3"/>
  <c r="AD102" i="3"/>
  <c r="AB102" i="3"/>
  <c r="AA102" i="3"/>
  <c r="Z102" i="3"/>
  <c r="Y102" i="3"/>
  <c r="W102" i="3"/>
  <c r="V102" i="3"/>
  <c r="U102" i="3"/>
  <c r="T102" i="3"/>
  <c r="R102" i="3"/>
  <c r="Q102" i="3"/>
  <c r="P102" i="3"/>
  <c r="O102" i="3"/>
  <c r="M102" i="3"/>
  <c r="L102" i="3"/>
  <c r="K102" i="3"/>
  <c r="J102" i="3"/>
  <c r="AV101" i="3"/>
  <c r="AU101" i="3"/>
  <c r="AT101" i="3"/>
  <c r="AS101" i="3"/>
  <c r="AQ101" i="3"/>
  <c r="AP101" i="3"/>
  <c r="AO101" i="3"/>
  <c r="AN101" i="3"/>
  <c r="AL101" i="3"/>
  <c r="AK101" i="3"/>
  <c r="AJ101" i="3"/>
  <c r="AI101" i="3"/>
  <c r="AG101" i="3"/>
  <c r="AF101" i="3"/>
  <c r="AE101" i="3"/>
  <c r="AD101" i="3"/>
  <c r="AB101" i="3"/>
  <c r="AA101" i="3"/>
  <c r="Z101" i="3"/>
  <c r="Y101" i="3"/>
  <c r="W101" i="3"/>
  <c r="V101" i="3"/>
  <c r="U101" i="3"/>
  <c r="T101" i="3"/>
  <c r="R101" i="3"/>
  <c r="Q101" i="3"/>
  <c r="P101" i="3"/>
  <c r="O101" i="3"/>
  <c r="M101" i="3"/>
  <c r="L101" i="3"/>
  <c r="K101" i="3"/>
  <c r="J101" i="3"/>
  <c r="AV100" i="3"/>
  <c r="AU100" i="3"/>
  <c r="AT100" i="3"/>
  <c r="AS100" i="3"/>
  <c r="AQ100" i="3"/>
  <c r="AP100" i="3"/>
  <c r="AO100" i="3"/>
  <c r="AN100" i="3"/>
  <c r="AL100" i="3"/>
  <c r="AK100" i="3"/>
  <c r="AJ100" i="3"/>
  <c r="AI100" i="3"/>
  <c r="AG100" i="3"/>
  <c r="AF100" i="3"/>
  <c r="AE100" i="3"/>
  <c r="AD100" i="3"/>
  <c r="AB100" i="3"/>
  <c r="AA100" i="3"/>
  <c r="Z100" i="3"/>
  <c r="Y100" i="3"/>
  <c r="W100" i="3"/>
  <c r="V100" i="3"/>
  <c r="U100" i="3"/>
  <c r="T100" i="3"/>
  <c r="R100" i="3"/>
  <c r="Q100" i="3"/>
  <c r="P100" i="3"/>
  <c r="O100" i="3"/>
  <c r="M100" i="3"/>
  <c r="L100" i="3"/>
  <c r="K100" i="3"/>
  <c r="J100" i="3"/>
  <c r="AV99" i="3"/>
  <c r="AU99" i="3"/>
  <c r="AT99" i="3"/>
  <c r="AS99" i="3"/>
  <c r="AQ99" i="3"/>
  <c r="AP99" i="3"/>
  <c r="AO99" i="3"/>
  <c r="AN99" i="3"/>
  <c r="AL99" i="3"/>
  <c r="AK99" i="3"/>
  <c r="AJ99" i="3"/>
  <c r="AI99" i="3"/>
  <c r="AG99" i="3"/>
  <c r="AF99" i="3"/>
  <c r="AE99" i="3"/>
  <c r="AD99" i="3"/>
  <c r="AB99" i="3"/>
  <c r="AA99" i="3"/>
  <c r="Z99" i="3"/>
  <c r="Y99" i="3"/>
  <c r="W99" i="3"/>
  <c r="V99" i="3"/>
  <c r="U99" i="3"/>
  <c r="T99" i="3"/>
  <c r="R99" i="3"/>
  <c r="Q99" i="3"/>
  <c r="P99" i="3"/>
  <c r="O99" i="3"/>
  <c r="M99" i="3"/>
  <c r="L99" i="3"/>
  <c r="K99" i="3"/>
  <c r="J99" i="3"/>
  <c r="AV98" i="3"/>
  <c r="AU98" i="3"/>
  <c r="AT98" i="3"/>
  <c r="AS98" i="3"/>
  <c r="AQ98" i="3"/>
  <c r="AP98" i="3"/>
  <c r="AO98" i="3"/>
  <c r="AN98" i="3"/>
  <c r="AL98" i="3"/>
  <c r="AK98" i="3"/>
  <c r="AJ98" i="3"/>
  <c r="AI98" i="3"/>
  <c r="AG98" i="3"/>
  <c r="AF98" i="3"/>
  <c r="AE98" i="3"/>
  <c r="AD98" i="3"/>
  <c r="AB98" i="3"/>
  <c r="AA98" i="3"/>
  <c r="Z98" i="3"/>
  <c r="Y98" i="3"/>
  <c r="W98" i="3"/>
  <c r="V98" i="3"/>
  <c r="U98" i="3"/>
  <c r="T98" i="3"/>
  <c r="R98" i="3"/>
  <c r="Q98" i="3"/>
  <c r="P98" i="3"/>
  <c r="O98" i="3"/>
  <c r="M98" i="3"/>
  <c r="L98" i="3"/>
  <c r="K98" i="3"/>
  <c r="J98" i="3"/>
  <c r="AV97" i="3"/>
  <c r="AU97" i="3"/>
  <c r="AT97" i="3"/>
  <c r="AS97" i="3"/>
  <c r="AQ97" i="3"/>
  <c r="AP97" i="3"/>
  <c r="AO97" i="3"/>
  <c r="AN97" i="3"/>
  <c r="AL97" i="3"/>
  <c r="AK97" i="3"/>
  <c r="AJ97" i="3"/>
  <c r="AI97" i="3"/>
  <c r="AG97" i="3"/>
  <c r="AF97" i="3"/>
  <c r="AE97" i="3"/>
  <c r="AD97" i="3"/>
  <c r="AB97" i="3"/>
  <c r="AA97" i="3"/>
  <c r="Z97" i="3"/>
  <c r="Y97" i="3"/>
  <c r="W97" i="3"/>
  <c r="V97" i="3"/>
  <c r="U97" i="3"/>
  <c r="T97" i="3"/>
  <c r="R97" i="3"/>
  <c r="Q97" i="3"/>
  <c r="P97" i="3"/>
  <c r="O97" i="3"/>
  <c r="M97" i="3"/>
  <c r="L97" i="3"/>
  <c r="K97" i="3"/>
  <c r="J97" i="3"/>
  <c r="AV96" i="3"/>
  <c r="AU96" i="3"/>
  <c r="AT96" i="3"/>
  <c r="AS96" i="3"/>
  <c r="AQ96" i="3"/>
  <c r="AP96" i="3"/>
  <c r="AO96" i="3"/>
  <c r="AN96" i="3"/>
  <c r="AL96" i="3"/>
  <c r="AK96" i="3"/>
  <c r="AJ96" i="3"/>
  <c r="AI96" i="3"/>
  <c r="AG96" i="3"/>
  <c r="AF96" i="3"/>
  <c r="AE96" i="3"/>
  <c r="AD96" i="3"/>
  <c r="AB96" i="3"/>
  <c r="AA96" i="3"/>
  <c r="Z96" i="3"/>
  <c r="Y96" i="3"/>
  <c r="W96" i="3"/>
  <c r="V96" i="3"/>
  <c r="U96" i="3"/>
  <c r="T96" i="3"/>
  <c r="R96" i="3"/>
  <c r="Q96" i="3"/>
  <c r="P96" i="3"/>
  <c r="O96" i="3"/>
  <c r="M96" i="3"/>
  <c r="L96" i="3"/>
  <c r="K96" i="3"/>
  <c r="J96" i="3"/>
  <c r="AV95" i="3"/>
  <c r="AU95" i="3"/>
  <c r="AT95" i="3"/>
  <c r="AS95" i="3"/>
  <c r="AQ95" i="3"/>
  <c r="AP95" i="3"/>
  <c r="AO95" i="3"/>
  <c r="AN95" i="3"/>
  <c r="AL95" i="3"/>
  <c r="AK95" i="3"/>
  <c r="AJ95" i="3"/>
  <c r="AI95" i="3"/>
  <c r="AG95" i="3"/>
  <c r="AF95" i="3"/>
  <c r="AE95" i="3"/>
  <c r="AD95" i="3"/>
  <c r="AB95" i="3"/>
  <c r="AA95" i="3"/>
  <c r="Z95" i="3"/>
  <c r="Y95" i="3"/>
  <c r="W95" i="3"/>
  <c r="V95" i="3"/>
  <c r="U95" i="3"/>
  <c r="T95" i="3"/>
  <c r="R95" i="3"/>
  <c r="Q95" i="3"/>
  <c r="P95" i="3"/>
  <c r="O95" i="3"/>
  <c r="M95" i="3"/>
  <c r="L95" i="3"/>
  <c r="K95" i="3"/>
  <c r="J95" i="3"/>
  <c r="AV94" i="3"/>
  <c r="AU94" i="3"/>
  <c r="AT94" i="3"/>
  <c r="AS94" i="3"/>
  <c r="AQ94" i="3"/>
  <c r="AP94" i="3"/>
  <c r="AO94" i="3"/>
  <c r="AN94" i="3"/>
  <c r="AL94" i="3"/>
  <c r="AK94" i="3"/>
  <c r="AJ94" i="3"/>
  <c r="AI94" i="3"/>
  <c r="AG94" i="3"/>
  <c r="AF94" i="3"/>
  <c r="AE94" i="3"/>
  <c r="AD94" i="3"/>
  <c r="AB94" i="3"/>
  <c r="AA94" i="3"/>
  <c r="Z94" i="3"/>
  <c r="Y94" i="3"/>
  <c r="W94" i="3"/>
  <c r="V94" i="3"/>
  <c r="U94" i="3"/>
  <c r="T94" i="3"/>
  <c r="R94" i="3"/>
  <c r="Q94" i="3"/>
  <c r="P94" i="3"/>
  <c r="O94" i="3"/>
  <c r="M94" i="3"/>
  <c r="L94" i="3"/>
  <c r="K94" i="3"/>
  <c r="J94" i="3"/>
  <c r="AV93" i="3"/>
  <c r="AU93" i="3"/>
  <c r="AT93" i="3"/>
  <c r="AS93" i="3"/>
  <c r="AQ93" i="3"/>
  <c r="AP93" i="3"/>
  <c r="AO93" i="3"/>
  <c r="AN93" i="3"/>
  <c r="AL93" i="3"/>
  <c r="AK93" i="3"/>
  <c r="AJ93" i="3"/>
  <c r="AI93" i="3"/>
  <c r="AG93" i="3"/>
  <c r="AF93" i="3"/>
  <c r="AE93" i="3"/>
  <c r="AD93" i="3"/>
  <c r="AB93" i="3"/>
  <c r="AA93" i="3"/>
  <c r="Z93" i="3"/>
  <c r="Y93" i="3"/>
  <c r="W93" i="3"/>
  <c r="V93" i="3"/>
  <c r="U93" i="3"/>
  <c r="T93" i="3"/>
  <c r="R93" i="3"/>
  <c r="Q93" i="3"/>
  <c r="P93" i="3"/>
  <c r="O93" i="3"/>
  <c r="M93" i="3"/>
  <c r="L93" i="3"/>
  <c r="K93" i="3"/>
  <c r="J93" i="3"/>
  <c r="AV92" i="3"/>
  <c r="AU92" i="3"/>
  <c r="AT92" i="3"/>
  <c r="AS92" i="3"/>
  <c r="AQ92" i="3"/>
  <c r="AP92" i="3"/>
  <c r="AO92" i="3"/>
  <c r="AN92" i="3"/>
  <c r="AL92" i="3"/>
  <c r="AK92" i="3"/>
  <c r="AJ92" i="3"/>
  <c r="AI92" i="3"/>
  <c r="AG92" i="3"/>
  <c r="AF92" i="3"/>
  <c r="AE92" i="3"/>
  <c r="AD92" i="3"/>
  <c r="AB92" i="3"/>
  <c r="AA92" i="3"/>
  <c r="Z92" i="3"/>
  <c r="Y92" i="3"/>
  <c r="W92" i="3"/>
  <c r="V92" i="3"/>
  <c r="U92" i="3"/>
  <c r="T92" i="3"/>
  <c r="R92" i="3"/>
  <c r="Q92" i="3"/>
  <c r="P92" i="3"/>
  <c r="O92" i="3"/>
  <c r="M92" i="3"/>
  <c r="L92" i="3"/>
  <c r="K92" i="3"/>
  <c r="J92" i="3"/>
  <c r="AV91" i="3"/>
  <c r="AU91" i="3"/>
  <c r="AT91" i="3"/>
  <c r="AS91" i="3"/>
  <c r="AQ91" i="3"/>
  <c r="AP91" i="3"/>
  <c r="AO91" i="3"/>
  <c r="AN91" i="3"/>
  <c r="AL91" i="3"/>
  <c r="AK91" i="3"/>
  <c r="AJ91" i="3"/>
  <c r="AI91" i="3"/>
  <c r="AG91" i="3"/>
  <c r="AF91" i="3"/>
  <c r="AE91" i="3"/>
  <c r="AD91" i="3"/>
  <c r="AB91" i="3"/>
  <c r="AA91" i="3"/>
  <c r="Z91" i="3"/>
  <c r="Y91" i="3"/>
  <c r="W91" i="3"/>
  <c r="V91" i="3"/>
  <c r="U91" i="3"/>
  <c r="T91" i="3"/>
  <c r="R91" i="3"/>
  <c r="Q91" i="3"/>
  <c r="P91" i="3"/>
  <c r="O91" i="3"/>
  <c r="M91" i="3"/>
  <c r="L91" i="3"/>
  <c r="K91" i="3"/>
  <c r="J91" i="3"/>
  <c r="AV90" i="3"/>
  <c r="AU90" i="3"/>
  <c r="AT90" i="3"/>
  <c r="AS90" i="3"/>
  <c r="AQ90" i="3"/>
  <c r="AP90" i="3"/>
  <c r="AO90" i="3"/>
  <c r="AN90" i="3"/>
  <c r="AL90" i="3"/>
  <c r="AK90" i="3"/>
  <c r="AJ90" i="3"/>
  <c r="AI90" i="3"/>
  <c r="AG90" i="3"/>
  <c r="AF90" i="3"/>
  <c r="AE90" i="3"/>
  <c r="AD90" i="3"/>
  <c r="AB90" i="3"/>
  <c r="AA90" i="3"/>
  <c r="Z90" i="3"/>
  <c r="Y90" i="3"/>
  <c r="W90" i="3"/>
  <c r="V90" i="3"/>
  <c r="U90" i="3"/>
  <c r="T90" i="3"/>
  <c r="R90" i="3"/>
  <c r="Q90" i="3"/>
  <c r="P90" i="3"/>
  <c r="O90" i="3"/>
  <c r="M90" i="3"/>
  <c r="L90" i="3"/>
  <c r="K90" i="3"/>
  <c r="J90" i="3"/>
  <c r="AV89" i="3"/>
  <c r="AU89" i="3"/>
  <c r="AT89" i="3"/>
  <c r="AS89" i="3"/>
  <c r="AQ89" i="3"/>
  <c r="AP89" i="3"/>
  <c r="AO89" i="3"/>
  <c r="AN89" i="3"/>
  <c r="AL89" i="3"/>
  <c r="AK89" i="3"/>
  <c r="AJ89" i="3"/>
  <c r="AI89" i="3"/>
  <c r="AG89" i="3"/>
  <c r="AF89" i="3"/>
  <c r="AE89" i="3"/>
  <c r="AD89" i="3"/>
  <c r="AB89" i="3"/>
  <c r="AA89" i="3"/>
  <c r="Z89" i="3"/>
  <c r="Y89" i="3"/>
  <c r="W89" i="3"/>
  <c r="V89" i="3"/>
  <c r="U89" i="3"/>
  <c r="T89" i="3"/>
  <c r="R89" i="3"/>
  <c r="Q89" i="3"/>
  <c r="P89" i="3"/>
  <c r="O89" i="3"/>
  <c r="M89" i="3"/>
  <c r="L89" i="3"/>
  <c r="K89" i="3"/>
  <c r="J89" i="3"/>
  <c r="AV88" i="3"/>
  <c r="AU88" i="3"/>
  <c r="AT88" i="3"/>
  <c r="AS88" i="3"/>
  <c r="AQ88" i="3"/>
  <c r="AP88" i="3"/>
  <c r="AO88" i="3"/>
  <c r="AN88" i="3"/>
  <c r="AL88" i="3"/>
  <c r="AK88" i="3"/>
  <c r="AJ88" i="3"/>
  <c r="AI88" i="3"/>
  <c r="AG88" i="3"/>
  <c r="AF88" i="3"/>
  <c r="AE88" i="3"/>
  <c r="AD88" i="3"/>
  <c r="AB88" i="3"/>
  <c r="AA88" i="3"/>
  <c r="Z88" i="3"/>
  <c r="Y88" i="3"/>
  <c r="W88" i="3"/>
  <c r="V88" i="3"/>
  <c r="U88" i="3"/>
  <c r="T88" i="3"/>
  <c r="R88" i="3"/>
  <c r="Q88" i="3"/>
  <c r="P88" i="3"/>
  <c r="O88" i="3"/>
  <c r="M88" i="3"/>
  <c r="L88" i="3"/>
  <c r="K88" i="3"/>
  <c r="J88" i="3"/>
  <c r="AV87" i="3"/>
  <c r="AU87" i="3"/>
  <c r="AT87" i="3"/>
  <c r="AS87" i="3"/>
  <c r="AQ87" i="3"/>
  <c r="AP87" i="3"/>
  <c r="AO87" i="3"/>
  <c r="AN87" i="3"/>
  <c r="AL87" i="3"/>
  <c r="AK87" i="3"/>
  <c r="AJ87" i="3"/>
  <c r="AI87" i="3"/>
  <c r="AG87" i="3"/>
  <c r="AF87" i="3"/>
  <c r="AE87" i="3"/>
  <c r="AD87" i="3"/>
  <c r="AB87" i="3"/>
  <c r="AA87" i="3"/>
  <c r="Z87" i="3"/>
  <c r="Y87" i="3"/>
  <c r="W87" i="3"/>
  <c r="V87" i="3"/>
  <c r="U87" i="3"/>
  <c r="T87" i="3"/>
  <c r="R87" i="3"/>
  <c r="Q87" i="3"/>
  <c r="P87" i="3"/>
  <c r="O87" i="3"/>
  <c r="M87" i="3"/>
  <c r="L87" i="3"/>
  <c r="K87" i="3"/>
  <c r="J87" i="3"/>
  <c r="AV86" i="3"/>
  <c r="AU86" i="3"/>
  <c r="AT86" i="3"/>
  <c r="AS86" i="3"/>
  <c r="AQ86" i="3"/>
  <c r="AP86" i="3"/>
  <c r="AO86" i="3"/>
  <c r="AN86" i="3"/>
  <c r="AL86" i="3"/>
  <c r="AK86" i="3"/>
  <c r="AJ86" i="3"/>
  <c r="AI86" i="3"/>
  <c r="AG86" i="3"/>
  <c r="AF86" i="3"/>
  <c r="AE86" i="3"/>
  <c r="AD86" i="3"/>
  <c r="AB86" i="3"/>
  <c r="AA86" i="3"/>
  <c r="Z86" i="3"/>
  <c r="Y86" i="3"/>
  <c r="W86" i="3"/>
  <c r="V86" i="3"/>
  <c r="U86" i="3"/>
  <c r="T86" i="3"/>
  <c r="R86" i="3"/>
  <c r="Q86" i="3"/>
  <c r="P86" i="3"/>
  <c r="O86" i="3"/>
  <c r="M86" i="3"/>
  <c r="L86" i="3"/>
  <c r="K86" i="3"/>
  <c r="J86" i="3"/>
  <c r="AV85" i="3"/>
  <c r="AU85" i="3"/>
  <c r="AT85" i="3"/>
  <c r="AS85" i="3"/>
  <c r="AQ85" i="3"/>
  <c r="AP85" i="3"/>
  <c r="AO85" i="3"/>
  <c r="AN85" i="3"/>
  <c r="AL85" i="3"/>
  <c r="AK85" i="3"/>
  <c r="AJ85" i="3"/>
  <c r="AI85" i="3"/>
  <c r="AG85" i="3"/>
  <c r="AF85" i="3"/>
  <c r="AE85" i="3"/>
  <c r="AD85" i="3"/>
  <c r="AB85" i="3"/>
  <c r="AA85" i="3"/>
  <c r="Z85" i="3"/>
  <c r="Y85" i="3"/>
  <c r="W85" i="3"/>
  <c r="V85" i="3"/>
  <c r="U85" i="3"/>
  <c r="T85" i="3"/>
  <c r="R85" i="3"/>
  <c r="Q85" i="3"/>
  <c r="P85" i="3"/>
  <c r="O85" i="3"/>
  <c r="M85" i="3"/>
  <c r="L85" i="3"/>
  <c r="K85" i="3"/>
  <c r="J85" i="3"/>
  <c r="AV84" i="3"/>
  <c r="AU84" i="3"/>
  <c r="AT84" i="3"/>
  <c r="AS84" i="3"/>
  <c r="AQ84" i="3"/>
  <c r="AP84" i="3"/>
  <c r="AO84" i="3"/>
  <c r="AN84" i="3"/>
  <c r="AL84" i="3"/>
  <c r="AK84" i="3"/>
  <c r="AJ84" i="3"/>
  <c r="AI84" i="3"/>
  <c r="AG84" i="3"/>
  <c r="AF84" i="3"/>
  <c r="AE84" i="3"/>
  <c r="AD84" i="3"/>
  <c r="AB84" i="3"/>
  <c r="AA84" i="3"/>
  <c r="Z84" i="3"/>
  <c r="Y84" i="3"/>
  <c r="W84" i="3"/>
  <c r="V84" i="3"/>
  <c r="U84" i="3"/>
  <c r="T84" i="3"/>
  <c r="R84" i="3"/>
  <c r="Q84" i="3"/>
  <c r="P84" i="3"/>
  <c r="O84" i="3"/>
  <c r="M84" i="3"/>
  <c r="L84" i="3"/>
  <c r="K84" i="3"/>
  <c r="J84" i="3"/>
  <c r="AV83" i="3"/>
  <c r="AU83" i="3"/>
  <c r="AT83" i="3"/>
  <c r="AS83" i="3"/>
  <c r="AQ83" i="3"/>
  <c r="AP83" i="3"/>
  <c r="AO83" i="3"/>
  <c r="AN83" i="3"/>
  <c r="AL83" i="3"/>
  <c r="AK83" i="3"/>
  <c r="AJ83" i="3"/>
  <c r="AI83" i="3"/>
  <c r="AG83" i="3"/>
  <c r="AF83" i="3"/>
  <c r="AE83" i="3"/>
  <c r="AD83" i="3"/>
  <c r="AB83" i="3"/>
  <c r="AA83" i="3"/>
  <c r="Z83" i="3"/>
  <c r="Y83" i="3"/>
  <c r="W83" i="3"/>
  <c r="V83" i="3"/>
  <c r="U83" i="3"/>
  <c r="T83" i="3"/>
  <c r="R83" i="3"/>
  <c r="Q83" i="3"/>
  <c r="P83" i="3"/>
  <c r="O83" i="3"/>
  <c r="M83" i="3"/>
  <c r="L83" i="3"/>
  <c r="K83" i="3"/>
  <c r="J83" i="3"/>
  <c r="AV82" i="3"/>
  <c r="AU82" i="3"/>
  <c r="AT82" i="3"/>
  <c r="AS82" i="3"/>
  <c r="AQ82" i="3"/>
  <c r="AP82" i="3"/>
  <c r="AO82" i="3"/>
  <c r="AN82" i="3"/>
  <c r="AL82" i="3"/>
  <c r="AK82" i="3"/>
  <c r="AJ82" i="3"/>
  <c r="AI82" i="3"/>
  <c r="AG82" i="3"/>
  <c r="AF82" i="3"/>
  <c r="AE82" i="3"/>
  <c r="AD82" i="3"/>
  <c r="AB82" i="3"/>
  <c r="AA82" i="3"/>
  <c r="Z82" i="3"/>
  <c r="Y82" i="3"/>
  <c r="W82" i="3"/>
  <c r="V82" i="3"/>
  <c r="U82" i="3"/>
  <c r="T82" i="3"/>
  <c r="R82" i="3"/>
  <c r="Q82" i="3"/>
  <c r="P82" i="3"/>
  <c r="O82" i="3"/>
  <c r="M82" i="3"/>
  <c r="L82" i="3"/>
  <c r="K82" i="3"/>
  <c r="J82" i="3"/>
  <c r="AV81" i="3"/>
  <c r="AU81" i="3"/>
  <c r="AT81" i="3"/>
  <c r="AS81" i="3"/>
  <c r="AQ81" i="3"/>
  <c r="AP81" i="3"/>
  <c r="AO81" i="3"/>
  <c r="AN81" i="3"/>
  <c r="AL81" i="3"/>
  <c r="AK81" i="3"/>
  <c r="AJ81" i="3"/>
  <c r="AI81" i="3"/>
  <c r="AG81" i="3"/>
  <c r="AF81" i="3"/>
  <c r="AE81" i="3"/>
  <c r="AD81" i="3"/>
  <c r="AB81" i="3"/>
  <c r="AA81" i="3"/>
  <c r="Z81" i="3"/>
  <c r="Y81" i="3"/>
  <c r="W81" i="3"/>
  <c r="V81" i="3"/>
  <c r="U81" i="3"/>
  <c r="T81" i="3"/>
  <c r="R81" i="3"/>
  <c r="Q81" i="3"/>
  <c r="P81" i="3"/>
  <c r="O81" i="3"/>
  <c r="M81" i="3"/>
  <c r="L81" i="3"/>
  <c r="K81" i="3"/>
  <c r="J81" i="3"/>
  <c r="AV80" i="3"/>
  <c r="AU80" i="3"/>
  <c r="AT80" i="3"/>
  <c r="AS80" i="3"/>
  <c r="AQ80" i="3"/>
  <c r="AP80" i="3"/>
  <c r="AO80" i="3"/>
  <c r="AN80" i="3"/>
  <c r="AL80" i="3"/>
  <c r="AK80" i="3"/>
  <c r="AJ80" i="3"/>
  <c r="AI80" i="3"/>
  <c r="AG80" i="3"/>
  <c r="AF80" i="3"/>
  <c r="AE80" i="3"/>
  <c r="AD80" i="3"/>
  <c r="AB80" i="3"/>
  <c r="AA80" i="3"/>
  <c r="Z80" i="3"/>
  <c r="Y80" i="3"/>
  <c r="W80" i="3"/>
  <c r="V80" i="3"/>
  <c r="U80" i="3"/>
  <c r="T80" i="3"/>
  <c r="R80" i="3"/>
  <c r="Q80" i="3"/>
  <c r="P80" i="3"/>
  <c r="O80" i="3"/>
  <c r="M80" i="3"/>
  <c r="L80" i="3"/>
  <c r="K80" i="3"/>
  <c r="J80" i="3"/>
  <c r="AV79" i="3"/>
  <c r="AU79" i="3"/>
  <c r="AT79" i="3"/>
  <c r="AS79" i="3"/>
  <c r="AQ79" i="3"/>
  <c r="AP79" i="3"/>
  <c r="AO79" i="3"/>
  <c r="AN79" i="3"/>
  <c r="AL79" i="3"/>
  <c r="AK79" i="3"/>
  <c r="AJ79" i="3"/>
  <c r="AI79" i="3"/>
  <c r="AG79" i="3"/>
  <c r="AF79" i="3"/>
  <c r="AE79" i="3"/>
  <c r="AD79" i="3"/>
  <c r="AB79" i="3"/>
  <c r="AA79" i="3"/>
  <c r="Z79" i="3"/>
  <c r="Y79" i="3"/>
  <c r="W79" i="3"/>
  <c r="V79" i="3"/>
  <c r="U79" i="3"/>
  <c r="T79" i="3"/>
  <c r="R79" i="3"/>
  <c r="Q79" i="3"/>
  <c r="P79" i="3"/>
  <c r="O79" i="3"/>
  <c r="M79" i="3"/>
  <c r="L79" i="3"/>
  <c r="K79" i="3"/>
  <c r="J79" i="3"/>
  <c r="AV78" i="3"/>
  <c r="AU78" i="3"/>
  <c r="AT78" i="3"/>
  <c r="AS78" i="3"/>
  <c r="AQ78" i="3"/>
  <c r="AP78" i="3"/>
  <c r="AO78" i="3"/>
  <c r="AN78" i="3"/>
  <c r="AL78" i="3"/>
  <c r="AK78" i="3"/>
  <c r="AJ78" i="3"/>
  <c r="AI78" i="3"/>
  <c r="AG78" i="3"/>
  <c r="AF78" i="3"/>
  <c r="AE78" i="3"/>
  <c r="AD78" i="3"/>
  <c r="AB78" i="3"/>
  <c r="AA78" i="3"/>
  <c r="Z78" i="3"/>
  <c r="Y78" i="3"/>
  <c r="W78" i="3"/>
  <c r="V78" i="3"/>
  <c r="U78" i="3"/>
  <c r="T78" i="3"/>
  <c r="R78" i="3"/>
  <c r="Q78" i="3"/>
  <c r="P78" i="3"/>
  <c r="O78" i="3"/>
  <c r="M78" i="3"/>
  <c r="L78" i="3"/>
  <c r="K78" i="3"/>
  <c r="J78" i="3"/>
  <c r="AV77" i="3"/>
  <c r="AU77" i="3"/>
  <c r="AT77" i="3"/>
  <c r="AS77" i="3"/>
  <c r="AQ77" i="3"/>
  <c r="AP77" i="3"/>
  <c r="AO77" i="3"/>
  <c r="AN77" i="3"/>
  <c r="AL77" i="3"/>
  <c r="AK77" i="3"/>
  <c r="AJ77" i="3"/>
  <c r="AI77" i="3"/>
  <c r="AG77" i="3"/>
  <c r="AF77" i="3"/>
  <c r="AE77" i="3"/>
  <c r="AD77" i="3"/>
  <c r="AB77" i="3"/>
  <c r="AA77" i="3"/>
  <c r="Z77" i="3"/>
  <c r="Y77" i="3"/>
  <c r="W77" i="3"/>
  <c r="V77" i="3"/>
  <c r="U77" i="3"/>
  <c r="T77" i="3"/>
  <c r="R77" i="3"/>
  <c r="Q77" i="3"/>
  <c r="P77" i="3"/>
  <c r="O77" i="3"/>
  <c r="M77" i="3"/>
  <c r="L77" i="3"/>
  <c r="K77" i="3"/>
  <c r="J77" i="3"/>
  <c r="AV76" i="3"/>
  <c r="AU76" i="3"/>
  <c r="AT76" i="3"/>
  <c r="AS76" i="3"/>
  <c r="AQ76" i="3"/>
  <c r="AP76" i="3"/>
  <c r="AO76" i="3"/>
  <c r="AN76" i="3"/>
  <c r="AL76" i="3"/>
  <c r="AK76" i="3"/>
  <c r="AJ76" i="3"/>
  <c r="AI76" i="3"/>
  <c r="AG76" i="3"/>
  <c r="AF76" i="3"/>
  <c r="AE76" i="3"/>
  <c r="AD76" i="3"/>
  <c r="AB76" i="3"/>
  <c r="AA76" i="3"/>
  <c r="Z76" i="3"/>
  <c r="Y76" i="3"/>
  <c r="W76" i="3"/>
  <c r="V76" i="3"/>
  <c r="U76" i="3"/>
  <c r="T76" i="3"/>
  <c r="R76" i="3"/>
  <c r="Q76" i="3"/>
  <c r="P76" i="3"/>
  <c r="O76" i="3"/>
  <c r="M76" i="3"/>
  <c r="L76" i="3"/>
  <c r="K76" i="3"/>
  <c r="J76" i="3"/>
  <c r="AV75" i="3"/>
  <c r="AU75" i="3"/>
  <c r="AT75" i="3"/>
  <c r="AS75" i="3"/>
  <c r="AQ75" i="3"/>
  <c r="AP75" i="3"/>
  <c r="AO75" i="3"/>
  <c r="AN75" i="3"/>
  <c r="AL75" i="3"/>
  <c r="AK75" i="3"/>
  <c r="AJ75" i="3"/>
  <c r="AI75" i="3"/>
  <c r="AG75" i="3"/>
  <c r="AF75" i="3"/>
  <c r="AE75" i="3"/>
  <c r="AD75" i="3"/>
  <c r="AB75" i="3"/>
  <c r="AA75" i="3"/>
  <c r="Z75" i="3"/>
  <c r="Y75" i="3"/>
  <c r="W75" i="3"/>
  <c r="V75" i="3"/>
  <c r="U75" i="3"/>
  <c r="T75" i="3"/>
  <c r="R75" i="3"/>
  <c r="Q75" i="3"/>
  <c r="P75" i="3"/>
  <c r="O75" i="3"/>
  <c r="M75" i="3"/>
  <c r="L75" i="3"/>
  <c r="K75" i="3"/>
  <c r="J75" i="3"/>
  <c r="AV74" i="3"/>
  <c r="AU74" i="3"/>
  <c r="AT74" i="3"/>
  <c r="AS74" i="3"/>
  <c r="AQ74" i="3"/>
  <c r="AP74" i="3"/>
  <c r="AO74" i="3"/>
  <c r="AN74" i="3"/>
  <c r="AL74" i="3"/>
  <c r="AK74" i="3"/>
  <c r="AJ74" i="3"/>
  <c r="AI74" i="3"/>
  <c r="AG74" i="3"/>
  <c r="AF74" i="3"/>
  <c r="AE74" i="3"/>
  <c r="AD74" i="3"/>
  <c r="AB74" i="3"/>
  <c r="AA74" i="3"/>
  <c r="Z74" i="3"/>
  <c r="Y74" i="3"/>
  <c r="W74" i="3"/>
  <c r="V74" i="3"/>
  <c r="U74" i="3"/>
  <c r="T74" i="3"/>
  <c r="R74" i="3"/>
  <c r="Q74" i="3"/>
  <c r="P74" i="3"/>
  <c r="O74" i="3"/>
  <c r="M74" i="3"/>
  <c r="L74" i="3"/>
  <c r="K74" i="3"/>
  <c r="J74" i="3"/>
  <c r="AV73" i="3"/>
  <c r="AU73" i="3"/>
  <c r="AT73" i="3"/>
  <c r="AS73" i="3"/>
  <c r="AQ73" i="3"/>
  <c r="AP73" i="3"/>
  <c r="AO73" i="3"/>
  <c r="AN73" i="3"/>
  <c r="AL73" i="3"/>
  <c r="AK73" i="3"/>
  <c r="AJ73" i="3"/>
  <c r="AI73" i="3"/>
  <c r="AG73" i="3"/>
  <c r="AF73" i="3"/>
  <c r="AE73" i="3"/>
  <c r="AD73" i="3"/>
  <c r="AB73" i="3"/>
  <c r="AA73" i="3"/>
  <c r="Z73" i="3"/>
  <c r="Y73" i="3"/>
  <c r="W73" i="3"/>
  <c r="V73" i="3"/>
  <c r="U73" i="3"/>
  <c r="T73" i="3"/>
  <c r="R73" i="3"/>
  <c r="Q73" i="3"/>
  <c r="P73" i="3"/>
  <c r="O73" i="3"/>
  <c r="M73" i="3"/>
  <c r="L73" i="3"/>
  <c r="K73" i="3"/>
  <c r="J73" i="3"/>
  <c r="AV72" i="3"/>
  <c r="AU72" i="3"/>
  <c r="AT72" i="3"/>
  <c r="AS72" i="3"/>
  <c r="AQ72" i="3"/>
  <c r="AP72" i="3"/>
  <c r="AO72" i="3"/>
  <c r="AN72" i="3"/>
  <c r="AL72" i="3"/>
  <c r="AK72" i="3"/>
  <c r="AJ72" i="3"/>
  <c r="AI72" i="3"/>
  <c r="AG72" i="3"/>
  <c r="AF72" i="3"/>
  <c r="AE72" i="3"/>
  <c r="AD72" i="3"/>
  <c r="AB72" i="3"/>
  <c r="AA72" i="3"/>
  <c r="Z72" i="3"/>
  <c r="Y72" i="3"/>
  <c r="W72" i="3"/>
  <c r="V72" i="3"/>
  <c r="U72" i="3"/>
  <c r="T72" i="3"/>
  <c r="R72" i="3"/>
  <c r="Q72" i="3"/>
  <c r="P72" i="3"/>
  <c r="O72" i="3"/>
  <c r="M72" i="3"/>
  <c r="L72" i="3"/>
  <c r="K72" i="3"/>
  <c r="J72" i="3"/>
  <c r="AV71" i="3"/>
  <c r="AU71" i="3"/>
  <c r="AT71" i="3"/>
  <c r="AS71" i="3"/>
  <c r="AQ71" i="3"/>
  <c r="AP71" i="3"/>
  <c r="AO71" i="3"/>
  <c r="AN71" i="3"/>
  <c r="AL71" i="3"/>
  <c r="AK71" i="3"/>
  <c r="AJ71" i="3"/>
  <c r="AI71" i="3"/>
  <c r="AG71" i="3"/>
  <c r="AF71" i="3"/>
  <c r="AE71" i="3"/>
  <c r="AD71" i="3"/>
  <c r="AB71" i="3"/>
  <c r="AA71" i="3"/>
  <c r="Z71" i="3"/>
  <c r="Y71" i="3"/>
  <c r="W71" i="3"/>
  <c r="V71" i="3"/>
  <c r="U71" i="3"/>
  <c r="T71" i="3"/>
  <c r="R71" i="3"/>
  <c r="Q71" i="3"/>
  <c r="P71" i="3"/>
  <c r="O71" i="3"/>
  <c r="M71" i="3"/>
  <c r="L71" i="3"/>
  <c r="K71" i="3"/>
  <c r="J71" i="3"/>
  <c r="AV70" i="3"/>
  <c r="AU70" i="3"/>
  <c r="AT70" i="3"/>
  <c r="AS70" i="3"/>
  <c r="AQ70" i="3"/>
  <c r="AP70" i="3"/>
  <c r="AO70" i="3"/>
  <c r="AN70" i="3"/>
  <c r="AL70" i="3"/>
  <c r="AK70" i="3"/>
  <c r="AJ70" i="3"/>
  <c r="AI70" i="3"/>
  <c r="AG70" i="3"/>
  <c r="AF70" i="3"/>
  <c r="AE70" i="3"/>
  <c r="AD70" i="3"/>
  <c r="AB70" i="3"/>
  <c r="AA70" i="3"/>
  <c r="Z70" i="3"/>
  <c r="Y70" i="3"/>
  <c r="W70" i="3"/>
  <c r="V70" i="3"/>
  <c r="U70" i="3"/>
  <c r="T70" i="3"/>
  <c r="R70" i="3"/>
  <c r="Q70" i="3"/>
  <c r="P70" i="3"/>
  <c r="O70" i="3"/>
  <c r="M70" i="3"/>
  <c r="L70" i="3"/>
  <c r="K70" i="3"/>
  <c r="J70" i="3"/>
  <c r="AV69" i="3"/>
  <c r="AU69" i="3"/>
  <c r="AT69" i="3"/>
  <c r="AS69" i="3"/>
  <c r="AQ69" i="3"/>
  <c r="AP69" i="3"/>
  <c r="AO69" i="3"/>
  <c r="AN69" i="3"/>
  <c r="AL69" i="3"/>
  <c r="AK69" i="3"/>
  <c r="AJ69" i="3"/>
  <c r="AI69" i="3"/>
  <c r="AG69" i="3"/>
  <c r="AF69" i="3"/>
  <c r="AE69" i="3"/>
  <c r="AD69" i="3"/>
  <c r="AB69" i="3"/>
  <c r="AA69" i="3"/>
  <c r="Z69" i="3"/>
  <c r="Y69" i="3"/>
  <c r="W69" i="3"/>
  <c r="V69" i="3"/>
  <c r="U69" i="3"/>
  <c r="T69" i="3"/>
  <c r="R69" i="3"/>
  <c r="Q69" i="3"/>
  <c r="P69" i="3"/>
  <c r="O69" i="3"/>
  <c r="M69" i="3"/>
  <c r="L69" i="3"/>
  <c r="K69" i="3"/>
  <c r="J69" i="3"/>
  <c r="AV68" i="3"/>
  <c r="AU68" i="3"/>
  <c r="AT68" i="3"/>
  <c r="AS68" i="3"/>
  <c r="AQ68" i="3"/>
  <c r="AP68" i="3"/>
  <c r="AO68" i="3"/>
  <c r="AN68" i="3"/>
  <c r="AL68" i="3"/>
  <c r="AK68" i="3"/>
  <c r="AJ68" i="3"/>
  <c r="AI68" i="3"/>
  <c r="AG68" i="3"/>
  <c r="AF68" i="3"/>
  <c r="AE68" i="3"/>
  <c r="AD68" i="3"/>
  <c r="AB68" i="3"/>
  <c r="AA68" i="3"/>
  <c r="Z68" i="3"/>
  <c r="Y68" i="3"/>
  <c r="W68" i="3"/>
  <c r="V68" i="3"/>
  <c r="U68" i="3"/>
  <c r="T68" i="3"/>
  <c r="R68" i="3"/>
  <c r="Q68" i="3"/>
  <c r="P68" i="3"/>
  <c r="O68" i="3"/>
  <c r="M68" i="3"/>
  <c r="L68" i="3"/>
  <c r="K68" i="3"/>
  <c r="J68" i="3"/>
  <c r="AV67" i="3"/>
  <c r="AU67" i="3"/>
  <c r="AT67" i="3"/>
  <c r="AS67" i="3"/>
  <c r="AQ67" i="3"/>
  <c r="AP67" i="3"/>
  <c r="AO67" i="3"/>
  <c r="AN67" i="3"/>
  <c r="AL67" i="3"/>
  <c r="AK67" i="3"/>
  <c r="AJ67" i="3"/>
  <c r="AI67" i="3"/>
  <c r="AG67" i="3"/>
  <c r="AF67" i="3"/>
  <c r="AE67" i="3"/>
  <c r="AD67" i="3"/>
  <c r="AB67" i="3"/>
  <c r="AA67" i="3"/>
  <c r="Z67" i="3"/>
  <c r="Y67" i="3"/>
  <c r="W67" i="3"/>
  <c r="V67" i="3"/>
  <c r="U67" i="3"/>
  <c r="T67" i="3"/>
  <c r="R67" i="3"/>
  <c r="Q67" i="3"/>
  <c r="P67" i="3"/>
  <c r="O67" i="3"/>
  <c r="M67" i="3"/>
  <c r="L67" i="3"/>
  <c r="K67" i="3"/>
  <c r="J67" i="3"/>
  <c r="AV66" i="3"/>
  <c r="AU66" i="3"/>
  <c r="AT66" i="3"/>
  <c r="AS66" i="3"/>
  <c r="AQ66" i="3"/>
  <c r="AP66" i="3"/>
  <c r="AO66" i="3"/>
  <c r="AN66" i="3"/>
  <c r="AL66" i="3"/>
  <c r="AK66" i="3"/>
  <c r="AJ66" i="3"/>
  <c r="AI66" i="3"/>
  <c r="AG66" i="3"/>
  <c r="AF66" i="3"/>
  <c r="AE66" i="3"/>
  <c r="AD66" i="3"/>
  <c r="AB66" i="3"/>
  <c r="AA66" i="3"/>
  <c r="Z66" i="3"/>
  <c r="Y66" i="3"/>
  <c r="W66" i="3"/>
  <c r="V66" i="3"/>
  <c r="U66" i="3"/>
  <c r="T66" i="3"/>
  <c r="R66" i="3"/>
  <c r="Q66" i="3"/>
  <c r="P66" i="3"/>
  <c r="O66" i="3"/>
  <c r="M66" i="3"/>
  <c r="L66" i="3"/>
  <c r="K66" i="3"/>
  <c r="J66" i="3"/>
  <c r="AV65" i="3"/>
  <c r="AU65" i="3"/>
  <c r="AT65" i="3"/>
  <c r="AS65" i="3"/>
  <c r="AQ65" i="3"/>
  <c r="AP65" i="3"/>
  <c r="AO65" i="3"/>
  <c r="AN65" i="3"/>
  <c r="AL65" i="3"/>
  <c r="AK65" i="3"/>
  <c r="AJ65" i="3"/>
  <c r="AI65" i="3"/>
  <c r="AG65" i="3"/>
  <c r="AF65" i="3"/>
  <c r="AE65" i="3"/>
  <c r="AD65" i="3"/>
  <c r="AB65" i="3"/>
  <c r="AA65" i="3"/>
  <c r="Z65" i="3"/>
  <c r="Y65" i="3"/>
  <c r="W65" i="3"/>
  <c r="V65" i="3"/>
  <c r="U65" i="3"/>
  <c r="T65" i="3"/>
  <c r="R65" i="3"/>
  <c r="Q65" i="3"/>
  <c r="P65" i="3"/>
  <c r="O65" i="3"/>
  <c r="M65" i="3"/>
  <c r="L65" i="3"/>
  <c r="K65" i="3"/>
  <c r="J65" i="3"/>
  <c r="AV64" i="3"/>
  <c r="AU64" i="3"/>
  <c r="AT64" i="3"/>
  <c r="AS64" i="3"/>
  <c r="AQ64" i="3"/>
  <c r="AP64" i="3"/>
  <c r="AO64" i="3"/>
  <c r="AN64" i="3"/>
  <c r="AL64" i="3"/>
  <c r="AK64" i="3"/>
  <c r="AJ64" i="3"/>
  <c r="AI64" i="3"/>
  <c r="AG64" i="3"/>
  <c r="AF64" i="3"/>
  <c r="AE64" i="3"/>
  <c r="AD64" i="3"/>
  <c r="AB64" i="3"/>
  <c r="AA64" i="3"/>
  <c r="Z64" i="3"/>
  <c r="Y64" i="3"/>
  <c r="W64" i="3"/>
  <c r="V64" i="3"/>
  <c r="U64" i="3"/>
  <c r="T64" i="3"/>
  <c r="R64" i="3"/>
  <c r="Q64" i="3"/>
  <c r="P64" i="3"/>
  <c r="O64" i="3"/>
  <c r="M64" i="3"/>
  <c r="L64" i="3"/>
  <c r="K64" i="3"/>
  <c r="J64" i="3"/>
  <c r="AV63" i="3"/>
  <c r="AU63" i="3"/>
  <c r="AT63" i="3"/>
  <c r="AS63" i="3"/>
  <c r="AQ63" i="3"/>
  <c r="AP63" i="3"/>
  <c r="AO63" i="3"/>
  <c r="AN63" i="3"/>
  <c r="AL63" i="3"/>
  <c r="AK63" i="3"/>
  <c r="AJ63" i="3"/>
  <c r="AI63" i="3"/>
  <c r="AG63" i="3"/>
  <c r="AF63" i="3"/>
  <c r="AE63" i="3"/>
  <c r="AD63" i="3"/>
  <c r="AB63" i="3"/>
  <c r="AA63" i="3"/>
  <c r="Z63" i="3"/>
  <c r="Y63" i="3"/>
  <c r="W63" i="3"/>
  <c r="V63" i="3"/>
  <c r="U63" i="3"/>
  <c r="T63" i="3"/>
  <c r="R63" i="3"/>
  <c r="Q63" i="3"/>
  <c r="P63" i="3"/>
  <c r="O63" i="3"/>
  <c r="M63" i="3"/>
  <c r="L63" i="3"/>
  <c r="K63" i="3"/>
  <c r="J63" i="3"/>
  <c r="AV62" i="3"/>
  <c r="AU62" i="3"/>
  <c r="AT62" i="3"/>
  <c r="AS62" i="3"/>
  <c r="AQ62" i="3"/>
  <c r="AP62" i="3"/>
  <c r="AO62" i="3"/>
  <c r="AN62" i="3"/>
  <c r="AL62" i="3"/>
  <c r="AK62" i="3"/>
  <c r="AJ62" i="3"/>
  <c r="AI62" i="3"/>
  <c r="AG62" i="3"/>
  <c r="AF62" i="3"/>
  <c r="AE62" i="3"/>
  <c r="AD62" i="3"/>
  <c r="AB62" i="3"/>
  <c r="AA62" i="3"/>
  <c r="Z62" i="3"/>
  <c r="Y62" i="3"/>
  <c r="W62" i="3"/>
  <c r="V62" i="3"/>
  <c r="U62" i="3"/>
  <c r="T62" i="3"/>
  <c r="R62" i="3"/>
  <c r="Q62" i="3"/>
  <c r="P62" i="3"/>
  <c r="O62" i="3"/>
  <c r="M62" i="3"/>
  <c r="L62" i="3"/>
  <c r="K62" i="3"/>
  <c r="J62" i="3"/>
  <c r="AV61" i="3"/>
  <c r="AU61" i="3"/>
  <c r="AT61" i="3"/>
  <c r="AS61" i="3"/>
  <c r="AQ61" i="3"/>
  <c r="AP61" i="3"/>
  <c r="AO61" i="3"/>
  <c r="AN61" i="3"/>
  <c r="AL61" i="3"/>
  <c r="AK61" i="3"/>
  <c r="AJ61" i="3"/>
  <c r="AI61" i="3"/>
  <c r="AG61" i="3"/>
  <c r="AF61" i="3"/>
  <c r="AE61" i="3"/>
  <c r="AD61" i="3"/>
  <c r="AB61" i="3"/>
  <c r="AA61" i="3"/>
  <c r="Z61" i="3"/>
  <c r="Y61" i="3"/>
  <c r="W61" i="3"/>
  <c r="V61" i="3"/>
  <c r="U61" i="3"/>
  <c r="T61" i="3"/>
  <c r="R61" i="3"/>
  <c r="Q61" i="3"/>
  <c r="P61" i="3"/>
  <c r="O61" i="3"/>
  <c r="M61" i="3"/>
  <c r="L61" i="3"/>
  <c r="K61" i="3"/>
  <c r="J61" i="3"/>
  <c r="AV60" i="3"/>
  <c r="AU60" i="3"/>
  <c r="AT60" i="3"/>
  <c r="AS60" i="3"/>
  <c r="AQ60" i="3"/>
  <c r="AP60" i="3"/>
  <c r="AO60" i="3"/>
  <c r="AN60" i="3"/>
  <c r="AL60" i="3"/>
  <c r="AK60" i="3"/>
  <c r="AJ60" i="3"/>
  <c r="AI60" i="3"/>
  <c r="AG60" i="3"/>
  <c r="AF60" i="3"/>
  <c r="AE60" i="3"/>
  <c r="AD60" i="3"/>
  <c r="AB60" i="3"/>
  <c r="AA60" i="3"/>
  <c r="Z60" i="3"/>
  <c r="Y60" i="3"/>
  <c r="W60" i="3"/>
  <c r="V60" i="3"/>
  <c r="U60" i="3"/>
  <c r="T60" i="3"/>
  <c r="R60" i="3"/>
  <c r="Q60" i="3"/>
  <c r="P60" i="3"/>
  <c r="O60" i="3"/>
  <c r="M60" i="3"/>
  <c r="L60" i="3"/>
  <c r="K60" i="3"/>
  <c r="J60" i="3"/>
  <c r="AV59" i="3"/>
  <c r="AU59" i="3"/>
  <c r="AT59" i="3"/>
  <c r="AS59" i="3"/>
  <c r="AQ59" i="3"/>
  <c r="AP59" i="3"/>
  <c r="AO59" i="3"/>
  <c r="AN59" i="3"/>
  <c r="AL59" i="3"/>
  <c r="AK59" i="3"/>
  <c r="AJ59" i="3"/>
  <c r="AI59" i="3"/>
  <c r="AG59" i="3"/>
  <c r="AF59" i="3"/>
  <c r="AE59" i="3"/>
  <c r="AD59" i="3"/>
  <c r="AB59" i="3"/>
  <c r="AA59" i="3"/>
  <c r="Z59" i="3"/>
  <c r="Y59" i="3"/>
  <c r="W59" i="3"/>
  <c r="V59" i="3"/>
  <c r="U59" i="3"/>
  <c r="T59" i="3"/>
  <c r="R59" i="3"/>
  <c r="Q59" i="3"/>
  <c r="P59" i="3"/>
  <c r="O59" i="3"/>
  <c r="M59" i="3"/>
  <c r="L59" i="3"/>
  <c r="K59" i="3"/>
  <c r="J59" i="3"/>
  <c r="AV58" i="3"/>
  <c r="AU58" i="3"/>
  <c r="AT58" i="3"/>
  <c r="AS58" i="3"/>
  <c r="AQ58" i="3"/>
  <c r="AP58" i="3"/>
  <c r="AO58" i="3"/>
  <c r="AN58" i="3"/>
  <c r="AL58" i="3"/>
  <c r="AK58" i="3"/>
  <c r="AJ58" i="3"/>
  <c r="AI58" i="3"/>
  <c r="AG58" i="3"/>
  <c r="AF58" i="3"/>
  <c r="AE58" i="3"/>
  <c r="AD58" i="3"/>
  <c r="AB58" i="3"/>
  <c r="AA58" i="3"/>
  <c r="Z58" i="3"/>
  <c r="Y58" i="3"/>
  <c r="W58" i="3"/>
  <c r="V58" i="3"/>
  <c r="U58" i="3"/>
  <c r="T58" i="3"/>
  <c r="R58" i="3"/>
  <c r="Q58" i="3"/>
  <c r="P58" i="3"/>
  <c r="O58" i="3"/>
  <c r="M58" i="3"/>
  <c r="L58" i="3"/>
  <c r="K58" i="3"/>
  <c r="J58" i="3"/>
  <c r="AV57" i="3"/>
  <c r="AU57" i="3"/>
  <c r="AT57" i="3"/>
  <c r="AS57" i="3"/>
  <c r="AQ57" i="3"/>
  <c r="AP57" i="3"/>
  <c r="AO57" i="3"/>
  <c r="AN57" i="3"/>
  <c r="AL57" i="3"/>
  <c r="AK57" i="3"/>
  <c r="AJ57" i="3"/>
  <c r="AI57" i="3"/>
  <c r="AG57" i="3"/>
  <c r="AF57" i="3"/>
  <c r="AE57" i="3"/>
  <c r="AD57" i="3"/>
  <c r="AB57" i="3"/>
  <c r="AA57" i="3"/>
  <c r="Z57" i="3"/>
  <c r="Y57" i="3"/>
  <c r="W57" i="3"/>
  <c r="V57" i="3"/>
  <c r="U57" i="3"/>
  <c r="T57" i="3"/>
  <c r="R57" i="3"/>
  <c r="Q57" i="3"/>
  <c r="P57" i="3"/>
  <c r="O57" i="3"/>
  <c r="M57" i="3"/>
  <c r="L57" i="3"/>
  <c r="K57" i="3"/>
  <c r="J57" i="3"/>
  <c r="AV56" i="3"/>
  <c r="AU56" i="3"/>
  <c r="AT56" i="3"/>
  <c r="AS56" i="3"/>
  <c r="AQ56" i="3"/>
  <c r="AP56" i="3"/>
  <c r="AO56" i="3"/>
  <c r="AN56" i="3"/>
  <c r="AL56" i="3"/>
  <c r="AK56" i="3"/>
  <c r="AJ56" i="3"/>
  <c r="AI56" i="3"/>
  <c r="AG56" i="3"/>
  <c r="AF56" i="3"/>
  <c r="AE56" i="3"/>
  <c r="AD56" i="3"/>
  <c r="AB56" i="3"/>
  <c r="AA56" i="3"/>
  <c r="Z56" i="3"/>
  <c r="Y56" i="3"/>
  <c r="W56" i="3"/>
  <c r="V56" i="3"/>
  <c r="U56" i="3"/>
  <c r="T56" i="3"/>
  <c r="R56" i="3"/>
  <c r="Q56" i="3"/>
  <c r="P56" i="3"/>
  <c r="O56" i="3"/>
  <c r="M56" i="3"/>
  <c r="L56" i="3"/>
  <c r="K56" i="3"/>
  <c r="J56" i="3"/>
  <c r="AV55" i="3"/>
  <c r="AU55" i="3"/>
  <c r="AT55" i="3"/>
  <c r="AS55" i="3"/>
  <c r="AQ55" i="3"/>
  <c r="AP55" i="3"/>
  <c r="AO55" i="3"/>
  <c r="AN55" i="3"/>
  <c r="AL55" i="3"/>
  <c r="AK55" i="3"/>
  <c r="AJ55" i="3"/>
  <c r="AI55" i="3"/>
  <c r="AG55" i="3"/>
  <c r="AF55" i="3"/>
  <c r="AE55" i="3"/>
  <c r="AD55" i="3"/>
  <c r="AB55" i="3"/>
  <c r="AA55" i="3"/>
  <c r="Z55" i="3"/>
  <c r="Y55" i="3"/>
  <c r="W55" i="3"/>
  <c r="V55" i="3"/>
  <c r="U55" i="3"/>
  <c r="T55" i="3"/>
  <c r="R55" i="3"/>
  <c r="Q55" i="3"/>
  <c r="P55" i="3"/>
  <c r="O55" i="3"/>
  <c r="M55" i="3"/>
  <c r="L55" i="3"/>
  <c r="K55" i="3"/>
  <c r="J55" i="3"/>
  <c r="AV54" i="3"/>
  <c r="AU54" i="3"/>
  <c r="AT54" i="3"/>
  <c r="AS54" i="3"/>
  <c r="AQ54" i="3"/>
  <c r="AP54" i="3"/>
  <c r="AO54" i="3"/>
  <c r="AN54" i="3"/>
  <c r="AL54" i="3"/>
  <c r="AK54" i="3"/>
  <c r="AJ54" i="3"/>
  <c r="AI54" i="3"/>
  <c r="AG54" i="3"/>
  <c r="AF54" i="3"/>
  <c r="AE54" i="3"/>
  <c r="AD54" i="3"/>
  <c r="AB54" i="3"/>
  <c r="AA54" i="3"/>
  <c r="Z54" i="3"/>
  <c r="Y54" i="3"/>
  <c r="W54" i="3"/>
  <c r="V54" i="3"/>
  <c r="U54" i="3"/>
  <c r="T54" i="3"/>
  <c r="R54" i="3"/>
  <c r="Q54" i="3"/>
  <c r="P54" i="3"/>
  <c r="O54" i="3"/>
  <c r="M54" i="3"/>
  <c r="L54" i="3"/>
  <c r="K54" i="3"/>
  <c r="J54" i="3"/>
  <c r="AV53" i="3"/>
  <c r="AU53" i="3"/>
  <c r="AT53" i="3"/>
  <c r="AS53" i="3"/>
  <c r="AQ53" i="3"/>
  <c r="AP53" i="3"/>
  <c r="AO53" i="3"/>
  <c r="AN53" i="3"/>
  <c r="AL53" i="3"/>
  <c r="AK53" i="3"/>
  <c r="AJ53" i="3"/>
  <c r="AI53" i="3"/>
  <c r="AG53" i="3"/>
  <c r="AF53" i="3"/>
  <c r="AE53" i="3"/>
  <c r="AD53" i="3"/>
  <c r="AB53" i="3"/>
  <c r="AA53" i="3"/>
  <c r="Z53" i="3"/>
  <c r="Y53" i="3"/>
  <c r="W53" i="3"/>
  <c r="V53" i="3"/>
  <c r="U53" i="3"/>
  <c r="T53" i="3"/>
  <c r="R53" i="3"/>
  <c r="Q53" i="3"/>
  <c r="P53" i="3"/>
  <c r="O53" i="3"/>
  <c r="M53" i="3"/>
  <c r="L53" i="3"/>
  <c r="K53" i="3"/>
  <c r="J53" i="3"/>
  <c r="AV52" i="3"/>
  <c r="AU52" i="3"/>
  <c r="AT52" i="3"/>
  <c r="AS52" i="3"/>
  <c r="AQ52" i="3"/>
  <c r="AP52" i="3"/>
  <c r="AO52" i="3"/>
  <c r="AN52" i="3"/>
  <c r="AL52" i="3"/>
  <c r="AK52" i="3"/>
  <c r="AJ52" i="3"/>
  <c r="AI52" i="3"/>
  <c r="AG52" i="3"/>
  <c r="AF52" i="3"/>
  <c r="AE52" i="3"/>
  <c r="AD52" i="3"/>
  <c r="AB52" i="3"/>
  <c r="AA52" i="3"/>
  <c r="Z52" i="3"/>
  <c r="Y52" i="3"/>
  <c r="W52" i="3"/>
  <c r="V52" i="3"/>
  <c r="U52" i="3"/>
  <c r="T52" i="3"/>
  <c r="R52" i="3"/>
  <c r="Q52" i="3"/>
  <c r="P52" i="3"/>
  <c r="O52" i="3"/>
  <c r="M52" i="3"/>
  <c r="L52" i="3"/>
  <c r="K52" i="3"/>
  <c r="J52" i="3"/>
  <c r="AV51" i="3"/>
  <c r="AU51" i="3"/>
  <c r="AT51" i="3"/>
  <c r="AS51" i="3"/>
  <c r="AQ51" i="3"/>
  <c r="AP51" i="3"/>
  <c r="AO51" i="3"/>
  <c r="AN51" i="3"/>
  <c r="AL51" i="3"/>
  <c r="AK51" i="3"/>
  <c r="AJ51" i="3"/>
  <c r="AI51" i="3"/>
  <c r="AG51" i="3"/>
  <c r="AF51" i="3"/>
  <c r="AE51" i="3"/>
  <c r="AD51" i="3"/>
  <c r="AB51" i="3"/>
  <c r="AA51" i="3"/>
  <c r="Z51" i="3"/>
  <c r="Y51" i="3"/>
  <c r="W51" i="3"/>
  <c r="V51" i="3"/>
  <c r="U51" i="3"/>
  <c r="T51" i="3"/>
  <c r="R51" i="3"/>
  <c r="Q51" i="3"/>
  <c r="P51" i="3"/>
  <c r="O51" i="3"/>
  <c r="M51" i="3"/>
  <c r="L51" i="3"/>
  <c r="K51" i="3"/>
  <c r="J51" i="3"/>
  <c r="AV50" i="3"/>
  <c r="AU50" i="3"/>
  <c r="AT50" i="3"/>
  <c r="AS50" i="3"/>
  <c r="AQ50" i="3"/>
  <c r="AP50" i="3"/>
  <c r="AO50" i="3"/>
  <c r="AN50" i="3"/>
  <c r="AL50" i="3"/>
  <c r="AK50" i="3"/>
  <c r="AJ50" i="3"/>
  <c r="AI50" i="3"/>
  <c r="AG50" i="3"/>
  <c r="AF50" i="3"/>
  <c r="AE50" i="3"/>
  <c r="AD50" i="3"/>
  <c r="AB50" i="3"/>
  <c r="AA50" i="3"/>
  <c r="Z50" i="3"/>
  <c r="Y50" i="3"/>
  <c r="W50" i="3"/>
  <c r="V50" i="3"/>
  <c r="U50" i="3"/>
  <c r="T50" i="3"/>
  <c r="R50" i="3"/>
  <c r="Q50" i="3"/>
  <c r="P50" i="3"/>
  <c r="O50" i="3"/>
  <c r="M50" i="3"/>
  <c r="L50" i="3"/>
  <c r="K50" i="3"/>
  <c r="J50" i="3"/>
  <c r="AV49" i="3"/>
  <c r="AU49" i="3"/>
  <c r="AT49" i="3"/>
  <c r="AS49" i="3"/>
  <c r="AQ49" i="3"/>
  <c r="AP49" i="3"/>
  <c r="AO49" i="3"/>
  <c r="AN49" i="3"/>
  <c r="AL49" i="3"/>
  <c r="AK49" i="3"/>
  <c r="AJ49" i="3"/>
  <c r="AI49" i="3"/>
  <c r="AG49" i="3"/>
  <c r="AF49" i="3"/>
  <c r="AE49" i="3"/>
  <c r="AD49" i="3"/>
  <c r="AB49" i="3"/>
  <c r="AA49" i="3"/>
  <c r="Z49" i="3"/>
  <c r="Y49" i="3"/>
  <c r="W49" i="3"/>
  <c r="V49" i="3"/>
  <c r="U49" i="3"/>
  <c r="T49" i="3"/>
  <c r="R49" i="3"/>
  <c r="Q49" i="3"/>
  <c r="P49" i="3"/>
  <c r="O49" i="3"/>
  <c r="M49" i="3"/>
  <c r="L49" i="3"/>
  <c r="K49" i="3"/>
  <c r="J49" i="3"/>
  <c r="AV48" i="3"/>
  <c r="AU48" i="3"/>
  <c r="AT48" i="3"/>
  <c r="AS48" i="3"/>
  <c r="AQ48" i="3"/>
  <c r="AP48" i="3"/>
  <c r="AO48" i="3"/>
  <c r="AN48" i="3"/>
  <c r="AL48" i="3"/>
  <c r="AK48" i="3"/>
  <c r="AJ48" i="3"/>
  <c r="AI48" i="3"/>
  <c r="AG48" i="3"/>
  <c r="AF48" i="3"/>
  <c r="AE48" i="3"/>
  <c r="AD48" i="3"/>
  <c r="AB48" i="3"/>
  <c r="AA48" i="3"/>
  <c r="Z48" i="3"/>
  <c r="Y48" i="3"/>
  <c r="W48" i="3"/>
  <c r="V48" i="3"/>
  <c r="U48" i="3"/>
  <c r="T48" i="3"/>
  <c r="R48" i="3"/>
  <c r="Q48" i="3"/>
  <c r="P48" i="3"/>
  <c r="O48" i="3"/>
  <c r="M48" i="3"/>
  <c r="L48" i="3"/>
  <c r="K48" i="3"/>
  <c r="J48" i="3"/>
  <c r="AV47" i="3"/>
  <c r="AU47" i="3"/>
  <c r="AT47" i="3"/>
  <c r="AS47" i="3"/>
  <c r="AQ47" i="3"/>
  <c r="AP47" i="3"/>
  <c r="AO47" i="3"/>
  <c r="AN47" i="3"/>
  <c r="AL47" i="3"/>
  <c r="AK47" i="3"/>
  <c r="AJ47" i="3"/>
  <c r="AI47" i="3"/>
  <c r="AG47" i="3"/>
  <c r="AF47" i="3"/>
  <c r="AE47" i="3"/>
  <c r="AD47" i="3"/>
  <c r="AB47" i="3"/>
  <c r="AA47" i="3"/>
  <c r="Z47" i="3"/>
  <c r="Y47" i="3"/>
  <c r="W47" i="3"/>
  <c r="V47" i="3"/>
  <c r="U47" i="3"/>
  <c r="T47" i="3"/>
  <c r="R47" i="3"/>
  <c r="Q47" i="3"/>
  <c r="P47" i="3"/>
  <c r="O47" i="3"/>
  <c r="M47" i="3"/>
  <c r="L47" i="3"/>
  <c r="K47" i="3"/>
  <c r="J47" i="3"/>
  <c r="AV46" i="3"/>
  <c r="AU46" i="3"/>
  <c r="AT46" i="3"/>
  <c r="AS46" i="3"/>
  <c r="AQ46" i="3"/>
  <c r="AP46" i="3"/>
  <c r="AO46" i="3"/>
  <c r="AN46" i="3"/>
  <c r="AL46" i="3"/>
  <c r="AK46" i="3"/>
  <c r="AJ46" i="3"/>
  <c r="AI46" i="3"/>
  <c r="AG46" i="3"/>
  <c r="AF46" i="3"/>
  <c r="AE46" i="3"/>
  <c r="AD46" i="3"/>
  <c r="AB46" i="3"/>
  <c r="AA46" i="3"/>
  <c r="Z46" i="3"/>
  <c r="Y46" i="3"/>
  <c r="W46" i="3"/>
  <c r="V46" i="3"/>
  <c r="U46" i="3"/>
  <c r="T46" i="3"/>
  <c r="R46" i="3"/>
  <c r="Q46" i="3"/>
  <c r="P46" i="3"/>
  <c r="O46" i="3"/>
  <c r="M46" i="3"/>
  <c r="L46" i="3"/>
  <c r="K46" i="3"/>
  <c r="J46" i="3"/>
  <c r="AV45" i="3"/>
  <c r="AU45" i="3"/>
  <c r="AT45" i="3"/>
  <c r="AS45" i="3"/>
  <c r="AQ45" i="3"/>
  <c r="AP45" i="3"/>
  <c r="AO45" i="3"/>
  <c r="AN45" i="3"/>
  <c r="AL45" i="3"/>
  <c r="AK45" i="3"/>
  <c r="AJ45" i="3"/>
  <c r="AI45" i="3"/>
  <c r="AG45" i="3"/>
  <c r="AF45" i="3"/>
  <c r="AE45" i="3"/>
  <c r="AD45" i="3"/>
  <c r="AB45" i="3"/>
  <c r="AA45" i="3"/>
  <c r="Z45" i="3"/>
  <c r="Y45" i="3"/>
  <c r="W45" i="3"/>
  <c r="V45" i="3"/>
  <c r="U45" i="3"/>
  <c r="T45" i="3"/>
  <c r="R45" i="3"/>
  <c r="Q45" i="3"/>
  <c r="P45" i="3"/>
  <c r="O45" i="3"/>
  <c r="M45" i="3"/>
  <c r="L45" i="3"/>
  <c r="K45" i="3"/>
  <c r="J45" i="3"/>
  <c r="AV44" i="3"/>
  <c r="AU44" i="3"/>
  <c r="AT44" i="3"/>
  <c r="AS44" i="3"/>
  <c r="AQ44" i="3"/>
  <c r="AP44" i="3"/>
  <c r="AO44" i="3"/>
  <c r="AN44" i="3"/>
  <c r="AL44" i="3"/>
  <c r="AK44" i="3"/>
  <c r="AJ44" i="3"/>
  <c r="AI44" i="3"/>
  <c r="AG44" i="3"/>
  <c r="AF44" i="3"/>
  <c r="AE44" i="3"/>
  <c r="AD44" i="3"/>
  <c r="AB44" i="3"/>
  <c r="AA44" i="3"/>
  <c r="Z44" i="3"/>
  <c r="Y44" i="3"/>
  <c r="W44" i="3"/>
  <c r="V44" i="3"/>
  <c r="U44" i="3"/>
  <c r="T44" i="3"/>
  <c r="R44" i="3"/>
  <c r="Q44" i="3"/>
  <c r="P44" i="3"/>
  <c r="O44" i="3"/>
  <c r="M44" i="3"/>
  <c r="L44" i="3"/>
  <c r="K44" i="3"/>
  <c r="J44" i="3"/>
  <c r="AV43" i="3"/>
  <c r="AU43" i="3"/>
  <c r="AT43" i="3"/>
  <c r="AS43" i="3"/>
  <c r="AQ43" i="3"/>
  <c r="AP43" i="3"/>
  <c r="AO43" i="3"/>
  <c r="AN43" i="3"/>
  <c r="AL43" i="3"/>
  <c r="AK43" i="3"/>
  <c r="AJ43" i="3"/>
  <c r="AI43" i="3"/>
  <c r="AG43" i="3"/>
  <c r="AF43" i="3"/>
  <c r="AE43" i="3"/>
  <c r="AD43" i="3"/>
  <c r="AB43" i="3"/>
  <c r="AA43" i="3"/>
  <c r="Z43" i="3"/>
  <c r="Y43" i="3"/>
  <c r="W43" i="3"/>
  <c r="V43" i="3"/>
  <c r="U43" i="3"/>
  <c r="T43" i="3"/>
  <c r="R43" i="3"/>
  <c r="Q43" i="3"/>
  <c r="P43" i="3"/>
  <c r="O43" i="3"/>
  <c r="M43" i="3"/>
  <c r="L43" i="3"/>
  <c r="K43" i="3"/>
  <c r="J43" i="3"/>
  <c r="AV42" i="3"/>
  <c r="AU42" i="3"/>
  <c r="AT42" i="3"/>
  <c r="AS42" i="3"/>
  <c r="AQ42" i="3"/>
  <c r="AP42" i="3"/>
  <c r="AO42" i="3"/>
  <c r="AN42" i="3"/>
  <c r="AL42" i="3"/>
  <c r="AK42" i="3"/>
  <c r="AJ42" i="3"/>
  <c r="AI42" i="3"/>
  <c r="AG42" i="3"/>
  <c r="AF42" i="3"/>
  <c r="AE42" i="3"/>
  <c r="AD42" i="3"/>
  <c r="AB42" i="3"/>
  <c r="AA42" i="3"/>
  <c r="Z42" i="3"/>
  <c r="Y42" i="3"/>
  <c r="W42" i="3"/>
  <c r="V42" i="3"/>
  <c r="U42" i="3"/>
  <c r="T42" i="3"/>
  <c r="R42" i="3"/>
  <c r="Q42" i="3"/>
  <c r="P42" i="3"/>
  <c r="O42" i="3"/>
  <c r="M42" i="3"/>
  <c r="L42" i="3"/>
  <c r="K42" i="3"/>
  <c r="J42" i="3"/>
  <c r="AV41" i="3"/>
  <c r="AU41" i="3"/>
  <c r="AT41" i="3"/>
  <c r="AS41" i="3"/>
  <c r="AQ41" i="3"/>
  <c r="AP41" i="3"/>
  <c r="AO41" i="3"/>
  <c r="AN41" i="3"/>
  <c r="AL41" i="3"/>
  <c r="AK41" i="3"/>
  <c r="AJ41" i="3"/>
  <c r="AI41" i="3"/>
  <c r="AG41" i="3"/>
  <c r="AF41" i="3"/>
  <c r="AE41" i="3"/>
  <c r="AD41" i="3"/>
  <c r="AB41" i="3"/>
  <c r="AA41" i="3"/>
  <c r="Z41" i="3"/>
  <c r="Y41" i="3"/>
  <c r="W41" i="3"/>
  <c r="V41" i="3"/>
  <c r="U41" i="3"/>
  <c r="T41" i="3"/>
  <c r="R41" i="3"/>
  <c r="Q41" i="3"/>
  <c r="P41" i="3"/>
  <c r="O41" i="3"/>
  <c r="M41" i="3"/>
  <c r="L41" i="3"/>
  <c r="K41" i="3"/>
  <c r="J41" i="3"/>
  <c r="AV40" i="3"/>
  <c r="AU40" i="3"/>
  <c r="AT40" i="3"/>
  <c r="AS40" i="3"/>
  <c r="AQ40" i="3"/>
  <c r="AP40" i="3"/>
  <c r="AO40" i="3"/>
  <c r="AN40" i="3"/>
  <c r="AL40" i="3"/>
  <c r="AK40" i="3"/>
  <c r="AJ40" i="3"/>
  <c r="AI40" i="3"/>
  <c r="AG40" i="3"/>
  <c r="AF40" i="3"/>
  <c r="AE40" i="3"/>
  <c r="AD40" i="3"/>
  <c r="AB40" i="3"/>
  <c r="AA40" i="3"/>
  <c r="Z40" i="3"/>
  <c r="Y40" i="3"/>
  <c r="W40" i="3"/>
  <c r="V40" i="3"/>
  <c r="U40" i="3"/>
  <c r="T40" i="3"/>
  <c r="R40" i="3"/>
  <c r="Q40" i="3"/>
  <c r="P40" i="3"/>
  <c r="O40" i="3"/>
  <c r="M40" i="3"/>
  <c r="L40" i="3"/>
  <c r="K40" i="3"/>
  <c r="J40" i="3"/>
  <c r="AV39" i="3"/>
  <c r="AU39" i="3"/>
  <c r="AT39" i="3"/>
  <c r="AS39" i="3"/>
  <c r="AQ39" i="3"/>
  <c r="AP39" i="3"/>
  <c r="AO39" i="3"/>
  <c r="AN39" i="3"/>
  <c r="AL39" i="3"/>
  <c r="AK39" i="3"/>
  <c r="AJ39" i="3"/>
  <c r="AI39" i="3"/>
  <c r="AG39" i="3"/>
  <c r="AF39" i="3"/>
  <c r="AE39" i="3"/>
  <c r="AD39" i="3"/>
  <c r="AB39" i="3"/>
  <c r="AA39" i="3"/>
  <c r="Z39" i="3"/>
  <c r="Y39" i="3"/>
  <c r="W39" i="3"/>
  <c r="V39" i="3"/>
  <c r="U39" i="3"/>
  <c r="T39" i="3"/>
  <c r="R39" i="3"/>
  <c r="Q39" i="3"/>
  <c r="P39" i="3"/>
  <c r="O39" i="3"/>
  <c r="M39" i="3"/>
  <c r="L39" i="3"/>
  <c r="K39" i="3"/>
  <c r="J39" i="3"/>
  <c r="AV38" i="3"/>
  <c r="AU38" i="3"/>
  <c r="AT38" i="3"/>
  <c r="AS38" i="3"/>
  <c r="AQ38" i="3"/>
  <c r="AP38" i="3"/>
  <c r="AO38" i="3"/>
  <c r="AN38" i="3"/>
  <c r="AL38" i="3"/>
  <c r="AK38" i="3"/>
  <c r="AJ38" i="3"/>
  <c r="AI38" i="3"/>
  <c r="AG38" i="3"/>
  <c r="AF38" i="3"/>
  <c r="AE38" i="3"/>
  <c r="AD38" i="3"/>
  <c r="AB38" i="3"/>
  <c r="AA38" i="3"/>
  <c r="Z38" i="3"/>
  <c r="Y38" i="3"/>
  <c r="W38" i="3"/>
  <c r="V38" i="3"/>
  <c r="U38" i="3"/>
  <c r="T38" i="3"/>
  <c r="R38" i="3"/>
  <c r="Q38" i="3"/>
  <c r="P38" i="3"/>
  <c r="O38" i="3"/>
  <c r="M38" i="3"/>
  <c r="L38" i="3"/>
  <c r="K38" i="3"/>
  <c r="J38" i="3"/>
  <c r="AV37" i="3"/>
  <c r="AU37" i="3"/>
  <c r="AT37" i="3"/>
  <c r="AS37" i="3"/>
  <c r="AQ37" i="3"/>
  <c r="AP37" i="3"/>
  <c r="AO37" i="3"/>
  <c r="AN37" i="3"/>
  <c r="AL37" i="3"/>
  <c r="AK37" i="3"/>
  <c r="AJ37" i="3"/>
  <c r="AI37" i="3"/>
  <c r="AG37" i="3"/>
  <c r="AF37" i="3"/>
  <c r="AE37" i="3"/>
  <c r="AD37" i="3"/>
  <c r="AB37" i="3"/>
  <c r="AA37" i="3"/>
  <c r="Z37" i="3"/>
  <c r="Y37" i="3"/>
  <c r="W37" i="3"/>
  <c r="V37" i="3"/>
  <c r="U37" i="3"/>
  <c r="T37" i="3"/>
  <c r="R37" i="3"/>
  <c r="Q37" i="3"/>
  <c r="P37" i="3"/>
  <c r="O37" i="3"/>
  <c r="M37" i="3"/>
  <c r="L37" i="3"/>
  <c r="K37" i="3"/>
  <c r="J37" i="3"/>
  <c r="AV36" i="3"/>
  <c r="AU36" i="3"/>
  <c r="AT36" i="3"/>
  <c r="AS36" i="3"/>
  <c r="AQ36" i="3"/>
  <c r="AP36" i="3"/>
  <c r="AO36" i="3"/>
  <c r="AN36" i="3"/>
  <c r="AL36" i="3"/>
  <c r="AK36" i="3"/>
  <c r="AJ36" i="3"/>
  <c r="AI36" i="3"/>
  <c r="AG36" i="3"/>
  <c r="AF36" i="3"/>
  <c r="AE36" i="3"/>
  <c r="AD36" i="3"/>
  <c r="AB36" i="3"/>
  <c r="AA36" i="3"/>
  <c r="Z36" i="3"/>
  <c r="Y36" i="3"/>
  <c r="W36" i="3"/>
  <c r="V36" i="3"/>
  <c r="U36" i="3"/>
  <c r="T36" i="3"/>
  <c r="R36" i="3"/>
  <c r="Q36" i="3"/>
  <c r="P36" i="3"/>
  <c r="O36" i="3"/>
  <c r="M36" i="3"/>
  <c r="L36" i="3"/>
  <c r="K36" i="3"/>
  <c r="J36" i="3"/>
  <c r="AV35" i="3"/>
  <c r="AU35" i="3"/>
  <c r="AT35" i="3"/>
  <c r="AS35" i="3"/>
  <c r="AQ35" i="3"/>
  <c r="AP35" i="3"/>
  <c r="AO35" i="3"/>
  <c r="AN35" i="3"/>
  <c r="AL35" i="3"/>
  <c r="AK35" i="3"/>
  <c r="AJ35" i="3"/>
  <c r="AI35" i="3"/>
  <c r="AG35" i="3"/>
  <c r="AF35" i="3"/>
  <c r="AE35" i="3"/>
  <c r="AD35" i="3"/>
  <c r="AB35" i="3"/>
  <c r="AA35" i="3"/>
  <c r="Z35" i="3"/>
  <c r="Y35" i="3"/>
  <c r="W35" i="3"/>
  <c r="V35" i="3"/>
  <c r="U35" i="3"/>
  <c r="T35" i="3"/>
  <c r="R35" i="3"/>
  <c r="Q35" i="3"/>
  <c r="P35" i="3"/>
  <c r="O35" i="3"/>
  <c r="M35" i="3"/>
  <c r="L35" i="3"/>
  <c r="K35" i="3"/>
  <c r="J35" i="3"/>
  <c r="AV34" i="3"/>
  <c r="AU34" i="3"/>
  <c r="AT34" i="3"/>
  <c r="AS34" i="3"/>
  <c r="AQ34" i="3"/>
  <c r="AP34" i="3"/>
  <c r="AO34" i="3"/>
  <c r="AN34" i="3"/>
  <c r="AL34" i="3"/>
  <c r="AK34" i="3"/>
  <c r="AJ34" i="3"/>
  <c r="AI34" i="3"/>
  <c r="AG34" i="3"/>
  <c r="AF34" i="3"/>
  <c r="AE34" i="3"/>
  <c r="AD34" i="3"/>
  <c r="AB34" i="3"/>
  <c r="AA34" i="3"/>
  <c r="Z34" i="3"/>
  <c r="Y34" i="3"/>
  <c r="W34" i="3"/>
  <c r="V34" i="3"/>
  <c r="U34" i="3"/>
  <c r="T34" i="3"/>
  <c r="R34" i="3"/>
  <c r="Q34" i="3"/>
  <c r="P34" i="3"/>
  <c r="O34" i="3"/>
  <c r="M34" i="3"/>
  <c r="L34" i="3"/>
  <c r="K34" i="3"/>
  <c r="J34" i="3"/>
  <c r="AV33" i="3"/>
  <c r="AU33" i="3"/>
  <c r="AT33" i="3"/>
  <c r="AS33" i="3"/>
  <c r="AQ33" i="3"/>
  <c r="AP33" i="3"/>
  <c r="AO33" i="3"/>
  <c r="AN33" i="3"/>
  <c r="AL33" i="3"/>
  <c r="AK33" i="3"/>
  <c r="AJ33" i="3"/>
  <c r="AI33" i="3"/>
  <c r="AG33" i="3"/>
  <c r="AF33" i="3"/>
  <c r="AE33" i="3"/>
  <c r="AD33" i="3"/>
  <c r="AB33" i="3"/>
  <c r="AA33" i="3"/>
  <c r="Z33" i="3"/>
  <c r="Y33" i="3"/>
  <c r="W33" i="3"/>
  <c r="V33" i="3"/>
  <c r="U33" i="3"/>
  <c r="T33" i="3"/>
  <c r="R33" i="3"/>
  <c r="Q33" i="3"/>
  <c r="P33" i="3"/>
  <c r="O33" i="3"/>
  <c r="M33" i="3"/>
  <c r="L33" i="3"/>
  <c r="K33" i="3"/>
  <c r="J33" i="3"/>
  <c r="AV32" i="3"/>
  <c r="AU32" i="3"/>
  <c r="AT32" i="3"/>
  <c r="AS32" i="3"/>
  <c r="AQ32" i="3"/>
  <c r="AP32" i="3"/>
  <c r="AO32" i="3"/>
  <c r="AN32" i="3"/>
  <c r="AL32" i="3"/>
  <c r="AK32" i="3"/>
  <c r="AJ32" i="3"/>
  <c r="AI32" i="3"/>
  <c r="AG32" i="3"/>
  <c r="AF32" i="3"/>
  <c r="AE32" i="3"/>
  <c r="AD32" i="3"/>
  <c r="AB32" i="3"/>
  <c r="AA32" i="3"/>
  <c r="Z32" i="3"/>
  <c r="Y32" i="3"/>
  <c r="W32" i="3"/>
  <c r="V32" i="3"/>
  <c r="U32" i="3"/>
  <c r="T32" i="3"/>
  <c r="R32" i="3"/>
  <c r="Q32" i="3"/>
  <c r="P32" i="3"/>
  <c r="O32" i="3"/>
  <c r="M32" i="3"/>
  <c r="L32" i="3"/>
  <c r="K32" i="3"/>
  <c r="J32" i="3"/>
  <c r="AV31" i="3"/>
  <c r="AU31" i="3"/>
  <c r="AT31" i="3"/>
  <c r="AS31" i="3"/>
  <c r="AQ31" i="3"/>
  <c r="AP31" i="3"/>
  <c r="AO31" i="3"/>
  <c r="AN31" i="3"/>
  <c r="AL31" i="3"/>
  <c r="AK31" i="3"/>
  <c r="AJ31" i="3"/>
  <c r="AI31" i="3"/>
  <c r="AG31" i="3"/>
  <c r="AF31" i="3"/>
  <c r="AE31" i="3"/>
  <c r="AD31" i="3"/>
  <c r="AB31" i="3"/>
  <c r="AA31" i="3"/>
  <c r="Z31" i="3"/>
  <c r="Y31" i="3"/>
  <c r="W31" i="3"/>
  <c r="V31" i="3"/>
  <c r="U31" i="3"/>
  <c r="T31" i="3"/>
  <c r="R31" i="3"/>
  <c r="Q31" i="3"/>
  <c r="P31" i="3"/>
  <c r="O31" i="3"/>
  <c r="M31" i="3"/>
  <c r="L31" i="3"/>
  <c r="K31" i="3"/>
  <c r="J31" i="3"/>
  <c r="AV30" i="3"/>
  <c r="AU30" i="3"/>
  <c r="AT30" i="3"/>
  <c r="AS30" i="3"/>
  <c r="AQ30" i="3"/>
  <c r="AP30" i="3"/>
  <c r="AO30" i="3"/>
  <c r="AN30" i="3"/>
  <c r="AL30" i="3"/>
  <c r="AK30" i="3"/>
  <c r="AJ30" i="3"/>
  <c r="AI30" i="3"/>
  <c r="AG30" i="3"/>
  <c r="AF30" i="3"/>
  <c r="AE30" i="3"/>
  <c r="AD30" i="3"/>
  <c r="AB30" i="3"/>
  <c r="AA30" i="3"/>
  <c r="Z30" i="3"/>
  <c r="Y30" i="3"/>
  <c r="W30" i="3"/>
  <c r="V30" i="3"/>
  <c r="U30" i="3"/>
  <c r="T30" i="3"/>
  <c r="R30" i="3"/>
  <c r="Q30" i="3"/>
  <c r="P30" i="3"/>
  <c r="O30" i="3"/>
  <c r="M30" i="3"/>
  <c r="L30" i="3"/>
  <c r="K30" i="3"/>
  <c r="J30" i="3"/>
  <c r="AV29" i="3"/>
  <c r="AU29" i="3"/>
  <c r="AT29" i="3"/>
  <c r="AS29" i="3"/>
  <c r="AQ29" i="3"/>
  <c r="AP29" i="3"/>
  <c r="AO29" i="3"/>
  <c r="AN29" i="3"/>
  <c r="AL29" i="3"/>
  <c r="AK29" i="3"/>
  <c r="AJ29" i="3"/>
  <c r="AI29" i="3"/>
  <c r="AG29" i="3"/>
  <c r="AF29" i="3"/>
  <c r="AE29" i="3"/>
  <c r="AD29" i="3"/>
  <c r="AB29" i="3"/>
  <c r="AA29" i="3"/>
  <c r="Z29" i="3"/>
  <c r="Y29" i="3"/>
  <c r="W29" i="3"/>
  <c r="V29" i="3"/>
  <c r="U29" i="3"/>
  <c r="T29" i="3"/>
  <c r="R29" i="3"/>
  <c r="Q29" i="3"/>
  <c r="P29" i="3"/>
  <c r="O29" i="3"/>
  <c r="M29" i="3"/>
  <c r="L29" i="3"/>
  <c r="K29" i="3"/>
  <c r="J29" i="3"/>
  <c r="AV28" i="3"/>
  <c r="AU28" i="3"/>
  <c r="AT28" i="3"/>
  <c r="AS28" i="3"/>
  <c r="AQ28" i="3"/>
  <c r="AP28" i="3"/>
  <c r="AO28" i="3"/>
  <c r="AN28" i="3"/>
  <c r="AL28" i="3"/>
  <c r="AK28" i="3"/>
  <c r="AJ28" i="3"/>
  <c r="AI28" i="3"/>
  <c r="AG28" i="3"/>
  <c r="AF28" i="3"/>
  <c r="AE28" i="3"/>
  <c r="AD28" i="3"/>
  <c r="AB28" i="3"/>
  <c r="AA28" i="3"/>
  <c r="Z28" i="3"/>
  <c r="Y28" i="3"/>
  <c r="W28" i="3"/>
  <c r="V28" i="3"/>
  <c r="U28" i="3"/>
  <c r="T28" i="3"/>
  <c r="R28" i="3"/>
  <c r="Q28" i="3"/>
  <c r="P28" i="3"/>
  <c r="O28" i="3"/>
  <c r="M28" i="3"/>
  <c r="L28" i="3"/>
  <c r="K28" i="3"/>
  <c r="J28" i="3"/>
  <c r="AV27" i="3"/>
  <c r="AU27" i="3"/>
  <c r="AT27" i="3"/>
  <c r="AS27" i="3"/>
  <c r="AQ27" i="3"/>
  <c r="AP27" i="3"/>
  <c r="AO27" i="3"/>
  <c r="AN27" i="3"/>
  <c r="AL27" i="3"/>
  <c r="AK27" i="3"/>
  <c r="AJ27" i="3"/>
  <c r="AI27" i="3"/>
  <c r="AG27" i="3"/>
  <c r="AF27" i="3"/>
  <c r="AE27" i="3"/>
  <c r="AD27" i="3"/>
  <c r="AB27" i="3"/>
  <c r="AA27" i="3"/>
  <c r="Z27" i="3"/>
  <c r="Y27" i="3"/>
  <c r="W27" i="3"/>
  <c r="V27" i="3"/>
  <c r="U27" i="3"/>
  <c r="T27" i="3"/>
  <c r="R27" i="3"/>
  <c r="Q27" i="3"/>
  <c r="P27" i="3"/>
  <c r="O27" i="3"/>
  <c r="M27" i="3"/>
  <c r="L27" i="3"/>
  <c r="K27" i="3"/>
  <c r="J27" i="3"/>
  <c r="AV26" i="3"/>
  <c r="AU26" i="3"/>
  <c r="AT26" i="3"/>
  <c r="AS26" i="3"/>
  <c r="AQ26" i="3"/>
  <c r="AP26" i="3"/>
  <c r="AO26" i="3"/>
  <c r="AN26" i="3"/>
  <c r="AL26" i="3"/>
  <c r="AK26" i="3"/>
  <c r="AJ26" i="3"/>
  <c r="AI26" i="3"/>
  <c r="AG26" i="3"/>
  <c r="AF26" i="3"/>
  <c r="AE26" i="3"/>
  <c r="AD26" i="3"/>
  <c r="AB26" i="3"/>
  <c r="AA26" i="3"/>
  <c r="Z26" i="3"/>
  <c r="Y26" i="3"/>
  <c r="W26" i="3"/>
  <c r="V26" i="3"/>
  <c r="U26" i="3"/>
  <c r="T26" i="3"/>
  <c r="R26" i="3"/>
  <c r="Q26" i="3"/>
  <c r="P26" i="3"/>
  <c r="O26" i="3"/>
  <c r="M26" i="3"/>
  <c r="L26" i="3"/>
  <c r="K26" i="3"/>
  <c r="J26" i="3"/>
  <c r="AV25" i="3"/>
  <c r="AU25" i="3"/>
  <c r="AT25" i="3"/>
  <c r="AS25" i="3"/>
  <c r="AQ25" i="3"/>
  <c r="AP25" i="3"/>
  <c r="AO25" i="3"/>
  <c r="AN25" i="3"/>
  <c r="AL25" i="3"/>
  <c r="AK25" i="3"/>
  <c r="AJ25" i="3"/>
  <c r="AI25" i="3"/>
  <c r="AG25" i="3"/>
  <c r="AF25" i="3"/>
  <c r="AE25" i="3"/>
  <c r="AD25" i="3"/>
  <c r="AB25" i="3"/>
  <c r="AA25" i="3"/>
  <c r="Z25" i="3"/>
  <c r="Y25" i="3"/>
  <c r="W25" i="3"/>
  <c r="V25" i="3"/>
  <c r="U25" i="3"/>
  <c r="T25" i="3"/>
  <c r="R25" i="3"/>
  <c r="Q25" i="3"/>
  <c r="P25" i="3"/>
  <c r="O25" i="3"/>
  <c r="M25" i="3"/>
  <c r="L25" i="3"/>
  <c r="K25" i="3"/>
  <c r="J25" i="3"/>
  <c r="AV24" i="3"/>
  <c r="AU24" i="3"/>
  <c r="AT24" i="3"/>
  <c r="AS24" i="3"/>
  <c r="AQ24" i="3"/>
  <c r="AP24" i="3"/>
  <c r="AO24" i="3"/>
  <c r="AN24" i="3"/>
  <c r="AL24" i="3"/>
  <c r="AK24" i="3"/>
  <c r="AJ24" i="3"/>
  <c r="AI24" i="3"/>
  <c r="AG24" i="3"/>
  <c r="AF24" i="3"/>
  <c r="AE24" i="3"/>
  <c r="AD24" i="3"/>
  <c r="AB24" i="3"/>
  <c r="AA24" i="3"/>
  <c r="Z24" i="3"/>
  <c r="Y24" i="3"/>
  <c r="W24" i="3"/>
  <c r="V24" i="3"/>
  <c r="U24" i="3"/>
  <c r="T24" i="3"/>
  <c r="R24" i="3"/>
  <c r="Q24" i="3"/>
  <c r="P24" i="3"/>
  <c r="O24" i="3"/>
  <c r="M24" i="3"/>
  <c r="L24" i="3"/>
  <c r="K24" i="3"/>
  <c r="J24" i="3"/>
  <c r="AV23" i="3"/>
  <c r="AU23" i="3"/>
  <c r="AT23" i="3"/>
  <c r="AS23" i="3"/>
  <c r="AQ23" i="3"/>
  <c r="AP23" i="3"/>
  <c r="AO23" i="3"/>
  <c r="AN23" i="3"/>
  <c r="AL23" i="3"/>
  <c r="AK23" i="3"/>
  <c r="AJ23" i="3"/>
  <c r="AI23" i="3"/>
  <c r="AG23" i="3"/>
  <c r="AF23" i="3"/>
  <c r="AE23" i="3"/>
  <c r="AD23" i="3"/>
  <c r="AB23" i="3"/>
  <c r="AA23" i="3"/>
  <c r="Z23" i="3"/>
  <c r="Y23" i="3"/>
  <c r="W23" i="3"/>
  <c r="V23" i="3"/>
  <c r="U23" i="3"/>
  <c r="T23" i="3"/>
  <c r="R23" i="3"/>
  <c r="Q23" i="3"/>
  <c r="P23" i="3"/>
  <c r="O23" i="3"/>
  <c r="M23" i="3"/>
  <c r="L23" i="3"/>
  <c r="K23" i="3"/>
  <c r="J23" i="3"/>
  <c r="AV22" i="3"/>
  <c r="AU22" i="3"/>
  <c r="AT22" i="3"/>
  <c r="AS22" i="3"/>
  <c r="AQ22" i="3"/>
  <c r="AP22" i="3"/>
  <c r="AO22" i="3"/>
  <c r="AN22" i="3"/>
  <c r="AL22" i="3"/>
  <c r="AK22" i="3"/>
  <c r="AJ22" i="3"/>
  <c r="AI22" i="3"/>
  <c r="AG22" i="3"/>
  <c r="AF22" i="3"/>
  <c r="AE22" i="3"/>
  <c r="AD22" i="3"/>
  <c r="AB22" i="3"/>
  <c r="AA22" i="3"/>
  <c r="Z22" i="3"/>
  <c r="Y22" i="3"/>
  <c r="W22" i="3"/>
  <c r="V22" i="3"/>
  <c r="U22" i="3"/>
  <c r="T22" i="3"/>
  <c r="R22" i="3"/>
  <c r="Q22" i="3"/>
  <c r="P22" i="3"/>
  <c r="O22" i="3"/>
  <c r="M22" i="3"/>
  <c r="L22" i="3"/>
  <c r="K22" i="3"/>
  <c r="J22" i="3"/>
  <c r="AV21" i="3"/>
  <c r="AU21" i="3"/>
  <c r="AT21" i="3"/>
  <c r="AS21" i="3"/>
  <c r="AQ21" i="3"/>
  <c r="AP21" i="3"/>
  <c r="AO21" i="3"/>
  <c r="AN21" i="3"/>
  <c r="AL21" i="3"/>
  <c r="AK21" i="3"/>
  <c r="AJ21" i="3"/>
  <c r="AI21" i="3"/>
  <c r="AG21" i="3"/>
  <c r="AF21" i="3"/>
  <c r="AE21" i="3"/>
  <c r="AD21" i="3"/>
  <c r="AB21" i="3"/>
  <c r="AA21" i="3"/>
  <c r="Z21" i="3"/>
  <c r="Y21" i="3"/>
  <c r="W21" i="3"/>
  <c r="V21" i="3"/>
  <c r="U21" i="3"/>
  <c r="T21" i="3"/>
  <c r="R21" i="3"/>
  <c r="Q21" i="3"/>
  <c r="P21" i="3"/>
  <c r="O21" i="3"/>
  <c r="M21" i="3"/>
  <c r="L21" i="3"/>
  <c r="K21" i="3"/>
  <c r="J21" i="3"/>
  <c r="AV20" i="3"/>
  <c r="AU20" i="3"/>
  <c r="AT20" i="3"/>
  <c r="AS20" i="3"/>
  <c r="AQ20" i="3"/>
  <c r="AP20" i="3"/>
  <c r="AO20" i="3"/>
  <c r="AN20" i="3"/>
  <c r="AL20" i="3"/>
  <c r="AK20" i="3"/>
  <c r="AJ20" i="3"/>
  <c r="AI20" i="3"/>
  <c r="AG20" i="3"/>
  <c r="AF20" i="3"/>
  <c r="AE20" i="3"/>
  <c r="AD20" i="3"/>
  <c r="AB20" i="3"/>
  <c r="AA20" i="3"/>
  <c r="Z20" i="3"/>
  <c r="Y20" i="3"/>
  <c r="W20" i="3"/>
  <c r="V20" i="3"/>
  <c r="U20" i="3"/>
  <c r="T20" i="3"/>
  <c r="R20" i="3"/>
  <c r="Q20" i="3"/>
  <c r="P20" i="3"/>
  <c r="O20" i="3"/>
  <c r="M20" i="3"/>
  <c r="L20" i="3"/>
  <c r="K20" i="3"/>
  <c r="J20" i="3"/>
  <c r="AV19" i="3"/>
  <c r="AU19" i="3"/>
  <c r="AT19" i="3"/>
  <c r="AS19" i="3"/>
  <c r="AQ19" i="3"/>
  <c r="AP19" i="3"/>
  <c r="AO19" i="3"/>
  <c r="AN19" i="3"/>
  <c r="AL19" i="3"/>
  <c r="AK19" i="3"/>
  <c r="AJ19" i="3"/>
  <c r="AI19" i="3"/>
  <c r="AG19" i="3"/>
  <c r="AF19" i="3"/>
  <c r="AE19" i="3"/>
  <c r="AD19" i="3"/>
  <c r="AB19" i="3"/>
  <c r="AA19" i="3"/>
  <c r="Z19" i="3"/>
  <c r="Y19" i="3"/>
  <c r="W19" i="3"/>
  <c r="V19" i="3"/>
  <c r="U19" i="3"/>
  <c r="T19" i="3"/>
  <c r="R19" i="3"/>
  <c r="Q19" i="3"/>
  <c r="P19" i="3"/>
  <c r="O19" i="3"/>
  <c r="M19" i="3"/>
  <c r="L19" i="3"/>
  <c r="K19" i="3"/>
  <c r="J19" i="3"/>
  <c r="AV18" i="3"/>
  <c r="AU18" i="3"/>
  <c r="AT18" i="3"/>
  <c r="AS18" i="3"/>
  <c r="AQ18" i="3"/>
  <c r="AP18" i="3"/>
  <c r="AO18" i="3"/>
  <c r="AN18" i="3"/>
  <c r="AL18" i="3"/>
  <c r="AK18" i="3"/>
  <c r="AJ18" i="3"/>
  <c r="AI18" i="3"/>
  <c r="AG18" i="3"/>
  <c r="AF18" i="3"/>
  <c r="AE18" i="3"/>
  <c r="AD18" i="3"/>
  <c r="AB18" i="3"/>
  <c r="AA18" i="3"/>
  <c r="Z18" i="3"/>
  <c r="Y18" i="3"/>
  <c r="W18" i="3"/>
  <c r="V18" i="3"/>
  <c r="U18" i="3"/>
  <c r="T18" i="3"/>
  <c r="R18" i="3"/>
  <c r="Q18" i="3"/>
  <c r="P18" i="3"/>
  <c r="O18" i="3"/>
  <c r="M18" i="3"/>
  <c r="L18" i="3"/>
  <c r="K18" i="3"/>
  <c r="J18" i="3"/>
  <c r="AV17" i="3"/>
  <c r="AU17" i="3"/>
  <c r="AT17" i="3"/>
  <c r="AS17" i="3"/>
  <c r="AQ17" i="3"/>
  <c r="AP17" i="3"/>
  <c r="AO17" i="3"/>
  <c r="AN17" i="3"/>
  <c r="AL17" i="3"/>
  <c r="AK17" i="3"/>
  <c r="AJ17" i="3"/>
  <c r="AI17" i="3"/>
  <c r="AG17" i="3"/>
  <c r="AF17" i="3"/>
  <c r="AE17" i="3"/>
  <c r="AD17" i="3"/>
  <c r="AB17" i="3"/>
  <c r="AA17" i="3"/>
  <c r="Z17" i="3"/>
  <c r="Y17" i="3"/>
  <c r="W17" i="3"/>
  <c r="V17" i="3"/>
  <c r="U17" i="3"/>
  <c r="T17" i="3"/>
  <c r="R17" i="3"/>
  <c r="Q17" i="3"/>
  <c r="P17" i="3"/>
  <c r="O17" i="3"/>
  <c r="M17" i="3"/>
  <c r="L17" i="3"/>
  <c r="K17" i="3"/>
  <c r="J17" i="3"/>
  <c r="AV16" i="3"/>
  <c r="AU16" i="3"/>
  <c r="AT16" i="3"/>
  <c r="AS16" i="3"/>
  <c r="AQ16" i="3"/>
  <c r="AP16" i="3"/>
  <c r="AO16" i="3"/>
  <c r="AN16" i="3"/>
  <c r="AL16" i="3"/>
  <c r="AK16" i="3"/>
  <c r="AJ16" i="3"/>
  <c r="AI16" i="3"/>
  <c r="AG16" i="3"/>
  <c r="AF16" i="3"/>
  <c r="AE16" i="3"/>
  <c r="AD16" i="3"/>
  <c r="AB16" i="3"/>
  <c r="AA16" i="3"/>
  <c r="Z16" i="3"/>
  <c r="Y16" i="3"/>
  <c r="W16" i="3"/>
  <c r="V16" i="3"/>
  <c r="U16" i="3"/>
  <c r="T16" i="3"/>
  <c r="R16" i="3"/>
  <c r="Q16" i="3"/>
  <c r="P16" i="3"/>
  <c r="O16" i="3"/>
  <c r="M16" i="3"/>
  <c r="L16" i="3"/>
  <c r="K16" i="3"/>
  <c r="J16" i="3"/>
  <c r="AV15" i="3"/>
  <c r="AU15" i="3"/>
  <c r="AT15" i="3"/>
  <c r="AS15" i="3"/>
  <c r="AQ15" i="3"/>
  <c r="AP15" i="3"/>
  <c r="AO15" i="3"/>
  <c r="AN15" i="3"/>
  <c r="AL15" i="3"/>
  <c r="AK15" i="3"/>
  <c r="AJ15" i="3"/>
  <c r="AI15" i="3"/>
  <c r="AG15" i="3"/>
  <c r="AF15" i="3"/>
  <c r="AE15" i="3"/>
  <c r="AD15" i="3"/>
  <c r="AB15" i="3"/>
  <c r="AA15" i="3"/>
  <c r="Z15" i="3"/>
  <c r="Y15" i="3"/>
  <c r="W15" i="3"/>
  <c r="V15" i="3"/>
  <c r="U15" i="3"/>
  <c r="T15" i="3"/>
  <c r="R15" i="3"/>
  <c r="Q15" i="3"/>
  <c r="P15" i="3"/>
  <c r="O15" i="3"/>
  <c r="M15" i="3"/>
  <c r="L15" i="3"/>
  <c r="K15" i="3"/>
  <c r="J15" i="3"/>
  <c r="AV14" i="3"/>
  <c r="AU14" i="3"/>
  <c r="AT14" i="3"/>
  <c r="AS14" i="3"/>
  <c r="AQ14" i="3"/>
  <c r="AP14" i="3"/>
  <c r="AO14" i="3"/>
  <c r="AN14" i="3"/>
  <c r="AL14" i="3"/>
  <c r="AK14" i="3"/>
  <c r="AJ14" i="3"/>
  <c r="AI14" i="3"/>
  <c r="AG14" i="3"/>
  <c r="AF14" i="3"/>
  <c r="AE14" i="3"/>
  <c r="AD14" i="3"/>
  <c r="AB14" i="3"/>
  <c r="AA14" i="3"/>
  <c r="Z14" i="3"/>
  <c r="Y14" i="3"/>
  <c r="W14" i="3"/>
  <c r="V14" i="3"/>
  <c r="U14" i="3"/>
  <c r="T14" i="3"/>
  <c r="R14" i="3"/>
  <c r="Q14" i="3"/>
  <c r="P14" i="3"/>
  <c r="O14" i="3"/>
  <c r="M14" i="3"/>
  <c r="L14" i="3"/>
  <c r="K14" i="3"/>
  <c r="J14" i="3"/>
  <c r="AV13" i="3"/>
  <c r="AU13" i="3"/>
  <c r="AT13" i="3"/>
  <c r="AS13" i="3"/>
  <c r="AQ13" i="3"/>
  <c r="AP13" i="3"/>
  <c r="AO13" i="3"/>
  <c r="AN13" i="3"/>
  <c r="AL13" i="3"/>
  <c r="AK13" i="3"/>
  <c r="AJ13" i="3"/>
  <c r="AI13" i="3"/>
  <c r="AG13" i="3"/>
  <c r="AF13" i="3"/>
  <c r="AE13" i="3"/>
  <c r="AD13" i="3"/>
  <c r="AB13" i="3"/>
  <c r="AA13" i="3"/>
  <c r="Z13" i="3"/>
  <c r="Y13" i="3"/>
  <c r="W13" i="3"/>
  <c r="V13" i="3"/>
  <c r="U13" i="3"/>
  <c r="T13" i="3"/>
  <c r="R13" i="3"/>
  <c r="Q13" i="3"/>
  <c r="P13" i="3"/>
  <c r="O13" i="3"/>
  <c r="M13" i="3"/>
  <c r="L13" i="3"/>
  <c r="K13" i="3"/>
  <c r="J13" i="3"/>
  <c r="AV12" i="3"/>
  <c r="AU12" i="3"/>
  <c r="AT12" i="3"/>
  <c r="AS12" i="3"/>
  <c r="AQ12" i="3"/>
  <c r="AP12" i="3"/>
  <c r="AO12" i="3"/>
  <c r="AN12" i="3"/>
  <c r="AL12" i="3"/>
  <c r="AK12" i="3"/>
  <c r="AJ12" i="3"/>
  <c r="AI12" i="3"/>
  <c r="AG12" i="3"/>
  <c r="AF12" i="3"/>
  <c r="AE12" i="3"/>
  <c r="AD12" i="3"/>
  <c r="AB12" i="3"/>
  <c r="AA12" i="3"/>
  <c r="Z12" i="3"/>
  <c r="Y12" i="3"/>
  <c r="W12" i="3"/>
  <c r="V12" i="3"/>
  <c r="U12" i="3"/>
  <c r="T12" i="3"/>
  <c r="R12" i="3"/>
  <c r="Q12" i="3"/>
  <c r="P12" i="3"/>
  <c r="O12" i="3"/>
  <c r="M12" i="3"/>
  <c r="L12" i="3"/>
  <c r="K12" i="3"/>
  <c r="J12" i="3"/>
  <c r="AV11" i="3"/>
  <c r="AU11" i="3"/>
  <c r="AT11" i="3"/>
  <c r="AS11" i="3"/>
  <c r="AQ11" i="3"/>
  <c r="AP11" i="3"/>
  <c r="AO11" i="3"/>
  <c r="AN11" i="3"/>
  <c r="AL11" i="3"/>
  <c r="AK11" i="3"/>
  <c r="AJ11" i="3"/>
  <c r="AI11" i="3"/>
  <c r="AG11" i="3"/>
  <c r="AF11" i="3"/>
  <c r="AE11" i="3"/>
  <c r="AD11" i="3"/>
  <c r="AB11" i="3"/>
  <c r="AA11" i="3"/>
  <c r="Z11" i="3"/>
  <c r="Y11" i="3"/>
  <c r="W11" i="3"/>
  <c r="V11" i="3"/>
  <c r="U11" i="3"/>
  <c r="T11" i="3"/>
  <c r="R11" i="3"/>
  <c r="Q11" i="3"/>
  <c r="P11" i="3"/>
  <c r="O11" i="3"/>
  <c r="M11" i="3"/>
  <c r="L11" i="3"/>
  <c r="K11" i="3"/>
  <c r="J11" i="3"/>
  <c r="AV10" i="3"/>
  <c r="AU10" i="3"/>
  <c r="AT10" i="3"/>
  <c r="AS10" i="3"/>
  <c r="AQ10" i="3"/>
  <c r="AP10" i="3"/>
  <c r="AO10" i="3"/>
  <c r="AN10" i="3"/>
  <c r="AL10" i="3"/>
  <c r="AK10" i="3"/>
  <c r="AJ10" i="3"/>
  <c r="AI10" i="3"/>
  <c r="AG10" i="3"/>
  <c r="AF10" i="3"/>
  <c r="AE10" i="3"/>
  <c r="AD10" i="3"/>
  <c r="AB10" i="3"/>
  <c r="AA10" i="3"/>
  <c r="Z10" i="3"/>
  <c r="Y10" i="3"/>
  <c r="W10" i="3"/>
  <c r="V10" i="3"/>
  <c r="U10" i="3"/>
  <c r="T10" i="3"/>
  <c r="R10" i="3"/>
  <c r="Q10" i="3"/>
  <c r="P10" i="3"/>
  <c r="O10" i="3"/>
  <c r="M10" i="3"/>
  <c r="L10" i="3"/>
  <c r="K10" i="3"/>
  <c r="J10" i="3"/>
  <c r="AV9" i="3"/>
  <c r="AU9" i="3"/>
  <c r="AT9" i="3"/>
  <c r="AS9" i="3"/>
  <c r="AQ9" i="3"/>
  <c r="AP9" i="3"/>
  <c r="AO9" i="3"/>
  <c r="AN9" i="3"/>
  <c r="AL9" i="3"/>
  <c r="AK9" i="3"/>
  <c r="AJ9" i="3"/>
  <c r="AI9" i="3"/>
  <c r="AG9" i="3"/>
  <c r="AF9" i="3"/>
  <c r="AE9" i="3"/>
  <c r="AD9" i="3"/>
  <c r="AB9" i="3"/>
  <c r="AA9" i="3"/>
  <c r="Z9" i="3"/>
  <c r="Y9" i="3"/>
  <c r="W9" i="3"/>
  <c r="V9" i="3"/>
  <c r="U9" i="3"/>
  <c r="T9" i="3"/>
  <c r="R9" i="3"/>
  <c r="Q9" i="3"/>
  <c r="P9" i="3"/>
  <c r="O9" i="3"/>
  <c r="M9" i="3"/>
  <c r="L9" i="3"/>
  <c r="K9" i="3"/>
  <c r="J9" i="3"/>
  <c r="AV8" i="3"/>
  <c r="AU8" i="3"/>
  <c r="AT8" i="3"/>
  <c r="AS8" i="3"/>
  <c r="AQ8" i="3"/>
  <c r="AP8" i="3"/>
  <c r="AO8" i="3"/>
  <c r="AN8" i="3"/>
  <c r="AL8" i="3"/>
  <c r="AK8" i="3"/>
  <c r="AJ8" i="3"/>
  <c r="AI8" i="3"/>
  <c r="AG8" i="3"/>
  <c r="AF8" i="3"/>
  <c r="AE8" i="3"/>
  <c r="AD8" i="3"/>
  <c r="AB8" i="3"/>
  <c r="AA8" i="3"/>
  <c r="Z8" i="3"/>
  <c r="Y8" i="3"/>
  <c r="W8" i="3"/>
  <c r="V8" i="3"/>
  <c r="U8" i="3"/>
  <c r="T8" i="3"/>
  <c r="R8" i="3"/>
  <c r="Q8" i="3"/>
  <c r="P8" i="3"/>
  <c r="O8" i="3"/>
  <c r="M8" i="3"/>
  <c r="L8" i="3"/>
  <c r="K8" i="3"/>
  <c r="J8" i="3"/>
  <c r="AV7" i="3"/>
  <c r="AU7" i="3"/>
  <c r="AT7" i="3"/>
  <c r="AS7" i="3"/>
  <c r="AQ7" i="3"/>
  <c r="AP7" i="3"/>
  <c r="AO7" i="3"/>
  <c r="AN7" i="3"/>
  <c r="AL7" i="3"/>
  <c r="AK7" i="3"/>
  <c r="AJ7" i="3"/>
  <c r="AI7" i="3"/>
  <c r="AG7" i="3"/>
  <c r="AF7" i="3"/>
  <c r="AE7" i="3"/>
  <c r="AD7" i="3"/>
  <c r="AB7" i="3"/>
  <c r="AA7" i="3"/>
  <c r="Z7" i="3"/>
  <c r="Y7" i="3"/>
  <c r="W7" i="3"/>
  <c r="V7" i="3"/>
  <c r="U7" i="3"/>
  <c r="T7" i="3"/>
  <c r="R7" i="3"/>
  <c r="Q7" i="3"/>
  <c r="P7" i="3"/>
  <c r="O7" i="3"/>
  <c r="M7" i="3"/>
  <c r="L7" i="3"/>
  <c r="K7" i="3"/>
  <c r="J7" i="3"/>
  <c r="AV6" i="3"/>
  <c r="AU6" i="3"/>
  <c r="AT6" i="3"/>
  <c r="AS6" i="3"/>
  <c r="AQ6" i="3"/>
  <c r="AP6" i="3"/>
  <c r="AO6" i="3"/>
  <c r="AN6" i="3"/>
  <c r="AL6" i="3"/>
  <c r="AK6" i="3"/>
  <c r="AJ6" i="3"/>
  <c r="AI6" i="3"/>
  <c r="AG6" i="3"/>
  <c r="AF6" i="3"/>
  <c r="AE6" i="3"/>
  <c r="AD6" i="3"/>
  <c r="AB6" i="3"/>
  <c r="AA6" i="3"/>
  <c r="Z6" i="3"/>
  <c r="Y6" i="3"/>
  <c r="W6" i="3"/>
  <c r="V6" i="3"/>
  <c r="U6" i="3"/>
  <c r="T6" i="3"/>
  <c r="R6" i="3"/>
  <c r="Q6" i="3"/>
  <c r="P6" i="3"/>
  <c r="O6" i="3"/>
  <c r="M6" i="3"/>
  <c r="L6" i="3"/>
  <c r="K6" i="3"/>
  <c r="J6" i="3"/>
  <c r="AV5" i="3"/>
  <c r="AU5" i="3"/>
  <c r="AT5" i="3"/>
  <c r="AS5" i="3"/>
  <c r="AQ5" i="3"/>
  <c r="AP5" i="3"/>
  <c r="AO5" i="3"/>
  <c r="AN5" i="3"/>
  <c r="AL5" i="3"/>
  <c r="AK5" i="3"/>
  <c r="AJ5" i="3"/>
  <c r="AI5" i="3"/>
  <c r="AG5" i="3"/>
  <c r="AF5" i="3"/>
  <c r="AE5" i="3"/>
  <c r="AD5" i="3"/>
  <c r="AB5" i="3"/>
  <c r="AA5" i="3"/>
  <c r="Z5" i="3"/>
  <c r="Y5" i="3"/>
  <c r="W5" i="3"/>
  <c r="V5" i="3"/>
  <c r="U5" i="3"/>
  <c r="T5" i="3"/>
  <c r="R5" i="3"/>
  <c r="Q5" i="3"/>
  <c r="P5" i="3"/>
  <c r="O5" i="3"/>
  <c r="M5" i="3"/>
  <c r="L5" i="3"/>
  <c r="K5" i="3"/>
  <c r="J5" i="3"/>
  <c r="AV4" i="3"/>
  <c r="AU4" i="3"/>
  <c r="AT4" i="3"/>
  <c r="AS4" i="3"/>
  <c r="AQ4" i="3"/>
  <c r="AP4" i="3"/>
  <c r="AO4" i="3"/>
  <c r="AN4" i="3"/>
  <c r="AL4" i="3"/>
  <c r="AK4" i="3"/>
  <c r="AJ4" i="3"/>
  <c r="AI4" i="3"/>
  <c r="AG4" i="3"/>
  <c r="AF4" i="3"/>
  <c r="AE4" i="3"/>
  <c r="AD4" i="3"/>
  <c r="AB4" i="3"/>
  <c r="AA4" i="3"/>
  <c r="Z4" i="3"/>
  <c r="Y4" i="3"/>
  <c r="W4" i="3"/>
  <c r="V4" i="3"/>
  <c r="U4" i="3"/>
  <c r="T4" i="3"/>
  <c r="R4" i="3"/>
  <c r="Q4" i="3"/>
  <c r="P4" i="3"/>
  <c r="O4" i="3"/>
  <c r="M4" i="3"/>
  <c r="L4" i="3"/>
  <c r="K4" i="3"/>
  <c r="J4" i="3"/>
  <c r="AV3" i="3"/>
  <c r="AU3" i="3"/>
  <c r="AT3" i="3"/>
  <c r="AS3" i="3"/>
  <c r="AQ3" i="3"/>
  <c r="AP3" i="3"/>
  <c r="AO3" i="3"/>
  <c r="AN3" i="3"/>
  <c r="AL3" i="3"/>
  <c r="AK3" i="3"/>
  <c r="AJ3" i="3"/>
  <c r="AI3" i="3"/>
  <c r="AG3" i="3"/>
  <c r="AF3" i="3"/>
  <c r="AE3" i="3"/>
  <c r="AD3" i="3"/>
  <c r="AB3" i="3"/>
  <c r="AA3" i="3"/>
  <c r="Z3" i="3"/>
  <c r="Y3" i="3"/>
  <c r="W3" i="3"/>
  <c r="V3" i="3"/>
  <c r="U3" i="3"/>
  <c r="T3" i="3"/>
  <c r="R3" i="3"/>
  <c r="Q3" i="3"/>
  <c r="P3" i="3"/>
  <c r="O3" i="3"/>
  <c r="M3" i="3"/>
  <c r="L3" i="3"/>
  <c r="K3" i="3"/>
  <c r="J3" i="3"/>
  <c r="AW765" i="1"/>
  <c r="AV765" i="1"/>
  <c r="AU765" i="1"/>
  <c r="AT765" i="1"/>
  <c r="AR765" i="1"/>
  <c r="AQ765" i="1"/>
  <c r="AP765" i="1"/>
  <c r="AO765" i="1"/>
  <c r="AM765" i="1"/>
  <c r="AL765" i="1"/>
  <c r="AK765" i="1"/>
  <c r="AJ765" i="1"/>
  <c r="AH765" i="1"/>
  <c r="AG765" i="1"/>
  <c r="AF765" i="1"/>
  <c r="AE765" i="1"/>
  <c r="AC765" i="1"/>
  <c r="AB765" i="1"/>
  <c r="AA765" i="1"/>
  <c r="Z765" i="1"/>
  <c r="X765" i="1"/>
  <c r="W765" i="1"/>
  <c r="V765" i="1"/>
  <c r="U765" i="1"/>
  <c r="S765" i="1"/>
  <c r="R765" i="1"/>
  <c r="Q765" i="1"/>
  <c r="P765" i="1"/>
  <c r="N765" i="1"/>
  <c r="M765" i="1"/>
  <c r="L765" i="1"/>
  <c r="K765" i="1"/>
  <c r="AW764" i="1"/>
  <c r="AV764" i="1"/>
  <c r="AU764" i="1"/>
  <c r="AT764" i="1"/>
  <c r="AR764" i="1"/>
  <c r="AQ764" i="1"/>
  <c r="AP764" i="1"/>
  <c r="AO764" i="1"/>
  <c r="AM764" i="1"/>
  <c r="AL764" i="1"/>
  <c r="AK764" i="1"/>
  <c r="AJ764" i="1"/>
  <c r="AH764" i="1"/>
  <c r="AG764" i="1"/>
  <c r="AF764" i="1"/>
  <c r="AE764" i="1"/>
  <c r="AC764" i="1"/>
  <c r="AB764" i="1"/>
  <c r="AA764" i="1"/>
  <c r="Z764" i="1"/>
  <c r="X764" i="1"/>
  <c r="W764" i="1"/>
  <c r="V764" i="1"/>
  <c r="U764" i="1"/>
  <c r="S764" i="1"/>
  <c r="R764" i="1"/>
  <c r="Q764" i="1"/>
  <c r="P764" i="1"/>
  <c r="N764" i="1"/>
  <c r="M764" i="1"/>
  <c r="L764" i="1"/>
  <c r="K764" i="1"/>
  <c r="AW763" i="1"/>
  <c r="AV763" i="1"/>
  <c r="AU763" i="1"/>
  <c r="AT763" i="1"/>
  <c r="AR763" i="1"/>
  <c r="AQ763" i="1"/>
  <c r="AP763" i="1"/>
  <c r="AO763" i="1"/>
  <c r="AM763" i="1"/>
  <c r="AL763" i="1"/>
  <c r="AK763" i="1"/>
  <c r="AJ763" i="1"/>
  <c r="AH763" i="1"/>
  <c r="AG763" i="1"/>
  <c r="AF763" i="1"/>
  <c r="AE763" i="1"/>
  <c r="AC763" i="1"/>
  <c r="AB763" i="1"/>
  <c r="AA763" i="1"/>
  <c r="Z763" i="1"/>
  <c r="X763" i="1"/>
  <c r="W763" i="1"/>
  <c r="V763" i="1"/>
  <c r="U763" i="1"/>
  <c r="S763" i="1"/>
  <c r="R763" i="1"/>
  <c r="Q763" i="1"/>
  <c r="P763" i="1"/>
  <c r="N763" i="1"/>
  <c r="M763" i="1"/>
  <c r="L763" i="1"/>
  <c r="K763" i="1"/>
  <c r="AW762" i="1"/>
  <c r="AV762" i="1"/>
  <c r="AU762" i="1"/>
  <c r="AT762" i="1"/>
  <c r="AR762" i="1"/>
  <c r="AQ762" i="1"/>
  <c r="AP762" i="1"/>
  <c r="AO762" i="1"/>
  <c r="AM762" i="1"/>
  <c r="AL762" i="1"/>
  <c r="AK762" i="1"/>
  <c r="AJ762" i="1"/>
  <c r="AH762" i="1"/>
  <c r="AG762" i="1"/>
  <c r="AF762" i="1"/>
  <c r="AE762" i="1"/>
  <c r="AC762" i="1"/>
  <c r="AB762" i="1"/>
  <c r="AA762" i="1"/>
  <c r="Z762" i="1"/>
  <c r="X762" i="1"/>
  <c r="W762" i="1"/>
  <c r="V762" i="1"/>
  <c r="U762" i="1"/>
  <c r="S762" i="1"/>
  <c r="R762" i="1"/>
  <c r="Q762" i="1"/>
  <c r="P762" i="1"/>
  <c r="N762" i="1"/>
  <c r="M762" i="1"/>
  <c r="L762" i="1"/>
  <c r="K762" i="1"/>
  <c r="AW761" i="1"/>
  <c r="AV761" i="1"/>
  <c r="AU761" i="1"/>
  <c r="AT761" i="1"/>
  <c r="AR761" i="1"/>
  <c r="AQ761" i="1"/>
  <c r="AP761" i="1"/>
  <c r="AO761" i="1"/>
  <c r="AM761" i="1"/>
  <c r="AL761" i="1"/>
  <c r="AK761" i="1"/>
  <c r="AJ761" i="1"/>
  <c r="AH761" i="1"/>
  <c r="AG761" i="1"/>
  <c r="AF761" i="1"/>
  <c r="AE761" i="1"/>
  <c r="AC761" i="1"/>
  <c r="AB761" i="1"/>
  <c r="AA761" i="1"/>
  <c r="Z761" i="1"/>
  <c r="X761" i="1"/>
  <c r="W761" i="1"/>
  <c r="V761" i="1"/>
  <c r="U761" i="1"/>
  <c r="S761" i="1"/>
  <c r="R761" i="1"/>
  <c r="Q761" i="1"/>
  <c r="P761" i="1"/>
  <c r="N761" i="1"/>
  <c r="M761" i="1"/>
  <c r="L761" i="1"/>
  <c r="K761" i="1"/>
  <c r="AW760" i="1"/>
  <c r="AV760" i="1"/>
  <c r="AU760" i="1"/>
  <c r="AT760" i="1"/>
  <c r="AR760" i="1"/>
  <c r="AQ760" i="1"/>
  <c r="AP760" i="1"/>
  <c r="AO760" i="1"/>
  <c r="AM760" i="1"/>
  <c r="AL760" i="1"/>
  <c r="AK760" i="1"/>
  <c r="AJ760" i="1"/>
  <c r="AH760" i="1"/>
  <c r="AG760" i="1"/>
  <c r="AF760" i="1"/>
  <c r="AE760" i="1"/>
  <c r="AC760" i="1"/>
  <c r="AB760" i="1"/>
  <c r="AA760" i="1"/>
  <c r="Z760" i="1"/>
  <c r="X760" i="1"/>
  <c r="W760" i="1"/>
  <c r="V760" i="1"/>
  <c r="U760" i="1"/>
  <c r="S760" i="1"/>
  <c r="R760" i="1"/>
  <c r="Q760" i="1"/>
  <c r="P760" i="1"/>
  <c r="N760" i="1"/>
  <c r="M760" i="1"/>
  <c r="L760" i="1"/>
  <c r="K760" i="1"/>
  <c r="AW759" i="1"/>
  <c r="AV759" i="1"/>
  <c r="AU759" i="1"/>
  <c r="AT759" i="1"/>
  <c r="AR759" i="1"/>
  <c r="AQ759" i="1"/>
  <c r="AP759" i="1"/>
  <c r="AO759" i="1"/>
  <c r="AM759" i="1"/>
  <c r="AL759" i="1"/>
  <c r="AK759" i="1"/>
  <c r="AJ759" i="1"/>
  <c r="AH759" i="1"/>
  <c r="AG759" i="1"/>
  <c r="AF759" i="1"/>
  <c r="AE759" i="1"/>
  <c r="AC759" i="1"/>
  <c r="AB759" i="1"/>
  <c r="AA759" i="1"/>
  <c r="Z759" i="1"/>
  <c r="X759" i="1"/>
  <c r="W759" i="1"/>
  <c r="V759" i="1"/>
  <c r="U759" i="1"/>
  <c r="S759" i="1"/>
  <c r="R759" i="1"/>
  <c r="Q759" i="1"/>
  <c r="P759" i="1"/>
  <c r="N759" i="1"/>
  <c r="M759" i="1"/>
  <c r="L759" i="1"/>
  <c r="K759" i="1"/>
  <c r="AW758" i="1"/>
  <c r="AV758" i="1"/>
  <c r="AU758" i="1"/>
  <c r="AT758" i="1"/>
  <c r="AR758" i="1"/>
  <c r="AQ758" i="1"/>
  <c r="AP758" i="1"/>
  <c r="AO758" i="1"/>
  <c r="AM758" i="1"/>
  <c r="AL758" i="1"/>
  <c r="AK758" i="1"/>
  <c r="AJ758" i="1"/>
  <c r="AH758" i="1"/>
  <c r="AG758" i="1"/>
  <c r="AF758" i="1"/>
  <c r="AE758" i="1"/>
  <c r="AC758" i="1"/>
  <c r="AB758" i="1"/>
  <c r="AA758" i="1"/>
  <c r="Z758" i="1"/>
  <c r="X758" i="1"/>
  <c r="W758" i="1"/>
  <c r="V758" i="1"/>
  <c r="U758" i="1"/>
  <c r="S758" i="1"/>
  <c r="R758" i="1"/>
  <c r="Q758" i="1"/>
  <c r="P758" i="1"/>
  <c r="N758" i="1"/>
  <c r="M758" i="1"/>
  <c r="L758" i="1"/>
  <c r="K758" i="1"/>
  <c r="AW757" i="1"/>
  <c r="AV757" i="1"/>
  <c r="AU757" i="1"/>
  <c r="AT757" i="1"/>
  <c r="AR757" i="1"/>
  <c r="AQ757" i="1"/>
  <c r="AP757" i="1"/>
  <c r="AO757" i="1"/>
  <c r="AM757" i="1"/>
  <c r="AL757" i="1"/>
  <c r="AK757" i="1"/>
  <c r="AJ757" i="1"/>
  <c r="AH757" i="1"/>
  <c r="AG757" i="1"/>
  <c r="AF757" i="1"/>
  <c r="AE757" i="1"/>
  <c r="AC757" i="1"/>
  <c r="AB757" i="1"/>
  <c r="AA757" i="1"/>
  <c r="Z757" i="1"/>
  <c r="X757" i="1"/>
  <c r="W757" i="1"/>
  <c r="V757" i="1"/>
  <c r="U757" i="1"/>
  <c r="S757" i="1"/>
  <c r="R757" i="1"/>
  <c r="Q757" i="1"/>
  <c r="P757" i="1"/>
  <c r="N757" i="1"/>
  <c r="M757" i="1"/>
  <c r="L757" i="1"/>
  <c r="K757" i="1"/>
  <c r="AW756" i="1"/>
  <c r="AV756" i="1"/>
  <c r="AU756" i="1"/>
  <c r="AT756" i="1"/>
  <c r="AR756" i="1"/>
  <c r="AQ756" i="1"/>
  <c r="AP756" i="1"/>
  <c r="AO756" i="1"/>
  <c r="AM756" i="1"/>
  <c r="AL756" i="1"/>
  <c r="AK756" i="1"/>
  <c r="AJ756" i="1"/>
  <c r="AH756" i="1"/>
  <c r="AG756" i="1"/>
  <c r="AF756" i="1"/>
  <c r="AE756" i="1"/>
  <c r="AC756" i="1"/>
  <c r="AB756" i="1"/>
  <c r="AA756" i="1"/>
  <c r="Z756" i="1"/>
  <c r="X756" i="1"/>
  <c r="W756" i="1"/>
  <c r="V756" i="1"/>
  <c r="U756" i="1"/>
  <c r="S756" i="1"/>
  <c r="R756" i="1"/>
  <c r="Q756" i="1"/>
  <c r="P756" i="1"/>
  <c r="N756" i="1"/>
  <c r="M756" i="1"/>
  <c r="L756" i="1"/>
  <c r="K756" i="1"/>
  <c r="AW755" i="1"/>
  <c r="AV755" i="1"/>
  <c r="AU755" i="1"/>
  <c r="AT755" i="1"/>
  <c r="AR755" i="1"/>
  <c r="AQ755" i="1"/>
  <c r="AP755" i="1"/>
  <c r="AO755" i="1"/>
  <c r="AM755" i="1"/>
  <c r="AL755" i="1"/>
  <c r="AK755" i="1"/>
  <c r="AJ755" i="1"/>
  <c r="AH755" i="1"/>
  <c r="AG755" i="1"/>
  <c r="AF755" i="1"/>
  <c r="AE755" i="1"/>
  <c r="AC755" i="1"/>
  <c r="AB755" i="1"/>
  <c r="AA755" i="1"/>
  <c r="Z755" i="1"/>
  <c r="X755" i="1"/>
  <c r="W755" i="1"/>
  <c r="V755" i="1"/>
  <c r="U755" i="1"/>
  <c r="S755" i="1"/>
  <c r="R755" i="1"/>
  <c r="Q755" i="1"/>
  <c r="P755" i="1"/>
  <c r="N755" i="1"/>
  <c r="M755" i="1"/>
  <c r="L755" i="1"/>
  <c r="K755" i="1"/>
  <c r="AW754" i="1"/>
  <c r="AV754" i="1"/>
  <c r="AU754" i="1"/>
  <c r="AT754" i="1"/>
  <c r="AR754" i="1"/>
  <c r="AQ754" i="1"/>
  <c r="AP754" i="1"/>
  <c r="AO754" i="1"/>
  <c r="AM754" i="1"/>
  <c r="AL754" i="1"/>
  <c r="AK754" i="1"/>
  <c r="AJ754" i="1"/>
  <c r="AH754" i="1"/>
  <c r="AG754" i="1"/>
  <c r="AF754" i="1"/>
  <c r="AE754" i="1"/>
  <c r="AC754" i="1"/>
  <c r="AB754" i="1"/>
  <c r="AA754" i="1"/>
  <c r="Z754" i="1"/>
  <c r="X754" i="1"/>
  <c r="W754" i="1"/>
  <c r="V754" i="1"/>
  <c r="U754" i="1"/>
  <c r="S754" i="1"/>
  <c r="R754" i="1"/>
  <c r="Q754" i="1"/>
  <c r="P754" i="1"/>
  <c r="N754" i="1"/>
  <c r="M754" i="1"/>
  <c r="L754" i="1"/>
  <c r="K754" i="1"/>
  <c r="AW753" i="1"/>
  <c r="AV753" i="1"/>
  <c r="AU753" i="1"/>
  <c r="AT753" i="1"/>
  <c r="AR753" i="1"/>
  <c r="AQ753" i="1"/>
  <c r="AP753" i="1"/>
  <c r="AO753" i="1"/>
  <c r="AM753" i="1"/>
  <c r="AL753" i="1"/>
  <c r="AK753" i="1"/>
  <c r="AJ753" i="1"/>
  <c r="AH753" i="1"/>
  <c r="AG753" i="1"/>
  <c r="AF753" i="1"/>
  <c r="AE753" i="1"/>
  <c r="AC753" i="1"/>
  <c r="AB753" i="1"/>
  <c r="AA753" i="1"/>
  <c r="Z753" i="1"/>
  <c r="X753" i="1"/>
  <c r="W753" i="1"/>
  <c r="V753" i="1"/>
  <c r="U753" i="1"/>
  <c r="S753" i="1"/>
  <c r="R753" i="1"/>
  <c r="Q753" i="1"/>
  <c r="P753" i="1"/>
  <c r="N753" i="1"/>
  <c r="M753" i="1"/>
  <c r="L753" i="1"/>
  <c r="K753" i="1"/>
  <c r="AW752" i="1"/>
  <c r="AV752" i="1"/>
  <c r="AU752" i="1"/>
  <c r="AT752" i="1"/>
  <c r="AR752" i="1"/>
  <c r="AQ752" i="1"/>
  <c r="AP752" i="1"/>
  <c r="AO752" i="1"/>
  <c r="AM752" i="1"/>
  <c r="AL752" i="1"/>
  <c r="AK752" i="1"/>
  <c r="AJ752" i="1"/>
  <c r="AH752" i="1"/>
  <c r="AG752" i="1"/>
  <c r="AF752" i="1"/>
  <c r="AE752" i="1"/>
  <c r="AC752" i="1"/>
  <c r="AB752" i="1"/>
  <c r="AA752" i="1"/>
  <c r="Z752" i="1"/>
  <c r="X752" i="1"/>
  <c r="W752" i="1"/>
  <c r="V752" i="1"/>
  <c r="U752" i="1"/>
  <c r="S752" i="1"/>
  <c r="R752" i="1"/>
  <c r="Q752" i="1"/>
  <c r="P752" i="1"/>
  <c r="N752" i="1"/>
  <c r="M752" i="1"/>
  <c r="L752" i="1"/>
  <c r="K752" i="1"/>
  <c r="AW751" i="1"/>
  <c r="AV751" i="1"/>
  <c r="AU751" i="1"/>
  <c r="AT751" i="1"/>
  <c r="AR751" i="1"/>
  <c r="AQ751" i="1"/>
  <c r="AP751" i="1"/>
  <c r="AO751" i="1"/>
  <c r="AM751" i="1"/>
  <c r="AL751" i="1"/>
  <c r="AK751" i="1"/>
  <c r="AJ751" i="1"/>
  <c r="AH751" i="1"/>
  <c r="AG751" i="1"/>
  <c r="AF751" i="1"/>
  <c r="AE751" i="1"/>
  <c r="AC751" i="1"/>
  <c r="AB751" i="1"/>
  <c r="AA751" i="1"/>
  <c r="Z751" i="1"/>
  <c r="X751" i="1"/>
  <c r="W751" i="1"/>
  <c r="V751" i="1"/>
  <c r="U751" i="1"/>
  <c r="S751" i="1"/>
  <c r="R751" i="1"/>
  <c r="Q751" i="1"/>
  <c r="P751" i="1"/>
  <c r="N751" i="1"/>
  <c r="M751" i="1"/>
  <c r="L751" i="1"/>
  <c r="K751" i="1"/>
  <c r="AW750" i="1"/>
  <c r="AV750" i="1"/>
  <c r="AU750" i="1"/>
  <c r="AT750" i="1"/>
  <c r="AR750" i="1"/>
  <c r="AQ750" i="1"/>
  <c r="AP750" i="1"/>
  <c r="AO750" i="1"/>
  <c r="AM750" i="1"/>
  <c r="AL750" i="1"/>
  <c r="AK750" i="1"/>
  <c r="AJ750" i="1"/>
  <c r="AH750" i="1"/>
  <c r="AG750" i="1"/>
  <c r="AF750" i="1"/>
  <c r="AE750" i="1"/>
  <c r="AC750" i="1"/>
  <c r="AB750" i="1"/>
  <c r="AA750" i="1"/>
  <c r="Z750" i="1"/>
  <c r="X750" i="1"/>
  <c r="W750" i="1"/>
  <c r="V750" i="1"/>
  <c r="U750" i="1"/>
  <c r="S750" i="1"/>
  <c r="R750" i="1"/>
  <c r="Q750" i="1"/>
  <c r="P750" i="1"/>
  <c r="N750" i="1"/>
  <c r="M750" i="1"/>
  <c r="L750" i="1"/>
  <c r="K750" i="1"/>
  <c r="AW749" i="1"/>
  <c r="AV749" i="1"/>
  <c r="AU749" i="1"/>
  <c r="AT749" i="1"/>
  <c r="AR749" i="1"/>
  <c r="AQ749" i="1"/>
  <c r="AP749" i="1"/>
  <c r="AO749" i="1"/>
  <c r="AM749" i="1"/>
  <c r="AL749" i="1"/>
  <c r="AK749" i="1"/>
  <c r="AJ749" i="1"/>
  <c r="AH749" i="1"/>
  <c r="AG749" i="1"/>
  <c r="AF749" i="1"/>
  <c r="AE749" i="1"/>
  <c r="AC749" i="1"/>
  <c r="AB749" i="1"/>
  <c r="AA749" i="1"/>
  <c r="Z749" i="1"/>
  <c r="X749" i="1"/>
  <c r="W749" i="1"/>
  <c r="V749" i="1"/>
  <c r="U749" i="1"/>
  <c r="S749" i="1"/>
  <c r="R749" i="1"/>
  <c r="Q749" i="1"/>
  <c r="P749" i="1"/>
  <c r="N749" i="1"/>
  <c r="M749" i="1"/>
  <c r="L749" i="1"/>
  <c r="K749" i="1"/>
  <c r="AW748" i="1"/>
  <c r="AV748" i="1"/>
  <c r="AU748" i="1"/>
  <c r="AT748" i="1"/>
  <c r="AR748" i="1"/>
  <c r="AQ748" i="1"/>
  <c r="AP748" i="1"/>
  <c r="AO748" i="1"/>
  <c r="AM748" i="1"/>
  <c r="AL748" i="1"/>
  <c r="AK748" i="1"/>
  <c r="AJ748" i="1"/>
  <c r="AH748" i="1"/>
  <c r="AG748" i="1"/>
  <c r="AF748" i="1"/>
  <c r="AE748" i="1"/>
  <c r="AC748" i="1"/>
  <c r="AB748" i="1"/>
  <c r="AA748" i="1"/>
  <c r="Z748" i="1"/>
  <c r="X748" i="1"/>
  <c r="W748" i="1"/>
  <c r="V748" i="1"/>
  <c r="U748" i="1"/>
  <c r="S748" i="1"/>
  <c r="R748" i="1"/>
  <c r="Q748" i="1"/>
  <c r="P748" i="1"/>
  <c r="N748" i="1"/>
  <c r="M748" i="1"/>
  <c r="L748" i="1"/>
  <c r="K748" i="1"/>
  <c r="AW747" i="1"/>
  <c r="AV747" i="1"/>
  <c r="AU747" i="1"/>
  <c r="AT747" i="1"/>
  <c r="AR747" i="1"/>
  <c r="AQ747" i="1"/>
  <c r="AP747" i="1"/>
  <c r="AO747" i="1"/>
  <c r="AM747" i="1"/>
  <c r="AL747" i="1"/>
  <c r="AK747" i="1"/>
  <c r="AJ747" i="1"/>
  <c r="AH747" i="1"/>
  <c r="AG747" i="1"/>
  <c r="AF747" i="1"/>
  <c r="AE747" i="1"/>
  <c r="AC747" i="1"/>
  <c r="AB747" i="1"/>
  <c r="AA747" i="1"/>
  <c r="Z747" i="1"/>
  <c r="X747" i="1"/>
  <c r="W747" i="1"/>
  <c r="V747" i="1"/>
  <c r="U747" i="1"/>
  <c r="S747" i="1"/>
  <c r="R747" i="1"/>
  <c r="Q747" i="1"/>
  <c r="P747" i="1"/>
  <c r="N747" i="1"/>
  <c r="M747" i="1"/>
  <c r="L747" i="1"/>
  <c r="K747" i="1"/>
  <c r="AW746" i="1"/>
  <c r="AV746" i="1"/>
  <c r="AU746" i="1"/>
  <c r="AT746" i="1"/>
  <c r="AR746" i="1"/>
  <c r="AQ746" i="1"/>
  <c r="AP746" i="1"/>
  <c r="AO746" i="1"/>
  <c r="AM746" i="1"/>
  <c r="AL746" i="1"/>
  <c r="AK746" i="1"/>
  <c r="AJ746" i="1"/>
  <c r="AH746" i="1"/>
  <c r="AG746" i="1"/>
  <c r="AF746" i="1"/>
  <c r="AE746" i="1"/>
  <c r="AC746" i="1"/>
  <c r="AB746" i="1"/>
  <c r="AA746" i="1"/>
  <c r="Z746" i="1"/>
  <c r="X746" i="1"/>
  <c r="W746" i="1"/>
  <c r="V746" i="1"/>
  <c r="U746" i="1"/>
  <c r="S746" i="1"/>
  <c r="R746" i="1"/>
  <c r="Q746" i="1"/>
  <c r="P746" i="1"/>
  <c r="N746" i="1"/>
  <c r="M746" i="1"/>
  <c r="L746" i="1"/>
  <c r="K746" i="1"/>
  <c r="AW745" i="1"/>
  <c r="AV745" i="1"/>
  <c r="AU745" i="1"/>
  <c r="AT745" i="1"/>
  <c r="AR745" i="1"/>
  <c r="AQ745" i="1"/>
  <c r="AP745" i="1"/>
  <c r="AO745" i="1"/>
  <c r="AM745" i="1"/>
  <c r="AL745" i="1"/>
  <c r="AK745" i="1"/>
  <c r="AJ745" i="1"/>
  <c r="AH745" i="1"/>
  <c r="AG745" i="1"/>
  <c r="AF745" i="1"/>
  <c r="AE745" i="1"/>
  <c r="AC745" i="1"/>
  <c r="AB745" i="1"/>
  <c r="AA745" i="1"/>
  <c r="Z745" i="1"/>
  <c r="X745" i="1"/>
  <c r="W745" i="1"/>
  <c r="V745" i="1"/>
  <c r="U745" i="1"/>
  <c r="S745" i="1"/>
  <c r="R745" i="1"/>
  <c r="Q745" i="1"/>
  <c r="P745" i="1"/>
  <c r="N745" i="1"/>
  <c r="M745" i="1"/>
  <c r="L745" i="1"/>
  <c r="K745" i="1"/>
  <c r="AW744" i="1"/>
  <c r="AV744" i="1"/>
  <c r="AU744" i="1"/>
  <c r="AT744" i="1"/>
  <c r="AR744" i="1"/>
  <c r="AQ744" i="1"/>
  <c r="AP744" i="1"/>
  <c r="AO744" i="1"/>
  <c r="AM744" i="1"/>
  <c r="AL744" i="1"/>
  <c r="AK744" i="1"/>
  <c r="AJ744" i="1"/>
  <c r="AH744" i="1"/>
  <c r="AG744" i="1"/>
  <c r="AF744" i="1"/>
  <c r="AE744" i="1"/>
  <c r="AC744" i="1"/>
  <c r="AB744" i="1"/>
  <c r="AA744" i="1"/>
  <c r="Z744" i="1"/>
  <c r="X744" i="1"/>
  <c r="W744" i="1"/>
  <c r="V744" i="1"/>
  <c r="U744" i="1"/>
  <c r="S744" i="1"/>
  <c r="R744" i="1"/>
  <c r="Q744" i="1"/>
  <c r="P744" i="1"/>
  <c r="N744" i="1"/>
  <c r="M744" i="1"/>
  <c r="L744" i="1"/>
  <c r="K744" i="1"/>
  <c r="AW743" i="1"/>
  <c r="AV743" i="1"/>
  <c r="AU743" i="1"/>
  <c r="AT743" i="1"/>
  <c r="AR743" i="1"/>
  <c r="AQ743" i="1"/>
  <c r="AP743" i="1"/>
  <c r="AO743" i="1"/>
  <c r="AM743" i="1"/>
  <c r="AL743" i="1"/>
  <c r="AK743" i="1"/>
  <c r="AJ743" i="1"/>
  <c r="AH743" i="1"/>
  <c r="AG743" i="1"/>
  <c r="AF743" i="1"/>
  <c r="AE743" i="1"/>
  <c r="AC743" i="1"/>
  <c r="AB743" i="1"/>
  <c r="AA743" i="1"/>
  <c r="Z743" i="1"/>
  <c r="X743" i="1"/>
  <c r="W743" i="1"/>
  <c r="V743" i="1"/>
  <c r="U743" i="1"/>
  <c r="S743" i="1"/>
  <c r="R743" i="1"/>
  <c r="Q743" i="1"/>
  <c r="P743" i="1"/>
  <c r="N743" i="1"/>
  <c r="M743" i="1"/>
  <c r="L743" i="1"/>
  <c r="K743" i="1"/>
  <c r="AW742" i="1"/>
  <c r="AV742" i="1"/>
  <c r="AU742" i="1"/>
  <c r="AT742" i="1"/>
  <c r="AR742" i="1"/>
  <c r="AQ742" i="1"/>
  <c r="AP742" i="1"/>
  <c r="AO742" i="1"/>
  <c r="AM742" i="1"/>
  <c r="AL742" i="1"/>
  <c r="AK742" i="1"/>
  <c r="AJ742" i="1"/>
  <c r="AH742" i="1"/>
  <c r="AG742" i="1"/>
  <c r="AF742" i="1"/>
  <c r="AE742" i="1"/>
  <c r="AC742" i="1"/>
  <c r="AB742" i="1"/>
  <c r="AA742" i="1"/>
  <c r="Z742" i="1"/>
  <c r="X742" i="1"/>
  <c r="W742" i="1"/>
  <c r="V742" i="1"/>
  <c r="U742" i="1"/>
  <c r="S742" i="1"/>
  <c r="R742" i="1"/>
  <c r="Q742" i="1"/>
  <c r="P742" i="1"/>
  <c r="N742" i="1"/>
  <c r="M742" i="1"/>
  <c r="L742" i="1"/>
  <c r="K742" i="1"/>
  <c r="AW741" i="1"/>
  <c r="AV741" i="1"/>
  <c r="AU741" i="1"/>
  <c r="AT741" i="1"/>
  <c r="AR741" i="1"/>
  <c r="AQ741" i="1"/>
  <c r="AP741" i="1"/>
  <c r="AO741" i="1"/>
  <c r="AM741" i="1"/>
  <c r="AL741" i="1"/>
  <c r="AK741" i="1"/>
  <c r="AJ741" i="1"/>
  <c r="AH741" i="1"/>
  <c r="AG741" i="1"/>
  <c r="AF741" i="1"/>
  <c r="AE741" i="1"/>
  <c r="AC741" i="1"/>
  <c r="AB741" i="1"/>
  <c r="AA741" i="1"/>
  <c r="Z741" i="1"/>
  <c r="X741" i="1"/>
  <c r="W741" i="1"/>
  <c r="V741" i="1"/>
  <c r="U741" i="1"/>
  <c r="S741" i="1"/>
  <c r="R741" i="1"/>
  <c r="Q741" i="1"/>
  <c r="P741" i="1"/>
  <c r="N741" i="1"/>
  <c r="M741" i="1"/>
  <c r="L741" i="1"/>
  <c r="K741" i="1"/>
  <c r="AW740" i="1"/>
  <c r="AV740" i="1"/>
  <c r="AU740" i="1"/>
  <c r="AT740" i="1"/>
  <c r="AR740" i="1"/>
  <c r="AQ740" i="1"/>
  <c r="AP740" i="1"/>
  <c r="AO740" i="1"/>
  <c r="AM740" i="1"/>
  <c r="AL740" i="1"/>
  <c r="AK740" i="1"/>
  <c r="AJ740" i="1"/>
  <c r="AH740" i="1"/>
  <c r="AG740" i="1"/>
  <c r="AF740" i="1"/>
  <c r="AE740" i="1"/>
  <c r="AC740" i="1"/>
  <c r="AB740" i="1"/>
  <c r="AA740" i="1"/>
  <c r="Z740" i="1"/>
  <c r="X740" i="1"/>
  <c r="W740" i="1"/>
  <c r="V740" i="1"/>
  <c r="U740" i="1"/>
  <c r="S740" i="1"/>
  <c r="R740" i="1"/>
  <c r="Q740" i="1"/>
  <c r="P740" i="1"/>
  <c r="N740" i="1"/>
  <c r="M740" i="1"/>
  <c r="L740" i="1"/>
  <c r="K740" i="1"/>
  <c r="AW739" i="1"/>
  <c r="AV739" i="1"/>
  <c r="AU739" i="1"/>
  <c r="AT739" i="1"/>
  <c r="AR739" i="1"/>
  <c r="AQ739" i="1"/>
  <c r="AP739" i="1"/>
  <c r="AO739" i="1"/>
  <c r="AM739" i="1"/>
  <c r="AL739" i="1"/>
  <c r="AK739" i="1"/>
  <c r="AJ739" i="1"/>
  <c r="AH739" i="1"/>
  <c r="AG739" i="1"/>
  <c r="AF739" i="1"/>
  <c r="AE739" i="1"/>
  <c r="AC739" i="1"/>
  <c r="AB739" i="1"/>
  <c r="AA739" i="1"/>
  <c r="Z739" i="1"/>
  <c r="X739" i="1"/>
  <c r="W739" i="1"/>
  <c r="V739" i="1"/>
  <c r="U739" i="1"/>
  <c r="S739" i="1"/>
  <c r="R739" i="1"/>
  <c r="Q739" i="1"/>
  <c r="P739" i="1"/>
  <c r="N739" i="1"/>
  <c r="M739" i="1"/>
  <c r="L739" i="1"/>
  <c r="K739" i="1"/>
  <c r="AW738" i="1"/>
  <c r="AV738" i="1"/>
  <c r="AU738" i="1"/>
  <c r="AT738" i="1"/>
  <c r="AR738" i="1"/>
  <c r="AQ738" i="1"/>
  <c r="AP738" i="1"/>
  <c r="AO738" i="1"/>
  <c r="AM738" i="1"/>
  <c r="AL738" i="1"/>
  <c r="AK738" i="1"/>
  <c r="AJ738" i="1"/>
  <c r="AH738" i="1"/>
  <c r="AG738" i="1"/>
  <c r="AF738" i="1"/>
  <c r="AE738" i="1"/>
  <c r="AC738" i="1"/>
  <c r="AB738" i="1"/>
  <c r="AA738" i="1"/>
  <c r="Z738" i="1"/>
  <c r="X738" i="1"/>
  <c r="W738" i="1"/>
  <c r="V738" i="1"/>
  <c r="U738" i="1"/>
  <c r="S738" i="1"/>
  <c r="R738" i="1"/>
  <c r="Q738" i="1"/>
  <c r="P738" i="1"/>
  <c r="N738" i="1"/>
  <c r="M738" i="1"/>
  <c r="L738" i="1"/>
  <c r="K738" i="1"/>
  <c r="AW737" i="1"/>
  <c r="AV737" i="1"/>
  <c r="AU737" i="1"/>
  <c r="AT737" i="1"/>
  <c r="AR737" i="1"/>
  <c r="AQ737" i="1"/>
  <c r="AP737" i="1"/>
  <c r="AO737" i="1"/>
  <c r="AM737" i="1"/>
  <c r="AL737" i="1"/>
  <c r="AK737" i="1"/>
  <c r="AJ737" i="1"/>
  <c r="AH737" i="1"/>
  <c r="AG737" i="1"/>
  <c r="AF737" i="1"/>
  <c r="AE737" i="1"/>
  <c r="AC737" i="1"/>
  <c r="AB737" i="1"/>
  <c r="AA737" i="1"/>
  <c r="Z737" i="1"/>
  <c r="X737" i="1"/>
  <c r="W737" i="1"/>
  <c r="V737" i="1"/>
  <c r="U737" i="1"/>
  <c r="S737" i="1"/>
  <c r="R737" i="1"/>
  <c r="Q737" i="1"/>
  <c r="P737" i="1"/>
  <c r="N737" i="1"/>
  <c r="M737" i="1"/>
  <c r="L737" i="1"/>
  <c r="K737" i="1"/>
  <c r="AW736" i="1"/>
  <c r="AV736" i="1"/>
  <c r="AU736" i="1"/>
  <c r="AT736" i="1"/>
  <c r="AR736" i="1"/>
  <c r="AQ736" i="1"/>
  <c r="AP736" i="1"/>
  <c r="AO736" i="1"/>
  <c r="AM736" i="1"/>
  <c r="AL736" i="1"/>
  <c r="AK736" i="1"/>
  <c r="AJ736" i="1"/>
  <c r="AH736" i="1"/>
  <c r="AG736" i="1"/>
  <c r="AF736" i="1"/>
  <c r="AE736" i="1"/>
  <c r="AC736" i="1"/>
  <c r="AB736" i="1"/>
  <c r="AA736" i="1"/>
  <c r="Z736" i="1"/>
  <c r="X736" i="1"/>
  <c r="W736" i="1"/>
  <c r="V736" i="1"/>
  <c r="U736" i="1"/>
  <c r="S736" i="1"/>
  <c r="R736" i="1"/>
  <c r="Q736" i="1"/>
  <c r="P736" i="1"/>
  <c r="N736" i="1"/>
  <c r="M736" i="1"/>
  <c r="L736" i="1"/>
  <c r="K736" i="1"/>
  <c r="AW735" i="1"/>
  <c r="AV735" i="1"/>
  <c r="AU735" i="1"/>
  <c r="AT735" i="1"/>
  <c r="AR735" i="1"/>
  <c r="AQ735" i="1"/>
  <c r="AP735" i="1"/>
  <c r="AO735" i="1"/>
  <c r="AM735" i="1"/>
  <c r="AL735" i="1"/>
  <c r="AK735" i="1"/>
  <c r="AJ735" i="1"/>
  <c r="AH735" i="1"/>
  <c r="AG735" i="1"/>
  <c r="AF735" i="1"/>
  <c r="AE735" i="1"/>
  <c r="AC735" i="1"/>
  <c r="AB735" i="1"/>
  <c r="AA735" i="1"/>
  <c r="Z735" i="1"/>
  <c r="X735" i="1"/>
  <c r="W735" i="1"/>
  <c r="V735" i="1"/>
  <c r="U735" i="1"/>
  <c r="S735" i="1"/>
  <c r="R735" i="1"/>
  <c r="Q735" i="1"/>
  <c r="P735" i="1"/>
  <c r="N735" i="1"/>
  <c r="M735" i="1"/>
  <c r="L735" i="1"/>
  <c r="K735" i="1"/>
  <c r="AW734" i="1"/>
  <c r="AV734" i="1"/>
  <c r="AU734" i="1"/>
  <c r="AT734" i="1"/>
  <c r="AR734" i="1"/>
  <c r="AQ734" i="1"/>
  <c r="AP734" i="1"/>
  <c r="AO734" i="1"/>
  <c r="AM734" i="1"/>
  <c r="AL734" i="1"/>
  <c r="AK734" i="1"/>
  <c r="AJ734" i="1"/>
  <c r="AH734" i="1"/>
  <c r="AG734" i="1"/>
  <c r="AF734" i="1"/>
  <c r="AE734" i="1"/>
  <c r="AC734" i="1"/>
  <c r="AB734" i="1"/>
  <c r="AA734" i="1"/>
  <c r="Z734" i="1"/>
  <c r="X734" i="1"/>
  <c r="W734" i="1"/>
  <c r="V734" i="1"/>
  <c r="U734" i="1"/>
  <c r="S734" i="1"/>
  <c r="R734" i="1"/>
  <c r="Q734" i="1"/>
  <c r="P734" i="1"/>
  <c r="N734" i="1"/>
  <c r="M734" i="1"/>
  <c r="L734" i="1"/>
  <c r="K734" i="1"/>
  <c r="AW733" i="1"/>
  <c r="AV733" i="1"/>
  <c r="AU733" i="1"/>
  <c r="AT733" i="1"/>
  <c r="AR733" i="1"/>
  <c r="AQ733" i="1"/>
  <c r="AP733" i="1"/>
  <c r="AO733" i="1"/>
  <c r="AM733" i="1"/>
  <c r="AL733" i="1"/>
  <c r="AK733" i="1"/>
  <c r="AJ733" i="1"/>
  <c r="AH733" i="1"/>
  <c r="AG733" i="1"/>
  <c r="AF733" i="1"/>
  <c r="AE733" i="1"/>
  <c r="AC733" i="1"/>
  <c r="AB733" i="1"/>
  <c r="AA733" i="1"/>
  <c r="Z733" i="1"/>
  <c r="X733" i="1"/>
  <c r="W733" i="1"/>
  <c r="V733" i="1"/>
  <c r="U733" i="1"/>
  <c r="S733" i="1"/>
  <c r="R733" i="1"/>
  <c r="Q733" i="1"/>
  <c r="P733" i="1"/>
  <c r="N733" i="1"/>
  <c r="M733" i="1"/>
  <c r="L733" i="1"/>
  <c r="K733" i="1"/>
  <c r="AW732" i="1"/>
  <c r="AV732" i="1"/>
  <c r="AU732" i="1"/>
  <c r="AT732" i="1"/>
  <c r="AR732" i="1"/>
  <c r="AQ732" i="1"/>
  <c r="AP732" i="1"/>
  <c r="AO732" i="1"/>
  <c r="AM732" i="1"/>
  <c r="AL732" i="1"/>
  <c r="AK732" i="1"/>
  <c r="AJ732" i="1"/>
  <c r="AH732" i="1"/>
  <c r="AG732" i="1"/>
  <c r="AF732" i="1"/>
  <c r="AE732" i="1"/>
  <c r="AC732" i="1"/>
  <c r="AB732" i="1"/>
  <c r="AA732" i="1"/>
  <c r="Z732" i="1"/>
  <c r="X732" i="1"/>
  <c r="W732" i="1"/>
  <c r="V732" i="1"/>
  <c r="U732" i="1"/>
  <c r="S732" i="1"/>
  <c r="R732" i="1"/>
  <c r="Q732" i="1"/>
  <c r="P732" i="1"/>
  <c r="N732" i="1"/>
  <c r="M732" i="1"/>
  <c r="L732" i="1"/>
  <c r="K732" i="1"/>
  <c r="AW731" i="1"/>
  <c r="AV731" i="1"/>
  <c r="AU731" i="1"/>
  <c r="AT731" i="1"/>
  <c r="AR731" i="1"/>
  <c r="AQ731" i="1"/>
  <c r="AP731" i="1"/>
  <c r="AO731" i="1"/>
  <c r="AM731" i="1"/>
  <c r="AL731" i="1"/>
  <c r="AK731" i="1"/>
  <c r="AJ731" i="1"/>
  <c r="AH731" i="1"/>
  <c r="AG731" i="1"/>
  <c r="AF731" i="1"/>
  <c r="AE731" i="1"/>
  <c r="AC731" i="1"/>
  <c r="AB731" i="1"/>
  <c r="AA731" i="1"/>
  <c r="Z731" i="1"/>
  <c r="X731" i="1"/>
  <c r="W731" i="1"/>
  <c r="V731" i="1"/>
  <c r="U731" i="1"/>
  <c r="S731" i="1"/>
  <c r="R731" i="1"/>
  <c r="Q731" i="1"/>
  <c r="P731" i="1"/>
  <c r="N731" i="1"/>
  <c r="M731" i="1"/>
  <c r="L731" i="1"/>
  <c r="K731" i="1"/>
  <c r="AW730" i="1"/>
  <c r="AV730" i="1"/>
  <c r="AU730" i="1"/>
  <c r="AT730" i="1"/>
  <c r="AR730" i="1"/>
  <c r="AQ730" i="1"/>
  <c r="AP730" i="1"/>
  <c r="AO730" i="1"/>
  <c r="AM730" i="1"/>
  <c r="AL730" i="1"/>
  <c r="AK730" i="1"/>
  <c r="AJ730" i="1"/>
  <c r="AH730" i="1"/>
  <c r="AG730" i="1"/>
  <c r="AF730" i="1"/>
  <c r="AE730" i="1"/>
  <c r="AC730" i="1"/>
  <c r="AB730" i="1"/>
  <c r="AA730" i="1"/>
  <c r="Z730" i="1"/>
  <c r="X730" i="1"/>
  <c r="W730" i="1"/>
  <c r="V730" i="1"/>
  <c r="U730" i="1"/>
  <c r="S730" i="1"/>
  <c r="R730" i="1"/>
  <c r="Q730" i="1"/>
  <c r="P730" i="1"/>
  <c r="N730" i="1"/>
  <c r="M730" i="1"/>
  <c r="L730" i="1"/>
  <c r="K730" i="1"/>
  <c r="AW729" i="1"/>
  <c r="AV729" i="1"/>
  <c r="AU729" i="1"/>
  <c r="AT729" i="1"/>
  <c r="AR729" i="1"/>
  <c r="AQ729" i="1"/>
  <c r="AP729" i="1"/>
  <c r="AO729" i="1"/>
  <c r="AM729" i="1"/>
  <c r="AL729" i="1"/>
  <c r="AK729" i="1"/>
  <c r="AJ729" i="1"/>
  <c r="AH729" i="1"/>
  <c r="AG729" i="1"/>
  <c r="AF729" i="1"/>
  <c r="AE729" i="1"/>
  <c r="AC729" i="1"/>
  <c r="AB729" i="1"/>
  <c r="AA729" i="1"/>
  <c r="Z729" i="1"/>
  <c r="X729" i="1"/>
  <c r="W729" i="1"/>
  <c r="V729" i="1"/>
  <c r="U729" i="1"/>
  <c r="S729" i="1"/>
  <c r="R729" i="1"/>
  <c r="Q729" i="1"/>
  <c r="P729" i="1"/>
  <c r="N729" i="1"/>
  <c r="M729" i="1"/>
  <c r="L729" i="1"/>
  <c r="K729" i="1"/>
  <c r="AW728" i="1"/>
  <c r="AV728" i="1"/>
  <c r="AU728" i="1"/>
  <c r="AT728" i="1"/>
  <c r="AR728" i="1"/>
  <c r="AQ728" i="1"/>
  <c r="AP728" i="1"/>
  <c r="AO728" i="1"/>
  <c r="AM728" i="1"/>
  <c r="AL728" i="1"/>
  <c r="AK728" i="1"/>
  <c r="AJ728" i="1"/>
  <c r="AH728" i="1"/>
  <c r="AG728" i="1"/>
  <c r="AF728" i="1"/>
  <c r="AE728" i="1"/>
  <c r="AC728" i="1"/>
  <c r="AB728" i="1"/>
  <c r="AA728" i="1"/>
  <c r="Z728" i="1"/>
  <c r="X728" i="1"/>
  <c r="W728" i="1"/>
  <c r="V728" i="1"/>
  <c r="U728" i="1"/>
  <c r="S728" i="1"/>
  <c r="R728" i="1"/>
  <c r="Q728" i="1"/>
  <c r="P728" i="1"/>
  <c r="N728" i="1"/>
  <c r="M728" i="1"/>
  <c r="L728" i="1"/>
  <c r="K728" i="1"/>
  <c r="AW727" i="1"/>
  <c r="AV727" i="1"/>
  <c r="AU727" i="1"/>
  <c r="AT727" i="1"/>
  <c r="AR727" i="1"/>
  <c r="AQ727" i="1"/>
  <c r="AP727" i="1"/>
  <c r="AO727" i="1"/>
  <c r="AM727" i="1"/>
  <c r="AL727" i="1"/>
  <c r="AK727" i="1"/>
  <c r="AJ727" i="1"/>
  <c r="AH727" i="1"/>
  <c r="AG727" i="1"/>
  <c r="AF727" i="1"/>
  <c r="AE727" i="1"/>
  <c r="AC727" i="1"/>
  <c r="AB727" i="1"/>
  <c r="AA727" i="1"/>
  <c r="Z727" i="1"/>
  <c r="X727" i="1"/>
  <c r="W727" i="1"/>
  <c r="V727" i="1"/>
  <c r="U727" i="1"/>
  <c r="S727" i="1"/>
  <c r="R727" i="1"/>
  <c r="Q727" i="1"/>
  <c r="P727" i="1"/>
  <c r="N727" i="1"/>
  <c r="M727" i="1"/>
  <c r="L727" i="1"/>
  <c r="K727" i="1"/>
  <c r="AW726" i="1"/>
  <c r="AV726" i="1"/>
  <c r="AU726" i="1"/>
  <c r="AT726" i="1"/>
  <c r="AR726" i="1"/>
  <c r="AQ726" i="1"/>
  <c r="AP726" i="1"/>
  <c r="AO726" i="1"/>
  <c r="AM726" i="1"/>
  <c r="AL726" i="1"/>
  <c r="AK726" i="1"/>
  <c r="AJ726" i="1"/>
  <c r="AH726" i="1"/>
  <c r="AG726" i="1"/>
  <c r="AF726" i="1"/>
  <c r="AE726" i="1"/>
  <c r="AC726" i="1"/>
  <c r="AB726" i="1"/>
  <c r="AA726" i="1"/>
  <c r="Z726" i="1"/>
  <c r="X726" i="1"/>
  <c r="W726" i="1"/>
  <c r="V726" i="1"/>
  <c r="U726" i="1"/>
  <c r="S726" i="1"/>
  <c r="R726" i="1"/>
  <c r="Q726" i="1"/>
  <c r="P726" i="1"/>
  <c r="N726" i="1"/>
  <c r="M726" i="1"/>
  <c r="L726" i="1"/>
  <c r="K726" i="1"/>
  <c r="AW725" i="1"/>
  <c r="AV725" i="1"/>
  <c r="AU725" i="1"/>
  <c r="AT725" i="1"/>
  <c r="AR725" i="1"/>
  <c r="AQ725" i="1"/>
  <c r="AP725" i="1"/>
  <c r="AO725" i="1"/>
  <c r="AM725" i="1"/>
  <c r="AL725" i="1"/>
  <c r="AK725" i="1"/>
  <c r="AJ725" i="1"/>
  <c r="AH725" i="1"/>
  <c r="AG725" i="1"/>
  <c r="AF725" i="1"/>
  <c r="AE725" i="1"/>
  <c r="AC725" i="1"/>
  <c r="AB725" i="1"/>
  <c r="AA725" i="1"/>
  <c r="Z725" i="1"/>
  <c r="X725" i="1"/>
  <c r="W725" i="1"/>
  <c r="V725" i="1"/>
  <c r="U725" i="1"/>
  <c r="S725" i="1"/>
  <c r="R725" i="1"/>
  <c r="Q725" i="1"/>
  <c r="P725" i="1"/>
  <c r="N725" i="1"/>
  <c r="M725" i="1"/>
  <c r="L725" i="1"/>
  <c r="K725" i="1"/>
  <c r="AW724" i="1"/>
  <c r="AV724" i="1"/>
  <c r="AU724" i="1"/>
  <c r="AT724" i="1"/>
  <c r="AR724" i="1"/>
  <c r="AQ724" i="1"/>
  <c r="AP724" i="1"/>
  <c r="AO724" i="1"/>
  <c r="AM724" i="1"/>
  <c r="AL724" i="1"/>
  <c r="AK724" i="1"/>
  <c r="AJ724" i="1"/>
  <c r="AH724" i="1"/>
  <c r="AG724" i="1"/>
  <c r="AF724" i="1"/>
  <c r="AE724" i="1"/>
  <c r="AC724" i="1"/>
  <c r="AB724" i="1"/>
  <c r="AA724" i="1"/>
  <c r="Z724" i="1"/>
  <c r="X724" i="1"/>
  <c r="W724" i="1"/>
  <c r="V724" i="1"/>
  <c r="U724" i="1"/>
  <c r="S724" i="1"/>
  <c r="R724" i="1"/>
  <c r="Q724" i="1"/>
  <c r="P724" i="1"/>
  <c r="N724" i="1"/>
  <c r="M724" i="1"/>
  <c r="L724" i="1"/>
  <c r="K724" i="1"/>
  <c r="AW723" i="1"/>
  <c r="AV723" i="1"/>
  <c r="AU723" i="1"/>
  <c r="AT723" i="1"/>
  <c r="AR723" i="1"/>
  <c r="AQ723" i="1"/>
  <c r="AP723" i="1"/>
  <c r="AO723" i="1"/>
  <c r="AM723" i="1"/>
  <c r="AL723" i="1"/>
  <c r="AK723" i="1"/>
  <c r="AJ723" i="1"/>
  <c r="AH723" i="1"/>
  <c r="AG723" i="1"/>
  <c r="AF723" i="1"/>
  <c r="AE723" i="1"/>
  <c r="AC723" i="1"/>
  <c r="AB723" i="1"/>
  <c r="AA723" i="1"/>
  <c r="Z723" i="1"/>
  <c r="X723" i="1"/>
  <c r="W723" i="1"/>
  <c r="V723" i="1"/>
  <c r="U723" i="1"/>
  <c r="S723" i="1"/>
  <c r="R723" i="1"/>
  <c r="Q723" i="1"/>
  <c r="P723" i="1"/>
  <c r="N723" i="1"/>
  <c r="M723" i="1"/>
  <c r="L723" i="1"/>
  <c r="K723" i="1"/>
  <c r="AW722" i="1"/>
  <c r="AV722" i="1"/>
  <c r="AU722" i="1"/>
  <c r="AT722" i="1"/>
  <c r="AR722" i="1"/>
  <c r="AQ722" i="1"/>
  <c r="AP722" i="1"/>
  <c r="AO722" i="1"/>
  <c r="AM722" i="1"/>
  <c r="AL722" i="1"/>
  <c r="AK722" i="1"/>
  <c r="AJ722" i="1"/>
  <c r="AH722" i="1"/>
  <c r="AG722" i="1"/>
  <c r="AF722" i="1"/>
  <c r="AE722" i="1"/>
  <c r="AC722" i="1"/>
  <c r="AB722" i="1"/>
  <c r="AA722" i="1"/>
  <c r="Z722" i="1"/>
  <c r="X722" i="1"/>
  <c r="W722" i="1"/>
  <c r="V722" i="1"/>
  <c r="U722" i="1"/>
  <c r="S722" i="1"/>
  <c r="R722" i="1"/>
  <c r="Q722" i="1"/>
  <c r="P722" i="1"/>
  <c r="N722" i="1"/>
  <c r="M722" i="1"/>
  <c r="L722" i="1"/>
  <c r="K722" i="1"/>
  <c r="AW721" i="1"/>
  <c r="AV721" i="1"/>
  <c r="AU721" i="1"/>
  <c r="AT721" i="1"/>
  <c r="AR721" i="1"/>
  <c r="AQ721" i="1"/>
  <c r="AP721" i="1"/>
  <c r="AO721" i="1"/>
  <c r="AM721" i="1"/>
  <c r="AL721" i="1"/>
  <c r="AK721" i="1"/>
  <c r="AJ721" i="1"/>
  <c r="AH721" i="1"/>
  <c r="AG721" i="1"/>
  <c r="AF721" i="1"/>
  <c r="AE721" i="1"/>
  <c r="AC721" i="1"/>
  <c r="AB721" i="1"/>
  <c r="AA721" i="1"/>
  <c r="Z721" i="1"/>
  <c r="X721" i="1"/>
  <c r="W721" i="1"/>
  <c r="V721" i="1"/>
  <c r="U721" i="1"/>
  <c r="S721" i="1"/>
  <c r="R721" i="1"/>
  <c r="Q721" i="1"/>
  <c r="P721" i="1"/>
  <c r="N721" i="1"/>
  <c r="M721" i="1"/>
  <c r="L721" i="1"/>
  <c r="K721" i="1"/>
  <c r="AW720" i="1"/>
  <c r="AV720" i="1"/>
  <c r="AU720" i="1"/>
  <c r="AT720" i="1"/>
  <c r="AR720" i="1"/>
  <c r="AQ720" i="1"/>
  <c r="AP720" i="1"/>
  <c r="AO720" i="1"/>
  <c r="AM720" i="1"/>
  <c r="AL720" i="1"/>
  <c r="AK720" i="1"/>
  <c r="AJ720" i="1"/>
  <c r="AH720" i="1"/>
  <c r="AG720" i="1"/>
  <c r="AF720" i="1"/>
  <c r="AE720" i="1"/>
  <c r="AC720" i="1"/>
  <c r="AB720" i="1"/>
  <c r="AA720" i="1"/>
  <c r="Z720" i="1"/>
  <c r="X720" i="1"/>
  <c r="W720" i="1"/>
  <c r="V720" i="1"/>
  <c r="U720" i="1"/>
  <c r="S720" i="1"/>
  <c r="R720" i="1"/>
  <c r="Q720" i="1"/>
  <c r="P720" i="1"/>
  <c r="N720" i="1"/>
  <c r="M720" i="1"/>
  <c r="L720" i="1"/>
  <c r="K720" i="1"/>
  <c r="AW719" i="1"/>
  <c r="AV719" i="1"/>
  <c r="AU719" i="1"/>
  <c r="AT719" i="1"/>
  <c r="AR719" i="1"/>
  <c r="AQ719" i="1"/>
  <c r="AP719" i="1"/>
  <c r="AO719" i="1"/>
  <c r="AM719" i="1"/>
  <c r="AL719" i="1"/>
  <c r="AK719" i="1"/>
  <c r="AJ719" i="1"/>
  <c r="AH719" i="1"/>
  <c r="AG719" i="1"/>
  <c r="AF719" i="1"/>
  <c r="AE719" i="1"/>
  <c r="AC719" i="1"/>
  <c r="AB719" i="1"/>
  <c r="AA719" i="1"/>
  <c r="Z719" i="1"/>
  <c r="X719" i="1"/>
  <c r="W719" i="1"/>
  <c r="V719" i="1"/>
  <c r="U719" i="1"/>
  <c r="S719" i="1"/>
  <c r="R719" i="1"/>
  <c r="Q719" i="1"/>
  <c r="P719" i="1"/>
  <c r="N719" i="1"/>
  <c r="M719" i="1"/>
  <c r="L719" i="1"/>
  <c r="K719" i="1"/>
  <c r="AW718" i="1"/>
  <c r="AV718" i="1"/>
  <c r="AU718" i="1"/>
  <c r="AT718" i="1"/>
  <c r="AR718" i="1"/>
  <c r="AQ718" i="1"/>
  <c r="AP718" i="1"/>
  <c r="AO718" i="1"/>
  <c r="AM718" i="1"/>
  <c r="AL718" i="1"/>
  <c r="AK718" i="1"/>
  <c r="AJ718" i="1"/>
  <c r="AH718" i="1"/>
  <c r="AG718" i="1"/>
  <c r="AF718" i="1"/>
  <c r="AE718" i="1"/>
  <c r="AC718" i="1"/>
  <c r="AB718" i="1"/>
  <c r="AA718" i="1"/>
  <c r="Z718" i="1"/>
  <c r="X718" i="1"/>
  <c r="W718" i="1"/>
  <c r="V718" i="1"/>
  <c r="U718" i="1"/>
  <c r="S718" i="1"/>
  <c r="R718" i="1"/>
  <c r="Q718" i="1"/>
  <c r="P718" i="1"/>
  <c r="N718" i="1"/>
  <c r="M718" i="1"/>
  <c r="L718" i="1"/>
  <c r="K718" i="1"/>
  <c r="AW717" i="1"/>
  <c r="AV717" i="1"/>
  <c r="AU717" i="1"/>
  <c r="AT717" i="1"/>
  <c r="AR717" i="1"/>
  <c r="AQ717" i="1"/>
  <c r="AP717" i="1"/>
  <c r="AO717" i="1"/>
  <c r="AM717" i="1"/>
  <c r="AL717" i="1"/>
  <c r="AK717" i="1"/>
  <c r="AJ717" i="1"/>
  <c r="AH717" i="1"/>
  <c r="AG717" i="1"/>
  <c r="AF717" i="1"/>
  <c r="AE717" i="1"/>
  <c r="AC717" i="1"/>
  <c r="AB717" i="1"/>
  <c r="AA717" i="1"/>
  <c r="Z717" i="1"/>
  <c r="X717" i="1"/>
  <c r="W717" i="1"/>
  <c r="V717" i="1"/>
  <c r="U717" i="1"/>
  <c r="S717" i="1"/>
  <c r="R717" i="1"/>
  <c r="Q717" i="1"/>
  <c r="P717" i="1"/>
  <c r="N717" i="1"/>
  <c r="M717" i="1"/>
  <c r="L717" i="1"/>
  <c r="K717" i="1"/>
  <c r="AW716" i="1"/>
  <c r="AV716" i="1"/>
  <c r="AU716" i="1"/>
  <c r="AT716" i="1"/>
  <c r="AR716" i="1"/>
  <c r="AQ716" i="1"/>
  <c r="AP716" i="1"/>
  <c r="AO716" i="1"/>
  <c r="AM716" i="1"/>
  <c r="AL716" i="1"/>
  <c r="AK716" i="1"/>
  <c r="AJ716" i="1"/>
  <c r="AH716" i="1"/>
  <c r="AG716" i="1"/>
  <c r="AF716" i="1"/>
  <c r="AE716" i="1"/>
  <c r="AC716" i="1"/>
  <c r="AB716" i="1"/>
  <c r="AA716" i="1"/>
  <c r="Z716" i="1"/>
  <c r="X716" i="1"/>
  <c r="W716" i="1"/>
  <c r="V716" i="1"/>
  <c r="U716" i="1"/>
  <c r="S716" i="1"/>
  <c r="R716" i="1"/>
  <c r="Q716" i="1"/>
  <c r="P716" i="1"/>
  <c r="N716" i="1"/>
  <c r="M716" i="1"/>
  <c r="L716" i="1"/>
  <c r="K716" i="1"/>
  <c r="AW715" i="1"/>
  <c r="AV715" i="1"/>
  <c r="AU715" i="1"/>
  <c r="AT715" i="1"/>
  <c r="AR715" i="1"/>
  <c r="AQ715" i="1"/>
  <c r="AP715" i="1"/>
  <c r="AO715" i="1"/>
  <c r="AM715" i="1"/>
  <c r="AL715" i="1"/>
  <c r="AK715" i="1"/>
  <c r="AJ715" i="1"/>
  <c r="AH715" i="1"/>
  <c r="AG715" i="1"/>
  <c r="AF715" i="1"/>
  <c r="AE715" i="1"/>
  <c r="AC715" i="1"/>
  <c r="AB715" i="1"/>
  <c r="AA715" i="1"/>
  <c r="Z715" i="1"/>
  <c r="X715" i="1"/>
  <c r="W715" i="1"/>
  <c r="V715" i="1"/>
  <c r="U715" i="1"/>
  <c r="S715" i="1"/>
  <c r="R715" i="1"/>
  <c r="Q715" i="1"/>
  <c r="P715" i="1"/>
  <c r="N715" i="1"/>
  <c r="M715" i="1"/>
  <c r="L715" i="1"/>
  <c r="K715" i="1"/>
  <c r="AW714" i="1"/>
  <c r="AV714" i="1"/>
  <c r="AU714" i="1"/>
  <c r="AT714" i="1"/>
  <c r="AR714" i="1"/>
  <c r="AQ714" i="1"/>
  <c r="AP714" i="1"/>
  <c r="AO714" i="1"/>
  <c r="AM714" i="1"/>
  <c r="AL714" i="1"/>
  <c r="AK714" i="1"/>
  <c r="AJ714" i="1"/>
  <c r="AH714" i="1"/>
  <c r="AG714" i="1"/>
  <c r="AF714" i="1"/>
  <c r="AE714" i="1"/>
  <c r="AC714" i="1"/>
  <c r="AB714" i="1"/>
  <c r="AA714" i="1"/>
  <c r="Z714" i="1"/>
  <c r="X714" i="1"/>
  <c r="W714" i="1"/>
  <c r="V714" i="1"/>
  <c r="U714" i="1"/>
  <c r="S714" i="1"/>
  <c r="R714" i="1"/>
  <c r="Q714" i="1"/>
  <c r="P714" i="1"/>
  <c r="N714" i="1"/>
  <c r="M714" i="1"/>
  <c r="L714" i="1"/>
  <c r="K714" i="1"/>
  <c r="AW713" i="1"/>
  <c r="AV713" i="1"/>
  <c r="AU713" i="1"/>
  <c r="AT713" i="1"/>
  <c r="AR713" i="1"/>
  <c r="AQ713" i="1"/>
  <c r="AP713" i="1"/>
  <c r="AO713" i="1"/>
  <c r="AM713" i="1"/>
  <c r="AL713" i="1"/>
  <c r="AK713" i="1"/>
  <c r="AJ713" i="1"/>
  <c r="AH713" i="1"/>
  <c r="AG713" i="1"/>
  <c r="AF713" i="1"/>
  <c r="AE713" i="1"/>
  <c r="AC713" i="1"/>
  <c r="AB713" i="1"/>
  <c r="AA713" i="1"/>
  <c r="Z713" i="1"/>
  <c r="X713" i="1"/>
  <c r="W713" i="1"/>
  <c r="V713" i="1"/>
  <c r="U713" i="1"/>
  <c r="S713" i="1"/>
  <c r="R713" i="1"/>
  <c r="Q713" i="1"/>
  <c r="P713" i="1"/>
  <c r="N713" i="1"/>
  <c r="M713" i="1"/>
  <c r="L713" i="1"/>
  <c r="K713" i="1"/>
  <c r="AW712" i="1"/>
  <c r="AV712" i="1"/>
  <c r="AU712" i="1"/>
  <c r="AT712" i="1"/>
  <c r="AR712" i="1"/>
  <c r="AQ712" i="1"/>
  <c r="AP712" i="1"/>
  <c r="AO712" i="1"/>
  <c r="AM712" i="1"/>
  <c r="AL712" i="1"/>
  <c r="AK712" i="1"/>
  <c r="AJ712" i="1"/>
  <c r="AH712" i="1"/>
  <c r="AG712" i="1"/>
  <c r="AF712" i="1"/>
  <c r="AE712" i="1"/>
  <c r="AC712" i="1"/>
  <c r="AB712" i="1"/>
  <c r="AA712" i="1"/>
  <c r="Z712" i="1"/>
  <c r="X712" i="1"/>
  <c r="W712" i="1"/>
  <c r="V712" i="1"/>
  <c r="U712" i="1"/>
  <c r="S712" i="1"/>
  <c r="R712" i="1"/>
  <c r="Q712" i="1"/>
  <c r="P712" i="1"/>
  <c r="N712" i="1"/>
  <c r="M712" i="1"/>
  <c r="L712" i="1"/>
  <c r="K712" i="1"/>
  <c r="AW711" i="1"/>
  <c r="AV711" i="1"/>
  <c r="AU711" i="1"/>
  <c r="AT711" i="1"/>
  <c r="AR711" i="1"/>
  <c r="AQ711" i="1"/>
  <c r="AP711" i="1"/>
  <c r="AO711" i="1"/>
  <c r="AM711" i="1"/>
  <c r="AL711" i="1"/>
  <c r="AK711" i="1"/>
  <c r="AJ711" i="1"/>
  <c r="AH711" i="1"/>
  <c r="AG711" i="1"/>
  <c r="AF711" i="1"/>
  <c r="AE711" i="1"/>
  <c r="AC711" i="1"/>
  <c r="AB711" i="1"/>
  <c r="AA711" i="1"/>
  <c r="Z711" i="1"/>
  <c r="X711" i="1"/>
  <c r="W711" i="1"/>
  <c r="V711" i="1"/>
  <c r="U711" i="1"/>
  <c r="S711" i="1"/>
  <c r="R711" i="1"/>
  <c r="Q711" i="1"/>
  <c r="P711" i="1"/>
  <c r="N711" i="1"/>
  <c r="M711" i="1"/>
  <c r="L711" i="1"/>
  <c r="K711" i="1"/>
  <c r="AW710" i="1"/>
  <c r="AV710" i="1"/>
  <c r="AU710" i="1"/>
  <c r="AT710" i="1"/>
  <c r="AR710" i="1"/>
  <c r="AQ710" i="1"/>
  <c r="AP710" i="1"/>
  <c r="AO710" i="1"/>
  <c r="AM710" i="1"/>
  <c r="AL710" i="1"/>
  <c r="AK710" i="1"/>
  <c r="AJ710" i="1"/>
  <c r="AH710" i="1"/>
  <c r="AG710" i="1"/>
  <c r="AF710" i="1"/>
  <c r="AE710" i="1"/>
  <c r="AC710" i="1"/>
  <c r="AB710" i="1"/>
  <c r="AA710" i="1"/>
  <c r="Z710" i="1"/>
  <c r="X710" i="1"/>
  <c r="W710" i="1"/>
  <c r="V710" i="1"/>
  <c r="U710" i="1"/>
  <c r="S710" i="1"/>
  <c r="R710" i="1"/>
  <c r="Q710" i="1"/>
  <c r="P710" i="1"/>
  <c r="N710" i="1"/>
  <c r="M710" i="1"/>
  <c r="L710" i="1"/>
  <c r="K710" i="1"/>
  <c r="AW709" i="1"/>
  <c r="AV709" i="1"/>
  <c r="AU709" i="1"/>
  <c r="AT709" i="1"/>
  <c r="AR709" i="1"/>
  <c r="AQ709" i="1"/>
  <c r="AP709" i="1"/>
  <c r="AO709" i="1"/>
  <c r="AM709" i="1"/>
  <c r="AL709" i="1"/>
  <c r="AK709" i="1"/>
  <c r="AJ709" i="1"/>
  <c r="AH709" i="1"/>
  <c r="AG709" i="1"/>
  <c r="AF709" i="1"/>
  <c r="AE709" i="1"/>
  <c r="AC709" i="1"/>
  <c r="AB709" i="1"/>
  <c r="AA709" i="1"/>
  <c r="Z709" i="1"/>
  <c r="X709" i="1"/>
  <c r="W709" i="1"/>
  <c r="V709" i="1"/>
  <c r="U709" i="1"/>
  <c r="S709" i="1"/>
  <c r="R709" i="1"/>
  <c r="Q709" i="1"/>
  <c r="P709" i="1"/>
  <c r="N709" i="1"/>
  <c r="M709" i="1"/>
  <c r="L709" i="1"/>
  <c r="K709" i="1"/>
  <c r="AW708" i="1"/>
  <c r="AV708" i="1"/>
  <c r="AU708" i="1"/>
  <c r="AT708" i="1"/>
  <c r="AR708" i="1"/>
  <c r="AQ708" i="1"/>
  <c r="AP708" i="1"/>
  <c r="AO708" i="1"/>
  <c r="AM708" i="1"/>
  <c r="AL708" i="1"/>
  <c r="AK708" i="1"/>
  <c r="AJ708" i="1"/>
  <c r="AH708" i="1"/>
  <c r="AG708" i="1"/>
  <c r="AF708" i="1"/>
  <c r="AE708" i="1"/>
  <c r="AC708" i="1"/>
  <c r="AB708" i="1"/>
  <c r="AA708" i="1"/>
  <c r="Z708" i="1"/>
  <c r="X708" i="1"/>
  <c r="W708" i="1"/>
  <c r="V708" i="1"/>
  <c r="U708" i="1"/>
  <c r="S708" i="1"/>
  <c r="R708" i="1"/>
  <c r="Q708" i="1"/>
  <c r="P708" i="1"/>
  <c r="N708" i="1"/>
  <c r="M708" i="1"/>
  <c r="L708" i="1"/>
  <c r="K708" i="1"/>
  <c r="AW707" i="1"/>
  <c r="AV707" i="1"/>
  <c r="AU707" i="1"/>
  <c r="AT707" i="1"/>
  <c r="AR707" i="1"/>
  <c r="AQ707" i="1"/>
  <c r="AP707" i="1"/>
  <c r="AO707" i="1"/>
  <c r="AM707" i="1"/>
  <c r="AL707" i="1"/>
  <c r="AK707" i="1"/>
  <c r="AJ707" i="1"/>
  <c r="AH707" i="1"/>
  <c r="AG707" i="1"/>
  <c r="AF707" i="1"/>
  <c r="AE707" i="1"/>
  <c r="AC707" i="1"/>
  <c r="AB707" i="1"/>
  <c r="AA707" i="1"/>
  <c r="Z707" i="1"/>
  <c r="X707" i="1"/>
  <c r="W707" i="1"/>
  <c r="V707" i="1"/>
  <c r="U707" i="1"/>
  <c r="S707" i="1"/>
  <c r="R707" i="1"/>
  <c r="Q707" i="1"/>
  <c r="P707" i="1"/>
  <c r="N707" i="1"/>
  <c r="M707" i="1"/>
  <c r="L707" i="1"/>
  <c r="K707" i="1"/>
  <c r="AW706" i="1"/>
  <c r="AV706" i="1"/>
  <c r="AU706" i="1"/>
  <c r="AT706" i="1"/>
  <c r="AR706" i="1"/>
  <c r="AQ706" i="1"/>
  <c r="AP706" i="1"/>
  <c r="AO706" i="1"/>
  <c r="AM706" i="1"/>
  <c r="AL706" i="1"/>
  <c r="AK706" i="1"/>
  <c r="AJ706" i="1"/>
  <c r="AH706" i="1"/>
  <c r="AG706" i="1"/>
  <c r="AF706" i="1"/>
  <c r="AE706" i="1"/>
  <c r="AC706" i="1"/>
  <c r="AB706" i="1"/>
  <c r="AA706" i="1"/>
  <c r="Z706" i="1"/>
  <c r="X706" i="1"/>
  <c r="W706" i="1"/>
  <c r="V706" i="1"/>
  <c r="U706" i="1"/>
  <c r="S706" i="1"/>
  <c r="R706" i="1"/>
  <c r="Q706" i="1"/>
  <c r="P706" i="1"/>
  <c r="N706" i="1"/>
  <c r="M706" i="1"/>
  <c r="L706" i="1"/>
  <c r="K706" i="1"/>
  <c r="AW705" i="1"/>
  <c r="AV705" i="1"/>
  <c r="AU705" i="1"/>
  <c r="AT705" i="1"/>
  <c r="AR705" i="1"/>
  <c r="AQ705" i="1"/>
  <c r="AP705" i="1"/>
  <c r="AO705" i="1"/>
  <c r="AM705" i="1"/>
  <c r="AL705" i="1"/>
  <c r="AK705" i="1"/>
  <c r="AJ705" i="1"/>
  <c r="AH705" i="1"/>
  <c r="AG705" i="1"/>
  <c r="AF705" i="1"/>
  <c r="AE705" i="1"/>
  <c r="AC705" i="1"/>
  <c r="AB705" i="1"/>
  <c r="AA705" i="1"/>
  <c r="Z705" i="1"/>
  <c r="X705" i="1"/>
  <c r="W705" i="1"/>
  <c r="V705" i="1"/>
  <c r="U705" i="1"/>
  <c r="S705" i="1"/>
  <c r="R705" i="1"/>
  <c r="Q705" i="1"/>
  <c r="P705" i="1"/>
  <c r="N705" i="1"/>
  <c r="M705" i="1"/>
  <c r="L705" i="1"/>
  <c r="K705" i="1"/>
  <c r="AW704" i="1"/>
  <c r="AV704" i="1"/>
  <c r="AU704" i="1"/>
  <c r="AT704" i="1"/>
  <c r="AR704" i="1"/>
  <c r="AQ704" i="1"/>
  <c r="AP704" i="1"/>
  <c r="AO704" i="1"/>
  <c r="AM704" i="1"/>
  <c r="AL704" i="1"/>
  <c r="AK704" i="1"/>
  <c r="AJ704" i="1"/>
  <c r="AH704" i="1"/>
  <c r="AG704" i="1"/>
  <c r="AF704" i="1"/>
  <c r="AE704" i="1"/>
  <c r="AC704" i="1"/>
  <c r="AB704" i="1"/>
  <c r="AA704" i="1"/>
  <c r="Z704" i="1"/>
  <c r="X704" i="1"/>
  <c r="W704" i="1"/>
  <c r="V704" i="1"/>
  <c r="U704" i="1"/>
  <c r="S704" i="1"/>
  <c r="R704" i="1"/>
  <c r="Q704" i="1"/>
  <c r="P704" i="1"/>
  <c r="N704" i="1"/>
  <c r="M704" i="1"/>
  <c r="L704" i="1"/>
  <c r="K704" i="1"/>
  <c r="AW703" i="1"/>
  <c r="AV703" i="1"/>
  <c r="AU703" i="1"/>
  <c r="AT703" i="1"/>
  <c r="AR703" i="1"/>
  <c r="AQ703" i="1"/>
  <c r="AP703" i="1"/>
  <c r="AO703" i="1"/>
  <c r="AM703" i="1"/>
  <c r="AL703" i="1"/>
  <c r="AK703" i="1"/>
  <c r="AJ703" i="1"/>
  <c r="AH703" i="1"/>
  <c r="AG703" i="1"/>
  <c r="AF703" i="1"/>
  <c r="AE703" i="1"/>
  <c r="AC703" i="1"/>
  <c r="AB703" i="1"/>
  <c r="AA703" i="1"/>
  <c r="Z703" i="1"/>
  <c r="X703" i="1"/>
  <c r="W703" i="1"/>
  <c r="V703" i="1"/>
  <c r="U703" i="1"/>
  <c r="S703" i="1"/>
  <c r="R703" i="1"/>
  <c r="Q703" i="1"/>
  <c r="P703" i="1"/>
  <c r="N703" i="1"/>
  <c r="M703" i="1"/>
  <c r="L703" i="1"/>
  <c r="K703" i="1"/>
  <c r="AW702" i="1"/>
  <c r="AV702" i="1"/>
  <c r="AU702" i="1"/>
  <c r="AT702" i="1"/>
  <c r="AR702" i="1"/>
  <c r="AQ702" i="1"/>
  <c r="AP702" i="1"/>
  <c r="AO702" i="1"/>
  <c r="AM702" i="1"/>
  <c r="AL702" i="1"/>
  <c r="AK702" i="1"/>
  <c r="AJ702" i="1"/>
  <c r="AH702" i="1"/>
  <c r="AG702" i="1"/>
  <c r="AF702" i="1"/>
  <c r="AE702" i="1"/>
  <c r="AC702" i="1"/>
  <c r="AB702" i="1"/>
  <c r="AA702" i="1"/>
  <c r="Z702" i="1"/>
  <c r="X702" i="1"/>
  <c r="W702" i="1"/>
  <c r="V702" i="1"/>
  <c r="U702" i="1"/>
  <c r="S702" i="1"/>
  <c r="R702" i="1"/>
  <c r="Q702" i="1"/>
  <c r="P702" i="1"/>
  <c r="N702" i="1"/>
  <c r="M702" i="1"/>
  <c r="L702" i="1"/>
  <c r="K702" i="1"/>
  <c r="AW701" i="1"/>
  <c r="AV701" i="1"/>
  <c r="AU701" i="1"/>
  <c r="AT701" i="1"/>
  <c r="AR701" i="1"/>
  <c r="AQ701" i="1"/>
  <c r="AP701" i="1"/>
  <c r="AO701" i="1"/>
  <c r="AM701" i="1"/>
  <c r="AL701" i="1"/>
  <c r="AK701" i="1"/>
  <c r="AJ701" i="1"/>
  <c r="AH701" i="1"/>
  <c r="AG701" i="1"/>
  <c r="AF701" i="1"/>
  <c r="AE701" i="1"/>
  <c r="AC701" i="1"/>
  <c r="AB701" i="1"/>
  <c r="AA701" i="1"/>
  <c r="Z701" i="1"/>
  <c r="X701" i="1"/>
  <c r="W701" i="1"/>
  <c r="V701" i="1"/>
  <c r="U701" i="1"/>
  <c r="S701" i="1"/>
  <c r="R701" i="1"/>
  <c r="Q701" i="1"/>
  <c r="P701" i="1"/>
  <c r="N701" i="1"/>
  <c r="M701" i="1"/>
  <c r="L701" i="1"/>
  <c r="K701" i="1"/>
  <c r="AW700" i="1"/>
  <c r="AV700" i="1"/>
  <c r="AU700" i="1"/>
  <c r="AT700" i="1"/>
  <c r="AR700" i="1"/>
  <c r="AQ700" i="1"/>
  <c r="AP700" i="1"/>
  <c r="AO700" i="1"/>
  <c r="AM700" i="1"/>
  <c r="AL700" i="1"/>
  <c r="AK700" i="1"/>
  <c r="AJ700" i="1"/>
  <c r="AH700" i="1"/>
  <c r="AG700" i="1"/>
  <c r="AF700" i="1"/>
  <c r="AE700" i="1"/>
  <c r="AC700" i="1"/>
  <c r="AB700" i="1"/>
  <c r="AA700" i="1"/>
  <c r="Z700" i="1"/>
  <c r="X700" i="1"/>
  <c r="W700" i="1"/>
  <c r="V700" i="1"/>
  <c r="U700" i="1"/>
  <c r="S700" i="1"/>
  <c r="R700" i="1"/>
  <c r="Q700" i="1"/>
  <c r="P700" i="1"/>
  <c r="N700" i="1"/>
  <c r="M700" i="1"/>
  <c r="L700" i="1"/>
  <c r="K700" i="1"/>
  <c r="AW699" i="1"/>
  <c r="AV699" i="1"/>
  <c r="AU699" i="1"/>
  <c r="AT699" i="1"/>
  <c r="AR699" i="1"/>
  <c r="AQ699" i="1"/>
  <c r="AP699" i="1"/>
  <c r="AO699" i="1"/>
  <c r="AM699" i="1"/>
  <c r="AL699" i="1"/>
  <c r="AK699" i="1"/>
  <c r="AJ699" i="1"/>
  <c r="AH699" i="1"/>
  <c r="AG699" i="1"/>
  <c r="AF699" i="1"/>
  <c r="AE699" i="1"/>
  <c r="AC699" i="1"/>
  <c r="AB699" i="1"/>
  <c r="AA699" i="1"/>
  <c r="Z699" i="1"/>
  <c r="X699" i="1"/>
  <c r="W699" i="1"/>
  <c r="V699" i="1"/>
  <c r="U699" i="1"/>
  <c r="S699" i="1"/>
  <c r="R699" i="1"/>
  <c r="Q699" i="1"/>
  <c r="P699" i="1"/>
  <c r="N699" i="1"/>
  <c r="M699" i="1"/>
  <c r="L699" i="1"/>
  <c r="K699" i="1"/>
  <c r="AW698" i="1"/>
  <c r="AV698" i="1"/>
  <c r="AU698" i="1"/>
  <c r="AT698" i="1"/>
  <c r="AR698" i="1"/>
  <c r="AQ698" i="1"/>
  <c r="AP698" i="1"/>
  <c r="AO698" i="1"/>
  <c r="AM698" i="1"/>
  <c r="AL698" i="1"/>
  <c r="AK698" i="1"/>
  <c r="AJ698" i="1"/>
  <c r="AH698" i="1"/>
  <c r="AG698" i="1"/>
  <c r="AF698" i="1"/>
  <c r="AE698" i="1"/>
  <c r="AC698" i="1"/>
  <c r="AB698" i="1"/>
  <c r="AA698" i="1"/>
  <c r="Z698" i="1"/>
  <c r="X698" i="1"/>
  <c r="W698" i="1"/>
  <c r="V698" i="1"/>
  <c r="U698" i="1"/>
  <c r="S698" i="1"/>
  <c r="R698" i="1"/>
  <c r="Q698" i="1"/>
  <c r="P698" i="1"/>
  <c r="N698" i="1"/>
  <c r="M698" i="1"/>
  <c r="L698" i="1"/>
  <c r="K698" i="1"/>
  <c r="AW697" i="1"/>
  <c r="AV697" i="1"/>
  <c r="AU697" i="1"/>
  <c r="AT697" i="1"/>
  <c r="AR697" i="1"/>
  <c r="AQ697" i="1"/>
  <c r="AP697" i="1"/>
  <c r="AO697" i="1"/>
  <c r="AM697" i="1"/>
  <c r="AL697" i="1"/>
  <c r="AK697" i="1"/>
  <c r="AJ697" i="1"/>
  <c r="AH697" i="1"/>
  <c r="AG697" i="1"/>
  <c r="AF697" i="1"/>
  <c r="AE697" i="1"/>
  <c r="AC697" i="1"/>
  <c r="AB697" i="1"/>
  <c r="AA697" i="1"/>
  <c r="Z697" i="1"/>
  <c r="X697" i="1"/>
  <c r="W697" i="1"/>
  <c r="V697" i="1"/>
  <c r="U697" i="1"/>
  <c r="S697" i="1"/>
  <c r="R697" i="1"/>
  <c r="Q697" i="1"/>
  <c r="P697" i="1"/>
  <c r="N697" i="1"/>
  <c r="M697" i="1"/>
  <c r="L697" i="1"/>
  <c r="K697" i="1"/>
  <c r="AW696" i="1"/>
  <c r="AV696" i="1"/>
  <c r="AU696" i="1"/>
  <c r="AT696" i="1"/>
  <c r="AR696" i="1"/>
  <c r="AQ696" i="1"/>
  <c r="AP696" i="1"/>
  <c r="AO696" i="1"/>
  <c r="AM696" i="1"/>
  <c r="AL696" i="1"/>
  <c r="AK696" i="1"/>
  <c r="AJ696" i="1"/>
  <c r="AH696" i="1"/>
  <c r="AG696" i="1"/>
  <c r="AF696" i="1"/>
  <c r="AE696" i="1"/>
  <c r="AC696" i="1"/>
  <c r="AB696" i="1"/>
  <c r="AA696" i="1"/>
  <c r="Z696" i="1"/>
  <c r="X696" i="1"/>
  <c r="W696" i="1"/>
  <c r="V696" i="1"/>
  <c r="U696" i="1"/>
  <c r="S696" i="1"/>
  <c r="R696" i="1"/>
  <c r="Q696" i="1"/>
  <c r="P696" i="1"/>
  <c r="N696" i="1"/>
  <c r="M696" i="1"/>
  <c r="L696" i="1"/>
  <c r="K696" i="1"/>
  <c r="AW695" i="1"/>
  <c r="AV695" i="1"/>
  <c r="AU695" i="1"/>
  <c r="AT695" i="1"/>
  <c r="AR695" i="1"/>
  <c r="AQ695" i="1"/>
  <c r="AP695" i="1"/>
  <c r="AO695" i="1"/>
  <c r="AM695" i="1"/>
  <c r="AL695" i="1"/>
  <c r="AK695" i="1"/>
  <c r="AJ695" i="1"/>
  <c r="AH695" i="1"/>
  <c r="AG695" i="1"/>
  <c r="AF695" i="1"/>
  <c r="AE695" i="1"/>
  <c r="AC695" i="1"/>
  <c r="AB695" i="1"/>
  <c r="AA695" i="1"/>
  <c r="Z695" i="1"/>
  <c r="X695" i="1"/>
  <c r="W695" i="1"/>
  <c r="V695" i="1"/>
  <c r="U695" i="1"/>
  <c r="S695" i="1"/>
  <c r="R695" i="1"/>
  <c r="Q695" i="1"/>
  <c r="P695" i="1"/>
  <c r="N695" i="1"/>
  <c r="M695" i="1"/>
  <c r="L695" i="1"/>
  <c r="K695" i="1"/>
  <c r="AW694" i="1"/>
  <c r="AV694" i="1"/>
  <c r="AU694" i="1"/>
  <c r="AT694" i="1"/>
  <c r="AR694" i="1"/>
  <c r="AQ694" i="1"/>
  <c r="AP694" i="1"/>
  <c r="AO694" i="1"/>
  <c r="AM694" i="1"/>
  <c r="AL694" i="1"/>
  <c r="AK694" i="1"/>
  <c r="AJ694" i="1"/>
  <c r="AH694" i="1"/>
  <c r="AG694" i="1"/>
  <c r="AF694" i="1"/>
  <c r="AE694" i="1"/>
  <c r="AC694" i="1"/>
  <c r="AB694" i="1"/>
  <c r="AA694" i="1"/>
  <c r="Z694" i="1"/>
  <c r="X694" i="1"/>
  <c r="W694" i="1"/>
  <c r="V694" i="1"/>
  <c r="U694" i="1"/>
  <c r="S694" i="1"/>
  <c r="R694" i="1"/>
  <c r="Q694" i="1"/>
  <c r="P694" i="1"/>
  <c r="N694" i="1"/>
  <c r="M694" i="1"/>
  <c r="L694" i="1"/>
  <c r="K694" i="1"/>
  <c r="AW693" i="1"/>
  <c r="AV693" i="1"/>
  <c r="AU693" i="1"/>
  <c r="AT693" i="1"/>
  <c r="AR693" i="1"/>
  <c r="AQ693" i="1"/>
  <c r="AP693" i="1"/>
  <c r="AO693" i="1"/>
  <c r="AM693" i="1"/>
  <c r="AL693" i="1"/>
  <c r="AK693" i="1"/>
  <c r="AJ693" i="1"/>
  <c r="AH693" i="1"/>
  <c r="AG693" i="1"/>
  <c r="AF693" i="1"/>
  <c r="AE693" i="1"/>
  <c r="AC693" i="1"/>
  <c r="AB693" i="1"/>
  <c r="AA693" i="1"/>
  <c r="Z693" i="1"/>
  <c r="X693" i="1"/>
  <c r="W693" i="1"/>
  <c r="V693" i="1"/>
  <c r="U693" i="1"/>
  <c r="S693" i="1"/>
  <c r="R693" i="1"/>
  <c r="Q693" i="1"/>
  <c r="P693" i="1"/>
  <c r="N693" i="1"/>
  <c r="M693" i="1"/>
  <c r="L693" i="1"/>
  <c r="K693" i="1"/>
  <c r="AW692" i="1"/>
  <c r="AV692" i="1"/>
  <c r="AU692" i="1"/>
  <c r="AT692" i="1"/>
  <c r="AR692" i="1"/>
  <c r="AQ692" i="1"/>
  <c r="AP692" i="1"/>
  <c r="AO692" i="1"/>
  <c r="AM692" i="1"/>
  <c r="AL692" i="1"/>
  <c r="AK692" i="1"/>
  <c r="AJ692" i="1"/>
  <c r="AH692" i="1"/>
  <c r="AG692" i="1"/>
  <c r="AF692" i="1"/>
  <c r="AE692" i="1"/>
  <c r="AC692" i="1"/>
  <c r="AB692" i="1"/>
  <c r="AA692" i="1"/>
  <c r="Z692" i="1"/>
  <c r="X692" i="1"/>
  <c r="W692" i="1"/>
  <c r="V692" i="1"/>
  <c r="U692" i="1"/>
  <c r="S692" i="1"/>
  <c r="R692" i="1"/>
  <c r="Q692" i="1"/>
  <c r="P692" i="1"/>
  <c r="N692" i="1"/>
  <c r="M692" i="1"/>
  <c r="L692" i="1"/>
  <c r="K692" i="1"/>
  <c r="AW691" i="1"/>
  <c r="AV691" i="1"/>
  <c r="AU691" i="1"/>
  <c r="AT691" i="1"/>
  <c r="AR691" i="1"/>
  <c r="AQ691" i="1"/>
  <c r="AP691" i="1"/>
  <c r="AO691" i="1"/>
  <c r="AM691" i="1"/>
  <c r="AL691" i="1"/>
  <c r="AK691" i="1"/>
  <c r="AJ691" i="1"/>
  <c r="AH691" i="1"/>
  <c r="AG691" i="1"/>
  <c r="AF691" i="1"/>
  <c r="AE691" i="1"/>
  <c r="AC691" i="1"/>
  <c r="AB691" i="1"/>
  <c r="AA691" i="1"/>
  <c r="Z691" i="1"/>
  <c r="X691" i="1"/>
  <c r="W691" i="1"/>
  <c r="V691" i="1"/>
  <c r="U691" i="1"/>
  <c r="S691" i="1"/>
  <c r="R691" i="1"/>
  <c r="Q691" i="1"/>
  <c r="P691" i="1"/>
  <c r="N691" i="1"/>
  <c r="M691" i="1"/>
  <c r="L691" i="1"/>
  <c r="K691" i="1"/>
  <c r="AW690" i="1"/>
  <c r="AV690" i="1"/>
  <c r="AU690" i="1"/>
  <c r="AT690" i="1"/>
  <c r="AR690" i="1"/>
  <c r="AQ690" i="1"/>
  <c r="AP690" i="1"/>
  <c r="AO690" i="1"/>
  <c r="AM690" i="1"/>
  <c r="AL690" i="1"/>
  <c r="AK690" i="1"/>
  <c r="AJ690" i="1"/>
  <c r="AH690" i="1"/>
  <c r="AG690" i="1"/>
  <c r="AF690" i="1"/>
  <c r="AE690" i="1"/>
  <c r="AC690" i="1"/>
  <c r="AB690" i="1"/>
  <c r="AA690" i="1"/>
  <c r="Z690" i="1"/>
  <c r="X690" i="1"/>
  <c r="W690" i="1"/>
  <c r="V690" i="1"/>
  <c r="U690" i="1"/>
  <c r="S690" i="1"/>
  <c r="R690" i="1"/>
  <c r="Q690" i="1"/>
  <c r="P690" i="1"/>
  <c r="N690" i="1"/>
  <c r="M690" i="1"/>
  <c r="L690" i="1"/>
  <c r="K690" i="1"/>
  <c r="AW689" i="1"/>
  <c r="AV689" i="1"/>
  <c r="AU689" i="1"/>
  <c r="AT689" i="1"/>
  <c r="AR689" i="1"/>
  <c r="AQ689" i="1"/>
  <c r="AP689" i="1"/>
  <c r="AO689" i="1"/>
  <c r="AM689" i="1"/>
  <c r="AL689" i="1"/>
  <c r="AK689" i="1"/>
  <c r="AJ689" i="1"/>
  <c r="AH689" i="1"/>
  <c r="AG689" i="1"/>
  <c r="AF689" i="1"/>
  <c r="AE689" i="1"/>
  <c r="AC689" i="1"/>
  <c r="AB689" i="1"/>
  <c r="AA689" i="1"/>
  <c r="Z689" i="1"/>
  <c r="X689" i="1"/>
  <c r="W689" i="1"/>
  <c r="V689" i="1"/>
  <c r="U689" i="1"/>
  <c r="S689" i="1"/>
  <c r="R689" i="1"/>
  <c r="Q689" i="1"/>
  <c r="P689" i="1"/>
  <c r="N689" i="1"/>
  <c r="M689" i="1"/>
  <c r="L689" i="1"/>
  <c r="K689" i="1"/>
  <c r="AW688" i="1"/>
  <c r="AV688" i="1"/>
  <c r="AU688" i="1"/>
  <c r="AT688" i="1"/>
  <c r="AR688" i="1"/>
  <c r="AQ688" i="1"/>
  <c r="AP688" i="1"/>
  <c r="AO688" i="1"/>
  <c r="AM688" i="1"/>
  <c r="AL688" i="1"/>
  <c r="AK688" i="1"/>
  <c r="AJ688" i="1"/>
  <c r="AH688" i="1"/>
  <c r="AG688" i="1"/>
  <c r="AF688" i="1"/>
  <c r="AE688" i="1"/>
  <c r="AC688" i="1"/>
  <c r="AB688" i="1"/>
  <c r="AA688" i="1"/>
  <c r="Z688" i="1"/>
  <c r="X688" i="1"/>
  <c r="W688" i="1"/>
  <c r="V688" i="1"/>
  <c r="U688" i="1"/>
  <c r="S688" i="1"/>
  <c r="R688" i="1"/>
  <c r="Q688" i="1"/>
  <c r="P688" i="1"/>
  <c r="N688" i="1"/>
  <c r="M688" i="1"/>
  <c r="L688" i="1"/>
  <c r="K688" i="1"/>
  <c r="AW687" i="1"/>
  <c r="AV687" i="1"/>
  <c r="AU687" i="1"/>
  <c r="AT687" i="1"/>
  <c r="AR687" i="1"/>
  <c r="AQ687" i="1"/>
  <c r="AP687" i="1"/>
  <c r="AO687" i="1"/>
  <c r="AM687" i="1"/>
  <c r="AL687" i="1"/>
  <c r="AK687" i="1"/>
  <c r="AJ687" i="1"/>
  <c r="AH687" i="1"/>
  <c r="AG687" i="1"/>
  <c r="AF687" i="1"/>
  <c r="AE687" i="1"/>
  <c r="AC687" i="1"/>
  <c r="AB687" i="1"/>
  <c r="AA687" i="1"/>
  <c r="Z687" i="1"/>
  <c r="X687" i="1"/>
  <c r="W687" i="1"/>
  <c r="V687" i="1"/>
  <c r="U687" i="1"/>
  <c r="S687" i="1"/>
  <c r="R687" i="1"/>
  <c r="Q687" i="1"/>
  <c r="P687" i="1"/>
  <c r="N687" i="1"/>
  <c r="M687" i="1"/>
  <c r="L687" i="1"/>
  <c r="K687" i="1"/>
  <c r="AW686" i="1"/>
  <c r="AV686" i="1"/>
  <c r="AU686" i="1"/>
  <c r="AT686" i="1"/>
  <c r="AR686" i="1"/>
  <c r="AQ686" i="1"/>
  <c r="AP686" i="1"/>
  <c r="AO686" i="1"/>
  <c r="AM686" i="1"/>
  <c r="AL686" i="1"/>
  <c r="AK686" i="1"/>
  <c r="AJ686" i="1"/>
  <c r="AH686" i="1"/>
  <c r="AG686" i="1"/>
  <c r="AF686" i="1"/>
  <c r="AE686" i="1"/>
  <c r="AC686" i="1"/>
  <c r="AB686" i="1"/>
  <c r="AA686" i="1"/>
  <c r="Z686" i="1"/>
  <c r="X686" i="1"/>
  <c r="W686" i="1"/>
  <c r="V686" i="1"/>
  <c r="U686" i="1"/>
  <c r="S686" i="1"/>
  <c r="R686" i="1"/>
  <c r="Q686" i="1"/>
  <c r="P686" i="1"/>
  <c r="N686" i="1"/>
  <c r="M686" i="1"/>
  <c r="L686" i="1"/>
  <c r="K686" i="1"/>
  <c r="AW685" i="1"/>
  <c r="AV685" i="1"/>
  <c r="AU685" i="1"/>
  <c r="AT685" i="1"/>
  <c r="AR685" i="1"/>
  <c r="AQ685" i="1"/>
  <c r="AP685" i="1"/>
  <c r="AO685" i="1"/>
  <c r="AM685" i="1"/>
  <c r="AL685" i="1"/>
  <c r="AK685" i="1"/>
  <c r="AJ685" i="1"/>
  <c r="AH685" i="1"/>
  <c r="AG685" i="1"/>
  <c r="AF685" i="1"/>
  <c r="AE685" i="1"/>
  <c r="AC685" i="1"/>
  <c r="AB685" i="1"/>
  <c r="AA685" i="1"/>
  <c r="Z685" i="1"/>
  <c r="X685" i="1"/>
  <c r="W685" i="1"/>
  <c r="V685" i="1"/>
  <c r="U685" i="1"/>
  <c r="S685" i="1"/>
  <c r="R685" i="1"/>
  <c r="Q685" i="1"/>
  <c r="P685" i="1"/>
  <c r="N685" i="1"/>
  <c r="M685" i="1"/>
  <c r="L685" i="1"/>
  <c r="K685" i="1"/>
  <c r="AW684" i="1"/>
  <c r="AV684" i="1"/>
  <c r="AU684" i="1"/>
  <c r="AT684" i="1"/>
  <c r="AR684" i="1"/>
  <c r="AQ684" i="1"/>
  <c r="AP684" i="1"/>
  <c r="AO684" i="1"/>
  <c r="AM684" i="1"/>
  <c r="AL684" i="1"/>
  <c r="AK684" i="1"/>
  <c r="AJ684" i="1"/>
  <c r="AH684" i="1"/>
  <c r="AG684" i="1"/>
  <c r="AF684" i="1"/>
  <c r="AE684" i="1"/>
  <c r="AC684" i="1"/>
  <c r="AB684" i="1"/>
  <c r="AA684" i="1"/>
  <c r="Z684" i="1"/>
  <c r="X684" i="1"/>
  <c r="W684" i="1"/>
  <c r="V684" i="1"/>
  <c r="U684" i="1"/>
  <c r="S684" i="1"/>
  <c r="R684" i="1"/>
  <c r="Q684" i="1"/>
  <c r="P684" i="1"/>
  <c r="N684" i="1"/>
  <c r="M684" i="1"/>
  <c r="L684" i="1"/>
  <c r="K684" i="1"/>
  <c r="AW683" i="1"/>
  <c r="AV683" i="1"/>
  <c r="AU683" i="1"/>
  <c r="AT683" i="1"/>
  <c r="AR683" i="1"/>
  <c r="AQ683" i="1"/>
  <c r="AP683" i="1"/>
  <c r="AO683" i="1"/>
  <c r="AM683" i="1"/>
  <c r="AL683" i="1"/>
  <c r="AK683" i="1"/>
  <c r="AJ683" i="1"/>
  <c r="AH683" i="1"/>
  <c r="AG683" i="1"/>
  <c r="AF683" i="1"/>
  <c r="AE683" i="1"/>
  <c r="AC683" i="1"/>
  <c r="AB683" i="1"/>
  <c r="AA683" i="1"/>
  <c r="Z683" i="1"/>
  <c r="X683" i="1"/>
  <c r="W683" i="1"/>
  <c r="V683" i="1"/>
  <c r="U683" i="1"/>
  <c r="S683" i="1"/>
  <c r="R683" i="1"/>
  <c r="Q683" i="1"/>
  <c r="P683" i="1"/>
  <c r="N683" i="1"/>
  <c r="M683" i="1"/>
  <c r="L683" i="1"/>
  <c r="K683" i="1"/>
  <c r="AW682" i="1"/>
  <c r="AV682" i="1"/>
  <c r="AU682" i="1"/>
  <c r="AT682" i="1"/>
  <c r="AR682" i="1"/>
  <c r="AQ682" i="1"/>
  <c r="AP682" i="1"/>
  <c r="AO682" i="1"/>
  <c r="AM682" i="1"/>
  <c r="AL682" i="1"/>
  <c r="AK682" i="1"/>
  <c r="AJ682" i="1"/>
  <c r="AH682" i="1"/>
  <c r="AG682" i="1"/>
  <c r="AF682" i="1"/>
  <c r="AE682" i="1"/>
  <c r="AC682" i="1"/>
  <c r="AB682" i="1"/>
  <c r="AA682" i="1"/>
  <c r="Z682" i="1"/>
  <c r="X682" i="1"/>
  <c r="W682" i="1"/>
  <c r="V682" i="1"/>
  <c r="U682" i="1"/>
  <c r="S682" i="1"/>
  <c r="R682" i="1"/>
  <c r="Q682" i="1"/>
  <c r="P682" i="1"/>
  <c r="N682" i="1"/>
  <c r="M682" i="1"/>
  <c r="L682" i="1"/>
  <c r="K682" i="1"/>
  <c r="AW681" i="1"/>
  <c r="AV681" i="1"/>
  <c r="AU681" i="1"/>
  <c r="AT681" i="1"/>
  <c r="AR681" i="1"/>
  <c r="AQ681" i="1"/>
  <c r="AP681" i="1"/>
  <c r="AO681" i="1"/>
  <c r="AM681" i="1"/>
  <c r="AL681" i="1"/>
  <c r="AK681" i="1"/>
  <c r="AJ681" i="1"/>
  <c r="AH681" i="1"/>
  <c r="AG681" i="1"/>
  <c r="AF681" i="1"/>
  <c r="AE681" i="1"/>
  <c r="AC681" i="1"/>
  <c r="AB681" i="1"/>
  <c r="AA681" i="1"/>
  <c r="Z681" i="1"/>
  <c r="X681" i="1"/>
  <c r="W681" i="1"/>
  <c r="V681" i="1"/>
  <c r="U681" i="1"/>
  <c r="S681" i="1"/>
  <c r="R681" i="1"/>
  <c r="Q681" i="1"/>
  <c r="P681" i="1"/>
  <c r="N681" i="1"/>
  <c r="M681" i="1"/>
  <c r="L681" i="1"/>
  <c r="K681" i="1"/>
  <c r="AW680" i="1"/>
  <c r="AV680" i="1"/>
  <c r="AU680" i="1"/>
  <c r="AT680" i="1"/>
  <c r="AR680" i="1"/>
  <c r="AQ680" i="1"/>
  <c r="AP680" i="1"/>
  <c r="AO680" i="1"/>
  <c r="AM680" i="1"/>
  <c r="AL680" i="1"/>
  <c r="AK680" i="1"/>
  <c r="AJ680" i="1"/>
  <c r="AH680" i="1"/>
  <c r="AG680" i="1"/>
  <c r="AF680" i="1"/>
  <c r="AE680" i="1"/>
  <c r="AC680" i="1"/>
  <c r="AB680" i="1"/>
  <c r="AA680" i="1"/>
  <c r="Z680" i="1"/>
  <c r="X680" i="1"/>
  <c r="W680" i="1"/>
  <c r="V680" i="1"/>
  <c r="U680" i="1"/>
  <c r="S680" i="1"/>
  <c r="R680" i="1"/>
  <c r="Q680" i="1"/>
  <c r="P680" i="1"/>
  <c r="N680" i="1"/>
  <c r="M680" i="1"/>
  <c r="L680" i="1"/>
  <c r="K680" i="1"/>
  <c r="AW679" i="1"/>
  <c r="AV679" i="1"/>
  <c r="AU679" i="1"/>
  <c r="AT679" i="1"/>
  <c r="AR679" i="1"/>
  <c r="AQ679" i="1"/>
  <c r="AP679" i="1"/>
  <c r="AO679" i="1"/>
  <c r="AM679" i="1"/>
  <c r="AL679" i="1"/>
  <c r="AK679" i="1"/>
  <c r="AJ679" i="1"/>
  <c r="AH679" i="1"/>
  <c r="AG679" i="1"/>
  <c r="AF679" i="1"/>
  <c r="AE679" i="1"/>
  <c r="AC679" i="1"/>
  <c r="AB679" i="1"/>
  <c r="AA679" i="1"/>
  <c r="Z679" i="1"/>
  <c r="X679" i="1"/>
  <c r="W679" i="1"/>
  <c r="V679" i="1"/>
  <c r="U679" i="1"/>
  <c r="S679" i="1"/>
  <c r="R679" i="1"/>
  <c r="Q679" i="1"/>
  <c r="P679" i="1"/>
  <c r="N679" i="1"/>
  <c r="M679" i="1"/>
  <c r="L679" i="1"/>
  <c r="K679" i="1"/>
  <c r="AW678" i="1"/>
  <c r="AV678" i="1"/>
  <c r="AU678" i="1"/>
  <c r="AT678" i="1"/>
  <c r="AR678" i="1"/>
  <c r="AQ678" i="1"/>
  <c r="AP678" i="1"/>
  <c r="AO678" i="1"/>
  <c r="AM678" i="1"/>
  <c r="AL678" i="1"/>
  <c r="AK678" i="1"/>
  <c r="AJ678" i="1"/>
  <c r="AH678" i="1"/>
  <c r="AG678" i="1"/>
  <c r="AF678" i="1"/>
  <c r="AE678" i="1"/>
  <c r="AC678" i="1"/>
  <c r="AB678" i="1"/>
  <c r="AA678" i="1"/>
  <c r="Z678" i="1"/>
  <c r="X678" i="1"/>
  <c r="W678" i="1"/>
  <c r="V678" i="1"/>
  <c r="U678" i="1"/>
  <c r="S678" i="1"/>
  <c r="R678" i="1"/>
  <c r="Q678" i="1"/>
  <c r="P678" i="1"/>
  <c r="N678" i="1"/>
  <c r="M678" i="1"/>
  <c r="L678" i="1"/>
  <c r="K678" i="1"/>
  <c r="AW677" i="1"/>
  <c r="AV677" i="1"/>
  <c r="AU677" i="1"/>
  <c r="AT677" i="1"/>
  <c r="AR677" i="1"/>
  <c r="AQ677" i="1"/>
  <c r="AP677" i="1"/>
  <c r="AO677" i="1"/>
  <c r="AM677" i="1"/>
  <c r="AL677" i="1"/>
  <c r="AK677" i="1"/>
  <c r="AJ677" i="1"/>
  <c r="AH677" i="1"/>
  <c r="AG677" i="1"/>
  <c r="AF677" i="1"/>
  <c r="AE677" i="1"/>
  <c r="AC677" i="1"/>
  <c r="AB677" i="1"/>
  <c r="AA677" i="1"/>
  <c r="Z677" i="1"/>
  <c r="X677" i="1"/>
  <c r="W677" i="1"/>
  <c r="V677" i="1"/>
  <c r="U677" i="1"/>
  <c r="S677" i="1"/>
  <c r="R677" i="1"/>
  <c r="Q677" i="1"/>
  <c r="P677" i="1"/>
  <c r="N677" i="1"/>
  <c r="M677" i="1"/>
  <c r="L677" i="1"/>
  <c r="K677" i="1"/>
  <c r="AW676" i="1"/>
  <c r="AV676" i="1"/>
  <c r="AU676" i="1"/>
  <c r="AT676" i="1"/>
  <c r="AR676" i="1"/>
  <c r="AQ676" i="1"/>
  <c r="AP676" i="1"/>
  <c r="AO676" i="1"/>
  <c r="AM676" i="1"/>
  <c r="AL676" i="1"/>
  <c r="AK676" i="1"/>
  <c r="AJ676" i="1"/>
  <c r="AH676" i="1"/>
  <c r="AG676" i="1"/>
  <c r="AF676" i="1"/>
  <c r="AE676" i="1"/>
  <c r="AC676" i="1"/>
  <c r="AB676" i="1"/>
  <c r="AA676" i="1"/>
  <c r="Z676" i="1"/>
  <c r="X676" i="1"/>
  <c r="W676" i="1"/>
  <c r="V676" i="1"/>
  <c r="U676" i="1"/>
  <c r="S676" i="1"/>
  <c r="R676" i="1"/>
  <c r="Q676" i="1"/>
  <c r="P676" i="1"/>
  <c r="N676" i="1"/>
  <c r="M676" i="1"/>
  <c r="L676" i="1"/>
  <c r="K676" i="1"/>
  <c r="AW675" i="1"/>
  <c r="AV675" i="1"/>
  <c r="AU675" i="1"/>
  <c r="AT675" i="1"/>
  <c r="AR675" i="1"/>
  <c r="AQ675" i="1"/>
  <c r="AP675" i="1"/>
  <c r="AO675" i="1"/>
  <c r="AM675" i="1"/>
  <c r="AL675" i="1"/>
  <c r="AK675" i="1"/>
  <c r="AJ675" i="1"/>
  <c r="AH675" i="1"/>
  <c r="AG675" i="1"/>
  <c r="AF675" i="1"/>
  <c r="AE675" i="1"/>
  <c r="AC675" i="1"/>
  <c r="AB675" i="1"/>
  <c r="AA675" i="1"/>
  <c r="Z675" i="1"/>
  <c r="X675" i="1"/>
  <c r="W675" i="1"/>
  <c r="V675" i="1"/>
  <c r="U675" i="1"/>
  <c r="S675" i="1"/>
  <c r="R675" i="1"/>
  <c r="Q675" i="1"/>
  <c r="P675" i="1"/>
  <c r="N675" i="1"/>
  <c r="M675" i="1"/>
  <c r="L675" i="1"/>
  <c r="K675" i="1"/>
  <c r="AW674" i="1"/>
  <c r="AV674" i="1"/>
  <c r="AU674" i="1"/>
  <c r="AT674" i="1"/>
  <c r="AR674" i="1"/>
  <c r="AQ674" i="1"/>
  <c r="AP674" i="1"/>
  <c r="AO674" i="1"/>
  <c r="AM674" i="1"/>
  <c r="AL674" i="1"/>
  <c r="AK674" i="1"/>
  <c r="AJ674" i="1"/>
  <c r="AH674" i="1"/>
  <c r="AG674" i="1"/>
  <c r="AF674" i="1"/>
  <c r="AE674" i="1"/>
  <c r="AC674" i="1"/>
  <c r="AB674" i="1"/>
  <c r="AA674" i="1"/>
  <c r="Z674" i="1"/>
  <c r="X674" i="1"/>
  <c r="W674" i="1"/>
  <c r="V674" i="1"/>
  <c r="U674" i="1"/>
  <c r="S674" i="1"/>
  <c r="R674" i="1"/>
  <c r="Q674" i="1"/>
  <c r="P674" i="1"/>
  <c r="N674" i="1"/>
  <c r="M674" i="1"/>
  <c r="L674" i="1"/>
  <c r="K674" i="1"/>
  <c r="AW673" i="1"/>
  <c r="AV673" i="1"/>
  <c r="AU673" i="1"/>
  <c r="AT673" i="1"/>
  <c r="AR673" i="1"/>
  <c r="AQ673" i="1"/>
  <c r="AP673" i="1"/>
  <c r="AO673" i="1"/>
  <c r="AM673" i="1"/>
  <c r="AL673" i="1"/>
  <c r="AK673" i="1"/>
  <c r="AJ673" i="1"/>
  <c r="AH673" i="1"/>
  <c r="AG673" i="1"/>
  <c r="AF673" i="1"/>
  <c r="AE673" i="1"/>
  <c r="AC673" i="1"/>
  <c r="AB673" i="1"/>
  <c r="AA673" i="1"/>
  <c r="Z673" i="1"/>
  <c r="X673" i="1"/>
  <c r="W673" i="1"/>
  <c r="V673" i="1"/>
  <c r="U673" i="1"/>
  <c r="S673" i="1"/>
  <c r="R673" i="1"/>
  <c r="Q673" i="1"/>
  <c r="P673" i="1"/>
  <c r="N673" i="1"/>
  <c r="M673" i="1"/>
  <c r="L673" i="1"/>
  <c r="K673" i="1"/>
  <c r="AW672" i="1"/>
  <c r="AV672" i="1"/>
  <c r="AU672" i="1"/>
  <c r="AT672" i="1"/>
  <c r="AR672" i="1"/>
  <c r="AQ672" i="1"/>
  <c r="AP672" i="1"/>
  <c r="AO672" i="1"/>
  <c r="AM672" i="1"/>
  <c r="AL672" i="1"/>
  <c r="AK672" i="1"/>
  <c r="AJ672" i="1"/>
  <c r="AH672" i="1"/>
  <c r="AG672" i="1"/>
  <c r="AF672" i="1"/>
  <c r="AE672" i="1"/>
  <c r="AC672" i="1"/>
  <c r="AB672" i="1"/>
  <c r="AA672" i="1"/>
  <c r="Z672" i="1"/>
  <c r="X672" i="1"/>
  <c r="W672" i="1"/>
  <c r="V672" i="1"/>
  <c r="U672" i="1"/>
  <c r="S672" i="1"/>
  <c r="R672" i="1"/>
  <c r="Q672" i="1"/>
  <c r="P672" i="1"/>
  <c r="N672" i="1"/>
  <c r="M672" i="1"/>
  <c r="L672" i="1"/>
  <c r="K672" i="1"/>
  <c r="AW671" i="1"/>
  <c r="AV671" i="1"/>
  <c r="AU671" i="1"/>
  <c r="AT671" i="1"/>
  <c r="AR671" i="1"/>
  <c r="AQ671" i="1"/>
  <c r="AP671" i="1"/>
  <c r="AO671" i="1"/>
  <c r="AM671" i="1"/>
  <c r="AL671" i="1"/>
  <c r="AK671" i="1"/>
  <c r="AJ671" i="1"/>
  <c r="AH671" i="1"/>
  <c r="AG671" i="1"/>
  <c r="AF671" i="1"/>
  <c r="AE671" i="1"/>
  <c r="AC671" i="1"/>
  <c r="AB671" i="1"/>
  <c r="AA671" i="1"/>
  <c r="Z671" i="1"/>
  <c r="X671" i="1"/>
  <c r="W671" i="1"/>
  <c r="V671" i="1"/>
  <c r="U671" i="1"/>
  <c r="S671" i="1"/>
  <c r="R671" i="1"/>
  <c r="Q671" i="1"/>
  <c r="P671" i="1"/>
  <c r="N671" i="1"/>
  <c r="M671" i="1"/>
  <c r="L671" i="1"/>
  <c r="K671" i="1"/>
  <c r="AW670" i="1"/>
  <c r="AV670" i="1"/>
  <c r="AU670" i="1"/>
  <c r="AT670" i="1"/>
  <c r="AR670" i="1"/>
  <c r="AQ670" i="1"/>
  <c r="AP670" i="1"/>
  <c r="AO670" i="1"/>
  <c r="AM670" i="1"/>
  <c r="AL670" i="1"/>
  <c r="AK670" i="1"/>
  <c r="AJ670" i="1"/>
  <c r="AH670" i="1"/>
  <c r="AG670" i="1"/>
  <c r="AF670" i="1"/>
  <c r="AE670" i="1"/>
  <c r="AC670" i="1"/>
  <c r="AB670" i="1"/>
  <c r="AA670" i="1"/>
  <c r="Z670" i="1"/>
  <c r="X670" i="1"/>
  <c r="W670" i="1"/>
  <c r="V670" i="1"/>
  <c r="U670" i="1"/>
  <c r="S670" i="1"/>
  <c r="R670" i="1"/>
  <c r="Q670" i="1"/>
  <c r="P670" i="1"/>
  <c r="N670" i="1"/>
  <c r="M670" i="1"/>
  <c r="L670" i="1"/>
  <c r="K670" i="1"/>
  <c r="AW669" i="1"/>
  <c r="AV669" i="1"/>
  <c r="AU669" i="1"/>
  <c r="AT669" i="1"/>
  <c r="AR669" i="1"/>
  <c r="AQ669" i="1"/>
  <c r="AP669" i="1"/>
  <c r="AO669" i="1"/>
  <c r="AM669" i="1"/>
  <c r="AL669" i="1"/>
  <c r="AK669" i="1"/>
  <c r="AJ669" i="1"/>
  <c r="AH669" i="1"/>
  <c r="AG669" i="1"/>
  <c r="AF669" i="1"/>
  <c r="AE669" i="1"/>
  <c r="AC669" i="1"/>
  <c r="AB669" i="1"/>
  <c r="AA669" i="1"/>
  <c r="Z669" i="1"/>
  <c r="X669" i="1"/>
  <c r="W669" i="1"/>
  <c r="V669" i="1"/>
  <c r="U669" i="1"/>
  <c r="S669" i="1"/>
  <c r="R669" i="1"/>
  <c r="Q669" i="1"/>
  <c r="P669" i="1"/>
  <c r="N669" i="1"/>
  <c r="M669" i="1"/>
  <c r="L669" i="1"/>
  <c r="K669" i="1"/>
  <c r="AW668" i="1"/>
  <c r="AV668" i="1"/>
  <c r="AU668" i="1"/>
  <c r="AT668" i="1"/>
  <c r="AR668" i="1"/>
  <c r="AQ668" i="1"/>
  <c r="AP668" i="1"/>
  <c r="AO668" i="1"/>
  <c r="AM668" i="1"/>
  <c r="AL668" i="1"/>
  <c r="AK668" i="1"/>
  <c r="AJ668" i="1"/>
  <c r="AH668" i="1"/>
  <c r="AG668" i="1"/>
  <c r="AF668" i="1"/>
  <c r="AE668" i="1"/>
  <c r="AC668" i="1"/>
  <c r="AB668" i="1"/>
  <c r="AA668" i="1"/>
  <c r="Z668" i="1"/>
  <c r="X668" i="1"/>
  <c r="W668" i="1"/>
  <c r="V668" i="1"/>
  <c r="U668" i="1"/>
  <c r="S668" i="1"/>
  <c r="R668" i="1"/>
  <c r="Q668" i="1"/>
  <c r="P668" i="1"/>
  <c r="N668" i="1"/>
  <c r="M668" i="1"/>
  <c r="L668" i="1"/>
  <c r="K668" i="1"/>
  <c r="AW667" i="1"/>
  <c r="AV667" i="1"/>
  <c r="AU667" i="1"/>
  <c r="AT667" i="1"/>
  <c r="AR667" i="1"/>
  <c r="AQ667" i="1"/>
  <c r="AP667" i="1"/>
  <c r="AO667" i="1"/>
  <c r="AM667" i="1"/>
  <c r="AL667" i="1"/>
  <c r="AK667" i="1"/>
  <c r="AJ667" i="1"/>
  <c r="AH667" i="1"/>
  <c r="AG667" i="1"/>
  <c r="AF667" i="1"/>
  <c r="AE667" i="1"/>
  <c r="AC667" i="1"/>
  <c r="AB667" i="1"/>
  <c r="AA667" i="1"/>
  <c r="Z667" i="1"/>
  <c r="X667" i="1"/>
  <c r="W667" i="1"/>
  <c r="V667" i="1"/>
  <c r="U667" i="1"/>
  <c r="S667" i="1"/>
  <c r="R667" i="1"/>
  <c r="Q667" i="1"/>
  <c r="P667" i="1"/>
  <c r="N667" i="1"/>
  <c r="M667" i="1"/>
  <c r="L667" i="1"/>
  <c r="K667" i="1"/>
  <c r="AW666" i="1"/>
  <c r="AV666" i="1"/>
  <c r="AU666" i="1"/>
  <c r="AT666" i="1"/>
  <c r="AR666" i="1"/>
  <c r="AQ666" i="1"/>
  <c r="AP666" i="1"/>
  <c r="AO666" i="1"/>
  <c r="AM666" i="1"/>
  <c r="AL666" i="1"/>
  <c r="AK666" i="1"/>
  <c r="AJ666" i="1"/>
  <c r="AH666" i="1"/>
  <c r="AG666" i="1"/>
  <c r="AF666" i="1"/>
  <c r="AE666" i="1"/>
  <c r="AC666" i="1"/>
  <c r="AB666" i="1"/>
  <c r="AA666" i="1"/>
  <c r="Z666" i="1"/>
  <c r="X666" i="1"/>
  <c r="W666" i="1"/>
  <c r="V666" i="1"/>
  <c r="U666" i="1"/>
  <c r="S666" i="1"/>
  <c r="R666" i="1"/>
  <c r="Q666" i="1"/>
  <c r="P666" i="1"/>
  <c r="N666" i="1"/>
  <c r="M666" i="1"/>
  <c r="L666" i="1"/>
  <c r="K666" i="1"/>
  <c r="AW665" i="1"/>
  <c r="AV665" i="1"/>
  <c r="AU665" i="1"/>
  <c r="AT665" i="1"/>
  <c r="AR665" i="1"/>
  <c r="AQ665" i="1"/>
  <c r="AP665" i="1"/>
  <c r="AO665" i="1"/>
  <c r="AM665" i="1"/>
  <c r="AL665" i="1"/>
  <c r="AK665" i="1"/>
  <c r="AJ665" i="1"/>
  <c r="AH665" i="1"/>
  <c r="AG665" i="1"/>
  <c r="AF665" i="1"/>
  <c r="AE665" i="1"/>
  <c r="AC665" i="1"/>
  <c r="AB665" i="1"/>
  <c r="AA665" i="1"/>
  <c r="Z665" i="1"/>
  <c r="X665" i="1"/>
  <c r="W665" i="1"/>
  <c r="V665" i="1"/>
  <c r="U665" i="1"/>
  <c r="S665" i="1"/>
  <c r="R665" i="1"/>
  <c r="Q665" i="1"/>
  <c r="P665" i="1"/>
  <c r="N665" i="1"/>
  <c r="M665" i="1"/>
  <c r="L665" i="1"/>
  <c r="K665" i="1"/>
  <c r="AW664" i="1"/>
  <c r="AV664" i="1"/>
  <c r="AU664" i="1"/>
  <c r="AT664" i="1"/>
  <c r="AR664" i="1"/>
  <c r="AQ664" i="1"/>
  <c r="AP664" i="1"/>
  <c r="AO664" i="1"/>
  <c r="AM664" i="1"/>
  <c r="AL664" i="1"/>
  <c r="AK664" i="1"/>
  <c r="AJ664" i="1"/>
  <c r="AH664" i="1"/>
  <c r="AG664" i="1"/>
  <c r="AF664" i="1"/>
  <c r="AE664" i="1"/>
  <c r="AC664" i="1"/>
  <c r="AB664" i="1"/>
  <c r="AA664" i="1"/>
  <c r="Z664" i="1"/>
  <c r="X664" i="1"/>
  <c r="W664" i="1"/>
  <c r="V664" i="1"/>
  <c r="U664" i="1"/>
  <c r="S664" i="1"/>
  <c r="R664" i="1"/>
  <c r="Q664" i="1"/>
  <c r="P664" i="1"/>
  <c r="N664" i="1"/>
  <c r="M664" i="1"/>
  <c r="L664" i="1"/>
  <c r="K664" i="1"/>
  <c r="AW663" i="1"/>
  <c r="AV663" i="1"/>
  <c r="AU663" i="1"/>
  <c r="AT663" i="1"/>
  <c r="AR663" i="1"/>
  <c r="AQ663" i="1"/>
  <c r="AP663" i="1"/>
  <c r="AO663" i="1"/>
  <c r="AM663" i="1"/>
  <c r="AL663" i="1"/>
  <c r="AK663" i="1"/>
  <c r="AJ663" i="1"/>
  <c r="AH663" i="1"/>
  <c r="AG663" i="1"/>
  <c r="AF663" i="1"/>
  <c r="AE663" i="1"/>
  <c r="AC663" i="1"/>
  <c r="AB663" i="1"/>
  <c r="AA663" i="1"/>
  <c r="Z663" i="1"/>
  <c r="X663" i="1"/>
  <c r="W663" i="1"/>
  <c r="V663" i="1"/>
  <c r="U663" i="1"/>
  <c r="S663" i="1"/>
  <c r="R663" i="1"/>
  <c r="Q663" i="1"/>
  <c r="P663" i="1"/>
  <c r="N663" i="1"/>
  <c r="M663" i="1"/>
  <c r="L663" i="1"/>
  <c r="K663" i="1"/>
  <c r="AW662" i="1"/>
  <c r="AV662" i="1"/>
  <c r="AU662" i="1"/>
  <c r="AT662" i="1"/>
  <c r="AR662" i="1"/>
  <c r="AQ662" i="1"/>
  <c r="AP662" i="1"/>
  <c r="AO662" i="1"/>
  <c r="AM662" i="1"/>
  <c r="AL662" i="1"/>
  <c r="AK662" i="1"/>
  <c r="AJ662" i="1"/>
  <c r="AH662" i="1"/>
  <c r="AG662" i="1"/>
  <c r="AF662" i="1"/>
  <c r="AE662" i="1"/>
  <c r="AC662" i="1"/>
  <c r="AB662" i="1"/>
  <c r="AA662" i="1"/>
  <c r="Z662" i="1"/>
  <c r="X662" i="1"/>
  <c r="W662" i="1"/>
  <c r="V662" i="1"/>
  <c r="U662" i="1"/>
  <c r="S662" i="1"/>
  <c r="R662" i="1"/>
  <c r="Q662" i="1"/>
  <c r="P662" i="1"/>
  <c r="N662" i="1"/>
  <c r="M662" i="1"/>
  <c r="L662" i="1"/>
  <c r="K662" i="1"/>
  <c r="AW661" i="1"/>
  <c r="AV661" i="1"/>
  <c r="AU661" i="1"/>
  <c r="AT661" i="1"/>
  <c r="AR661" i="1"/>
  <c r="AQ661" i="1"/>
  <c r="AP661" i="1"/>
  <c r="AO661" i="1"/>
  <c r="AM661" i="1"/>
  <c r="AL661" i="1"/>
  <c r="AK661" i="1"/>
  <c r="AJ661" i="1"/>
  <c r="AH661" i="1"/>
  <c r="AG661" i="1"/>
  <c r="AF661" i="1"/>
  <c r="AE661" i="1"/>
  <c r="AC661" i="1"/>
  <c r="AB661" i="1"/>
  <c r="AA661" i="1"/>
  <c r="Z661" i="1"/>
  <c r="X661" i="1"/>
  <c r="W661" i="1"/>
  <c r="V661" i="1"/>
  <c r="U661" i="1"/>
  <c r="S661" i="1"/>
  <c r="R661" i="1"/>
  <c r="Q661" i="1"/>
  <c r="P661" i="1"/>
  <c r="N661" i="1"/>
  <c r="M661" i="1"/>
  <c r="L661" i="1"/>
  <c r="K661" i="1"/>
  <c r="AW660" i="1"/>
  <c r="AV660" i="1"/>
  <c r="AU660" i="1"/>
  <c r="AT660" i="1"/>
  <c r="AR660" i="1"/>
  <c r="AQ660" i="1"/>
  <c r="AP660" i="1"/>
  <c r="AO660" i="1"/>
  <c r="AM660" i="1"/>
  <c r="AL660" i="1"/>
  <c r="AK660" i="1"/>
  <c r="AJ660" i="1"/>
  <c r="AH660" i="1"/>
  <c r="AG660" i="1"/>
  <c r="AF660" i="1"/>
  <c r="AE660" i="1"/>
  <c r="AC660" i="1"/>
  <c r="AB660" i="1"/>
  <c r="AA660" i="1"/>
  <c r="Z660" i="1"/>
  <c r="X660" i="1"/>
  <c r="W660" i="1"/>
  <c r="V660" i="1"/>
  <c r="U660" i="1"/>
  <c r="S660" i="1"/>
  <c r="R660" i="1"/>
  <c r="Q660" i="1"/>
  <c r="P660" i="1"/>
  <c r="N660" i="1"/>
  <c r="M660" i="1"/>
  <c r="L660" i="1"/>
  <c r="K660" i="1"/>
  <c r="AW659" i="1"/>
  <c r="AV659" i="1"/>
  <c r="AU659" i="1"/>
  <c r="AT659" i="1"/>
  <c r="AR659" i="1"/>
  <c r="AQ659" i="1"/>
  <c r="AP659" i="1"/>
  <c r="AO659" i="1"/>
  <c r="AM659" i="1"/>
  <c r="AL659" i="1"/>
  <c r="AK659" i="1"/>
  <c r="AJ659" i="1"/>
  <c r="AH659" i="1"/>
  <c r="AG659" i="1"/>
  <c r="AF659" i="1"/>
  <c r="AE659" i="1"/>
  <c r="AC659" i="1"/>
  <c r="AB659" i="1"/>
  <c r="AA659" i="1"/>
  <c r="Z659" i="1"/>
  <c r="X659" i="1"/>
  <c r="W659" i="1"/>
  <c r="V659" i="1"/>
  <c r="U659" i="1"/>
  <c r="S659" i="1"/>
  <c r="R659" i="1"/>
  <c r="Q659" i="1"/>
  <c r="P659" i="1"/>
  <c r="N659" i="1"/>
  <c r="M659" i="1"/>
  <c r="L659" i="1"/>
  <c r="K659" i="1"/>
  <c r="AW658" i="1"/>
  <c r="AV658" i="1"/>
  <c r="AU658" i="1"/>
  <c r="AT658" i="1"/>
  <c r="AR658" i="1"/>
  <c r="AQ658" i="1"/>
  <c r="AP658" i="1"/>
  <c r="AO658" i="1"/>
  <c r="AM658" i="1"/>
  <c r="AL658" i="1"/>
  <c r="AK658" i="1"/>
  <c r="AJ658" i="1"/>
  <c r="AH658" i="1"/>
  <c r="AG658" i="1"/>
  <c r="AF658" i="1"/>
  <c r="AE658" i="1"/>
  <c r="AC658" i="1"/>
  <c r="AB658" i="1"/>
  <c r="AA658" i="1"/>
  <c r="Z658" i="1"/>
  <c r="X658" i="1"/>
  <c r="W658" i="1"/>
  <c r="V658" i="1"/>
  <c r="U658" i="1"/>
  <c r="S658" i="1"/>
  <c r="R658" i="1"/>
  <c r="Q658" i="1"/>
  <c r="P658" i="1"/>
  <c r="N658" i="1"/>
  <c r="M658" i="1"/>
  <c r="L658" i="1"/>
  <c r="K658" i="1"/>
  <c r="AW657" i="1"/>
  <c r="AV657" i="1"/>
  <c r="AU657" i="1"/>
  <c r="AT657" i="1"/>
  <c r="AR657" i="1"/>
  <c r="AQ657" i="1"/>
  <c r="AP657" i="1"/>
  <c r="AO657" i="1"/>
  <c r="AM657" i="1"/>
  <c r="AL657" i="1"/>
  <c r="AK657" i="1"/>
  <c r="AJ657" i="1"/>
  <c r="AH657" i="1"/>
  <c r="AG657" i="1"/>
  <c r="AF657" i="1"/>
  <c r="AE657" i="1"/>
  <c r="AC657" i="1"/>
  <c r="AB657" i="1"/>
  <c r="AA657" i="1"/>
  <c r="Z657" i="1"/>
  <c r="X657" i="1"/>
  <c r="W657" i="1"/>
  <c r="V657" i="1"/>
  <c r="U657" i="1"/>
  <c r="S657" i="1"/>
  <c r="R657" i="1"/>
  <c r="Q657" i="1"/>
  <c r="P657" i="1"/>
  <c r="N657" i="1"/>
  <c r="M657" i="1"/>
  <c r="L657" i="1"/>
  <c r="K657" i="1"/>
  <c r="AW656" i="1"/>
  <c r="AV656" i="1"/>
  <c r="AU656" i="1"/>
  <c r="AT656" i="1"/>
  <c r="AR656" i="1"/>
  <c r="AQ656" i="1"/>
  <c r="AP656" i="1"/>
  <c r="AO656" i="1"/>
  <c r="AM656" i="1"/>
  <c r="AL656" i="1"/>
  <c r="AK656" i="1"/>
  <c r="AJ656" i="1"/>
  <c r="AH656" i="1"/>
  <c r="AG656" i="1"/>
  <c r="AF656" i="1"/>
  <c r="AE656" i="1"/>
  <c r="AC656" i="1"/>
  <c r="AB656" i="1"/>
  <c r="AA656" i="1"/>
  <c r="Z656" i="1"/>
  <c r="X656" i="1"/>
  <c r="W656" i="1"/>
  <c r="V656" i="1"/>
  <c r="U656" i="1"/>
  <c r="S656" i="1"/>
  <c r="R656" i="1"/>
  <c r="Q656" i="1"/>
  <c r="P656" i="1"/>
  <c r="N656" i="1"/>
  <c r="M656" i="1"/>
  <c r="L656" i="1"/>
  <c r="K656" i="1"/>
  <c r="AW655" i="1"/>
  <c r="AV655" i="1"/>
  <c r="AU655" i="1"/>
  <c r="AT655" i="1"/>
  <c r="AR655" i="1"/>
  <c r="AQ655" i="1"/>
  <c r="AP655" i="1"/>
  <c r="AO655" i="1"/>
  <c r="AM655" i="1"/>
  <c r="AL655" i="1"/>
  <c r="AK655" i="1"/>
  <c r="AJ655" i="1"/>
  <c r="AH655" i="1"/>
  <c r="AG655" i="1"/>
  <c r="AF655" i="1"/>
  <c r="AE655" i="1"/>
  <c r="AC655" i="1"/>
  <c r="AB655" i="1"/>
  <c r="AA655" i="1"/>
  <c r="Z655" i="1"/>
  <c r="X655" i="1"/>
  <c r="W655" i="1"/>
  <c r="V655" i="1"/>
  <c r="U655" i="1"/>
  <c r="S655" i="1"/>
  <c r="R655" i="1"/>
  <c r="Q655" i="1"/>
  <c r="P655" i="1"/>
  <c r="N655" i="1"/>
  <c r="M655" i="1"/>
  <c r="L655" i="1"/>
  <c r="K655" i="1"/>
  <c r="AW654" i="1"/>
  <c r="AV654" i="1"/>
  <c r="AU654" i="1"/>
  <c r="AT654" i="1"/>
  <c r="AR654" i="1"/>
  <c r="AQ654" i="1"/>
  <c r="AP654" i="1"/>
  <c r="AO654" i="1"/>
  <c r="AM654" i="1"/>
  <c r="AL654" i="1"/>
  <c r="AK654" i="1"/>
  <c r="AJ654" i="1"/>
  <c r="AH654" i="1"/>
  <c r="AG654" i="1"/>
  <c r="AF654" i="1"/>
  <c r="AE654" i="1"/>
  <c r="AC654" i="1"/>
  <c r="AB654" i="1"/>
  <c r="AA654" i="1"/>
  <c r="Z654" i="1"/>
  <c r="X654" i="1"/>
  <c r="W654" i="1"/>
  <c r="V654" i="1"/>
  <c r="U654" i="1"/>
  <c r="S654" i="1"/>
  <c r="R654" i="1"/>
  <c r="Q654" i="1"/>
  <c r="P654" i="1"/>
  <c r="N654" i="1"/>
  <c r="M654" i="1"/>
  <c r="L654" i="1"/>
  <c r="K654" i="1"/>
  <c r="AW653" i="1"/>
  <c r="AV653" i="1"/>
  <c r="AU653" i="1"/>
  <c r="AT653" i="1"/>
  <c r="AR653" i="1"/>
  <c r="AQ653" i="1"/>
  <c r="AP653" i="1"/>
  <c r="AO653" i="1"/>
  <c r="AM653" i="1"/>
  <c r="AL653" i="1"/>
  <c r="AK653" i="1"/>
  <c r="AJ653" i="1"/>
  <c r="AH653" i="1"/>
  <c r="AG653" i="1"/>
  <c r="AF653" i="1"/>
  <c r="AE653" i="1"/>
  <c r="AC653" i="1"/>
  <c r="AB653" i="1"/>
  <c r="AA653" i="1"/>
  <c r="Z653" i="1"/>
  <c r="X653" i="1"/>
  <c r="W653" i="1"/>
  <c r="V653" i="1"/>
  <c r="U653" i="1"/>
  <c r="S653" i="1"/>
  <c r="R653" i="1"/>
  <c r="Q653" i="1"/>
  <c r="P653" i="1"/>
  <c r="N653" i="1"/>
  <c r="M653" i="1"/>
  <c r="L653" i="1"/>
  <c r="K653" i="1"/>
  <c r="AW652" i="1"/>
  <c r="AV652" i="1"/>
  <c r="AU652" i="1"/>
  <c r="AT652" i="1"/>
  <c r="AR652" i="1"/>
  <c r="AQ652" i="1"/>
  <c r="AP652" i="1"/>
  <c r="AO652" i="1"/>
  <c r="AM652" i="1"/>
  <c r="AL652" i="1"/>
  <c r="AK652" i="1"/>
  <c r="AJ652" i="1"/>
  <c r="AH652" i="1"/>
  <c r="AG652" i="1"/>
  <c r="AF652" i="1"/>
  <c r="AE652" i="1"/>
  <c r="AC652" i="1"/>
  <c r="AB652" i="1"/>
  <c r="AA652" i="1"/>
  <c r="Z652" i="1"/>
  <c r="X652" i="1"/>
  <c r="W652" i="1"/>
  <c r="V652" i="1"/>
  <c r="U652" i="1"/>
  <c r="S652" i="1"/>
  <c r="R652" i="1"/>
  <c r="Q652" i="1"/>
  <c r="P652" i="1"/>
  <c r="N652" i="1"/>
  <c r="M652" i="1"/>
  <c r="L652" i="1"/>
  <c r="K652" i="1"/>
  <c r="AW651" i="1"/>
  <c r="AV651" i="1"/>
  <c r="AU651" i="1"/>
  <c r="AT651" i="1"/>
  <c r="AR651" i="1"/>
  <c r="AQ651" i="1"/>
  <c r="AP651" i="1"/>
  <c r="AO651" i="1"/>
  <c r="AM651" i="1"/>
  <c r="AL651" i="1"/>
  <c r="AK651" i="1"/>
  <c r="AJ651" i="1"/>
  <c r="AH651" i="1"/>
  <c r="AG651" i="1"/>
  <c r="AF651" i="1"/>
  <c r="AE651" i="1"/>
  <c r="AC651" i="1"/>
  <c r="AB651" i="1"/>
  <c r="AA651" i="1"/>
  <c r="Z651" i="1"/>
  <c r="X651" i="1"/>
  <c r="W651" i="1"/>
  <c r="V651" i="1"/>
  <c r="U651" i="1"/>
  <c r="S651" i="1"/>
  <c r="R651" i="1"/>
  <c r="Q651" i="1"/>
  <c r="P651" i="1"/>
  <c r="N651" i="1"/>
  <c r="M651" i="1"/>
  <c r="L651" i="1"/>
  <c r="K651" i="1"/>
  <c r="AW650" i="1"/>
  <c r="AV650" i="1"/>
  <c r="AU650" i="1"/>
  <c r="AT650" i="1"/>
  <c r="AR650" i="1"/>
  <c r="AQ650" i="1"/>
  <c r="AP650" i="1"/>
  <c r="AO650" i="1"/>
  <c r="AM650" i="1"/>
  <c r="AL650" i="1"/>
  <c r="AK650" i="1"/>
  <c r="AJ650" i="1"/>
  <c r="AH650" i="1"/>
  <c r="AG650" i="1"/>
  <c r="AF650" i="1"/>
  <c r="AE650" i="1"/>
  <c r="AC650" i="1"/>
  <c r="AB650" i="1"/>
  <c r="AA650" i="1"/>
  <c r="Z650" i="1"/>
  <c r="X650" i="1"/>
  <c r="W650" i="1"/>
  <c r="V650" i="1"/>
  <c r="U650" i="1"/>
  <c r="S650" i="1"/>
  <c r="R650" i="1"/>
  <c r="Q650" i="1"/>
  <c r="P650" i="1"/>
  <c r="N650" i="1"/>
  <c r="M650" i="1"/>
  <c r="L650" i="1"/>
  <c r="K650" i="1"/>
  <c r="AW649" i="1"/>
  <c r="AV649" i="1"/>
  <c r="AU649" i="1"/>
  <c r="AT649" i="1"/>
  <c r="AR649" i="1"/>
  <c r="AQ649" i="1"/>
  <c r="AP649" i="1"/>
  <c r="AO649" i="1"/>
  <c r="AM649" i="1"/>
  <c r="AL649" i="1"/>
  <c r="AK649" i="1"/>
  <c r="AJ649" i="1"/>
  <c r="AH649" i="1"/>
  <c r="AG649" i="1"/>
  <c r="AF649" i="1"/>
  <c r="AE649" i="1"/>
  <c r="AC649" i="1"/>
  <c r="AB649" i="1"/>
  <c r="AA649" i="1"/>
  <c r="Z649" i="1"/>
  <c r="X649" i="1"/>
  <c r="W649" i="1"/>
  <c r="V649" i="1"/>
  <c r="U649" i="1"/>
  <c r="S649" i="1"/>
  <c r="R649" i="1"/>
  <c r="Q649" i="1"/>
  <c r="P649" i="1"/>
  <c r="N649" i="1"/>
  <c r="M649" i="1"/>
  <c r="L649" i="1"/>
  <c r="K649" i="1"/>
  <c r="AW648" i="1"/>
  <c r="AV648" i="1"/>
  <c r="AU648" i="1"/>
  <c r="AT648" i="1"/>
  <c r="AR648" i="1"/>
  <c r="AQ648" i="1"/>
  <c r="AP648" i="1"/>
  <c r="AO648" i="1"/>
  <c r="AM648" i="1"/>
  <c r="AL648" i="1"/>
  <c r="AK648" i="1"/>
  <c r="AJ648" i="1"/>
  <c r="AH648" i="1"/>
  <c r="AG648" i="1"/>
  <c r="AF648" i="1"/>
  <c r="AE648" i="1"/>
  <c r="AC648" i="1"/>
  <c r="AB648" i="1"/>
  <c r="AA648" i="1"/>
  <c r="Z648" i="1"/>
  <c r="X648" i="1"/>
  <c r="W648" i="1"/>
  <c r="V648" i="1"/>
  <c r="U648" i="1"/>
  <c r="S648" i="1"/>
  <c r="R648" i="1"/>
  <c r="Q648" i="1"/>
  <c r="P648" i="1"/>
  <c r="N648" i="1"/>
  <c r="M648" i="1"/>
  <c r="L648" i="1"/>
  <c r="K648" i="1"/>
  <c r="AW647" i="1"/>
  <c r="AV647" i="1"/>
  <c r="AU647" i="1"/>
  <c r="AT647" i="1"/>
  <c r="AR647" i="1"/>
  <c r="AQ647" i="1"/>
  <c r="AP647" i="1"/>
  <c r="AO647" i="1"/>
  <c r="AM647" i="1"/>
  <c r="AL647" i="1"/>
  <c r="AK647" i="1"/>
  <c r="AJ647" i="1"/>
  <c r="AH647" i="1"/>
  <c r="AG647" i="1"/>
  <c r="AF647" i="1"/>
  <c r="AE647" i="1"/>
  <c r="AC647" i="1"/>
  <c r="AB647" i="1"/>
  <c r="AA647" i="1"/>
  <c r="Z647" i="1"/>
  <c r="X647" i="1"/>
  <c r="W647" i="1"/>
  <c r="V647" i="1"/>
  <c r="U647" i="1"/>
  <c r="S647" i="1"/>
  <c r="R647" i="1"/>
  <c r="Q647" i="1"/>
  <c r="P647" i="1"/>
  <c r="N647" i="1"/>
  <c r="M647" i="1"/>
  <c r="L647" i="1"/>
  <c r="K647" i="1"/>
  <c r="AW646" i="1"/>
  <c r="AV646" i="1"/>
  <c r="AU646" i="1"/>
  <c r="AT646" i="1"/>
  <c r="AR646" i="1"/>
  <c r="AQ646" i="1"/>
  <c r="AP646" i="1"/>
  <c r="AO646" i="1"/>
  <c r="AM646" i="1"/>
  <c r="AL646" i="1"/>
  <c r="AK646" i="1"/>
  <c r="AJ646" i="1"/>
  <c r="AH646" i="1"/>
  <c r="AG646" i="1"/>
  <c r="AF646" i="1"/>
  <c r="AE646" i="1"/>
  <c r="AC646" i="1"/>
  <c r="AB646" i="1"/>
  <c r="AA646" i="1"/>
  <c r="Z646" i="1"/>
  <c r="X646" i="1"/>
  <c r="W646" i="1"/>
  <c r="V646" i="1"/>
  <c r="U646" i="1"/>
  <c r="S646" i="1"/>
  <c r="R646" i="1"/>
  <c r="Q646" i="1"/>
  <c r="P646" i="1"/>
  <c r="N646" i="1"/>
  <c r="M646" i="1"/>
  <c r="L646" i="1"/>
  <c r="K646" i="1"/>
  <c r="AW645" i="1"/>
  <c r="AV645" i="1"/>
  <c r="AU645" i="1"/>
  <c r="AT645" i="1"/>
  <c r="AR645" i="1"/>
  <c r="AQ645" i="1"/>
  <c r="AP645" i="1"/>
  <c r="AO645" i="1"/>
  <c r="AM645" i="1"/>
  <c r="AL645" i="1"/>
  <c r="AK645" i="1"/>
  <c r="AJ645" i="1"/>
  <c r="AH645" i="1"/>
  <c r="AG645" i="1"/>
  <c r="AF645" i="1"/>
  <c r="AE645" i="1"/>
  <c r="AC645" i="1"/>
  <c r="AB645" i="1"/>
  <c r="AA645" i="1"/>
  <c r="Z645" i="1"/>
  <c r="X645" i="1"/>
  <c r="W645" i="1"/>
  <c r="V645" i="1"/>
  <c r="U645" i="1"/>
  <c r="S645" i="1"/>
  <c r="R645" i="1"/>
  <c r="Q645" i="1"/>
  <c r="P645" i="1"/>
  <c r="N645" i="1"/>
  <c r="M645" i="1"/>
  <c r="L645" i="1"/>
  <c r="K645" i="1"/>
  <c r="AW644" i="1"/>
  <c r="AV644" i="1"/>
  <c r="AU644" i="1"/>
  <c r="AT644" i="1"/>
  <c r="AR644" i="1"/>
  <c r="AQ644" i="1"/>
  <c r="AP644" i="1"/>
  <c r="AO644" i="1"/>
  <c r="AM644" i="1"/>
  <c r="AL644" i="1"/>
  <c r="AK644" i="1"/>
  <c r="AJ644" i="1"/>
  <c r="AH644" i="1"/>
  <c r="AG644" i="1"/>
  <c r="AF644" i="1"/>
  <c r="AE644" i="1"/>
  <c r="AC644" i="1"/>
  <c r="AB644" i="1"/>
  <c r="AA644" i="1"/>
  <c r="Z644" i="1"/>
  <c r="X644" i="1"/>
  <c r="W644" i="1"/>
  <c r="V644" i="1"/>
  <c r="U644" i="1"/>
  <c r="S644" i="1"/>
  <c r="R644" i="1"/>
  <c r="Q644" i="1"/>
  <c r="P644" i="1"/>
  <c r="N644" i="1"/>
  <c r="M644" i="1"/>
  <c r="L644" i="1"/>
  <c r="K644" i="1"/>
  <c r="AW643" i="1"/>
  <c r="AV643" i="1"/>
  <c r="AU643" i="1"/>
  <c r="AT643" i="1"/>
  <c r="AR643" i="1"/>
  <c r="AQ643" i="1"/>
  <c r="AP643" i="1"/>
  <c r="AO643" i="1"/>
  <c r="AM643" i="1"/>
  <c r="AL643" i="1"/>
  <c r="AK643" i="1"/>
  <c r="AJ643" i="1"/>
  <c r="AH643" i="1"/>
  <c r="AG643" i="1"/>
  <c r="AF643" i="1"/>
  <c r="AE643" i="1"/>
  <c r="AC643" i="1"/>
  <c r="AB643" i="1"/>
  <c r="AA643" i="1"/>
  <c r="Z643" i="1"/>
  <c r="X643" i="1"/>
  <c r="W643" i="1"/>
  <c r="V643" i="1"/>
  <c r="U643" i="1"/>
  <c r="S643" i="1"/>
  <c r="R643" i="1"/>
  <c r="Q643" i="1"/>
  <c r="P643" i="1"/>
  <c r="N643" i="1"/>
  <c r="M643" i="1"/>
  <c r="L643" i="1"/>
  <c r="K643" i="1"/>
  <c r="AW642" i="1"/>
  <c r="AV642" i="1"/>
  <c r="AU642" i="1"/>
  <c r="AT642" i="1"/>
  <c r="AR642" i="1"/>
  <c r="AQ642" i="1"/>
  <c r="AP642" i="1"/>
  <c r="AO642" i="1"/>
  <c r="AM642" i="1"/>
  <c r="AL642" i="1"/>
  <c r="AK642" i="1"/>
  <c r="AJ642" i="1"/>
  <c r="AH642" i="1"/>
  <c r="AG642" i="1"/>
  <c r="AF642" i="1"/>
  <c r="AE642" i="1"/>
  <c r="AC642" i="1"/>
  <c r="AB642" i="1"/>
  <c r="AA642" i="1"/>
  <c r="Z642" i="1"/>
  <c r="X642" i="1"/>
  <c r="W642" i="1"/>
  <c r="V642" i="1"/>
  <c r="U642" i="1"/>
  <c r="S642" i="1"/>
  <c r="R642" i="1"/>
  <c r="Q642" i="1"/>
  <c r="P642" i="1"/>
  <c r="N642" i="1"/>
  <c r="M642" i="1"/>
  <c r="L642" i="1"/>
  <c r="K642" i="1"/>
  <c r="AW641" i="1"/>
  <c r="AV641" i="1"/>
  <c r="AU641" i="1"/>
  <c r="AT641" i="1"/>
  <c r="AR641" i="1"/>
  <c r="AQ641" i="1"/>
  <c r="AP641" i="1"/>
  <c r="AO641" i="1"/>
  <c r="AM641" i="1"/>
  <c r="AL641" i="1"/>
  <c r="AK641" i="1"/>
  <c r="AJ641" i="1"/>
  <c r="AH641" i="1"/>
  <c r="AG641" i="1"/>
  <c r="AF641" i="1"/>
  <c r="AE641" i="1"/>
  <c r="AC641" i="1"/>
  <c r="AB641" i="1"/>
  <c r="AA641" i="1"/>
  <c r="Z641" i="1"/>
  <c r="X641" i="1"/>
  <c r="W641" i="1"/>
  <c r="V641" i="1"/>
  <c r="U641" i="1"/>
  <c r="S641" i="1"/>
  <c r="R641" i="1"/>
  <c r="Q641" i="1"/>
  <c r="P641" i="1"/>
  <c r="N641" i="1"/>
  <c r="M641" i="1"/>
  <c r="L641" i="1"/>
  <c r="K641" i="1"/>
  <c r="AW640" i="1"/>
  <c r="AV640" i="1"/>
  <c r="AU640" i="1"/>
  <c r="AT640" i="1"/>
  <c r="AR640" i="1"/>
  <c r="AQ640" i="1"/>
  <c r="AP640" i="1"/>
  <c r="AO640" i="1"/>
  <c r="AM640" i="1"/>
  <c r="AL640" i="1"/>
  <c r="AK640" i="1"/>
  <c r="AJ640" i="1"/>
  <c r="AH640" i="1"/>
  <c r="AG640" i="1"/>
  <c r="AF640" i="1"/>
  <c r="AE640" i="1"/>
  <c r="AC640" i="1"/>
  <c r="AB640" i="1"/>
  <c r="AA640" i="1"/>
  <c r="Z640" i="1"/>
  <c r="X640" i="1"/>
  <c r="W640" i="1"/>
  <c r="V640" i="1"/>
  <c r="U640" i="1"/>
  <c r="S640" i="1"/>
  <c r="R640" i="1"/>
  <c r="Q640" i="1"/>
  <c r="P640" i="1"/>
  <c r="N640" i="1"/>
  <c r="M640" i="1"/>
  <c r="L640" i="1"/>
  <c r="K640" i="1"/>
  <c r="AW639" i="1"/>
  <c r="AV639" i="1"/>
  <c r="AU639" i="1"/>
  <c r="AT639" i="1"/>
  <c r="AR639" i="1"/>
  <c r="AQ639" i="1"/>
  <c r="AP639" i="1"/>
  <c r="AO639" i="1"/>
  <c r="AM639" i="1"/>
  <c r="AL639" i="1"/>
  <c r="AK639" i="1"/>
  <c r="AJ639" i="1"/>
  <c r="AH639" i="1"/>
  <c r="AG639" i="1"/>
  <c r="AF639" i="1"/>
  <c r="AE639" i="1"/>
  <c r="AC639" i="1"/>
  <c r="AB639" i="1"/>
  <c r="AA639" i="1"/>
  <c r="Z639" i="1"/>
  <c r="X639" i="1"/>
  <c r="W639" i="1"/>
  <c r="V639" i="1"/>
  <c r="U639" i="1"/>
  <c r="S639" i="1"/>
  <c r="R639" i="1"/>
  <c r="Q639" i="1"/>
  <c r="P639" i="1"/>
  <c r="N639" i="1"/>
  <c r="M639" i="1"/>
  <c r="L639" i="1"/>
  <c r="K639" i="1"/>
  <c r="AW638" i="1"/>
  <c r="AV638" i="1"/>
  <c r="AU638" i="1"/>
  <c r="AT638" i="1"/>
  <c r="AR638" i="1"/>
  <c r="AQ638" i="1"/>
  <c r="AP638" i="1"/>
  <c r="AO638" i="1"/>
  <c r="AM638" i="1"/>
  <c r="AL638" i="1"/>
  <c r="AK638" i="1"/>
  <c r="AJ638" i="1"/>
  <c r="AH638" i="1"/>
  <c r="AG638" i="1"/>
  <c r="AF638" i="1"/>
  <c r="AE638" i="1"/>
  <c r="AC638" i="1"/>
  <c r="AB638" i="1"/>
  <c r="AA638" i="1"/>
  <c r="Z638" i="1"/>
  <c r="X638" i="1"/>
  <c r="W638" i="1"/>
  <c r="V638" i="1"/>
  <c r="U638" i="1"/>
  <c r="S638" i="1"/>
  <c r="R638" i="1"/>
  <c r="Q638" i="1"/>
  <c r="P638" i="1"/>
  <c r="N638" i="1"/>
  <c r="M638" i="1"/>
  <c r="L638" i="1"/>
  <c r="K638" i="1"/>
  <c r="AW637" i="1"/>
  <c r="AV637" i="1"/>
  <c r="AU637" i="1"/>
  <c r="AT637" i="1"/>
  <c r="AR637" i="1"/>
  <c r="AQ637" i="1"/>
  <c r="AP637" i="1"/>
  <c r="AO637" i="1"/>
  <c r="AM637" i="1"/>
  <c r="AL637" i="1"/>
  <c r="AK637" i="1"/>
  <c r="AJ637" i="1"/>
  <c r="AH637" i="1"/>
  <c r="AG637" i="1"/>
  <c r="AF637" i="1"/>
  <c r="AE637" i="1"/>
  <c r="AC637" i="1"/>
  <c r="AB637" i="1"/>
  <c r="AA637" i="1"/>
  <c r="Z637" i="1"/>
  <c r="X637" i="1"/>
  <c r="W637" i="1"/>
  <c r="V637" i="1"/>
  <c r="U637" i="1"/>
  <c r="S637" i="1"/>
  <c r="R637" i="1"/>
  <c r="Q637" i="1"/>
  <c r="P637" i="1"/>
  <c r="N637" i="1"/>
  <c r="M637" i="1"/>
  <c r="L637" i="1"/>
  <c r="K637" i="1"/>
  <c r="AW636" i="1"/>
  <c r="AV636" i="1"/>
  <c r="AU636" i="1"/>
  <c r="AT636" i="1"/>
  <c r="AR636" i="1"/>
  <c r="AQ636" i="1"/>
  <c r="AP636" i="1"/>
  <c r="AO636" i="1"/>
  <c r="AM636" i="1"/>
  <c r="AL636" i="1"/>
  <c r="AK636" i="1"/>
  <c r="AJ636" i="1"/>
  <c r="AH636" i="1"/>
  <c r="AG636" i="1"/>
  <c r="AF636" i="1"/>
  <c r="AE636" i="1"/>
  <c r="AC636" i="1"/>
  <c r="AB636" i="1"/>
  <c r="AA636" i="1"/>
  <c r="Z636" i="1"/>
  <c r="X636" i="1"/>
  <c r="W636" i="1"/>
  <c r="V636" i="1"/>
  <c r="U636" i="1"/>
  <c r="S636" i="1"/>
  <c r="R636" i="1"/>
  <c r="Q636" i="1"/>
  <c r="P636" i="1"/>
  <c r="N636" i="1"/>
  <c r="M636" i="1"/>
  <c r="L636" i="1"/>
  <c r="K636" i="1"/>
  <c r="AW635" i="1"/>
  <c r="AV635" i="1"/>
  <c r="AU635" i="1"/>
  <c r="AT635" i="1"/>
  <c r="AR635" i="1"/>
  <c r="AQ635" i="1"/>
  <c r="AP635" i="1"/>
  <c r="AO635" i="1"/>
  <c r="AM635" i="1"/>
  <c r="AL635" i="1"/>
  <c r="AK635" i="1"/>
  <c r="AJ635" i="1"/>
  <c r="AH635" i="1"/>
  <c r="AG635" i="1"/>
  <c r="AF635" i="1"/>
  <c r="AE635" i="1"/>
  <c r="AC635" i="1"/>
  <c r="AB635" i="1"/>
  <c r="AA635" i="1"/>
  <c r="Z635" i="1"/>
  <c r="X635" i="1"/>
  <c r="W635" i="1"/>
  <c r="V635" i="1"/>
  <c r="U635" i="1"/>
  <c r="S635" i="1"/>
  <c r="R635" i="1"/>
  <c r="Q635" i="1"/>
  <c r="P635" i="1"/>
  <c r="N635" i="1"/>
  <c r="M635" i="1"/>
  <c r="L635" i="1"/>
  <c r="K635" i="1"/>
  <c r="AW634" i="1"/>
  <c r="AV634" i="1"/>
  <c r="AU634" i="1"/>
  <c r="AT634" i="1"/>
  <c r="AR634" i="1"/>
  <c r="AQ634" i="1"/>
  <c r="AP634" i="1"/>
  <c r="AO634" i="1"/>
  <c r="AM634" i="1"/>
  <c r="AL634" i="1"/>
  <c r="AK634" i="1"/>
  <c r="AJ634" i="1"/>
  <c r="AH634" i="1"/>
  <c r="AG634" i="1"/>
  <c r="AF634" i="1"/>
  <c r="AE634" i="1"/>
  <c r="AC634" i="1"/>
  <c r="AB634" i="1"/>
  <c r="AA634" i="1"/>
  <c r="Z634" i="1"/>
  <c r="X634" i="1"/>
  <c r="W634" i="1"/>
  <c r="V634" i="1"/>
  <c r="U634" i="1"/>
  <c r="S634" i="1"/>
  <c r="R634" i="1"/>
  <c r="Q634" i="1"/>
  <c r="P634" i="1"/>
  <c r="N634" i="1"/>
  <c r="M634" i="1"/>
  <c r="L634" i="1"/>
  <c r="K634" i="1"/>
  <c r="AW633" i="1"/>
  <c r="AV633" i="1"/>
  <c r="AU633" i="1"/>
  <c r="AT633" i="1"/>
  <c r="AR633" i="1"/>
  <c r="AQ633" i="1"/>
  <c r="AP633" i="1"/>
  <c r="AO633" i="1"/>
  <c r="AM633" i="1"/>
  <c r="AL633" i="1"/>
  <c r="AK633" i="1"/>
  <c r="AJ633" i="1"/>
  <c r="AH633" i="1"/>
  <c r="AG633" i="1"/>
  <c r="AF633" i="1"/>
  <c r="AE633" i="1"/>
  <c r="AC633" i="1"/>
  <c r="AB633" i="1"/>
  <c r="AA633" i="1"/>
  <c r="Z633" i="1"/>
  <c r="X633" i="1"/>
  <c r="W633" i="1"/>
  <c r="V633" i="1"/>
  <c r="U633" i="1"/>
  <c r="S633" i="1"/>
  <c r="R633" i="1"/>
  <c r="Q633" i="1"/>
  <c r="P633" i="1"/>
  <c r="N633" i="1"/>
  <c r="M633" i="1"/>
  <c r="L633" i="1"/>
  <c r="K633" i="1"/>
  <c r="AW632" i="1"/>
  <c r="AV632" i="1"/>
  <c r="AU632" i="1"/>
  <c r="AT632" i="1"/>
  <c r="AR632" i="1"/>
  <c r="AQ632" i="1"/>
  <c r="AP632" i="1"/>
  <c r="AO632" i="1"/>
  <c r="AM632" i="1"/>
  <c r="AL632" i="1"/>
  <c r="AK632" i="1"/>
  <c r="AJ632" i="1"/>
  <c r="AH632" i="1"/>
  <c r="AG632" i="1"/>
  <c r="AF632" i="1"/>
  <c r="AE632" i="1"/>
  <c r="AC632" i="1"/>
  <c r="AB632" i="1"/>
  <c r="AA632" i="1"/>
  <c r="Z632" i="1"/>
  <c r="X632" i="1"/>
  <c r="W632" i="1"/>
  <c r="V632" i="1"/>
  <c r="U632" i="1"/>
  <c r="S632" i="1"/>
  <c r="R632" i="1"/>
  <c r="Q632" i="1"/>
  <c r="P632" i="1"/>
  <c r="N632" i="1"/>
  <c r="M632" i="1"/>
  <c r="L632" i="1"/>
  <c r="K632" i="1"/>
  <c r="AW631" i="1"/>
  <c r="AV631" i="1"/>
  <c r="AU631" i="1"/>
  <c r="AT631" i="1"/>
  <c r="AR631" i="1"/>
  <c r="AQ631" i="1"/>
  <c r="AP631" i="1"/>
  <c r="AO631" i="1"/>
  <c r="AM631" i="1"/>
  <c r="AL631" i="1"/>
  <c r="AK631" i="1"/>
  <c r="AJ631" i="1"/>
  <c r="AH631" i="1"/>
  <c r="AG631" i="1"/>
  <c r="AF631" i="1"/>
  <c r="AE631" i="1"/>
  <c r="AC631" i="1"/>
  <c r="AB631" i="1"/>
  <c r="AA631" i="1"/>
  <c r="Z631" i="1"/>
  <c r="X631" i="1"/>
  <c r="W631" i="1"/>
  <c r="V631" i="1"/>
  <c r="U631" i="1"/>
  <c r="S631" i="1"/>
  <c r="R631" i="1"/>
  <c r="Q631" i="1"/>
  <c r="P631" i="1"/>
  <c r="N631" i="1"/>
  <c r="M631" i="1"/>
  <c r="L631" i="1"/>
  <c r="K631" i="1"/>
  <c r="AW630" i="1"/>
  <c r="AV630" i="1"/>
  <c r="AU630" i="1"/>
  <c r="AT630" i="1"/>
  <c r="AR630" i="1"/>
  <c r="AQ630" i="1"/>
  <c r="AP630" i="1"/>
  <c r="AO630" i="1"/>
  <c r="AM630" i="1"/>
  <c r="AL630" i="1"/>
  <c r="AK630" i="1"/>
  <c r="AJ630" i="1"/>
  <c r="AH630" i="1"/>
  <c r="AG630" i="1"/>
  <c r="AF630" i="1"/>
  <c r="AE630" i="1"/>
  <c r="AC630" i="1"/>
  <c r="AB630" i="1"/>
  <c r="AA630" i="1"/>
  <c r="Z630" i="1"/>
  <c r="X630" i="1"/>
  <c r="W630" i="1"/>
  <c r="V630" i="1"/>
  <c r="U630" i="1"/>
  <c r="S630" i="1"/>
  <c r="R630" i="1"/>
  <c r="Q630" i="1"/>
  <c r="P630" i="1"/>
  <c r="N630" i="1"/>
  <c r="M630" i="1"/>
  <c r="L630" i="1"/>
  <c r="K630" i="1"/>
  <c r="AW629" i="1"/>
  <c r="AV629" i="1"/>
  <c r="AU629" i="1"/>
  <c r="AT629" i="1"/>
  <c r="AR629" i="1"/>
  <c r="AQ629" i="1"/>
  <c r="AP629" i="1"/>
  <c r="AO629" i="1"/>
  <c r="AM629" i="1"/>
  <c r="AL629" i="1"/>
  <c r="AK629" i="1"/>
  <c r="AJ629" i="1"/>
  <c r="AH629" i="1"/>
  <c r="AG629" i="1"/>
  <c r="AF629" i="1"/>
  <c r="AE629" i="1"/>
  <c r="AC629" i="1"/>
  <c r="AB629" i="1"/>
  <c r="AA629" i="1"/>
  <c r="Z629" i="1"/>
  <c r="X629" i="1"/>
  <c r="W629" i="1"/>
  <c r="V629" i="1"/>
  <c r="U629" i="1"/>
  <c r="S629" i="1"/>
  <c r="R629" i="1"/>
  <c r="Q629" i="1"/>
  <c r="P629" i="1"/>
  <c r="N629" i="1"/>
  <c r="M629" i="1"/>
  <c r="L629" i="1"/>
  <c r="K629" i="1"/>
  <c r="AW628" i="1"/>
  <c r="AV628" i="1"/>
  <c r="AU628" i="1"/>
  <c r="AT628" i="1"/>
  <c r="AR628" i="1"/>
  <c r="AQ628" i="1"/>
  <c r="AP628" i="1"/>
  <c r="AO628" i="1"/>
  <c r="AM628" i="1"/>
  <c r="AL628" i="1"/>
  <c r="AK628" i="1"/>
  <c r="AJ628" i="1"/>
  <c r="AH628" i="1"/>
  <c r="AG628" i="1"/>
  <c r="AF628" i="1"/>
  <c r="AE628" i="1"/>
  <c r="AC628" i="1"/>
  <c r="AB628" i="1"/>
  <c r="AA628" i="1"/>
  <c r="Z628" i="1"/>
  <c r="X628" i="1"/>
  <c r="W628" i="1"/>
  <c r="V628" i="1"/>
  <c r="U628" i="1"/>
  <c r="S628" i="1"/>
  <c r="R628" i="1"/>
  <c r="Q628" i="1"/>
  <c r="P628" i="1"/>
  <c r="N628" i="1"/>
  <c r="M628" i="1"/>
  <c r="L628" i="1"/>
  <c r="K628" i="1"/>
  <c r="AW627" i="1"/>
  <c r="AV627" i="1"/>
  <c r="AU627" i="1"/>
  <c r="AT627" i="1"/>
  <c r="AR627" i="1"/>
  <c r="AQ627" i="1"/>
  <c r="AP627" i="1"/>
  <c r="AO627" i="1"/>
  <c r="AM627" i="1"/>
  <c r="AL627" i="1"/>
  <c r="AK627" i="1"/>
  <c r="AJ627" i="1"/>
  <c r="AH627" i="1"/>
  <c r="AG627" i="1"/>
  <c r="AF627" i="1"/>
  <c r="AE627" i="1"/>
  <c r="AC627" i="1"/>
  <c r="AB627" i="1"/>
  <c r="AA627" i="1"/>
  <c r="Z627" i="1"/>
  <c r="X627" i="1"/>
  <c r="W627" i="1"/>
  <c r="V627" i="1"/>
  <c r="U627" i="1"/>
  <c r="S627" i="1"/>
  <c r="R627" i="1"/>
  <c r="Q627" i="1"/>
  <c r="P627" i="1"/>
  <c r="N627" i="1"/>
  <c r="M627" i="1"/>
  <c r="L627" i="1"/>
  <c r="K627" i="1"/>
  <c r="AW626" i="1"/>
  <c r="AV626" i="1"/>
  <c r="AU626" i="1"/>
  <c r="AT626" i="1"/>
  <c r="AR626" i="1"/>
  <c r="AQ626" i="1"/>
  <c r="AP626" i="1"/>
  <c r="AO626" i="1"/>
  <c r="AM626" i="1"/>
  <c r="AL626" i="1"/>
  <c r="AK626" i="1"/>
  <c r="AJ626" i="1"/>
  <c r="AH626" i="1"/>
  <c r="AG626" i="1"/>
  <c r="AF626" i="1"/>
  <c r="AE626" i="1"/>
  <c r="AC626" i="1"/>
  <c r="AB626" i="1"/>
  <c r="AA626" i="1"/>
  <c r="Z626" i="1"/>
  <c r="X626" i="1"/>
  <c r="W626" i="1"/>
  <c r="V626" i="1"/>
  <c r="U626" i="1"/>
  <c r="S626" i="1"/>
  <c r="R626" i="1"/>
  <c r="Q626" i="1"/>
  <c r="P626" i="1"/>
  <c r="N626" i="1"/>
  <c r="M626" i="1"/>
  <c r="L626" i="1"/>
  <c r="K626" i="1"/>
  <c r="AW625" i="1"/>
  <c r="AV625" i="1"/>
  <c r="AU625" i="1"/>
  <c r="AT625" i="1"/>
  <c r="AR625" i="1"/>
  <c r="AQ625" i="1"/>
  <c r="AP625" i="1"/>
  <c r="AO625" i="1"/>
  <c r="AM625" i="1"/>
  <c r="AL625" i="1"/>
  <c r="AK625" i="1"/>
  <c r="AJ625" i="1"/>
  <c r="AH625" i="1"/>
  <c r="AG625" i="1"/>
  <c r="AF625" i="1"/>
  <c r="AE625" i="1"/>
  <c r="AC625" i="1"/>
  <c r="AB625" i="1"/>
  <c r="AA625" i="1"/>
  <c r="Z625" i="1"/>
  <c r="X625" i="1"/>
  <c r="W625" i="1"/>
  <c r="V625" i="1"/>
  <c r="U625" i="1"/>
  <c r="S625" i="1"/>
  <c r="R625" i="1"/>
  <c r="Q625" i="1"/>
  <c r="P625" i="1"/>
  <c r="N625" i="1"/>
  <c r="M625" i="1"/>
  <c r="L625" i="1"/>
  <c r="K625" i="1"/>
  <c r="AW624" i="1"/>
  <c r="AV624" i="1"/>
  <c r="AU624" i="1"/>
  <c r="AT624" i="1"/>
  <c r="AR624" i="1"/>
  <c r="AQ624" i="1"/>
  <c r="AP624" i="1"/>
  <c r="AO624" i="1"/>
  <c r="AM624" i="1"/>
  <c r="AL624" i="1"/>
  <c r="AK624" i="1"/>
  <c r="AJ624" i="1"/>
  <c r="AH624" i="1"/>
  <c r="AG624" i="1"/>
  <c r="AF624" i="1"/>
  <c r="AE624" i="1"/>
  <c r="AC624" i="1"/>
  <c r="AB624" i="1"/>
  <c r="AA624" i="1"/>
  <c r="Z624" i="1"/>
  <c r="X624" i="1"/>
  <c r="W624" i="1"/>
  <c r="V624" i="1"/>
  <c r="U624" i="1"/>
  <c r="S624" i="1"/>
  <c r="R624" i="1"/>
  <c r="Q624" i="1"/>
  <c r="P624" i="1"/>
  <c r="N624" i="1"/>
  <c r="M624" i="1"/>
  <c r="L624" i="1"/>
  <c r="K624" i="1"/>
  <c r="AW623" i="1"/>
  <c r="AV623" i="1"/>
  <c r="AU623" i="1"/>
  <c r="AT623" i="1"/>
  <c r="AR623" i="1"/>
  <c r="AQ623" i="1"/>
  <c r="AP623" i="1"/>
  <c r="AO623" i="1"/>
  <c r="AM623" i="1"/>
  <c r="AL623" i="1"/>
  <c r="AK623" i="1"/>
  <c r="AJ623" i="1"/>
  <c r="AH623" i="1"/>
  <c r="AG623" i="1"/>
  <c r="AF623" i="1"/>
  <c r="AE623" i="1"/>
  <c r="AC623" i="1"/>
  <c r="AB623" i="1"/>
  <c r="AA623" i="1"/>
  <c r="Z623" i="1"/>
  <c r="X623" i="1"/>
  <c r="W623" i="1"/>
  <c r="V623" i="1"/>
  <c r="U623" i="1"/>
  <c r="S623" i="1"/>
  <c r="R623" i="1"/>
  <c r="Q623" i="1"/>
  <c r="P623" i="1"/>
  <c r="N623" i="1"/>
  <c r="M623" i="1"/>
  <c r="L623" i="1"/>
  <c r="K623" i="1"/>
  <c r="AW622" i="1"/>
  <c r="AV622" i="1"/>
  <c r="AU622" i="1"/>
  <c r="AT622" i="1"/>
  <c r="AR622" i="1"/>
  <c r="AQ622" i="1"/>
  <c r="AP622" i="1"/>
  <c r="AO622" i="1"/>
  <c r="AM622" i="1"/>
  <c r="AL622" i="1"/>
  <c r="AK622" i="1"/>
  <c r="AJ622" i="1"/>
  <c r="AH622" i="1"/>
  <c r="AG622" i="1"/>
  <c r="AF622" i="1"/>
  <c r="AE622" i="1"/>
  <c r="AC622" i="1"/>
  <c r="AB622" i="1"/>
  <c r="AA622" i="1"/>
  <c r="Z622" i="1"/>
  <c r="X622" i="1"/>
  <c r="W622" i="1"/>
  <c r="V622" i="1"/>
  <c r="U622" i="1"/>
  <c r="S622" i="1"/>
  <c r="R622" i="1"/>
  <c r="Q622" i="1"/>
  <c r="P622" i="1"/>
  <c r="N622" i="1"/>
  <c r="M622" i="1"/>
  <c r="L622" i="1"/>
  <c r="K622" i="1"/>
  <c r="AW621" i="1"/>
  <c r="AV621" i="1"/>
  <c r="AU621" i="1"/>
  <c r="AT621" i="1"/>
  <c r="AR621" i="1"/>
  <c r="AQ621" i="1"/>
  <c r="AP621" i="1"/>
  <c r="AO621" i="1"/>
  <c r="AM621" i="1"/>
  <c r="AL621" i="1"/>
  <c r="AK621" i="1"/>
  <c r="AJ621" i="1"/>
  <c r="AH621" i="1"/>
  <c r="AG621" i="1"/>
  <c r="AF621" i="1"/>
  <c r="AE621" i="1"/>
  <c r="AC621" i="1"/>
  <c r="AB621" i="1"/>
  <c r="AA621" i="1"/>
  <c r="Z621" i="1"/>
  <c r="X621" i="1"/>
  <c r="W621" i="1"/>
  <c r="V621" i="1"/>
  <c r="U621" i="1"/>
  <c r="S621" i="1"/>
  <c r="R621" i="1"/>
  <c r="Q621" i="1"/>
  <c r="P621" i="1"/>
  <c r="N621" i="1"/>
  <c r="M621" i="1"/>
  <c r="L621" i="1"/>
  <c r="K621" i="1"/>
  <c r="AW620" i="1"/>
  <c r="AV620" i="1"/>
  <c r="AU620" i="1"/>
  <c r="AT620" i="1"/>
  <c r="AR620" i="1"/>
  <c r="AQ620" i="1"/>
  <c r="AP620" i="1"/>
  <c r="AO620" i="1"/>
  <c r="AM620" i="1"/>
  <c r="AL620" i="1"/>
  <c r="AK620" i="1"/>
  <c r="AJ620" i="1"/>
  <c r="AH620" i="1"/>
  <c r="AG620" i="1"/>
  <c r="AF620" i="1"/>
  <c r="AE620" i="1"/>
  <c r="AC620" i="1"/>
  <c r="AB620" i="1"/>
  <c r="AA620" i="1"/>
  <c r="Z620" i="1"/>
  <c r="X620" i="1"/>
  <c r="W620" i="1"/>
  <c r="V620" i="1"/>
  <c r="U620" i="1"/>
  <c r="S620" i="1"/>
  <c r="R620" i="1"/>
  <c r="Q620" i="1"/>
  <c r="P620" i="1"/>
  <c r="N620" i="1"/>
  <c r="M620" i="1"/>
  <c r="L620" i="1"/>
  <c r="K620" i="1"/>
  <c r="AW619" i="1"/>
  <c r="AV619" i="1"/>
  <c r="AU619" i="1"/>
  <c r="AT619" i="1"/>
  <c r="AR619" i="1"/>
  <c r="AQ619" i="1"/>
  <c r="AP619" i="1"/>
  <c r="AO619" i="1"/>
  <c r="AM619" i="1"/>
  <c r="AL619" i="1"/>
  <c r="AK619" i="1"/>
  <c r="AJ619" i="1"/>
  <c r="AH619" i="1"/>
  <c r="AG619" i="1"/>
  <c r="AF619" i="1"/>
  <c r="AE619" i="1"/>
  <c r="AC619" i="1"/>
  <c r="AB619" i="1"/>
  <c r="AA619" i="1"/>
  <c r="Z619" i="1"/>
  <c r="X619" i="1"/>
  <c r="W619" i="1"/>
  <c r="V619" i="1"/>
  <c r="U619" i="1"/>
  <c r="S619" i="1"/>
  <c r="R619" i="1"/>
  <c r="Q619" i="1"/>
  <c r="P619" i="1"/>
  <c r="N619" i="1"/>
  <c r="M619" i="1"/>
  <c r="L619" i="1"/>
  <c r="K619" i="1"/>
  <c r="AW618" i="1"/>
  <c r="AV618" i="1"/>
  <c r="AU618" i="1"/>
  <c r="AT618" i="1"/>
  <c r="AR618" i="1"/>
  <c r="AQ618" i="1"/>
  <c r="AP618" i="1"/>
  <c r="AO618" i="1"/>
  <c r="AM618" i="1"/>
  <c r="AL618" i="1"/>
  <c r="AK618" i="1"/>
  <c r="AJ618" i="1"/>
  <c r="AH618" i="1"/>
  <c r="AG618" i="1"/>
  <c r="AF618" i="1"/>
  <c r="AE618" i="1"/>
  <c r="AC618" i="1"/>
  <c r="AB618" i="1"/>
  <c r="AA618" i="1"/>
  <c r="Z618" i="1"/>
  <c r="X618" i="1"/>
  <c r="W618" i="1"/>
  <c r="V618" i="1"/>
  <c r="U618" i="1"/>
  <c r="S618" i="1"/>
  <c r="R618" i="1"/>
  <c r="Q618" i="1"/>
  <c r="P618" i="1"/>
  <c r="N618" i="1"/>
  <c r="M618" i="1"/>
  <c r="L618" i="1"/>
  <c r="K618" i="1"/>
  <c r="AW617" i="1"/>
  <c r="AV617" i="1"/>
  <c r="AU617" i="1"/>
  <c r="AT617" i="1"/>
  <c r="AR617" i="1"/>
  <c r="AQ617" i="1"/>
  <c r="AP617" i="1"/>
  <c r="AO617" i="1"/>
  <c r="AM617" i="1"/>
  <c r="AL617" i="1"/>
  <c r="AK617" i="1"/>
  <c r="AJ617" i="1"/>
  <c r="AH617" i="1"/>
  <c r="AG617" i="1"/>
  <c r="AF617" i="1"/>
  <c r="AE617" i="1"/>
  <c r="AC617" i="1"/>
  <c r="AB617" i="1"/>
  <c r="AA617" i="1"/>
  <c r="Z617" i="1"/>
  <c r="X617" i="1"/>
  <c r="W617" i="1"/>
  <c r="V617" i="1"/>
  <c r="U617" i="1"/>
  <c r="S617" i="1"/>
  <c r="R617" i="1"/>
  <c r="Q617" i="1"/>
  <c r="P617" i="1"/>
  <c r="N617" i="1"/>
  <c r="M617" i="1"/>
  <c r="L617" i="1"/>
  <c r="K617" i="1"/>
  <c r="AW616" i="1"/>
  <c r="AV616" i="1"/>
  <c r="AU616" i="1"/>
  <c r="AT616" i="1"/>
  <c r="AR616" i="1"/>
  <c r="AQ616" i="1"/>
  <c r="AP616" i="1"/>
  <c r="AO616" i="1"/>
  <c r="AM616" i="1"/>
  <c r="AL616" i="1"/>
  <c r="AK616" i="1"/>
  <c r="AJ616" i="1"/>
  <c r="AH616" i="1"/>
  <c r="AG616" i="1"/>
  <c r="AF616" i="1"/>
  <c r="AE616" i="1"/>
  <c r="AC616" i="1"/>
  <c r="AB616" i="1"/>
  <c r="AA616" i="1"/>
  <c r="Z616" i="1"/>
  <c r="X616" i="1"/>
  <c r="W616" i="1"/>
  <c r="V616" i="1"/>
  <c r="U616" i="1"/>
  <c r="S616" i="1"/>
  <c r="R616" i="1"/>
  <c r="Q616" i="1"/>
  <c r="P616" i="1"/>
  <c r="N616" i="1"/>
  <c r="M616" i="1"/>
  <c r="L616" i="1"/>
  <c r="K616" i="1"/>
  <c r="AW615" i="1"/>
  <c r="AV615" i="1"/>
  <c r="AU615" i="1"/>
  <c r="AT615" i="1"/>
  <c r="AR615" i="1"/>
  <c r="AQ615" i="1"/>
  <c r="AP615" i="1"/>
  <c r="AO615" i="1"/>
  <c r="AM615" i="1"/>
  <c r="AL615" i="1"/>
  <c r="AK615" i="1"/>
  <c r="AJ615" i="1"/>
  <c r="AH615" i="1"/>
  <c r="AG615" i="1"/>
  <c r="AF615" i="1"/>
  <c r="AE615" i="1"/>
  <c r="AC615" i="1"/>
  <c r="AB615" i="1"/>
  <c r="AA615" i="1"/>
  <c r="Z615" i="1"/>
  <c r="X615" i="1"/>
  <c r="W615" i="1"/>
  <c r="V615" i="1"/>
  <c r="U615" i="1"/>
  <c r="S615" i="1"/>
  <c r="R615" i="1"/>
  <c r="Q615" i="1"/>
  <c r="P615" i="1"/>
  <c r="N615" i="1"/>
  <c r="M615" i="1"/>
  <c r="L615" i="1"/>
  <c r="K615" i="1"/>
  <c r="AW614" i="1"/>
  <c r="AV614" i="1"/>
  <c r="AU614" i="1"/>
  <c r="AT614" i="1"/>
  <c r="AR614" i="1"/>
  <c r="AQ614" i="1"/>
  <c r="AP614" i="1"/>
  <c r="AO614" i="1"/>
  <c r="AM614" i="1"/>
  <c r="AL614" i="1"/>
  <c r="AK614" i="1"/>
  <c r="AJ614" i="1"/>
  <c r="AH614" i="1"/>
  <c r="AG614" i="1"/>
  <c r="AF614" i="1"/>
  <c r="AE614" i="1"/>
  <c r="AC614" i="1"/>
  <c r="AB614" i="1"/>
  <c r="AA614" i="1"/>
  <c r="Z614" i="1"/>
  <c r="X614" i="1"/>
  <c r="W614" i="1"/>
  <c r="V614" i="1"/>
  <c r="U614" i="1"/>
  <c r="S614" i="1"/>
  <c r="R614" i="1"/>
  <c r="Q614" i="1"/>
  <c r="P614" i="1"/>
  <c r="N614" i="1"/>
  <c r="M614" i="1"/>
  <c r="L614" i="1"/>
  <c r="K614" i="1"/>
  <c r="AW613" i="1"/>
  <c r="AV613" i="1"/>
  <c r="AU613" i="1"/>
  <c r="AT613" i="1"/>
  <c r="AR613" i="1"/>
  <c r="AQ613" i="1"/>
  <c r="AP613" i="1"/>
  <c r="AO613" i="1"/>
  <c r="AM613" i="1"/>
  <c r="AL613" i="1"/>
  <c r="AK613" i="1"/>
  <c r="AJ613" i="1"/>
  <c r="AH613" i="1"/>
  <c r="AG613" i="1"/>
  <c r="AF613" i="1"/>
  <c r="AE613" i="1"/>
  <c r="AC613" i="1"/>
  <c r="AB613" i="1"/>
  <c r="AA613" i="1"/>
  <c r="Z613" i="1"/>
  <c r="X613" i="1"/>
  <c r="W613" i="1"/>
  <c r="V613" i="1"/>
  <c r="U613" i="1"/>
  <c r="S613" i="1"/>
  <c r="R613" i="1"/>
  <c r="Q613" i="1"/>
  <c r="P613" i="1"/>
  <c r="N613" i="1"/>
  <c r="M613" i="1"/>
  <c r="L613" i="1"/>
  <c r="K613" i="1"/>
  <c r="AW612" i="1"/>
  <c r="AV612" i="1"/>
  <c r="AU612" i="1"/>
  <c r="AT612" i="1"/>
  <c r="AR612" i="1"/>
  <c r="AQ612" i="1"/>
  <c r="AP612" i="1"/>
  <c r="AO612" i="1"/>
  <c r="AM612" i="1"/>
  <c r="AL612" i="1"/>
  <c r="AK612" i="1"/>
  <c r="AJ612" i="1"/>
  <c r="AH612" i="1"/>
  <c r="AG612" i="1"/>
  <c r="AF612" i="1"/>
  <c r="AE612" i="1"/>
  <c r="AC612" i="1"/>
  <c r="AB612" i="1"/>
  <c r="AA612" i="1"/>
  <c r="Z612" i="1"/>
  <c r="X612" i="1"/>
  <c r="W612" i="1"/>
  <c r="V612" i="1"/>
  <c r="U612" i="1"/>
  <c r="S612" i="1"/>
  <c r="R612" i="1"/>
  <c r="Q612" i="1"/>
  <c r="P612" i="1"/>
  <c r="N612" i="1"/>
  <c r="M612" i="1"/>
  <c r="L612" i="1"/>
  <c r="K612" i="1"/>
  <c r="AW611" i="1"/>
  <c r="AV611" i="1"/>
  <c r="AU611" i="1"/>
  <c r="AT611" i="1"/>
  <c r="AR611" i="1"/>
  <c r="AQ611" i="1"/>
  <c r="AP611" i="1"/>
  <c r="AO611" i="1"/>
  <c r="AM611" i="1"/>
  <c r="AL611" i="1"/>
  <c r="AK611" i="1"/>
  <c r="AJ611" i="1"/>
  <c r="AH611" i="1"/>
  <c r="AG611" i="1"/>
  <c r="AF611" i="1"/>
  <c r="AE611" i="1"/>
  <c r="AC611" i="1"/>
  <c r="AB611" i="1"/>
  <c r="AA611" i="1"/>
  <c r="Z611" i="1"/>
  <c r="X611" i="1"/>
  <c r="W611" i="1"/>
  <c r="V611" i="1"/>
  <c r="U611" i="1"/>
  <c r="S611" i="1"/>
  <c r="R611" i="1"/>
  <c r="Q611" i="1"/>
  <c r="P611" i="1"/>
  <c r="N611" i="1"/>
  <c r="M611" i="1"/>
  <c r="L611" i="1"/>
  <c r="K611" i="1"/>
  <c r="AW610" i="1"/>
  <c r="AV610" i="1"/>
  <c r="AU610" i="1"/>
  <c r="AT610" i="1"/>
  <c r="AR610" i="1"/>
  <c r="AQ610" i="1"/>
  <c r="AP610" i="1"/>
  <c r="AO610" i="1"/>
  <c r="AM610" i="1"/>
  <c r="AL610" i="1"/>
  <c r="AK610" i="1"/>
  <c r="AJ610" i="1"/>
  <c r="AH610" i="1"/>
  <c r="AG610" i="1"/>
  <c r="AF610" i="1"/>
  <c r="AE610" i="1"/>
  <c r="AC610" i="1"/>
  <c r="AB610" i="1"/>
  <c r="AA610" i="1"/>
  <c r="Z610" i="1"/>
  <c r="X610" i="1"/>
  <c r="W610" i="1"/>
  <c r="V610" i="1"/>
  <c r="U610" i="1"/>
  <c r="S610" i="1"/>
  <c r="R610" i="1"/>
  <c r="Q610" i="1"/>
  <c r="P610" i="1"/>
  <c r="N610" i="1"/>
  <c r="M610" i="1"/>
  <c r="L610" i="1"/>
  <c r="K610" i="1"/>
  <c r="AW609" i="1"/>
  <c r="AV609" i="1"/>
  <c r="AU609" i="1"/>
  <c r="AT609" i="1"/>
  <c r="AR609" i="1"/>
  <c r="AQ609" i="1"/>
  <c r="AP609" i="1"/>
  <c r="AO609" i="1"/>
  <c r="AM609" i="1"/>
  <c r="AL609" i="1"/>
  <c r="AK609" i="1"/>
  <c r="AJ609" i="1"/>
  <c r="AH609" i="1"/>
  <c r="AG609" i="1"/>
  <c r="AF609" i="1"/>
  <c r="AE609" i="1"/>
  <c r="AC609" i="1"/>
  <c r="AB609" i="1"/>
  <c r="AA609" i="1"/>
  <c r="Z609" i="1"/>
  <c r="X609" i="1"/>
  <c r="W609" i="1"/>
  <c r="V609" i="1"/>
  <c r="U609" i="1"/>
  <c r="S609" i="1"/>
  <c r="R609" i="1"/>
  <c r="Q609" i="1"/>
  <c r="P609" i="1"/>
  <c r="N609" i="1"/>
  <c r="M609" i="1"/>
  <c r="L609" i="1"/>
  <c r="K609" i="1"/>
  <c r="AW608" i="1"/>
  <c r="AV608" i="1"/>
  <c r="AU608" i="1"/>
  <c r="AT608" i="1"/>
  <c r="AR608" i="1"/>
  <c r="AQ608" i="1"/>
  <c r="AP608" i="1"/>
  <c r="AO608" i="1"/>
  <c r="AM608" i="1"/>
  <c r="AL608" i="1"/>
  <c r="AK608" i="1"/>
  <c r="AJ608" i="1"/>
  <c r="AH608" i="1"/>
  <c r="AG608" i="1"/>
  <c r="AF608" i="1"/>
  <c r="AE608" i="1"/>
  <c r="AC608" i="1"/>
  <c r="AB608" i="1"/>
  <c r="AA608" i="1"/>
  <c r="Z608" i="1"/>
  <c r="X608" i="1"/>
  <c r="W608" i="1"/>
  <c r="V608" i="1"/>
  <c r="U608" i="1"/>
  <c r="S608" i="1"/>
  <c r="R608" i="1"/>
  <c r="Q608" i="1"/>
  <c r="P608" i="1"/>
  <c r="N608" i="1"/>
  <c r="M608" i="1"/>
  <c r="L608" i="1"/>
  <c r="K608" i="1"/>
  <c r="AW607" i="1"/>
  <c r="AV607" i="1"/>
  <c r="AU607" i="1"/>
  <c r="AT607" i="1"/>
  <c r="AR607" i="1"/>
  <c r="AQ607" i="1"/>
  <c r="AP607" i="1"/>
  <c r="AO607" i="1"/>
  <c r="AM607" i="1"/>
  <c r="AL607" i="1"/>
  <c r="AK607" i="1"/>
  <c r="AJ607" i="1"/>
  <c r="AH607" i="1"/>
  <c r="AG607" i="1"/>
  <c r="AF607" i="1"/>
  <c r="AE607" i="1"/>
  <c r="AC607" i="1"/>
  <c r="AB607" i="1"/>
  <c r="AA607" i="1"/>
  <c r="Z607" i="1"/>
  <c r="X607" i="1"/>
  <c r="W607" i="1"/>
  <c r="V607" i="1"/>
  <c r="U607" i="1"/>
  <c r="S607" i="1"/>
  <c r="R607" i="1"/>
  <c r="Q607" i="1"/>
  <c r="P607" i="1"/>
  <c r="N607" i="1"/>
  <c r="M607" i="1"/>
  <c r="L607" i="1"/>
  <c r="K607" i="1"/>
  <c r="AW606" i="1"/>
  <c r="AV606" i="1"/>
  <c r="AU606" i="1"/>
  <c r="AT606" i="1"/>
  <c r="AR606" i="1"/>
  <c r="AQ606" i="1"/>
  <c r="AP606" i="1"/>
  <c r="AO606" i="1"/>
  <c r="AM606" i="1"/>
  <c r="AL606" i="1"/>
  <c r="AK606" i="1"/>
  <c r="AJ606" i="1"/>
  <c r="AH606" i="1"/>
  <c r="AG606" i="1"/>
  <c r="AF606" i="1"/>
  <c r="AE606" i="1"/>
  <c r="AC606" i="1"/>
  <c r="AB606" i="1"/>
  <c r="AA606" i="1"/>
  <c r="Z606" i="1"/>
  <c r="X606" i="1"/>
  <c r="W606" i="1"/>
  <c r="V606" i="1"/>
  <c r="U606" i="1"/>
  <c r="S606" i="1"/>
  <c r="R606" i="1"/>
  <c r="Q606" i="1"/>
  <c r="P606" i="1"/>
  <c r="N606" i="1"/>
  <c r="M606" i="1"/>
  <c r="L606" i="1"/>
  <c r="K606" i="1"/>
  <c r="AW605" i="1"/>
  <c r="AV605" i="1"/>
  <c r="AU605" i="1"/>
  <c r="AT605" i="1"/>
  <c r="AR605" i="1"/>
  <c r="AQ605" i="1"/>
  <c r="AP605" i="1"/>
  <c r="AO605" i="1"/>
  <c r="AM605" i="1"/>
  <c r="AL605" i="1"/>
  <c r="AK605" i="1"/>
  <c r="AJ605" i="1"/>
  <c r="AH605" i="1"/>
  <c r="AG605" i="1"/>
  <c r="AF605" i="1"/>
  <c r="AE605" i="1"/>
  <c r="AC605" i="1"/>
  <c r="AB605" i="1"/>
  <c r="AA605" i="1"/>
  <c r="Z605" i="1"/>
  <c r="X605" i="1"/>
  <c r="W605" i="1"/>
  <c r="V605" i="1"/>
  <c r="U605" i="1"/>
  <c r="S605" i="1"/>
  <c r="R605" i="1"/>
  <c r="Q605" i="1"/>
  <c r="P605" i="1"/>
  <c r="N605" i="1"/>
  <c r="M605" i="1"/>
  <c r="L605" i="1"/>
  <c r="K605" i="1"/>
  <c r="AW604" i="1"/>
  <c r="AV604" i="1"/>
  <c r="AU604" i="1"/>
  <c r="AT604" i="1"/>
  <c r="AR604" i="1"/>
  <c r="AQ604" i="1"/>
  <c r="AP604" i="1"/>
  <c r="AO604" i="1"/>
  <c r="AM604" i="1"/>
  <c r="AL604" i="1"/>
  <c r="AK604" i="1"/>
  <c r="AJ604" i="1"/>
  <c r="AH604" i="1"/>
  <c r="AG604" i="1"/>
  <c r="AF604" i="1"/>
  <c r="AE604" i="1"/>
  <c r="AC604" i="1"/>
  <c r="AB604" i="1"/>
  <c r="AA604" i="1"/>
  <c r="Z604" i="1"/>
  <c r="X604" i="1"/>
  <c r="W604" i="1"/>
  <c r="V604" i="1"/>
  <c r="U604" i="1"/>
  <c r="S604" i="1"/>
  <c r="R604" i="1"/>
  <c r="Q604" i="1"/>
  <c r="P604" i="1"/>
  <c r="N604" i="1"/>
  <c r="M604" i="1"/>
  <c r="L604" i="1"/>
  <c r="K604" i="1"/>
  <c r="AW603" i="1"/>
  <c r="AV603" i="1"/>
  <c r="AU603" i="1"/>
  <c r="AT603" i="1"/>
  <c r="AR603" i="1"/>
  <c r="AQ603" i="1"/>
  <c r="AP603" i="1"/>
  <c r="AO603" i="1"/>
  <c r="AM603" i="1"/>
  <c r="AL603" i="1"/>
  <c r="AK603" i="1"/>
  <c r="AJ603" i="1"/>
  <c r="AH603" i="1"/>
  <c r="AG603" i="1"/>
  <c r="AF603" i="1"/>
  <c r="AE603" i="1"/>
  <c r="AC603" i="1"/>
  <c r="AB603" i="1"/>
  <c r="AA603" i="1"/>
  <c r="Z603" i="1"/>
  <c r="X603" i="1"/>
  <c r="W603" i="1"/>
  <c r="V603" i="1"/>
  <c r="U603" i="1"/>
  <c r="S603" i="1"/>
  <c r="R603" i="1"/>
  <c r="Q603" i="1"/>
  <c r="P603" i="1"/>
  <c r="N603" i="1"/>
  <c r="M603" i="1"/>
  <c r="L603" i="1"/>
  <c r="K603" i="1"/>
  <c r="AW602" i="1"/>
  <c r="AV602" i="1"/>
  <c r="AU602" i="1"/>
  <c r="AT602" i="1"/>
  <c r="AR602" i="1"/>
  <c r="AQ602" i="1"/>
  <c r="AP602" i="1"/>
  <c r="AO602" i="1"/>
  <c r="AM602" i="1"/>
  <c r="AL602" i="1"/>
  <c r="AK602" i="1"/>
  <c r="AJ602" i="1"/>
  <c r="AH602" i="1"/>
  <c r="AG602" i="1"/>
  <c r="AF602" i="1"/>
  <c r="AE602" i="1"/>
  <c r="AC602" i="1"/>
  <c r="AB602" i="1"/>
  <c r="AA602" i="1"/>
  <c r="Z602" i="1"/>
  <c r="X602" i="1"/>
  <c r="W602" i="1"/>
  <c r="V602" i="1"/>
  <c r="U602" i="1"/>
  <c r="S602" i="1"/>
  <c r="R602" i="1"/>
  <c r="Q602" i="1"/>
  <c r="P602" i="1"/>
  <c r="N602" i="1"/>
  <c r="M602" i="1"/>
  <c r="L602" i="1"/>
  <c r="K602" i="1"/>
  <c r="AW601" i="1"/>
  <c r="AV601" i="1"/>
  <c r="AU601" i="1"/>
  <c r="AT601" i="1"/>
  <c r="AR601" i="1"/>
  <c r="AQ601" i="1"/>
  <c r="AP601" i="1"/>
  <c r="AO601" i="1"/>
  <c r="AM601" i="1"/>
  <c r="AL601" i="1"/>
  <c r="AK601" i="1"/>
  <c r="AJ601" i="1"/>
  <c r="AH601" i="1"/>
  <c r="AG601" i="1"/>
  <c r="AF601" i="1"/>
  <c r="AE601" i="1"/>
  <c r="AC601" i="1"/>
  <c r="AB601" i="1"/>
  <c r="AA601" i="1"/>
  <c r="Z601" i="1"/>
  <c r="X601" i="1"/>
  <c r="W601" i="1"/>
  <c r="V601" i="1"/>
  <c r="U601" i="1"/>
  <c r="S601" i="1"/>
  <c r="R601" i="1"/>
  <c r="Q601" i="1"/>
  <c r="P601" i="1"/>
  <c r="N601" i="1"/>
  <c r="M601" i="1"/>
  <c r="L601" i="1"/>
  <c r="K601" i="1"/>
  <c r="AW600" i="1"/>
  <c r="AV600" i="1"/>
  <c r="AU600" i="1"/>
  <c r="AT600" i="1"/>
  <c r="AR600" i="1"/>
  <c r="AQ600" i="1"/>
  <c r="AP600" i="1"/>
  <c r="AO600" i="1"/>
  <c r="AM600" i="1"/>
  <c r="AL600" i="1"/>
  <c r="AK600" i="1"/>
  <c r="AJ600" i="1"/>
  <c r="AH600" i="1"/>
  <c r="AG600" i="1"/>
  <c r="AF600" i="1"/>
  <c r="AE600" i="1"/>
  <c r="AC600" i="1"/>
  <c r="AB600" i="1"/>
  <c r="AA600" i="1"/>
  <c r="Z600" i="1"/>
  <c r="X600" i="1"/>
  <c r="W600" i="1"/>
  <c r="V600" i="1"/>
  <c r="U600" i="1"/>
  <c r="S600" i="1"/>
  <c r="R600" i="1"/>
  <c r="Q600" i="1"/>
  <c r="P600" i="1"/>
  <c r="N600" i="1"/>
  <c r="M600" i="1"/>
  <c r="L600" i="1"/>
  <c r="K600" i="1"/>
  <c r="AW599" i="1"/>
  <c r="AV599" i="1"/>
  <c r="AU599" i="1"/>
  <c r="AT599" i="1"/>
  <c r="AR599" i="1"/>
  <c r="AQ599" i="1"/>
  <c r="AP599" i="1"/>
  <c r="AO599" i="1"/>
  <c r="AM599" i="1"/>
  <c r="AL599" i="1"/>
  <c r="AK599" i="1"/>
  <c r="AJ599" i="1"/>
  <c r="AH599" i="1"/>
  <c r="AG599" i="1"/>
  <c r="AF599" i="1"/>
  <c r="AE599" i="1"/>
  <c r="AC599" i="1"/>
  <c r="AB599" i="1"/>
  <c r="AA599" i="1"/>
  <c r="Z599" i="1"/>
  <c r="X599" i="1"/>
  <c r="W599" i="1"/>
  <c r="V599" i="1"/>
  <c r="U599" i="1"/>
  <c r="S599" i="1"/>
  <c r="R599" i="1"/>
  <c r="Q599" i="1"/>
  <c r="P599" i="1"/>
  <c r="N599" i="1"/>
  <c r="M599" i="1"/>
  <c r="L599" i="1"/>
  <c r="K599" i="1"/>
  <c r="AW598" i="1"/>
  <c r="AV598" i="1"/>
  <c r="AU598" i="1"/>
  <c r="AT598" i="1"/>
  <c r="AR598" i="1"/>
  <c r="AQ598" i="1"/>
  <c r="AP598" i="1"/>
  <c r="AO598" i="1"/>
  <c r="AM598" i="1"/>
  <c r="AL598" i="1"/>
  <c r="AK598" i="1"/>
  <c r="AJ598" i="1"/>
  <c r="AH598" i="1"/>
  <c r="AG598" i="1"/>
  <c r="AF598" i="1"/>
  <c r="AE598" i="1"/>
  <c r="AC598" i="1"/>
  <c r="AB598" i="1"/>
  <c r="AA598" i="1"/>
  <c r="Z598" i="1"/>
  <c r="X598" i="1"/>
  <c r="W598" i="1"/>
  <c r="V598" i="1"/>
  <c r="U598" i="1"/>
  <c r="S598" i="1"/>
  <c r="R598" i="1"/>
  <c r="Q598" i="1"/>
  <c r="P598" i="1"/>
  <c r="N598" i="1"/>
  <c r="M598" i="1"/>
  <c r="L598" i="1"/>
  <c r="K598" i="1"/>
  <c r="AW597" i="1"/>
  <c r="AV597" i="1"/>
  <c r="AU597" i="1"/>
  <c r="AT597" i="1"/>
  <c r="AR597" i="1"/>
  <c r="AQ597" i="1"/>
  <c r="AP597" i="1"/>
  <c r="AO597" i="1"/>
  <c r="AM597" i="1"/>
  <c r="AL597" i="1"/>
  <c r="AK597" i="1"/>
  <c r="AJ597" i="1"/>
  <c r="AH597" i="1"/>
  <c r="AG597" i="1"/>
  <c r="AF597" i="1"/>
  <c r="AE597" i="1"/>
  <c r="AC597" i="1"/>
  <c r="AB597" i="1"/>
  <c r="AA597" i="1"/>
  <c r="Z597" i="1"/>
  <c r="X597" i="1"/>
  <c r="W597" i="1"/>
  <c r="V597" i="1"/>
  <c r="U597" i="1"/>
  <c r="S597" i="1"/>
  <c r="R597" i="1"/>
  <c r="Q597" i="1"/>
  <c r="P597" i="1"/>
  <c r="N597" i="1"/>
  <c r="M597" i="1"/>
  <c r="L597" i="1"/>
  <c r="K597" i="1"/>
  <c r="AW596" i="1"/>
  <c r="AV596" i="1"/>
  <c r="AU596" i="1"/>
  <c r="AT596" i="1"/>
  <c r="AR596" i="1"/>
  <c r="AQ596" i="1"/>
  <c r="AP596" i="1"/>
  <c r="AO596" i="1"/>
  <c r="AM596" i="1"/>
  <c r="AL596" i="1"/>
  <c r="AK596" i="1"/>
  <c r="AJ596" i="1"/>
  <c r="AH596" i="1"/>
  <c r="AG596" i="1"/>
  <c r="AF596" i="1"/>
  <c r="AE596" i="1"/>
  <c r="AC596" i="1"/>
  <c r="AB596" i="1"/>
  <c r="AA596" i="1"/>
  <c r="Z596" i="1"/>
  <c r="X596" i="1"/>
  <c r="W596" i="1"/>
  <c r="V596" i="1"/>
  <c r="U596" i="1"/>
  <c r="S596" i="1"/>
  <c r="R596" i="1"/>
  <c r="Q596" i="1"/>
  <c r="P596" i="1"/>
  <c r="N596" i="1"/>
  <c r="M596" i="1"/>
  <c r="L596" i="1"/>
  <c r="K596" i="1"/>
  <c r="AW595" i="1"/>
  <c r="AV595" i="1"/>
  <c r="AU595" i="1"/>
  <c r="AT595" i="1"/>
  <c r="AR595" i="1"/>
  <c r="AQ595" i="1"/>
  <c r="AP595" i="1"/>
  <c r="AO595" i="1"/>
  <c r="AM595" i="1"/>
  <c r="AL595" i="1"/>
  <c r="AK595" i="1"/>
  <c r="AJ595" i="1"/>
  <c r="AH595" i="1"/>
  <c r="AG595" i="1"/>
  <c r="AF595" i="1"/>
  <c r="AE595" i="1"/>
  <c r="AC595" i="1"/>
  <c r="AB595" i="1"/>
  <c r="AA595" i="1"/>
  <c r="Z595" i="1"/>
  <c r="X595" i="1"/>
  <c r="W595" i="1"/>
  <c r="V595" i="1"/>
  <c r="U595" i="1"/>
  <c r="S595" i="1"/>
  <c r="R595" i="1"/>
  <c r="Q595" i="1"/>
  <c r="P595" i="1"/>
  <c r="N595" i="1"/>
  <c r="M595" i="1"/>
  <c r="L595" i="1"/>
  <c r="K595" i="1"/>
  <c r="AW594" i="1"/>
  <c r="AV594" i="1"/>
  <c r="AU594" i="1"/>
  <c r="AT594" i="1"/>
  <c r="AR594" i="1"/>
  <c r="AQ594" i="1"/>
  <c r="AP594" i="1"/>
  <c r="AO594" i="1"/>
  <c r="AM594" i="1"/>
  <c r="AL594" i="1"/>
  <c r="AK594" i="1"/>
  <c r="AJ594" i="1"/>
  <c r="AH594" i="1"/>
  <c r="AG594" i="1"/>
  <c r="AF594" i="1"/>
  <c r="AE594" i="1"/>
  <c r="AC594" i="1"/>
  <c r="AB594" i="1"/>
  <c r="AA594" i="1"/>
  <c r="Z594" i="1"/>
  <c r="X594" i="1"/>
  <c r="W594" i="1"/>
  <c r="V594" i="1"/>
  <c r="U594" i="1"/>
  <c r="S594" i="1"/>
  <c r="R594" i="1"/>
  <c r="Q594" i="1"/>
  <c r="P594" i="1"/>
  <c r="N594" i="1"/>
  <c r="M594" i="1"/>
  <c r="L594" i="1"/>
  <c r="K594" i="1"/>
  <c r="AW593" i="1"/>
  <c r="AV593" i="1"/>
  <c r="AU593" i="1"/>
  <c r="AT593" i="1"/>
  <c r="AR593" i="1"/>
  <c r="AQ593" i="1"/>
  <c r="AP593" i="1"/>
  <c r="AO593" i="1"/>
  <c r="AM593" i="1"/>
  <c r="AL593" i="1"/>
  <c r="AK593" i="1"/>
  <c r="AJ593" i="1"/>
  <c r="AH593" i="1"/>
  <c r="AG593" i="1"/>
  <c r="AF593" i="1"/>
  <c r="AE593" i="1"/>
  <c r="AC593" i="1"/>
  <c r="AB593" i="1"/>
  <c r="AA593" i="1"/>
  <c r="Z593" i="1"/>
  <c r="X593" i="1"/>
  <c r="W593" i="1"/>
  <c r="V593" i="1"/>
  <c r="U593" i="1"/>
  <c r="S593" i="1"/>
  <c r="R593" i="1"/>
  <c r="Q593" i="1"/>
  <c r="P593" i="1"/>
  <c r="N593" i="1"/>
  <c r="M593" i="1"/>
  <c r="L593" i="1"/>
  <c r="K593" i="1"/>
  <c r="AW592" i="1"/>
  <c r="AV592" i="1"/>
  <c r="AU592" i="1"/>
  <c r="AT592" i="1"/>
  <c r="AR592" i="1"/>
  <c r="AQ592" i="1"/>
  <c r="AP592" i="1"/>
  <c r="AO592" i="1"/>
  <c r="AM592" i="1"/>
  <c r="AL592" i="1"/>
  <c r="AK592" i="1"/>
  <c r="AJ592" i="1"/>
  <c r="AH592" i="1"/>
  <c r="AG592" i="1"/>
  <c r="AF592" i="1"/>
  <c r="AE592" i="1"/>
  <c r="AC592" i="1"/>
  <c r="AB592" i="1"/>
  <c r="AA592" i="1"/>
  <c r="Z592" i="1"/>
  <c r="X592" i="1"/>
  <c r="W592" i="1"/>
  <c r="V592" i="1"/>
  <c r="U592" i="1"/>
  <c r="S592" i="1"/>
  <c r="R592" i="1"/>
  <c r="Q592" i="1"/>
  <c r="P592" i="1"/>
  <c r="N592" i="1"/>
  <c r="M592" i="1"/>
  <c r="L592" i="1"/>
  <c r="K592" i="1"/>
  <c r="AW591" i="1"/>
  <c r="AV591" i="1"/>
  <c r="AU591" i="1"/>
  <c r="AT591" i="1"/>
  <c r="AR591" i="1"/>
  <c r="AQ591" i="1"/>
  <c r="AP591" i="1"/>
  <c r="AO591" i="1"/>
  <c r="AM591" i="1"/>
  <c r="AL591" i="1"/>
  <c r="AK591" i="1"/>
  <c r="AJ591" i="1"/>
  <c r="AH591" i="1"/>
  <c r="AG591" i="1"/>
  <c r="AF591" i="1"/>
  <c r="AE591" i="1"/>
  <c r="AC591" i="1"/>
  <c r="AB591" i="1"/>
  <c r="AA591" i="1"/>
  <c r="Z591" i="1"/>
  <c r="X591" i="1"/>
  <c r="W591" i="1"/>
  <c r="V591" i="1"/>
  <c r="U591" i="1"/>
  <c r="S591" i="1"/>
  <c r="R591" i="1"/>
  <c r="Q591" i="1"/>
  <c r="P591" i="1"/>
  <c r="N591" i="1"/>
  <c r="M591" i="1"/>
  <c r="L591" i="1"/>
  <c r="K591" i="1"/>
  <c r="AW590" i="1"/>
  <c r="AV590" i="1"/>
  <c r="AU590" i="1"/>
  <c r="AT590" i="1"/>
  <c r="AR590" i="1"/>
  <c r="AQ590" i="1"/>
  <c r="AP590" i="1"/>
  <c r="AO590" i="1"/>
  <c r="AM590" i="1"/>
  <c r="AL590" i="1"/>
  <c r="AK590" i="1"/>
  <c r="AJ590" i="1"/>
  <c r="AH590" i="1"/>
  <c r="AG590" i="1"/>
  <c r="AF590" i="1"/>
  <c r="AE590" i="1"/>
  <c r="AC590" i="1"/>
  <c r="AB590" i="1"/>
  <c r="AA590" i="1"/>
  <c r="Z590" i="1"/>
  <c r="X590" i="1"/>
  <c r="W590" i="1"/>
  <c r="V590" i="1"/>
  <c r="U590" i="1"/>
  <c r="S590" i="1"/>
  <c r="R590" i="1"/>
  <c r="Q590" i="1"/>
  <c r="P590" i="1"/>
  <c r="N590" i="1"/>
  <c r="M590" i="1"/>
  <c r="L590" i="1"/>
  <c r="K590" i="1"/>
  <c r="AW589" i="1"/>
  <c r="AV589" i="1"/>
  <c r="AU589" i="1"/>
  <c r="AT589" i="1"/>
  <c r="AR589" i="1"/>
  <c r="AQ589" i="1"/>
  <c r="AP589" i="1"/>
  <c r="AO589" i="1"/>
  <c r="AM589" i="1"/>
  <c r="AL589" i="1"/>
  <c r="AK589" i="1"/>
  <c r="AJ589" i="1"/>
  <c r="AH589" i="1"/>
  <c r="AG589" i="1"/>
  <c r="AF589" i="1"/>
  <c r="AE589" i="1"/>
  <c r="AC589" i="1"/>
  <c r="AB589" i="1"/>
  <c r="AA589" i="1"/>
  <c r="Z589" i="1"/>
  <c r="X589" i="1"/>
  <c r="W589" i="1"/>
  <c r="V589" i="1"/>
  <c r="U589" i="1"/>
  <c r="S589" i="1"/>
  <c r="R589" i="1"/>
  <c r="Q589" i="1"/>
  <c r="P589" i="1"/>
  <c r="N589" i="1"/>
  <c r="M589" i="1"/>
  <c r="L589" i="1"/>
  <c r="K589" i="1"/>
  <c r="AW588" i="1"/>
  <c r="AV588" i="1"/>
  <c r="AU588" i="1"/>
  <c r="AT588" i="1"/>
  <c r="AR588" i="1"/>
  <c r="AQ588" i="1"/>
  <c r="AP588" i="1"/>
  <c r="AO588" i="1"/>
  <c r="AM588" i="1"/>
  <c r="AL588" i="1"/>
  <c r="AK588" i="1"/>
  <c r="AJ588" i="1"/>
  <c r="AH588" i="1"/>
  <c r="AG588" i="1"/>
  <c r="AF588" i="1"/>
  <c r="AE588" i="1"/>
  <c r="AC588" i="1"/>
  <c r="AB588" i="1"/>
  <c r="AA588" i="1"/>
  <c r="Z588" i="1"/>
  <c r="X588" i="1"/>
  <c r="W588" i="1"/>
  <c r="V588" i="1"/>
  <c r="U588" i="1"/>
  <c r="S588" i="1"/>
  <c r="R588" i="1"/>
  <c r="Q588" i="1"/>
  <c r="P588" i="1"/>
  <c r="N588" i="1"/>
  <c r="M588" i="1"/>
  <c r="L588" i="1"/>
  <c r="K588" i="1"/>
  <c r="AW587" i="1"/>
  <c r="AV587" i="1"/>
  <c r="AU587" i="1"/>
  <c r="AT587" i="1"/>
  <c r="AR587" i="1"/>
  <c r="AQ587" i="1"/>
  <c r="AP587" i="1"/>
  <c r="AO587" i="1"/>
  <c r="AM587" i="1"/>
  <c r="AL587" i="1"/>
  <c r="AK587" i="1"/>
  <c r="AJ587" i="1"/>
  <c r="AH587" i="1"/>
  <c r="AG587" i="1"/>
  <c r="AF587" i="1"/>
  <c r="AE587" i="1"/>
  <c r="AC587" i="1"/>
  <c r="AB587" i="1"/>
  <c r="AA587" i="1"/>
  <c r="Z587" i="1"/>
  <c r="X587" i="1"/>
  <c r="W587" i="1"/>
  <c r="V587" i="1"/>
  <c r="U587" i="1"/>
  <c r="S587" i="1"/>
  <c r="R587" i="1"/>
  <c r="Q587" i="1"/>
  <c r="P587" i="1"/>
  <c r="N587" i="1"/>
  <c r="M587" i="1"/>
  <c r="L587" i="1"/>
  <c r="K587" i="1"/>
  <c r="AW586" i="1"/>
  <c r="AV586" i="1"/>
  <c r="AU586" i="1"/>
  <c r="AT586" i="1"/>
  <c r="AR586" i="1"/>
  <c r="AQ586" i="1"/>
  <c r="AP586" i="1"/>
  <c r="AO586" i="1"/>
  <c r="AM586" i="1"/>
  <c r="AL586" i="1"/>
  <c r="AK586" i="1"/>
  <c r="AJ586" i="1"/>
  <c r="AH586" i="1"/>
  <c r="AG586" i="1"/>
  <c r="AF586" i="1"/>
  <c r="AE586" i="1"/>
  <c r="AC586" i="1"/>
  <c r="AB586" i="1"/>
  <c r="AA586" i="1"/>
  <c r="Z586" i="1"/>
  <c r="X586" i="1"/>
  <c r="W586" i="1"/>
  <c r="V586" i="1"/>
  <c r="U586" i="1"/>
  <c r="S586" i="1"/>
  <c r="R586" i="1"/>
  <c r="Q586" i="1"/>
  <c r="P586" i="1"/>
  <c r="N586" i="1"/>
  <c r="M586" i="1"/>
  <c r="L586" i="1"/>
  <c r="K586" i="1"/>
  <c r="AW585" i="1"/>
  <c r="AV585" i="1"/>
  <c r="AU585" i="1"/>
  <c r="AT585" i="1"/>
  <c r="AR585" i="1"/>
  <c r="AQ585" i="1"/>
  <c r="AP585" i="1"/>
  <c r="AO585" i="1"/>
  <c r="AM585" i="1"/>
  <c r="AL585" i="1"/>
  <c r="AK585" i="1"/>
  <c r="AJ585" i="1"/>
  <c r="AH585" i="1"/>
  <c r="AG585" i="1"/>
  <c r="AF585" i="1"/>
  <c r="AE585" i="1"/>
  <c r="AC585" i="1"/>
  <c r="AB585" i="1"/>
  <c r="AA585" i="1"/>
  <c r="Z585" i="1"/>
  <c r="X585" i="1"/>
  <c r="W585" i="1"/>
  <c r="V585" i="1"/>
  <c r="U585" i="1"/>
  <c r="S585" i="1"/>
  <c r="R585" i="1"/>
  <c r="Q585" i="1"/>
  <c r="P585" i="1"/>
  <c r="N585" i="1"/>
  <c r="M585" i="1"/>
  <c r="L585" i="1"/>
  <c r="K585" i="1"/>
  <c r="AW584" i="1"/>
  <c r="AV584" i="1"/>
  <c r="AU584" i="1"/>
  <c r="AT584" i="1"/>
  <c r="AR584" i="1"/>
  <c r="AQ584" i="1"/>
  <c r="AP584" i="1"/>
  <c r="AO584" i="1"/>
  <c r="AM584" i="1"/>
  <c r="AL584" i="1"/>
  <c r="AK584" i="1"/>
  <c r="AJ584" i="1"/>
  <c r="AH584" i="1"/>
  <c r="AG584" i="1"/>
  <c r="AF584" i="1"/>
  <c r="AE584" i="1"/>
  <c r="AC584" i="1"/>
  <c r="AB584" i="1"/>
  <c r="AA584" i="1"/>
  <c r="Z584" i="1"/>
  <c r="X584" i="1"/>
  <c r="W584" i="1"/>
  <c r="V584" i="1"/>
  <c r="U584" i="1"/>
  <c r="S584" i="1"/>
  <c r="R584" i="1"/>
  <c r="Q584" i="1"/>
  <c r="P584" i="1"/>
  <c r="N584" i="1"/>
  <c r="M584" i="1"/>
  <c r="L584" i="1"/>
  <c r="K584" i="1"/>
  <c r="AW583" i="1"/>
  <c r="AV583" i="1"/>
  <c r="AU583" i="1"/>
  <c r="AT583" i="1"/>
  <c r="AR583" i="1"/>
  <c r="AQ583" i="1"/>
  <c r="AP583" i="1"/>
  <c r="AO583" i="1"/>
  <c r="AM583" i="1"/>
  <c r="AL583" i="1"/>
  <c r="AK583" i="1"/>
  <c r="AJ583" i="1"/>
  <c r="AH583" i="1"/>
  <c r="AG583" i="1"/>
  <c r="AF583" i="1"/>
  <c r="AE583" i="1"/>
  <c r="AC583" i="1"/>
  <c r="AB583" i="1"/>
  <c r="AA583" i="1"/>
  <c r="Z583" i="1"/>
  <c r="X583" i="1"/>
  <c r="W583" i="1"/>
  <c r="V583" i="1"/>
  <c r="U583" i="1"/>
  <c r="S583" i="1"/>
  <c r="R583" i="1"/>
  <c r="Q583" i="1"/>
  <c r="P583" i="1"/>
  <c r="N583" i="1"/>
  <c r="M583" i="1"/>
  <c r="L583" i="1"/>
  <c r="K583" i="1"/>
  <c r="AW582" i="1"/>
  <c r="AV582" i="1"/>
  <c r="AU582" i="1"/>
  <c r="AT582" i="1"/>
  <c r="AR582" i="1"/>
  <c r="AQ582" i="1"/>
  <c r="AP582" i="1"/>
  <c r="AO582" i="1"/>
  <c r="AM582" i="1"/>
  <c r="AL582" i="1"/>
  <c r="AK582" i="1"/>
  <c r="AJ582" i="1"/>
  <c r="AH582" i="1"/>
  <c r="AG582" i="1"/>
  <c r="AF582" i="1"/>
  <c r="AE582" i="1"/>
  <c r="AC582" i="1"/>
  <c r="AB582" i="1"/>
  <c r="AA582" i="1"/>
  <c r="Z582" i="1"/>
  <c r="X582" i="1"/>
  <c r="W582" i="1"/>
  <c r="V582" i="1"/>
  <c r="U582" i="1"/>
  <c r="S582" i="1"/>
  <c r="R582" i="1"/>
  <c r="Q582" i="1"/>
  <c r="P582" i="1"/>
  <c r="N582" i="1"/>
  <c r="M582" i="1"/>
  <c r="L582" i="1"/>
  <c r="K582" i="1"/>
  <c r="AW581" i="1"/>
  <c r="AV581" i="1"/>
  <c r="AU581" i="1"/>
  <c r="AT581" i="1"/>
  <c r="AR581" i="1"/>
  <c r="AQ581" i="1"/>
  <c r="AP581" i="1"/>
  <c r="AO581" i="1"/>
  <c r="AM581" i="1"/>
  <c r="AL581" i="1"/>
  <c r="AK581" i="1"/>
  <c r="AJ581" i="1"/>
  <c r="AH581" i="1"/>
  <c r="AG581" i="1"/>
  <c r="AF581" i="1"/>
  <c r="AE581" i="1"/>
  <c r="AC581" i="1"/>
  <c r="AB581" i="1"/>
  <c r="AA581" i="1"/>
  <c r="Z581" i="1"/>
  <c r="X581" i="1"/>
  <c r="W581" i="1"/>
  <c r="V581" i="1"/>
  <c r="U581" i="1"/>
  <c r="S581" i="1"/>
  <c r="R581" i="1"/>
  <c r="Q581" i="1"/>
  <c r="P581" i="1"/>
  <c r="N581" i="1"/>
  <c r="M581" i="1"/>
  <c r="L581" i="1"/>
  <c r="K581" i="1"/>
  <c r="AW580" i="1"/>
  <c r="AV580" i="1"/>
  <c r="AU580" i="1"/>
  <c r="AT580" i="1"/>
  <c r="AR580" i="1"/>
  <c r="AQ580" i="1"/>
  <c r="AP580" i="1"/>
  <c r="AO580" i="1"/>
  <c r="AM580" i="1"/>
  <c r="AL580" i="1"/>
  <c r="AK580" i="1"/>
  <c r="AJ580" i="1"/>
  <c r="AH580" i="1"/>
  <c r="AG580" i="1"/>
  <c r="AF580" i="1"/>
  <c r="AE580" i="1"/>
  <c r="AC580" i="1"/>
  <c r="AB580" i="1"/>
  <c r="AA580" i="1"/>
  <c r="Z580" i="1"/>
  <c r="X580" i="1"/>
  <c r="W580" i="1"/>
  <c r="V580" i="1"/>
  <c r="U580" i="1"/>
  <c r="S580" i="1"/>
  <c r="R580" i="1"/>
  <c r="Q580" i="1"/>
  <c r="P580" i="1"/>
  <c r="N580" i="1"/>
  <c r="M580" i="1"/>
  <c r="L580" i="1"/>
  <c r="K580" i="1"/>
  <c r="AW579" i="1"/>
  <c r="AV579" i="1"/>
  <c r="AU579" i="1"/>
  <c r="AT579" i="1"/>
  <c r="AR579" i="1"/>
  <c r="AQ579" i="1"/>
  <c r="AP579" i="1"/>
  <c r="AO579" i="1"/>
  <c r="AM579" i="1"/>
  <c r="AL579" i="1"/>
  <c r="AK579" i="1"/>
  <c r="AJ579" i="1"/>
  <c r="AH579" i="1"/>
  <c r="AG579" i="1"/>
  <c r="AF579" i="1"/>
  <c r="AE579" i="1"/>
  <c r="AC579" i="1"/>
  <c r="AB579" i="1"/>
  <c r="AA579" i="1"/>
  <c r="Z579" i="1"/>
  <c r="X579" i="1"/>
  <c r="W579" i="1"/>
  <c r="V579" i="1"/>
  <c r="U579" i="1"/>
  <c r="S579" i="1"/>
  <c r="R579" i="1"/>
  <c r="Q579" i="1"/>
  <c r="P579" i="1"/>
  <c r="N579" i="1"/>
  <c r="M579" i="1"/>
  <c r="L579" i="1"/>
  <c r="K579" i="1"/>
  <c r="AW578" i="1"/>
  <c r="AV578" i="1"/>
  <c r="AU578" i="1"/>
  <c r="AT578" i="1"/>
  <c r="AR578" i="1"/>
  <c r="AQ578" i="1"/>
  <c r="AP578" i="1"/>
  <c r="AO578" i="1"/>
  <c r="AM578" i="1"/>
  <c r="AL578" i="1"/>
  <c r="AK578" i="1"/>
  <c r="AJ578" i="1"/>
  <c r="AH578" i="1"/>
  <c r="AG578" i="1"/>
  <c r="AF578" i="1"/>
  <c r="AE578" i="1"/>
  <c r="AC578" i="1"/>
  <c r="AB578" i="1"/>
  <c r="AA578" i="1"/>
  <c r="Z578" i="1"/>
  <c r="X578" i="1"/>
  <c r="W578" i="1"/>
  <c r="V578" i="1"/>
  <c r="U578" i="1"/>
  <c r="S578" i="1"/>
  <c r="R578" i="1"/>
  <c r="Q578" i="1"/>
  <c r="P578" i="1"/>
  <c r="N578" i="1"/>
  <c r="M578" i="1"/>
  <c r="L578" i="1"/>
  <c r="K578" i="1"/>
  <c r="AW577" i="1"/>
  <c r="AV577" i="1"/>
  <c r="AU577" i="1"/>
  <c r="AT577" i="1"/>
  <c r="AR577" i="1"/>
  <c r="AQ577" i="1"/>
  <c r="AP577" i="1"/>
  <c r="AO577" i="1"/>
  <c r="AM577" i="1"/>
  <c r="AL577" i="1"/>
  <c r="AK577" i="1"/>
  <c r="AJ577" i="1"/>
  <c r="AH577" i="1"/>
  <c r="AG577" i="1"/>
  <c r="AF577" i="1"/>
  <c r="AE577" i="1"/>
  <c r="AC577" i="1"/>
  <c r="AB577" i="1"/>
  <c r="AA577" i="1"/>
  <c r="Z577" i="1"/>
  <c r="X577" i="1"/>
  <c r="W577" i="1"/>
  <c r="V577" i="1"/>
  <c r="U577" i="1"/>
  <c r="S577" i="1"/>
  <c r="R577" i="1"/>
  <c r="Q577" i="1"/>
  <c r="P577" i="1"/>
  <c r="N577" i="1"/>
  <c r="M577" i="1"/>
  <c r="L577" i="1"/>
  <c r="K577" i="1"/>
  <c r="AW576" i="1"/>
  <c r="AV576" i="1"/>
  <c r="AU576" i="1"/>
  <c r="AT576" i="1"/>
  <c r="AR576" i="1"/>
  <c r="AQ576" i="1"/>
  <c r="AP576" i="1"/>
  <c r="AO576" i="1"/>
  <c r="AM576" i="1"/>
  <c r="AL576" i="1"/>
  <c r="AK576" i="1"/>
  <c r="AJ576" i="1"/>
  <c r="AH576" i="1"/>
  <c r="AG576" i="1"/>
  <c r="AF576" i="1"/>
  <c r="AE576" i="1"/>
  <c r="AC576" i="1"/>
  <c r="AB576" i="1"/>
  <c r="AA576" i="1"/>
  <c r="Z576" i="1"/>
  <c r="X576" i="1"/>
  <c r="W576" i="1"/>
  <c r="V576" i="1"/>
  <c r="U576" i="1"/>
  <c r="S576" i="1"/>
  <c r="R576" i="1"/>
  <c r="Q576" i="1"/>
  <c r="P576" i="1"/>
  <c r="N576" i="1"/>
  <c r="M576" i="1"/>
  <c r="L576" i="1"/>
  <c r="K576" i="1"/>
  <c r="AW575" i="1"/>
  <c r="AV575" i="1"/>
  <c r="AU575" i="1"/>
  <c r="AT575" i="1"/>
  <c r="AR575" i="1"/>
  <c r="AQ575" i="1"/>
  <c r="AP575" i="1"/>
  <c r="AO575" i="1"/>
  <c r="AM575" i="1"/>
  <c r="AL575" i="1"/>
  <c r="AK575" i="1"/>
  <c r="AJ575" i="1"/>
  <c r="AH575" i="1"/>
  <c r="AG575" i="1"/>
  <c r="AF575" i="1"/>
  <c r="AE575" i="1"/>
  <c r="AC575" i="1"/>
  <c r="AB575" i="1"/>
  <c r="AA575" i="1"/>
  <c r="Z575" i="1"/>
  <c r="X575" i="1"/>
  <c r="W575" i="1"/>
  <c r="V575" i="1"/>
  <c r="U575" i="1"/>
  <c r="S575" i="1"/>
  <c r="R575" i="1"/>
  <c r="Q575" i="1"/>
  <c r="P575" i="1"/>
  <c r="N575" i="1"/>
  <c r="M575" i="1"/>
  <c r="L575" i="1"/>
  <c r="K575" i="1"/>
  <c r="AW574" i="1"/>
  <c r="AV574" i="1"/>
  <c r="AU574" i="1"/>
  <c r="AT574" i="1"/>
  <c r="AR574" i="1"/>
  <c r="AQ574" i="1"/>
  <c r="AP574" i="1"/>
  <c r="AO574" i="1"/>
  <c r="AM574" i="1"/>
  <c r="AL574" i="1"/>
  <c r="AK574" i="1"/>
  <c r="AJ574" i="1"/>
  <c r="AH574" i="1"/>
  <c r="AG574" i="1"/>
  <c r="AF574" i="1"/>
  <c r="AE574" i="1"/>
  <c r="AC574" i="1"/>
  <c r="AB574" i="1"/>
  <c r="AA574" i="1"/>
  <c r="Z574" i="1"/>
  <c r="X574" i="1"/>
  <c r="W574" i="1"/>
  <c r="V574" i="1"/>
  <c r="U574" i="1"/>
  <c r="S574" i="1"/>
  <c r="R574" i="1"/>
  <c r="Q574" i="1"/>
  <c r="P574" i="1"/>
  <c r="N574" i="1"/>
  <c r="M574" i="1"/>
  <c r="L574" i="1"/>
  <c r="K574" i="1"/>
  <c r="AW573" i="1"/>
  <c r="AV573" i="1"/>
  <c r="AU573" i="1"/>
  <c r="AT573" i="1"/>
  <c r="AR573" i="1"/>
  <c r="AQ573" i="1"/>
  <c r="AP573" i="1"/>
  <c r="AO573" i="1"/>
  <c r="AM573" i="1"/>
  <c r="AL573" i="1"/>
  <c r="AK573" i="1"/>
  <c r="AJ573" i="1"/>
  <c r="AH573" i="1"/>
  <c r="AG573" i="1"/>
  <c r="AF573" i="1"/>
  <c r="AE573" i="1"/>
  <c r="AC573" i="1"/>
  <c r="AB573" i="1"/>
  <c r="AA573" i="1"/>
  <c r="Z573" i="1"/>
  <c r="X573" i="1"/>
  <c r="W573" i="1"/>
  <c r="V573" i="1"/>
  <c r="U573" i="1"/>
  <c r="S573" i="1"/>
  <c r="R573" i="1"/>
  <c r="Q573" i="1"/>
  <c r="P573" i="1"/>
  <c r="N573" i="1"/>
  <c r="M573" i="1"/>
  <c r="L573" i="1"/>
  <c r="K573" i="1"/>
  <c r="AW572" i="1"/>
  <c r="AV572" i="1"/>
  <c r="AU572" i="1"/>
  <c r="AT572" i="1"/>
  <c r="AR572" i="1"/>
  <c r="AQ572" i="1"/>
  <c r="AP572" i="1"/>
  <c r="AO572" i="1"/>
  <c r="AM572" i="1"/>
  <c r="AL572" i="1"/>
  <c r="AK572" i="1"/>
  <c r="AJ572" i="1"/>
  <c r="AH572" i="1"/>
  <c r="AG572" i="1"/>
  <c r="AF572" i="1"/>
  <c r="AE572" i="1"/>
  <c r="AC572" i="1"/>
  <c r="AB572" i="1"/>
  <c r="AA572" i="1"/>
  <c r="Z572" i="1"/>
  <c r="X572" i="1"/>
  <c r="W572" i="1"/>
  <c r="V572" i="1"/>
  <c r="U572" i="1"/>
  <c r="S572" i="1"/>
  <c r="R572" i="1"/>
  <c r="Q572" i="1"/>
  <c r="P572" i="1"/>
  <c r="N572" i="1"/>
  <c r="M572" i="1"/>
  <c r="L572" i="1"/>
  <c r="K572" i="1"/>
  <c r="AW571" i="1"/>
  <c r="AV571" i="1"/>
  <c r="AU571" i="1"/>
  <c r="AT571" i="1"/>
  <c r="AR571" i="1"/>
  <c r="AQ571" i="1"/>
  <c r="AP571" i="1"/>
  <c r="AO571" i="1"/>
  <c r="AM571" i="1"/>
  <c r="AL571" i="1"/>
  <c r="AK571" i="1"/>
  <c r="AJ571" i="1"/>
  <c r="AH571" i="1"/>
  <c r="AG571" i="1"/>
  <c r="AF571" i="1"/>
  <c r="AE571" i="1"/>
  <c r="AC571" i="1"/>
  <c r="AB571" i="1"/>
  <c r="AA571" i="1"/>
  <c r="Z571" i="1"/>
  <c r="X571" i="1"/>
  <c r="W571" i="1"/>
  <c r="V571" i="1"/>
  <c r="U571" i="1"/>
  <c r="S571" i="1"/>
  <c r="R571" i="1"/>
  <c r="Q571" i="1"/>
  <c r="P571" i="1"/>
  <c r="N571" i="1"/>
  <c r="M571" i="1"/>
  <c r="L571" i="1"/>
  <c r="K571" i="1"/>
  <c r="AW570" i="1"/>
  <c r="AV570" i="1"/>
  <c r="AU570" i="1"/>
  <c r="AT570" i="1"/>
  <c r="AR570" i="1"/>
  <c r="AQ570" i="1"/>
  <c r="AP570" i="1"/>
  <c r="AO570" i="1"/>
  <c r="AM570" i="1"/>
  <c r="AL570" i="1"/>
  <c r="AK570" i="1"/>
  <c r="AJ570" i="1"/>
  <c r="AH570" i="1"/>
  <c r="AG570" i="1"/>
  <c r="AF570" i="1"/>
  <c r="AE570" i="1"/>
  <c r="AC570" i="1"/>
  <c r="AB570" i="1"/>
  <c r="AA570" i="1"/>
  <c r="Z570" i="1"/>
  <c r="X570" i="1"/>
  <c r="W570" i="1"/>
  <c r="V570" i="1"/>
  <c r="U570" i="1"/>
  <c r="S570" i="1"/>
  <c r="R570" i="1"/>
  <c r="Q570" i="1"/>
  <c r="P570" i="1"/>
  <c r="N570" i="1"/>
  <c r="M570" i="1"/>
  <c r="L570" i="1"/>
  <c r="K570" i="1"/>
  <c r="AW569" i="1"/>
  <c r="AV569" i="1"/>
  <c r="AU569" i="1"/>
  <c r="AT569" i="1"/>
  <c r="AR569" i="1"/>
  <c r="AQ569" i="1"/>
  <c r="AP569" i="1"/>
  <c r="AO569" i="1"/>
  <c r="AM569" i="1"/>
  <c r="AL569" i="1"/>
  <c r="AK569" i="1"/>
  <c r="AJ569" i="1"/>
  <c r="AH569" i="1"/>
  <c r="AG569" i="1"/>
  <c r="AF569" i="1"/>
  <c r="AE569" i="1"/>
  <c r="AC569" i="1"/>
  <c r="AB569" i="1"/>
  <c r="AA569" i="1"/>
  <c r="Z569" i="1"/>
  <c r="X569" i="1"/>
  <c r="W569" i="1"/>
  <c r="V569" i="1"/>
  <c r="U569" i="1"/>
  <c r="S569" i="1"/>
  <c r="R569" i="1"/>
  <c r="Q569" i="1"/>
  <c r="P569" i="1"/>
  <c r="N569" i="1"/>
  <c r="M569" i="1"/>
  <c r="L569" i="1"/>
  <c r="K569" i="1"/>
  <c r="AW568" i="1"/>
  <c r="AV568" i="1"/>
  <c r="AU568" i="1"/>
  <c r="AT568" i="1"/>
  <c r="AR568" i="1"/>
  <c r="AQ568" i="1"/>
  <c r="AP568" i="1"/>
  <c r="AO568" i="1"/>
  <c r="AM568" i="1"/>
  <c r="AL568" i="1"/>
  <c r="AK568" i="1"/>
  <c r="AJ568" i="1"/>
  <c r="AH568" i="1"/>
  <c r="AG568" i="1"/>
  <c r="AF568" i="1"/>
  <c r="AE568" i="1"/>
  <c r="AC568" i="1"/>
  <c r="AB568" i="1"/>
  <c r="AA568" i="1"/>
  <c r="Z568" i="1"/>
  <c r="X568" i="1"/>
  <c r="W568" i="1"/>
  <c r="V568" i="1"/>
  <c r="U568" i="1"/>
  <c r="S568" i="1"/>
  <c r="R568" i="1"/>
  <c r="Q568" i="1"/>
  <c r="P568" i="1"/>
  <c r="N568" i="1"/>
  <c r="M568" i="1"/>
  <c r="L568" i="1"/>
  <c r="K568" i="1"/>
  <c r="AW567" i="1"/>
  <c r="AV567" i="1"/>
  <c r="AU567" i="1"/>
  <c r="AT567" i="1"/>
  <c r="AR567" i="1"/>
  <c r="AQ567" i="1"/>
  <c r="AP567" i="1"/>
  <c r="AO567" i="1"/>
  <c r="AM567" i="1"/>
  <c r="AL567" i="1"/>
  <c r="AK567" i="1"/>
  <c r="AJ567" i="1"/>
  <c r="AH567" i="1"/>
  <c r="AG567" i="1"/>
  <c r="AF567" i="1"/>
  <c r="AE567" i="1"/>
  <c r="AC567" i="1"/>
  <c r="AB567" i="1"/>
  <c r="AA567" i="1"/>
  <c r="Z567" i="1"/>
  <c r="X567" i="1"/>
  <c r="W567" i="1"/>
  <c r="V567" i="1"/>
  <c r="U567" i="1"/>
  <c r="S567" i="1"/>
  <c r="R567" i="1"/>
  <c r="Q567" i="1"/>
  <c r="P567" i="1"/>
  <c r="N567" i="1"/>
  <c r="M567" i="1"/>
  <c r="L567" i="1"/>
  <c r="K567" i="1"/>
  <c r="AW566" i="1"/>
  <c r="AV566" i="1"/>
  <c r="AU566" i="1"/>
  <c r="AT566" i="1"/>
  <c r="AR566" i="1"/>
  <c r="AQ566" i="1"/>
  <c r="AP566" i="1"/>
  <c r="AO566" i="1"/>
  <c r="AM566" i="1"/>
  <c r="AL566" i="1"/>
  <c r="AK566" i="1"/>
  <c r="AJ566" i="1"/>
  <c r="AH566" i="1"/>
  <c r="AG566" i="1"/>
  <c r="AF566" i="1"/>
  <c r="AE566" i="1"/>
  <c r="AC566" i="1"/>
  <c r="AB566" i="1"/>
  <c r="AA566" i="1"/>
  <c r="Z566" i="1"/>
  <c r="X566" i="1"/>
  <c r="W566" i="1"/>
  <c r="V566" i="1"/>
  <c r="U566" i="1"/>
  <c r="S566" i="1"/>
  <c r="R566" i="1"/>
  <c r="Q566" i="1"/>
  <c r="P566" i="1"/>
  <c r="N566" i="1"/>
  <c r="M566" i="1"/>
  <c r="L566" i="1"/>
  <c r="K566" i="1"/>
  <c r="AW565" i="1"/>
  <c r="AV565" i="1"/>
  <c r="AU565" i="1"/>
  <c r="AT565" i="1"/>
  <c r="AR565" i="1"/>
  <c r="AQ565" i="1"/>
  <c r="AP565" i="1"/>
  <c r="AO565" i="1"/>
  <c r="AM565" i="1"/>
  <c r="AL565" i="1"/>
  <c r="AK565" i="1"/>
  <c r="AJ565" i="1"/>
  <c r="AH565" i="1"/>
  <c r="AG565" i="1"/>
  <c r="AF565" i="1"/>
  <c r="AE565" i="1"/>
  <c r="AC565" i="1"/>
  <c r="AB565" i="1"/>
  <c r="AA565" i="1"/>
  <c r="Z565" i="1"/>
  <c r="X565" i="1"/>
  <c r="W565" i="1"/>
  <c r="V565" i="1"/>
  <c r="U565" i="1"/>
  <c r="S565" i="1"/>
  <c r="R565" i="1"/>
  <c r="Q565" i="1"/>
  <c r="P565" i="1"/>
  <c r="N565" i="1"/>
  <c r="M565" i="1"/>
  <c r="L565" i="1"/>
  <c r="K565" i="1"/>
  <c r="AW564" i="1"/>
  <c r="AV564" i="1"/>
  <c r="AU564" i="1"/>
  <c r="AT564" i="1"/>
  <c r="AR564" i="1"/>
  <c r="AQ564" i="1"/>
  <c r="AP564" i="1"/>
  <c r="AO564" i="1"/>
  <c r="AM564" i="1"/>
  <c r="AL564" i="1"/>
  <c r="AK564" i="1"/>
  <c r="AJ564" i="1"/>
  <c r="AH564" i="1"/>
  <c r="AG564" i="1"/>
  <c r="AF564" i="1"/>
  <c r="AE564" i="1"/>
  <c r="AC564" i="1"/>
  <c r="AB564" i="1"/>
  <c r="AA564" i="1"/>
  <c r="Z564" i="1"/>
  <c r="X564" i="1"/>
  <c r="W564" i="1"/>
  <c r="V564" i="1"/>
  <c r="U564" i="1"/>
  <c r="S564" i="1"/>
  <c r="R564" i="1"/>
  <c r="Q564" i="1"/>
  <c r="P564" i="1"/>
  <c r="N564" i="1"/>
  <c r="M564" i="1"/>
  <c r="L564" i="1"/>
  <c r="K564" i="1"/>
  <c r="AW563" i="1"/>
  <c r="AV563" i="1"/>
  <c r="AU563" i="1"/>
  <c r="AT563" i="1"/>
  <c r="AR563" i="1"/>
  <c r="AQ563" i="1"/>
  <c r="AP563" i="1"/>
  <c r="AO563" i="1"/>
  <c r="AM563" i="1"/>
  <c r="AL563" i="1"/>
  <c r="AK563" i="1"/>
  <c r="AJ563" i="1"/>
  <c r="AH563" i="1"/>
  <c r="AG563" i="1"/>
  <c r="AF563" i="1"/>
  <c r="AE563" i="1"/>
  <c r="AC563" i="1"/>
  <c r="AB563" i="1"/>
  <c r="AA563" i="1"/>
  <c r="Z563" i="1"/>
  <c r="X563" i="1"/>
  <c r="W563" i="1"/>
  <c r="V563" i="1"/>
  <c r="U563" i="1"/>
  <c r="S563" i="1"/>
  <c r="R563" i="1"/>
  <c r="Q563" i="1"/>
  <c r="P563" i="1"/>
  <c r="N563" i="1"/>
  <c r="M563" i="1"/>
  <c r="L563" i="1"/>
  <c r="K563" i="1"/>
  <c r="AW562" i="1"/>
  <c r="AV562" i="1"/>
  <c r="AU562" i="1"/>
  <c r="AT562" i="1"/>
  <c r="AR562" i="1"/>
  <c r="AQ562" i="1"/>
  <c r="AP562" i="1"/>
  <c r="AO562" i="1"/>
  <c r="AM562" i="1"/>
  <c r="AL562" i="1"/>
  <c r="AK562" i="1"/>
  <c r="AJ562" i="1"/>
  <c r="AH562" i="1"/>
  <c r="AG562" i="1"/>
  <c r="AF562" i="1"/>
  <c r="AE562" i="1"/>
  <c r="AC562" i="1"/>
  <c r="AB562" i="1"/>
  <c r="AA562" i="1"/>
  <c r="Z562" i="1"/>
  <c r="X562" i="1"/>
  <c r="W562" i="1"/>
  <c r="V562" i="1"/>
  <c r="U562" i="1"/>
  <c r="S562" i="1"/>
  <c r="R562" i="1"/>
  <c r="Q562" i="1"/>
  <c r="P562" i="1"/>
  <c r="N562" i="1"/>
  <c r="M562" i="1"/>
  <c r="L562" i="1"/>
  <c r="K562" i="1"/>
  <c r="AW561" i="1"/>
  <c r="AV561" i="1"/>
  <c r="AU561" i="1"/>
  <c r="AT561" i="1"/>
  <c r="AR561" i="1"/>
  <c r="AQ561" i="1"/>
  <c r="AP561" i="1"/>
  <c r="AO561" i="1"/>
  <c r="AM561" i="1"/>
  <c r="AL561" i="1"/>
  <c r="AK561" i="1"/>
  <c r="AJ561" i="1"/>
  <c r="AH561" i="1"/>
  <c r="AG561" i="1"/>
  <c r="AF561" i="1"/>
  <c r="AE561" i="1"/>
  <c r="AC561" i="1"/>
  <c r="AB561" i="1"/>
  <c r="AA561" i="1"/>
  <c r="Z561" i="1"/>
  <c r="X561" i="1"/>
  <c r="W561" i="1"/>
  <c r="V561" i="1"/>
  <c r="U561" i="1"/>
  <c r="S561" i="1"/>
  <c r="R561" i="1"/>
  <c r="Q561" i="1"/>
  <c r="P561" i="1"/>
  <c r="N561" i="1"/>
  <c r="M561" i="1"/>
  <c r="L561" i="1"/>
  <c r="K561" i="1"/>
  <c r="AW560" i="1"/>
  <c r="AV560" i="1"/>
  <c r="AU560" i="1"/>
  <c r="AT560" i="1"/>
  <c r="AR560" i="1"/>
  <c r="AQ560" i="1"/>
  <c r="AP560" i="1"/>
  <c r="AO560" i="1"/>
  <c r="AM560" i="1"/>
  <c r="AL560" i="1"/>
  <c r="AK560" i="1"/>
  <c r="AJ560" i="1"/>
  <c r="AH560" i="1"/>
  <c r="AG560" i="1"/>
  <c r="AF560" i="1"/>
  <c r="AE560" i="1"/>
  <c r="AC560" i="1"/>
  <c r="AB560" i="1"/>
  <c r="AA560" i="1"/>
  <c r="Z560" i="1"/>
  <c r="X560" i="1"/>
  <c r="W560" i="1"/>
  <c r="V560" i="1"/>
  <c r="U560" i="1"/>
  <c r="S560" i="1"/>
  <c r="R560" i="1"/>
  <c r="Q560" i="1"/>
  <c r="P560" i="1"/>
  <c r="N560" i="1"/>
  <c r="M560" i="1"/>
  <c r="L560" i="1"/>
  <c r="K560" i="1"/>
  <c r="AW559" i="1"/>
  <c r="AV559" i="1"/>
  <c r="AU559" i="1"/>
  <c r="AT559" i="1"/>
  <c r="AR559" i="1"/>
  <c r="AQ559" i="1"/>
  <c r="AP559" i="1"/>
  <c r="AO559" i="1"/>
  <c r="AM559" i="1"/>
  <c r="AL559" i="1"/>
  <c r="AK559" i="1"/>
  <c r="AJ559" i="1"/>
  <c r="AH559" i="1"/>
  <c r="AG559" i="1"/>
  <c r="AF559" i="1"/>
  <c r="AE559" i="1"/>
  <c r="AC559" i="1"/>
  <c r="AB559" i="1"/>
  <c r="AA559" i="1"/>
  <c r="Z559" i="1"/>
  <c r="X559" i="1"/>
  <c r="W559" i="1"/>
  <c r="V559" i="1"/>
  <c r="U559" i="1"/>
  <c r="S559" i="1"/>
  <c r="R559" i="1"/>
  <c r="Q559" i="1"/>
  <c r="P559" i="1"/>
  <c r="N559" i="1"/>
  <c r="M559" i="1"/>
  <c r="L559" i="1"/>
  <c r="K559" i="1"/>
  <c r="AW558" i="1"/>
  <c r="AV558" i="1"/>
  <c r="AU558" i="1"/>
  <c r="AT558" i="1"/>
  <c r="AR558" i="1"/>
  <c r="AQ558" i="1"/>
  <c r="AP558" i="1"/>
  <c r="AO558" i="1"/>
  <c r="AM558" i="1"/>
  <c r="AL558" i="1"/>
  <c r="AK558" i="1"/>
  <c r="AJ558" i="1"/>
  <c r="AH558" i="1"/>
  <c r="AG558" i="1"/>
  <c r="AF558" i="1"/>
  <c r="AE558" i="1"/>
  <c r="AC558" i="1"/>
  <c r="AB558" i="1"/>
  <c r="AA558" i="1"/>
  <c r="Z558" i="1"/>
  <c r="X558" i="1"/>
  <c r="W558" i="1"/>
  <c r="V558" i="1"/>
  <c r="U558" i="1"/>
  <c r="S558" i="1"/>
  <c r="R558" i="1"/>
  <c r="Q558" i="1"/>
  <c r="P558" i="1"/>
  <c r="N558" i="1"/>
  <c r="M558" i="1"/>
  <c r="L558" i="1"/>
  <c r="K558" i="1"/>
  <c r="AW557" i="1"/>
  <c r="AV557" i="1"/>
  <c r="AU557" i="1"/>
  <c r="AT557" i="1"/>
  <c r="AR557" i="1"/>
  <c r="AQ557" i="1"/>
  <c r="AP557" i="1"/>
  <c r="AO557" i="1"/>
  <c r="AM557" i="1"/>
  <c r="AL557" i="1"/>
  <c r="AK557" i="1"/>
  <c r="AJ557" i="1"/>
  <c r="AH557" i="1"/>
  <c r="AG557" i="1"/>
  <c r="AF557" i="1"/>
  <c r="AE557" i="1"/>
  <c r="AC557" i="1"/>
  <c r="AB557" i="1"/>
  <c r="AA557" i="1"/>
  <c r="Z557" i="1"/>
  <c r="X557" i="1"/>
  <c r="W557" i="1"/>
  <c r="V557" i="1"/>
  <c r="U557" i="1"/>
  <c r="S557" i="1"/>
  <c r="R557" i="1"/>
  <c r="Q557" i="1"/>
  <c r="P557" i="1"/>
  <c r="N557" i="1"/>
  <c r="M557" i="1"/>
  <c r="L557" i="1"/>
  <c r="K557" i="1"/>
  <c r="AW556" i="1"/>
  <c r="AV556" i="1"/>
  <c r="AU556" i="1"/>
  <c r="AT556" i="1"/>
  <c r="AR556" i="1"/>
  <c r="AQ556" i="1"/>
  <c r="AP556" i="1"/>
  <c r="AO556" i="1"/>
  <c r="AM556" i="1"/>
  <c r="AL556" i="1"/>
  <c r="AK556" i="1"/>
  <c r="AJ556" i="1"/>
  <c r="AH556" i="1"/>
  <c r="AG556" i="1"/>
  <c r="AF556" i="1"/>
  <c r="AE556" i="1"/>
  <c r="AC556" i="1"/>
  <c r="AB556" i="1"/>
  <c r="AA556" i="1"/>
  <c r="Z556" i="1"/>
  <c r="X556" i="1"/>
  <c r="W556" i="1"/>
  <c r="V556" i="1"/>
  <c r="U556" i="1"/>
  <c r="S556" i="1"/>
  <c r="R556" i="1"/>
  <c r="Q556" i="1"/>
  <c r="P556" i="1"/>
  <c r="N556" i="1"/>
  <c r="M556" i="1"/>
  <c r="L556" i="1"/>
  <c r="K556" i="1"/>
  <c r="AW555" i="1"/>
  <c r="AV555" i="1"/>
  <c r="AU555" i="1"/>
  <c r="AT555" i="1"/>
  <c r="AR555" i="1"/>
  <c r="AQ555" i="1"/>
  <c r="AP555" i="1"/>
  <c r="AO555" i="1"/>
  <c r="AM555" i="1"/>
  <c r="AL555" i="1"/>
  <c r="AK555" i="1"/>
  <c r="AJ555" i="1"/>
  <c r="AH555" i="1"/>
  <c r="AG555" i="1"/>
  <c r="AF555" i="1"/>
  <c r="AE555" i="1"/>
  <c r="AC555" i="1"/>
  <c r="AB555" i="1"/>
  <c r="AA555" i="1"/>
  <c r="Z555" i="1"/>
  <c r="X555" i="1"/>
  <c r="W555" i="1"/>
  <c r="V555" i="1"/>
  <c r="U555" i="1"/>
  <c r="S555" i="1"/>
  <c r="R555" i="1"/>
  <c r="Q555" i="1"/>
  <c r="P555" i="1"/>
  <c r="N555" i="1"/>
  <c r="M555" i="1"/>
  <c r="L555" i="1"/>
  <c r="K555" i="1"/>
  <c r="AW554" i="1"/>
  <c r="AV554" i="1"/>
  <c r="AU554" i="1"/>
  <c r="AT554" i="1"/>
  <c r="AR554" i="1"/>
  <c r="AQ554" i="1"/>
  <c r="AP554" i="1"/>
  <c r="AO554" i="1"/>
  <c r="AM554" i="1"/>
  <c r="AL554" i="1"/>
  <c r="AK554" i="1"/>
  <c r="AJ554" i="1"/>
  <c r="AH554" i="1"/>
  <c r="AG554" i="1"/>
  <c r="AF554" i="1"/>
  <c r="AE554" i="1"/>
  <c r="AC554" i="1"/>
  <c r="AB554" i="1"/>
  <c r="AA554" i="1"/>
  <c r="Z554" i="1"/>
  <c r="X554" i="1"/>
  <c r="W554" i="1"/>
  <c r="V554" i="1"/>
  <c r="U554" i="1"/>
  <c r="S554" i="1"/>
  <c r="R554" i="1"/>
  <c r="Q554" i="1"/>
  <c r="P554" i="1"/>
  <c r="N554" i="1"/>
  <c r="M554" i="1"/>
  <c r="L554" i="1"/>
  <c r="K554" i="1"/>
  <c r="AW553" i="1"/>
  <c r="AV553" i="1"/>
  <c r="AU553" i="1"/>
  <c r="AT553" i="1"/>
  <c r="AR553" i="1"/>
  <c r="AQ553" i="1"/>
  <c r="AP553" i="1"/>
  <c r="AO553" i="1"/>
  <c r="AM553" i="1"/>
  <c r="AL553" i="1"/>
  <c r="AK553" i="1"/>
  <c r="AJ553" i="1"/>
  <c r="AH553" i="1"/>
  <c r="AG553" i="1"/>
  <c r="AF553" i="1"/>
  <c r="AE553" i="1"/>
  <c r="AC553" i="1"/>
  <c r="AB553" i="1"/>
  <c r="AA553" i="1"/>
  <c r="Z553" i="1"/>
  <c r="X553" i="1"/>
  <c r="W553" i="1"/>
  <c r="V553" i="1"/>
  <c r="U553" i="1"/>
  <c r="S553" i="1"/>
  <c r="R553" i="1"/>
  <c r="Q553" i="1"/>
  <c r="P553" i="1"/>
  <c r="N553" i="1"/>
  <c r="M553" i="1"/>
  <c r="L553" i="1"/>
  <c r="K553" i="1"/>
  <c r="AW552" i="1"/>
  <c r="AV552" i="1"/>
  <c r="AU552" i="1"/>
  <c r="AT552" i="1"/>
  <c r="AR552" i="1"/>
  <c r="AQ552" i="1"/>
  <c r="AP552" i="1"/>
  <c r="AO552" i="1"/>
  <c r="AM552" i="1"/>
  <c r="AL552" i="1"/>
  <c r="AK552" i="1"/>
  <c r="AJ552" i="1"/>
  <c r="AH552" i="1"/>
  <c r="AG552" i="1"/>
  <c r="AF552" i="1"/>
  <c r="AE552" i="1"/>
  <c r="AC552" i="1"/>
  <c r="AB552" i="1"/>
  <c r="AA552" i="1"/>
  <c r="Z552" i="1"/>
  <c r="X552" i="1"/>
  <c r="W552" i="1"/>
  <c r="V552" i="1"/>
  <c r="U552" i="1"/>
  <c r="S552" i="1"/>
  <c r="R552" i="1"/>
  <c r="Q552" i="1"/>
  <c r="P552" i="1"/>
  <c r="N552" i="1"/>
  <c r="M552" i="1"/>
  <c r="L552" i="1"/>
  <c r="K552" i="1"/>
  <c r="AW551" i="1"/>
  <c r="AV551" i="1"/>
  <c r="AU551" i="1"/>
  <c r="AT551" i="1"/>
  <c r="AR551" i="1"/>
  <c r="AQ551" i="1"/>
  <c r="AP551" i="1"/>
  <c r="AO551" i="1"/>
  <c r="AM551" i="1"/>
  <c r="AL551" i="1"/>
  <c r="AK551" i="1"/>
  <c r="AJ551" i="1"/>
  <c r="AH551" i="1"/>
  <c r="AG551" i="1"/>
  <c r="AF551" i="1"/>
  <c r="AE551" i="1"/>
  <c r="AC551" i="1"/>
  <c r="AB551" i="1"/>
  <c r="AA551" i="1"/>
  <c r="Z551" i="1"/>
  <c r="X551" i="1"/>
  <c r="W551" i="1"/>
  <c r="V551" i="1"/>
  <c r="U551" i="1"/>
  <c r="S551" i="1"/>
  <c r="R551" i="1"/>
  <c r="Q551" i="1"/>
  <c r="P551" i="1"/>
  <c r="N551" i="1"/>
  <c r="M551" i="1"/>
  <c r="L551" i="1"/>
  <c r="K551" i="1"/>
  <c r="AW550" i="1"/>
  <c r="AV550" i="1"/>
  <c r="AU550" i="1"/>
  <c r="AT550" i="1"/>
  <c r="AR550" i="1"/>
  <c r="AQ550" i="1"/>
  <c r="AP550" i="1"/>
  <c r="AO550" i="1"/>
  <c r="AM550" i="1"/>
  <c r="AL550" i="1"/>
  <c r="AK550" i="1"/>
  <c r="AJ550" i="1"/>
  <c r="AH550" i="1"/>
  <c r="AG550" i="1"/>
  <c r="AF550" i="1"/>
  <c r="AE550" i="1"/>
  <c r="AC550" i="1"/>
  <c r="AB550" i="1"/>
  <c r="AA550" i="1"/>
  <c r="Z550" i="1"/>
  <c r="X550" i="1"/>
  <c r="W550" i="1"/>
  <c r="V550" i="1"/>
  <c r="U550" i="1"/>
  <c r="S550" i="1"/>
  <c r="R550" i="1"/>
  <c r="Q550" i="1"/>
  <c r="P550" i="1"/>
  <c r="N550" i="1"/>
  <c r="M550" i="1"/>
  <c r="L550" i="1"/>
  <c r="K550" i="1"/>
  <c r="AW549" i="1"/>
  <c r="AV549" i="1"/>
  <c r="AU549" i="1"/>
  <c r="AT549" i="1"/>
  <c r="AR549" i="1"/>
  <c r="AQ549" i="1"/>
  <c r="AP549" i="1"/>
  <c r="AO549" i="1"/>
  <c r="AM549" i="1"/>
  <c r="AL549" i="1"/>
  <c r="AK549" i="1"/>
  <c r="AJ549" i="1"/>
  <c r="AH549" i="1"/>
  <c r="AG549" i="1"/>
  <c r="AF549" i="1"/>
  <c r="AE549" i="1"/>
  <c r="AC549" i="1"/>
  <c r="AB549" i="1"/>
  <c r="AA549" i="1"/>
  <c r="Z549" i="1"/>
  <c r="X549" i="1"/>
  <c r="W549" i="1"/>
  <c r="V549" i="1"/>
  <c r="U549" i="1"/>
  <c r="S549" i="1"/>
  <c r="R549" i="1"/>
  <c r="Q549" i="1"/>
  <c r="P549" i="1"/>
  <c r="N549" i="1"/>
  <c r="M549" i="1"/>
  <c r="L549" i="1"/>
  <c r="K549" i="1"/>
  <c r="AW548" i="1"/>
  <c r="AV548" i="1"/>
  <c r="AU548" i="1"/>
  <c r="AT548" i="1"/>
  <c r="AR548" i="1"/>
  <c r="AQ548" i="1"/>
  <c r="AP548" i="1"/>
  <c r="AO548" i="1"/>
  <c r="AM548" i="1"/>
  <c r="AL548" i="1"/>
  <c r="AK548" i="1"/>
  <c r="AJ548" i="1"/>
  <c r="AH548" i="1"/>
  <c r="AG548" i="1"/>
  <c r="AF548" i="1"/>
  <c r="AE548" i="1"/>
  <c r="AC548" i="1"/>
  <c r="AB548" i="1"/>
  <c r="AA548" i="1"/>
  <c r="Z548" i="1"/>
  <c r="X548" i="1"/>
  <c r="W548" i="1"/>
  <c r="V548" i="1"/>
  <c r="U548" i="1"/>
  <c r="S548" i="1"/>
  <c r="R548" i="1"/>
  <c r="Q548" i="1"/>
  <c r="P548" i="1"/>
  <c r="N548" i="1"/>
  <c r="M548" i="1"/>
  <c r="L548" i="1"/>
  <c r="K548" i="1"/>
  <c r="AW547" i="1"/>
  <c r="AV547" i="1"/>
  <c r="AU547" i="1"/>
  <c r="AT547" i="1"/>
  <c r="AR547" i="1"/>
  <c r="AQ547" i="1"/>
  <c r="AP547" i="1"/>
  <c r="AO547" i="1"/>
  <c r="AM547" i="1"/>
  <c r="AL547" i="1"/>
  <c r="AK547" i="1"/>
  <c r="AJ547" i="1"/>
  <c r="AH547" i="1"/>
  <c r="AG547" i="1"/>
  <c r="AF547" i="1"/>
  <c r="AE547" i="1"/>
  <c r="AC547" i="1"/>
  <c r="AB547" i="1"/>
  <c r="AA547" i="1"/>
  <c r="Z547" i="1"/>
  <c r="X547" i="1"/>
  <c r="W547" i="1"/>
  <c r="V547" i="1"/>
  <c r="U547" i="1"/>
  <c r="S547" i="1"/>
  <c r="R547" i="1"/>
  <c r="Q547" i="1"/>
  <c r="P547" i="1"/>
  <c r="N547" i="1"/>
  <c r="M547" i="1"/>
  <c r="L547" i="1"/>
  <c r="K547" i="1"/>
  <c r="AW546" i="1"/>
  <c r="AV546" i="1"/>
  <c r="AU546" i="1"/>
  <c r="AT546" i="1"/>
  <c r="AR546" i="1"/>
  <c r="AQ546" i="1"/>
  <c r="AP546" i="1"/>
  <c r="AO546" i="1"/>
  <c r="AM546" i="1"/>
  <c r="AL546" i="1"/>
  <c r="AK546" i="1"/>
  <c r="AJ546" i="1"/>
  <c r="AH546" i="1"/>
  <c r="AG546" i="1"/>
  <c r="AF546" i="1"/>
  <c r="AE546" i="1"/>
  <c r="AC546" i="1"/>
  <c r="AB546" i="1"/>
  <c r="AA546" i="1"/>
  <c r="Z546" i="1"/>
  <c r="X546" i="1"/>
  <c r="W546" i="1"/>
  <c r="V546" i="1"/>
  <c r="U546" i="1"/>
  <c r="S546" i="1"/>
  <c r="R546" i="1"/>
  <c r="Q546" i="1"/>
  <c r="P546" i="1"/>
  <c r="N546" i="1"/>
  <c r="M546" i="1"/>
  <c r="L546" i="1"/>
  <c r="K546" i="1"/>
  <c r="AW545" i="1"/>
  <c r="AV545" i="1"/>
  <c r="AU545" i="1"/>
  <c r="AT545" i="1"/>
  <c r="AR545" i="1"/>
  <c r="AQ545" i="1"/>
  <c r="AP545" i="1"/>
  <c r="AO545" i="1"/>
  <c r="AM545" i="1"/>
  <c r="AL545" i="1"/>
  <c r="AK545" i="1"/>
  <c r="AJ545" i="1"/>
  <c r="AH545" i="1"/>
  <c r="AG545" i="1"/>
  <c r="AF545" i="1"/>
  <c r="AE545" i="1"/>
  <c r="AC545" i="1"/>
  <c r="AB545" i="1"/>
  <c r="AA545" i="1"/>
  <c r="Z545" i="1"/>
  <c r="X545" i="1"/>
  <c r="W545" i="1"/>
  <c r="V545" i="1"/>
  <c r="U545" i="1"/>
  <c r="S545" i="1"/>
  <c r="R545" i="1"/>
  <c r="Q545" i="1"/>
  <c r="P545" i="1"/>
  <c r="N545" i="1"/>
  <c r="M545" i="1"/>
  <c r="L545" i="1"/>
  <c r="K545" i="1"/>
  <c r="AW544" i="1"/>
  <c r="AV544" i="1"/>
  <c r="AU544" i="1"/>
  <c r="AT544" i="1"/>
  <c r="AR544" i="1"/>
  <c r="AQ544" i="1"/>
  <c r="AP544" i="1"/>
  <c r="AO544" i="1"/>
  <c r="AM544" i="1"/>
  <c r="AL544" i="1"/>
  <c r="AK544" i="1"/>
  <c r="AJ544" i="1"/>
  <c r="AH544" i="1"/>
  <c r="AG544" i="1"/>
  <c r="AF544" i="1"/>
  <c r="AE544" i="1"/>
  <c r="AC544" i="1"/>
  <c r="AB544" i="1"/>
  <c r="AA544" i="1"/>
  <c r="Z544" i="1"/>
  <c r="X544" i="1"/>
  <c r="W544" i="1"/>
  <c r="V544" i="1"/>
  <c r="U544" i="1"/>
  <c r="S544" i="1"/>
  <c r="R544" i="1"/>
  <c r="Q544" i="1"/>
  <c r="P544" i="1"/>
  <c r="N544" i="1"/>
  <c r="M544" i="1"/>
  <c r="L544" i="1"/>
  <c r="K544" i="1"/>
  <c r="AW543" i="1"/>
  <c r="AV543" i="1"/>
  <c r="AU543" i="1"/>
  <c r="AT543" i="1"/>
  <c r="AR543" i="1"/>
  <c r="AQ543" i="1"/>
  <c r="AP543" i="1"/>
  <c r="AO543" i="1"/>
  <c r="AM543" i="1"/>
  <c r="AL543" i="1"/>
  <c r="AK543" i="1"/>
  <c r="AJ543" i="1"/>
  <c r="AH543" i="1"/>
  <c r="AG543" i="1"/>
  <c r="AF543" i="1"/>
  <c r="AE543" i="1"/>
  <c r="AC543" i="1"/>
  <c r="AB543" i="1"/>
  <c r="AA543" i="1"/>
  <c r="Z543" i="1"/>
  <c r="X543" i="1"/>
  <c r="W543" i="1"/>
  <c r="V543" i="1"/>
  <c r="U543" i="1"/>
  <c r="S543" i="1"/>
  <c r="R543" i="1"/>
  <c r="Q543" i="1"/>
  <c r="P543" i="1"/>
  <c r="N543" i="1"/>
  <c r="M543" i="1"/>
  <c r="L543" i="1"/>
  <c r="K543" i="1"/>
  <c r="AW542" i="1"/>
  <c r="AV542" i="1"/>
  <c r="AU542" i="1"/>
  <c r="AT542" i="1"/>
  <c r="AR542" i="1"/>
  <c r="AQ542" i="1"/>
  <c r="AP542" i="1"/>
  <c r="AO542" i="1"/>
  <c r="AM542" i="1"/>
  <c r="AL542" i="1"/>
  <c r="AK542" i="1"/>
  <c r="AJ542" i="1"/>
  <c r="AH542" i="1"/>
  <c r="AG542" i="1"/>
  <c r="AF542" i="1"/>
  <c r="AE542" i="1"/>
  <c r="AC542" i="1"/>
  <c r="AB542" i="1"/>
  <c r="AA542" i="1"/>
  <c r="Z542" i="1"/>
  <c r="X542" i="1"/>
  <c r="W542" i="1"/>
  <c r="V542" i="1"/>
  <c r="U542" i="1"/>
  <c r="S542" i="1"/>
  <c r="R542" i="1"/>
  <c r="Q542" i="1"/>
  <c r="P542" i="1"/>
  <c r="N542" i="1"/>
  <c r="M542" i="1"/>
  <c r="L542" i="1"/>
  <c r="K542" i="1"/>
  <c r="AW541" i="1"/>
  <c r="AV541" i="1"/>
  <c r="AU541" i="1"/>
  <c r="AT541" i="1"/>
  <c r="AR541" i="1"/>
  <c r="AQ541" i="1"/>
  <c r="AP541" i="1"/>
  <c r="AO541" i="1"/>
  <c r="AM541" i="1"/>
  <c r="AL541" i="1"/>
  <c r="AK541" i="1"/>
  <c r="AJ541" i="1"/>
  <c r="AH541" i="1"/>
  <c r="AG541" i="1"/>
  <c r="AF541" i="1"/>
  <c r="AE541" i="1"/>
  <c r="AC541" i="1"/>
  <c r="AB541" i="1"/>
  <c r="AA541" i="1"/>
  <c r="Z541" i="1"/>
  <c r="X541" i="1"/>
  <c r="W541" i="1"/>
  <c r="V541" i="1"/>
  <c r="U541" i="1"/>
  <c r="S541" i="1"/>
  <c r="R541" i="1"/>
  <c r="Q541" i="1"/>
  <c r="P541" i="1"/>
  <c r="N541" i="1"/>
  <c r="M541" i="1"/>
  <c r="L541" i="1"/>
  <c r="K541" i="1"/>
  <c r="AW540" i="1"/>
  <c r="AV540" i="1"/>
  <c r="AU540" i="1"/>
  <c r="AT540" i="1"/>
  <c r="AR540" i="1"/>
  <c r="AQ540" i="1"/>
  <c r="AP540" i="1"/>
  <c r="AO540" i="1"/>
  <c r="AM540" i="1"/>
  <c r="AL540" i="1"/>
  <c r="AK540" i="1"/>
  <c r="AJ540" i="1"/>
  <c r="AH540" i="1"/>
  <c r="AG540" i="1"/>
  <c r="AF540" i="1"/>
  <c r="AE540" i="1"/>
  <c r="AC540" i="1"/>
  <c r="AB540" i="1"/>
  <c r="AA540" i="1"/>
  <c r="Z540" i="1"/>
  <c r="X540" i="1"/>
  <c r="W540" i="1"/>
  <c r="V540" i="1"/>
  <c r="U540" i="1"/>
  <c r="S540" i="1"/>
  <c r="R540" i="1"/>
  <c r="Q540" i="1"/>
  <c r="P540" i="1"/>
  <c r="N540" i="1"/>
  <c r="M540" i="1"/>
  <c r="L540" i="1"/>
  <c r="K540" i="1"/>
  <c r="AW539" i="1"/>
  <c r="AV539" i="1"/>
  <c r="AU539" i="1"/>
  <c r="AT539" i="1"/>
  <c r="AR539" i="1"/>
  <c r="AQ539" i="1"/>
  <c r="AP539" i="1"/>
  <c r="AO539" i="1"/>
  <c r="AM539" i="1"/>
  <c r="AL539" i="1"/>
  <c r="AK539" i="1"/>
  <c r="AJ539" i="1"/>
  <c r="AH539" i="1"/>
  <c r="AG539" i="1"/>
  <c r="AF539" i="1"/>
  <c r="AE539" i="1"/>
  <c r="AC539" i="1"/>
  <c r="AB539" i="1"/>
  <c r="AA539" i="1"/>
  <c r="Z539" i="1"/>
  <c r="X539" i="1"/>
  <c r="W539" i="1"/>
  <c r="V539" i="1"/>
  <c r="U539" i="1"/>
  <c r="S539" i="1"/>
  <c r="R539" i="1"/>
  <c r="Q539" i="1"/>
  <c r="P539" i="1"/>
  <c r="N539" i="1"/>
  <c r="M539" i="1"/>
  <c r="L539" i="1"/>
  <c r="K539" i="1"/>
  <c r="AW538" i="1"/>
  <c r="AV538" i="1"/>
  <c r="AU538" i="1"/>
  <c r="AT538" i="1"/>
  <c r="AR538" i="1"/>
  <c r="AQ538" i="1"/>
  <c r="AP538" i="1"/>
  <c r="AO538" i="1"/>
  <c r="AM538" i="1"/>
  <c r="AL538" i="1"/>
  <c r="AK538" i="1"/>
  <c r="AJ538" i="1"/>
  <c r="AH538" i="1"/>
  <c r="AG538" i="1"/>
  <c r="AF538" i="1"/>
  <c r="AE538" i="1"/>
  <c r="AC538" i="1"/>
  <c r="AB538" i="1"/>
  <c r="AA538" i="1"/>
  <c r="Z538" i="1"/>
  <c r="X538" i="1"/>
  <c r="W538" i="1"/>
  <c r="V538" i="1"/>
  <c r="U538" i="1"/>
  <c r="S538" i="1"/>
  <c r="R538" i="1"/>
  <c r="Q538" i="1"/>
  <c r="P538" i="1"/>
  <c r="N538" i="1"/>
  <c r="M538" i="1"/>
  <c r="L538" i="1"/>
  <c r="K538" i="1"/>
  <c r="AW537" i="1"/>
  <c r="AV537" i="1"/>
  <c r="AU537" i="1"/>
  <c r="AT537" i="1"/>
  <c r="AR537" i="1"/>
  <c r="AQ537" i="1"/>
  <c r="AP537" i="1"/>
  <c r="AO537" i="1"/>
  <c r="AM537" i="1"/>
  <c r="AL537" i="1"/>
  <c r="AK537" i="1"/>
  <c r="AJ537" i="1"/>
  <c r="AH537" i="1"/>
  <c r="AG537" i="1"/>
  <c r="AF537" i="1"/>
  <c r="AE537" i="1"/>
  <c r="AC537" i="1"/>
  <c r="AB537" i="1"/>
  <c r="AA537" i="1"/>
  <c r="Z537" i="1"/>
  <c r="X537" i="1"/>
  <c r="W537" i="1"/>
  <c r="V537" i="1"/>
  <c r="U537" i="1"/>
  <c r="S537" i="1"/>
  <c r="R537" i="1"/>
  <c r="Q537" i="1"/>
  <c r="P537" i="1"/>
  <c r="N537" i="1"/>
  <c r="M537" i="1"/>
  <c r="L537" i="1"/>
  <c r="K537" i="1"/>
  <c r="AW536" i="1"/>
  <c r="AV536" i="1"/>
  <c r="AU536" i="1"/>
  <c r="AT536" i="1"/>
  <c r="AR536" i="1"/>
  <c r="AQ536" i="1"/>
  <c r="AP536" i="1"/>
  <c r="AO536" i="1"/>
  <c r="AM536" i="1"/>
  <c r="AL536" i="1"/>
  <c r="AK536" i="1"/>
  <c r="AJ536" i="1"/>
  <c r="AH536" i="1"/>
  <c r="AG536" i="1"/>
  <c r="AF536" i="1"/>
  <c r="AE536" i="1"/>
  <c r="AC536" i="1"/>
  <c r="AB536" i="1"/>
  <c r="AA536" i="1"/>
  <c r="Z536" i="1"/>
  <c r="X536" i="1"/>
  <c r="W536" i="1"/>
  <c r="V536" i="1"/>
  <c r="U536" i="1"/>
  <c r="S536" i="1"/>
  <c r="R536" i="1"/>
  <c r="Q536" i="1"/>
  <c r="P536" i="1"/>
  <c r="N536" i="1"/>
  <c r="M536" i="1"/>
  <c r="L536" i="1"/>
  <c r="K536" i="1"/>
  <c r="AW535" i="1"/>
  <c r="AV535" i="1"/>
  <c r="AU535" i="1"/>
  <c r="AT535" i="1"/>
  <c r="AR535" i="1"/>
  <c r="AQ535" i="1"/>
  <c r="AP535" i="1"/>
  <c r="AO535" i="1"/>
  <c r="AM535" i="1"/>
  <c r="AL535" i="1"/>
  <c r="AK535" i="1"/>
  <c r="AJ535" i="1"/>
  <c r="AH535" i="1"/>
  <c r="AG535" i="1"/>
  <c r="AF535" i="1"/>
  <c r="AE535" i="1"/>
  <c r="AC535" i="1"/>
  <c r="AB535" i="1"/>
  <c r="AA535" i="1"/>
  <c r="Z535" i="1"/>
  <c r="X535" i="1"/>
  <c r="W535" i="1"/>
  <c r="V535" i="1"/>
  <c r="U535" i="1"/>
  <c r="S535" i="1"/>
  <c r="R535" i="1"/>
  <c r="Q535" i="1"/>
  <c r="P535" i="1"/>
  <c r="N535" i="1"/>
  <c r="M535" i="1"/>
  <c r="L535" i="1"/>
  <c r="K535" i="1"/>
  <c r="AW534" i="1"/>
  <c r="AV534" i="1"/>
  <c r="AU534" i="1"/>
  <c r="AT534" i="1"/>
  <c r="AR534" i="1"/>
  <c r="AQ534" i="1"/>
  <c r="AP534" i="1"/>
  <c r="AO534" i="1"/>
  <c r="AM534" i="1"/>
  <c r="AL534" i="1"/>
  <c r="AK534" i="1"/>
  <c r="AJ534" i="1"/>
  <c r="AH534" i="1"/>
  <c r="AG534" i="1"/>
  <c r="AF534" i="1"/>
  <c r="AE534" i="1"/>
  <c r="AC534" i="1"/>
  <c r="AB534" i="1"/>
  <c r="AA534" i="1"/>
  <c r="Z534" i="1"/>
  <c r="X534" i="1"/>
  <c r="W534" i="1"/>
  <c r="V534" i="1"/>
  <c r="U534" i="1"/>
  <c r="S534" i="1"/>
  <c r="R534" i="1"/>
  <c r="Q534" i="1"/>
  <c r="P534" i="1"/>
  <c r="N534" i="1"/>
  <c r="M534" i="1"/>
  <c r="L534" i="1"/>
  <c r="K534" i="1"/>
  <c r="AW533" i="1"/>
  <c r="AV533" i="1"/>
  <c r="AU533" i="1"/>
  <c r="AT533" i="1"/>
  <c r="AR533" i="1"/>
  <c r="AQ533" i="1"/>
  <c r="AP533" i="1"/>
  <c r="AO533" i="1"/>
  <c r="AM533" i="1"/>
  <c r="AL533" i="1"/>
  <c r="AK533" i="1"/>
  <c r="AJ533" i="1"/>
  <c r="AH533" i="1"/>
  <c r="AG533" i="1"/>
  <c r="AF533" i="1"/>
  <c r="AE533" i="1"/>
  <c r="AC533" i="1"/>
  <c r="AB533" i="1"/>
  <c r="AA533" i="1"/>
  <c r="Z533" i="1"/>
  <c r="X533" i="1"/>
  <c r="W533" i="1"/>
  <c r="V533" i="1"/>
  <c r="U533" i="1"/>
  <c r="S533" i="1"/>
  <c r="R533" i="1"/>
  <c r="Q533" i="1"/>
  <c r="P533" i="1"/>
  <c r="N533" i="1"/>
  <c r="M533" i="1"/>
  <c r="L533" i="1"/>
  <c r="K533" i="1"/>
  <c r="AW532" i="1"/>
  <c r="AV532" i="1"/>
  <c r="AU532" i="1"/>
  <c r="AT532" i="1"/>
  <c r="AR532" i="1"/>
  <c r="AQ532" i="1"/>
  <c r="AP532" i="1"/>
  <c r="AO532" i="1"/>
  <c r="AM532" i="1"/>
  <c r="AL532" i="1"/>
  <c r="AK532" i="1"/>
  <c r="AJ532" i="1"/>
  <c r="AH532" i="1"/>
  <c r="AG532" i="1"/>
  <c r="AF532" i="1"/>
  <c r="AE532" i="1"/>
  <c r="AC532" i="1"/>
  <c r="AB532" i="1"/>
  <c r="AA532" i="1"/>
  <c r="Z532" i="1"/>
  <c r="X532" i="1"/>
  <c r="W532" i="1"/>
  <c r="V532" i="1"/>
  <c r="U532" i="1"/>
  <c r="S532" i="1"/>
  <c r="R532" i="1"/>
  <c r="Q532" i="1"/>
  <c r="P532" i="1"/>
  <c r="N532" i="1"/>
  <c r="M532" i="1"/>
  <c r="L532" i="1"/>
  <c r="K532" i="1"/>
  <c r="AW531" i="1"/>
  <c r="AV531" i="1"/>
  <c r="AU531" i="1"/>
  <c r="AT531" i="1"/>
  <c r="AR531" i="1"/>
  <c r="AQ531" i="1"/>
  <c r="AP531" i="1"/>
  <c r="AO531" i="1"/>
  <c r="AM531" i="1"/>
  <c r="AL531" i="1"/>
  <c r="AK531" i="1"/>
  <c r="AJ531" i="1"/>
  <c r="AH531" i="1"/>
  <c r="AG531" i="1"/>
  <c r="AF531" i="1"/>
  <c r="AE531" i="1"/>
  <c r="AC531" i="1"/>
  <c r="AB531" i="1"/>
  <c r="AA531" i="1"/>
  <c r="Z531" i="1"/>
  <c r="X531" i="1"/>
  <c r="W531" i="1"/>
  <c r="V531" i="1"/>
  <c r="U531" i="1"/>
  <c r="S531" i="1"/>
  <c r="R531" i="1"/>
  <c r="Q531" i="1"/>
  <c r="P531" i="1"/>
  <c r="N531" i="1"/>
  <c r="M531" i="1"/>
  <c r="L531" i="1"/>
  <c r="K531" i="1"/>
  <c r="AW530" i="1"/>
  <c r="AV530" i="1"/>
  <c r="AU530" i="1"/>
  <c r="AT530" i="1"/>
  <c r="AR530" i="1"/>
  <c r="AQ530" i="1"/>
  <c r="AP530" i="1"/>
  <c r="AO530" i="1"/>
  <c r="AM530" i="1"/>
  <c r="AL530" i="1"/>
  <c r="AK530" i="1"/>
  <c r="AJ530" i="1"/>
  <c r="AH530" i="1"/>
  <c r="AG530" i="1"/>
  <c r="AF530" i="1"/>
  <c r="AE530" i="1"/>
  <c r="AC530" i="1"/>
  <c r="AB530" i="1"/>
  <c r="AA530" i="1"/>
  <c r="Z530" i="1"/>
  <c r="X530" i="1"/>
  <c r="W530" i="1"/>
  <c r="V530" i="1"/>
  <c r="U530" i="1"/>
  <c r="S530" i="1"/>
  <c r="R530" i="1"/>
  <c r="Q530" i="1"/>
  <c r="P530" i="1"/>
  <c r="N530" i="1"/>
  <c r="M530" i="1"/>
  <c r="L530" i="1"/>
  <c r="K530" i="1"/>
  <c r="AW529" i="1"/>
  <c r="AV529" i="1"/>
  <c r="AU529" i="1"/>
  <c r="AT529" i="1"/>
  <c r="AR529" i="1"/>
  <c r="AQ529" i="1"/>
  <c r="AP529" i="1"/>
  <c r="AO529" i="1"/>
  <c r="AM529" i="1"/>
  <c r="AL529" i="1"/>
  <c r="AK529" i="1"/>
  <c r="AJ529" i="1"/>
  <c r="AH529" i="1"/>
  <c r="AG529" i="1"/>
  <c r="AF529" i="1"/>
  <c r="AE529" i="1"/>
  <c r="AC529" i="1"/>
  <c r="AB529" i="1"/>
  <c r="AA529" i="1"/>
  <c r="Z529" i="1"/>
  <c r="X529" i="1"/>
  <c r="W529" i="1"/>
  <c r="V529" i="1"/>
  <c r="U529" i="1"/>
  <c r="S529" i="1"/>
  <c r="R529" i="1"/>
  <c r="Q529" i="1"/>
  <c r="P529" i="1"/>
  <c r="N529" i="1"/>
  <c r="M529" i="1"/>
  <c r="L529" i="1"/>
  <c r="K529" i="1"/>
  <c r="AW528" i="1"/>
  <c r="AV528" i="1"/>
  <c r="AU528" i="1"/>
  <c r="AT528" i="1"/>
  <c r="AR528" i="1"/>
  <c r="AQ528" i="1"/>
  <c r="AP528" i="1"/>
  <c r="AO528" i="1"/>
  <c r="AM528" i="1"/>
  <c r="AL528" i="1"/>
  <c r="AK528" i="1"/>
  <c r="AJ528" i="1"/>
  <c r="AH528" i="1"/>
  <c r="AG528" i="1"/>
  <c r="AF528" i="1"/>
  <c r="AE528" i="1"/>
  <c r="AC528" i="1"/>
  <c r="AB528" i="1"/>
  <c r="AA528" i="1"/>
  <c r="Z528" i="1"/>
  <c r="X528" i="1"/>
  <c r="W528" i="1"/>
  <c r="V528" i="1"/>
  <c r="U528" i="1"/>
  <c r="S528" i="1"/>
  <c r="R528" i="1"/>
  <c r="Q528" i="1"/>
  <c r="P528" i="1"/>
  <c r="N528" i="1"/>
  <c r="M528" i="1"/>
  <c r="L528" i="1"/>
  <c r="K528" i="1"/>
  <c r="AW527" i="1"/>
  <c r="AV527" i="1"/>
  <c r="AU527" i="1"/>
  <c r="AT527" i="1"/>
  <c r="AR527" i="1"/>
  <c r="AQ527" i="1"/>
  <c r="AP527" i="1"/>
  <c r="AO527" i="1"/>
  <c r="AM527" i="1"/>
  <c r="AL527" i="1"/>
  <c r="AK527" i="1"/>
  <c r="AJ527" i="1"/>
  <c r="AH527" i="1"/>
  <c r="AG527" i="1"/>
  <c r="AF527" i="1"/>
  <c r="AE527" i="1"/>
  <c r="AC527" i="1"/>
  <c r="AB527" i="1"/>
  <c r="AA527" i="1"/>
  <c r="Z527" i="1"/>
  <c r="X527" i="1"/>
  <c r="W527" i="1"/>
  <c r="V527" i="1"/>
  <c r="U527" i="1"/>
  <c r="S527" i="1"/>
  <c r="R527" i="1"/>
  <c r="Q527" i="1"/>
  <c r="P527" i="1"/>
  <c r="N527" i="1"/>
  <c r="M527" i="1"/>
  <c r="L527" i="1"/>
  <c r="K527" i="1"/>
  <c r="AW526" i="1"/>
  <c r="AV526" i="1"/>
  <c r="AU526" i="1"/>
  <c r="AT526" i="1"/>
  <c r="AR526" i="1"/>
  <c r="AQ526" i="1"/>
  <c r="AP526" i="1"/>
  <c r="AO526" i="1"/>
  <c r="AM526" i="1"/>
  <c r="AL526" i="1"/>
  <c r="AK526" i="1"/>
  <c r="AJ526" i="1"/>
  <c r="AH526" i="1"/>
  <c r="AG526" i="1"/>
  <c r="AF526" i="1"/>
  <c r="AE526" i="1"/>
  <c r="AC526" i="1"/>
  <c r="AB526" i="1"/>
  <c r="AA526" i="1"/>
  <c r="Z526" i="1"/>
  <c r="X526" i="1"/>
  <c r="W526" i="1"/>
  <c r="V526" i="1"/>
  <c r="U526" i="1"/>
  <c r="S526" i="1"/>
  <c r="R526" i="1"/>
  <c r="Q526" i="1"/>
  <c r="P526" i="1"/>
  <c r="N526" i="1"/>
  <c r="M526" i="1"/>
  <c r="L526" i="1"/>
  <c r="K526" i="1"/>
  <c r="AW525" i="1"/>
  <c r="AV525" i="1"/>
  <c r="AU525" i="1"/>
  <c r="AT525" i="1"/>
  <c r="AR525" i="1"/>
  <c r="AQ525" i="1"/>
  <c r="AP525" i="1"/>
  <c r="AO525" i="1"/>
  <c r="AM525" i="1"/>
  <c r="AL525" i="1"/>
  <c r="AK525" i="1"/>
  <c r="AJ525" i="1"/>
  <c r="AH525" i="1"/>
  <c r="AG525" i="1"/>
  <c r="AF525" i="1"/>
  <c r="AE525" i="1"/>
  <c r="AC525" i="1"/>
  <c r="AB525" i="1"/>
  <c r="AA525" i="1"/>
  <c r="Z525" i="1"/>
  <c r="X525" i="1"/>
  <c r="W525" i="1"/>
  <c r="V525" i="1"/>
  <c r="U525" i="1"/>
  <c r="S525" i="1"/>
  <c r="R525" i="1"/>
  <c r="Q525" i="1"/>
  <c r="P525" i="1"/>
  <c r="N525" i="1"/>
  <c r="M525" i="1"/>
  <c r="L525" i="1"/>
  <c r="K525" i="1"/>
  <c r="AW524" i="1"/>
  <c r="AV524" i="1"/>
  <c r="AU524" i="1"/>
  <c r="AT524" i="1"/>
  <c r="AR524" i="1"/>
  <c r="AQ524" i="1"/>
  <c r="AP524" i="1"/>
  <c r="AO524" i="1"/>
  <c r="AM524" i="1"/>
  <c r="AL524" i="1"/>
  <c r="AK524" i="1"/>
  <c r="AJ524" i="1"/>
  <c r="AH524" i="1"/>
  <c r="AG524" i="1"/>
  <c r="AF524" i="1"/>
  <c r="AE524" i="1"/>
  <c r="AC524" i="1"/>
  <c r="AB524" i="1"/>
  <c r="AA524" i="1"/>
  <c r="Z524" i="1"/>
  <c r="X524" i="1"/>
  <c r="W524" i="1"/>
  <c r="V524" i="1"/>
  <c r="U524" i="1"/>
  <c r="S524" i="1"/>
  <c r="R524" i="1"/>
  <c r="Q524" i="1"/>
  <c r="P524" i="1"/>
  <c r="N524" i="1"/>
  <c r="M524" i="1"/>
  <c r="L524" i="1"/>
  <c r="K524" i="1"/>
  <c r="AW523" i="1"/>
  <c r="AV523" i="1"/>
  <c r="AU523" i="1"/>
  <c r="AT523" i="1"/>
  <c r="AR523" i="1"/>
  <c r="AQ523" i="1"/>
  <c r="AP523" i="1"/>
  <c r="AO523" i="1"/>
  <c r="AM523" i="1"/>
  <c r="AL523" i="1"/>
  <c r="AK523" i="1"/>
  <c r="AJ523" i="1"/>
  <c r="AH523" i="1"/>
  <c r="AG523" i="1"/>
  <c r="AF523" i="1"/>
  <c r="AE523" i="1"/>
  <c r="AC523" i="1"/>
  <c r="AB523" i="1"/>
  <c r="AA523" i="1"/>
  <c r="Z523" i="1"/>
  <c r="X523" i="1"/>
  <c r="W523" i="1"/>
  <c r="V523" i="1"/>
  <c r="U523" i="1"/>
  <c r="S523" i="1"/>
  <c r="R523" i="1"/>
  <c r="Q523" i="1"/>
  <c r="P523" i="1"/>
  <c r="N523" i="1"/>
  <c r="M523" i="1"/>
  <c r="L523" i="1"/>
  <c r="K523" i="1"/>
  <c r="AW522" i="1"/>
  <c r="AV522" i="1"/>
  <c r="AU522" i="1"/>
  <c r="AT522" i="1"/>
  <c r="AR522" i="1"/>
  <c r="AQ522" i="1"/>
  <c r="AP522" i="1"/>
  <c r="AO522" i="1"/>
  <c r="AM522" i="1"/>
  <c r="AL522" i="1"/>
  <c r="AK522" i="1"/>
  <c r="AJ522" i="1"/>
  <c r="AH522" i="1"/>
  <c r="AG522" i="1"/>
  <c r="AF522" i="1"/>
  <c r="AE522" i="1"/>
  <c r="AC522" i="1"/>
  <c r="AB522" i="1"/>
  <c r="AA522" i="1"/>
  <c r="Z522" i="1"/>
  <c r="X522" i="1"/>
  <c r="W522" i="1"/>
  <c r="V522" i="1"/>
  <c r="U522" i="1"/>
  <c r="S522" i="1"/>
  <c r="R522" i="1"/>
  <c r="Q522" i="1"/>
  <c r="P522" i="1"/>
  <c r="N522" i="1"/>
  <c r="M522" i="1"/>
  <c r="L522" i="1"/>
  <c r="K522" i="1"/>
  <c r="AW521" i="1"/>
  <c r="AV521" i="1"/>
  <c r="AU521" i="1"/>
  <c r="AT521" i="1"/>
  <c r="AR521" i="1"/>
  <c r="AQ521" i="1"/>
  <c r="AP521" i="1"/>
  <c r="AO521" i="1"/>
  <c r="AM521" i="1"/>
  <c r="AL521" i="1"/>
  <c r="AK521" i="1"/>
  <c r="AJ521" i="1"/>
  <c r="AH521" i="1"/>
  <c r="AG521" i="1"/>
  <c r="AF521" i="1"/>
  <c r="AE521" i="1"/>
  <c r="AC521" i="1"/>
  <c r="AB521" i="1"/>
  <c r="AA521" i="1"/>
  <c r="Z521" i="1"/>
  <c r="X521" i="1"/>
  <c r="W521" i="1"/>
  <c r="V521" i="1"/>
  <c r="U521" i="1"/>
  <c r="S521" i="1"/>
  <c r="R521" i="1"/>
  <c r="Q521" i="1"/>
  <c r="P521" i="1"/>
  <c r="N521" i="1"/>
  <c r="M521" i="1"/>
  <c r="L521" i="1"/>
  <c r="K521" i="1"/>
  <c r="AW520" i="1"/>
  <c r="AV520" i="1"/>
  <c r="AU520" i="1"/>
  <c r="AT520" i="1"/>
  <c r="AR520" i="1"/>
  <c r="AQ520" i="1"/>
  <c r="AP520" i="1"/>
  <c r="AO520" i="1"/>
  <c r="AM520" i="1"/>
  <c r="AL520" i="1"/>
  <c r="AK520" i="1"/>
  <c r="AJ520" i="1"/>
  <c r="AH520" i="1"/>
  <c r="AG520" i="1"/>
  <c r="AF520" i="1"/>
  <c r="AE520" i="1"/>
  <c r="AC520" i="1"/>
  <c r="AB520" i="1"/>
  <c r="AA520" i="1"/>
  <c r="Z520" i="1"/>
  <c r="X520" i="1"/>
  <c r="W520" i="1"/>
  <c r="V520" i="1"/>
  <c r="U520" i="1"/>
  <c r="S520" i="1"/>
  <c r="R520" i="1"/>
  <c r="Q520" i="1"/>
  <c r="P520" i="1"/>
  <c r="N520" i="1"/>
  <c r="M520" i="1"/>
  <c r="L520" i="1"/>
  <c r="K520" i="1"/>
  <c r="AW519" i="1"/>
  <c r="AV519" i="1"/>
  <c r="AU519" i="1"/>
  <c r="AT519" i="1"/>
  <c r="AR519" i="1"/>
  <c r="AQ519" i="1"/>
  <c r="AP519" i="1"/>
  <c r="AO519" i="1"/>
  <c r="AM519" i="1"/>
  <c r="AL519" i="1"/>
  <c r="AK519" i="1"/>
  <c r="AJ519" i="1"/>
  <c r="AH519" i="1"/>
  <c r="AG519" i="1"/>
  <c r="AF519" i="1"/>
  <c r="AE519" i="1"/>
  <c r="AC519" i="1"/>
  <c r="AB519" i="1"/>
  <c r="AA519" i="1"/>
  <c r="Z519" i="1"/>
  <c r="X519" i="1"/>
  <c r="W519" i="1"/>
  <c r="V519" i="1"/>
  <c r="U519" i="1"/>
  <c r="S519" i="1"/>
  <c r="R519" i="1"/>
  <c r="Q519" i="1"/>
  <c r="P519" i="1"/>
  <c r="N519" i="1"/>
  <c r="M519" i="1"/>
  <c r="L519" i="1"/>
  <c r="K519" i="1"/>
  <c r="AW518" i="1"/>
  <c r="AV518" i="1"/>
  <c r="AU518" i="1"/>
  <c r="AT518" i="1"/>
  <c r="AR518" i="1"/>
  <c r="AQ518" i="1"/>
  <c r="AP518" i="1"/>
  <c r="AO518" i="1"/>
  <c r="AM518" i="1"/>
  <c r="AL518" i="1"/>
  <c r="AK518" i="1"/>
  <c r="AJ518" i="1"/>
  <c r="AH518" i="1"/>
  <c r="AG518" i="1"/>
  <c r="AF518" i="1"/>
  <c r="AE518" i="1"/>
  <c r="AC518" i="1"/>
  <c r="AB518" i="1"/>
  <c r="AA518" i="1"/>
  <c r="Z518" i="1"/>
  <c r="X518" i="1"/>
  <c r="W518" i="1"/>
  <c r="V518" i="1"/>
  <c r="U518" i="1"/>
  <c r="S518" i="1"/>
  <c r="R518" i="1"/>
  <c r="Q518" i="1"/>
  <c r="P518" i="1"/>
  <c r="N518" i="1"/>
  <c r="M518" i="1"/>
  <c r="L518" i="1"/>
  <c r="K518" i="1"/>
  <c r="AW517" i="1"/>
  <c r="AV517" i="1"/>
  <c r="AU517" i="1"/>
  <c r="AT517" i="1"/>
  <c r="AR517" i="1"/>
  <c r="AQ517" i="1"/>
  <c r="AP517" i="1"/>
  <c r="AO517" i="1"/>
  <c r="AM517" i="1"/>
  <c r="AL517" i="1"/>
  <c r="AK517" i="1"/>
  <c r="AJ517" i="1"/>
  <c r="AH517" i="1"/>
  <c r="AG517" i="1"/>
  <c r="AF517" i="1"/>
  <c r="AE517" i="1"/>
  <c r="AC517" i="1"/>
  <c r="AB517" i="1"/>
  <c r="AA517" i="1"/>
  <c r="Z517" i="1"/>
  <c r="X517" i="1"/>
  <c r="W517" i="1"/>
  <c r="V517" i="1"/>
  <c r="U517" i="1"/>
  <c r="S517" i="1"/>
  <c r="R517" i="1"/>
  <c r="Q517" i="1"/>
  <c r="P517" i="1"/>
  <c r="N517" i="1"/>
  <c r="M517" i="1"/>
  <c r="L517" i="1"/>
  <c r="K517" i="1"/>
  <c r="AW516" i="1"/>
  <c r="AV516" i="1"/>
  <c r="AU516" i="1"/>
  <c r="AT516" i="1"/>
  <c r="AR516" i="1"/>
  <c r="AQ516" i="1"/>
  <c r="AP516" i="1"/>
  <c r="AO516" i="1"/>
  <c r="AM516" i="1"/>
  <c r="AL516" i="1"/>
  <c r="AK516" i="1"/>
  <c r="AJ516" i="1"/>
  <c r="AH516" i="1"/>
  <c r="AG516" i="1"/>
  <c r="AF516" i="1"/>
  <c r="AE516" i="1"/>
  <c r="AC516" i="1"/>
  <c r="AB516" i="1"/>
  <c r="AA516" i="1"/>
  <c r="Z516" i="1"/>
  <c r="X516" i="1"/>
  <c r="W516" i="1"/>
  <c r="V516" i="1"/>
  <c r="U516" i="1"/>
  <c r="S516" i="1"/>
  <c r="R516" i="1"/>
  <c r="Q516" i="1"/>
  <c r="P516" i="1"/>
  <c r="N516" i="1"/>
  <c r="M516" i="1"/>
  <c r="L516" i="1"/>
  <c r="K516" i="1"/>
  <c r="AW515" i="1"/>
  <c r="AV515" i="1"/>
  <c r="AU515" i="1"/>
  <c r="AT515" i="1"/>
  <c r="AR515" i="1"/>
  <c r="AQ515" i="1"/>
  <c r="AP515" i="1"/>
  <c r="AO515" i="1"/>
  <c r="AM515" i="1"/>
  <c r="AL515" i="1"/>
  <c r="AK515" i="1"/>
  <c r="AJ515" i="1"/>
  <c r="AH515" i="1"/>
  <c r="AG515" i="1"/>
  <c r="AF515" i="1"/>
  <c r="AE515" i="1"/>
  <c r="AC515" i="1"/>
  <c r="AB515" i="1"/>
  <c r="AA515" i="1"/>
  <c r="Z515" i="1"/>
  <c r="X515" i="1"/>
  <c r="W515" i="1"/>
  <c r="V515" i="1"/>
  <c r="U515" i="1"/>
  <c r="S515" i="1"/>
  <c r="R515" i="1"/>
  <c r="Q515" i="1"/>
  <c r="P515" i="1"/>
  <c r="N515" i="1"/>
  <c r="M515" i="1"/>
  <c r="L515" i="1"/>
  <c r="K515" i="1"/>
  <c r="AW514" i="1"/>
  <c r="AV514" i="1"/>
  <c r="AU514" i="1"/>
  <c r="AT514" i="1"/>
  <c r="AR514" i="1"/>
  <c r="AQ514" i="1"/>
  <c r="AP514" i="1"/>
  <c r="AO514" i="1"/>
  <c r="AM514" i="1"/>
  <c r="AL514" i="1"/>
  <c r="AK514" i="1"/>
  <c r="AJ514" i="1"/>
  <c r="AH514" i="1"/>
  <c r="AG514" i="1"/>
  <c r="AF514" i="1"/>
  <c r="AE514" i="1"/>
  <c r="AC514" i="1"/>
  <c r="AB514" i="1"/>
  <c r="AA514" i="1"/>
  <c r="Z514" i="1"/>
  <c r="X514" i="1"/>
  <c r="W514" i="1"/>
  <c r="V514" i="1"/>
  <c r="U514" i="1"/>
  <c r="S514" i="1"/>
  <c r="R514" i="1"/>
  <c r="Q514" i="1"/>
  <c r="P514" i="1"/>
  <c r="N514" i="1"/>
  <c r="M514" i="1"/>
  <c r="L514" i="1"/>
  <c r="K514" i="1"/>
  <c r="AW513" i="1"/>
  <c r="AV513" i="1"/>
  <c r="AU513" i="1"/>
  <c r="AT513" i="1"/>
  <c r="AR513" i="1"/>
  <c r="AQ513" i="1"/>
  <c r="AP513" i="1"/>
  <c r="AO513" i="1"/>
  <c r="AM513" i="1"/>
  <c r="AL513" i="1"/>
  <c r="AK513" i="1"/>
  <c r="AJ513" i="1"/>
  <c r="AH513" i="1"/>
  <c r="AG513" i="1"/>
  <c r="AF513" i="1"/>
  <c r="AE513" i="1"/>
  <c r="AC513" i="1"/>
  <c r="AB513" i="1"/>
  <c r="AA513" i="1"/>
  <c r="Z513" i="1"/>
  <c r="X513" i="1"/>
  <c r="W513" i="1"/>
  <c r="V513" i="1"/>
  <c r="U513" i="1"/>
  <c r="S513" i="1"/>
  <c r="R513" i="1"/>
  <c r="Q513" i="1"/>
  <c r="P513" i="1"/>
  <c r="N513" i="1"/>
  <c r="M513" i="1"/>
  <c r="L513" i="1"/>
  <c r="K513" i="1"/>
  <c r="AW512" i="1"/>
  <c r="AV512" i="1"/>
  <c r="AU512" i="1"/>
  <c r="AT512" i="1"/>
  <c r="AR512" i="1"/>
  <c r="AQ512" i="1"/>
  <c r="AP512" i="1"/>
  <c r="AO512" i="1"/>
  <c r="AM512" i="1"/>
  <c r="AL512" i="1"/>
  <c r="AK512" i="1"/>
  <c r="AJ512" i="1"/>
  <c r="AH512" i="1"/>
  <c r="AG512" i="1"/>
  <c r="AF512" i="1"/>
  <c r="AE512" i="1"/>
  <c r="AC512" i="1"/>
  <c r="AB512" i="1"/>
  <c r="AA512" i="1"/>
  <c r="Z512" i="1"/>
  <c r="X512" i="1"/>
  <c r="W512" i="1"/>
  <c r="V512" i="1"/>
  <c r="U512" i="1"/>
  <c r="S512" i="1"/>
  <c r="R512" i="1"/>
  <c r="Q512" i="1"/>
  <c r="P512" i="1"/>
  <c r="N512" i="1"/>
  <c r="M512" i="1"/>
  <c r="L512" i="1"/>
  <c r="K512" i="1"/>
  <c r="AW511" i="1"/>
  <c r="AV511" i="1"/>
  <c r="AU511" i="1"/>
  <c r="AT511" i="1"/>
  <c r="AR511" i="1"/>
  <c r="AQ511" i="1"/>
  <c r="AP511" i="1"/>
  <c r="AO511" i="1"/>
  <c r="AM511" i="1"/>
  <c r="AL511" i="1"/>
  <c r="AK511" i="1"/>
  <c r="AJ511" i="1"/>
  <c r="AH511" i="1"/>
  <c r="AG511" i="1"/>
  <c r="AF511" i="1"/>
  <c r="AE511" i="1"/>
  <c r="AC511" i="1"/>
  <c r="AB511" i="1"/>
  <c r="AA511" i="1"/>
  <c r="Z511" i="1"/>
  <c r="X511" i="1"/>
  <c r="W511" i="1"/>
  <c r="V511" i="1"/>
  <c r="U511" i="1"/>
  <c r="S511" i="1"/>
  <c r="R511" i="1"/>
  <c r="Q511" i="1"/>
  <c r="P511" i="1"/>
  <c r="N511" i="1"/>
  <c r="M511" i="1"/>
  <c r="L511" i="1"/>
  <c r="K511" i="1"/>
  <c r="AW510" i="1"/>
  <c r="AV510" i="1"/>
  <c r="AU510" i="1"/>
  <c r="AT510" i="1"/>
  <c r="AR510" i="1"/>
  <c r="AQ510" i="1"/>
  <c r="AP510" i="1"/>
  <c r="AO510" i="1"/>
  <c r="AM510" i="1"/>
  <c r="AL510" i="1"/>
  <c r="AK510" i="1"/>
  <c r="AJ510" i="1"/>
  <c r="AH510" i="1"/>
  <c r="AG510" i="1"/>
  <c r="AF510" i="1"/>
  <c r="AE510" i="1"/>
  <c r="AC510" i="1"/>
  <c r="AB510" i="1"/>
  <c r="AA510" i="1"/>
  <c r="Z510" i="1"/>
  <c r="X510" i="1"/>
  <c r="W510" i="1"/>
  <c r="V510" i="1"/>
  <c r="U510" i="1"/>
  <c r="S510" i="1"/>
  <c r="R510" i="1"/>
  <c r="Q510" i="1"/>
  <c r="P510" i="1"/>
  <c r="N510" i="1"/>
  <c r="M510" i="1"/>
  <c r="L510" i="1"/>
  <c r="K510" i="1"/>
  <c r="AW509" i="1"/>
  <c r="AV509" i="1"/>
  <c r="AU509" i="1"/>
  <c r="AT509" i="1"/>
  <c r="AR509" i="1"/>
  <c r="AQ509" i="1"/>
  <c r="AP509" i="1"/>
  <c r="AO509" i="1"/>
  <c r="AM509" i="1"/>
  <c r="AL509" i="1"/>
  <c r="AK509" i="1"/>
  <c r="AJ509" i="1"/>
  <c r="AH509" i="1"/>
  <c r="AG509" i="1"/>
  <c r="AF509" i="1"/>
  <c r="AE509" i="1"/>
  <c r="AC509" i="1"/>
  <c r="AB509" i="1"/>
  <c r="AA509" i="1"/>
  <c r="Z509" i="1"/>
  <c r="X509" i="1"/>
  <c r="W509" i="1"/>
  <c r="V509" i="1"/>
  <c r="U509" i="1"/>
  <c r="S509" i="1"/>
  <c r="R509" i="1"/>
  <c r="Q509" i="1"/>
  <c r="P509" i="1"/>
  <c r="N509" i="1"/>
  <c r="M509" i="1"/>
  <c r="L509" i="1"/>
  <c r="K509" i="1"/>
  <c r="AW508" i="1"/>
  <c r="AV508" i="1"/>
  <c r="AU508" i="1"/>
  <c r="AT508" i="1"/>
  <c r="AR508" i="1"/>
  <c r="AQ508" i="1"/>
  <c r="AP508" i="1"/>
  <c r="AO508" i="1"/>
  <c r="AM508" i="1"/>
  <c r="AL508" i="1"/>
  <c r="AK508" i="1"/>
  <c r="AJ508" i="1"/>
  <c r="AH508" i="1"/>
  <c r="AG508" i="1"/>
  <c r="AF508" i="1"/>
  <c r="AE508" i="1"/>
  <c r="AC508" i="1"/>
  <c r="AB508" i="1"/>
  <c r="AA508" i="1"/>
  <c r="Z508" i="1"/>
  <c r="X508" i="1"/>
  <c r="W508" i="1"/>
  <c r="V508" i="1"/>
  <c r="U508" i="1"/>
  <c r="S508" i="1"/>
  <c r="R508" i="1"/>
  <c r="Q508" i="1"/>
  <c r="P508" i="1"/>
  <c r="N508" i="1"/>
  <c r="M508" i="1"/>
  <c r="L508" i="1"/>
  <c r="K508" i="1"/>
  <c r="AW507" i="1"/>
  <c r="AV507" i="1"/>
  <c r="AU507" i="1"/>
  <c r="AT507" i="1"/>
  <c r="AR507" i="1"/>
  <c r="AQ507" i="1"/>
  <c r="AP507" i="1"/>
  <c r="AO507" i="1"/>
  <c r="AM507" i="1"/>
  <c r="AL507" i="1"/>
  <c r="AK507" i="1"/>
  <c r="AJ507" i="1"/>
  <c r="AH507" i="1"/>
  <c r="AG507" i="1"/>
  <c r="AF507" i="1"/>
  <c r="AE507" i="1"/>
  <c r="AC507" i="1"/>
  <c r="AB507" i="1"/>
  <c r="AA507" i="1"/>
  <c r="Z507" i="1"/>
  <c r="X507" i="1"/>
  <c r="W507" i="1"/>
  <c r="V507" i="1"/>
  <c r="U507" i="1"/>
  <c r="S507" i="1"/>
  <c r="R507" i="1"/>
  <c r="Q507" i="1"/>
  <c r="P507" i="1"/>
  <c r="N507" i="1"/>
  <c r="M507" i="1"/>
  <c r="L507" i="1"/>
  <c r="K507" i="1"/>
  <c r="AW506" i="1"/>
  <c r="AV506" i="1"/>
  <c r="AU506" i="1"/>
  <c r="AT506" i="1"/>
  <c r="AR506" i="1"/>
  <c r="AQ506" i="1"/>
  <c r="AP506" i="1"/>
  <c r="AO506" i="1"/>
  <c r="AM506" i="1"/>
  <c r="AL506" i="1"/>
  <c r="AK506" i="1"/>
  <c r="AJ506" i="1"/>
  <c r="AH506" i="1"/>
  <c r="AG506" i="1"/>
  <c r="AF506" i="1"/>
  <c r="AE506" i="1"/>
  <c r="AC506" i="1"/>
  <c r="AB506" i="1"/>
  <c r="AA506" i="1"/>
  <c r="Z506" i="1"/>
  <c r="X506" i="1"/>
  <c r="W506" i="1"/>
  <c r="V506" i="1"/>
  <c r="U506" i="1"/>
  <c r="S506" i="1"/>
  <c r="R506" i="1"/>
  <c r="Q506" i="1"/>
  <c r="P506" i="1"/>
  <c r="N506" i="1"/>
  <c r="M506" i="1"/>
  <c r="L506" i="1"/>
  <c r="K506" i="1"/>
  <c r="AW505" i="1"/>
  <c r="AV505" i="1"/>
  <c r="AU505" i="1"/>
  <c r="AT505" i="1"/>
  <c r="AR505" i="1"/>
  <c r="AQ505" i="1"/>
  <c r="AP505" i="1"/>
  <c r="AO505" i="1"/>
  <c r="AM505" i="1"/>
  <c r="AL505" i="1"/>
  <c r="AK505" i="1"/>
  <c r="AJ505" i="1"/>
  <c r="AH505" i="1"/>
  <c r="AG505" i="1"/>
  <c r="AF505" i="1"/>
  <c r="AE505" i="1"/>
  <c r="AC505" i="1"/>
  <c r="AB505" i="1"/>
  <c r="AA505" i="1"/>
  <c r="Z505" i="1"/>
  <c r="X505" i="1"/>
  <c r="W505" i="1"/>
  <c r="V505" i="1"/>
  <c r="U505" i="1"/>
  <c r="S505" i="1"/>
  <c r="R505" i="1"/>
  <c r="Q505" i="1"/>
  <c r="P505" i="1"/>
  <c r="N505" i="1"/>
  <c r="M505" i="1"/>
  <c r="L505" i="1"/>
  <c r="K505" i="1"/>
  <c r="AW504" i="1"/>
  <c r="AV504" i="1"/>
  <c r="AU504" i="1"/>
  <c r="AT504" i="1"/>
  <c r="AR504" i="1"/>
  <c r="AQ504" i="1"/>
  <c r="AP504" i="1"/>
  <c r="AO504" i="1"/>
  <c r="AM504" i="1"/>
  <c r="AL504" i="1"/>
  <c r="AK504" i="1"/>
  <c r="AJ504" i="1"/>
  <c r="AH504" i="1"/>
  <c r="AG504" i="1"/>
  <c r="AF504" i="1"/>
  <c r="AE504" i="1"/>
  <c r="AC504" i="1"/>
  <c r="AB504" i="1"/>
  <c r="AA504" i="1"/>
  <c r="Z504" i="1"/>
  <c r="X504" i="1"/>
  <c r="W504" i="1"/>
  <c r="V504" i="1"/>
  <c r="U504" i="1"/>
  <c r="S504" i="1"/>
  <c r="R504" i="1"/>
  <c r="Q504" i="1"/>
  <c r="P504" i="1"/>
  <c r="N504" i="1"/>
  <c r="M504" i="1"/>
  <c r="L504" i="1"/>
  <c r="K504" i="1"/>
  <c r="AW503" i="1"/>
  <c r="AV503" i="1"/>
  <c r="AU503" i="1"/>
  <c r="AT503" i="1"/>
  <c r="AR503" i="1"/>
  <c r="AQ503" i="1"/>
  <c r="AP503" i="1"/>
  <c r="AO503" i="1"/>
  <c r="AM503" i="1"/>
  <c r="AL503" i="1"/>
  <c r="AK503" i="1"/>
  <c r="AJ503" i="1"/>
  <c r="AH503" i="1"/>
  <c r="AG503" i="1"/>
  <c r="AF503" i="1"/>
  <c r="AE503" i="1"/>
  <c r="AC503" i="1"/>
  <c r="AB503" i="1"/>
  <c r="AA503" i="1"/>
  <c r="Z503" i="1"/>
  <c r="X503" i="1"/>
  <c r="W503" i="1"/>
  <c r="V503" i="1"/>
  <c r="U503" i="1"/>
  <c r="S503" i="1"/>
  <c r="R503" i="1"/>
  <c r="Q503" i="1"/>
  <c r="P503" i="1"/>
  <c r="N503" i="1"/>
  <c r="M503" i="1"/>
  <c r="L503" i="1"/>
  <c r="K503" i="1"/>
  <c r="AW502" i="1"/>
  <c r="AV502" i="1"/>
  <c r="AU502" i="1"/>
  <c r="AT502" i="1"/>
  <c r="AR502" i="1"/>
  <c r="AQ502" i="1"/>
  <c r="AP502" i="1"/>
  <c r="AO502" i="1"/>
  <c r="AM502" i="1"/>
  <c r="AL502" i="1"/>
  <c r="AK502" i="1"/>
  <c r="AJ502" i="1"/>
  <c r="AH502" i="1"/>
  <c r="AG502" i="1"/>
  <c r="AF502" i="1"/>
  <c r="AE502" i="1"/>
  <c r="AC502" i="1"/>
  <c r="AB502" i="1"/>
  <c r="AA502" i="1"/>
  <c r="Z502" i="1"/>
  <c r="X502" i="1"/>
  <c r="W502" i="1"/>
  <c r="V502" i="1"/>
  <c r="U502" i="1"/>
  <c r="S502" i="1"/>
  <c r="R502" i="1"/>
  <c r="Q502" i="1"/>
  <c r="P502" i="1"/>
  <c r="N502" i="1"/>
  <c r="M502" i="1"/>
  <c r="L502" i="1"/>
  <c r="K502" i="1"/>
  <c r="AW501" i="1"/>
  <c r="AV501" i="1"/>
  <c r="AU501" i="1"/>
  <c r="AT501" i="1"/>
  <c r="AR501" i="1"/>
  <c r="AQ501" i="1"/>
  <c r="AP501" i="1"/>
  <c r="AO501" i="1"/>
  <c r="AM501" i="1"/>
  <c r="AL501" i="1"/>
  <c r="AK501" i="1"/>
  <c r="AJ501" i="1"/>
  <c r="AH501" i="1"/>
  <c r="AG501" i="1"/>
  <c r="AF501" i="1"/>
  <c r="AE501" i="1"/>
  <c r="AC501" i="1"/>
  <c r="AB501" i="1"/>
  <c r="AA501" i="1"/>
  <c r="Z501" i="1"/>
  <c r="X501" i="1"/>
  <c r="W501" i="1"/>
  <c r="V501" i="1"/>
  <c r="U501" i="1"/>
  <c r="S501" i="1"/>
  <c r="R501" i="1"/>
  <c r="Q501" i="1"/>
  <c r="P501" i="1"/>
  <c r="N501" i="1"/>
  <c r="M501" i="1"/>
  <c r="L501" i="1"/>
  <c r="K501" i="1"/>
  <c r="AW500" i="1"/>
  <c r="AV500" i="1"/>
  <c r="AU500" i="1"/>
  <c r="AT500" i="1"/>
  <c r="AR500" i="1"/>
  <c r="AQ500" i="1"/>
  <c r="AP500" i="1"/>
  <c r="AO500" i="1"/>
  <c r="AM500" i="1"/>
  <c r="AL500" i="1"/>
  <c r="AK500" i="1"/>
  <c r="AJ500" i="1"/>
  <c r="AH500" i="1"/>
  <c r="AG500" i="1"/>
  <c r="AF500" i="1"/>
  <c r="AE500" i="1"/>
  <c r="AC500" i="1"/>
  <c r="AB500" i="1"/>
  <c r="AA500" i="1"/>
  <c r="Z500" i="1"/>
  <c r="X500" i="1"/>
  <c r="W500" i="1"/>
  <c r="V500" i="1"/>
  <c r="U500" i="1"/>
  <c r="S500" i="1"/>
  <c r="R500" i="1"/>
  <c r="Q500" i="1"/>
  <c r="P500" i="1"/>
  <c r="N500" i="1"/>
  <c r="M500" i="1"/>
  <c r="L500" i="1"/>
  <c r="K500" i="1"/>
  <c r="AW499" i="1"/>
  <c r="AV499" i="1"/>
  <c r="AU499" i="1"/>
  <c r="AT499" i="1"/>
  <c r="AR499" i="1"/>
  <c r="AQ499" i="1"/>
  <c r="AP499" i="1"/>
  <c r="AO499" i="1"/>
  <c r="AM499" i="1"/>
  <c r="AL499" i="1"/>
  <c r="AK499" i="1"/>
  <c r="AJ499" i="1"/>
  <c r="AH499" i="1"/>
  <c r="AG499" i="1"/>
  <c r="AF499" i="1"/>
  <c r="AE499" i="1"/>
  <c r="AC499" i="1"/>
  <c r="AB499" i="1"/>
  <c r="AA499" i="1"/>
  <c r="Z499" i="1"/>
  <c r="X499" i="1"/>
  <c r="W499" i="1"/>
  <c r="V499" i="1"/>
  <c r="U499" i="1"/>
  <c r="S499" i="1"/>
  <c r="R499" i="1"/>
  <c r="Q499" i="1"/>
  <c r="P499" i="1"/>
  <c r="N499" i="1"/>
  <c r="M499" i="1"/>
  <c r="L499" i="1"/>
  <c r="K499" i="1"/>
  <c r="AW498" i="1"/>
  <c r="AV498" i="1"/>
  <c r="AU498" i="1"/>
  <c r="AT498" i="1"/>
  <c r="AR498" i="1"/>
  <c r="AQ498" i="1"/>
  <c r="AP498" i="1"/>
  <c r="AO498" i="1"/>
  <c r="AM498" i="1"/>
  <c r="AL498" i="1"/>
  <c r="AK498" i="1"/>
  <c r="AJ498" i="1"/>
  <c r="AH498" i="1"/>
  <c r="AG498" i="1"/>
  <c r="AF498" i="1"/>
  <c r="AE498" i="1"/>
  <c r="AC498" i="1"/>
  <c r="AB498" i="1"/>
  <c r="AA498" i="1"/>
  <c r="Z498" i="1"/>
  <c r="X498" i="1"/>
  <c r="W498" i="1"/>
  <c r="V498" i="1"/>
  <c r="U498" i="1"/>
  <c r="S498" i="1"/>
  <c r="R498" i="1"/>
  <c r="Q498" i="1"/>
  <c r="P498" i="1"/>
  <c r="N498" i="1"/>
  <c r="M498" i="1"/>
  <c r="L498" i="1"/>
  <c r="K498" i="1"/>
  <c r="AW497" i="1"/>
  <c r="AV497" i="1"/>
  <c r="AU497" i="1"/>
  <c r="AT497" i="1"/>
  <c r="AR497" i="1"/>
  <c r="AQ497" i="1"/>
  <c r="AP497" i="1"/>
  <c r="AO497" i="1"/>
  <c r="AM497" i="1"/>
  <c r="AL497" i="1"/>
  <c r="AK497" i="1"/>
  <c r="AJ497" i="1"/>
  <c r="AH497" i="1"/>
  <c r="AG497" i="1"/>
  <c r="AF497" i="1"/>
  <c r="AE497" i="1"/>
  <c r="AC497" i="1"/>
  <c r="AB497" i="1"/>
  <c r="AA497" i="1"/>
  <c r="Z497" i="1"/>
  <c r="X497" i="1"/>
  <c r="W497" i="1"/>
  <c r="V497" i="1"/>
  <c r="U497" i="1"/>
  <c r="S497" i="1"/>
  <c r="R497" i="1"/>
  <c r="Q497" i="1"/>
  <c r="P497" i="1"/>
  <c r="N497" i="1"/>
  <c r="M497" i="1"/>
  <c r="L497" i="1"/>
  <c r="K497" i="1"/>
  <c r="AW496" i="1"/>
  <c r="AV496" i="1"/>
  <c r="AU496" i="1"/>
  <c r="AT496" i="1"/>
  <c r="AR496" i="1"/>
  <c r="AQ496" i="1"/>
  <c r="AP496" i="1"/>
  <c r="AO496" i="1"/>
  <c r="AM496" i="1"/>
  <c r="AL496" i="1"/>
  <c r="AK496" i="1"/>
  <c r="AJ496" i="1"/>
  <c r="AH496" i="1"/>
  <c r="AG496" i="1"/>
  <c r="AF496" i="1"/>
  <c r="AE496" i="1"/>
  <c r="AC496" i="1"/>
  <c r="AB496" i="1"/>
  <c r="AA496" i="1"/>
  <c r="Z496" i="1"/>
  <c r="X496" i="1"/>
  <c r="W496" i="1"/>
  <c r="V496" i="1"/>
  <c r="U496" i="1"/>
  <c r="S496" i="1"/>
  <c r="R496" i="1"/>
  <c r="Q496" i="1"/>
  <c r="P496" i="1"/>
  <c r="N496" i="1"/>
  <c r="M496" i="1"/>
  <c r="L496" i="1"/>
  <c r="K496" i="1"/>
  <c r="AW495" i="1"/>
  <c r="AV495" i="1"/>
  <c r="AU495" i="1"/>
  <c r="AT495" i="1"/>
  <c r="AR495" i="1"/>
  <c r="AQ495" i="1"/>
  <c r="AP495" i="1"/>
  <c r="AO495" i="1"/>
  <c r="AM495" i="1"/>
  <c r="AL495" i="1"/>
  <c r="AK495" i="1"/>
  <c r="AJ495" i="1"/>
  <c r="AH495" i="1"/>
  <c r="AG495" i="1"/>
  <c r="AF495" i="1"/>
  <c r="AE495" i="1"/>
  <c r="AC495" i="1"/>
  <c r="AB495" i="1"/>
  <c r="AA495" i="1"/>
  <c r="Z495" i="1"/>
  <c r="X495" i="1"/>
  <c r="W495" i="1"/>
  <c r="V495" i="1"/>
  <c r="U495" i="1"/>
  <c r="S495" i="1"/>
  <c r="R495" i="1"/>
  <c r="Q495" i="1"/>
  <c r="P495" i="1"/>
  <c r="N495" i="1"/>
  <c r="M495" i="1"/>
  <c r="L495" i="1"/>
  <c r="K495" i="1"/>
  <c r="AW494" i="1"/>
  <c r="AV494" i="1"/>
  <c r="AU494" i="1"/>
  <c r="AT494" i="1"/>
  <c r="AR494" i="1"/>
  <c r="AQ494" i="1"/>
  <c r="AP494" i="1"/>
  <c r="AO494" i="1"/>
  <c r="AM494" i="1"/>
  <c r="AL494" i="1"/>
  <c r="AK494" i="1"/>
  <c r="AJ494" i="1"/>
  <c r="AH494" i="1"/>
  <c r="AG494" i="1"/>
  <c r="AF494" i="1"/>
  <c r="AE494" i="1"/>
  <c r="AC494" i="1"/>
  <c r="AB494" i="1"/>
  <c r="AA494" i="1"/>
  <c r="Z494" i="1"/>
  <c r="X494" i="1"/>
  <c r="W494" i="1"/>
  <c r="V494" i="1"/>
  <c r="U494" i="1"/>
  <c r="S494" i="1"/>
  <c r="R494" i="1"/>
  <c r="Q494" i="1"/>
  <c r="P494" i="1"/>
  <c r="N494" i="1"/>
  <c r="M494" i="1"/>
  <c r="L494" i="1"/>
  <c r="K494" i="1"/>
  <c r="AW493" i="1"/>
  <c r="AV493" i="1"/>
  <c r="AU493" i="1"/>
  <c r="AT493" i="1"/>
  <c r="AR493" i="1"/>
  <c r="AQ493" i="1"/>
  <c r="AP493" i="1"/>
  <c r="AO493" i="1"/>
  <c r="AM493" i="1"/>
  <c r="AL493" i="1"/>
  <c r="AK493" i="1"/>
  <c r="AJ493" i="1"/>
  <c r="AH493" i="1"/>
  <c r="AG493" i="1"/>
  <c r="AF493" i="1"/>
  <c r="AE493" i="1"/>
  <c r="AC493" i="1"/>
  <c r="AB493" i="1"/>
  <c r="AA493" i="1"/>
  <c r="Z493" i="1"/>
  <c r="X493" i="1"/>
  <c r="W493" i="1"/>
  <c r="V493" i="1"/>
  <c r="U493" i="1"/>
  <c r="S493" i="1"/>
  <c r="R493" i="1"/>
  <c r="Q493" i="1"/>
  <c r="P493" i="1"/>
  <c r="N493" i="1"/>
  <c r="M493" i="1"/>
  <c r="L493" i="1"/>
  <c r="K493" i="1"/>
  <c r="AW492" i="1"/>
  <c r="AV492" i="1"/>
  <c r="AU492" i="1"/>
  <c r="AT492" i="1"/>
  <c r="AR492" i="1"/>
  <c r="AQ492" i="1"/>
  <c r="AP492" i="1"/>
  <c r="AO492" i="1"/>
  <c r="AM492" i="1"/>
  <c r="AL492" i="1"/>
  <c r="AK492" i="1"/>
  <c r="AJ492" i="1"/>
  <c r="AH492" i="1"/>
  <c r="AG492" i="1"/>
  <c r="AF492" i="1"/>
  <c r="AE492" i="1"/>
  <c r="AC492" i="1"/>
  <c r="AB492" i="1"/>
  <c r="AA492" i="1"/>
  <c r="Z492" i="1"/>
  <c r="X492" i="1"/>
  <c r="W492" i="1"/>
  <c r="V492" i="1"/>
  <c r="U492" i="1"/>
  <c r="S492" i="1"/>
  <c r="R492" i="1"/>
  <c r="Q492" i="1"/>
  <c r="P492" i="1"/>
  <c r="N492" i="1"/>
  <c r="M492" i="1"/>
  <c r="L492" i="1"/>
  <c r="K492" i="1"/>
  <c r="AW491" i="1"/>
  <c r="AV491" i="1"/>
  <c r="AU491" i="1"/>
  <c r="AT491" i="1"/>
  <c r="AR491" i="1"/>
  <c r="AQ491" i="1"/>
  <c r="AP491" i="1"/>
  <c r="AO491" i="1"/>
  <c r="AM491" i="1"/>
  <c r="AL491" i="1"/>
  <c r="AK491" i="1"/>
  <c r="AJ491" i="1"/>
  <c r="AH491" i="1"/>
  <c r="AG491" i="1"/>
  <c r="AF491" i="1"/>
  <c r="AE491" i="1"/>
  <c r="AC491" i="1"/>
  <c r="AB491" i="1"/>
  <c r="AA491" i="1"/>
  <c r="Z491" i="1"/>
  <c r="X491" i="1"/>
  <c r="W491" i="1"/>
  <c r="V491" i="1"/>
  <c r="U491" i="1"/>
  <c r="S491" i="1"/>
  <c r="R491" i="1"/>
  <c r="Q491" i="1"/>
  <c r="P491" i="1"/>
  <c r="N491" i="1"/>
  <c r="M491" i="1"/>
  <c r="L491" i="1"/>
  <c r="K491" i="1"/>
  <c r="AW490" i="1"/>
  <c r="AV490" i="1"/>
  <c r="AU490" i="1"/>
  <c r="AT490" i="1"/>
  <c r="AR490" i="1"/>
  <c r="AQ490" i="1"/>
  <c r="AP490" i="1"/>
  <c r="AO490" i="1"/>
  <c r="AM490" i="1"/>
  <c r="AL490" i="1"/>
  <c r="AK490" i="1"/>
  <c r="AJ490" i="1"/>
  <c r="AH490" i="1"/>
  <c r="AG490" i="1"/>
  <c r="AF490" i="1"/>
  <c r="AE490" i="1"/>
  <c r="AC490" i="1"/>
  <c r="AB490" i="1"/>
  <c r="AA490" i="1"/>
  <c r="Z490" i="1"/>
  <c r="X490" i="1"/>
  <c r="W490" i="1"/>
  <c r="V490" i="1"/>
  <c r="U490" i="1"/>
  <c r="S490" i="1"/>
  <c r="R490" i="1"/>
  <c r="Q490" i="1"/>
  <c r="P490" i="1"/>
  <c r="N490" i="1"/>
  <c r="M490" i="1"/>
  <c r="L490" i="1"/>
  <c r="K490" i="1"/>
  <c r="AW489" i="1"/>
  <c r="AV489" i="1"/>
  <c r="AU489" i="1"/>
  <c r="AT489" i="1"/>
  <c r="AR489" i="1"/>
  <c r="AQ489" i="1"/>
  <c r="AP489" i="1"/>
  <c r="AO489" i="1"/>
  <c r="AM489" i="1"/>
  <c r="AL489" i="1"/>
  <c r="AK489" i="1"/>
  <c r="AJ489" i="1"/>
  <c r="AH489" i="1"/>
  <c r="AG489" i="1"/>
  <c r="AF489" i="1"/>
  <c r="AE489" i="1"/>
  <c r="AC489" i="1"/>
  <c r="AB489" i="1"/>
  <c r="AA489" i="1"/>
  <c r="Z489" i="1"/>
  <c r="X489" i="1"/>
  <c r="W489" i="1"/>
  <c r="V489" i="1"/>
  <c r="U489" i="1"/>
  <c r="S489" i="1"/>
  <c r="R489" i="1"/>
  <c r="Q489" i="1"/>
  <c r="P489" i="1"/>
  <c r="N489" i="1"/>
  <c r="M489" i="1"/>
  <c r="L489" i="1"/>
  <c r="K489" i="1"/>
  <c r="AW488" i="1"/>
  <c r="AV488" i="1"/>
  <c r="AU488" i="1"/>
  <c r="AT488" i="1"/>
  <c r="AR488" i="1"/>
  <c r="AQ488" i="1"/>
  <c r="AP488" i="1"/>
  <c r="AO488" i="1"/>
  <c r="AM488" i="1"/>
  <c r="AL488" i="1"/>
  <c r="AK488" i="1"/>
  <c r="AJ488" i="1"/>
  <c r="AH488" i="1"/>
  <c r="AG488" i="1"/>
  <c r="AF488" i="1"/>
  <c r="AE488" i="1"/>
  <c r="AC488" i="1"/>
  <c r="AB488" i="1"/>
  <c r="AA488" i="1"/>
  <c r="Z488" i="1"/>
  <c r="X488" i="1"/>
  <c r="W488" i="1"/>
  <c r="V488" i="1"/>
  <c r="U488" i="1"/>
  <c r="S488" i="1"/>
  <c r="R488" i="1"/>
  <c r="Q488" i="1"/>
  <c r="P488" i="1"/>
  <c r="N488" i="1"/>
  <c r="M488" i="1"/>
  <c r="L488" i="1"/>
  <c r="K488" i="1"/>
  <c r="AW487" i="1"/>
  <c r="AV487" i="1"/>
  <c r="AU487" i="1"/>
  <c r="AT487" i="1"/>
  <c r="AR487" i="1"/>
  <c r="AQ487" i="1"/>
  <c r="AP487" i="1"/>
  <c r="AO487" i="1"/>
  <c r="AM487" i="1"/>
  <c r="AL487" i="1"/>
  <c r="AK487" i="1"/>
  <c r="AJ487" i="1"/>
  <c r="AH487" i="1"/>
  <c r="AG487" i="1"/>
  <c r="AF487" i="1"/>
  <c r="AE487" i="1"/>
  <c r="AC487" i="1"/>
  <c r="AB487" i="1"/>
  <c r="AA487" i="1"/>
  <c r="Z487" i="1"/>
  <c r="X487" i="1"/>
  <c r="W487" i="1"/>
  <c r="V487" i="1"/>
  <c r="U487" i="1"/>
  <c r="S487" i="1"/>
  <c r="R487" i="1"/>
  <c r="Q487" i="1"/>
  <c r="P487" i="1"/>
  <c r="N487" i="1"/>
  <c r="M487" i="1"/>
  <c r="L487" i="1"/>
  <c r="K487" i="1"/>
  <c r="AW486" i="1"/>
  <c r="AV486" i="1"/>
  <c r="AU486" i="1"/>
  <c r="AT486" i="1"/>
  <c r="AR486" i="1"/>
  <c r="AQ486" i="1"/>
  <c r="AP486" i="1"/>
  <c r="AO486" i="1"/>
  <c r="AM486" i="1"/>
  <c r="AL486" i="1"/>
  <c r="AK486" i="1"/>
  <c r="AJ486" i="1"/>
  <c r="AH486" i="1"/>
  <c r="AG486" i="1"/>
  <c r="AF486" i="1"/>
  <c r="AE486" i="1"/>
  <c r="AC486" i="1"/>
  <c r="AB486" i="1"/>
  <c r="AA486" i="1"/>
  <c r="Z486" i="1"/>
  <c r="X486" i="1"/>
  <c r="W486" i="1"/>
  <c r="V486" i="1"/>
  <c r="U486" i="1"/>
  <c r="S486" i="1"/>
  <c r="R486" i="1"/>
  <c r="Q486" i="1"/>
  <c r="P486" i="1"/>
  <c r="N486" i="1"/>
  <c r="M486" i="1"/>
  <c r="L486" i="1"/>
  <c r="K486" i="1"/>
  <c r="AW485" i="1"/>
  <c r="AV485" i="1"/>
  <c r="AU485" i="1"/>
  <c r="AT485" i="1"/>
  <c r="AR485" i="1"/>
  <c r="AQ485" i="1"/>
  <c r="AP485" i="1"/>
  <c r="AO485" i="1"/>
  <c r="AM485" i="1"/>
  <c r="AL485" i="1"/>
  <c r="AK485" i="1"/>
  <c r="AJ485" i="1"/>
  <c r="AH485" i="1"/>
  <c r="AG485" i="1"/>
  <c r="AF485" i="1"/>
  <c r="AE485" i="1"/>
  <c r="AC485" i="1"/>
  <c r="AB485" i="1"/>
  <c r="AA485" i="1"/>
  <c r="Z485" i="1"/>
  <c r="X485" i="1"/>
  <c r="W485" i="1"/>
  <c r="V485" i="1"/>
  <c r="U485" i="1"/>
  <c r="S485" i="1"/>
  <c r="R485" i="1"/>
  <c r="Q485" i="1"/>
  <c r="P485" i="1"/>
  <c r="N485" i="1"/>
  <c r="M485" i="1"/>
  <c r="L485" i="1"/>
  <c r="K485" i="1"/>
  <c r="AW484" i="1"/>
  <c r="AV484" i="1"/>
  <c r="AU484" i="1"/>
  <c r="AT484" i="1"/>
  <c r="AR484" i="1"/>
  <c r="AQ484" i="1"/>
  <c r="AP484" i="1"/>
  <c r="AO484" i="1"/>
  <c r="AM484" i="1"/>
  <c r="AL484" i="1"/>
  <c r="AK484" i="1"/>
  <c r="AJ484" i="1"/>
  <c r="AH484" i="1"/>
  <c r="AG484" i="1"/>
  <c r="AF484" i="1"/>
  <c r="AE484" i="1"/>
  <c r="AC484" i="1"/>
  <c r="AB484" i="1"/>
  <c r="AA484" i="1"/>
  <c r="Z484" i="1"/>
  <c r="X484" i="1"/>
  <c r="W484" i="1"/>
  <c r="V484" i="1"/>
  <c r="U484" i="1"/>
  <c r="S484" i="1"/>
  <c r="R484" i="1"/>
  <c r="Q484" i="1"/>
  <c r="P484" i="1"/>
  <c r="N484" i="1"/>
  <c r="M484" i="1"/>
  <c r="L484" i="1"/>
  <c r="K484" i="1"/>
  <c r="AW483" i="1"/>
  <c r="AV483" i="1"/>
  <c r="AU483" i="1"/>
  <c r="AT483" i="1"/>
  <c r="AR483" i="1"/>
  <c r="AQ483" i="1"/>
  <c r="AP483" i="1"/>
  <c r="AO483" i="1"/>
  <c r="AM483" i="1"/>
  <c r="AL483" i="1"/>
  <c r="AK483" i="1"/>
  <c r="AJ483" i="1"/>
  <c r="AH483" i="1"/>
  <c r="AG483" i="1"/>
  <c r="AF483" i="1"/>
  <c r="AE483" i="1"/>
  <c r="AC483" i="1"/>
  <c r="AB483" i="1"/>
  <c r="AA483" i="1"/>
  <c r="Z483" i="1"/>
  <c r="X483" i="1"/>
  <c r="W483" i="1"/>
  <c r="V483" i="1"/>
  <c r="U483" i="1"/>
  <c r="S483" i="1"/>
  <c r="R483" i="1"/>
  <c r="Q483" i="1"/>
  <c r="P483" i="1"/>
  <c r="N483" i="1"/>
  <c r="M483" i="1"/>
  <c r="L483" i="1"/>
  <c r="K483" i="1"/>
  <c r="AW482" i="1"/>
  <c r="AV482" i="1"/>
  <c r="AU482" i="1"/>
  <c r="AT482" i="1"/>
  <c r="AR482" i="1"/>
  <c r="AQ482" i="1"/>
  <c r="AP482" i="1"/>
  <c r="AO482" i="1"/>
  <c r="AM482" i="1"/>
  <c r="AL482" i="1"/>
  <c r="AK482" i="1"/>
  <c r="AJ482" i="1"/>
  <c r="AH482" i="1"/>
  <c r="AG482" i="1"/>
  <c r="AF482" i="1"/>
  <c r="AE482" i="1"/>
  <c r="AC482" i="1"/>
  <c r="AB482" i="1"/>
  <c r="AA482" i="1"/>
  <c r="Z482" i="1"/>
  <c r="X482" i="1"/>
  <c r="W482" i="1"/>
  <c r="V482" i="1"/>
  <c r="U482" i="1"/>
  <c r="S482" i="1"/>
  <c r="R482" i="1"/>
  <c r="Q482" i="1"/>
  <c r="P482" i="1"/>
  <c r="N482" i="1"/>
  <c r="M482" i="1"/>
  <c r="L482" i="1"/>
  <c r="K482" i="1"/>
  <c r="AW481" i="1"/>
  <c r="AV481" i="1"/>
  <c r="AU481" i="1"/>
  <c r="AT481" i="1"/>
  <c r="AR481" i="1"/>
  <c r="AQ481" i="1"/>
  <c r="AP481" i="1"/>
  <c r="AO481" i="1"/>
  <c r="AM481" i="1"/>
  <c r="AL481" i="1"/>
  <c r="AK481" i="1"/>
  <c r="AJ481" i="1"/>
  <c r="AH481" i="1"/>
  <c r="AG481" i="1"/>
  <c r="AF481" i="1"/>
  <c r="AE481" i="1"/>
  <c r="AC481" i="1"/>
  <c r="AB481" i="1"/>
  <c r="AA481" i="1"/>
  <c r="Z481" i="1"/>
  <c r="X481" i="1"/>
  <c r="W481" i="1"/>
  <c r="V481" i="1"/>
  <c r="U481" i="1"/>
  <c r="S481" i="1"/>
  <c r="R481" i="1"/>
  <c r="Q481" i="1"/>
  <c r="P481" i="1"/>
  <c r="N481" i="1"/>
  <c r="M481" i="1"/>
  <c r="L481" i="1"/>
  <c r="K481" i="1"/>
  <c r="AW480" i="1"/>
  <c r="AV480" i="1"/>
  <c r="AU480" i="1"/>
  <c r="AT480" i="1"/>
  <c r="AR480" i="1"/>
  <c r="AQ480" i="1"/>
  <c r="AP480" i="1"/>
  <c r="AO480" i="1"/>
  <c r="AM480" i="1"/>
  <c r="AL480" i="1"/>
  <c r="AK480" i="1"/>
  <c r="AJ480" i="1"/>
  <c r="AH480" i="1"/>
  <c r="AG480" i="1"/>
  <c r="AF480" i="1"/>
  <c r="AE480" i="1"/>
  <c r="AC480" i="1"/>
  <c r="AB480" i="1"/>
  <c r="AA480" i="1"/>
  <c r="Z480" i="1"/>
  <c r="X480" i="1"/>
  <c r="W480" i="1"/>
  <c r="V480" i="1"/>
  <c r="U480" i="1"/>
  <c r="S480" i="1"/>
  <c r="R480" i="1"/>
  <c r="Q480" i="1"/>
  <c r="P480" i="1"/>
  <c r="N480" i="1"/>
  <c r="M480" i="1"/>
  <c r="L480" i="1"/>
  <c r="K480" i="1"/>
  <c r="AW479" i="1"/>
  <c r="AV479" i="1"/>
  <c r="AU479" i="1"/>
  <c r="AT479" i="1"/>
  <c r="AR479" i="1"/>
  <c r="AQ479" i="1"/>
  <c r="AP479" i="1"/>
  <c r="AO479" i="1"/>
  <c r="AM479" i="1"/>
  <c r="AL479" i="1"/>
  <c r="AK479" i="1"/>
  <c r="AJ479" i="1"/>
  <c r="AH479" i="1"/>
  <c r="AG479" i="1"/>
  <c r="AF479" i="1"/>
  <c r="AE479" i="1"/>
  <c r="AC479" i="1"/>
  <c r="AB479" i="1"/>
  <c r="AA479" i="1"/>
  <c r="Z479" i="1"/>
  <c r="X479" i="1"/>
  <c r="W479" i="1"/>
  <c r="V479" i="1"/>
  <c r="U479" i="1"/>
  <c r="S479" i="1"/>
  <c r="R479" i="1"/>
  <c r="Q479" i="1"/>
  <c r="P479" i="1"/>
  <c r="N479" i="1"/>
  <c r="M479" i="1"/>
  <c r="L479" i="1"/>
  <c r="K479" i="1"/>
  <c r="AW478" i="1"/>
  <c r="AV478" i="1"/>
  <c r="AU478" i="1"/>
  <c r="AT478" i="1"/>
  <c r="AR478" i="1"/>
  <c r="AQ478" i="1"/>
  <c r="AP478" i="1"/>
  <c r="AO478" i="1"/>
  <c r="AM478" i="1"/>
  <c r="AL478" i="1"/>
  <c r="AK478" i="1"/>
  <c r="AJ478" i="1"/>
  <c r="AH478" i="1"/>
  <c r="AG478" i="1"/>
  <c r="AF478" i="1"/>
  <c r="AE478" i="1"/>
  <c r="AC478" i="1"/>
  <c r="AB478" i="1"/>
  <c r="AA478" i="1"/>
  <c r="Z478" i="1"/>
  <c r="X478" i="1"/>
  <c r="W478" i="1"/>
  <c r="V478" i="1"/>
  <c r="U478" i="1"/>
  <c r="S478" i="1"/>
  <c r="R478" i="1"/>
  <c r="Q478" i="1"/>
  <c r="P478" i="1"/>
  <c r="N478" i="1"/>
  <c r="M478" i="1"/>
  <c r="L478" i="1"/>
  <c r="K478" i="1"/>
  <c r="AW477" i="1"/>
  <c r="AV477" i="1"/>
  <c r="AU477" i="1"/>
  <c r="AT477" i="1"/>
  <c r="AR477" i="1"/>
  <c r="AQ477" i="1"/>
  <c r="AP477" i="1"/>
  <c r="AO477" i="1"/>
  <c r="AM477" i="1"/>
  <c r="AL477" i="1"/>
  <c r="AK477" i="1"/>
  <c r="AJ477" i="1"/>
  <c r="AH477" i="1"/>
  <c r="AG477" i="1"/>
  <c r="AF477" i="1"/>
  <c r="AE477" i="1"/>
  <c r="AC477" i="1"/>
  <c r="AB477" i="1"/>
  <c r="AA477" i="1"/>
  <c r="Z477" i="1"/>
  <c r="X477" i="1"/>
  <c r="W477" i="1"/>
  <c r="V477" i="1"/>
  <c r="U477" i="1"/>
  <c r="S477" i="1"/>
  <c r="R477" i="1"/>
  <c r="Q477" i="1"/>
  <c r="P477" i="1"/>
  <c r="N477" i="1"/>
  <c r="M477" i="1"/>
  <c r="L477" i="1"/>
  <c r="K477" i="1"/>
  <c r="AW476" i="1"/>
  <c r="AV476" i="1"/>
  <c r="AU476" i="1"/>
  <c r="AT476" i="1"/>
  <c r="AR476" i="1"/>
  <c r="AQ476" i="1"/>
  <c r="AP476" i="1"/>
  <c r="AO476" i="1"/>
  <c r="AM476" i="1"/>
  <c r="AL476" i="1"/>
  <c r="AK476" i="1"/>
  <c r="AJ476" i="1"/>
  <c r="AH476" i="1"/>
  <c r="AG476" i="1"/>
  <c r="AF476" i="1"/>
  <c r="AE476" i="1"/>
  <c r="AC476" i="1"/>
  <c r="AB476" i="1"/>
  <c r="AA476" i="1"/>
  <c r="Z476" i="1"/>
  <c r="X476" i="1"/>
  <c r="W476" i="1"/>
  <c r="V476" i="1"/>
  <c r="U476" i="1"/>
  <c r="S476" i="1"/>
  <c r="R476" i="1"/>
  <c r="Q476" i="1"/>
  <c r="P476" i="1"/>
  <c r="N476" i="1"/>
  <c r="M476" i="1"/>
  <c r="L476" i="1"/>
  <c r="K476" i="1"/>
  <c r="AW475" i="1"/>
  <c r="AV475" i="1"/>
  <c r="AU475" i="1"/>
  <c r="AT475" i="1"/>
  <c r="AR475" i="1"/>
  <c r="AQ475" i="1"/>
  <c r="AP475" i="1"/>
  <c r="AO475" i="1"/>
  <c r="AM475" i="1"/>
  <c r="AL475" i="1"/>
  <c r="AK475" i="1"/>
  <c r="AJ475" i="1"/>
  <c r="AH475" i="1"/>
  <c r="AG475" i="1"/>
  <c r="AF475" i="1"/>
  <c r="AE475" i="1"/>
  <c r="AC475" i="1"/>
  <c r="AB475" i="1"/>
  <c r="AA475" i="1"/>
  <c r="Z475" i="1"/>
  <c r="X475" i="1"/>
  <c r="W475" i="1"/>
  <c r="V475" i="1"/>
  <c r="U475" i="1"/>
  <c r="S475" i="1"/>
  <c r="R475" i="1"/>
  <c r="Q475" i="1"/>
  <c r="P475" i="1"/>
  <c r="N475" i="1"/>
  <c r="M475" i="1"/>
  <c r="L475" i="1"/>
  <c r="K475" i="1"/>
  <c r="AW474" i="1"/>
  <c r="AV474" i="1"/>
  <c r="AU474" i="1"/>
  <c r="AT474" i="1"/>
  <c r="AR474" i="1"/>
  <c r="AQ474" i="1"/>
  <c r="AP474" i="1"/>
  <c r="AO474" i="1"/>
  <c r="AM474" i="1"/>
  <c r="AL474" i="1"/>
  <c r="AK474" i="1"/>
  <c r="AJ474" i="1"/>
  <c r="AH474" i="1"/>
  <c r="AG474" i="1"/>
  <c r="AF474" i="1"/>
  <c r="AE474" i="1"/>
  <c r="AC474" i="1"/>
  <c r="AB474" i="1"/>
  <c r="AA474" i="1"/>
  <c r="Z474" i="1"/>
  <c r="X474" i="1"/>
  <c r="W474" i="1"/>
  <c r="V474" i="1"/>
  <c r="U474" i="1"/>
  <c r="S474" i="1"/>
  <c r="R474" i="1"/>
  <c r="Q474" i="1"/>
  <c r="P474" i="1"/>
  <c r="N474" i="1"/>
  <c r="M474" i="1"/>
  <c r="L474" i="1"/>
  <c r="K474" i="1"/>
  <c r="AW473" i="1"/>
  <c r="AV473" i="1"/>
  <c r="AU473" i="1"/>
  <c r="AT473" i="1"/>
  <c r="AR473" i="1"/>
  <c r="AQ473" i="1"/>
  <c r="AP473" i="1"/>
  <c r="AO473" i="1"/>
  <c r="AM473" i="1"/>
  <c r="AL473" i="1"/>
  <c r="AK473" i="1"/>
  <c r="AJ473" i="1"/>
  <c r="AH473" i="1"/>
  <c r="AG473" i="1"/>
  <c r="AF473" i="1"/>
  <c r="AE473" i="1"/>
  <c r="AC473" i="1"/>
  <c r="AB473" i="1"/>
  <c r="AA473" i="1"/>
  <c r="Z473" i="1"/>
  <c r="X473" i="1"/>
  <c r="W473" i="1"/>
  <c r="V473" i="1"/>
  <c r="U473" i="1"/>
  <c r="S473" i="1"/>
  <c r="R473" i="1"/>
  <c r="Q473" i="1"/>
  <c r="P473" i="1"/>
  <c r="N473" i="1"/>
  <c r="M473" i="1"/>
  <c r="L473" i="1"/>
  <c r="K473" i="1"/>
  <c r="AW472" i="1"/>
  <c r="AV472" i="1"/>
  <c r="AU472" i="1"/>
  <c r="AT472" i="1"/>
  <c r="AR472" i="1"/>
  <c r="AQ472" i="1"/>
  <c r="AP472" i="1"/>
  <c r="AO472" i="1"/>
  <c r="AM472" i="1"/>
  <c r="AL472" i="1"/>
  <c r="AK472" i="1"/>
  <c r="AJ472" i="1"/>
  <c r="AH472" i="1"/>
  <c r="AG472" i="1"/>
  <c r="AF472" i="1"/>
  <c r="AE472" i="1"/>
  <c r="AC472" i="1"/>
  <c r="AB472" i="1"/>
  <c r="AA472" i="1"/>
  <c r="Z472" i="1"/>
  <c r="X472" i="1"/>
  <c r="W472" i="1"/>
  <c r="V472" i="1"/>
  <c r="U472" i="1"/>
  <c r="S472" i="1"/>
  <c r="R472" i="1"/>
  <c r="Q472" i="1"/>
  <c r="P472" i="1"/>
  <c r="N472" i="1"/>
  <c r="M472" i="1"/>
  <c r="L472" i="1"/>
  <c r="K472" i="1"/>
  <c r="AW471" i="1"/>
  <c r="AV471" i="1"/>
  <c r="AU471" i="1"/>
  <c r="AT471" i="1"/>
  <c r="AR471" i="1"/>
  <c r="AQ471" i="1"/>
  <c r="AP471" i="1"/>
  <c r="AO471" i="1"/>
  <c r="AM471" i="1"/>
  <c r="AL471" i="1"/>
  <c r="AK471" i="1"/>
  <c r="AJ471" i="1"/>
  <c r="AH471" i="1"/>
  <c r="AG471" i="1"/>
  <c r="AF471" i="1"/>
  <c r="AE471" i="1"/>
  <c r="AC471" i="1"/>
  <c r="AB471" i="1"/>
  <c r="AA471" i="1"/>
  <c r="Z471" i="1"/>
  <c r="X471" i="1"/>
  <c r="W471" i="1"/>
  <c r="V471" i="1"/>
  <c r="U471" i="1"/>
  <c r="S471" i="1"/>
  <c r="R471" i="1"/>
  <c r="Q471" i="1"/>
  <c r="P471" i="1"/>
  <c r="N471" i="1"/>
  <c r="M471" i="1"/>
  <c r="L471" i="1"/>
  <c r="K471" i="1"/>
  <c r="AW470" i="1"/>
  <c r="AV470" i="1"/>
  <c r="AU470" i="1"/>
  <c r="AT470" i="1"/>
  <c r="AR470" i="1"/>
  <c r="AQ470" i="1"/>
  <c r="AP470" i="1"/>
  <c r="AO470" i="1"/>
  <c r="AM470" i="1"/>
  <c r="AL470" i="1"/>
  <c r="AK470" i="1"/>
  <c r="AJ470" i="1"/>
  <c r="AH470" i="1"/>
  <c r="AG470" i="1"/>
  <c r="AF470" i="1"/>
  <c r="AE470" i="1"/>
  <c r="AC470" i="1"/>
  <c r="AB470" i="1"/>
  <c r="AA470" i="1"/>
  <c r="Z470" i="1"/>
  <c r="X470" i="1"/>
  <c r="W470" i="1"/>
  <c r="V470" i="1"/>
  <c r="U470" i="1"/>
  <c r="S470" i="1"/>
  <c r="R470" i="1"/>
  <c r="Q470" i="1"/>
  <c r="P470" i="1"/>
  <c r="N470" i="1"/>
  <c r="M470" i="1"/>
  <c r="L470" i="1"/>
  <c r="K470" i="1"/>
  <c r="AW469" i="1"/>
  <c r="AV469" i="1"/>
  <c r="AU469" i="1"/>
  <c r="AT469" i="1"/>
  <c r="AR469" i="1"/>
  <c r="AQ469" i="1"/>
  <c r="AP469" i="1"/>
  <c r="AO469" i="1"/>
  <c r="AM469" i="1"/>
  <c r="AL469" i="1"/>
  <c r="AK469" i="1"/>
  <c r="AJ469" i="1"/>
  <c r="AH469" i="1"/>
  <c r="AG469" i="1"/>
  <c r="AF469" i="1"/>
  <c r="AE469" i="1"/>
  <c r="AC469" i="1"/>
  <c r="AB469" i="1"/>
  <c r="AA469" i="1"/>
  <c r="Z469" i="1"/>
  <c r="X469" i="1"/>
  <c r="W469" i="1"/>
  <c r="V469" i="1"/>
  <c r="U469" i="1"/>
  <c r="S469" i="1"/>
  <c r="R469" i="1"/>
  <c r="Q469" i="1"/>
  <c r="P469" i="1"/>
  <c r="N469" i="1"/>
  <c r="M469" i="1"/>
  <c r="L469" i="1"/>
  <c r="K469" i="1"/>
  <c r="AW468" i="1"/>
  <c r="AV468" i="1"/>
  <c r="AU468" i="1"/>
  <c r="AT468" i="1"/>
  <c r="AR468" i="1"/>
  <c r="AQ468" i="1"/>
  <c r="AP468" i="1"/>
  <c r="AO468" i="1"/>
  <c r="AM468" i="1"/>
  <c r="AL468" i="1"/>
  <c r="AK468" i="1"/>
  <c r="AJ468" i="1"/>
  <c r="AH468" i="1"/>
  <c r="AG468" i="1"/>
  <c r="AF468" i="1"/>
  <c r="AE468" i="1"/>
  <c r="AC468" i="1"/>
  <c r="AB468" i="1"/>
  <c r="AA468" i="1"/>
  <c r="Z468" i="1"/>
  <c r="X468" i="1"/>
  <c r="W468" i="1"/>
  <c r="V468" i="1"/>
  <c r="U468" i="1"/>
  <c r="S468" i="1"/>
  <c r="R468" i="1"/>
  <c r="Q468" i="1"/>
  <c r="P468" i="1"/>
  <c r="N468" i="1"/>
  <c r="M468" i="1"/>
  <c r="L468" i="1"/>
  <c r="K468" i="1"/>
  <c r="AW467" i="1"/>
  <c r="AV467" i="1"/>
  <c r="AU467" i="1"/>
  <c r="AT467" i="1"/>
  <c r="AR467" i="1"/>
  <c r="AQ467" i="1"/>
  <c r="AP467" i="1"/>
  <c r="AO467" i="1"/>
  <c r="AM467" i="1"/>
  <c r="AL467" i="1"/>
  <c r="AK467" i="1"/>
  <c r="AJ467" i="1"/>
  <c r="AH467" i="1"/>
  <c r="AG467" i="1"/>
  <c r="AF467" i="1"/>
  <c r="AE467" i="1"/>
  <c r="AC467" i="1"/>
  <c r="AB467" i="1"/>
  <c r="AA467" i="1"/>
  <c r="Z467" i="1"/>
  <c r="X467" i="1"/>
  <c r="W467" i="1"/>
  <c r="V467" i="1"/>
  <c r="U467" i="1"/>
  <c r="S467" i="1"/>
  <c r="R467" i="1"/>
  <c r="Q467" i="1"/>
  <c r="P467" i="1"/>
  <c r="N467" i="1"/>
  <c r="M467" i="1"/>
  <c r="L467" i="1"/>
  <c r="K467" i="1"/>
  <c r="AW466" i="1"/>
  <c r="AV466" i="1"/>
  <c r="AU466" i="1"/>
  <c r="AT466" i="1"/>
  <c r="AR466" i="1"/>
  <c r="AQ466" i="1"/>
  <c r="AP466" i="1"/>
  <c r="AO466" i="1"/>
  <c r="AM466" i="1"/>
  <c r="AL466" i="1"/>
  <c r="AK466" i="1"/>
  <c r="AJ466" i="1"/>
  <c r="AH466" i="1"/>
  <c r="AG466" i="1"/>
  <c r="AF466" i="1"/>
  <c r="AE466" i="1"/>
  <c r="AC466" i="1"/>
  <c r="AB466" i="1"/>
  <c r="AA466" i="1"/>
  <c r="Z466" i="1"/>
  <c r="X466" i="1"/>
  <c r="W466" i="1"/>
  <c r="V466" i="1"/>
  <c r="U466" i="1"/>
  <c r="S466" i="1"/>
  <c r="R466" i="1"/>
  <c r="Q466" i="1"/>
  <c r="P466" i="1"/>
  <c r="N466" i="1"/>
  <c r="M466" i="1"/>
  <c r="L466" i="1"/>
  <c r="K466" i="1"/>
  <c r="AW465" i="1"/>
  <c r="AV465" i="1"/>
  <c r="AU465" i="1"/>
  <c r="AT465" i="1"/>
  <c r="AR465" i="1"/>
  <c r="AQ465" i="1"/>
  <c r="AP465" i="1"/>
  <c r="AO465" i="1"/>
  <c r="AM465" i="1"/>
  <c r="AL465" i="1"/>
  <c r="AK465" i="1"/>
  <c r="AJ465" i="1"/>
  <c r="AH465" i="1"/>
  <c r="AG465" i="1"/>
  <c r="AF465" i="1"/>
  <c r="AE465" i="1"/>
  <c r="AC465" i="1"/>
  <c r="AB465" i="1"/>
  <c r="AA465" i="1"/>
  <c r="Z465" i="1"/>
  <c r="X465" i="1"/>
  <c r="W465" i="1"/>
  <c r="V465" i="1"/>
  <c r="U465" i="1"/>
  <c r="S465" i="1"/>
  <c r="R465" i="1"/>
  <c r="Q465" i="1"/>
  <c r="P465" i="1"/>
  <c r="N465" i="1"/>
  <c r="M465" i="1"/>
  <c r="L465" i="1"/>
  <c r="K465" i="1"/>
  <c r="AW464" i="1"/>
  <c r="AV464" i="1"/>
  <c r="AU464" i="1"/>
  <c r="AT464" i="1"/>
  <c r="AR464" i="1"/>
  <c r="AQ464" i="1"/>
  <c r="AP464" i="1"/>
  <c r="AO464" i="1"/>
  <c r="AM464" i="1"/>
  <c r="AL464" i="1"/>
  <c r="AK464" i="1"/>
  <c r="AJ464" i="1"/>
  <c r="AH464" i="1"/>
  <c r="AG464" i="1"/>
  <c r="AF464" i="1"/>
  <c r="AE464" i="1"/>
  <c r="AC464" i="1"/>
  <c r="AB464" i="1"/>
  <c r="AA464" i="1"/>
  <c r="Z464" i="1"/>
  <c r="X464" i="1"/>
  <c r="W464" i="1"/>
  <c r="V464" i="1"/>
  <c r="U464" i="1"/>
  <c r="S464" i="1"/>
  <c r="R464" i="1"/>
  <c r="Q464" i="1"/>
  <c r="P464" i="1"/>
  <c r="N464" i="1"/>
  <c r="M464" i="1"/>
  <c r="L464" i="1"/>
  <c r="K464" i="1"/>
  <c r="AW463" i="1"/>
  <c r="AV463" i="1"/>
  <c r="AU463" i="1"/>
  <c r="AT463" i="1"/>
  <c r="AR463" i="1"/>
  <c r="AQ463" i="1"/>
  <c r="AP463" i="1"/>
  <c r="AO463" i="1"/>
  <c r="AM463" i="1"/>
  <c r="AL463" i="1"/>
  <c r="AK463" i="1"/>
  <c r="AJ463" i="1"/>
  <c r="AH463" i="1"/>
  <c r="AG463" i="1"/>
  <c r="AF463" i="1"/>
  <c r="AE463" i="1"/>
  <c r="AC463" i="1"/>
  <c r="AB463" i="1"/>
  <c r="AA463" i="1"/>
  <c r="Z463" i="1"/>
  <c r="X463" i="1"/>
  <c r="W463" i="1"/>
  <c r="V463" i="1"/>
  <c r="U463" i="1"/>
  <c r="S463" i="1"/>
  <c r="R463" i="1"/>
  <c r="Q463" i="1"/>
  <c r="P463" i="1"/>
  <c r="N463" i="1"/>
  <c r="M463" i="1"/>
  <c r="L463" i="1"/>
  <c r="K463" i="1"/>
  <c r="AW462" i="1"/>
  <c r="AV462" i="1"/>
  <c r="AU462" i="1"/>
  <c r="AT462" i="1"/>
  <c r="AR462" i="1"/>
  <c r="AQ462" i="1"/>
  <c r="AP462" i="1"/>
  <c r="AO462" i="1"/>
  <c r="AM462" i="1"/>
  <c r="AL462" i="1"/>
  <c r="AK462" i="1"/>
  <c r="AJ462" i="1"/>
  <c r="AH462" i="1"/>
  <c r="AG462" i="1"/>
  <c r="AF462" i="1"/>
  <c r="AE462" i="1"/>
  <c r="AC462" i="1"/>
  <c r="AB462" i="1"/>
  <c r="AA462" i="1"/>
  <c r="Z462" i="1"/>
  <c r="X462" i="1"/>
  <c r="W462" i="1"/>
  <c r="V462" i="1"/>
  <c r="U462" i="1"/>
  <c r="S462" i="1"/>
  <c r="R462" i="1"/>
  <c r="Q462" i="1"/>
  <c r="P462" i="1"/>
  <c r="N462" i="1"/>
  <c r="M462" i="1"/>
  <c r="L462" i="1"/>
  <c r="K462" i="1"/>
  <c r="AW461" i="1"/>
  <c r="AV461" i="1"/>
  <c r="AU461" i="1"/>
  <c r="AT461" i="1"/>
  <c r="AR461" i="1"/>
  <c r="AQ461" i="1"/>
  <c r="AP461" i="1"/>
  <c r="AO461" i="1"/>
  <c r="AM461" i="1"/>
  <c r="AL461" i="1"/>
  <c r="AK461" i="1"/>
  <c r="AJ461" i="1"/>
  <c r="AH461" i="1"/>
  <c r="AG461" i="1"/>
  <c r="AF461" i="1"/>
  <c r="AE461" i="1"/>
  <c r="AC461" i="1"/>
  <c r="AB461" i="1"/>
  <c r="AA461" i="1"/>
  <c r="Z461" i="1"/>
  <c r="X461" i="1"/>
  <c r="W461" i="1"/>
  <c r="V461" i="1"/>
  <c r="U461" i="1"/>
  <c r="S461" i="1"/>
  <c r="R461" i="1"/>
  <c r="Q461" i="1"/>
  <c r="P461" i="1"/>
  <c r="N461" i="1"/>
  <c r="M461" i="1"/>
  <c r="L461" i="1"/>
  <c r="K461" i="1"/>
  <c r="AW460" i="1"/>
  <c r="AV460" i="1"/>
  <c r="AU460" i="1"/>
  <c r="AT460" i="1"/>
  <c r="AR460" i="1"/>
  <c r="AQ460" i="1"/>
  <c r="AP460" i="1"/>
  <c r="AO460" i="1"/>
  <c r="AM460" i="1"/>
  <c r="AL460" i="1"/>
  <c r="AK460" i="1"/>
  <c r="AJ460" i="1"/>
  <c r="AH460" i="1"/>
  <c r="AG460" i="1"/>
  <c r="AF460" i="1"/>
  <c r="AE460" i="1"/>
  <c r="AC460" i="1"/>
  <c r="AB460" i="1"/>
  <c r="AA460" i="1"/>
  <c r="Z460" i="1"/>
  <c r="X460" i="1"/>
  <c r="W460" i="1"/>
  <c r="V460" i="1"/>
  <c r="U460" i="1"/>
  <c r="S460" i="1"/>
  <c r="R460" i="1"/>
  <c r="Q460" i="1"/>
  <c r="P460" i="1"/>
  <c r="N460" i="1"/>
  <c r="M460" i="1"/>
  <c r="L460" i="1"/>
  <c r="K460" i="1"/>
  <c r="AW459" i="1"/>
  <c r="AV459" i="1"/>
  <c r="AU459" i="1"/>
  <c r="AT459" i="1"/>
  <c r="AR459" i="1"/>
  <c r="AQ459" i="1"/>
  <c r="AP459" i="1"/>
  <c r="AO459" i="1"/>
  <c r="AM459" i="1"/>
  <c r="AL459" i="1"/>
  <c r="AK459" i="1"/>
  <c r="AJ459" i="1"/>
  <c r="AH459" i="1"/>
  <c r="AG459" i="1"/>
  <c r="AF459" i="1"/>
  <c r="AE459" i="1"/>
  <c r="AC459" i="1"/>
  <c r="AB459" i="1"/>
  <c r="AA459" i="1"/>
  <c r="Z459" i="1"/>
  <c r="X459" i="1"/>
  <c r="W459" i="1"/>
  <c r="V459" i="1"/>
  <c r="U459" i="1"/>
  <c r="S459" i="1"/>
  <c r="R459" i="1"/>
  <c r="Q459" i="1"/>
  <c r="P459" i="1"/>
  <c r="N459" i="1"/>
  <c r="M459" i="1"/>
  <c r="L459" i="1"/>
  <c r="K459" i="1"/>
  <c r="AW458" i="1"/>
  <c r="AV458" i="1"/>
  <c r="AU458" i="1"/>
  <c r="AT458" i="1"/>
  <c r="AR458" i="1"/>
  <c r="AQ458" i="1"/>
  <c r="AP458" i="1"/>
  <c r="AO458" i="1"/>
  <c r="AM458" i="1"/>
  <c r="AL458" i="1"/>
  <c r="AK458" i="1"/>
  <c r="AJ458" i="1"/>
  <c r="AH458" i="1"/>
  <c r="AG458" i="1"/>
  <c r="AF458" i="1"/>
  <c r="AE458" i="1"/>
  <c r="AC458" i="1"/>
  <c r="AB458" i="1"/>
  <c r="AA458" i="1"/>
  <c r="Z458" i="1"/>
  <c r="X458" i="1"/>
  <c r="W458" i="1"/>
  <c r="V458" i="1"/>
  <c r="U458" i="1"/>
  <c r="S458" i="1"/>
  <c r="R458" i="1"/>
  <c r="Q458" i="1"/>
  <c r="P458" i="1"/>
  <c r="N458" i="1"/>
  <c r="M458" i="1"/>
  <c r="L458" i="1"/>
  <c r="K458" i="1"/>
  <c r="AW457" i="1"/>
  <c r="AV457" i="1"/>
  <c r="AU457" i="1"/>
  <c r="AT457" i="1"/>
  <c r="AR457" i="1"/>
  <c r="AQ457" i="1"/>
  <c r="AP457" i="1"/>
  <c r="AO457" i="1"/>
  <c r="AM457" i="1"/>
  <c r="AL457" i="1"/>
  <c r="AK457" i="1"/>
  <c r="AJ457" i="1"/>
  <c r="AH457" i="1"/>
  <c r="AG457" i="1"/>
  <c r="AF457" i="1"/>
  <c r="AE457" i="1"/>
  <c r="AC457" i="1"/>
  <c r="AB457" i="1"/>
  <c r="AA457" i="1"/>
  <c r="Z457" i="1"/>
  <c r="X457" i="1"/>
  <c r="W457" i="1"/>
  <c r="V457" i="1"/>
  <c r="U457" i="1"/>
  <c r="S457" i="1"/>
  <c r="R457" i="1"/>
  <c r="Q457" i="1"/>
  <c r="P457" i="1"/>
  <c r="N457" i="1"/>
  <c r="M457" i="1"/>
  <c r="L457" i="1"/>
  <c r="K457" i="1"/>
  <c r="AW456" i="1"/>
  <c r="AV456" i="1"/>
  <c r="AU456" i="1"/>
  <c r="AT456" i="1"/>
  <c r="AR456" i="1"/>
  <c r="AQ456" i="1"/>
  <c r="AP456" i="1"/>
  <c r="AO456" i="1"/>
  <c r="AM456" i="1"/>
  <c r="AL456" i="1"/>
  <c r="AK456" i="1"/>
  <c r="AJ456" i="1"/>
  <c r="AH456" i="1"/>
  <c r="AG456" i="1"/>
  <c r="AF456" i="1"/>
  <c r="AE456" i="1"/>
  <c r="AC456" i="1"/>
  <c r="AB456" i="1"/>
  <c r="AA456" i="1"/>
  <c r="Z456" i="1"/>
  <c r="X456" i="1"/>
  <c r="W456" i="1"/>
  <c r="V456" i="1"/>
  <c r="U456" i="1"/>
  <c r="S456" i="1"/>
  <c r="R456" i="1"/>
  <c r="Q456" i="1"/>
  <c r="P456" i="1"/>
  <c r="N456" i="1"/>
  <c r="M456" i="1"/>
  <c r="L456" i="1"/>
  <c r="K456" i="1"/>
  <c r="AW455" i="1"/>
  <c r="AV455" i="1"/>
  <c r="AU455" i="1"/>
  <c r="AT455" i="1"/>
  <c r="AR455" i="1"/>
  <c r="AQ455" i="1"/>
  <c r="AP455" i="1"/>
  <c r="AO455" i="1"/>
  <c r="AM455" i="1"/>
  <c r="AL455" i="1"/>
  <c r="AK455" i="1"/>
  <c r="AJ455" i="1"/>
  <c r="AH455" i="1"/>
  <c r="AG455" i="1"/>
  <c r="AF455" i="1"/>
  <c r="AE455" i="1"/>
  <c r="AC455" i="1"/>
  <c r="AB455" i="1"/>
  <c r="AA455" i="1"/>
  <c r="Z455" i="1"/>
  <c r="X455" i="1"/>
  <c r="W455" i="1"/>
  <c r="V455" i="1"/>
  <c r="U455" i="1"/>
  <c r="S455" i="1"/>
  <c r="R455" i="1"/>
  <c r="Q455" i="1"/>
  <c r="P455" i="1"/>
  <c r="N455" i="1"/>
  <c r="M455" i="1"/>
  <c r="L455" i="1"/>
  <c r="K455" i="1"/>
  <c r="AW454" i="1"/>
  <c r="AV454" i="1"/>
  <c r="AU454" i="1"/>
  <c r="AT454" i="1"/>
  <c r="AR454" i="1"/>
  <c r="AQ454" i="1"/>
  <c r="AP454" i="1"/>
  <c r="AO454" i="1"/>
  <c r="AM454" i="1"/>
  <c r="AL454" i="1"/>
  <c r="AK454" i="1"/>
  <c r="AJ454" i="1"/>
  <c r="AH454" i="1"/>
  <c r="AG454" i="1"/>
  <c r="AF454" i="1"/>
  <c r="AE454" i="1"/>
  <c r="AC454" i="1"/>
  <c r="AB454" i="1"/>
  <c r="AA454" i="1"/>
  <c r="Z454" i="1"/>
  <c r="X454" i="1"/>
  <c r="W454" i="1"/>
  <c r="V454" i="1"/>
  <c r="U454" i="1"/>
  <c r="S454" i="1"/>
  <c r="R454" i="1"/>
  <c r="Q454" i="1"/>
  <c r="P454" i="1"/>
  <c r="N454" i="1"/>
  <c r="M454" i="1"/>
  <c r="L454" i="1"/>
  <c r="K454" i="1"/>
  <c r="AW453" i="1"/>
  <c r="AV453" i="1"/>
  <c r="AU453" i="1"/>
  <c r="AT453" i="1"/>
  <c r="AR453" i="1"/>
  <c r="AQ453" i="1"/>
  <c r="AP453" i="1"/>
  <c r="AO453" i="1"/>
  <c r="AM453" i="1"/>
  <c r="AL453" i="1"/>
  <c r="AK453" i="1"/>
  <c r="AJ453" i="1"/>
  <c r="AH453" i="1"/>
  <c r="AG453" i="1"/>
  <c r="AF453" i="1"/>
  <c r="AE453" i="1"/>
  <c r="AC453" i="1"/>
  <c r="AB453" i="1"/>
  <c r="AA453" i="1"/>
  <c r="Z453" i="1"/>
  <c r="X453" i="1"/>
  <c r="W453" i="1"/>
  <c r="V453" i="1"/>
  <c r="U453" i="1"/>
  <c r="S453" i="1"/>
  <c r="R453" i="1"/>
  <c r="Q453" i="1"/>
  <c r="P453" i="1"/>
  <c r="N453" i="1"/>
  <c r="M453" i="1"/>
  <c r="L453" i="1"/>
  <c r="K453" i="1"/>
  <c r="AW452" i="1"/>
  <c r="AV452" i="1"/>
  <c r="AU452" i="1"/>
  <c r="AT452" i="1"/>
  <c r="AR452" i="1"/>
  <c r="AQ452" i="1"/>
  <c r="AP452" i="1"/>
  <c r="AO452" i="1"/>
  <c r="AM452" i="1"/>
  <c r="AL452" i="1"/>
  <c r="AK452" i="1"/>
  <c r="AJ452" i="1"/>
  <c r="AH452" i="1"/>
  <c r="AG452" i="1"/>
  <c r="AF452" i="1"/>
  <c r="AE452" i="1"/>
  <c r="AC452" i="1"/>
  <c r="AB452" i="1"/>
  <c r="AA452" i="1"/>
  <c r="Z452" i="1"/>
  <c r="X452" i="1"/>
  <c r="W452" i="1"/>
  <c r="V452" i="1"/>
  <c r="U452" i="1"/>
  <c r="S452" i="1"/>
  <c r="R452" i="1"/>
  <c r="Q452" i="1"/>
  <c r="P452" i="1"/>
  <c r="N452" i="1"/>
  <c r="M452" i="1"/>
  <c r="L452" i="1"/>
  <c r="K452" i="1"/>
  <c r="AW451" i="1"/>
  <c r="AV451" i="1"/>
  <c r="AU451" i="1"/>
  <c r="AT451" i="1"/>
  <c r="AR451" i="1"/>
  <c r="AQ451" i="1"/>
  <c r="AP451" i="1"/>
  <c r="AO451" i="1"/>
  <c r="AM451" i="1"/>
  <c r="AL451" i="1"/>
  <c r="AK451" i="1"/>
  <c r="AJ451" i="1"/>
  <c r="AH451" i="1"/>
  <c r="AG451" i="1"/>
  <c r="AF451" i="1"/>
  <c r="AE451" i="1"/>
  <c r="AC451" i="1"/>
  <c r="AB451" i="1"/>
  <c r="AA451" i="1"/>
  <c r="Z451" i="1"/>
  <c r="X451" i="1"/>
  <c r="W451" i="1"/>
  <c r="V451" i="1"/>
  <c r="U451" i="1"/>
  <c r="S451" i="1"/>
  <c r="R451" i="1"/>
  <c r="Q451" i="1"/>
  <c r="P451" i="1"/>
  <c r="N451" i="1"/>
  <c r="M451" i="1"/>
  <c r="L451" i="1"/>
  <c r="K451" i="1"/>
  <c r="AW450" i="1"/>
  <c r="AV450" i="1"/>
  <c r="AU450" i="1"/>
  <c r="AT450" i="1"/>
  <c r="AR450" i="1"/>
  <c r="AQ450" i="1"/>
  <c r="AP450" i="1"/>
  <c r="AO450" i="1"/>
  <c r="AM450" i="1"/>
  <c r="AL450" i="1"/>
  <c r="AK450" i="1"/>
  <c r="AJ450" i="1"/>
  <c r="AH450" i="1"/>
  <c r="AG450" i="1"/>
  <c r="AF450" i="1"/>
  <c r="AE450" i="1"/>
  <c r="AC450" i="1"/>
  <c r="AB450" i="1"/>
  <c r="AA450" i="1"/>
  <c r="Z450" i="1"/>
  <c r="X450" i="1"/>
  <c r="W450" i="1"/>
  <c r="V450" i="1"/>
  <c r="U450" i="1"/>
  <c r="S450" i="1"/>
  <c r="R450" i="1"/>
  <c r="Q450" i="1"/>
  <c r="P450" i="1"/>
  <c r="N450" i="1"/>
  <c r="M450" i="1"/>
  <c r="L450" i="1"/>
  <c r="K450" i="1"/>
  <c r="AW449" i="1"/>
  <c r="AV449" i="1"/>
  <c r="AU449" i="1"/>
  <c r="AT449" i="1"/>
  <c r="AR449" i="1"/>
  <c r="AQ449" i="1"/>
  <c r="AP449" i="1"/>
  <c r="AO449" i="1"/>
  <c r="AM449" i="1"/>
  <c r="AL449" i="1"/>
  <c r="AK449" i="1"/>
  <c r="AJ449" i="1"/>
  <c r="AH449" i="1"/>
  <c r="AG449" i="1"/>
  <c r="AF449" i="1"/>
  <c r="AE449" i="1"/>
  <c r="AC449" i="1"/>
  <c r="AB449" i="1"/>
  <c r="AA449" i="1"/>
  <c r="Z449" i="1"/>
  <c r="X449" i="1"/>
  <c r="W449" i="1"/>
  <c r="V449" i="1"/>
  <c r="U449" i="1"/>
  <c r="S449" i="1"/>
  <c r="R449" i="1"/>
  <c r="Q449" i="1"/>
  <c r="P449" i="1"/>
  <c r="N449" i="1"/>
  <c r="M449" i="1"/>
  <c r="L449" i="1"/>
  <c r="K449" i="1"/>
  <c r="AW448" i="1"/>
  <c r="AV448" i="1"/>
  <c r="AU448" i="1"/>
  <c r="AT448" i="1"/>
  <c r="AR448" i="1"/>
  <c r="AQ448" i="1"/>
  <c r="AP448" i="1"/>
  <c r="AO448" i="1"/>
  <c r="AM448" i="1"/>
  <c r="AL448" i="1"/>
  <c r="AK448" i="1"/>
  <c r="AJ448" i="1"/>
  <c r="AH448" i="1"/>
  <c r="AG448" i="1"/>
  <c r="AF448" i="1"/>
  <c r="AE448" i="1"/>
  <c r="AC448" i="1"/>
  <c r="AB448" i="1"/>
  <c r="AA448" i="1"/>
  <c r="Z448" i="1"/>
  <c r="X448" i="1"/>
  <c r="W448" i="1"/>
  <c r="V448" i="1"/>
  <c r="U448" i="1"/>
  <c r="S448" i="1"/>
  <c r="R448" i="1"/>
  <c r="Q448" i="1"/>
  <c r="P448" i="1"/>
  <c r="N448" i="1"/>
  <c r="M448" i="1"/>
  <c r="L448" i="1"/>
  <c r="K448" i="1"/>
  <c r="AW447" i="1"/>
  <c r="AV447" i="1"/>
  <c r="AU447" i="1"/>
  <c r="AT447" i="1"/>
  <c r="AR447" i="1"/>
  <c r="AQ447" i="1"/>
  <c r="AP447" i="1"/>
  <c r="AO447" i="1"/>
  <c r="AM447" i="1"/>
  <c r="AL447" i="1"/>
  <c r="AK447" i="1"/>
  <c r="AJ447" i="1"/>
  <c r="AH447" i="1"/>
  <c r="AG447" i="1"/>
  <c r="AF447" i="1"/>
  <c r="AE447" i="1"/>
  <c r="AC447" i="1"/>
  <c r="AB447" i="1"/>
  <c r="AA447" i="1"/>
  <c r="Z447" i="1"/>
  <c r="X447" i="1"/>
  <c r="W447" i="1"/>
  <c r="V447" i="1"/>
  <c r="U447" i="1"/>
  <c r="S447" i="1"/>
  <c r="R447" i="1"/>
  <c r="Q447" i="1"/>
  <c r="P447" i="1"/>
  <c r="N447" i="1"/>
  <c r="M447" i="1"/>
  <c r="L447" i="1"/>
  <c r="K447" i="1"/>
  <c r="AW446" i="1"/>
  <c r="AV446" i="1"/>
  <c r="AU446" i="1"/>
  <c r="AT446" i="1"/>
  <c r="AR446" i="1"/>
  <c r="AQ446" i="1"/>
  <c r="AP446" i="1"/>
  <c r="AO446" i="1"/>
  <c r="AM446" i="1"/>
  <c r="AL446" i="1"/>
  <c r="AK446" i="1"/>
  <c r="AJ446" i="1"/>
  <c r="AH446" i="1"/>
  <c r="AG446" i="1"/>
  <c r="AF446" i="1"/>
  <c r="AE446" i="1"/>
  <c r="AC446" i="1"/>
  <c r="AB446" i="1"/>
  <c r="AA446" i="1"/>
  <c r="Z446" i="1"/>
  <c r="X446" i="1"/>
  <c r="W446" i="1"/>
  <c r="V446" i="1"/>
  <c r="U446" i="1"/>
  <c r="S446" i="1"/>
  <c r="R446" i="1"/>
  <c r="Q446" i="1"/>
  <c r="P446" i="1"/>
  <c r="N446" i="1"/>
  <c r="M446" i="1"/>
  <c r="L446" i="1"/>
  <c r="K446" i="1"/>
  <c r="AW445" i="1"/>
  <c r="AV445" i="1"/>
  <c r="AU445" i="1"/>
  <c r="AT445" i="1"/>
  <c r="AR445" i="1"/>
  <c r="AQ445" i="1"/>
  <c r="AP445" i="1"/>
  <c r="AO445" i="1"/>
  <c r="AM445" i="1"/>
  <c r="AL445" i="1"/>
  <c r="AK445" i="1"/>
  <c r="AJ445" i="1"/>
  <c r="AH445" i="1"/>
  <c r="AG445" i="1"/>
  <c r="AF445" i="1"/>
  <c r="AE445" i="1"/>
  <c r="AC445" i="1"/>
  <c r="AB445" i="1"/>
  <c r="AA445" i="1"/>
  <c r="Z445" i="1"/>
  <c r="X445" i="1"/>
  <c r="W445" i="1"/>
  <c r="V445" i="1"/>
  <c r="U445" i="1"/>
  <c r="S445" i="1"/>
  <c r="R445" i="1"/>
  <c r="Q445" i="1"/>
  <c r="P445" i="1"/>
  <c r="N445" i="1"/>
  <c r="M445" i="1"/>
  <c r="L445" i="1"/>
  <c r="K445" i="1"/>
  <c r="AW444" i="1"/>
  <c r="AV444" i="1"/>
  <c r="AU444" i="1"/>
  <c r="AT444" i="1"/>
  <c r="AR444" i="1"/>
  <c r="AQ444" i="1"/>
  <c r="AP444" i="1"/>
  <c r="AO444" i="1"/>
  <c r="AM444" i="1"/>
  <c r="AL444" i="1"/>
  <c r="AK444" i="1"/>
  <c r="AJ444" i="1"/>
  <c r="AH444" i="1"/>
  <c r="AG444" i="1"/>
  <c r="AF444" i="1"/>
  <c r="AE444" i="1"/>
  <c r="AC444" i="1"/>
  <c r="AB444" i="1"/>
  <c r="AA444" i="1"/>
  <c r="Z444" i="1"/>
  <c r="X444" i="1"/>
  <c r="W444" i="1"/>
  <c r="V444" i="1"/>
  <c r="U444" i="1"/>
  <c r="S444" i="1"/>
  <c r="R444" i="1"/>
  <c r="Q444" i="1"/>
  <c r="P444" i="1"/>
  <c r="N444" i="1"/>
  <c r="M444" i="1"/>
  <c r="L444" i="1"/>
  <c r="K444" i="1"/>
  <c r="AW443" i="1"/>
  <c r="AV443" i="1"/>
  <c r="AU443" i="1"/>
  <c r="AT443" i="1"/>
  <c r="AR443" i="1"/>
  <c r="AQ443" i="1"/>
  <c r="AP443" i="1"/>
  <c r="AO443" i="1"/>
  <c r="AM443" i="1"/>
  <c r="AL443" i="1"/>
  <c r="AK443" i="1"/>
  <c r="AJ443" i="1"/>
  <c r="AH443" i="1"/>
  <c r="AG443" i="1"/>
  <c r="AF443" i="1"/>
  <c r="AE443" i="1"/>
  <c r="AC443" i="1"/>
  <c r="AB443" i="1"/>
  <c r="AA443" i="1"/>
  <c r="Z443" i="1"/>
  <c r="X443" i="1"/>
  <c r="W443" i="1"/>
  <c r="V443" i="1"/>
  <c r="U443" i="1"/>
  <c r="S443" i="1"/>
  <c r="R443" i="1"/>
  <c r="Q443" i="1"/>
  <c r="P443" i="1"/>
  <c r="N443" i="1"/>
  <c r="M443" i="1"/>
  <c r="L443" i="1"/>
  <c r="K443" i="1"/>
  <c r="AW442" i="1"/>
  <c r="AV442" i="1"/>
  <c r="AU442" i="1"/>
  <c r="AT442" i="1"/>
  <c r="AR442" i="1"/>
  <c r="AQ442" i="1"/>
  <c r="AP442" i="1"/>
  <c r="AO442" i="1"/>
  <c r="AM442" i="1"/>
  <c r="AL442" i="1"/>
  <c r="AK442" i="1"/>
  <c r="AJ442" i="1"/>
  <c r="AH442" i="1"/>
  <c r="AG442" i="1"/>
  <c r="AF442" i="1"/>
  <c r="AE442" i="1"/>
  <c r="AC442" i="1"/>
  <c r="AB442" i="1"/>
  <c r="AA442" i="1"/>
  <c r="Z442" i="1"/>
  <c r="X442" i="1"/>
  <c r="W442" i="1"/>
  <c r="V442" i="1"/>
  <c r="U442" i="1"/>
  <c r="S442" i="1"/>
  <c r="R442" i="1"/>
  <c r="Q442" i="1"/>
  <c r="P442" i="1"/>
  <c r="N442" i="1"/>
  <c r="M442" i="1"/>
  <c r="L442" i="1"/>
  <c r="K442" i="1"/>
  <c r="AW441" i="1"/>
  <c r="AV441" i="1"/>
  <c r="AU441" i="1"/>
  <c r="AT441" i="1"/>
  <c r="AR441" i="1"/>
  <c r="AQ441" i="1"/>
  <c r="AP441" i="1"/>
  <c r="AO441" i="1"/>
  <c r="AM441" i="1"/>
  <c r="AL441" i="1"/>
  <c r="AK441" i="1"/>
  <c r="AJ441" i="1"/>
  <c r="AH441" i="1"/>
  <c r="AG441" i="1"/>
  <c r="AF441" i="1"/>
  <c r="AE441" i="1"/>
  <c r="AC441" i="1"/>
  <c r="AB441" i="1"/>
  <c r="AA441" i="1"/>
  <c r="Z441" i="1"/>
  <c r="X441" i="1"/>
  <c r="W441" i="1"/>
  <c r="V441" i="1"/>
  <c r="U441" i="1"/>
  <c r="S441" i="1"/>
  <c r="R441" i="1"/>
  <c r="Q441" i="1"/>
  <c r="P441" i="1"/>
  <c r="N441" i="1"/>
  <c r="M441" i="1"/>
  <c r="L441" i="1"/>
  <c r="K441" i="1"/>
  <c r="AW440" i="1"/>
  <c r="AV440" i="1"/>
  <c r="AU440" i="1"/>
  <c r="AT440" i="1"/>
  <c r="AR440" i="1"/>
  <c r="AQ440" i="1"/>
  <c r="AP440" i="1"/>
  <c r="AO440" i="1"/>
  <c r="AM440" i="1"/>
  <c r="AL440" i="1"/>
  <c r="AK440" i="1"/>
  <c r="AJ440" i="1"/>
  <c r="AH440" i="1"/>
  <c r="AG440" i="1"/>
  <c r="AF440" i="1"/>
  <c r="AE440" i="1"/>
  <c r="AC440" i="1"/>
  <c r="AB440" i="1"/>
  <c r="AA440" i="1"/>
  <c r="Z440" i="1"/>
  <c r="X440" i="1"/>
  <c r="W440" i="1"/>
  <c r="V440" i="1"/>
  <c r="U440" i="1"/>
  <c r="S440" i="1"/>
  <c r="R440" i="1"/>
  <c r="Q440" i="1"/>
  <c r="P440" i="1"/>
  <c r="N440" i="1"/>
  <c r="M440" i="1"/>
  <c r="L440" i="1"/>
  <c r="K440" i="1"/>
  <c r="AW439" i="1"/>
  <c r="AV439" i="1"/>
  <c r="AU439" i="1"/>
  <c r="AT439" i="1"/>
  <c r="AR439" i="1"/>
  <c r="AQ439" i="1"/>
  <c r="AP439" i="1"/>
  <c r="AO439" i="1"/>
  <c r="AM439" i="1"/>
  <c r="AL439" i="1"/>
  <c r="AK439" i="1"/>
  <c r="AJ439" i="1"/>
  <c r="AH439" i="1"/>
  <c r="AG439" i="1"/>
  <c r="AF439" i="1"/>
  <c r="AE439" i="1"/>
  <c r="AC439" i="1"/>
  <c r="AB439" i="1"/>
  <c r="AA439" i="1"/>
  <c r="Z439" i="1"/>
  <c r="X439" i="1"/>
  <c r="W439" i="1"/>
  <c r="V439" i="1"/>
  <c r="U439" i="1"/>
  <c r="S439" i="1"/>
  <c r="R439" i="1"/>
  <c r="Q439" i="1"/>
  <c r="P439" i="1"/>
  <c r="N439" i="1"/>
  <c r="M439" i="1"/>
  <c r="L439" i="1"/>
  <c r="K439" i="1"/>
  <c r="AW438" i="1"/>
  <c r="AV438" i="1"/>
  <c r="AU438" i="1"/>
  <c r="AT438" i="1"/>
  <c r="AR438" i="1"/>
  <c r="AQ438" i="1"/>
  <c r="AP438" i="1"/>
  <c r="AO438" i="1"/>
  <c r="AM438" i="1"/>
  <c r="AL438" i="1"/>
  <c r="AK438" i="1"/>
  <c r="AJ438" i="1"/>
  <c r="AH438" i="1"/>
  <c r="AG438" i="1"/>
  <c r="AF438" i="1"/>
  <c r="AE438" i="1"/>
  <c r="AC438" i="1"/>
  <c r="AB438" i="1"/>
  <c r="AA438" i="1"/>
  <c r="Z438" i="1"/>
  <c r="X438" i="1"/>
  <c r="W438" i="1"/>
  <c r="V438" i="1"/>
  <c r="U438" i="1"/>
  <c r="S438" i="1"/>
  <c r="R438" i="1"/>
  <c r="Q438" i="1"/>
  <c r="P438" i="1"/>
  <c r="N438" i="1"/>
  <c r="M438" i="1"/>
  <c r="L438" i="1"/>
  <c r="K438" i="1"/>
  <c r="AW437" i="1"/>
  <c r="AV437" i="1"/>
  <c r="AU437" i="1"/>
  <c r="AT437" i="1"/>
  <c r="AR437" i="1"/>
  <c r="AQ437" i="1"/>
  <c r="AP437" i="1"/>
  <c r="AO437" i="1"/>
  <c r="AM437" i="1"/>
  <c r="AL437" i="1"/>
  <c r="AK437" i="1"/>
  <c r="AJ437" i="1"/>
  <c r="AH437" i="1"/>
  <c r="AG437" i="1"/>
  <c r="AF437" i="1"/>
  <c r="AE437" i="1"/>
  <c r="AC437" i="1"/>
  <c r="AB437" i="1"/>
  <c r="AA437" i="1"/>
  <c r="Z437" i="1"/>
  <c r="X437" i="1"/>
  <c r="W437" i="1"/>
  <c r="V437" i="1"/>
  <c r="U437" i="1"/>
  <c r="S437" i="1"/>
  <c r="R437" i="1"/>
  <c r="Q437" i="1"/>
  <c r="P437" i="1"/>
  <c r="N437" i="1"/>
  <c r="M437" i="1"/>
  <c r="L437" i="1"/>
  <c r="K437" i="1"/>
  <c r="AW436" i="1"/>
  <c r="AV436" i="1"/>
  <c r="AU436" i="1"/>
  <c r="AT436" i="1"/>
  <c r="AR436" i="1"/>
  <c r="AQ436" i="1"/>
  <c r="AP436" i="1"/>
  <c r="AO436" i="1"/>
  <c r="AM436" i="1"/>
  <c r="AL436" i="1"/>
  <c r="AK436" i="1"/>
  <c r="AJ436" i="1"/>
  <c r="AH436" i="1"/>
  <c r="AG436" i="1"/>
  <c r="AF436" i="1"/>
  <c r="AE436" i="1"/>
  <c r="AC436" i="1"/>
  <c r="AB436" i="1"/>
  <c r="AA436" i="1"/>
  <c r="Z436" i="1"/>
  <c r="X436" i="1"/>
  <c r="W436" i="1"/>
  <c r="V436" i="1"/>
  <c r="U436" i="1"/>
  <c r="S436" i="1"/>
  <c r="R436" i="1"/>
  <c r="Q436" i="1"/>
  <c r="P436" i="1"/>
  <c r="N436" i="1"/>
  <c r="M436" i="1"/>
  <c r="L436" i="1"/>
  <c r="K436" i="1"/>
  <c r="AW435" i="1"/>
  <c r="AV435" i="1"/>
  <c r="AU435" i="1"/>
  <c r="AT435" i="1"/>
  <c r="AR435" i="1"/>
  <c r="AQ435" i="1"/>
  <c r="AP435" i="1"/>
  <c r="AO435" i="1"/>
  <c r="AM435" i="1"/>
  <c r="AL435" i="1"/>
  <c r="AK435" i="1"/>
  <c r="AJ435" i="1"/>
  <c r="AH435" i="1"/>
  <c r="AG435" i="1"/>
  <c r="AF435" i="1"/>
  <c r="AE435" i="1"/>
  <c r="AC435" i="1"/>
  <c r="AB435" i="1"/>
  <c r="AA435" i="1"/>
  <c r="Z435" i="1"/>
  <c r="X435" i="1"/>
  <c r="W435" i="1"/>
  <c r="V435" i="1"/>
  <c r="U435" i="1"/>
  <c r="S435" i="1"/>
  <c r="R435" i="1"/>
  <c r="Q435" i="1"/>
  <c r="P435" i="1"/>
  <c r="N435" i="1"/>
  <c r="M435" i="1"/>
  <c r="L435" i="1"/>
  <c r="K435" i="1"/>
  <c r="AW434" i="1"/>
  <c r="AV434" i="1"/>
  <c r="AU434" i="1"/>
  <c r="AT434" i="1"/>
  <c r="AR434" i="1"/>
  <c r="AQ434" i="1"/>
  <c r="AP434" i="1"/>
  <c r="AO434" i="1"/>
  <c r="AM434" i="1"/>
  <c r="AL434" i="1"/>
  <c r="AK434" i="1"/>
  <c r="AJ434" i="1"/>
  <c r="AH434" i="1"/>
  <c r="AG434" i="1"/>
  <c r="AF434" i="1"/>
  <c r="AE434" i="1"/>
  <c r="AC434" i="1"/>
  <c r="AB434" i="1"/>
  <c r="AA434" i="1"/>
  <c r="Z434" i="1"/>
  <c r="X434" i="1"/>
  <c r="W434" i="1"/>
  <c r="V434" i="1"/>
  <c r="U434" i="1"/>
  <c r="S434" i="1"/>
  <c r="R434" i="1"/>
  <c r="Q434" i="1"/>
  <c r="P434" i="1"/>
  <c r="N434" i="1"/>
  <c r="M434" i="1"/>
  <c r="L434" i="1"/>
  <c r="K434" i="1"/>
  <c r="AW433" i="1"/>
  <c r="AV433" i="1"/>
  <c r="AU433" i="1"/>
  <c r="AT433" i="1"/>
  <c r="AR433" i="1"/>
  <c r="AQ433" i="1"/>
  <c r="AP433" i="1"/>
  <c r="AO433" i="1"/>
  <c r="AM433" i="1"/>
  <c r="AL433" i="1"/>
  <c r="AK433" i="1"/>
  <c r="AJ433" i="1"/>
  <c r="AH433" i="1"/>
  <c r="AG433" i="1"/>
  <c r="AF433" i="1"/>
  <c r="AE433" i="1"/>
  <c r="AC433" i="1"/>
  <c r="AB433" i="1"/>
  <c r="AA433" i="1"/>
  <c r="Z433" i="1"/>
  <c r="X433" i="1"/>
  <c r="W433" i="1"/>
  <c r="V433" i="1"/>
  <c r="U433" i="1"/>
  <c r="S433" i="1"/>
  <c r="R433" i="1"/>
  <c r="Q433" i="1"/>
  <c r="P433" i="1"/>
  <c r="N433" i="1"/>
  <c r="M433" i="1"/>
  <c r="L433" i="1"/>
  <c r="K433" i="1"/>
  <c r="AW432" i="1"/>
  <c r="AV432" i="1"/>
  <c r="AU432" i="1"/>
  <c r="AT432" i="1"/>
  <c r="AR432" i="1"/>
  <c r="AQ432" i="1"/>
  <c r="AP432" i="1"/>
  <c r="AO432" i="1"/>
  <c r="AM432" i="1"/>
  <c r="AL432" i="1"/>
  <c r="AK432" i="1"/>
  <c r="AJ432" i="1"/>
  <c r="AH432" i="1"/>
  <c r="AG432" i="1"/>
  <c r="AF432" i="1"/>
  <c r="AE432" i="1"/>
  <c r="AC432" i="1"/>
  <c r="AB432" i="1"/>
  <c r="AA432" i="1"/>
  <c r="Z432" i="1"/>
  <c r="X432" i="1"/>
  <c r="W432" i="1"/>
  <c r="V432" i="1"/>
  <c r="U432" i="1"/>
  <c r="S432" i="1"/>
  <c r="R432" i="1"/>
  <c r="Q432" i="1"/>
  <c r="P432" i="1"/>
  <c r="N432" i="1"/>
  <c r="M432" i="1"/>
  <c r="L432" i="1"/>
  <c r="K432" i="1"/>
  <c r="AW431" i="1"/>
  <c r="AV431" i="1"/>
  <c r="AU431" i="1"/>
  <c r="AT431" i="1"/>
  <c r="AR431" i="1"/>
  <c r="AQ431" i="1"/>
  <c r="AP431" i="1"/>
  <c r="AO431" i="1"/>
  <c r="AM431" i="1"/>
  <c r="AL431" i="1"/>
  <c r="AK431" i="1"/>
  <c r="AJ431" i="1"/>
  <c r="AH431" i="1"/>
  <c r="AG431" i="1"/>
  <c r="AF431" i="1"/>
  <c r="AE431" i="1"/>
  <c r="AC431" i="1"/>
  <c r="AB431" i="1"/>
  <c r="AA431" i="1"/>
  <c r="Z431" i="1"/>
  <c r="X431" i="1"/>
  <c r="W431" i="1"/>
  <c r="V431" i="1"/>
  <c r="U431" i="1"/>
  <c r="S431" i="1"/>
  <c r="R431" i="1"/>
  <c r="Q431" i="1"/>
  <c r="P431" i="1"/>
  <c r="N431" i="1"/>
  <c r="M431" i="1"/>
  <c r="L431" i="1"/>
  <c r="K431" i="1"/>
  <c r="AW430" i="1"/>
  <c r="AV430" i="1"/>
  <c r="AU430" i="1"/>
  <c r="AT430" i="1"/>
  <c r="AR430" i="1"/>
  <c r="AQ430" i="1"/>
  <c r="AP430" i="1"/>
  <c r="AO430" i="1"/>
  <c r="AM430" i="1"/>
  <c r="AL430" i="1"/>
  <c r="AK430" i="1"/>
  <c r="AJ430" i="1"/>
  <c r="AH430" i="1"/>
  <c r="AG430" i="1"/>
  <c r="AF430" i="1"/>
  <c r="AE430" i="1"/>
  <c r="AC430" i="1"/>
  <c r="AB430" i="1"/>
  <c r="AA430" i="1"/>
  <c r="Z430" i="1"/>
  <c r="X430" i="1"/>
  <c r="W430" i="1"/>
  <c r="V430" i="1"/>
  <c r="U430" i="1"/>
  <c r="S430" i="1"/>
  <c r="R430" i="1"/>
  <c r="Q430" i="1"/>
  <c r="P430" i="1"/>
  <c r="N430" i="1"/>
  <c r="M430" i="1"/>
  <c r="L430" i="1"/>
  <c r="K430" i="1"/>
  <c r="AW429" i="1"/>
  <c r="AV429" i="1"/>
  <c r="AU429" i="1"/>
  <c r="AT429" i="1"/>
  <c r="AR429" i="1"/>
  <c r="AQ429" i="1"/>
  <c r="AP429" i="1"/>
  <c r="AO429" i="1"/>
  <c r="AM429" i="1"/>
  <c r="AL429" i="1"/>
  <c r="AK429" i="1"/>
  <c r="AJ429" i="1"/>
  <c r="AH429" i="1"/>
  <c r="AG429" i="1"/>
  <c r="AF429" i="1"/>
  <c r="AE429" i="1"/>
  <c r="AC429" i="1"/>
  <c r="AB429" i="1"/>
  <c r="AA429" i="1"/>
  <c r="Z429" i="1"/>
  <c r="X429" i="1"/>
  <c r="W429" i="1"/>
  <c r="V429" i="1"/>
  <c r="U429" i="1"/>
  <c r="S429" i="1"/>
  <c r="R429" i="1"/>
  <c r="Q429" i="1"/>
  <c r="P429" i="1"/>
  <c r="N429" i="1"/>
  <c r="M429" i="1"/>
  <c r="L429" i="1"/>
  <c r="K429" i="1"/>
  <c r="AW428" i="1"/>
  <c r="AV428" i="1"/>
  <c r="AU428" i="1"/>
  <c r="AT428" i="1"/>
  <c r="AR428" i="1"/>
  <c r="AQ428" i="1"/>
  <c r="AP428" i="1"/>
  <c r="AO428" i="1"/>
  <c r="AM428" i="1"/>
  <c r="AL428" i="1"/>
  <c r="AK428" i="1"/>
  <c r="AJ428" i="1"/>
  <c r="AH428" i="1"/>
  <c r="AG428" i="1"/>
  <c r="AF428" i="1"/>
  <c r="AE428" i="1"/>
  <c r="AC428" i="1"/>
  <c r="AB428" i="1"/>
  <c r="AA428" i="1"/>
  <c r="Z428" i="1"/>
  <c r="X428" i="1"/>
  <c r="W428" i="1"/>
  <c r="V428" i="1"/>
  <c r="U428" i="1"/>
  <c r="S428" i="1"/>
  <c r="R428" i="1"/>
  <c r="Q428" i="1"/>
  <c r="P428" i="1"/>
  <c r="N428" i="1"/>
  <c r="M428" i="1"/>
  <c r="L428" i="1"/>
  <c r="K428" i="1"/>
  <c r="AW427" i="1"/>
  <c r="AV427" i="1"/>
  <c r="AU427" i="1"/>
  <c r="AT427" i="1"/>
  <c r="AR427" i="1"/>
  <c r="AQ427" i="1"/>
  <c r="AP427" i="1"/>
  <c r="AO427" i="1"/>
  <c r="AM427" i="1"/>
  <c r="AL427" i="1"/>
  <c r="AK427" i="1"/>
  <c r="AJ427" i="1"/>
  <c r="AH427" i="1"/>
  <c r="AG427" i="1"/>
  <c r="AF427" i="1"/>
  <c r="AE427" i="1"/>
  <c r="AC427" i="1"/>
  <c r="AB427" i="1"/>
  <c r="AA427" i="1"/>
  <c r="Z427" i="1"/>
  <c r="X427" i="1"/>
  <c r="W427" i="1"/>
  <c r="V427" i="1"/>
  <c r="U427" i="1"/>
  <c r="S427" i="1"/>
  <c r="R427" i="1"/>
  <c r="Q427" i="1"/>
  <c r="P427" i="1"/>
  <c r="N427" i="1"/>
  <c r="M427" i="1"/>
  <c r="L427" i="1"/>
  <c r="K427" i="1"/>
  <c r="AW426" i="1"/>
  <c r="AV426" i="1"/>
  <c r="AU426" i="1"/>
  <c r="AT426" i="1"/>
  <c r="AR426" i="1"/>
  <c r="AQ426" i="1"/>
  <c r="AP426" i="1"/>
  <c r="AO426" i="1"/>
  <c r="AM426" i="1"/>
  <c r="AL426" i="1"/>
  <c r="AK426" i="1"/>
  <c r="AJ426" i="1"/>
  <c r="AH426" i="1"/>
  <c r="AG426" i="1"/>
  <c r="AF426" i="1"/>
  <c r="AE426" i="1"/>
  <c r="AC426" i="1"/>
  <c r="AB426" i="1"/>
  <c r="AA426" i="1"/>
  <c r="Z426" i="1"/>
  <c r="X426" i="1"/>
  <c r="W426" i="1"/>
  <c r="V426" i="1"/>
  <c r="U426" i="1"/>
  <c r="S426" i="1"/>
  <c r="R426" i="1"/>
  <c r="Q426" i="1"/>
  <c r="P426" i="1"/>
  <c r="N426" i="1"/>
  <c r="M426" i="1"/>
  <c r="L426" i="1"/>
  <c r="K426" i="1"/>
  <c r="AW425" i="1"/>
  <c r="AV425" i="1"/>
  <c r="AU425" i="1"/>
  <c r="AT425" i="1"/>
  <c r="AR425" i="1"/>
  <c r="AQ425" i="1"/>
  <c r="AP425" i="1"/>
  <c r="AO425" i="1"/>
  <c r="AM425" i="1"/>
  <c r="AL425" i="1"/>
  <c r="AK425" i="1"/>
  <c r="AJ425" i="1"/>
  <c r="AH425" i="1"/>
  <c r="AG425" i="1"/>
  <c r="AF425" i="1"/>
  <c r="AE425" i="1"/>
  <c r="AC425" i="1"/>
  <c r="AB425" i="1"/>
  <c r="AA425" i="1"/>
  <c r="Z425" i="1"/>
  <c r="X425" i="1"/>
  <c r="W425" i="1"/>
  <c r="V425" i="1"/>
  <c r="U425" i="1"/>
  <c r="S425" i="1"/>
  <c r="R425" i="1"/>
  <c r="Q425" i="1"/>
  <c r="P425" i="1"/>
  <c r="N425" i="1"/>
  <c r="M425" i="1"/>
  <c r="L425" i="1"/>
  <c r="K425" i="1"/>
  <c r="AW424" i="1"/>
  <c r="AV424" i="1"/>
  <c r="AU424" i="1"/>
  <c r="AT424" i="1"/>
  <c r="AR424" i="1"/>
  <c r="AQ424" i="1"/>
  <c r="AP424" i="1"/>
  <c r="AO424" i="1"/>
  <c r="AM424" i="1"/>
  <c r="AL424" i="1"/>
  <c r="AK424" i="1"/>
  <c r="AJ424" i="1"/>
  <c r="AH424" i="1"/>
  <c r="AG424" i="1"/>
  <c r="AF424" i="1"/>
  <c r="AE424" i="1"/>
  <c r="AC424" i="1"/>
  <c r="AB424" i="1"/>
  <c r="AA424" i="1"/>
  <c r="Z424" i="1"/>
  <c r="X424" i="1"/>
  <c r="W424" i="1"/>
  <c r="V424" i="1"/>
  <c r="U424" i="1"/>
  <c r="S424" i="1"/>
  <c r="R424" i="1"/>
  <c r="Q424" i="1"/>
  <c r="P424" i="1"/>
  <c r="N424" i="1"/>
  <c r="M424" i="1"/>
  <c r="L424" i="1"/>
  <c r="K424" i="1"/>
  <c r="AW423" i="1"/>
  <c r="AV423" i="1"/>
  <c r="AU423" i="1"/>
  <c r="AT423" i="1"/>
  <c r="AR423" i="1"/>
  <c r="AQ423" i="1"/>
  <c r="AP423" i="1"/>
  <c r="AO423" i="1"/>
  <c r="AM423" i="1"/>
  <c r="AL423" i="1"/>
  <c r="AK423" i="1"/>
  <c r="AJ423" i="1"/>
  <c r="AH423" i="1"/>
  <c r="AG423" i="1"/>
  <c r="AF423" i="1"/>
  <c r="AE423" i="1"/>
  <c r="AC423" i="1"/>
  <c r="AB423" i="1"/>
  <c r="AA423" i="1"/>
  <c r="Z423" i="1"/>
  <c r="X423" i="1"/>
  <c r="W423" i="1"/>
  <c r="V423" i="1"/>
  <c r="U423" i="1"/>
  <c r="S423" i="1"/>
  <c r="R423" i="1"/>
  <c r="Q423" i="1"/>
  <c r="P423" i="1"/>
  <c r="N423" i="1"/>
  <c r="M423" i="1"/>
  <c r="L423" i="1"/>
  <c r="K423" i="1"/>
  <c r="AW422" i="1"/>
  <c r="AV422" i="1"/>
  <c r="AU422" i="1"/>
  <c r="AT422" i="1"/>
  <c r="AR422" i="1"/>
  <c r="AQ422" i="1"/>
  <c r="AP422" i="1"/>
  <c r="AO422" i="1"/>
  <c r="AM422" i="1"/>
  <c r="AL422" i="1"/>
  <c r="AK422" i="1"/>
  <c r="AJ422" i="1"/>
  <c r="AH422" i="1"/>
  <c r="AG422" i="1"/>
  <c r="AF422" i="1"/>
  <c r="AE422" i="1"/>
  <c r="AC422" i="1"/>
  <c r="AB422" i="1"/>
  <c r="AA422" i="1"/>
  <c r="Z422" i="1"/>
  <c r="X422" i="1"/>
  <c r="W422" i="1"/>
  <c r="V422" i="1"/>
  <c r="U422" i="1"/>
  <c r="S422" i="1"/>
  <c r="R422" i="1"/>
  <c r="Q422" i="1"/>
  <c r="P422" i="1"/>
  <c r="N422" i="1"/>
  <c r="M422" i="1"/>
  <c r="L422" i="1"/>
  <c r="K422" i="1"/>
  <c r="AW421" i="1"/>
  <c r="AV421" i="1"/>
  <c r="AU421" i="1"/>
  <c r="AT421" i="1"/>
  <c r="AR421" i="1"/>
  <c r="AQ421" i="1"/>
  <c r="AP421" i="1"/>
  <c r="AO421" i="1"/>
  <c r="AM421" i="1"/>
  <c r="AL421" i="1"/>
  <c r="AK421" i="1"/>
  <c r="AJ421" i="1"/>
  <c r="AH421" i="1"/>
  <c r="AG421" i="1"/>
  <c r="AF421" i="1"/>
  <c r="AE421" i="1"/>
  <c r="AC421" i="1"/>
  <c r="AB421" i="1"/>
  <c r="AA421" i="1"/>
  <c r="Z421" i="1"/>
  <c r="X421" i="1"/>
  <c r="W421" i="1"/>
  <c r="V421" i="1"/>
  <c r="U421" i="1"/>
  <c r="S421" i="1"/>
  <c r="R421" i="1"/>
  <c r="Q421" i="1"/>
  <c r="P421" i="1"/>
  <c r="N421" i="1"/>
  <c r="M421" i="1"/>
  <c r="L421" i="1"/>
  <c r="K421" i="1"/>
  <c r="AW420" i="1"/>
  <c r="AV420" i="1"/>
  <c r="AU420" i="1"/>
  <c r="AT420" i="1"/>
  <c r="AR420" i="1"/>
  <c r="AQ420" i="1"/>
  <c r="AP420" i="1"/>
  <c r="AO420" i="1"/>
  <c r="AM420" i="1"/>
  <c r="AL420" i="1"/>
  <c r="AK420" i="1"/>
  <c r="AJ420" i="1"/>
  <c r="AH420" i="1"/>
  <c r="AG420" i="1"/>
  <c r="AF420" i="1"/>
  <c r="AE420" i="1"/>
  <c r="AC420" i="1"/>
  <c r="AB420" i="1"/>
  <c r="AA420" i="1"/>
  <c r="Z420" i="1"/>
  <c r="X420" i="1"/>
  <c r="W420" i="1"/>
  <c r="V420" i="1"/>
  <c r="U420" i="1"/>
  <c r="S420" i="1"/>
  <c r="R420" i="1"/>
  <c r="Q420" i="1"/>
  <c r="P420" i="1"/>
  <c r="N420" i="1"/>
  <c r="M420" i="1"/>
  <c r="L420" i="1"/>
  <c r="K420" i="1"/>
  <c r="AW419" i="1"/>
  <c r="AV419" i="1"/>
  <c r="AU419" i="1"/>
  <c r="AT419" i="1"/>
  <c r="AR419" i="1"/>
  <c r="AQ419" i="1"/>
  <c r="AP419" i="1"/>
  <c r="AO419" i="1"/>
  <c r="AM419" i="1"/>
  <c r="AL419" i="1"/>
  <c r="AK419" i="1"/>
  <c r="AJ419" i="1"/>
  <c r="AH419" i="1"/>
  <c r="AG419" i="1"/>
  <c r="AF419" i="1"/>
  <c r="AE419" i="1"/>
  <c r="AC419" i="1"/>
  <c r="AB419" i="1"/>
  <c r="AA419" i="1"/>
  <c r="Z419" i="1"/>
  <c r="X419" i="1"/>
  <c r="W419" i="1"/>
  <c r="V419" i="1"/>
  <c r="U419" i="1"/>
  <c r="S419" i="1"/>
  <c r="R419" i="1"/>
  <c r="Q419" i="1"/>
  <c r="P419" i="1"/>
  <c r="N419" i="1"/>
  <c r="M419" i="1"/>
  <c r="L419" i="1"/>
  <c r="K419" i="1"/>
  <c r="AW418" i="1"/>
  <c r="AV418" i="1"/>
  <c r="AU418" i="1"/>
  <c r="AT418" i="1"/>
  <c r="AR418" i="1"/>
  <c r="AQ418" i="1"/>
  <c r="AP418" i="1"/>
  <c r="AO418" i="1"/>
  <c r="AM418" i="1"/>
  <c r="AL418" i="1"/>
  <c r="AK418" i="1"/>
  <c r="AJ418" i="1"/>
  <c r="AH418" i="1"/>
  <c r="AG418" i="1"/>
  <c r="AF418" i="1"/>
  <c r="AE418" i="1"/>
  <c r="AC418" i="1"/>
  <c r="AB418" i="1"/>
  <c r="AA418" i="1"/>
  <c r="Z418" i="1"/>
  <c r="X418" i="1"/>
  <c r="W418" i="1"/>
  <c r="V418" i="1"/>
  <c r="U418" i="1"/>
  <c r="S418" i="1"/>
  <c r="R418" i="1"/>
  <c r="Q418" i="1"/>
  <c r="P418" i="1"/>
  <c r="N418" i="1"/>
  <c r="M418" i="1"/>
  <c r="L418" i="1"/>
  <c r="K418" i="1"/>
  <c r="AW417" i="1"/>
  <c r="AV417" i="1"/>
  <c r="AU417" i="1"/>
  <c r="AT417" i="1"/>
  <c r="AR417" i="1"/>
  <c r="AQ417" i="1"/>
  <c r="AP417" i="1"/>
  <c r="AO417" i="1"/>
  <c r="AM417" i="1"/>
  <c r="AL417" i="1"/>
  <c r="AK417" i="1"/>
  <c r="AJ417" i="1"/>
  <c r="AH417" i="1"/>
  <c r="AG417" i="1"/>
  <c r="AF417" i="1"/>
  <c r="AE417" i="1"/>
  <c r="AC417" i="1"/>
  <c r="AB417" i="1"/>
  <c r="AA417" i="1"/>
  <c r="Z417" i="1"/>
  <c r="X417" i="1"/>
  <c r="W417" i="1"/>
  <c r="V417" i="1"/>
  <c r="U417" i="1"/>
  <c r="S417" i="1"/>
  <c r="R417" i="1"/>
  <c r="Q417" i="1"/>
  <c r="P417" i="1"/>
  <c r="N417" i="1"/>
  <c r="M417" i="1"/>
  <c r="L417" i="1"/>
  <c r="K417" i="1"/>
  <c r="AW416" i="1"/>
  <c r="AV416" i="1"/>
  <c r="AU416" i="1"/>
  <c r="AT416" i="1"/>
  <c r="AR416" i="1"/>
  <c r="AQ416" i="1"/>
  <c r="AP416" i="1"/>
  <c r="AO416" i="1"/>
  <c r="AM416" i="1"/>
  <c r="AL416" i="1"/>
  <c r="AK416" i="1"/>
  <c r="AJ416" i="1"/>
  <c r="AH416" i="1"/>
  <c r="AG416" i="1"/>
  <c r="AF416" i="1"/>
  <c r="AE416" i="1"/>
  <c r="AC416" i="1"/>
  <c r="AB416" i="1"/>
  <c r="AA416" i="1"/>
  <c r="Z416" i="1"/>
  <c r="X416" i="1"/>
  <c r="W416" i="1"/>
  <c r="V416" i="1"/>
  <c r="U416" i="1"/>
  <c r="S416" i="1"/>
  <c r="R416" i="1"/>
  <c r="Q416" i="1"/>
  <c r="P416" i="1"/>
  <c r="N416" i="1"/>
  <c r="M416" i="1"/>
  <c r="L416" i="1"/>
  <c r="K416" i="1"/>
  <c r="AW415" i="1"/>
  <c r="AV415" i="1"/>
  <c r="AU415" i="1"/>
  <c r="AT415" i="1"/>
  <c r="AR415" i="1"/>
  <c r="AQ415" i="1"/>
  <c r="AP415" i="1"/>
  <c r="AO415" i="1"/>
  <c r="AM415" i="1"/>
  <c r="AL415" i="1"/>
  <c r="AK415" i="1"/>
  <c r="AJ415" i="1"/>
  <c r="AH415" i="1"/>
  <c r="AG415" i="1"/>
  <c r="AF415" i="1"/>
  <c r="AE415" i="1"/>
  <c r="AC415" i="1"/>
  <c r="AB415" i="1"/>
  <c r="AA415" i="1"/>
  <c r="Z415" i="1"/>
  <c r="X415" i="1"/>
  <c r="W415" i="1"/>
  <c r="V415" i="1"/>
  <c r="U415" i="1"/>
  <c r="S415" i="1"/>
  <c r="R415" i="1"/>
  <c r="Q415" i="1"/>
  <c r="P415" i="1"/>
  <c r="N415" i="1"/>
  <c r="M415" i="1"/>
  <c r="L415" i="1"/>
  <c r="K415" i="1"/>
  <c r="AW414" i="1"/>
  <c r="AV414" i="1"/>
  <c r="AU414" i="1"/>
  <c r="AT414" i="1"/>
  <c r="AR414" i="1"/>
  <c r="AQ414" i="1"/>
  <c r="AP414" i="1"/>
  <c r="AO414" i="1"/>
  <c r="AM414" i="1"/>
  <c r="AL414" i="1"/>
  <c r="AK414" i="1"/>
  <c r="AJ414" i="1"/>
  <c r="AH414" i="1"/>
  <c r="AG414" i="1"/>
  <c r="AF414" i="1"/>
  <c r="AE414" i="1"/>
  <c r="AC414" i="1"/>
  <c r="AB414" i="1"/>
  <c r="AA414" i="1"/>
  <c r="Z414" i="1"/>
  <c r="X414" i="1"/>
  <c r="W414" i="1"/>
  <c r="V414" i="1"/>
  <c r="U414" i="1"/>
  <c r="S414" i="1"/>
  <c r="R414" i="1"/>
  <c r="Q414" i="1"/>
  <c r="P414" i="1"/>
  <c r="N414" i="1"/>
  <c r="M414" i="1"/>
  <c r="L414" i="1"/>
  <c r="K414" i="1"/>
  <c r="AW413" i="1"/>
  <c r="AV413" i="1"/>
  <c r="AU413" i="1"/>
  <c r="AT413" i="1"/>
  <c r="AR413" i="1"/>
  <c r="AQ413" i="1"/>
  <c r="AP413" i="1"/>
  <c r="AO413" i="1"/>
  <c r="AM413" i="1"/>
  <c r="AL413" i="1"/>
  <c r="AK413" i="1"/>
  <c r="AJ413" i="1"/>
  <c r="AH413" i="1"/>
  <c r="AG413" i="1"/>
  <c r="AF413" i="1"/>
  <c r="AE413" i="1"/>
  <c r="AC413" i="1"/>
  <c r="AB413" i="1"/>
  <c r="AA413" i="1"/>
  <c r="Z413" i="1"/>
  <c r="X413" i="1"/>
  <c r="W413" i="1"/>
  <c r="V413" i="1"/>
  <c r="U413" i="1"/>
  <c r="S413" i="1"/>
  <c r="R413" i="1"/>
  <c r="Q413" i="1"/>
  <c r="P413" i="1"/>
  <c r="N413" i="1"/>
  <c r="M413" i="1"/>
  <c r="L413" i="1"/>
  <c r="K413" i="1"/>
  <c r="AW412" i="1"/>
  <c r="AV412" i="1"/>
  <c r="AU412" i="1"/>
  <c r="AT412" i="1"/>
  <c r="AR412" i="1"/>
  <c r="AQ412" i="1"/>
  <c r="AP412" i="1"/>
  <c r="AO412" i="1"/>
  <c r="AM412" i="1"/>
  <c r="AL412" i="1"/>
  <c r="AK412" i="1"/>
  <c r="AJ412" i="1"/>
  <c r="AH412" i="1"/>
  <c r="AG412" i="1"/>
  <c r="AF412" i="1"/>
  <c r="AE412" i="1"/>
  <c r="AC412" i="1"/>
  <c r="AB412" i="1"/>
  <c r="AA412" i="1"/>
  <c r="Z412" i="1"/>
  <c r="X412" i="1"/>
  <c r="W412" i="1"/>
  <c r="V412" i="1"/>
  <c r="U412" i="1"/>
  <c r="S412" i="1"/>
  <c r="R412" i="1"/>
  <c r="Q412" i="1"/>
  <c r="P412" i="1"/>
  <c r="N412" i="1"/>
  <c r="M412" i="1"/>
  <c r="L412" i="1"/>
  <c r="K412" i="1"/>
  <c r="AW411" i="1"/>
  <c r="AV411" i="1"/>
  <c r="AU411" i="1"/>
  <c r="AT411" i="1"/>
  <c r="AR411" i="1"/>
  <c r="AQ411" i="1"/>
  <c r="AP411" i="1"/>
  <c r="AO411" i="1"/>
  <c r="AM411" i="1"/>
  <c r="AL411" i="1"/>
  <c r="AK411" i="1"/>
  <c r="AJ411" i="1"/>
  <c r="AH411" i="1"/>
  <c r="AG411" i="1"/>
  <c r="AF411" i="1"/>
  <c r="AE411" i="1"/>
  <c r="AC411" i="1"/>
  <c r="AB411" i="1"/>
  <c r="AA411" i="1"/>
  <c r="Z411" i="1"/>
  <c r="X411" i="1"/>
  <c r="W411" i="1"/>
  <c r="V411" i="1"/>
  <c r="U411" i="1"/>
  <c r="S411" i="1"/>
  <c r="R411" i="1"/>
  <c r="Q411" i="1"/>
  <c r="P411" i="1"/>
  <c r="N411" i="1"/>
  <c r="M411" i="1"/>
  <c r="L411" i="1"/>
  <c r="K411" i="1"/>
  <c r="AW410" i="1"/>
  <c r="AV410" i="1"/>
  <c r="AU410" i="1"/>
  <c r="AT410" i="1"/>
  <c r="AR410" i="1"/>
  <c r="AQ410" i="1"/>
  <c r="AP410" i="1"/>
  <c r="AO410" i="1"/>
  <c r="AM410" i="1"/>
  <c r="AL410" i="1"/>
  <c r="AK410" i="1"/>
  <c r="AJ410" i="1"/>
  <c r="AH410" i="1"/>
  <c r="AG410" i="1"/>
  <c r="AF410" i="1"/>
  <c r="AE410" i="1"/>
  <c r="AC410" i="1"/>
  <c r="AB410" i="1"/>
  <c r="AA410" i="1"/>
  <c r="Z410" i="1"/>
  <c r="X410" i="1"/>
  <c r="W410" i="1"/>
  <c r="V410" i="1"/>
  <c r="U410" i="1"/>
  <c r="S410" i="1"/>
  <c r="R410" i="1"/>
  <c r="Q410" i="1"/>
  <c r="P410" i="1"/>
  <c r="N410" i="1"/>
  <c r="M410" i="1"/>
  <c r="L410" i="1"/>
  <c r="K410" i="1"/>
  <c r="AW409" i="1"/>
  <c r="AV409" i="1"/>
  <c r="AU409" i="1"/>
  <c r="AT409" i="1"/>
  <c r="AR409" i="1"/>
  <c r="AQ409" i="1"/>
  <c r="AP409" i="1"/>
  <c r="AO409" i="1"/>
  <c r="AM409" i="1"/>
  <c r="AL409" i="1"/>
  <c r="AK409" i="1"/>
  <c r="AJ409" i="1"/>
  <c r="AH409" i="1"/>
  <c r="AG409" i="1"/>
  <c r="AF409" i="1"/>
  <c r="AE409" i="1"/>
  <c r="AC409" i="1"/>
  <c r="AB409" i="1"/>
  <c r="AA409" i="1"/>
  <c r="Z409" i="1"/>
  <c r="X409" i="1"/>
  <c r="W409" i="1"/>
  <c r="V409" i="1"/>
  <c r="U409" i="1"/>
  <c r="S409" i="1"/>
  <c r="R409" i="1"/>
  <c r="Q409" i="1"/>
  <c r="P409" i="1"/>
  <c r="N409" i="1"/>
  <c r="M409" i="1"/>
  <c r="L409" i="1"/>
  <c r="K409" i="1"/>
  <c r="AW408" i="1"/>
  <c r="AV408" i="1"/>
  <c r="AU408" i="1"/>
  <c r="AT408" i="1"/>
  <c r="AR408" i="1"/>
  <c r="AQ408" i="1"/>
  <c r="AP408" i="1"/>
  <c r="AO408" i="1"/>
  <c r="AM408" i="1"/>
  <c r="AL408" i="1"/>
  <c r="AK408" i="1"/>
  <c r="AJ408" i="1"/>
  <c r="AH408" i="1"/>
  <c r="AG408" i="1"/>
  <c r="AF408" i="1"/>
  <c r="AE408" i="1"/>
  <c r="AC408" i="1"/>
  <c r="AB408" i="1"/>
  <c r="AA408" i="1"/>
  <c r="Z408" i="1"/>
  <c r="X408" i="1"/>
  <c r="W408" i="1"/>
  <c r="V408" i="1"/>
  <c r="U408" i="1"/>
  <c r="S408" i="1"/>
  <c r="R408" i="1"/>
  <c r="Q408" i="1"/>
  <c r="P408" i="1"/>
  <c r="N408" i="1"/>
  <c r="M408" i="1"/>
  <c r="L408" i="1"/>
  <c r="K408" i="1"/>
  <c r="AW407" i="1"/>
  <c r="AV407" i="1"/>
  <c r="AU407" i="1"/>
  <c r="AT407" i="1"/>
  <c r="AR407" i="1"/>
  <c r="AQ407" i="1"/>
  <c r="AP407" i="1"/>
  <c r="AO407" i="1"/>
  <c r="AM407" i="1"/>
  <c r="AL407" i="1"/>
  <c r="AK407" i="1"/>
  <c r="AJ407" i="1"/>
  <c r="AH407" i="1"/>
  <c r="AG407" i="1"/>
  <c r="AF407" i="1"/>
  <c r="AE407" i="1"/>
  <c r="AC407" i="1"/>
  <c r="AB407" i="1"/>
  <c r="AA407" i="1"/>
  <c r="Z407" i="1"/>
  <c r="X407" i="1"/>
  <c r="W407" i="1"/>
  <c r="V407" i="1"/>
  <c r="U407" i="1"/>
  <c r="S407" i="1"/>
  <c r="R407" i="1"/>
  <c r="Q407" i="1"/>
  <c r="P407" i="1"/>
  <c r="N407" i="1"/>
  <c r="M407" i="1"/>
  <c r="L407" i="1"/>
  <c r="K407" i="1"/>
  <c r="AW406" i="1"/>
  <c r="AV406" i="1"/>
  <c r="AU406" i="1"/>
  <c r="AT406" i="1"/>
  <c r="AR406" i="1"/>
  <c r="AQ406" i="1"/>
  <c r="AP406" i="1"/>
  <c r="AO406" i="1"/>
  <c r="AM406" i="1"/>
  <c r="AL406" i="1"/>
  <c r="AK406" i="1"/>
  <c r="AJ406" i="1"/>
  <c r="AH406" i="1"/>
  <c r="AG406" i="1"/>
  <c r="AF406" i="1"/>
  <c r="AE406" i="1"/>
  <c r="AC406" i="1"/>
  <c r="AB406" i="1"/>
  <c r="AA406" i="1"/>
  <c r="Z406" i="1"/>
  <c r="X406" i="1"/>
  <c r="W406" i="1"/>
  <c r="V406" i="1"/>
  <c r="U406" i="1"/>
  <c r="S406" i="1"/>
  <c r="R406" i="1"/>
  <c r="Q406" i="1"/>
  <c r="P406" i="1"/>
  <c r="N406" i="1"/>
  <c r="M406" i="1"/>
  <c r="L406" i="1"/>
  <c r="K406" i="1"/>
  <c r="AW405" i="1"/>
  <c r="AV405" i="1"/>
  <c r="AU405" i="1"/>
  <c r="AT405" i="1"/>
  <c r="AR405" i="1"/>
  <c r="AQ405" i="1"/>
  <c r="AP405" i="1"/>
  <c r="AO405" i="1"/>
  <c r="AM405" i="1"/>
  <c r="AL405" i="1"/>
  <c r="AK405" i="1"/>
  <c r="AJ405" i="1"/>
  <c r="AH405" i="1"/>
  <c r="AG405" i="1"/>
  <c r="AF405" i="1"/>
  <c r="AE405" i="1"/>
  <c r="AC405" i="1"/>
  <c r="AB405" i="1"/>
  <c r="AA405" i="1"/>
  <c r="Z405" i="1"/>
  <c r="X405" i="1"/>
  <c r="W405" i="1"/>
  <c r="V405" i="1"/>
  <c r="U405" i="1"/>
  <c r="S405" i="1"/>
  <c r="R405" i="1"/>
  <c r="Q405" i="1"/>
  <c r="P405" i="1"/>
  <c r="N405" i="1"/>
  <c r="M405" i="1"/>
  <c r="L405" i="1"/>
  <c r="K405" i="1"/>
  <c r="AW404" i="1"/>
  <c r="AV404" i="1"/>
  <c r="AU404" i="1"/>
  <c r="AT404" i="1"/>
  <c r="AR404" i="1"/>
  <c r="AQ404" i="1"/>
  <c r="AP404" i="1"/>
  <c r="AO404" i="1"/>
  <c r="AM404" i="1"/>
  <c r="AL404" i="1"/>
  <c r="AK404" i="1"/>
  <c r="AJ404" i="1"/>
  <c r="AH404" i="1"/>
  <c r="AG404" i="1"/>
  <c r="AF404" i="1"/>
  <c r="AE404" i="1"/>
  <c r="AC404" i="1"/>
  <c r="AB404" i="1"/>
  <c r="AA404" i="1"/>
  <c r="Z404" i="1"/>
  <c r="X404" i="1"/>
  <c r="W404" i="1"/>
  <c r="V404" i="1"/>
  <c r="U404" i="1"/>
  <c r="S404" i="1"/>
  <c r="R404" i="1"/>
  <c r="Q404" i="1"/>
  <c r="P404" i="1"/>
  <c r="N404" i="1"/>
  <c r="M404" i="1"/>
  <c r="L404" i="1"/>
  <c r="K404" i="1"/>
  <c r="AW403" i="1"/>
  <c r="AV403" i="1"/>
  <c r="AU403" i="1"/>
  <c r="AT403" i="1"/>
  <c r="AR403" i="1"/>
  <c r="AQ403" i="1"/>
  <c r="AP403" i="1"/>
  <c r="AO403" i="1"/>
  <c r="AM403" i="1"/>
  <c r="AL403" i="1"/>
  <c r="AK403" i="1"/>
  <c r="AJ403" i="1"/>
  <c r="AH403" i="1"/>
  <c r="AG403" i="1"/>
  <c r="AF403" i="1"/>
  <c r="AE403" i="1"/>
  <c r="AC403" i="1"/>
  <c r="AB403" i="1"/>
  <c r="AA403" i="1"/>
  <c r="Z403" i="1"/>
  <c r="X403" i="1"/>
  <c r="W403" i="1"/>
  <c r="V403" i="1"/>
  <c r="U403" i="1"/>
  <c r="S403" i="1"/>
  <c r="R403" i="1"/>
  <c r="Q403" i="1"/>
  <c r="P403" i="1"/>
  <c r="N403" i="1"/>
  <c r="M403" i="1"/>
  <c r="L403" i="1"/>
  <c r="K403" i="1"/>
  <c r="AW402" i="1"/>
  <c r="AV402" i="1"/>
  <c r="AU402" i="1"/>
  <c r="AT402" i="1"/>
  <c r="AR402" i="1"/>
  <c r="AQ402" i="1"/>
  <c r="AP402" i="1"/>
  <c r="AO402" i="1"/>
  <c r="AM402" i="1"/>
  <c r="AL402" i="1"/>
  <c r="AK402" i="1"/>
  <c r="AJ402" i="1"/>
  <c r="AH402" i="1"/>
  <c r="AG402" i="1"/>
  <c r="AF402" i="1"/>
  <c r="AE402" i="1"/>
  <c r="AC402" i="1"/>
  <c r="AB402" i="1"/>
  <c r="AA402" i="1"/>
  <c r="Z402" i="1"/>
  <c r="X402" i="1"/>
  <c r="W402" i="1"/>
  <c r="V402" i="1"/>
  <c r="U402" i="1"/>
  <c r="S402" i="1"/>
  <c r="R402" i="1"/>
  <c r="Q402" i="1"/>
  <c r="P402" i="1"/>
  <c r="N402" i="1"/>
  <c r="M402" i="1"/>
  <c r="L402" i="1"/>
  <c r="K402" i="1"/>
  <c r="AW401" i="1"/>
  <c r="AV401" i="1"/>
  <c r="AU401" i="1"/>
  <c r="AT401" i="1"/>
  <c r="AR401" i="1"/>
  <c r="AQ401" i="1"/>
  <c r="AP401" i="1"/>
  <c r="AO401" i="1"/>
  <c r="AM401" i="1"/>
  <c r="AL401" i="1"/>
  <c r="AK401" i="1"/>
  <c r="AJ401" i="1"/>
  <c r="AH401" i="1"/>
  <c r="AG401" i="1"/>
  <c r="AF401" i="1"/>
  <c r="AE401" i="1"/>
  <c r="AC401" i="1"/>
  <c r="AB401" i="1"/>
  <c r="AA401" i="1"/>
  <c r="Z401" i="1"/>
  <c r="X401" i="1"/>
  <c r="W401" i="1"/>
  <c r="V401" i="1"/>
  <c r="U401" i="1"/>
  <c r="S401" i="1"/>
  <c r="R401" i="1"/>
  <c r="Q401" i="1"/>
  <c r="P401" i="1"/>
  <c r="N401" i="1"/>
  <c r="M401" i="1"/>
  <c r="L401" i="1"/>
  <c r="K401" i="1"/>
  <c r="AW400" i="1"/>
  <c r="AV400" i="1"/>
  <c r="AU400" i="1"/>
  <c r="AT400" i="1"/>
  <c r="AR400" i="1"/>
  <c r="AQ400" i="1"/>
  <c r="AP400" i="1"/>
  <c r="AO400" i="1"/>
  <c r="AM400" i="1"/>
  <c r="AL400" i="1"/>
  <c r="AK400" i="1"/>
  <c r="AJ400" i="1"/>
  <c r="AH400" i="1"/>
  <c r="AG400" i="1"/>
  <c r="AF400" i="1"/>
  <c r="AE400" i="1"/>
  <c r="AC400" i="1"/>
  <c r="AB400" i="1"/>
  <c r="AA400" i="1"/>
  <c r="Z400" i="1"/>
  <c r="X400" i="1"/>
  <c r="W400" i="1"/>
  <c r="V400" i="1"/>
  <c r="U400" i="1"/>
  <c r="S400" i="1"/>
  <c r="R400" i="1"/>
  <c r="Q400" i="1"/>
  <c r="P400" i="1"/>
  <c r="N400" i="1"/>
  <c r="M400" i="1"/>
  <c r="L400" i="1"/>
  <c r="K400" i="1"/>
  <c r="AW399" i="1"/>
  <c r="AV399" i="1"/>
  <c r="AU399" i="1"/>
  <c r="AT399" i="1"/>
  <c r="AR399" i="1"/>
  <c r="AQ399" i="1"/>
  <c r="AP399" i="1"/>
  <c r="AO399" i="1"/>
  <c r="AM399" i="1"/>
  <c r="AL399" i="1"/>
  <c r="AK399" i="1"/>
  <c r="AJ399" i="1"/>
  <c r="AH399" i="1"/>
  <c r="AG399" i="1"/>
  <c r="AF399" i="1"/>
  <c r="AE399" i="1"/>
  <c r="AC399" i="1"/>
  <c r="AB399" i="1"/>
  <c r="AA399" i="1"/>
  <c r="Z399" i="1"/>
  <c r="X399" i="1"/>
  <c r="W399" i="1"/>
  <c r="V399" i="1"/>
  <c r="U399" i="1"/>
  <c r="S399" i="1"/>
  <c r="R399" i="1"/>
  <c r="Q399" i="1"/>
  <c r="P399" i="1"/>
  <c r="N399" i="1"/>
  <c r="M399" i="1"/>
  <c r="L399" i="1"/>
  <c r="K399" i="1"/>
  <c r="AW398" i="1"/>
  <c r="AV398" i="1"/>
  <c r="AU398" i="1"/>
  <c r="AT398" i="1"/>
  <c r="AR398" i="1"/>
  <c r="AQ398" i="1"/>
  <c r="AP398" i="1"/>
  <c r="AO398" i="1"/>
  <c r="AM398" i="1"/>
  <c r="AL398" i="1"/>
  <c r="AK398" i="1"/>
  <c r="AJ398" i="1"/>
  <c r="AH398" i="1"/>
  <c r="AG398" i="1"/>
  <c r="AF398" i="1"/>
  <c r="AE398" i="1"/>
  <c r="AC398" i="1"/>
  <c r="AB398" i="1"/>
  <c r="AA398" i="1"/>
  <c r="Z398" i="1"/>
  <c r="X398" i="1"/>
  <c r="W398" i="1"/>
  <c r="V398" i="1"/>
  <c r="U398" i="1"/>
  <c r="S398" i="1"/>
  <c r="R398" i="1"/>
  <c r="Q398" i="1"/>
  <c r="P398" i="1"/>
  <c r="N398" i="1"/>
  <c r="M398" i="1"/>
  <c r="L398" i="1"/>
  <c r="K398" i="1"/>
  <c r="AW397" i="1"/>
  <c r="AV397" i="1"/>
  <c r="AU397" i="1"/>
  <c r="AT397" i="1"/>
  <c r="AR397" i="1"/>
  <c r="AQ397" i="1"/>
  <c r="AP397" i="1"/>
  <c r="AO397" i="1"/>
  <c r="AM397" i="1"/>
  <c r="AL397" i="1"/>
  <c r="AK397" i="1"/>
  <c r="AJ397" i="1"/>
  <c r="AH397" i="1"/>
  <c r="AG397" i="1"/>
  <c r="AF397" i="1"/>
  <c r="AE397" i="1"/>
  <c r="AC397" i="1"/>
  <c r="AB397" i="1"/>
  <c r="AA397" i="1"/>
  <c r="Z397" i="1"/>
  <c r="X397" i="1"/>
  <c r="W397" i="1"/>
  <c r="V397" i="1"/>
  <c r="U397" i="1"/>
  <c r="S397" i="1"/>
  <c r="R397" i="1"/>
  <c r="Q397" i="1"/>
  <c r="P397" i="1"/>
  <c r="N397" i="1"/>
  <c r="M397" i="1"/>
  <c r="L397" i="1"/>
  <c r="K397" i="1"/>
  <c r="AW396" i="1"/>
  <c r="AV396" i="1"/>
  <c r="AU396" i="1"/>
  <c r="AT396" i="1"/>
  <c r="AR396" i="1"/>
  <c r="AQ396" i="1"/>
  <c r="AP396" i="1"/>
  <c r="AO396" i="1"/>
  <c r="AM396" i="1"/>
  <c r="AL396" i="1"/>
  <c r="AK396" i="1"/>
  <c r="AJ396" i="1"/>
  <c r="AH396" i="1"/>
  <c r="AG396" i="1"/>
  <c r="AF396" i="1"/>
  <c r="AE396" i="1"/>
  <c r="AC396" i="1"/>
  <c r="AB396" i="1"/>
  <c r="AA396" i="1"/>
  <c r="Z396" i="1"/>
  <c r="X396" i="1"/>
  <c r="W396" i="1"/>
  <c r="V396" i="1"/>
  <c r="U396" i="1"/>
  <c r="S396" i="1"/>
  <c r="R396" i="1"/>
  <c r="Q396" i="1"/>
  <c r="P396" i="1"/>
  <c r="N396" i="1"/>
  <c r="M396" i="1"/>
  <c r="L396" i="1"/>
  <c r="K396" i="1"/>
  <c r="AW395" i="1"/>
  <c r="AV395" i="1"/>
  <c r="AU395" i="1"/>
  <c r="AT395" i="1"/>
  <c r="AR395" i="1"/>
  <c r="AQ395" i="1"/>
  <c r="AP395" i="1"/>
  <c r="AO395" i="1"/>
  <c r="AM395" i="1"/>
  <c r="AL395" i="1"/>
  <c r="AK395" i="1"/>
  <c r="AJ395" i="1"/>
  <c r="AH395" i="1"/>
  <c r="AG395" i="1"/>
  <c r="AF395" i="1"/>
  <c r="AE395" i="1"/>
  <c r="AC395" i="1"/>
  <c r="AB395" i="1"/>
  <c r="AA395" i="1"/>
  <c r="Z395" i="1"/>
  <c r="X395" i="1"/>
  <c r="W395" i="1"/>
  <c r="V395" i="1"/>
  <c r="U395" i="1"/>
  <c r="S395" i="1"/>
  <c r="R395" i="1"/>
  <c r="Q395" i="1"/>
  <c r="P395" i="1"/>
  <c r="N395" i="1"/>
  <c r="M395" i="1"/>
  <c r="L395" i="1"/>
  <c r="K395" i="1"/>
  <c r="AW394" i="1"/>
  <c r="AV394" i="1"/>
  <c r="AU394" i="1"/>
  <c r="AT394" i="1"/>
  <c r="AR394" i="1"/>
  <c r="AQ394" i="1"/>
  <c r="AP394" i="1"/>
  <c r="AO394" i="1"/>
  <c r="AM394" i="1"/>
  <c r="AL394" i="1"/>
  <c r="AK394" i="1"/>
  <c r="AJ394" i="1"/>
  <c r="AH394" i="1"/>
  <c r="AG394" i="1"/>
  <c r="AF394" i="1"/>
  <c r="AE394" i="1"/>
  <c r="AC394" i="1"/>
  <c r="AB394" i="1"/>
  <c r="AA394" i="1"/>
  <c r="Z394" i="1"/>
  <c r="X394" i="1"/>
  <c r="W394" i="1"/>
  <c r="V394" i="1"/>
  <c r="U394" i="1"/>
  <c r="S394" i="1"/>
  <c r="R394" i="1"/>
  <c r="Q394" i="1"/>
  <c r="P394" i="1"/>
  <c r="N394" i="1"/>
  <c r="M394" i="1"/>
  <c r="L394" i="1"/>
  <c r="K394" i="1"/>
  <c r="AW393" i="1"/>
  <c r="AV393" i="1"/>
  <c r="AU393" i="1"/>
  <c r="AT393" i="1"/>
  <c r="AR393" i="1"/>
  <c r="AQ393" i="1"/>
  <c r="AP393" i="1"/>
  <c r="AO393" i="1"/>
  <c r="AM393" i="1"/>
  <c r="AL393" i="1"/>
  <c r="AK393" i="1"/>
  <c r="AJ393" i="1"/>
  <c r="AH393" i="1"/>
  <c r="AG393" i="1"/>
  <c r="AF393" i="1"/>
  <c r="AE393" i="1"/>
  <c r="AC393" i="1"/>
  <c r="AB393" i="1"/>
  <c r="AA393" i="1"/>
  <c r="Z393" i="1"/>
  <c r="X393" i="1"/>
  <c r="W393" i="1"/>
  <c r="V393" i="1"/>
  <c r="U393" i="1"/>
  <c r="S393" i="1"/>
  <c r="R393" i="1"/>
  <c r="Q393" i="1"/>
  <c r="P393" i="1"/>
  <c r="N393" i="1"/>
  <c r="M393" i="1"/>
  <c r="L393" i="1"/>
  <c r="K393" i="1"/>
  <c r="AW392" i="1"/>
  <c r="AV392" i="1"/>
  <c r="AU392" i="1"/>
  <c r="AT392" i="1"/>
  <c r="AR392" i="1"/>
  <c r="AQ392" i="1"/>
  <c r="AP392" i="1"/>
  <c r="AO392" i="1"/>
  <c r="AM392" i="1"/>
  <c r="AL392" i="1"/>
  <c r="AK392" i="1"/>
  <c r="AJ392" i="1"/>
  <c r="AH392" i="1"/>
  <c r="AG392" i="1"/>
  <c r="AF392" i="1"/>
  <c r="AE392" i="1"/>
  <c r="AC392" i="1"/>
  <c r="AB392" i="1"/>
  <c r="AA392" i="1"/>
  <c r="Z392" i="1"/>
  <c r="X392" i="1"/>
  <c r="W392" i="1"/>
  <c r="V392" i="1"/>
  <c r="U392" i="1"/>
  <c r="S392" i="1"/>
  <c r="R392" i="1"/>
  <c r="Q392" i="1"/>
  <c r="P392" i="1"/>
  <c r="N392" i="1"/>
  <c r="M392" i="1"/>
  <c r="L392" i="1"/>
  <c r="K392" i="1"/>
  <c r="AW391" i="1"/>
  <c r="AV391" i="1"/>
  <c r="AU391" i="1"/>
  <c r="AT391" i="1"/>
  <c r="AR391" i="1"/>
  <c r="AQ391" i="1"/>
  <c r="AP391" i="1"/>
  <c r="AO391" i="1"/>
  <c r="AM391" i="1"/>
  <c r="AL391" i="1"/>
  <c r="AK391" i="1"/>
  <c r="AJ391" i="1"/>
  <c r="AH391" i="1"/>
  <c r="AG391" i="1"/>
  <c r="AF391" i="1"/>
  <c r="AE391" i="1"/>
  <c r="AC391" i="1"/>
  <c r="AB391" i="1"/>
  <c r="AA391" i="1"/>
  <c r="Z391" i="1"/>
  <c r="X391" i="1"/>
  <c r="W391" i="1"/>
  <c r="V391" i="1"/>
  <c r="U391" i="1"/>
  <c r="S391" i="1"/>
  <c r="R391" i="1"/>
  <c r="Q391" i="1"/>
  <c r="P391" i="1"/>
  <c r="N391" i="1"/>
  <c r="M391" i="1"/>
  <c r="L391" i="1"/>
  <c r="K391" i="1"/>
  <c r="AW390" i="1"/>
  <c r="AV390" i="1"/>
  <c r="AU390" i="1"/>
  <c r="AT390" i="1"/>
  <c r="AR390" i="1"/>
  <c r="AQ390" i="1"/>
  <c r="AP390" i="1"/>
  <c r="AO390" i="1"/>
  <c r="AM390" i="1"/>
  <c r="AL390" i="1"/>
  <c r="AK390" i="1"/>
  <c r="AJ390" i="1"/>
  <c r="AH390" i="1"/>
  <c r="AG390" i="1"/>
  <c r="AF390" i="1"/>
  <c r="AE390" i="1"/>
  <c r="AC390" i="1"/>
  <c r="AB390" i="1"/>
  <c r="AA390" i="1"/>
  <c r="Z390" i="1"/>
  <c r="X390" i="1"/>
  <c r="W390" i="1"/>
  <c r="V390" i="1"/>
  <c r="U390" i="1"/>
  <c r="S390" i="1"/>
  <c r="R390" i="1"/>
  <c r="Q390" i="1"/>
  <c r="P390" i="1"/>
  <c r="N390" i="1"/>
  <c r="M390" i="1"/>
  <c r="L390" i="1"/>
  <c r="K390" i="1"/>
  <c r="AW389" i="1"/>
  <c r="AV389" i="1"/>
  <c r="AU389" i="1"/>
  <c r="AT389" i="1"/>
  <c r="AR389" i="1"/>
  <c r="AQ389" i="1"/>
  <c r="AP389" i="1"/>
  <c r="AO389" i="1"/>
  <c r="AM389" i="1"/>
  <c r="AL389" i="1"/>
  <c r="AK389" i="1"/>
  <c r="AJ389" i="1"/>
  <c r="AH389" i="1"/>
  <c r="AG389" i="1"/>
  <c r="AF389" i="1"/>
  <c r="AE389" i="1"/>
  <c r="AC389" i="1"/>
  <c r="AB389" i="1"/>
  <c r="AA389" i="1"/>
  <c r="Z389" i="1"/>
  <c r="X389" i="1"/>
  <c r="W389" i="1"/>
  <c r="V389" i="1"/>
  <c r="U389" i="1"/>
  <c r="S389" i="1"/>
  <c r="R389" i="1"/>
  <c r="Q389" i="1"/>
  <c r="P389" i="1"/>
  <c r="N389" i="1"/>
  <c r="M389" i="1"/>
  <c r="L389" i="1"/>
  <c r="K389" i="1"/>
  <c r="AW388" i="1"/>
  <c r="AV388" i="1"/>
  <c r="AU388" i="1"/>
  <c r="AT388" i="1"/>
  <c r="AR388" i="1"/>
  <c r="AQ388" i="1"/>
  <c r="AP388" i="1"/>
  <c r="AO388" i="1"/>
  <c r="AM388" i="1"/>
  <c r="AL388" i="1"/>
  <c r="AK388" i="1"/>
  <c r="AJ388" i="1"/>
  <c r="AH388" i="1"/>
  <c r="AG388" i="1"/>
  <c r="AF388" i="1"/>
  <c r="AE388" i="1"/>
  <c r="AC388" i="1"/>
  <c r="AB388" i="1"/>
  <c r="AA388" i="1"/>
  <c r="Z388" i="1"/>
  <c r="X388" i="1"/>
  <c r="W388" i="1"/>
  <c r="V388" i="1"/>
  <c r="U388" i="1"/>
  <c r="S388" i="1"/>
  <c r="R388" i="1"/>
  <c r="Q388" i="1"/>
  <c r="P388" i="1"/>
  <c r="N388" i="1"/>
  <c r="M388" i="1"/>
  <c r="L388" i="1"/>
  <c r="K388" i="1"/>
  <c r="AW387" i="1"/>
  <c r="AV387" i="1"/>
  <c r="AU387" i="1"/>
  <c r="AT387" i="1"/>
  <c r="AR387" i="1"/>
  <c r="AQ387" i="1"/>
  <c r="AP387" i="1"/>
  <c r="AO387" i="1"/>
  <c r="AM387" i="1"/>
  <c r="AL387" i="1"/>
  <c r="AK387" i="1"/>
  <c r="AJ387" i="1"/>
  <c r="AH387" i="1"/>
  <c r="AG387" i="1"/>
  <c r="AF387" i="1"/>
  <c r="AE387" i="1"/>
  <c r="AC387" i="1"/>
  <c r="AB387" i="1"/>
  <c r="AA387" i="1"/>
  <c r="Z387" i="1"/>
  <c r="X387" i="1"/>
  <c r="W387" i="1"/>
  <c r="V387" i="1"/>
  <c r="U387" i="1"/>
  <c r="S387" i="1"/>
  <c r="R387" i="1"/>
  <c r="Q387" i="1"/>
  <c r="P387" i="1"/>
  <c r="N387" i="1"/>
  <c r="M387" i="1"/>
  <c r="L387" i="1"/>
  <c r="K387" i="1"/>
  <c r="AW386" i="1"/>
  <c r="AV386" i="1"/>
  <c r="AU386" i="1"/>
  <c r="AT386" i="1"/>
  <c r="AR386" i="1"/>
  <c r="AQ386" i="1"/>
  <c r="AP386" i="1"/>
  <c r="AO386" i="1"/>
  <c r="AM386" i="1"/>
  <c r="AL386" i="1"/>
  <c r="AK386" i="1"/>
  <c r="AJ386" i="1"/>
  <c r="AH386" i="1"/>
  <c r="AG386" i="1"/>
  <c r="AF386" i="1"/>
  <c r="AE386" i="1"/>
  <c r="AC386" i="1"/>
  <c r="AB386" i="1"/>
  <c r="AA386" i="1"/>
  <c r="Z386" i="1"/>
  <c r="X386" i="1"/>
  <c r="W386" i="1"/>
  <c r="V386" i="1"/>
  <c r="U386" i="1"/>
  <c r="S386" i="1"/>
  <c r="R386" i="1"/>
  <c r="Q386" i="1"/>
  <c r="P386" i="1"/>
  <c r="N386" i="1"/>
  <c r="M386" i="1"/>
  <c r="L386" i="1"/>
  <c r="K386" i="1"/>
  <c r="AW385" i="1"/>
  <c r="AV385" i="1"/>
  <c r="AU385" i="1"/>
  <c r="AT385" i="1"/>
  <c r="AR385" i="1"/>
  <c r="AQ385" i="1"/>
  <c r="AP385" i="1"/>
  <c r="AO385" i="1"/>
  <c r="AM385" i="1"/>
  <c r="AL385" i="1"/>
  <c r="AK385" i="1"/>
  <c r="AJ385" i="1"/>
  <c r="AH385" i="1"/>
  <c r="AG385" i="1"/>
  <c r="AF385" i="1"/>
  <c r="AE385" i="1"/>
  <c r="AC385" i="1"/>
  <c r="AB385" i="1"/>
  <c r="AA385" i="1"/>
  <c r="Z385" i="1"/>
  <c r="X385" i="1"/>
  <c r="W385" i="1"/>
  <c r="V385" i="1"/>
  <c r="U385" i="1"/>
  <c r="S385" i="1"/>
  <c r="R385" i="1"/>
  <c r="Q385" i="1"/>
  <c r="P385" i="1"/>
  <c r="N385" i="1"/>
  <c r="M385" i="1"/>
  <c r="L385" i="1"/>
  <c r="K385" i="1"/>
  <c r="AW384" i="1"/>
  <c r="AV384" i="1"/>
  <c r="AU384" i="1"/>
  <c r="AT384" i="1"/>
  <c r="AR384" i="1"/>
  <c r="AQ384" i="1"/>
  <c r="AP384" i="1"/>
  <c r="AO384" i="1"/>
  <c r="AM384" i="1"/>
  <c r="AL384" i="1"/>
  <c r="AK384" i="1"/>
  <c r="AJ384" i="1"/>
  <c r="AH384" i="1"/>
  <c r="AG384" i="1"/>
  <c r="AF384" i="1"/>
  <c r="AE384" i="1"/>
  <c r="AC384" i="1"/>
  <c r="AB384" i="1"/>
  <c r="AA384" i="1"/>
  <c r="Z384" i="1"/>
  <c r="X384" i="1"/>
  <c r="W384" i="1"/>
  <c r="V384" i="1"/>
  <c r="U384" i="1"/>
  <c r="S384" i="1"/>
  <c r="R384" i="1"/>
  <c r="Q384" i="1"/>
  <c r="P384" i="1"/>
  <c r="N384" i="1"/>
  <c r="M384" i="1"/>
  <c r="L384" i="1"/>
  <c r="K384" i="1"/>
  <c r="AW383" i="1"/>
  <c r="AV383" i="1"/>
  <c r="AU383" i="1"/>
  <c r="AT383" i="1"/>
  <c r="AR383" i="1"/>
  <c r="AQ383" i="1"/>
  <c r="AP383" i="1"/>
  <c r="AO383" i="1"/>
  <c r="AM383" i="1"/>
  <c r="AL383" i="1"/>
  <c r="AK383" i="1"/>
  <c r="AJ383" i="1"/>
  <c r="AH383" i="1"/>
  <c r="AG383" i="1"/>
  <c r="AF383" i="1"/>
  <c r="AE383" i="1"/>
  <c r="AC383" i="1"/>
  <c r="AB383" i="1"/>
  <c r="AA383" i="1"/>
  <c r="Z383" i="1"/>
  <c r="X383" i="1"/>
  <c r="W383" i="1"/>
  <c r="V383" i="1"/>
  <c r="U383" i="1"/>
  <c r="S383" i="1"/>
  <c r="R383" i="1"/>
  <c r="Q383" i="1"/>
  <c r="P383" i="1"/>
  <c r="N383" i="1"/>
  <c r="M383" i="1"/>
  <c r="L383" i="1"/>
  <c r="K383" i="1"/>
  <c r="AW382" i="1"/>
  <c r="AV382" i="1"/>
  <c r="AU382" i="1"/>
  <c r="AT382" i="1"/>
  <c r="AR382" i="1"/>
  <c r="AQ382" i="1"/>
  <c r="AP382" i="1"/>
  <c r="AO382" i="1"/>
  <c r="AM382" i="1"/>
  <c r="AL382" i="1"/>
  <c r="AK382" i="1"/>
  <c r="AJ382" i="1"/>
  <c r="AH382" i="1"/>
  <c r="AG382" i="1"/>
  <c r="AF382" i="1"/>
  <c r="AE382" i="1"/>
  <c r="AC382" i="1"/>
  <c r="AB382" i="1"/>
  <c r="AA382" i="1"/>
  <c r="Z382" i="1"/>
  <c r="X382" i="1"/>
  <c r="W382" i="1"/>
  <c r="V382" i="1"/>
  <c r="U382" i="1"/>
  <c r="S382" i="1"/>
  <c r="R382" i="1"/>
  <c r="Q382" i="1"/>
  <c r="P382" i="1"/>
  <c r="N382" i="1"/>
  <c r="M382" i="1"/>
  <c r="L382" i="1"/>
  <c r="K382" i="1"/>
  <c r="AW381" i="1"/>
  <c r="AV381" i="1"/>
  <c r="AU381" i="1"/>
  <c r="AT381" i="1"/>
  <c r="AR381" i="1"/>
  <c r="AQ381" i="1"/>
  <c r="AP381" i="1"/>
  <c r="AO381" i="1"/>
  <c r="AM381" i="1"/>
  <c r="AL381" i="1"/>
  <c r="AK381" i="1"/>
  <c r="AJ381" i="1"/>
  <c r="AH381" i="1"/>
  <c r="AG381" i="1"/>
  <c r="AF381" i="1"/>
  <c r="AE381" i="1"/>
  <c r="AC381" i="1"/>
  <c r="AB381" i="1"/>
  <c r="AA381" i="1"/>
  <c r="Z381" i="1"/>
  <c r="X381" i="1"/>
  <c r="W381" i="1"/>
  <c r="V381" i="1"/>
  <c r="U381" i="1"/>
  <c r="S381" i="1"/>
  <c r="R381" i="1"/>
  <c r="Q381" i="1"/>
  <c r="P381" i="1"/>
  <c r="N381" i="1"/>
  <c r="M381" i="1"/>
  <c r="L381" i="1"/>
  <c r="K381" i="1"/>
  <c r="AW380" i="1"/>
  <c r="AV380" i="1"/>
  <c r="AU380" i="1"/>
  <c r="AT380" i="1"/>
  <c r="AR380" i="1"/>
  <c r="AQ380" i="1"/>
  <c r="AP380" i="1"/>
  <c r="AO380" i="1"/>
  <c r="AM380" i="1"/>
  <c r="AL380" i="1"/>
  <c r="AK380" i="1"/>
  <c r="AJ380" i="1"/>
  <c r="AH380" i="1"/>
  <c r="AG380" i="1"/>
  <c r="AF380" i="1"/>
  <c r="AE380" i="1"/>
  <c r="AC380" i="1"/>
  <c r="AB380" i="1"/>
  <c r="AA380" i="1"/>
  <c r="Z380" i="1"/>
  <c r="X380" i="1"/>
  <c r="W380" i="1"/>
  <c r="V380" i="1"/>
  <c r="U380" i="1"/>
  <c r="S380" i="1"/>
  <c r="R380" i="1"/>
  <c r="Q380" i="1"/>
  <c r="P380" i="1"/>
  <c r="N380" i="1"/>
  <c r="M380" i="1"/>
  <c r="L380" i="1"/>
  <c r="K380" i="1"/>
  <c r="AW379" i="1"/>
  <c r="AV379" i="1"/>
  <c r="AU379" i="1"/>
  <c r="AT379" i="1"/>
  <c r="AR379" i="1"/>
  <c r="AQ379" i="1"/>
  <c r="AP379" i="1"/>
  <c r="AO379" i="1"/>
  <c r="AM379" i="1"/>
  <c r="AL379" i="1"/>
  <c r="AK379" i="1"/>
  <c r="AJ379" i="1"/>
  <c r="AH379" i="1"/>
  <c r="AG379" i="1"/>
  <c r="AF379" i="1"/>
  <c r="AE379" i="1"/>
  <c r="AC379" i="1"/>
  <c r="AB379" i="1"/>
  <c r="AA379" i="1"/>
  <c r="Z379" i="1"/>
  <c r="X379" i="1"/>
  <c r="W379" i="1"/>
  <c r="V379" i="1"/>
  <c r="U379" i="1"/>
  <c r="S379" i="1"/>
  <c r="R379" i="1"/>
  <c r="Q379" i="1"/>
  <c r="P379" i="1"/>
  <c r="N379" i="1"/>
  <c r="M379" i="1"/>
  <c r="L379" i="1"/>
  <c r="K379" i="1"/>
  <c r="AW378" i="1"/>
  <c r="AV378" i="1"/>
  <c r="AU378" i="1"/>
  <c r="AT378" i="1"/>
  <c r="AR378" i="1"/>
  <c r="AQ378" i="1"/>
  <c r="AP378" i="1"/>
  <c r="AO378" i="1"/>
  <c r="AM378" i="1"/>
  <c r="AL378" i="1"/>
  <c r="AK378" i="1"/>
  <c r="AJ378" i="1"/>
  <c r="AH378" i="1"/>
  <c r="AG378" i="1"/>
  <c r="AF378" i="1"/>
  <c r="AE378" i="1"/>
  <c r="AC378" i="1"/>
  <c r="AB378" i="1"/>
  <c r="AA378" i="1"/>
  <c r="Z378" i="1"/>
  <c r="X378" i="1"/>
  <c r="W378" i="1"/>
  <c r="V378" i="1"/>
  <c r="U378" i="1"/>
  <c r="S378" i="1"/>
  <c r="R378" i="1"/>
  <c r="Q378" i="1"/>
  <c r="P378" i="1"/>
  <c r="N378" i="1"/>
  <c r="M378" i="1"/>
  <c r="L378" i="1"/>
  <c r="K378" i="1"/>
  <c r="AW377" i="1"/>
  <c r="AV377" i="1"/>
  <c r="AU377" i="1"/>
  <c r="AT377" i="1"/>
  <c r="AR377" i="1"/>
  <c r="AQ377" i="1"/>
  <c r="AP377" i="1"/>
  <c r="AO377" i="1"/>
  <c r="AM377" i="1"/>
  <c r="AL377" i="1"/>
  <c r="AK377" i="1"/>
  <c r="AJ377" i="1"/>
  <c r="AH377" i="1"/>
  <c r="AG377" i="1"/>
  <c r="AF377" i="1"/>
  <c r="AE377" i="1"/>
  <c r="AC377" i="1"/>
  <c r="AB377" i="1"/>
  <c r="AA377" i="1"/>
  <c r="Z377" i="1"/>
  <c r="X377" i="1"/>
  <c r="W377" i="1"/>
  <c r="V377" i="1"/>
  <c r="U377" i="1"/>
  <c r="S377" i="1"/>
  <c r="R377" i="1"/>
  <c r="Q377" i="1"/>
  <c r="P377" i="1"/>
  <c r="N377" i="1"/>
  <c r="M377" i="1"/>
  <c r="L377" i="1"/>
  <c r="K377" i="1"/>
  <c r="AW376" i="1"/>
  <c r="AV376" i="1"/>
  <c r="AU376" i="1"/>
  <c r="AT376" i="1"/>
  <c r="AR376" i="1"/>
  <c r="AQ376" i="1"/>
  <c r="AP376" i="1"/>
  <c r="AO376" i="1"/>
  <c r="AM376" i="1"/>
  <c r="AL376" i="1"/>
  <c r="AK376" i="1"/>
  <c r="AJ376" i="1"/>
  <c r="AH376" i="1"/>
  <c r="AG376" i="1"/>
  <c r="AF376" i="1"/>
  <c r="AE376" i="1"/>
  <c r="AC376" i="1"/>
  <c r="AB376" i="1"/>
  <c r="AA376" i="1"/>
  <c r="Z376" i="1"/>
  <c r="X376" i="1"/>
  <c r="W376" i="1"/>
  <c r="V376" i="1"/>
  <c r="U376" i="1"/>
  <c r="S376" i="1"/>
  <c r="R376" i="1"/>
  <c r="Q376" i="1"/>
  <c r="P376" i="1"/>
  <c r="N376" i="1"/>
  <c r="M376" i="1"/>
  <c r="L376" i="1"/>
  <c r="K376" i="1"/>
  <c r="AW375" i="1"/>
  <c r="AV375" i="1"/>
  <c r="AU375" i="1"/>
  <c r="AT375" i="1"/>
  <c r="AR375" i="1"/>
  <c r="AQ375" i="1"/>
  <c r="AP375" i="1"/>
  <c r="AO375" i="1"/>
  <c r="AM375" i="1"/>
  <c r="AL375" i="1"/>
  <c r="AK375" i="1"/>
  <c r="AJ375" i="1"/>
  <c r="AH375" i="1"/>
  <c r="AG375" i="1"/>
  <c r="AF375" i="1"/>
  <c r="AE375" i="1"/>
  <c r="AC375" i="1"/>
  <c r="AB375" i="1"/>
  <c r="AA375" i="1"/>
  <c r="Z375" i="1"/>
  <c r="X375" i="1"/>
  <c r="W375" i="1"/>
  <c r="V375" i="1"/>
  <c r="U375" i="1"/>
  <c r="S375" i="1"/>
  <c r="R375" i="1"/>
  <c r="Q375" i="1"/>
  <c r="P375" i="1"/>
  <c r="N375" i="1"/>
  <c r="M375" i="1"/>
  <c r="L375" i="1"/>
  <c r="K375" i="1"/>
  <c r="AW374" i="1"/>
  <c r="AV374" i="1"/>
  <c r="AU374" i="1"/>
  <c r="AT374" i="1"/>
  <c r="AR374" i="1"/>
  <c r="AQ374" i="1"/>
  <c r="AP374" i="1"/>
  <c r="AO374" i="1"/>
  <c r="AM374" i="1"/>
  <c r="AL374" i="1"/>
  <c r="AK374" i="1"/>
  <c r="AJ374" i="1"/>
  <c r="AH374" i="1"/>
  <c r="AG374" i="1"/>
  <c r="AF374" i="1"/>
  <c r="AE374" i="1"/>
  <c r="AC374" i="1"/>
  <c r="AB374" i="1"/>
  <c r="AA374" i="1"/>
  <c r="Z374" i="1"/>
  <c r="X374" i="1"/>
  <c r="W374" i="1"/>
  <c r="V374" i="1"/>
  <c r="U374" i="1"/>
  <c r="S374" i="1"/>
  <c r="R374" i="1"/>
  <c r="Q374" i="1"/>
  <c r="P374" i="1"/>
  <c r="N374" i="1"/>
  <c r="M374" i="1"/>
  <c r="L374" i="1"/>
  <c r="K374" i="1"/>
  <c r="AW373" i="1"/>
  <c r="AV373" i="1"/>
  <c r="AU373" i="1"/>
  <c r="AT373" i="1"/>
  <c r="AR373" i="1"/>
  <c r="AQ373" i="1"/>
  <c r="AP373" i="1"/>
  <c r="AO373" i="1"/>
  <c r="AM373" i="1"/>
  <c r="AL373" i="1"/>
  <c r="AK373" i="1"/>
  <c r="AJ373" i="1"/>
  <c r="AH373" i="1"/>
  <c r="AG373" i="1"/>
  <c r="AF373" i="1"/>
  <c r="AE373" i="1"/>
  <c r="AC373" i="1"/>
  <c r="AB373" i="1"/>
  <c r="AA373" i="1"/>
  <c r="Z373" i="1"/>
  <c r="X373" i="1"/>
  <c r="W373" i="1"/>
  <c r="V373" i="1"/>
  <c r="U373" i="1"/>
  <c r="S373" i="1"/>
  <c r="R373" i="1"/>
  <c r="Q373" i="1"/>
  <c r="P373" i="1"/>
  <c r="N373" i="1"/>
  <c r="M373" i="1"/>
  <c r="L373" i="1"/>
  <c r="K373" i="1"/>
  <c r="AW372" i="1"/>
  <c r="AV372" i="1"/>
  <c r="AU372" i="1"/>
  <c r="AT372" i="1"/>
  <c r="AR372" i="1"/>
  <c r="AQ372" i="1"/>
  <c r="AP372" i="1"/>
  <c r="AO372" i="1"/>
  <c r="AM372" i="1"/>
  <c r="AL372" i="1"/>
  <c r="AK372" i="1"/>
  <c r="AJ372" i="1"/>
  <c r="AH372" i="1"/>
  <c r="AG372" i="1"/>
  <c r="AF372" i="1"/>
  <c r="AE372" i="1"/>
  <c r="AC372" i="1"/>
  <c r="AB372" i="1"/>
  <c r="AA372" i="1"/>
  <c r="Z372" i="1"/>
  <c r="X372" i="1"/>
  <c r="W372" i="1"/>
  <c r="V372" i="1"/>
  <c r="U372" i="1"/>
  <c r="S372" i="1"/>
  <c r="R372" i="1"/>
  <c r="Q372" i="1"/>
  <c r="P372" i="1"/>
  <c r="N372" i="1"/>
  <c r="M372" i="1"/>
  <c r="L372" i="1"/>
  <c r="K372" i="1"/>
  <c r="AW371" i="1"/>
  <c r="AV371" i="1"/>
  <c r="AU371" i="1"/>
  <c r="AT371" i="1"/>
  <c r="AR371" i="1"/>
  <c r="AQ371" i="1"/>
  <c r="AP371" i="1"/>
  <c r="AO371" i="1"/>
  <c r="AM371" i="1"/>
  <c r="AL371" i="1"/>
  <c r="AK371" i="1"/>
  <c r="AJ371" i="1"/>
  <c r="AH371" i="1"/>
  <c r="AG371" i="1"/>
  <c r="AF371" i="1"/>
  <c r="AE371" i="1"/>
  <c r="AC371" i="1"/>
  <c r="AB371" i="1"/>
  <c r="AA371" i="1"/>
  <c r="Z371" i="1"/>
  <c r="X371" i="1"/>
  <c r="W371" i="1"/>
  <c r="V371" i="1"/>
  <c r="U371" i="1"/>
  <c r="S371" i="1"/>
  <c r="R371" i="1"/>
  <c r="Q371" i="1"/>
  <c r="P371" i="1"/>
  <c r="N371" i="1"/>
  <c r="M371" i="1"/>
  <c r="L371" i="1"/>
  <c r="K371" i="1"/>
  <c r="AW370" i="1"/>
  <c r="AV370" i="1"/>
  <c r="AU370" i="1"/>
  <c r="AT370" i="1"/>
  <c r="AR370" i="1"/>
  <c r="AQ370" i="1"/>
  <c r="AP370" i="1"/>
  <c r="AO370" i="1"/>
  <c r="AM370" i="1"/>
  <c r="AL370" i="1"/>
  <c r="AK370" i="1"/>
  <c r="AJ370" i="1"/>
  <c r="AH370" i="1"/>
  <c r="AG370" i="1"/>
  <c r="AF370" i="1"/>
  <c r="AE370" i="1"/>
  <c r="AC370" i="1"/>
  <c r="AB370" i="1"/>
  <c r="AA370" i="1"/>
  <c r="Z370" i="1"/>
  <c r="X370" i="1"/>
  <c r="W370" i="1"/>
  <c r="V370" i="1"/>
  <c r="U370" i="1"/>
  <c r="S370" i="1"/>
  <c r="R370" i="1"/>
  <c r="Q370" i="1"/>
  <c r="P370" i="1"/>
  <c r="N370" i="1"/>
  <c r="M370" i="1"/>
  <c r="L370" i="1"/>
  <c r="K370" i="1"/>
  <c r="AW369" i="1"/>
  <c r="AV369" i="1"/>
  <c r="AU369" i="1"/>
  <c r="AT369" i="1"/>
  <c r="AR369" i="1"/>
  <c r="AQ369" i="1"/>
  <c r="AP369" i="1"/>
  <c r="AO369" i="1"/>
  <c r="AM369" i="1"/>
  <c r="AL369" i="1"/>
  <c r="AK369" i="1"/>
  <c r="AJ369" i="1"/>
  <c r="AH369" i="1"/>
  <c r="AG369" i="1"/>
  <c r="AF369" i="1"/>
  <c r="AE369" i="1"/>
  <c r="AC369" i="1"/>
  <c r="AB369" i="1"/>
  <c r="AA369" i="1"/>
  <c r="Z369" i="1"/>
  <c r="X369" i="1"/>
  <c r="W369" i="1"/>
  <c r="V369" i="1"/>
  <c r="U369" i="1"/>
  <c r="S369" i="1"/>
  <c r="R369" i="1"/>
  <c r="Q369" i="1"/>
  <c r="P369" i="1"/>
  <c r="N369" i="1"/>
  <c r="M369" i="1"/>
  <c r="L369" i="1"/>
  <c r="K369" i="1"/>
  <c r="AW368" i="1"/>
  <c r="AV368" i="1"/>
  <c r="AU368" i="1"/>
  <c r="AT368" i="1"/>
  <c r="AR368" i="1"/>
  <c r="AQ368" i="1"/>
  <c r="AP368" i="1"/>
  <c r="AO368" i="1"/>
  <c r="AM368" i="1"/>
  <c r="AL368" i="1"/>
  <c r="AK368" i="1"/>
  <c r="AJ368" i="1"/>
  <c r="AH368" i="1"/>
  <c r="AG368" i="1"/>
  <c r="AF368" i="1"/>
  <c r="AE368" i="1"/>
  <c r="AC368" i="1"/>
  <c r="AB368" i="1"/>
  <c r="AA368" i="1"/>
  <c r="Z368" i="1"/>
  <c r="X368" i="1"/>
  <c r="W368" i="1"/>
  <c r="V368" i="1"/>
  <c r="U368" i="1"/>
  <c r="S368" i="1"/>
  <c r="R368" i="1"/>
  <c r="Q368" i="1"/>
  <c r="P368" i="1"/>
  <c r="N368" i="1"/>
  <c r="M368" i="1"/>
  <c r="L368" i="1"/>
  <c r="K368" i="1"/>
  <c r="AW367" i="1"/>
  <c r="AV367" i="1"/>
  <c r="AU367" i="1"/>
  <c r="AT367" i="1"/>
  <c r="AR367" i="1"/>
  <c r="AQ367" i="1"/>
  <c r="AP367" i="1"/>
  <c r="AO367" i="1"/>
  <c r="AM367" i="1"/>
  <c r="AL367" i="1"/>
  <c r="AK367" i="1"/>
  <c r="AJ367" i="1"/>
  <c r="AH367" i="1"/>
  <c r="AG367" i="1"/>
  <c r="AF367" i="1"/>
  <c r="AE367" i="1"/>
  <c r="AC367" i="1"/>
  <c r="AB367" i="1"/>
  <c r="AA367" i="1"/>
  <c r="Z367" i="1"/>
  <c r="X367" i="1"/>
  <c r="W367" i="1"/>
  <c r="V367" i="1"/>
  <c r="U367" i="1"/>
  <c r="S367" i="1"/>
  <c r="R367" i="1"/>
  <c r="Q367" i="1"/>
  <c r="P367" i="1"/>
  <c r="N367" i="1"/>
  <c r="M367" i="1"/>
  <c r="L367" i="1"/>
  <c r="K367" i="1"/>
  <c r="AW366" i="1"/>
  <c r="AV366" i="1"/>
  <c r="AU366" i="1"/>
  <c r="AT366" i="1"/>
  <c r="AR366" i="1"/>
  <c r="AQ366" i="1"/>
  <c r="AP366" i="1"/>
  <c r="AO366" i="1"/>
  <c r="AM366" i="1"/>
  <c r="AL366" i="1"/>
  <c r="AK366" i="1"/>
  <c r="AJ366" i="1"/>
  <c r="AH366" i="1"/>
  <c r="AG366" i="1"/>
  <c r="AF366" i="1"/>
  <c r="AE366" i="1"/>
  <c r="AC366" i="1"/>
  <c r="AB366" i="1"/>
  <c r="AA366" i="1"/>
  <c r="Z366" i="1"/>
  <c r="X366" i="1"/>
  <c r="W366" i="1"/>
  <c r="V366" i="1"/>
  <c r="U366" i="1"/>
  <c r="S366" i="1"/>
  <c r="R366" i="1"/>
  <c r="Q366" i="1"/>
  <c r="P366" i="1"/>
  <c r="N366" i="1"/>
  <c r="M366" i="1"/>
  <c r="L366" i="1"/>
  <c r="K366" i="1"/>
  <c r="AW365" i="1"/>
  <c r="AV365" i="1"/>
  <c r="AU365" i="1"/>
  <c r="AT365" i="1"/>
  <c r="AR365" i="1"/>
  <c r="AQ365" i="1"/>
  <c r="AP365" i="1"/>
  <c r="AO365" i="1"/>
  <c r="AM365" i="1"/>
  <c r="AL365" i="1"/>
  <c r="AK365" i="1"/>
  <c r="AJ365" i="1"/>
  <c r="AH365" i="1"/>
  <c r="AG365" i="1"/>
  <c r="AF365" i="1"/>
  <c r="AE365" i="1"/>
  <c r="AC365" i="1"/>
  <c r="AB365" i="1"/>
  <c r="AA365" i="1"/>
  <c r="Z365" i="1"/>
  <c r="X365" i="1"/>
  <c r="W365" i="1"/>
  <c r="V365" i="1"/>
  <c r="U365" i="1"/>
  <c r="S365" i="1"/>
  <c r="R365" i="1"/>
  <c r="Q365" i="1"/>
  <c r="P365" i="1"/>
  <c r="N365" i="1"/>
  <c r="M365" i="1"/>
  <c r="L365" i="1"/>
  <c r="K365" i="1"/>
  <c r="AW364" i="1"/>
  <c r="AV364" i="1"/>
  <c r="AU364" i="1"/>
  <c r="AT364" i="1"/>
  <c r="AR364" i="1"/>
  <c r="AQ364" i="1"/>
  <c r="AP364" i="1"/>
  <c r="AO364" i="1"/>
  <c r="AM364" i="1"/>
  <c r="AL364" i="1"/>
  <c r="AK364" i="1"/>
  <c r="AJ364" i="1"/>
  <c r="AH364" i="1"/>
  <c r="AG364" i="1"/>
  <c r="AF364" i="1"/>
  <c r="AE364" i="1"/>
  <c r="AC364" i="1"/>
  <c r="AB364" i="1"/>
  <c r="AA364" i="1"/>
  <c r="Z364" i="1"/>
  <c r="X364" i="1"/>
  <c r="W364" i="1"/>
  <c r="V364" i="1"/>
  <c r="U364" i="1"/>
  <c r="S364" i="1"/>
  <c r="R364" i="1"/>
  <c r="Q364" i="1"/>
  <c r="P364" i="1"/>
  <c r="N364" i="1"/>
  <c r="M364" i="1"/>
  <c r="L364" i="1"/>
  <c r="K364" i="1"/>
  <c r="AW363" i="1"/>
  <c r="AV363" i="1"/>
  <c r="AU363" i="1"/>
  <c r="AT363" i="1"/>
  <c r="AR363" i="1"/>
  <c r="AQ363" i="1"/>
  <c r="AP363" i="1"/>
  <c r="AO363" i="1"/>
  <c r="AM363" i="1"/>
  <c r="AL363" i="1"/>
  <c r="AK363" i="1"/>
  <c r="AJ363" i="1"/>
  <c r="AH363" i="1"/>
  <c r="AG363" i="1"/>
  <c r="AF363" i="1"/>
  <c r="AE363" i="1"/>
  <c r="AC363" i="1"/>
  <c r="AB363" i="1"/>
  <c r="AA363" i="1"/>
  <c r="Z363" i="1"/>
  <c r="X363" i="1"/>
  <c r="W363" i="1"/>
  <c r="V363" i="1"/>
  <c r="U363" i="1"/>
  <c r="S363" i="1"/>
  <c r="R363" i="1"/>
  <c r="Q363" i="1"/>
  <c r="P363" i="1"/>
  <c r="N363" i="1"/>
  <c r="M363" i="1"/>
  <c r="L363" i="1"/>
  <c r="K363" i="1"/>
  <c r="AW362" i="1"/>
  <c r="AV362" i="1"/>
  <c r="AU362" i="1"/>
  <c r="AT362" i="1"/>
  <c r="AR362" i="1"/>
  <c r="AQ362" i="1"/>
  <c r="AP362" i="1"/>
  <c r="AO362" i="1"/>
  <c r="AM362" i="1"/>
  <c r="AL362" i="1"/>
  <c r="AK362" i="1"/>
  <c r="AJ362" i="1"/>
  <c r="AH362" i="1"/>
  <c r="AG362" i="1"/>
  <c r="AF362" i="1"/>
  <c r="AE362" i="1"/>
  <c r="AC362" i="1"/>
  <c r="AB362" i="1"/>
  <c r="AA362" i="1"/>
  <c r="Z362" i="1"/>
  <c r="X362" i="1"/>
  <c r="W362" i="1"/>
  <c r="V362" i="1"/>
  <c r="U362" i="1"/>
  <c r="S362" i="1"/>
  <c r="R362" i="1"/>
  <c r="Q362" i="1"/>
  <c r="P362" i="1"/>
  <c r="N362" i="1"/>
  <c r="M362" i="1"/>
  <c r="L362" i="1"/>
  <c r="K362" i="1"/>
  <c r="AW361" i="1"/>
  <c r="AV361" i="1"/>
  <c r="AU361" i="1"/>
  <c r="AT361" i="1"/>
  <c r="AR361" i="1"/>
  <c r="AQ361" i="1"/>
  <c r="AP361" i="1"/>
  <c r="AO361" i="1"/>
  <c r="AM361" i="1"/>
  <c r="AL361" i="1"/>
  <c r="AK361" i="1"/>
  <c r="AJ361" i="1"/>
  <c r="AH361" i="1"/>
  <c r="AG361" i="1"/>
  <c r="AF361" i="1"/>
  <c r="AE361" i="1"/>
  <c r="AC361" i="1"/>
  <c r="AB361" i="1"/>
  <c r="AA361" i="1"/>
  <c r="Z361" i="1"/>
  <c r="X361" i="1"/>
  <c r="W361" i="1"/>
  <c r="V361" i="1"/>
  <c r="U361" i="1"/>
  <c r="S361" i="1"/>
  <c r="R361" i="1"/>
  <c r="Q361" i="1"/>
  <c r="P361" i="1"/>
  <c r="N361" i="1"/>
  <c r="M361" i="1"/>
  <c r="L361" i="1"/>
  <c r="K361" i="1"/>
  <c r="AW360" i="1"/>
  <c r="AV360" i="1"/>
  <c r="AU360" i="1"/>
  <c r="AT360" i="1"/>
  <c r="AR360" i="1"/>
  <c r="AQ360" i="1"/>
  <c r="AP360" i="1"/>
  <c r="AO360" i="1"/>
  <c r="AM360" i="1"/>
  <c r="AL360" i="1"/>
  <c r="AK360" i="1"/>
  <c r="AJ360" i="1"/>
  <c r="AH360" i="1"/>
  <c r="AG360" i="1"/>
  <c r="AF360" i="1"/>
  <c r="AE360" i="1"/>
  <c r="AC360" i="1"/>
  <c r="AB360" i="1"/>
  <c r="AA360" i="1"/>
  <c r="Z360" i="1"/>
  <c r="X360" i="1"/>
  <c r="W360" i="1"/>
  <c r="V360" i="1"/>
  <c r="U360" i="1"/>
  <c r="S360" i="1"/>
  <c r="R360" i="1"/>
  <c r="Q360" i="1"/>
  <c r="P360" i="1"/>
  <c r="N360" i="1"/>
  <c r="M360" i="1"/>
  <c r="L360" i="1"/>
  <c r="K360" i="1"/>
  <c r="AW359" i="1"/>
  <c r="AV359" i="1"/>
  <c r="AU359" i="1"/>
  <c r="AT359" i="1"/>
  <c r="AR359" i="1"/>
  <c r="AQ359" i="1"/>
  <c r="AP359" i="1"/>
  <c r="AO359" i="1"/>
  <c r="AM359" i="1"/>
  <c r="AL359" i="1"/>
  <c r="AK359" i="1"/>
  <c r="AJ359" i="1"/>
  <c r="AH359" i="1"/>
  <c r="AG359" i="1"/>
  <c r="AF359" i="1"/>
  <c r="AE359" i="1"/>
  <c r="AC359" i="1"/>
  <c r="AB359" i="1"/>
  <c r="AA359" i="1"/>
  <c r="Z359" i="1"/>
  <c r="X359" i="1"/>
  <c r="W359" i="1"/>
  <c r="V359" i="1"/>
  <c r="U359" i="1"/>
  <c r="S359" i="1"/>
  <c r="R359" i="1"/>
  <c r="Q359" i="1"/>
  <c r="P359" i="1"/>
  <c r="N359" i="1"/>
  <c r="M359" i="1"/>
  <c r="L359" i="1"/>
  <c r="K359" i="1"/>
  <c r="AW358" i="1"/>
  <c r="AV358" i="1"/>
  <c r="AU358" i="1"/>
  <c r="AT358" i="1"/>
  <c r="AR358" i="1"/>
  <c r="AQ358" i="1"/>
  <c r="AP358" i="1"/>
  <c r="AO358" i="1"/>
  <c r="AM358" i="1"/>
  <c r="AL358" i="1"/>
  <c r="AK358" i="1"/>
  <c r="AJ358" i="1"/>
  <c r="AH358" i="1"/>
  <c r="AG358" i="1"/>
  <c r="AF358" i="1"/>
  <c r="AE358" i="1"/>
  <c r="AC358" i="1"/>
  <c r="AB358" i="1"/>
  <c r="AA358" i="1"/>
  <c r="Z358" i="1"/>
  <c r="X358" i="1"/>
  <c r="W358" i="1"/>
  <c r="V358" i="1"/>
  <c r="U358" i="1"/>
  <c r="S358" i="1"/>
  <c r="R358" i="1"/>
  <c r="Q358" i="1"/>
  <c r="P358" i="1"/>
  <c r="N358" i="1"/>
  <c r="M358" i="1"/>
  <c r="L358" i="1"/>
  <c r="K358" i="1"/>
  <c r="AW357" i="1"/>
  <c r="AV357" i="1"/>
  <c r="AU357" i="1"/>
  <c r="AT357" i="1"/>
  <c r="AR357" i="1"/>
  <c r="AQ357" i="1"/>
  <c r="AP357" i="1"/>
  <c r="AO357" i="1"/>
  <c r="AM357" i="1"/>
  <c r="AL357" i="1"/>
  <c r="AK357" i="1"/>
  <c r="AJ357" i="1"/>
  <c r="AH357" i="1"/>
  <c r="AG357" i="1"/>
  <c r="AF357" i="1"/>
  <c r="AE357" i="1"/>
  <c r="AC357" i="1"/>
  <c r="AB357" i="1"/>
  <c r="AA357" i="1"/>
  <c r="Z357" i="1"/>
  <c r="X357" i="1"/>
  <c r="W357" i="1"/>
  <c r="V357" i="1"/>
  <c r="U357" i="1"/>
  <c r="S357" i="1"/>
  <c r="R357" i="1"/>
  <c r="Q357" i="1"/>
  <c r="P357" i="1"/>
  <c r="N357" i="1"/>
  <c r="M357" i="1"/>
  <c r="L357" i="1"/>
  <c r="K357" i="1"/>
  <c r="AW356" i="1"/>
  <c r="AV356" i="1"/>
  <c r="AU356" i="1"/>
  <c r="AT356" i="1"/>
  <c r="AR356" i="1"/>
  <c r="AQ356" i="1"/>
  <c r="AP356" i="1"/>
  <c r="AO356" i="1"/>
  <c r="AM356" i="1"/>
  <c r="AL356" i="1"/>
  <c r="AK356" i="1"/>
  <c r="AJ356" i="1"/>
  <c r="AH356" i="1"/>
  <c r="AG356" i="1"/>
  <c r="AF356" i="1"/>
  <c r="AE356" i="1"/>
  <c r="AC356" i="1"/>
  <c r="AB356" i="1"/>
  <c r="AA356" i="1"/>
  <c r="Z356" i="1"/>
  <c r="X356" i="1"/>
  <c r="W356" i="1"/>
  <c r="V356" i="1"/>
  <c r="U356" i="1"/>
  <c r="S356" i="1"/>
  <c r="R356" i="1"/>
  <c r="Q356" i="1"/>
  <c r="P356" i="1"/>
  <c r="N356" i="1"/>
  <c r="M356" i="1"/>
  <c r="L356" i="1"/>
  <c r="K356" i="1"/>
  <c r="AW355" i="1"/>
  <c r="AV355" i="1"/>
  <c r="AU355" i="1"/>
  <c r="AT355" i="1"/>
  <c r="AR355" i="1"/>
  <c r="AQ355" i="1"/>
  <c r="AP355" i="1"/>
  <c r="AO355" i="1"/>
  <c r="AM355" i="1"/>
  <c r="AL355" i="1"/>
  <c r="AK355" i="1"/>
  <c r="AJ355" i="1"/>
  <c r="AH355" i="1"/>
  <c r="AG355" i="1"/>
  <c r="AF355" i="1"/>
  <c r="AE355" i="1"/>
  <c r="AC355" i="1"/>
  <c r="AB355" i="1"/>
  <c r="AA355" i="1"/>
  <c r="Z355" i="1"/>
  <c r="X355" i="1"/>
  <c r="W355" i="1"/>
  <c r="V355" i="1"/>
  <c r="U355" i="1"/>
  <c r="S355" i="1"/>
  <c r="R355" i="1"/>
  <c r="Q355" i="1"/>
  <c r="P355" i="1"/>
  <c r="N355" i="1"/>
  <c r="M355" i="1"/>
  <c r="L355" i="1"/>
  <c r="K355" i="1"/>
  <c r="AW354" i="1"/>
  <c r="AV354" i="1"/>
  <c r="AU354" i="1"/>
  <c r="AT354" i="1"/>
  <c r="AR354" i="1"/>
  <c r="AQ354" i="1"/>
  <c r="AP354" i="1"/>
  <c r="AO354" i="1"/>
  <c r="AM354" i="1"/>
  <c r="AL354" i="1"/>
  <c r="AK354" i="1"/>
  <c r="AJ354" i="1"/>
  <c r="AH354" i="1"/>
  <c r="AG354" i="1"/>
  <c r="AF354" i="1"/>
  <c r="AE354" i="1"/>
  <c r="AC354" i="1"/>
  <c r="AB354" i="1"/>
  <c r="AA354" i="1"/>
  <c r="Z354" i="1"/>
  <c r="X354" i="1"/>
  <c r="W354" i="1"/>
  <c r="V354" i="1"/>
  <c r="U354" i="1"/>
  <c r="S354" i="1"/>
  <c r="R354" i="1"/>
  <c r="Q354" i="1"/>
  <c r="P354" i="1"/>
  <c r="N354" i="1"/>
  <c r="M354" i="1"/>
  <c r="L354" i="1"/>
  <c r="K354" i="1"/>
  <c r="AW353" i="1"/>
  <c r="AV353" i="1"/>
  <c r="AU353" i="1"/>
  <c r="AT353" i="1"/>
  <c r="AR353" i="1"/>
  <c r="AQ353" i="1"/>
  <c r="AP353" i="1"/>
  <c r="AO353" i="1"/>
  <c r="AM353" i="1"/>
  <c r="AL353" i="1"/>
  <c r="AK353" i="1"/>
  <c r="AJ353" i="1"/>
  <c r="AH353" i="1"/>
  <c r="AG353" i="1"/>
  <c r="AF353" i="1"/>
  <c r="AE353" i="1"/>
  <c r="AC353" i="1"/>
  <c r="AB353" i="1"/>
  <c r="AA353" i="1"/>
  <c r="Z353" i="1"/>
  <c r="X353" i="1"/>
  <c r="W353" i="1"/>
  <c r="V353" i="1"/>
  <c r="U353" i="1"/>
  <c r="S353" i="1"/>
  <c r="R353" i="1"/>
  <c r="Q353" i="1"/>
  <c r="P353" i="1"/>
  <c r="N353" i="1"/>
  <c r="M353" i="1"/>
  <c r="L353" i="1"/>
  <c r="K353" i="1"/>
  <c r="AW352" i="1"/>
  <c r="AV352" i="1"/>
  <c r="AU352" i="1"/>
  <c r="AT352" i="1"/>
  <c r="AR352" i="1"/>
  <c r="AQ352" i="1"/>
  <c r="AP352" i="1"/>
  <c r="AO352" i="1"/>
  <c r="AM352" i="1"/>
  <c r="AL352" i="1"/>
  <c r="AK352" i="1"/>
  <c r="AJ352" i="1"/>
  <c r="AH352" i="1"/>
  <c r="AG352" i="1"/>
  <c r="AF352" i="1"/>
  <c r="AE352" i="1"/>
  <c r="AC352" i="1"/>
  <c r="AB352" i="1"/>
  <c r="AA352" i="1"/>
  <c r="Z352" i="1"/>
  <c r="X352" i="1"/>
  <c r="W352" i="1"/>
  <c r="V352" i="1"/>
  <c r="U352" i="1"/>
  <c r="S352" i="1"/>
  <c r="R352" i="1"/>
  <c r="Q352" i="1"/>
  <c r="P352" i="1"/>
  <c r="N352" i="1"/>
  <c r="M352" i="1"/>
  <c r="L352" i="1"/>
  <c r="K352" i="1"/>
  <c r="AW351" i="1"/>
  <c r="AV351" i="1"/>
  <c r="AU351" i="1"/>
  <c r="AT351" i="1"/>
  <c r="AR351" i="1"/>
  <c r="AQ351" i="1"/>
  <c r="AP351" i="1"/>
  <c r="AO351" i="1"/>
  <c r="AM351" i="1"/>
  <c r="AL351" i="1"/>
  <c r="AK351" i="1"/>
  <c r="AJ351" i="1"/>
  <c r="AH351" i="1"/>
  <c r="AG351" i="1"/>
  <c r="AF351" i="1"/>
  <c r="AE351" i="1"/>
  <c r="AC351" i="1"/>
  <c r="AB351" i="1"/>
  <c r="AA351" i="1"/>
  <c r="Z351" i="1"/>
  <c r="X351" i="1"/>
  <c r="W351" i="1"/>
  <c r="V351" i="1"/>
  <c r="U351" i="1"/>
  <c r="S351" i="1"/>
  <c r="R351" i="1"/>
  <c r="Q351" i="1"/>
  <c r="P351" i="1"/>
  <c r="N351" i="1"/>
  <c r="M351" i="1"/>
  <c r="L351" i="1"/>
  <c r="K351" i="1"/>
  <c r="AW350" i="1"/>
  <c r="AV350" i="1"/>
  <c r="AU350" i="1"/>
  <c r="AT350" i="1"/>
  <c r="AR350" i="1"/>
  <c r="AQ350" i="1"/>
  <c r="AP350" i="1"/>
  <c r="AO350" i="1"/>
  <c r="AM350" i="1"/>
  <c r="AL350" i="1"/>
  <c r="AK350" i="1"/>
  <c r="AJ350" i="1"/>
  <c r="AH350" i="1"/>
  <c r="AG350" i="1"/>
  <c r="AF350" i="1"/>
  <c r="AE350" i="1"/>
  <c r="AC350" i="1"/>
  <c r="AB350" i="1"/>
  <c r="AA350" i="1"/>
  <c r="Z350" i="1"/>
  <c r="X350" i="1"/>
  <c r="W350" i="1"/>
  <c r="V350" i="1"/>
  <c r="U350" i="1"/>
  <c r="S350" i="1"/>
  <c r="R350" i="1"/>
  <c r="Q350" i="1"/>
  <c r="P350" i="1"/>
  <c r="N350" i="1"/>
  <c r="M350" i="1"/>
  <c r="L350" i="1"/>
  <c r="K350" i="1"/>
  <c r="AW349" i="1"/>
  <c r="AV349" i="1"/>
  <c r="AU349" i="1"/>
  <c r="AT349" i="1"/>
  <c r="AR349" i="1"/>
  <c r="AQ349" i="1"/>
  <c r="AP349" i="1"/>
  <c r="AO349" i="1"/>
  <c r="AM349" i="1"/>
  <c r="AL349" i="1"/>
  <c r="AK349" i="1"/>
  <c r="AJ349" i="1"/>
  <c r="AH349" i="1"/>
  <c r="AG349" i="1"/>
  <c r="AF349" i="1"/>
  <c r="AE349" i="1"/>
  <c r="AC349" i="1"/>
  <c r="AB349" i="1"/>
  <c r="AA349" i="1"/>
  <c r="Z349" i="1"/>
  <c r="X349" i="1"/>
  <c r="W349" i="1"/>
  <c r="V349" i="1"/>
  <c r="U349" i="1"/>
  <c r="S349" i="1"/>
  <c r="R349" i="1"/>
  <c r="Q349" i="1"/>
  <c r="P349" i="1"/>
  <c r="N349" i="1"/>
  <c r="M349" i="1"/>
  <c r="L349" i="1"/>
  <c r="K349" i="1"/>
  <c r="AW348" i="1"/>
  <c r="AV348" i="1"/>
  <c r="AU348" i="1"/>
  <c r="AT348" i="1"/>
  <c r="AR348" i="1"/>
  <c r="AQ348" i="1"/>
  <c r="AP348" i="1"/>
  <c r="AO348" i="1"/>
  <c r="AM348" i="1"/>
  <c r="AL348" i="1"/>
  <c r="AK348" i="1"/>
  <c r="AJ348" i="1"/>
  <c r="AH348" i="1"/>
  <c r="AG348" i="1"/>
  <c r="AF348" i="1"/>
  <c r="AE348" i="1"/>
  <c r="AC348" i="1"/>
  <c r="AB348" i="1"/>
  <c r="AA348" i="1"/>
  <c r="Z348" i="1"/>
  <c r="X348" i="1"/>
  <c r="W348" i="1"/>
  <c r="V348" i="1"/>
  <c r="U348" i="1"/>
  <c r="S348" i="1"/>
  <c r="R348" i="1"/>
  <c r="Q348" i="1"/>
  <c r="P348" i="1"/>
  <c r="N348" i="1"/>
  <c r="M348" i="1"/>
  <c r="L348" i="1"/>
  <c r="K348" i="1"/>
  <c r="AW347" i="1"/>
  <c r="AV347" i="1"/>
  <c r="AU347" i="1"/>
  <c r="AT347" i="1"/>
  <c r="AR347" i="1"/>
  <c r="AQ347" i="1"/>
  <c r="AP347" i="1"/>
  <c r="AO347" i="1"/>
  <c r="AM347" i="1"/>
  <c r="AL347" i="1"/>
  <c r="AK347" i="1"/>
  <c r="AJ347" i="1"/>
  <c r="AH347" i="1"/>
  <c r="AG347" i="1"/>
  <c r="AF347" i="1"/>
  <c r="AE347" i="1"/>
  <c r="AC347" i="1"/>
  <c r="AB347" i="1"/>
  <c r="AA347" i="1"/>
  <c r="Z347" i="1"/>
  <c r="X347" i="1"/>
  <c r="W347" i="1"/>
  <c r="V347" i="1"/>
  <c r="U347" i="1"/>
  <c r="S347" i="1"/>
  <c r="R347" i="1"/>
  <c r="Q347" i="1"/>
  <c r="P347" i="1"/>
  <c r="N347" i="1"/>
  <c r="M347" i="1"/>
  <c r="L347" i="1"/>
  <c r="K347" i="1"/>
  <c r="AW346" i="1"/>
  <c r="AV346" i="1"/>
  <c r="AU346" i="1"/>
  <c r="AT346" i="1"/>
  <c r="AR346" i="1"/>
  <c r="AQ346" i="1"/>
  <c r="AP346" i="1"/>
  <c r="AO346" i="1"/>
  <c r="AM346" i="1"/>
  <c r="AL346" i="1"/>
  <c r="AK346" i="1"/>
  <c r="AJ346" i="1"/>
  <c r="AH346" i="1"/>
  <c r="AG346" i="1"/>
  <c r="AF346" i="1"/>
  <c r="AE346" i="1"/>
  <c r="AC346" i="1"/>
  <c r="AB346" i="1"/>
  <c r="AA346" i="1"/>
  <c r="Z346" i="1"/>
  <c r="X346" i="1"/>
  <c r="W346" i="1"/>
  <c r="V346" i="1"/>
  <c r="U346" i="1"/>
  <c r="S346" i="1"/>
  <c r="R346" i="1"/>
  <c r="Q346" i="1"/>
  <c r="P346" i="1"/>
  <c r="N346" i="1"/>
  <c r="M346" i="1"/>
  <c r="L346" i="1"/>
  <c r="K346" i="1"/>
  <c r="AW345" i="1"/>
  <c r="AV345" i="1"/>
  <c r="AU345" i="1"/>
  <c r="AT345" i="1"/>
  <c r="AR345" i="1"/>
  <c r="AQ345" i="1"/>
  <c r="AP345" i="1"/>
  <c r="AO345" i="1"/>
  <c r="AM345" i="1"/>
  <c r="AL345" i="1"/>
  <c r="AK345" i="1"/>
  <c r="AJ345" i="1"/>
  <c r="AH345" i="1"/>
  <c r="AG345" i="1"/>
  <c r="AF345" i="1"/>
  <c r="AE345" i="1"/>
  <c r="AC345" i="1"/>
  <c r="AB345" i="1"/>
  <c r="AA345" i="1"/>
  <c r="Z345" i="1"/>
  <c r="X345" i="1"/>
  <c r="W345" i="1"/>
  <c r="V345" i="1"/>
  <c r="U345" i="1"/>
  <c r="S345" i="1"/>
  <c r="R345" i="1"/>
  <c r="Q345" i="1"/>
  <c r="P345" i="1"/>
  <c r="N345" i="1"/>
  <c r="M345" i="1"/>
  <c r="L345" i="1"/>
  <c r="K345" i="1"/>
  <c r="AW344" i="1"/>
  <c r="AV344" i="1"/>
  <c r="AU344" i="1"/>
  <c r="AT344" i="1"/>
  <c r="AR344" i="1"/>
  <c r="AQ344" i="1"/>
  <c r="AP344" i="1"/>
  <c r="AO344" i="1"/>
  <c r="AM344" i="1"/>
  <c r="AL344" i="1"/>
  <c r="AK344" i="1"/>
  <c r="AJ344" i="1"/>
  <c r="AH344" i="1"/>
  <c r="AG344" i="1"/>
  <c r="AF344" i="1"/>
  <c r="AE344" i="1"/>
  <c r="AC344" i="1"/>
  <c r="AB344" i="1"/>
  <c r="AA344" i="1"/>
  <c r="Z344" i="1"/>
  <c r="X344" i="1"/>
  <c r="W344" i="1"/>
  <c r="V344" i="1"/>
  <c r="U344" i="1"/>
  <c r="S344" i="1"/>
  <c r="R344" i="1"/>
  <c r="Q344" i="1"/>
  <c r="P344" i="1"/>
  <c r="N344" i="1"/>
  <c r="M344" i="1"/>
  <c r="L344" i="1"/>
  <c r="K344" i="1"/>
  <c r="AW343" i="1"/>
  <c r="AV343" i="1"/>
  <c r="AU343" i="1"/>
  <c r="AT343" i="1"/>
  <c r="AR343" i="1"/>
  <c r="AQ343" i="1"/>
  <c r="AP343" i="1"/>
  <c r="AO343" i="1"/>
  <c r="AM343" i="1"/>
  <c r="AL343" i="1"/>
  <c r="AK343" i="1"/>
  <c r="AJ343" i="1"/>
  <c r="AH343" i="1"/>
  <c r="AG343" i="1"/>
  <c r="AF343" i="1"/>
  <c r="AE343" i="1"/>
  <c r="AC343" i="1"/>
  <c r="AB343" i="1"/>
  <c r="AA343" i="1"/>
  <c r="Z343" i="1"/>
  <c r="X343" i="1"/>
  <c r="W343" i="1"/>
  <c r="V343" i="1"/>
  <c r="U343" i="1"/>
  <c r="S343" i="1"/>
  <c r="R343" i="1"/>
  <c r="Q343" i="1"/>
  <c r="P343" i="1"/>
  <c r="N343" i="1"/>
  <c r="M343" i="1"/>
  <c r="L343" i="1"/>
  <c r="K343" i="1"/>
  <c r="AW342" i="1"/>
  <c r="AV342" i="1"/>
  <c r="AU342" i="1"/>
  <c r="AT342" i="1"/>
  <c r="AR342" i="1"/>
  <c r="AQ342" i="1"/>
  <c r="AP342" i="1"/>
  <c r="AO342" i="1"/>
  <c r="AM342" i="1"/>
  <c r="AL342" i="1"/>
  <c r="AK342" i="1"/>
  <c r="AJ342" i="1"/>
  <c r="AH342" i="1"/>
  <c r="AG342" i="1"/>
  <c r="AF342" i="1"/>
  <c r="AE342" i="1"/>
  <c r="AC342" i="1"/>
  <c r="AB342" i="1"/>
  <c r="AA342" i="1"/>
  <c r="Z342" i="1"/>
  <c r="X342" i="1"/>
  <c r="W342" i="1"/>
  <c r="V342" i="1"/>
  <c r="U342" i="1"/>
  <c r="S342" i="1"/>
  <c r="R342" i="1"/>
  <c r="Q342" i="1"/>
  <c r="P342" i="1"/>
  <c r="N342" i="1"/>
  <c r="M342" i="1"/>
  <c r="L342" i="1"/>
  <c r="K342" i="1"/>
  <c r="AW341" i="1"/>
  <c r="AV341" i="1"/>
  <c r="AU341" i="1"/>
  <c r="AT341" i="1"/>
  <c r="AR341" i="1"/>
  <c r="AQ341" i="1"/>
  <c r="AP341" i="1"/>
  <c r="AO341" i="1"/>
  <c r="AM341" i="1"/>
  <c r="AL341" i="1"/>
  <c r="AK341" i="1"/>
  <c r="AJ341" i="1"/>
  <c r="AH341" i="1"/>
  <c r="AG341" i="1"/>
  <c r="AF341" i="1"/>
  <c r="AE341" i="1"/>
  <c r="AC341" i="1"/>
  <c r="AB341" i="1"/>
  <c r="AA341" i="1"/>
  <c r="Z341" i="1"/>
  <c r="X341" i="1"/>
  <c r="W341" i="1"/>
  <c r="V341" i="1"/>
  <c r="U341" i="1"/>
  <c r="S341" i="1"/>
  <c r="R341" i="1"/>
  <c r="Q341" i="1"/>
  <c r="P341" i="1"/>
  <c r="N341" i="1"/>
  <c r="M341" i="1"/>
  <c r="L341" i="1"/>
  <c r="K341" i="1"/>
  <c r="AW340" i="1"/>
  <c r="AV340" i="1"/>
  <c r="AU340" i="1"/>
  <c r="AT340" i="1"/>
  <c r="AR340" i="1"/>
  <c r="AQ340" i="1"/>
  <c r="AP340" i="1"/>
  <c r="AO340" i="1"/>
  <c r="AM340" i="1"/>
  <c r="AL340" i="1"/>
  <c r="AK340" i="1"/>
  <c r="AJ340" i="1"/>
  <c r="AH340" i="1"/>
  <c r="AG340" i="1"/>
  <c r="AF340" i="1"/>
  <c r="AE340" i="1"/>
  <c r="AC340" i="1"/>
  <c r="AB340" i="1"/>
  <c r="AA340" i="1"/>
  <c r="Z340" i="1"/>
  <c r="X340" i="1"/>
  <c r="W340" i="1"/>
  <c r="V340" i="1"/>
  <c r="U340" i="1"/>
  <c r="S340" i="1"/>
  <c r="R340" i="1"/>
  <c r="Q340" i="1"/>
  <c r="P340" i="1"/>
  <c r="N340" i="1"/>
  <c r="M340" i="1"/>
  <c r="L340" i="1"/>
  <c r="K340" i="1"/>
  <c r="AW339" i="1"/>
  <c r="AV339" i="1"/>
  <c r="AU339" i="1"/>
  <c r="AT339" i="1"/>
  <c r="AR339" i="1"/>
  <c r="AQ339" i="1"/>
  <c r="AP339" i="1"/>
  <c r="AO339" i="1"/>
  <c r="AM339" i="1"/>
  <c r="AL339" i="1"/>
  <c r="AK339" i="1"/>
  <c r="AJ339" i="1"/>
  <c r="AH339" i="1"/>
  <c r="AG339" i="1"/>
  <c r="AF339" i="1"/>
  <c r="AE339" i="1"/>
  <c r="AC339" i="1"/>
  <c r="AB339" i="1"/>
  <c r="AA339" i="1"/>
  <c r="Z339" i="1"/>
  <c r="X339" i="1"/>
  <c r="W339" i="1"/>
  <c r="V339" i="1"/>
  <c r="U339" i="1"/>
  <c r="S339" i="1"/>
  <c r="R339" i="1"/>
  <c r="Q339" i="1"/>
  <c r="P339" i="1"/>
  <c r="N339" i="1"/>
  <c r="M339" i="1"/>
  <c r="L339" i="1"/>
  <c r="K339" i="1"/>
  <c r="AW338" i="1"/>
  <c r="AV338" i="1"/>
  <c r="AU338" i="1"/>
  <c r="AT338" i="1"/>
  <c r="AR338" i="1"/>
  <c r="AQ338" i="1"/>
  <c r="AP338" i="1"/>
  <c r="AO338" i="1"/>
  <c r="AM338" i="1"/>
  <c r="AL338" i="1"/>
  <c r="AK338" i="1"/>
  <c r="AJ338" i="1"/>
  <c r="AH338" i="1"/>
  <c r="AG338" i="1"/>
  <c r="AF338" i="1"/>
  <c r="AE338" i="1"/>
  <c r="AC338" i="1"/>
  <c r="AB338" i="1"/>
  <c r="AA338" i="1"/>
  <c r="Z338" i="1"/>
  <c r="X338" i="1"/>
  <c r="W338" i="1"/>
  <c r="V338" i="1"/>
  <c r="U338" i="1"/>
  <c r="S338" i="1"/>
  <c r="R338" i="1"/>
  <c r="Q338" i="1"/>
  <c r="P338" i="1"/>
  <c r="N338" i="1"/>
  <c r="M338" i="1"/>
  <c r="L338" i="1"/>
  <c r="K338" i="1"/>
  <c r="AW337" i="1"/>
  <c r="AV337" i="1"/>
  <c r="AU337" i="1"/>
  <c r="AT337" i="1"/>
  <c r="AR337" i="1"/>
  <c r="AQ337" i="1"/>
  <c r="AP337" i="1"/>
  <c r="AO337" i="1"/>
  <c r="AM337" i="1"/>
  <c r="AL337" i="1"/>
  <c r="AK337" i="1"/>
  <c r="AJ337" i="1"/>
  <c r="AH337" i="1"/>
  <c r="AG337" i="1"/>
  <c r="AF337" i="1"/>
  <c r="AE337" i="1"/>
  <c r="AC337" i="1"/>
  <c r="AB337" i="1"/>
  <c r="AA337" i="1"/>
  <c r="Z337" i="1"/>
  <c r="X337" i="1"/>
  <c r="W337" i="1"/>
  <c r="V337" i="1"/>
  <c r="U337" i="1"/>
  <c r="S337" i="1"/>
  <c r="R337" i="1"/>
  <c r="Q337" i="1"/>
  <c r="P337" i="1"/>
  <c r="N337" i="1"/>
  <c r="M337" i="1"/>
  <c r="L337" i="1"/>
  <c r="K337" i="1"/>
  <c r="AW336" i="1"/>
  <c r="AV336" i="1"/>
  <c r="AU336" i="1"/>
  <c r="AT336" i="1"/>
  <c r="AR336" i="1"/>
  <c r="AQ336" i="1"/>
  <c r="AP336" i="1"/>
  <c r="AO336" i="1"/>
  <c r="AM336" i="1"/>
  <c r="AL336" i="1"/>
  <c r="AK336" i="1"/>
  <c r="AJ336" i="1"/>
  <c r="AH336" i="1"/>
  <c r="AG336" i="1"/>
  <c r="AF336" i="1"/>
  <c r="AE336" i="1"/>
  <c r="AC336" i="1"/>
  <c r="AB336" i="1"/>
  <c r="AA336" i="1"/>
  <c r="Z336" i="1"/>
  <c r="X336" i="1"/>
  <c r="W336" i="1"/>
  <c r="V336" i="1"/>
  <c r="U336" i="1"/>
  <c r="S336" i="1"/>
  <c r="R336" i="1"/>
  <c r="Q336" i="1"/>
  <c r="P336" i="1"/>
  <c r="N336" i="1"/>
  <c r="M336" i="1"/>
  <c r="L336" i="1"/>
  <c r="K336" i="1"/>
  <c r="AW335" i="1"/>
  <c r="AV335" i="1"/>
  <c r="AU335" i="1"/>
  <c r="AT335" i="1"/>
  <c r="AR335" i="1"/>
  <c r="AQ335" i="1"/>
  <c r="AP335" i="1"/>
  <c r="AO335" i="1"/>
  <c r="AM335" i="1"/>
  <c r="AL335" i="1"/>
  <c r="AK335" i="1"/>
  <c r="AJ335" i="1"/>
  <c r="AH335" i="1"/>
  <c r="AG335" i="1"/>
  <c r="AF335" i="1"/>
  <c r="AE335" i="1"/>
  <c r="AC335" i="1"/>
  <c r="AB335" i="1"/>
  <c r="AA335" i="1"/>
  <c r="Z335" i="1"/>
  <c r="X335" i="1"/>
  <c r="W335" i="1"/>
  <c r="V335" i="1"/>
  <c r="U335" i="1"/>
  <c r="S335" i="1"/>
  <c r="R335" i="1"/>
  <c r="Q335" i="1"/>
  <c r="P335" i="1"/>
  <c r="N335" i="1"/>
  <c r="M335" i="1"/>
  <c r="L335" i="1"/>
  <c r="K335" i="1"/>
  <c r="AW334" i="1"/>
  <c r="AV334" i="1"/>
  <c r="AU334" i="1"/>
  <c r="AT334" i="1"/>
  <c r="AR334" i="1"/>
  <c r="AQ334" i="1"/>
  <c r="AP334" i="1"/>
  <c r="AO334" i="1"/>
  <c r="AM334" i="1"/>
  <c r="AL334" i="1"/>
  <c r="AK334" i="1"/>
  <c r="AJ334" i="1"/>
  <c r="AH334" i="1"/>
  <c r="AG334" i="1"/>
  <c r="AF334" i="1"/>
  <c r="AE334" i="1"/>
  <c r="AC334" i="1"/>
  <c r="AB334" i="1"/>
  <c r="AA334" i="1"/>
  <c r="Z334" i="1"/>
  <c r="X334" i="1"/>
  <c r="W334" i="1"/>
  <c r="V334" i="1"/>
  <c r="U334" i="1"/>
  <c r="S334" i="1"/>
  <c r="R334" i="1"/>
  <c r="Q334" i="1"/>
  <c r="P334" i="1"/>
  <c r="N334" i="1"/>
  <c r="M334" i="1"/>
  <c r="L334" i="1"/>
  <c r="K334" i="1"/>
  <c r="AW333" i="1"/>
  <c r="AV333" i="1"/>
  <c r="AU333" i="1"/>
  <c r="AT333" i="1"/>
  <c r="AR333" i="1"/>
  <c r="AQ333" i="1"/>
  <c r="AP333" i="1"/>
  <c r="AO333" i="1"/>
  <c r="AM333" i="1"/>
  <c r="AL333" i="1"/>
  <c r="AK333" i="1"/>
  <c r="AJ333" i="1"/>
  <c r="AH333" i="1"/>
  <c r="AG333" i="1"/>
  <c r="AF333" i="1"/>
  <c r="AE333" i="1"/>
  <c r="AC333" i="1"/>
  <c r="AB333" i="1"/>
  <c r="AA333" i="1"/>
  <c r="Z333" i="1"/>
  <c r="X333" i="1"/>
  <c r="W333" i="1"/>
  <c r="V333" i="1"/>
  <c r="U333" i="1"/>
  <c r="S333" i="1"/>
  <c r="R333" i="1"/>
  <c r="Q333" i="1"/>
  <c r="P333" i="1"/>
  <c r="N333" i="1"/>
  <c r="M333" i="1"/>
  <c r="L333" i="1"/>
  <c r="K333" i="1"/>
  <c r="AW332" i="1"/>
  <c r="AV332" i="1"/>
  <c r="AU332" i="1"/>
  <c r="AT332" i="1"/>
  <c r="AR332" i="1"/>
  <c r="AQ332" i="1"/>
  <c r="AP332" i="1"/>
  <c r="AO332" i="1"/>
  <c r="AM332" i="1"/>
  <c r="AL332" i="1"/>
  <c r="AK332" i="1"/>
  <c r="AJ332" i="1"/>
  <c r="AH332" i="1"/>
  <c r="AG332" i="1"/>
  <c r="AF332" i="1"/>
  <c r="AE332" i="1"/>
  <c r="AC332" i="1"/>
  <c r="AB332" i="1"/>
  <c r="AA332" i="1"/>
  <c r="Z332" i="1"/>
  <c r="X332" i="1"/>
  <c r="W332" i="1"/>
  <c r="V332" i="1"/>
  <c r="U332" i="1"/>
  <c r="S332" i="1"/>
  <c r="R332" i="1"/>
  <c r="Q332" i="1"/>
  <c r="P332" i="1"/>
  <c r="N332" i="1"/>
  <c r="M332" i="1"/>
  <c r="L332" i="1"/>
  <c r="K332" i="1"/>
  <c r="AW331" i="1"/>
  <c r="AV331" i="1"/>
  <c r="AU331" i="1"/>
  <c r="AT331" i="1"/>
  <c r="AR331" i="1"/>
  <c r="AQ331" i="1"/>
  <c r="AP331" i="1"/>
  <c r="AO331" i="1"/>
  <c r="AM331" i="1"/>
  <c r="AL331" i="1"/>
  <c r="AK331" i="1"/>
  <c r="AJ331" i="1"/>
  <c r="AH331" i="1"/>
  <c r="AG331" i="1"/>
  <c r="AF331" i="1"/>
  <c r="AE331" i="1"/>
  <c r="AC331" i="1"/>
  <c r="AB331" i="1"/>
  <c r="AA331" i="1"/>
  <c r="Z331" i="1"/>
  <c r="X331" i="1"/>
  <c r="W331" i="1"/>
  <c r="V331" i="1"/>
  <c r="U331" i="1"/>
  <c r="S331" i="1"/>
  <c r="R331" i="1"/>
  <c r="Q331" i="1"/>
  <c r="P331" i="1"/>
  <c r="N331" i="1"/>
  <c r="M331" i="1"/>
  <c r="L331" i="1"/>
  <c r="K331" i="1"/>
  <c r="AW330" i="1"/>
  <c r="AV330" i="1"/>
  <c r="AU330" i="1"/>
  <c r="AT330" i="1"/>
  <c r="AR330" i="1"/>
  <c r="AQ330" i="1"/>
  <c r="AP330" i="1"/>
  <c r="AO330" i="1"/>
  <c r="AM330" i="1"/>
  <c r="AL330" i="1"/>
  <c r="AK330" i="1"/>
  <c r="AJ330" i="1"/>
  <c r="AH330" i="1"/>
  <c r="AG330" i="1"/>
  <c r="AF330" i="1"/>
  <c r="AE330" i="1"/>
  <c r="AC330" i="1"/>
  <c r="AB330" i="1"/>
  <c r="AA330" i="1"/>
  <c r="Z330" i="1"/>
  <c r="X330" i="1"/>
  <c r="W330" i="1"/>
  <c r="V330" i="1"/>
  <c r="U330" i="1"/>
  <c r="S330" i="1"/>
  <c r="R330" i="1"/>
  <c r="Q330" i="1"/>
  <c r="P330" i="1"/>
  <c r="N330" i="1"/>
  <c r="M330" i="1"/>
  <c r="L330" i="1"/>
  <c r="K330" i="1"/>
  <c r="AW329" i="1"/>
  <c r="AV329" i="1"/>
  <c r="AU329" i="1"/>
  <c r="AT329" i="1"/>
  <c r="AR329" i="1"/>
  <c r="AQ329" i="1"/>
  <c r="AP329" i="1"/>
  <c r="AO329" i="1"/>
  <c r="AM329" i="1"/>
  <c r="AL329" i="1"/>
  <c r="AK329" i="1"/>
  <c r="AJ329" i="1"/>
  <c r="AH329" i="1"/>
  <c r="AG329" i="1"/>
  <c r="AF329" i="1"/>
  <c r="AE329" i="1"/>
  <c r="AC329" i="1"/>
  <c r="AB329" i="1"/>
  <c r="AA329" i="1"/>
  <c r="Z329" i="1"/>
  <c r="X329" i="1"/>
  <c r="W329" i="1"/>
  <c r="V329" i="1"/>
  <c r="U329" i="1"/>
  <c r="S329" i="1"/>
  <c r="R329" i="1"/>
  <c r="Q329" i="1"/>
  <c r="P329" i="1"/>
  <c r="N329" i="1"/>
  <c r="M329" i="1"/>
  <c r="L329" i="1"/>
  <c r="K329" i="1"/>
  <c r="AW328" i="1"/>
  <c r="AV328" i="1"/>
  <c r="AU328" i="1"/>
  <c r="AT328" i="1"/>
  <c r="AR328" i="1"/>
  <c r="AQ328" i="1"/>
  <c r="AP328" i="1"/>
  <c r="AO328" i="1"/>
  <c r="AM328" i="1"/>
  <c r="AL328" i="1"/>
  <c r="AK328" i="1"/>
  <c r="AJ328" i="1"/>
  <c r="AH328" i="1"/>
  <c r="AG328" i="1"/>
  <c r="AF328" i="1"/>
  <c r="AE328" i="1"/>
  <c r="AC328" i="1"/>
  <c r="AB328" i="1"/>
  <c r="AA328" i="1"/>
  <c r="Z328" i="1"/>
  <c r="X328" i="1"/>
  <c r="W328" i="1"/>
  <c r="V328" i="1"/>
  <c r="U328" i="1"/>
  <c r="S328" i="1"/>
  <c r="R328" i="1"/>
  <c r="Q328" i="1"/>
  <c r="P328" i="1"/>
  <c r="N328" i="1"/>
  <c r="M328" i="1"/>
  <c r="L328" i="1"/>
  <c r="K328" i="1"/>
  <c r="AW327" i="1"/>
  <c r="AV327" i="1"/>
  <c r="AU327" i="1"/>
  <c r="AT327" i="1"/>
  <c r="AR327" i="1"/>
  <c r="AQ327" i="1"/>
  <c r="AP327" i="1"/>
  <c r="AO327" i="1"/>
  <c r="AM327" i="1"/>
  <c r="AL327" i="1"/>
  <c r="AK327" i="1"/>
  <c r="AJ327" i="1"/>
  <c r="AH327" i="1"/>
  <c r="AG327" i="1"/>
  <c r="AF327" i="1"/>
  <c r="AE327" i="1"/>
  <c r="AC327" i="1"/>
  <c r="AB327" i="1"/>
  <c r="AA327" i="1"/>
  <c r="Z327" i="1"/>
  <c r="X327" i="1"/>
  <c r="W327" i="1"/>
  <c r="V327" i="1"/>
  <c r="U327" i="1"/>
  <c r="S327" i="1"/>
  <c r="R327" i="1"/>
  <c r="Q327" i="1"/>
  <c r="P327" i="1"/>
  <c r="N327" i="1"/>
  <c r="M327" i="1"/>
  <c r="L327" i="1"/>
  <c r="K327" i="1"/>
  <c r="AW326" i="1"/>
  <c r="AV326" i="1"/>
  <c r="AU326" i="1"/>
  <c r="AT326" i="1"/>
  <c r="AR326" i="1"/>
  <c r="AQ326" i="1"/>
  <c r="AP326" i="1"/>
  <c r="AO326" i="1"/>
  <c r="AM326" i="1"/>
  <c r="AL326" i="1"/>
  <c r="AK326" i="1"/>
  <c r="AJ326" i="1"/>
  <c r="AH326" i="1"/>
  <c r="AG326" i="1"/>
  <c r="AF326" i="1"/>
  <c r="AE326" i="1"/>
  <c r="AC326" i="1"/>
  <c r="AB326" i="1"/>
  <c r="AA326" i="1"/>
  <c r="Z326" i="1"/>
  <c r="X326" i="1"/>
  <c r="W326" i="1"/>
  <c r="V326" i="1"/>
  <c r="U326" i="1"/>
  <c r="S326" i="1"/>
  <c r="R326" i="1"/>
  <c r="Q326" i="1"/>
  <c r="P326" i="1"/>
  <c r="N326" i="1"/>
  <c r="M326" i="1"/>
  <c r="L326" i="1"/>
  <c r="K326" i="1"/>
  <c r="AW325" i="1"/>
  <c r="AV325" i="1"/>
  <c r="AU325" i="1"/>
  <c r="AT325" i="1"/>
  <c r="AR325" i="1"/>
  <c r="AQ325" i="1"/>
  <c r="AP325" i="1"/>
  <c r="AO325" i="1"/>
  <c r="AM325" i="1"/>
  <c r="AL325" i="1"/>
  <c r="AK325" i="1"/>
  <c r="AJ325" i="1"/>
  <c r="AH325" i="1"/>
  <c r="AG325" i="1"/>
  <c r="AF325" i="1"/>
  <c r="AE325" i="1"/>
  <c r="AC325" i="1"/>
  <c r="AB325" i="1"/>
  <c r="AA325" i="1"/>
  <c r="Z325" i="1"/>
  <c r="X325" i="1"/>
  <c r="W325" i="1"/>
  <c r="V325" i="1"/>
  <c r="U325" i="1"/>
  <c r="S325" i="1"/>
  <c r="R325" i="1"/>
  <c r="Q325" i="1"/>
  <c r="P325" i="1"/>
  <c r="N325" i="1"/>
  <c r="M325" i="1"/>
  <c r="L325" i="1"/>
  <c r="K325" i="1"/>
  <c r="AW324" i="1"/>
  <c r="AV324" i="1"/>
  <c r="AU324" i="1"/>
  <c r="AT324" i="1"/>
  <c r="AR324" i="1"/>
  <c r="AQ324" i="1"/>
  <c r="AP324" i="1"/>
  <c r="AO324" i="1"/>
  <c r="AM324" i="1"/>
  <c r="AL324" i="1"/>
  <c r="AK324" i="1"/>
  <c r="AJ324" i="1"/>
  <c r="AH324" i="1"/>
  <c r="AG324" i="1"/>
  <c r="AF324" i="1"/>
  <c r="AE324" i="1"/>
  <c r="AC324" i="1"/>
  <c r="AB324" i="1"/>
  <c r="AA324" i="1"/>
  <c r="Z324" i="1"/>
  <c r="X324" i="1"/>
  <c r="W324" i="1"/>
  <c r="V324" i="1"/>
  <c r="U324" i="1"/>
  <c r="S324" i="1"/>
  <c r="R324" i="1"/>
  <c r="Q324" i="1"/>
  <c r="P324" i="1"/>
  <c r="N324" i="1"/>
  <c r="M324" i="1"/>
  <c r="L324" i="1"/>
  <c r="K324" i="1"/>
  <c r="AW323" i="1"/>
  <c r="AV323" i="1"/>
  <c r="AU323" i="1"/>
  <c r="AT323" i="1"/>
  <c r="AR323" i="1"/>
  <c r="AQ323" i="1"/>
  <c r="AP323" i="1"/>
  <c r="AO323" i="1"/>
  <c r="AM323" i="1"/>
  <c r="AL323" i="1"/>
  <c r="AK323" i="1"/>
  <c r="AJ323" i="1"/>
  <c r="AH323" i="1"/>
  <c r="AG323" i="1"/>
  <c r="AF323" i="1"/>
  <c r="AE323" i="1"/>
  <c r="AC323" i="1"/>
  <c r="AB323" i="1"/>
  <c r="AA323" i="1"/>
  <c r="Z323" i="1"/>
  <c r="X323" i="1"/>
  <c r="W323" i="1"/>
  <c r="V323" i="1"/>
  <c r="U323" i="1"/>
  <c r="S323" i="1"/>
  <c r="R323" i="1"/>
  <c r="Q323" i="1"/>
  <c r="P323" i="1"/>
  <c r="N323" i="1"/>
  <c r="M323" i="1"/>
  <c r="L323" i="1"/>
  <c r="K323" i="1"/>
  <c r="AW322" i="1"/>
  <c r="AV322" i="1"/>
  <c r="AU322" i="1"/>
  <c r="AT322" i="1"/>
  <c r="AR322" i="1"/>
  <c r="AQ322" i="1"/>
  <c r="AP322" i="1"/>
  <c r="AO322" i="1"/>
  <c r="AM322" i="1"/>
  <c r="AL322" i="1"/>
  <c r="AK322" i="1"/>
  <c r="AJ322" i="1"/>
  <c r="AH322" i="1"/>
  <c r="AG322" i="1"/>
  <c r="AF322" i="1"/>
  <c r="AE322" i="1"/>
  <c r="AC322" i="1"/>
  <c r="AB322" i="1"/>
  <c r="AA322" i="1"/>
  <c r="Z322" i="1"/>
  <c r="X322" i="1"/>
  <c r="W322" i="1"/>
  <c r="V322" i="1"/>
  <c r="U322" i="1"/>
  <c r="S322" i="1"/>
  <c r="R322" i="1"/>
  <c r="Q322" i="1"/>
  <c r="P322" i="1"/>
  <c r="N322" i="1"/>
  <c r="M322" i="1"/>
  <c r="L322" i="1"/>
  <c r="K322" i="1"/>
  <c r="AW321" i="1"/>
  <c r="AV321" i="1"/>
  <c r="AU321" i="1"/>
  <c r="AT321" i="1"/>
  <c r="AR321" i="1"/>
  <c r="AQ321" i="1"/>
  <c r="AP321" i="1"/>
  <c r="AO321" i="1"/>
  <c r="AM321" i="1"/>
  <c r="AL321" i="1"/>
  <c r="AK321" i="1"/>
  <c r="AJ321" i="1"/>
  <c r="AH321" i="1"/>
  <c r="AG321" i="1"/>
  <c r="AF321" i="1"/>
  <c r="AE321" i="1"/>
  <c r="AC321" i="1"/>
  <c r="AB321" i="1"/>
  <c r="AA321" i="1"/>
  <c r="Z321" i="1"/>
  <c r="X321" i="1"/>
  <c r="W321" i="1"/>
  <c r="V321" i="1"/>
  <c r="U321" i="1"/>
  <c r="S321" i="1"/>
  <c r="R321" i="1"/>
  <c r="Q321" i="1"/>
  <c r="P321" i="1"/>
  <c r="N321" i="1"/>
  <c r="M321" i="1"/>
  <c r="L321" i="1"/>
  <c r="K321" i="1"/>
  <c r="AW320" i="1"/>
  <c r="AV320" i="1"/>
  <c r="AU320" i="1"/>
  <c r="AT320" i="1"/>
  <c r="AR320" i="1"/>
  <c r="AQ320" i="1"/>
  <c r="AP320" i="1"/>
  <c r="AO320" i="1"/>
  <c r="AM320" i="1"/>
  <c r="AL320" i="1"/>
  <c r="AK320" i="1"/>
  <c r="AJ320" i="1"/>
  <c r="AH320" i="1"/>
  <c r="AG320" i="1"/>
  <c r="AF320" i="1"/>
  <c r="AE320" i="1"/>
  <c r="AC320" i="1"/>
  <c r="AB320" i="1"/>
  <c r="AA320" i="1"/>
  <c r="Z320" i="1"/>
  <c r="X320" i="1"/>
  <c r="W320" i="1"/>
  <c r="V320" i="1"/>
  <c r="U320" i="1"/>
  <c r="S320" i="1"/>
  <c r="R320" i="1"/>
  <c r="Q320" i="1"/>
  <c r="P320" i="1"/>
  <c r="N320" i="1"/>
  <c r="M320" i="1"/>
  <c r="L320" i="1"/>
  <c r="K320" i="1"/>
  <c r="AW319" i="1"/>
  <c r="AV319" i="1"/>
  <c r="AU319" i="1"/>
  <c r="AT319" i="1"/>
  <c r="AR319" i="1"/>
  <c r="AQ319" i="1"/>
  <c r="AP319" i="1"/>
  <c r="AO319" i="1"/>
  <c r="AM319" i="1"/>
  <c r="AL319" i="1"/>
  <c r="AK319" i="1"/>
  <c r="AJ319" i="1"/>
  <c r="AH319" i="1"/>
  <c r="AG319" i="1"/>
  <c r="AF319" i="1"/>
  <c r="AE319" i="1"/>
  <c r="AC319" i="1"/>
  <c r="AB319" i="1"/>
  <c r="AA319" i="1"/>
  <c r="Z319" i="1"/>
  <c r="X319" i="1"/>
  <c r="W319" i="1"/>
  <c r="V319" i="1"/>
  <c r="U319" i="1"/>
  <c r="S319" i="1"/>
  <c r="R319" i="1"/>
  <c r="Q319" i="1"/>
  <c r="P319" i="1"/>
  <c r="N319" i="1"/>
  <c r="M319" i="1"/>
  <c r="L319" i="1"/>
  <c r="K319" i="1"/>
  <c r="AW318" i="1"/>
  <c r="AV318" i="1"/>
  <c r="AU318" i="1"/>
  <c r="AT318" i="1"/>
  <c r="AR318" i="1"/>
  <c r="AQ318" i="1"/>
  <c r="AP318" i="1"/>
  <c r="AO318" i="1"/>
  <c r="AM318" i="1"/>
  <c r="AL318" i="1"/>
  <c r="AK318" i="1"/>
  <c r="AJ318" i="1"/>
  <c r="AH318" i="1"/>
  <c r="AG318" i="1"/>
  <c r="AF318" i="1"/>
  <c r="AE318" i="1"/>
  <c r="AC318" i="1"/>
  <c r="AB318" i="1"/>
  <c r="AA318" i="1"/>
  <c r="Z318" i="1"/>
  <c r="X318" i="1"/>
  <c r="W318" i="1"/>
  <c r="V318" i="1"/>
  <c r="U318" i="1"/>
  <c r="S318" i="1"/>
  <c r="R318" i="1"/>
  <c r="Q318" i="1"/>
  <c r="P318" i="1"/>
  <c r="N318" i="1"/>
  <c r="M318" i="1"/>
  <c r="L318" i="1"/>
  <c r="K318" i="1"/>
  <c r="AW317" i="1"/>
  <c r="AV317" i="1"/>
  <c r="AU317" i="1"/>
  <c r="AT317" i="1"/>
  <c r="AR317" i="1"/>
  <c r="AQ317" i="1"/>
  <c r="AP317" i="1"/>
  <c r="AO317" i="1"/>
  <c r="AM317" i="1"/>
  <c r="AL317" i="1"/>
  <c r="AK317" i="1"/>
  <c r="AJ317" i="1"/>
  <c r="AH317" i="1"/>
  <c r="AG317" i="1"/>
  <c r="AF317" i="1"/>
  <c r="AE317" i="1"/>
  <c r="AC317" i="1"/>
  <c r="AB317" i="1"/>
  <c r="AA317" i="1"/>
  <c r="Z317" i="1"/>
  <c r="X317" i="1"/>
  <c r="W317" i="1"/>
  <c r="V317" i="1"/>
  <c r="U317" i="1"/>
  <c r="S317" i="1"/>
  <c r="R317" i="1"/>
  <c r="Q317" i="1"/>
  <c r="P317" i="1"/>
  <c r="N317" i="1"/>
  <c r="M317" i="1"/>
  <c r="L317" i="1"/>
  <c r="K317" i="1"/>
  <c r="AW316" i="1"/>
  <c r="AV316" i="1"/>
  <c r="AU316" i="1"/>
  <c r="AT316" i="1"/>
  <c r="AR316" i="1"/>
  <c r="AQ316" i="1"/>
  <c r="AP316" i="1"/>
  <c r="AO316" i="1"/>
  <c r="AM316" i="1"/>
  <c r="AL316" i="1"/>
  <c r="AK316" i="1"/>
  <c r="AJ316" i="1"/>
  <c r="AH316" i="1"/>
  <c r="AG316" i="1"/>
  <c r="AF316" i="1"/>
  <c r="AE316" i="1"/>
  <c r="AC316" i="1"/>
  <c r="AB316" i="1"/>
  <c r="AA316" i="1"/>
  <c r="Z316" i="1"/>
  <c r="X316" i="1"/>
  <c r="W316" i="1"/>
  <c r="V316" i="1"/>
  <c r="U316" i="1"/>
  <c r="S316" i="1"/>
  <c r="R316" i="1"/>
  <c r="Q316" i="1"/>
  <c r="P316" i="1"/>
  <c r="N316" i="1"/>
  <c r="M316" i="1"/>
  <c r="L316" i="1"/>
  <c r="K316" i="1"/>
  <c r="AW315" i="1"/>
  <c r="AV315" i="1"/>
  <c r="AU315" i="1"/>
  <c r="AT315" i="1"/>
  <c r="AR315" i="1"/>
  <c r="AQ315" i="1"/>
  <c r="AP315" i="1"/>
  <c r="AO315" i="1"/>
  <c r="AM315" i="1"/>
  <c r="AL315" i="1"/>
  <c r="AK315" i="1"/>
  <c r="AJ315" i="1"/>
  <c r="AH315" i="1"/>
  <c r="AG315" i="1"/>
  <c r="AF315" i="1"/>
  <c r="AE315" i="1"/>
  <c r="AC315" i="1"/>
  <c r="AB315" i="1"/>
  <c r="AA315" i="1"/>
  <c r="Z315" i="1"/>
  <c r="X315" i="1"/>
  <c r="W315" i="1"/>
  <c r="V315" i="1"/>
  <c r="U315" i="1"/>
  <c r="S315" i="1"/>
  <c r="R315" i="1"/>
  <c r="Q315" i="1"/>
  <c r="P315" i="1"/>
  <c r="N315" i="1"/>
  <c r="M315" i="1"/>
  <c r="L315" i="1"/>
  <c r="K315" i="1"/>
  <c r="AW314" i="1"/>
  <c r="AV314" i="1"/>
  <c r="AU314" i="1"/>
  <c r="AT314" i="1"/>
  <c r="AR314" i="1"/>
  <c r="AQ314" i="1"/>
  <c r="AP314" i="1"/>
  <c r="AO314" i="1"/>
  <c r="AM314" i="1"/>
  <c r="AL314" i="1"/>
  <c r="AK314" i="1"/>
  <c r="AJ314" i="1"/>
  <c r="AH314" i="1"/>
  <c r="AG314" i="1"/>
  <c r="AF314" i="1"/>
  <c r="AE314" i="1"/>
  <c r="AC314" i="1"/>
  <c r="AB314" i="1"/>
  <c r="AA314" i="1"/>
  <c r="Z314" i="1"/>
  <c r="X314" i="1"/>
  <c r="W314" i="1"/>
  <c r="V314" i="1"/>
  <c r="U314" i="1"/>
  <c r="S314" i="1"/>
  <c r="R314" i="1"/>
  <c r="Q314" i="1"/>
  <c r="P314" i="1"/>
  <c r="N314" i="1"/>
  <c r="M314" i="1"/>
  <c r="L314" i="1"/>
  <c r="K314" i="1"/>
  <c r="AW313" i="1"/>
  <c r="AV313" i="1"/>
  <c r="AU313" i="1"/>
  <c r="AT313" i="1"/>
  <c r="AR313" i="1"/>
  <c r="AQ313" i="1"/>
  <c r="AP313" i="1"/>
  <c r="AO313" i="1"/>
  <c r="AM313" i="1"/>
  <c r="AL313" i="1"/>
  <c r="AK313" i="1"/>
  <c r="AJ313" i="1"/>
  <c r="AH313" i="1"/>
  <c r="AG313" i="1"/>
  <c r="AF313" i="1"/>
  <c r="AE313" i="1"/>
  <c r="AC313" i="1"/>
  <c r="AB313" i="1"/>
  <c r="AA313" i="1"/>
  <c r="Z313" i="1"/>
  <c r="X313" i="1"/>
  <c r="W313" i="1"/>
  <c r="V313" i="1"/>
  <c r="U313" i="1"/>
  <c r="S313" i="1"/>
  <c r="R313" i="1"/>
  <c r="Q313" i="1"/>
  <c r="P313" i="1"/>
  <c r="N313" i="1"/>
  <c r="M313" i="1"/>
  <c r="L313" i="1"/>
  <c r="K313" i="1"/>
  <c r="AW312" i="1"/>
  <c r="AV312" i="1"/>
  <c r="AU312" i="1"/>
  <c r="AT312" i="1"/>
  <c r="AR312" i="1"/>
  <c r="AQ312" i="1"/>
  <c r="AP312" i="1"/>
  <c r="AO312" i="1"/>
  <c r="AM312" i="1"/>
  <c r="AL312" i="1"/>
  <c r="AK312" i="1"/>
  <c r="AJ312" i="1"/>
  <c r="AH312" i="1"/>
  <c r="AG312" i="1"/>
  <c r="AF312" i="1"/>
  <c r="AE312" i="1"/>
  <c r="AC312" i="1"/>
  <c r="AB312" i="1"/>
  <c r="AA312" i="1"/>
  <c r="Z312" i="1"/>
  <c r="X312" i="1"/>
  <c r="W312" i="1"/>
  <c r="V312" i="1"/>
  <c r="U312" i="1"/>
  <c r="S312" i="1"/>
  <c r="R312" i="1"/>
  <c r="Q312" i="1"/>
  <c r="P312" i="1"/>
  <c r="N312" i="1"/>
  <c r="M312" i="1"/>
  <c r="L312" i="1"/>
  <c r="K312" i="1"/>
  <c r="AW311" i="1"/>
  <c r="AV311" i="1"/>
  <c r="AU311" i="1"/>
  <c r="AT311" i="1"/>
  <c r="AR311" i="1"/>
  <c r="AQ311" i="1"/>
  <c r="AP311" i="1"/>
  <c r="AO311" i="1"/>
  <c r="AM311" i="1"/>
  <c r="AL311" i="1"/>
  <c r="AK311" i="1"/>
  <c r="AJ311" i="1"/>
  <c r="AH311" i="1"/>
  <c r="AG311" i="1"/>
  <c r="AF311" i="1"/>
  <c r="AE311" i="1"/>
  <c r="AC311" i="1"/>
  <c r="AB311" i="1"/>
  <c r="AA311" i="1"/>
  <c r="Z311" i="1"/>
  <c r="X311" i="1"/>
  <c r="W311" i="1"/>
  <c r="V311" i="1"/>
  <c r="U311" i="1"/>
  <c r="S311" i="1"/>
  <c r="R311" i="1"/>
  <c r="Q311" i="1"/>
  <c r="P311" i="1"/>
  <c r="N311" i="1"/>
  <c r="M311" i="1"/>
  <c r="L311" i="1"/>
  <c r="K311" i="1"/>
  <c r="AW310" i="1"/>
  <c r="AV310" i="1"/>
  <c r="AU310" i="1"/>
  <c r="AT310" i="1"/>
  <c r="AR310" i="1"/>
  <c r="AQ310" i="1"/>
  <c r="AP310" i="1"/>
  <c r="AO310" i="1"/>
  <c r="AM310" i="1"/>
  <c r="AL310" i="1"/>
  <c r="AK310" i="1"/>
  <c r="AJ310" i="1"/>
  <c r="AH310" i="1"/>
  <c r="AG310" i="1"/>
  <c r="AF310" i="1"/>
  <c r="AE310" i="1"/>
  <c r="AC310" i="1"/>
  <c r="AB310" i="1"/>
  <c r="AA310" i="1"/>
  <c r="Z310" i="1"/>
  <c r="X310" i="1"/>
  <c r="W310" i="1"/>
  <c r="V310" i="1"/>
  <c r="U310" i="1"/>
  <c r="S310" i="1"/>
  <c r="R310" i="1"/>
  <c r="Q310" i="1"/>
  <c r="P310" i="1"/>
  <c r="N310" i="1"/>
  <c r="M310" i="1"/>
  <c r="L310" i="1"/>
  <c r="K310" i="1"/>
  <c r="AW309" i="1"/>
  <c r="AV309" i="1"/>
  <c r="AU309" i="1"/>
  <c r="AT309" i="1"/>
  <c r="AR309" i="1"/>
  <c r="AQ309" i="1"/>
  <c r="AP309" i="1"/>
  <c r="AO309" i="1"/>
  <c r="AM309" i="1"/>
  <c r="AL309" i="1"/>
  <c r="AK309" i="1"/>
  <c r="AJ309" i="1"/>
  <c r="AH309" i="1"/>
  <c r="AG309" i="1"/>
  <c r="AF309" i="1"/>
  <c r="AE309" i="1"/>
  <c r="AC309" i="1"/>
  <c r="AB309" i="1"/>
  <c r="AA309" i="1"/>
  <c r="Z309" i="1"/>
  <c r="X309" i="1"/>
  <c r="W309" i="1"/>
  <c r="V309" i="1"/>
  <c r="U309" i="1"/>
  <c r="S309" i="1"/>
  <c r="R309" i="1"/>
  <c r="Q309" i="1"/>
  <c r="P309" i="1"/>
  <c r="N309" i="1"/>
  <c r="M309" i="1"/>
  <c r="L309" i="1"/>
  <c r="K309" i="1"/>
  <c r="AW308" i="1"/>
  <c r="AV308" i="1"/>
  <c r="AU308" i="1"/>
  <c r="AT308" i="1"/>
  <c r="AR308" i="1"/>
  <c r="AQ308" i="1"/>
  <c r="AP308" i="1"/>
  <c r="AO308" i="1"/>
  <c r="AM308" i="1"/>
  <c r="AL308" i="1"/>
  <c r="AK308" i="1"/>
  <c r="AJ308" i="1"/>
  <c r="AH308" i="1"/>
  <c r="AG308" i="1"/>
  <c r="AF308" i="1"/>
  <c r="AE308" i="1"/>
  <c r="AC308" i="1"/>
  <c r="AB308" i="1"/>
  <c r="AA308" i="1"/>
  <c r="Z308" i="1"/>
  <c r="X308" i="1"/>
  <c r="W308" i="1"/>
  <c r="V308" i="1"/>
  <c r="U308" i="1"/>
  <c r="S308" i="1"/>
  <c r="R308" i="1"/>
  <c r="Q308" i="1"/>
  <c r="P308" i="1"/>
  <c r="N308" i="1"/>
  <c r="M308" i="1"/>
  <c r="L308" i="1"/>
  <c r="K308" i="1"/>
  <c r="AW307" i="1"/>
  <c r="AV307" i="1"/>
  <c r="AU307" i="1"/>
  <c r="AT307" i="1"/>
  <c r="AR307" i="1"/>
  <c r="AQ307" i="1"/>
  <c r="AP307" i="1"/>
  <c r="AO307" i="1"/>
  <c r="AM307" i="1"/>
  <c r="AL307" i="1"/>
  <c r="AK307" i="1"/>
  <c r="AJ307" i="1"/>
  <c r="AH307" i="1"/>
  <c r="AG307" i="1"/>
  <c r="AF307" i="1"/>
  <c r="AE307" i="1"/>
  <c r="AC307" i="1"/>
  <c r="AB307" i="1"/>
  <c r="AA307" i="1"/>
  <c r="Z307" i="1"/>
  <c r="X307" i="1"/>
  <c r="W307" i="1"/>
  <c r="V307" i="1"/>
  <c r="U307" i="1"/>
  <c r="S307" i="1"/>
  <c r="R307" i="1"/>
  <c r="Q307" i="1"/>
  <c r="P307" i="1"/>
  <c r="N307" i="1"/>
  <c r="M307" i="1"/>
  <c r="L307" i="1"/>
  <c r="K307" i="1"/>
  <c r="AW306" i="1"/>
  <c r="AV306" i="1"/>
  <c r="AU306" i="1"/>
  <c r="AT306" i="1"/>
  <c r="AR306" i="1"/>
  <c r="AQ306" i="1"/>
  <c r="AP306" i="1"/>
  <c r="AO306" i="1"/>
  <c r="AM306" i="1"/>
  <c r="AL306" i="1"/>
  <c r="AK306" i="1"/>
  <c r="AJ306" i="1"/>
  <c r="AH306" i="1"/>
  <c r="AG306" i="1"/>
  <c r="AF306" i="1"/>
  <c r="AE306" i="1"/>
  <c r="AC306" i="1"/>
  <c r="AB306" i="1"/>
  <c r="AA306" i="1"/>
  <c r="Z306" i="1"/>
  <c r="X306" i="1"/>
  <c r="W306" i="1"/>
  <c r="V306" i="1"/>
  <c r="U306" i="1"/>
  <c r="S306" i="1"/>
  <c r="R306" i="1"/>
  <c r="Q306" i="1"/>
  <c r="P306" i="1"/>
  <c r="N306" i="1"/>
  <c r="M306" i="1"/>
  <c r="L306" i="1"/>
  <c r="K306" i="1"/>
  <c r="AW305" i="1"/>
  <c r="AV305" i="1"/>
  <c r="AU305" i="1"/>
  <c r="AT305" i="1"/>
  <c r="AR305" i="1"/>
  <c r="AQ305" i="1"/>
  <c r="AP305" i="1"/>
  <c r="AO305" i="1"/>
  <c r="AM305" i="1"/>
  <c r="AL305" i="1"/>
  <c r="AK305" i="1"/>
  <c r="AJ305" i="1"/>
  <c r="AH305" i="1"/>
  <c r="AG305" i="1"/>
  <c r="AF305" i="1"/>
  <c r="AE305" i="1"/>
  <c r="AC305" i="1"/>
  <c r="AB305" i="1"/>
  <c r="AA305" i="1"/>
  <c r="Z305" i="1"/>
  <c r="X305" i="1"/>
  <c r="W305" i="1"/>
  <c r="V305" i="1"/>
  <c r="U305" i="1"/>
  <c r="S305" i="1"/>
  <c r="R305" i="1"/>
  <c r="Q305" i="1"/>
  <c r="P305" i="1"/>
  <c r="N305" i="1"/>
  <c r="M305" i="1"/>
  <c r="L305" i="1"/>
  <c r="K305" i="1"/>
  <c r="AW304" i="1"/>
  <c r="AV304" i="1"/>
  <c r="AU304" i="1"/>
  <c r="AT304" i="1"/>
  <c r="AR304" i="1"/>
  <c r="AQ304" i="1"/>
  <c r="AP304" i="1"/>
  <c r="AO304" i="1"/>
  <c r="AM304" i="1"/>
  <c r="AL304" i="1"/>
  <c r="AK304" i="1"/>
  <c r="AJ304" i="1"/>
  <c r="AH304" i="1"/>
  <c r="AG304" i="1"/>
  <c r="AF304" i="1"/>
  <c r="AE304" i="1"/>
  <c r="AC304" i="1"/>
  <c r="AB304" i="1"/>
  <c r="AA304" i="1"/>
  <c r="Z304" i="1"/>
  <c r="X304" i="1"/>
  <c r="W304" i="1"/>
  <c r="V304" i="1"/>
  <c r="U304" i="1"/>
  <c r="S304" i="1"/>
  <c r="R304" i="1"/>
  <c r="Q304" i="1"/>
  <c r="P304" i="1"/>
  <c r="N304" i="1"/>
  <c r="M304" i="1"/>
  <c r="L304" i="1"/>
  <c r="K304" i="1"/>
  <c r="AW303" i="1"/>
  <c r="AV303" i="1"/>
  <c r="AU303" i="1"/>
  <c r="AT303" i="1"/>
  <c r="AR303" i="1"/>
  <c r="AQ303" i="1"/>
  <c r="AP303" i="1"/>
  <c r="AO303" i="1"/>
  <c r="AM303" i="1"/>
  <c r="AL303" i="1"/>
  <c r="AK303" i="1"/>
  <c r="AJ303" i="1"/>
  <c r="AH303" i="1"/>
  <c r="AG303" i="1"/>
  <c r="AF303" i="1"/>
  <c r="AE303" i="1"/>
  <c r="AC303" i="1"/>
  <c r="AB303" i="1"/>
  <c r="AA303" i="1"/>
  <c r="Z303" i="1"/>
  <c r="X303" i="1"/>
  <c r="W303" i="1"/>
  <c r="V303" i="1"/>
  <c r="U303" i="1"/>
  <c r="S303" i="1"/>
  <c r="R303" i="1"/>
  <c r="Q303" i="1"/>
  <c r="P303" i="1"/>
  <c r="N303" i="1"/>
  <c r="M303" i="1"/>
  <c r="L303" i="1"/>
  <c r="K303" i="1"/>
  <c r="AW302" i="1"/>
  <c r="AV302" i="1"/>
  <c r="AU302" i="1"/>
  <c r="AT302" i="1"/>
  <c r="AR302" i="1"/>
  <c r="AQ302" i="1"/>
  <c r="AP302" i="1"/>
  <c r="AO302" i="1"/>
  <c r="AM302" i="1"/>
  <c r="AL302" i="1"/>
  <c r="AK302" i="1"/>
  <c r="AJ302" i="1"/>
  <c r="AH302" i="1"/>
  <c r="AG302" i="1"/>
  <c r="AF302" i="1"/>
  <c r="AE302" i="1"/>
  <c r="AC302" i="1"/>
  <c r="AB302" i="1"/>
  <c r="AA302" i="1"/>
  <c r="Z302" i="1"/>
  <c r="X302" i="1"/>
  <c r="W302" i="1"/>
  <c r="V302" i="1"/>
  <c r="U302" i="1"/>
  <c r="S302" i="1"/>
  <c r="R302" i="1"/>
  <c r="Q302" i="1"/>
  <c r="P302" i="1"/>
  <c r="N302" i="1"/>
  <c r="M302" i="1"/>
  <c r="L302" i="1"/>
  <c r="K302" i="1"/>
  <c r="AW301" i="1"/>
  <c r="AV301" i="1"/>
  <c r="AU301" i="1"/>
  <c r="AT301" i="1"/>
  <c r="AR301" i="1"/>
  <c r="AQ301" i="1"/>
  <c r="AP301" i="1"/>
  <c r="AO301" i="1"/>
  <c r="AM301" i="1"/>
  <c r="AL301" i="1"/>
  <c r="AK301" i="1"/>
  <c r="AJ301" i="1"/>
  <c r="AH301" i="1"/>
  <c r="AG301" i="1"/>
  <c r="AF301" i="1"/>
  <c r="AE301" i="1"/>
  <c r="AC301" i="1"/>
  <c r="AB301" i="1"/>
  <c r="AA301" i="1"/>
  <c r="Z301" i="1"/>
  <c r="X301" i="1"/>
  <c r="W301" i="1"/>
  <c r="V301" i="1"/>
  <c r="U301" i="1"/>
  <c r="S301" i="1"/>
  <c r="R301" i="1"/>
  <c r="Q301" i="1"/>
  <c r="P301" i="1"/>
  <c r="N301" i="1"/>
  <c r="M301" i="1"/>
  <c r="L301" i="1"/>
  <c r="K301" i="1"/>
  <c r="AW300" i="1"/>
  <c r="AV300" i="1"/>
  <c r="AU300" i="1"/>
  <c r="AT300" i="1"/>
  <c r="AR300" i="1"/>
  <c r="AQ300" i="1"/>
  <c r="AP300" i="1"/>
  <c r="AO300" i="1"/>
  <c r="AM300" i="1"/>
  <c r="AL300" i="1"/>
  <c r="AK300" i="1"/>
  <c r="AJ300" i="1"/>
  <c r="AH300" i="1"/>
  <c r="AG300" i="1"/>
  <c r="AF300" i="1"/>
  <c r="AE300" i="1"/>
  <c r="AC300" i="1"/>
  <c r="AB300" i="1"/>
  <c r="AA300" i="1"/>
  <c r="Z300" i="1"/>
  <c r="X300" i="1"/>
  <c r="W300" i="1"/>
  <c r="V300" i="1"/>
  <c r="U300" i="1"/>
  <c r="S300" i="1"/>
  <c r="R300" i="1"/>
  <c r="Q300" i="1"/>
  <c r="P300" i="1"/>
  <c r="N300" i="1"/>
  <c r="M300" i="1"/>
  <c r="L300" i="1"/>
  <c r="K300" i="1"/>
  <c r="AW299" i="1"/>
  <c r="AV299" i="1"/>
  <c r="AU299" i="1"/>
  <c r="AT299" i="1"/>
  <c r="AR299" i="1"/>
  <c r="AQ299" i="1"/>
  <c r="AP299" i="1"/>
  <c r="AO299" i="1"/>
  <c r="AM299" i="1"/>
  <c r="AL299" i="1"/>
  <c r="AK299" i="1"/>
  <c r="AJ299" i="1"/>
  <c r="AH299" i="1"/>
  <c r="AG299" i="1"/>
  <c r="AF299" i="1"/>
  <c r="AE299" i="1"/>
  <c r="AC299" i="1"/>
  <c r="AB299" i="1"/>
  <c r="AA299" i="1"/>
  <c r="Z299" i="1"/>
  <c r="X299" i="1"/>
  <c r="W299" i="1"/>
  <c r="V299" i="1"/>
  <c r="U299" i="1"/>
  <c r="S299" i="1"/>
  <c r="R299" i="1"/>
  <c r="Q299" i="1"/>
  <c r="P299" i="1"/>
  <c r="N299" i="1"/>
  <c r="M299" i="1"/>
  <c r="L299" i="1"/>
  <c r="K299" i="1"/>
  <c r="AW298" i="1"/>
  <c r="AV298" i="1"/>
  <c r="AU298" i="1"/>
  <c r="AT298" i="1"/>
  <c r="AR298" i="1"/>
  <c r="AQ298" i="1"/>
  <c r="AP298" i="1"/>
  <c r="AO298" i="1"/>
  <c r="AM298" i="1"/>
  <c r="AL298" i="1"/>
  <c r="AK298" i="1"/>
  <c r="AJ298" i="1"/>
  <c r="AH298" i="1"/>
  <c r="AG298" i="1"/>
  <c r="AF298" i="1"/>
  <c r="AE298" i="1"/>
  <c r="AC298" i="1"/>
  <c r="AB298" i="1"/>
  <c r="AA298" i="1"/>
  <c r="Z298" i="1"/>
  <c r="X298" i="1"/>
  <c r="W298" i="1"/>
  <c r="V298" i="1"/>
  <c r="U298" i="1"/>
  <c r="S298" i="1"/>
  <c r="R298" i="1"/>
  <c r="Q298" i="1"/>
  <c r="P298" i="1"/>
  <c r="N298" i="1"/>
  <c r="M298" i="1"/>
  <c r="L298" i="1"/>
  <c r="K298" i="1"/>
  <c r="AW297" i="1"/>
  <c r="AV297" i="1"/>
  <c r="AU297" i="1"/>
  <c r="AT297" i="1"/>
  <c r="AR297" i="1"/>
  <c r="AQ297" i="1"/>
  <c r="AP297" i="1"/>
  <c r="AO297" i="1"/>
  <c r="AM297" i="1"/>
  <c r="AL297" i="1"/>
  <c r="AK297" i="1"/>
  <c r="AJ297" i="1"/>
  <c r="AH297" i="1"/>
  <c r="AG297" i="1"/>
  <c r="AF297" i="1"/>
  <c r="AE297" i="1"/>
  <c r="AC297" i="1"/>
  <c r="AB297" i="1"/>
  <c r="AA297" i="1"/>
  <c r="Z297" i="1"/>
  <c r="X297" i="1"/>
  <c r="W297" i="1"/>
  <c r="V297" i="1"/>
  <c r="U297" i="1"/>
  <c r="S297" i="1"/>
  <c r="R297" i="1"/>
  <c r="Q297" i="1"/>
  <c r="P297" i="1"/>
  <c r="N297" i="1"/>
  <c r="M297" i="1"/>
  <c r="L297" i="1"/>
  <c r="K297" i="1"/>
  <c r="AW296" i="1"/>
  <c r="AV296" i="1"/>
  <c r="AU296" i="1"/>
  <c r="AT296" i="1"/>
  <c r="AR296" i="1"/>
  <c r="AQ296" i="1"/>
  <c r="AP296" i="1"/>
  <c r="AO296" i="1"/>
  <c r="AM296" i="1"/>
  <c r="AL296" i="1"/>
  <c r="AK296" i="1"/>
  <c r="AJ296" i="1"/>
  <c r="AH296" i="1"/>
  <c r="AG296" i="1"/>
  <c r="AF296" i="1"/>
  <c r="AE296" i="1"/>
  <c r="AC296" i="1"/>
  <c r="AB296" i="1"/>
  <c r="AA296" i="1"/>
  <c r="Z296" i="1"/>
  <c r="X296" i="1"/>
  <c r="W296" i="1"/>
  <c r="V296" i="1"/>
  <c r="U296" i="1"/>
  <c r="S296" i="1"/>
  <c r="R296" i="1"/>
  <c r="Q296" i="1"/>
  <c r="P296" i="1"/>
  <c r="N296" i="1"/>
  <c r="M296" i="1"/>
  <c r="L296" i="1"/>
  <c r="K296" i="1"/>
  <c r="AW295" i="1"/>
  <c r="AV295" i="1"/>
  <c r="AU295" i="1"/>
  <c r="AT295" i="1"/>
  <c r="AR295" i="1"/>
  <c r="AQ295" i="1"/>
  <c r="AP295" i="1"/>
  <c r="AO295" i="1"/>
  <c r="AM295" i="1"/>
  <c r="AL295" i="1"/>
  <c r="AK295" i="1"/>
  <c r="AJ295" i="1"/>
  <c r="AH295" i="1"/>
  <c r="AG295" i="1"/>
  <c r="AF295" i="1"/>
  <c r="AE295" i="1"/>
  <c r="AC295" i="1"/>
  <c r="AB295" i="1"/>
  <c r="AA295" i="1"/>
  <c r="Z295" i="1"/>
  <c r="X295" i="1"/>
  <c r="W295" i="1"/>
  <c r="V295" i="1"/>
  <c r="U295" i="1"/>
  <c r="S295" i="1"/>
  <c r="R295" i="1"/>
  <c r="Q295" i="1"/>
  <c r="P295" i="1"/>
  <c r="N295" i="1"/>
  <c r="M295" i="1"/>
  <c r="L295" i="1"/>
  <c r="K295" i="1"/>
  <c r="AW294" i="1"/>
  <c r="AV294" i="1"/>
  <c r="AU294" i="1"/>
  <c r="AT294" i="1"/>
  <c r="AR294" i="1"/>
  <c r="AQ294" i="1"/>
  <c r="AP294" i="1"/>
  <c r="AO294" i="1"/>
  <c r="AM294" i="1"/>
  <c r="AL294" i="1"/>
  <c r="AK294" i="1"/>
  <c r="AJ294" i="1"/>
  <c r="AH294" i="1"/>
  <c r="AG294" i="1"/>
  <c r="AF294" i="1"/>
  <c r="AE294" i="1"/>
  <c r="AC294" i="1"/>
  <c r="AB294" i="1"/>
  <c r="AA294" i="1"/>
  <c r="Z294" i="1"/>
  <c r="X294" i="1"/>
  <c r="W294" i="1"/>
  <c r="V294" i="1"/>
  <c r="U294" i="1"/>
  <c r="S294" i="1"/>
  <c r="R294" i="1"/>
  <c r="Q294" i="1"/>
  <c r="P294" i="1"/>
  <c r="N294" i="1"/>
  <c r="M294" i="1"/>
  <c r="L294" i="1"/>
  <c r="K294" i="1"/>
  <c r="AW293" i="1"/>
  <c r="AV293" i="1"/>
  <c r="AU293" i="1"/>
  <c r="AT293" i="1"/>
  <c r="AR293" i="1"/>
  <c r="AQ293" i="1"/>
  <c r="AP293" i="1"/>
  <c r="AO293" i="1"/>
  <c r="AM293" i="1"/>
  <c r="AL293" i="1"/>
  <c r="AK293" i="1"/>
  <c r="AJ293" i="1"/>
  <c r="AH293" i="1"/>
  <c r="AG293" i="1"/>
  <c r="AF293" i="1"/>
  <c r="AE293" i="1"/>
  <c r="AC293" i="1"/>
  <c r="AB293" i="1"/>
  <c r="AA293" i="1"/>
  <c r="Z293" i="1"/>
  <c r="X293" i="1"/>
  <c r="W293" i="1"/>
  <c r="V293" i="1"/>
  <c r="U293" i="1"/>
  <c r="S293" i="1"/>
  <c r="R293" i="1"/>
  <c r="Q293" i="1"/>
  <c r="P293" i="1"/>
  <c r="N293" i="1"/>
  <c r="M293" i="1"/>
  <c r="L293" i="1"/>
  <c r="K293" i="1"/>
  <c r="AW292" i="1"/>
  <c r="AV292" i="1"/>
  <c r="AU292" i="1"/>
  <c r="AT292" i="1"/>
  <c r="AR292" i="1"/>
  <c r="AQ292" i="1"/>
  <c r="AP292" i="1"/>
  <c r="AO292" i="1"/>
  <c r="AM292" i="1"/>
  <c r="AL292" i="1"/>
  <c r="AK292" i="1"/>
  <c r="AJ292" i="1"/>
  <c r="AH292" i="1"/>
  <c r="AG292" i="1"/>
  <c r="AF292" i="1"/>
  <c r="AE292" i="1"/>
  <c r="AC292" i="1"/>
  <c r="AB292" i="1"/>
  <c r="AA292" i="1"/>
  <c r="Z292" i="1"/>
  <c r="X292" i="1"/>
  <c r="W292" i="1"/>
  <c r="V292" i="1"/>
  <c r="U292" i="1"/>
  <c r="S292" i="1"/>
  <c r="R292" i="1"/>
  <c r="Q292" i="1"/>
  <c r="P292" i="1"/>
  <c r="N292" i="1"/>
  <c r="M292" i="1"/>
  <c r="L292" i="1"/>
  <c r="K292" i="1"/>
  <c r="AW291" i="1"/>
  <c r="AV291" i="1"/>
  <c r="AU291" i="1"/>
  <c r="AT291" i="1"/>
  <c r="AR291" i="1"/>
  <c r="AQ291" i="1"/>
  <c r="AP291" i="1"/>
  <c r="AO291" i="1"/>
  <c r="AM291" i="1"/>
  <c r="AL291" i="1"/>
  <c r="AK291" i="1"/>
  <c r="AJ291" i="1"/>
  <c r="AH291" i="1"/>
  <c r="AG291" i="1"/>
  <c r="AF291" i="1"/>
  <c r="AE291" i="1"/>
  <c r="AC291" i="1"/>
  <c r="AB291" i="1"/>
  <c r="AA291" i="1"/>
  <c r="Z291" i="1"/>
  <c r="X291" i="1"/>
  <c r="W291" i="1"/>
  <c r="V291" i="1"/>
  <c r="U291" i="1"/>
  <c r="S291" i="1"/>
  <c r="R291" i="1"/>
  <c r="Q291" i="1"/>
  <c r="P291" i="1"/>
  <c r="N291" i="1"/>
  <c r="M291" i="1"/>
  <c r="L291" i="1"/>
  <c r="K291" i="1"/>
  <c r="AW290" i="1"/>
  <c r="AV290" i="1"/>
  <c r="AU290" i="1"/>
  <c r="AT290" i="1"/>
  <c r="AR290" i="1"/>
  <c r="AQ290" i="1"/>
  <c r="AP290" i="1"/>
  <c r="AO290" i="1"/>
  <c r="AM290" i="1"/>
  <c r="AL290" i="1"/>
  <c r="AK290" i="1"/>
  <c r="AJ290" i="1"/>
  <c r="AH290" i="1"/>
  <c r="AG290" i="1"/>
  <c r="AF290" i="1"/>
  <c r="AE290" i="1"/>
  <c r="AC290" i="1"/>
  <c r="AB290" i="1"/>
  <c r="AA290" i="1"/>
  <c r="Z290" i="1"/>
  <c r="X290" i="1"/>
  <c r="W290" i="1"/>
  <c r="V290" i="1"/>
  <c r="U290" i="1"/>
  <c r="S290" i="1"/>
  <c r="R290" i="1"/>
  <c r="Q290" i="1"/>
  <c r="P290" i="1"/>
  <c r="N290" i="1"/>
  <c r="M290" i="1"/>
  <c r="L290" i="1"/>
  <c r="K290" i="1"/>
  <c r="AW289" i="1"/>
  <c r="AV289" i="1"/>
  <c r="AU289" i="1"/>
  <c r="AT289" i="1"/>
  <c r="AR289" i="1"/>
  <c r="AQ289" i="1"/>
  <c r="AP289" i="1"/>
  <c r="AO289" i="1"/>
  <c r="AM289" i="1"/>
  <c r="AL289" i="1"/>
  <c r="AK289" i="1"/>
  <c r="AJ289" i="1"/>
  <c r="AH289" i="1"/>
  <c r="AG289" i="1"/>
  <c r="AF289" i="1"/>
  <c r="AE289" i="1"/>
  <c r="AC289" i="1"/>
  <c r="AB289" i="1"/>
  <c r="AA289" i="1"/>
  <c r="Z289" i="1"/>
  <c r="X289" i="1"/>
  <c r="W289" i="1"/>
  <c r="V289" i="1"/>
  <c r="U289" i="1"/>
  <c r="S289" i="1"/>
  <c r="R289" i="1"/>
  <c r="Q289" i="1"/>
  <c r="P289" i="1"/>
  <c r="N289" i="1"/>
  <c r="M289" i="1"/>
  <c r="L289" i="1"/>
  <c r="K289" i="1"/>
  <c r="AW288" i="1"/>
  <c r="AV288" i="1"/>
  <c r="AU288" i="1"/>
  <c r="AT288" i="1"/>
  <c r="AR288" i="1"/>
  <c r="AQ288" i="1"/>
  <c r="AP288" i="1"/>
  <c r="AO288" i="1"/>
  <c r="AM288" i="1"/>
  <c r="AL288" i="1"/>
  <c r="AK288" i="1"/>
  <c r="AJ288" i="1"/>
  <c r="AH288" i="1"/>
  <c r="AG288" i="1"/>
  <c r="AF288" i="1"/>
  <c r="AE288" i="1"/>
  <c r="AC288" i="1"/>
  <c r="AB288" i="1"/>
  <c r="AA288" i="1"/>
  <c r="Z288" i="1"/>
  <c r="X288" i="1"/>
  <c r="W288" i="1"/>
  <c r="V288" i="1"/>
  <c r="U288" i="1"/>
  <c r="S288" i="1"/>
  <c r="R288" i="1"/>
  <c r="Q288" i="1"/>
  <c r="P288" i="1"/>
  <c r="N288" i="1"/>
  <c r="M288" i="1"/>
  <c r="L288" i="1"/>
  <c r="K288" i="1"/>
  <c r="AW287" i="1"/>
  <c r="AV287" i="1"/>
  <c r="AU287" i="1"/>
  <c r="AT287" i="1"/>
  <c r="AR287" i="1"/>
  <c r="AQ287" i="1"/>
  <c r="AP287" i="1"/>
  <c r="AO287" i="1"/>
  <c r="AM287" i="1"/>
  <c r="AL287" i="1"/>
  <c r="AK287" i="1"/>
  <c r="AJ287" i="1"/>
  <c r="AH287" i="1"/>
  <c r="AG287" i="1"/>
  <c r="AF287" i="1"/>
  <c r="AE287" i="1"/>
  <c r="AC287" i="1"/>
  <c r="AB287" i="1"/>
  <c r="AA287" i="1"/>
  <c r="Z287" i="1"/>
  <c r="X287" i="1"/>
  <c r="W287" i="1"/>
  <c r="V287" i="1"/>
  <c r="U287" i="1"/>
  <c r="S287" i="1"/>
  <c r="R287" i="1"/>
  <c r="Q287" i="1"/>
  <c r="P287" i="1"/>
  <c r="N287" i="1"/>
  <c r="M287" i="1"/>
  <c r="L287" i="1"/>
  <c r="K287" i="1"/>
  <c r="AW286" i="1"/>
  <c r="AV286" i="1"/>
  <c r="AU286" i="1"/>
  <c r="AT286" i="1"/>
  <c r="AR286" i="1"/>
  <c r="AQ286" i="1"/>
  <c r="AP286" i="1"/>
  <c r="AO286" i="1"/>
  <c r="AM286" i="1"/>
  <c r="AL286" i="1"/>
  <c r="AK286" i="1"/>
  <c r="AJ286" i="1"/>
  <c r="AH286" i="1"/>
  <c r="AG286" i="1"/>
  <c r="AF286" i="1"/>
  <c r="AE286" i="1"/>
  <c r="AC286" i="1"/>
  <c r="AB286" i="1"/>
  <c r="AA286" i="1"/>
  <c r="Z286" i="1"/>
  <c r="X286" i="1"/>
  <c r="W286" i="1"/>
  <c r="V286" i="1"/>
  <c r="U286" i="1"/>
  <c r="S286" i="1"/>
  <c r="R286" i="1"/>
  <c r="Q286" i="1"/>
  <c r="P286" i="1"/>
  <c r="N286" i="1"/>
  <c r="M286" i="1"/>
  <c r="L286" i="1"/>
  <c r="K286" i="1"/>
  <c r="AW285" i="1"/>
  <c r="AV285" i="1"/>
  <c r="AU285" i="1"/>
  <c r="AT285" i="1"/>
  <c r="AR285" i="1"/>
  <c r="AQ285" i="1"/>
  <c r="AP285" i="1"/>
  <c r="AO285" i="1"/>
  <c r="AM285" i="1"/>
  <c r="AL285" i="1"/>
  <c r="AK285" i="1"/>
  <c r="AJ285" i="1"/>
  <c r="AH285" i="1"/>
  <c r="AG285" i="1"/>
  <c r="AF285" i="1"/>
  <c r="AE285" i="1"/>
  <c r="AC285" i="1"/>
  <c r="AB285" i="1"/>
  <c r="AA285" i="1"/>
  <c r="Z285" i="1"/>
  <c r="X285" i="1"/>
  <c r="W285" i="1"/>
  <c r="V285" i="1"/>
  <c r="U285" i="1"/>
  <c r="S285" i="1"/>
  <c r="R285" i="1"/>
  <c r="Q285" i="1"/>
  <c r="P285" i="1"/>
  <c r="N285" i="1"/>
  <c r="M285" i="1"/>
  <c r="L285" i="1"/>
  <c r="K285" i="1"/>
  <c r="AW284" i="1"/>
  <c r="AV284" i="1"/>
  <c r="AU284" i="1"/>
  <c r="AT284" i="1"/>
  <c r="AR284" i="1"/>
  <c r="AQ284" i="1"/>
  <c r="AP284" i="1"/>
  <c r="AO284" i="1"/>
  <c r="AM284" i="1"/>
  <c r="AL284" i="1"/>
  <c r="AK284" i="1"/>
  <c r="AJ284" i="1"/>
  <c r="AH284" i="1"/>
  <c r="AG284" i="1"/>
  <c r="AF284" i="1"/>
  <c r="AE284" i="1"/>
  <c r="AC284" i="1"/>
  <c r="AB284" i="1"/>
  <c r="AA284" i="1"/>
  <c r="Z284" i="1"/>
  <c r="X284" i="1"/>
  <c r="W284" i="1"/>
  <c r="V284" i="1"/>
  <c r="U284" i="1"/>
  <c r="S284" i="1"/>
  <c r="R284" i="1"/>
  <c r="Q284" i="1"/>
  <c r="P284" i="1"/>
  <c r="N284" i="1"/>
  <c r="M284" i="1"/>
  <c r="L284" i="1"/>
  <c r="K284" i="1"/>
  <c r="AW283" i="1"/>
  <c r="AV283" i="1"/>
  <c r="AU283" i="1"/>
  <c r="AT283" i="1"/>
  <c r="AR283" i="1"/>
  <c r="AQ283" i="1"/>
  <c r="AP283" i="1"/>
  <c r="AO283" i="1"/>
  <c r="AM283" i="1"/>
  <c r="AL283" i="1"/>
  <c r="AK283" i="1"/>
  <c r="AJ283" i="1"/>
  <c r="AH283" i="1"/>
  <c r="AG283" i="1"/>
  <c r="AF283" i="1"/>
  <c r="AE283" i="1"/>
  <c r="AC283" i="1"/>
  <c r="AB283" i="1"/>
  <c r="AA283" i="1"/>
  <c r="Z283" i="1"/>
  <c r="X283" i="1"/>
  <c r="W283" i="1"/>
  <c r="V283" i="1"/>
  <c r="U283" i="1"/>
  <c r="S283" i="1"/>
  <c r="R283" i="1"/>
  <c r="Q283" i="1"/>
  <c r="P283" i="1"/>
  <c r="N283" i="1"/>
  <c r="M283" i="1"/>
  <c r="L283" i="1"/>
  <c r="K283" i="1"/>
  <c r="AW282" i="1"/>
  <c r="AV282" i="1"/>
  <c r="AU282" i="1"/>
  <c r="AT282" i="1"/>
  <c r="AR282" i="1"/>
  <c r="AQ282" i="1"/>
  <c r="AP282" i="1"/>
  <c r="AO282" i="1"/>
  <c r="AM282" i="1"/>
  <c r="AL282" i="1"/>
  <c r="AK282" i="1"/>
  <c r="AJ282" i="1"/>
  <c r="AH282" i="1"/>
  <c r="AG282" i="1"/>
  <c r="AF282" i="1"/>
  <c r="AE282" i="1"/>
  <c r="AC282" i="1"/>
  <c r="AB282" i="1"/>
  <c r="AA282" i="1"/>
  <c r="Z282" i="1"/>
  <c r="X282" i="1"/>
  <c r="W282" i="1"/>
  <c r="V282" i="1"/>
  <c r="U282" i="1"/>
  <c r="S282" i="1"/>
  <c r="R282" i="1"/>
  <c r="Q282" i="1"/>
  <c r="P282" i="1"/>
  <c r="N282" i="1"/>
  <c r="M282" i="1"/>
  <c r="L282" i="1"/>
  <c r="K282" i="1"/>
  <c r="AW281" i="1"/>
  <c r="AV281" i="1"/>
  <c r="AU281" i="1"/>
  <c r="AT281" i="1"/>
  <c r="AR281" i="1"/>
  <c r="AQ281" i="1"/>
  <c r="AP281" i="1"/>
  <c r="AO281" i="1"/>
  <c r="AM281" i="1"/>
  <c r="AL281" i="1"/>
  <c r="AK281" i="1"/>
  <c r="AJ281" i="1"/>
  <c r="AH281" i="1"/>
  <c r="AG281" i="1"/>
  <c r="AF281" i="1"/>
  <c r="AE281" i="1"/>
  <c r="AC281" i="1"/>
  <c r="AB281" i="1"/>
  <c r="AA281" i="1"/>
  <c r="Z281" i="1"/>
  <c r="X281" i="1"/>
  <c r="W281" i="1"/>
  <c r="V281" i="1"/>
  <c r="U281" i="1"/>
  <c r="S281" i="1"/>
  <c r="R281" i="1"/>
  <c r="Q281" i="1"/>
  <c r="P281" i="1"/>
  <c r="N281" i="1"/>
  <c r="M281" i="1"/>
  <c r="L281" i="1"/>
  <c r="K281" i="1"/>
  <c r="AW280" i="1"/>
  <c r="AV280" i="1"/>
  <c r="AU280" i="1"/>
  <c r="AT280" i="1"/>
  <c r="AR280" i="1"/>
  <c r="AQ280" i="1"/>
  <c r="AP280" i="1"/>
  <c r="AO280" i="1"/>
  <c r="AM280" i="1"/>
  <c r="AL280" i="1"/>
  <c r="AK280" i="1"/>
  <c r="AJ280" i="1"/>
  <c r="AH280" i="1"/>
  <c r="AG280" i="1"/>
  <c r="AF280" i="1"/>
  <c r="AE280" i="1"/>
  <c r="AC280" i="1"/>
  <c r="AB280" i="1"/>
  <c r="AA280" i="1"/>
  <c r="Z280" i="1"/>
  <c r="X280" i="1"/>
  <c r="W280" i="1"/>
  <c r="V280" i="1"/>
  <c r="U280" i="1"/>
  <c r="S280" i="1"/>
  <c r="R280" i="1"/>
  <c r="Q280" i="1"/>
  <c r="P280" i="1"/>
  <c r="N280" i="1"/>
  <c r="M280" i="1"/>
  <c r="L280" i="1"/>
  <c r="K280" i="1"/>
  <c r="AW279" i="1"/>
  <c r="AV279" i="1"/>
  <c r="AU279" i="1"/>
  <c r="AT279" i="1"/>
  <c r="AR279" i="1"/>
  <c r="AQ279" i="1"/>
  <c r="AP279" i="1"/>
  <c r="AO279" i="1"/>
  <c r="AM279" i="1"/>
  <c r="AL279" i="1"/>
  <c r="AK279" i="1"/>
  <c r="AJ279" i="1"/>
  <c r="AH279" i="1"/>
  <c r="AG279" i="1"/>
  <c r="AF279" i="1"/>
  <c r="AE279" i="1"/>
  <c r="AC279" i="1"/>
  <c r="AB279" i="1"/>
  <c r="AA279" i="1"/>
  <c r="Z279" i="1"/>
  <c r="X279" i="1"/>
  <c r="W279" i="1"/>
  <c r="V279" i="1"/>
  <c r="U279" i="1"/>
  <c r="S279" i="1"/>
  <c r="R279" i="1"/>
  <c r="Q279" i="1"/>
  <c r="P279" i="1"/>
  <c r="N279" i="1"/>
  <c r="M279" i="1"/>
  <c r="L279" i="1"/>
  <c r="K279" i="1"/>
  <c r="AW278" i="1"/>
  <c r="AV278" i="1"/>
  <c r="AU278" i="1"/>
  <c r="AT278" i="1"/>
  <c r="AR278" i="1"/>
  <c r="AQ278" i="1"/>
  <c r="AP278" i="1"/>
  <c r="AO278" i="1"/>
  <c r="AM278" i="1"/>
  <c r="AL278" i="1"/>
  <c r="AK278" i="1"/>
  <c r="AJ278" i="1"/>
  <c r="AH278" i="1"/>
  <c r="AG278" i="1"/>
  <c r="AF278" i="1"/>
  <c r="AE278" i="1"/>
  <c r="AC278" i="1"/>
  <c r="AB278" i="1"/>
  <c r="AA278" i="1"/>
  <c r="Z278" i="1"/>
  <c r="X278" i="1"/>
  <c r="W278" i="1"/>
  <c r="V278" i="1"/>
  <c r="U278" i="1"/>
  <c r="S278" i="1"/>
  <c r="R278" i="1"/>
  <c r="Q278" i="1"/>
  <c r="P278" i="1"/>
  <c r="N278" i="1"/>
  <c r="M278" i="1"/>
  <c r="L278" i="1"/>
  <c r="K278" i="1"/>
  <c r="AW277" i="1"/>
  <c r="AV277" i="1"/>
  <c r="AU277" i="1"/>
  <c r="AT277" i="1"/>
  <c r="AR277" i="1"/>
  <c r="AQ277" i="1"/>
  <c r="AP277" i="1"/>
  <c r="AO277" i="1"/>
  <c r="AM277" i="1"/>
  <c r="AL277" i="1"/>
  <c r="AK277" i="1"/>
  <c r="AJ277" i="1"/>
  <c r="AH277" i="1"/>
  <c r="AG277" i="1"/>
  <c r="AF277" i="1"/>
  <c r="AE277" i="1"/>
  <c r="AC277" i="1"/>
  <c r="AB277" i="1"/>
  <c r="AA277" i="1"/>
  <c r="Z277" i="1"/>
  <c r="X277" i="1"/>
  <c r="W277" i="1"/>
  <c r="V277" i="1"/>
  <c r="U277" i="1"/>
  <c r="S277" i="1"/>
  <c r="R277" i="1"/>
  <c r="Q277" i="1"/>
  <c r="P277" i="1"/>
  <c r="N277" i="1"/>
  <c r="M277" i="1"/>
  <c r="L277" i="1"/>
  <c r="K277" i="1"/>
  <c r="AW276" i="1"/>
  <c r="AV276" i="1"/>
  <c r="AU276" i="1"/>
  <c r="AT276" i="1"/>
  <c r="AR276" i="1"/>
  <c r="AQ276" i="1"/>
  <c r="AP276" i="1"/>
  <c r="AO276" i="1"/>
  <c r="AM276" i="1"/>
  <c r="AL276" i="1"/>
  <c r="AK276" i="1"/>
  <c r="AJ276" i="1"/>
  <c r="AH276" i="1"/>
  <c r="AG276" i="1"/>
  <c r="AF276" i="1"/>
  <c r="AE276" i="1"/>
  <c r="AC276" i="1"/>
  <c r="AB276" i="1"/>
  <c r="AA276" i="1"/>
  <c r="Z276" i="1"/>
  <c r="X276" i="1"/>
  <c r="W276" i="1"/>
  <c r="V276" i="1"/>
  <c r="U276" i="1"/>
  <c r="S276" i="1"/>
  <c r="R276" i="1"/>
  <c r="Q276" i="1"/>
  <c r="P276" i="1"/>
  <c r="N276" i="1"/>
  <c r="M276" i="1"/>
  <c r="L276" i="1"/>
  <c r="K276" i="1"/>
  <c r="AW275" i="1"/>
  <c r="AV275" i="1"/>
  <c r="AU275" i="1"/>
  <c r="AT275" i="1"/>
  <c r="AR275" i="1"/>
  <c r="AQ275" i="1"/>
  <c r="AP275" i="1"/>
  <c r="AO275" i="1"/>
  <c r="AM275" i="1"/>
  <c r="AL275" i="1"/>
  <c r="AK275" i="1"/>
  <c r="AJ275" i="1"/>
  <c r="AH275" i="1"/>
  <c r="AG275" i="1"/>
  <c r="AF275" i="1"/>
  <c r="AE275" i="1"/>
  <c r="AC275" i="1"/>
  <c r="AB275" i="1"/>
  <c r="AA275" i="1"/>
  <c r="Z275" i="1"/>
  <c r="X275" i="1"/>
  <c r="W275" i="1"/>
  <c r="V275" i="1"/>
  <c r="U275" i="1"/>
  <c r="S275" i="1"/>
  <c r="R275" i="1"/>
  <c r="Q275" i="1"/>
  <c r="P275" i="1"/>
  <c r="N275" i="1"/>
  <c r="M275" i="1"/>
  <c r="L275" i="1"/>
  <c r="K275" i="1"/>
  <c r="AW274" i="1"/>
  <c r="AV274" i="1"/>
  <c r="AU274" i="1"/>
  <c r="AT274" i="1"/>
  <c r="AR274" i="1"/>
  <c r="AQ274" i="1"/>
  <c r="AP274" i="1"/>
  <c r="AO274" i="1"/>
  <c r="AM274" i="1"/>
  <c r="AL274" i="1"/>
  <c r="AK274" i="1"/>
  <c r="AJ274" i="1"/>
  <c r="AH274" i="1"/>
  <c r="AG274" i="1"/>
  <c r="AF274" i="1"/>
  <c r="AE274" i="1"/>
  <c r="AC274" i="1"/>
  <c r="AB274" i="1"/>
  <c r="AA274" i="1"/>
  <c r="Z274" i="1"/>
  <c r="X274" i="1"/>
  <c r="W274" i="1"/>
  <c r="V274" i="1"/>
  <c r="U274" i="1"/>
  <c r="S274" i="1"/>
  <c r="R274" i="1"/>
  <c r="Q274" i="1"/>
  <c r="P274" i="1"/>
  <c r="N274" i="1"/>
  <c r="M274" i="1"/>
  <c r="L274" i="1"/>
  <c r="K274" i="1"/>
  <c r="AW273" i="1"/>
  <c r="AV273" i="1"/>
  <c r="AU273" i="1"/>
  <c r="AT273" i="1"/>
  <c r="AR273" i="1"/>
  <c r="AQ273" i="1"/>
  <c r="AP273" i="1"/>
  <c r="AO273" i="1"/>
  <c r="AM273" i="1"/>
  <c r="AL273" i="1"/>
  <c r="AK273" i="1"/>
  <c r="AJ273" i="1"/>
  <c r="AH273" i="1"/>
  <c r="AG273" i="1"/>
  <c r="AF273" i="1"/>
  <c r="AE273" i="1"/>
  <c r="AC273" i="1"/>
  <c r="AB273" i="1"/>
  <c r="AA273" i="1"/>
  <c r="Z273" i="1"/>
  <c r="X273" i="1"/>
  <c r="W273" i="1"/>
  <c r="V273" i="1"/>
  <c r="U273" i="1"/>
  <c r="S273" i="1"/>
  <c r="R273" i="1"/>
  <c r="Q273" i="1"/>
  <c r="P273" i="1"/>
  <c r="N273" i="1"/>
  <c r="M273" i="1"/>
  <c r="L273" i="1"/>
  <c r="K273" i="1"/>
  <c r="AW272" i="1"/>
  <c r="AV272" i="1"/>
  <c r="AU272" i="1"/>
  <c r="AT272" i="1"/>
  <c r="AR272" i="1"/>
  <c r="AQ272" i="1"/>
  <c r="AP272" i="1"/>
  <c r="AO272" i="1"/>
  <c r="AM272" i="1"/>
  <c r="AL272" i="1"/>
  <c r="AK272" i="1"/>
  <c r="AJ272" i="1"/>
  <c r="AH272" i="1"/>
  <c r="AG272" i="1"/>
  <c r="AF272" i="1"/>
  <c r="AE272" i="1"/>
  <c r="AC272" i="1"/>
  <c r="AB272" i="1"/>
  <c r="AA272" i="1"/>
  <c r="Z272" i="1"/>
  <c r="X272" i="1"/>
  <c r="W272" i="1"/>
  <c r="V272" i="1"/>
  <c r="U272" i="1"/>
  <c r="S272" i="1"/>
  <c r="R272" i="1"/>
  <c r="Q272" i="1"/>
  <c r="P272" i="1"/>
  <c r="N272" i="1"/>
  <c r="M272" i="1"/>
  <c r="L272" i="1"/>
  <c r="K272" i="1"/>
  <c r="AW271" i="1"/>
  <c r="AV271" i="1"/>
  <c r="AU271" i="1"/>
  <c r="AT271" i="1"/>
  <c r="AR271" i="1"/>
  <c r="AQ271" i="1"/>
  <c r="AP271" i="1"/>
  <c r="AO271" i="1"/>
  <c r="AM271" i="1"/>
  <c r="AL271" i="1"/>
  <c r="AK271" i="1"/>
  <c r="AJ271" i="1"/>
  <c r="AH271" i="1"/>
  <c r="AG271" i="1"/>
  <c r="AF271" i="1"/>
  <c r="AE271" i="1"/>
  <c r="AC271" i="1"/>
  <c r="AB271" i="1"/>
  <c r="AA271" i="1"/>
  <c r="Z271" i="1"/>
  <c r="X271" i="1"/>
  <c r="W271" i="1"/>
  <c r="V271" i="1"/>
  <c r="U271" i="1"/>
  <c r="S271" i="1"/>
  <c r="R271" i="1"/>
  <c r="Q271" i="1"/>
  <c r="P271" i="1"/>
  <c r="N271" i="1"/>
  <c r="M271" i="1"/>
  <c r="L271" i="1"/>
  <c r="K271" i="1"/>
  <c r="AW270" i="1"/>
  <c r="AV270" i="1"/>
  <c r="AU270" i="1"/>
  <c r="AT270" i="1"/>
  <c r="AR270" i="1"/>
  <c r="AQ270" i="1"/>
  <c r="AP270" i="1"/>
  <c r="AO270" i="1"/>
  <c r="AM270" i="1"/>
  <c r="AL270" i="1"/>
  <c r="AK270" i="1"/>
  <c r="AJ270" i="1"/>
  <c r="AH270" i="1"/>
  <c r="AG270" i="1"/>
  <c r="AF270" i="1"/>
  <c r="AE270" i="1"/>
  <c r="AC270" i="1"/>
  <c r="AB270" i="1"/>
  <c r="AA270" i="1"/>
  <c r="Z270" i="1"/>
  <c r="X270" i="1"/>
  <c r="W270" i="1"/>
  <c r="V270" i="1"/>
  <c r="U270" i="1"/>
  <c r="S270" i="1"/>
  <c r="R270" i="1"/>
  <c r="Q270" i="1"/>
  <c r="P270" i="1"/>
  <c r="N270" i="1"/>
  <c r="M270" i="1"/>
  <c r="L270" i="1"/>
  <c r="K270" i="1"/>
  <c r="AW269" i="1"/>
  <c r="AV269" i="1"/>
  <c r="AU269" i="1"/>
  <c r="AT269" i="1"/>
  <c r="AR269" i="1"/>
  <c r="AQ269" i="1"/>
  <c r="AP269" i="1"/>
  <c r="AO269" i="1"/>
  <c r="AM269" i="1"/>
  <c r="AL269" i="1"/>
  <c r="AK269" i="1"/>
  <c r="AJ269" i="1"/>
  <c r="AH269" i="1"/>
  <c r="AG269" i="1"/>
  <c r="AF269" i="1"/>
  <c r="AE269" i="1"/>
  <c r="AC269" i="1"/>
  <c r="AB269" i="1"/>
  <c r="AA269" i="1"/>
  <c r="Z269" i="1"/>
  <c r="X269" i="1"/>
  <c r="W269" i="1"/>
  <c r="V269" i="1"/>
  <c r="U269" i="1"/>
  <c r="S269" i="1"/>
  <c r="R269" i="1"/>
  <c r="Q269" i="1"/>
  <c r="P269" i="1"/>
  <c r="N269" i="1"/>
  <c r="M269" i="1"/>
  <c r="L269" i="1"/>
  <c r="K269" i="1"/>
  <c r="AW268" i="1"/>
  <c r="AV268" i="1"/>
  <c r="AU268" i="1"/>
  <c r="AT268" i="1"/>
  <c r="AR268" i="1"/>
  <c r="AQ268" i="1"/>
  <c r="AP268" i="1"/>
  <c r="AO268" i="1"/>
  <c r="AM268" i="1"/>
  <c r="AL268" i="1"/>
  <c r="AK268" i="1"/>
  <c r="AJ268" i="1"/>
  <c r="AH268" i="1"/>
  <c r="AG268" i="1"/>
  <c r="AF268" i="1"/>
  <c r="AE268" i="1"/>
  <c r="AC268" i="1"/>
  <c r="AB268" i="1"/>
  <c r="AA268" i="1"/>
  <c r="Z268" i="1"/>
  <c r="X268" i="1"/>
  <c r="W268" i="1"/>
  <c r="V268" i="1"/>
  <c r="U268" i="1"/>
  <c r="S268" i="1"/>
  <c r="R268" i="1"/>
  <c r="Q268" i="1"/>
  <c r="P268" i="1"/>
  <c r="N268" i="1"/>
  <c r="M268" i="1"/>
  <c r="L268" i="1"/>
  <c r="K268" i="1"/>
  <c r="AW267" i="1"/>
  <c r="AV267" i="1"/>
  <c r="AU267" i="1"/>
  <c r="AT267" i="1"/>
  <c r="AR267" i="1"/>
  <c r="AQ267" i="1"/>
  <c r="AP267" i="1"/>
  <c r="AO267" i="1"/>
  <c r="AM267" i="1"/>
  <c r="AL267" i="1"/>
  <c r="AK267" i="1"/>
  <c r="AJ267" i="1"/>
  <c r="AH267" i="1"/>
  <c r="AG267" i="1"/>
  <c r="AF267" i="1"/>
  <c r="AE267" i="1"/>
  <c r="AC267" i="1"/>
  <c r="AB267" i="1"/>
  <c r="AA267" i="1"/>
  <c r="Z267" i="1"/>
  <c r="X267" i="1"/>
  <c r="W267" i="1"/>
  <c r="V267" i="1"/>
  <c r="U267" i="1"/>
  <c r="S267" i="1"/>
  <c r="R267" i="1"/>
  <c r="Q267" i="1"/>
  <c r="P267" i="1"/>
  <c r="N267" i="1"/>
  <c r="M267" i="1"/>
  <c r="L267" i="1"/>
  <c r="K267" i="1"/>
  <c r="AW266" i="1"/>
  <c r="AV266" i="1"/>
  <c r="AU266" i="1"/>
  <c r="AT266" i="1"/>
  <c r="AR266" i="1"/>
  <c r="AQ266" i="1"/>
  <c r="AP266" i="1"/>
  <c r="AO266" i="1"/>
  <c r="AM266" i="1"/>
  <c r="AL266" i="1"/>
  <c r="AK266" i="1"/>
  <c r="AJ266" i="1"/>
  <c r="AH266" i="1"/>
  <c r="AG266" i="1"/>
  <c r="AF266" i="1"/>
  <c r="AE266" i="1"/>
  <c r="AC266" i="1"/>
  <c r="AB266" i="1"/>
  <c r="AA266" i="1"/>
  <c r="Z266" i="1"/>
  <c r="X266" i="1"/>
  <c r="W266" i="1"/>
  <c r="V266" i="1"/>
  <c r="U266" i="1"/>
  <c r="S266" i="1"/>
  <c r="R266" i="1"/>
  <c r="Q266" i="1"/>
  <c r="P266" i="1"/>
  <c r="N266" i="1"/>
  <c r="M266" i="1"/>
  <c r="L266" i="1"/>
  <c r="K266" i="1"/>
  <c r="AW265" i="1"/>
  <c r="AV265" i="1"/>
  <c r="AU265" i="1"/>
  <c r="AT265" i="1"/>
  <c r="AR265" i="1"/>
  <c r="AQ265" i="1"/>
  <c r="AP265" i="1"/>
  <c r="AO265" i="1"/>
  <c r="AM265" i="1"/>
  <c r="AL265" i="1"/>
  <c r="AK265" i="1"/>
  <c r="AJ265" i="1"/>
  <c r="AH265" i="1"/>
  <c r="AG265" i="1"/>
  <c r="AF265" i="1"/>
  <c r="AE265" i="1"/>
  <c r="AC265" i="1"/>
  <c r="AB265" i="1"/>
  <c r="AA265" i="1"/>
  <c r="Z265" i="1"/>
  <c r="X265" i="1"/>
  <c r="W265" i="1"/>
  <c r="V265" i="1"/>
  <c r="U265" i="1"/>
  <c r="S265" i="1"/>
  <c r="R265" i="1"/>
  <c r="Q265" i="1"/>
  <c r="P265" i="1"/>
  <c r="N265" i="1"/>
  <c r="M265" i="1"/>
  <c r="L265" i="1"/>
  <c r="K265" i="1"/>
  <c r="AW264" i="1"/>
  <c r="AV264" i="1"/>
  <c r="AU264" i="1"/>
  <c r="AT264" i="1"/>
  <c r="AR264" i="1"/>
  <c r="AQ264" i="1"/>
  <c r="AP264" i="1"/>
  <c r="AO264" i="1"/>
  <c r="AM264" i="1"/>
  <c r="AL264" i="1"/>
  <c r="AK264" i="1"/>
  <c r="AJ264" i="1"/>
  <c r="AH264" i="1"/>
  <c r="AG264" i="1"/>
  <c r="AF264" i="1"/>
  <c r="AE264" i="1"/>
  <c r="AC264" i="1"/>
  <c r="AB264" i="1"/>
  <c r="AA264" i="1"/>
  <c r="Z264" i="1"/>
  <c r="X264" i="1"/>
  <c r="W264" i="1"/>
  <c r="V264" i="1"/>
  <c r="U264" i="1"/>
  <c r="S264" i="1"/>
  <c r="R264" i="1"/>
  <c r="Q264" i="1"/>
  <c r="P264" i="1"/>
  <c r="N264" i="1"/>
  <c r="M264" i="1"/>
  <c r="L264" i="1"/>
  <c r="K264" i="1"/>
  <c r="AW263" i="1"/>
  <c r="AV263" i="1"/>
  <c r="AU263" i="1"/>
  <c r="AT263" i="1"/>
  <c r="AR263" i="1"/>
  <c r="AQ263" i="1"/>
  <c r="AP263" i="1"/>
  <c r="AO263" i="1"/>
  <c r="AM263" i="1"/>
  <c r="AL263" i="1"/>
  <c r="AK263" i="1"/>
  <c r="AJ263" i="1"/>
  <c r="AH263" i="1"/>
  <c r="AG263" i="1"/>
  <c r="AF263" i="1"/>
  <c r="AE263" i="1"/>
  <c r="AC263" i="1"/>
  <c r="AB263" i="1"/>
  <c r="AA263" i="1"/>
  <c r="Z263" i="1"/>
  <c r="X263" i="1"/>
  <c r="W263" i="1"/>
  <c r="V263" i="1"/>
  <c r="U263" i="1"/>
  <c r="S263" i="1"/>
  <c r="R263" i="1"/>
  <c r="Q263" i="1"/>
  <c r="P263" i="1"/>
  <c r="N263" i="1"/>
  <c r="M263" i="1"/>
  <c r="L263" i="1"/>
  <c r="K263" i="1"/>
  <c r="AW262" i="1"/>
  <c r="AV262" i="1"/>
  <c r="AU262" i="1"/>
  <c r="AT262" i="1"/>
  <c r="AR262" i="1"/>
  <c r="AQ262" i="1"/>
  <c r="AP262" i="1"/>
  <c r="AO262" i="1"/>
  <c r="AM262" i="1"/>
  <c r="AL262" i="1"/>
  <c r="AK262" i="1"/>
  <c r="AJ262" i="1"/>
  <c r="AH262" i="1"/>
  <c r="AG262" i="1"/>
  <c r="AF262" i="1"/>
  <c r="AE262" i="1"/>
  <c r="AC262" i="1"/>
  <c r="AB262" i="1"/>
  <c r="AA262" i="1"/>
  <c r="Z262" i="1"/>
  <c r="X262" i="1"/>
  <c r="W262" i="1"/>
  <c r="V262" i="1"/>
  <c r="U262" i="1"/>
  <c r="S262" i="1"/>
  <c r="R262" i="1"/>
  <c r="Q262" i="1"/>
  <c r="P262" i="1"/>
  <c r="N262" i="1"/>
  <c r="M262" i="1"/>
  <c r="L262" i="1"/>
  <c r="K262" i="1"/>
  <c r="AW261" i="1"/>
  <c r="AV261" i="1"/>
  <c r="AU261" i="1"/>
  <c r="AT261" i="1"/>
  <c r="AR261" i="1"/>
  <c r="AQ261" i="1"/>
  <c r="AP261" i="1"/>
  <c r="AO261" i="1"/>
  <c r="AM261" i="1"/>
  <c r="AL261" i="1"/>
  <c r="AK261" i="1"/>
  <c r="AJ261" i="1"/>
  <c r="AH261" i="1"/>
  <c r="AG261" i="1"/>
  <c r="AF261" i="1"/>
  <c r="AE261" i="1"/>
  <c r="AC261" i="1"/>
  <c r="AB261" i="1"/>
  <c r="AA261" i="1"/>
  <c r="Z261" i="1"/>
  <c r="X261" i="1"/>
  <c r="W261" i="1"/>
  <c r="V261" i="1"/>
  <c r="U261" i="1"/>
  <c r="S261" i="1"/>
  <c r="R261" i="1"/>
  <c r="Q261" i="1"/>
  <c r="P261" i="1"/>
  <c r="N261" i="1"/>
  <c r="M261" i="1"/>
  <c r="L261" i="1"/>
  <c r="K261" i="1"/>
  <c r="AW260" i="1"/>
  <c r="AV260" i="1"/>
  <c r="AU260" i="1"/>
  <c r="AT260" i="1"/>
  <c r="AR260" i="1"/>
  <c r="AQ260" i="1"/>
  <c r="AP260" i="1"/>
  <c r="AO260" i="1"/>
  <c r="AM260" i="1"/>
  <c r="AL260" i="1"/>
  <c r="AK260" i="1"/>
  <c r="AJ260" i="1"/>
  <c r="AH260" i="1"/>
  <c r="AG260" i="1"/>
  <c r="AF260" i="1"/>
  <c r="AE260" i="1"/>
  <c r="AC260" i="1"/>
  <c r="AB260" i="1"/>
  <c r="AA260" i="1"/>
  <c r="Z260" i="1"/>
  <c r="X260" i="1"/>
  <c r="W260" i="1"/>
  <c r="V260" i="1"/>
  <c r="U260" i="1"/>
  <c r="S260" i="1"/>
  <c r="R260" i="1"/>
  <c r="Q260" i="1"/>
  <c r="P260" i="1"/>
  <c r="N260" i="1"/>
  <c r="M260" i="1"/>
  <c r="L260" i="1"/>
  <c r="K260" i="1"/>
  <c r="AW259" i="1"/>
  <c r="AV259" i="1"/>
  <c r="AU259" i="1"/>
  <c r="AT259" i="1"/>
  <c r="AR259" i="1"/>
  <c r="AQ259" i="1"/>
  <c r="AP259" i="1"/>
  <c r="AO259" i="1"/>
  <c r="AM259" i="1"/>
  <c r="AL259" i="1"/>
  <c r="AK259" i="1"/>
  <c r="AJ259" i="1"/>
  <c r="AH259" i="1"/>
  <c r="AG259" i="1"/>
  <c r="AF259" i="1"/>
  <c r="AE259" i="1"/>
  <c r="AC259" i="1"/>
  <c r="AB259" i="1"/>
  <c r="AA259" i="1"/>
  <c r="Z259" i="1"/>
  <c r="X259" i="1"/>
  <c r="W259" i="1"/>
  <c r="V259" i="1"/>
  <c r="U259" i="1"/>
  <c r="S259" i="1"/>
  <c r="R259" i="1"/>
  <c r="Q259" i="1"/>
  <c r="P259" i="1"/>
  <c r="N259" i="1"/>
  <c r="M259" i="1"/>
  <c r="L259" i="1"/>
  <c r="K259" i="1"/>
  <c r="AW258" i="1"/>
  <c r="AV258" i="1"/>
  <c r="AU258" i="1"/>
  <c r="AT258" i="1"/>
  <c r="AR258" i="1"/>
  <c r="AQ258" i="1"/>
  <c r="AP258" i="1"/>
  <c r="AO258" i="1"/>
  <c r="AM258" i="1"/>
  <c r="AL258" i="1"/>
  <c r="AK258" i="1"/>
  <c r="AJ258" i="1"/>
  <c r="AH258" i="1"/>
  <c r="AG258" i="1"/>
  <c r="AF258" i="1"/>
  <c r="AE258" i="1"/>
  <c r="AC258" i="1"/>
  <c r="AB258" i="1"/>
  <c r="AA258" i="1"/>
  <c r="Z258" i="1"/>
  <c r="X258" i="1"/>
  <c r="W258" i="1"/>
  <c r="V258" i="1"/>
  <c r="U258" i="1"/>
  <c r="S258" i="1"/>
  <c r="R258" i="1"/>
  <c r="Q258" i="1"/>
  <c r="P258" i="1"/>
  <c r="N258" i="1"/>
  <c r="M258" i="1"/>
  <c r="L258" i="1"/>
  <c r="K258" i="1"/>
  <c r="AW257" i="1"/>
  <c r="AV257" i="1"/>
  <c r="AU257" i="1"/>
  <c r="AT257" i="1"/>
  <c r="AR257" i="1"/>
  <c r="AQ257" i="1"/>
  <c r="AP257" i="1"/>
  <c r="AO257" i="1"/>
  <c r="AM257" i="1"/>
  <c r="AL257" i="1"/>
  <c r="AK257" i="1"/>
  <c r="AJ257" i="1"/>
  <c r="AH257" i="1"/>
  <c r="AG257" i="1"/>
  <c r="AF257" i="1"/>
  <c r="AE257" i="1"/>
  <c r="AC257" i="1"/>
  <c r="AB257" i="1"/>
  <c r="AA257" i="1"/>
  <c r="Z257" i="1"/>
  <c r="X257" i="1"/>
  <c r="W257" i="1"/>
  <c r="V257" i="1"/>
  <c r="U257" i="1"/>
  <c r="S257" i="1"/>
  <c r="R257" i="1"/>
  <c r="Q257" i="1"/>
  <c r="P257" i="1"/>
  <c r="N257" i="1"/>
  <c r="M257" i="1"/>
  <c r="L257" i="1"/>
  <c r="K257" i="1"/>
  <c r="AW256" i="1"/>
  <c r="AV256" i="1"/>
  <c r="AU256" i="1"/>
  <c r="AT256" i="1"/>
  <c r="AR256" i="1"/>
  <c r="AQ256" i="1"/>
  <c r="AP256" i="1"/>
  <c r="AO256" i="1"/>
  <c r="AM256" i="1"/>
  <c r="AL256" i="1"/>
  <c r="AK256" i="1"/>
  <c r="AJ256" i="1"/>
  <c r="AH256" i="1"/>
  <c r="AG256" i="1"/>
  <c r="AF256" i="1"/>
  <c r="AE256" i="1"/>
  <c r="AC256" i="1"/>
  <c r="AB256" i="1"/>
  <c r="AA256" i="1"/>
  <c r="Z256" i="1"/>
  <c r="X256" i="1"/>
  <c r="W256" i="1"/>
  <c r="V256" i="1"/>
  <c r="U256" i="1"/>
  <c r="S256" i="1"/>
  <c r="R256" i="1"/>
  <c r="Q256" i="1"/>
  <c r="P256" i="1"/>
  <c r="N256" i="1"/>
  <c r="M256" i="1"/>
  <c r="L256" i="1"/>
  <c r="K256" i="1"/>
  <c r="AW255" i="1"/>
  <c r="AV255" i="1"/>
  <c r="AU255" i="1"/>
  <c r="AT255" i="1"/>
  <c r="AR255" i="1"/>
  <c r="AQ255" i="1"/>
  <c r="AP255" i="1"/>
  <c r="AO255" i="1"/>
  <c r="AM255" i="1"/>
  <c r="AL255" i="1"/>
  <c r="AK255" i="1"/>
  <c r="AJ255" i="1"/>
  <c r="AH255" i="1"/>
  <c r="AG255" i="1"/>
  <c r="AF255" i="1"/>
  <c r="AE255" i="1"/>
  <c r="AC255" i="1"/>
  <c r="AB255" i="1"/>
  <c r="AA255" i="1"/>
  <c r="Z255" i="1"/>
  <c r="X255" i="1"/>
  <c r="W255" i="1"/>
  <c r="V255" i="1"/>
  <c r="U255" i="1"/>
  <c r="S255" i="1"/>
  <c r="R255" i="1"/>
  <c r="Q255" i="1"/>
  <c r="P255" i="1"/>
  <c r="N255" i="1"/>
  <c r="M255" i="1"/>
  <c r="L255" i="1"/>
  <c r="K255" i="1"/>
  <c r="AW254" i="1"/>
  <c r="AV254" i="1"/>
  <c r="AU254" i="1"/>
  <c r="AT254" i="1"/>
  <c r="AR254" i="1"/>
  <c r="AQ254" i="1"/>
  <c r="AP254" i="1"/>
  <c r="AO254" i="1"/>
  <c r="AM254" i="1"/>
  <c r="AL254" i="1"/>
  <c r="AK254" i="1"/>
  <c r="AJ254" i="1"/>
  <c r="AH254" i="1"/>
  <c r="AG254" i="1"/>
  <c r="AF254" i="1"/>
  <c r="AE254" i="1"/>
  <c r="AC254" i="1"/>
  <c r="AB254" i="1"/>
  <c r="AA254" i="1"/>
  <c r="Z254" i="1"/>
  <c r="X254" i="1"/>
  <c r="W254" i="1"/>
  <c r="V254" i="1"/>
  <c r="U254" i="1"/>
  <c r="S254" i="1"/>
  <c r="R254" i="1"/>
  <c r="Q254" i="1"/>
  <c r="P254" i="1"/>
  <c r="N254" i="1"/>
  <c r="M254" i="1"/>
  <c r="L254" i="1"/>
  <c r="K254" i="1"/>
  <c r="AW253" i="1"/>
  <c r="AV253" i="1"/>
  <c r="AU253" i="1"/>
  <c r="AT253" i="1"/>
  <c r="AR253" i="1"/>
  <c r="AQ253" i="1"/>
  <c r="AP253" i="1"/>
  <c r="AO253" i="1"/>
  <c r="AM253" i="1"/>
  <c r="AL253" i="1"/>
  <c r="AK253" i="1"/>
  <c r="AJ253" i="1"/>
  <c r="AH253" i="1"/>
  <c r="AG253" i="1"/>
  <c r="AF253" i="1"/>
  <c r="AE253" i="1"/>
  <c r="AC253" i="1"/>
  <c r="AB253" i="1"/>
  <c r="AA253" i="1"/>
  <c r="Z253" i="1"/>
  <c r="X253" i="1"/>
  <c r="W253" i="1"/>
  <c r="V253" i="1"/>
  <c r="U253" i="1"/>
  <c r="S253" i="1"/>
  <c r="R253" i="1"/>
  <c r="Q253" i="1"/>
  <c r="P253" i="1"/>
  <c r="N253" i="1"/>
  <c r="M253" i="1"/>
  <c r="L253" i="1"/>
  <c r="K253" i="1"/>
  <c r="AW252" i="1"/>
  <c r="AV252" i="1"/>
  <c r="AU252" i="1"/>
  <c r="AT252" i="1"/>
  <c r="AR252" i="1"/>
  <c r="AQ252" i="1"/>
  <c r="AP252" i="1"/>
  <c r="AO252" i="1"/>
  <c r="AM252" i="1"/>
  <c r="AL252" i="1"/>
  <c r="AK252" i="1"/>
  <c r="AJ252" i="1"/>
  <c r="AH252" i="1"/>
  <c r="AG252" i="1"/>
  <c r="AF252" i="1"/>
  <c r="AE252" i="1"/>
  <c r="AC252" i="1"/>
  <c r="AB252" i="1"/>
  <c r="AA252" i="1"/>
  <c r="Z252" i="1"/>
  <c r="X252" i="1"/>
  <c r="W252" i="1"/>
  <c r="V252" i="1"/>
  <c r="U252" i="1"/>
  <c r="S252" i="1"/>
  <c r="R252" i="1"/>
  <c r="Q252" i="1"/>
  <c r="P252" i="1"/>
  <c r="N252" i="1"/>
  <c r="M252" i="1"/>
  <c r="L252" i="1"/>
  <c r="K252" i="1"/>
  <c r="AW251" i="1"/>
  <c r="AV251" i="1"/>
  <c r="AU251" i="1"/>
  <c r="AT251" i="1"/>
  <c r="AR251" i="1"/>
  <c r="AQ251" i="1"/>
  <c r="AP251" i="1"/>
  <c r="AO251" i="1"/>
  <c r="AM251" i="1"/>
  <c r="AL251" i="1"/>
  <c r="AK251" i="1"/>
  <c r="AJ251" i="1"/>
  <c r="AH251" i="1"/>
  <c r="AG251" i="1"/>
  <c r="AF251" i="1"/>
  <c r="AE251" i="1"/>
  <c r="AC251" i="1"/>
  <c r="AB251" i="1"/>
  <c r="AA251" i="1"/>
  <c r="Z251" i="1"/>
  <c r="X251" i="1"/>
  <c r="W251" i="1"/>
  <c r="V251" i="1"/>
  <c r="U251" i="1"/>
  <c r="S251" i="1"/>
  <c r="R251" i="1"/>
  <c r="Q251" i="1"/>
  <c r="P251" i="1"/>
  <c r="N251" i="1"/>
  <c r="M251" i="1"/>
  <c r="L251" i="1"/>
  <c r="K251" i="1"/>
  <c r="AW250" i="1"/>
  <c r="AV250" i="1"/>
  <c r="AU250" i="1"/>
  <c r="AT250" i="1"/>
  <c r="AR250" i="1"/>
  <c r="AQ250" i="1"/>
  <c r="AP250" i="1"/>
  <c r="AO250" i="1"/>
  <c r="AM250" i="1"/>
  <c r="AL250" i="1"/>
  <c r="AK250" i="1"/>
  <c r="AJ250" i="1"/>
  <c r="AH250" i="1"/>
  <c r="AG250" i="1"/>
  <c r="AF250" i="1"/>
  <c r="AE250" i="1"/>
  <c r="AC250" i="1"/>
  <c r="AB250" i="1"/>
  <c r="AA250" i="1"/>
  <c r="Z250" i="1"/>
  <c r="X250" i="1"/>
  <c r="W250" i="1"/>
  <c r="V250" i="1"/>
  <c r="U250" i="1"/>
  <c r="S250" i="1"/>
  <c r="R250" i="1"/>
  <c r="Q250" i="1"/>
  <c r="P250" i="1"/>
  <c r="N250" i="1"/>
  <c r="M250" i="1"/>
  <c r="L250" i="1"/>
  <c r="K250" i="1"/>
  <c r="AW249" i="1"/>
  <c r="AV249" i="1"/>
  <c r="AU249" i="1"/>
  <c r="AT249" i="1"/>
  <c r="AR249" i="1"/>
  <c r="AQ249" i="1"/>
  <c r="AP249" i="1"/>
  <c r="AO249" i="1"/>
  <c r="AM249" i="1"/>
  <c r="AL249" i="1"/>
  <c r="AK249" i="1"/>
  <c r="AJ249" i="1"/>
  <c r="AH249" i="1"/>
  <c r="AG249" i="1"/>
  <c r="AF249" i="1"/>
  <c r="AE249" i="1"/>
  <c r="AC249" i="1"/>
  <c r="AB249" i="1"/>
  <c r="AA249" i="1"/>
  <c r="Z249" i="1"/>
  <c r="X249" i="1"/>
  <c r="W249" i="1"/>
  <c r="V249" i="1"/>
  <c r="U249" i="1"/>
  <c r="S249" i="1"/>
  <c r="R249" i="1"/>
  <c r="Q249" i="1"/>
  <c r="P249" i="1"/>
  <c r="N249" i="1"/>
  <c r="M249" i="1"/>
  <c r="L249" i="1"/>
  <c r="K249" i="1"/>
  <c r="AW248" i="1"/>
  <c r="AV248" i="1"/>
  <c r="AU248" i="1"/>
  <c r="AT248" i="1"/>
  <c r="AR248" i="1"/>
  <c r="AQ248" i="1"/>
  <c r="AP248" i="1"/>
  <c r="AO248" i="1"/>
  <c r="AM248" i="1"/>
  <c r="AL248" i="1"/>
  <c r="AK248" i="1"/>
  <c r="AJ248" i="1"/>
  <c r="AH248" i="1"/>
  <c r="AG248" i="1"/>
  <c r="AF248" i="1"/>
  <c r="AE248" i="1"/>
  <c r="AC248" i="1"/>
  <c r="AB248" i="1"/>
  <c r="AA248" i="1"/>
  <c r="Z248" i="1"/>
  <c r="X248" i="1"/>
  <c r="W248" i="1"/>
  <c r="V248" i="1"/>
  <c r="U248" i="1"/>
  <c r="S248" i="1"/>
  <c r="R248" i="1"/>
  <c r="Q248" i="1"/>
  <c r="P248" i="1"/>
  <c r="N248" i="1"/>
  <c r="M248" i="1"/>
  <c r="L248" i="1"/>
  <c r="K248" i="1"/>
  <c r="AW247" i="1"/>
  <c r="AV247" i="1"/>
  <c r="AU247" i="1"/>
  <c r="AT247" i="1"/>
  <c r="AR247" i="1"/>
  <c r="AQ247" i="1"/>
  <c r="AP247" i="1"/>
  <c r="AO247" i="1"/>
  <c r="AM247" i="1"/>
  <c r="AL247" i="1"/>
  <c r="AK247" i="1"/>
  <c r="AJ247" i="1"/>
  <c r="AH247" i="1"/>
  <c r="AG247" i="1"/>
  <c r="AF247" i="1"/>
  <c r="AE247" i="1"/>
  <c r="AC247" i="1"/>
  <c r="AB247" i="1"/>
  <c r="AA247" i="1"/>
  <c r="Z247" i="1"/>
  <c r="X247" i="1"/>
  <c r="W247" i="1"/>
  <c r="V247" i="1"/>
  <c r="U247" i="1"/>
  <c r="S247" i="1"/>
  <c r="R247" i="1"/>
  <c r="Q247" i="1"/>
  <c r="P247" i="1"/>
  <c r="N247" i="1"/>
  <c r="M247" i="1"/>
  <c r="L247" i="1"/>
  <c r="K247" i="1"/>
  <c r="AW246" i="1"/>
  <c r="AV246" i="1"/>
  <c r="AU246" i="1"/>
  <c r="AT246" i="1"/>
  <c r="AR246" i="1"/>
  <c r="AQ246" i="1"/>
  <c r="AP246" i="1"/>
  <c r="AO246" i="1"/>
  <c r="AM246" i="1"/>
  <c r="AL246" i="1"/>
  <c r="AK246" i="1"/>
  <c r="AJ246" i="1"/>
  <c r="AH246" i="1"/>
  <c r="AG246" i="1"/>
  <c r="AF246" i="1"/>
  <c r="AE246" i="1"/>
  <c r="AC246" i="1"/>
  <c r="AB246" i="1"/>
  <c r="AA246" i="1"/>
  <c r="Z246" i="1"/>
  <c r="X246" i="1"/>
  <c r="W246" i="1"/>
  <c r="V246" i="1"/>
  <c r="U246" i="1"/>
  <c r="S246" i="1"/>
  <c r="R246" i="1"/>
  <c r="Q246" i="1"/>
  <c r="P246" i="1"/>
  <c r="N246" i="1"/>
  <c r="M246" i="1"/>
  <c r="L246" i="1"/>
  <c r="K246" i="1"/>
  <c r="AW245" i="1"/>
  <c r="AV245" i="1"/>
  <c r="AU245" i="1"/>
  <c r="AT245" i="1"/>
  <c r="AR245" i="1"/>
  <c r="AQ245" i="1"/>
  <c r="AP245" i="1"/>
  <c r="AO245" i="1"/>
  <c r="AM245" i="1"/>
  <c r="AL245" i="1"/>
  <c r="AK245" i="1"/>
  <c r="AJ245" i="1"/>
  <c r="AH245" i="1"/>
  <c r="AG245" i="1"/>
  <c r="AF245" i="1"/>
  <c r="AE245" i="1"/>
  <c r="AC245" i="1"/>
  <c r="AB245" i="1"/>
  <c r="AA245" i="1"/>
  <c r="Z245" i="1"/>
  <c r="X245" i="1"/>
  <c r="W245" i="1"/>
  <c r="V245" i="1"/>
  <c r="U245" i="1"/>
  <c r="S245" i="1"/>
  <c r="R245" i="1"/>
  <c r="Q245" i="1"/>
  <c r="P245" i="1"/>
  <c r="N245" i="1"/>
  <c r="M245" i="1"/>
  <c r="L245" i="1"/>
  <c r="K245" i="1"/>
  <c r="AW244" i="1"/>
  <c r="AV244" i="1"/>
  <c r="AU244" i="1"/>
  <c r="AT244" i="1"/>
  <c r="AR244" i="1"/>
  <c r="AQ244" i="1"/>
  <c r="AP244" i="1"/>
  <c r="AO244" i="1"/>
  <c r="AM244" i="1"/>
  <c r="AL244" i="1"/>
  <c r="AK244" i="1"/>
  <c r="AJ244" i="1"/>
  <c r="AH244" i="1"/>
  <c r="AG244" i="1"/>
  <c r="AF244" i="1"/>
  <c r="AE244" i="1"/>
  <c r="AC244" i="1"/>
  <c r="AB244" i="1"/>
  <c r="AA244" i="1"/>
  <c r="Z244" i="1"/>
  <c r="X244" i="1"/>
  <c r="W244" i="1"/>
  <c r="V244" i="1"/>
  <c r="U244" i="1"/>
  <c r="S244" i="1"/>
  <c r="R244" i="1"/>
  <c r="Q244" i="1"/>
  <c r="P244" i="1"/>
  <c r="N244" i="1"/>
  <c r="M244" i="1"/>
  <c r="L244" i="1"/>
  <c r="K244" i="1"/>
  <c r="AW243" i="1"/>
  <c r="AV243" i="1"/>
  <c r="AU243" i="1"/>
  <c r="AT243" i="1"/>
  <c r="AR243" i="1"/>
  <c r="AQ243" i="1"/>
  <c r="AP243" i="1"/>
  <c r="AO243" i="1"/>
  <c r="AM243" i="1"/>
  <c r="AL243" i="1"/>
  <c r="AK243" i="1"/>
  <c r="AJ243" i="1"/>
  <c r="AH243" i="1"/>
  <c r="AG243" i="1"/>
  <c r="AF243" i="1"/>
  <c r="AE243" i="1"/>
  <c r="AC243" i="1"/>
  <c r="AB243" i="1"/>
  <c r="AA243" i="1"/>
  <c r="Z243" i="1"/>
  <c r="X243" i="1"/>
  <c r="W243" i="1"/>
  <c r="V243" i="1"/>
  <c r="U243" i="1"/>
  <c r="S243" i="1"/>
  <c r="R243" i="1"/>
  <c r="Q243" i="1"/>
  <c r="P243" i="1"/>
  <c r="N243" i="1"/>
  <c r="M243" i="1"/>
  <c r="L243" i="1"/>
  <c r="K243" i="1"/>
  <c r="AW242" i="1"/>
  <c r="AV242" i="1"/>
  <c r="AU242" i="1"/>
  <c r="AT242" i="1"/>
  <c r="AR242" i="1"/>
  <c r="AQ242" i="1"/>
  <c r="AP242" i="1"/>
  <c r="AO242" i="1"/>
  <c r="AM242" i="1"/>
  <c r="AL242" i="1"/>
  <c r="AK242" i="1"/>
  <c r="AJ242" i="1"/>
  <c r="AH242" i="1"/>
  <c r="AG242" i="1"/>
  <c r="AF242" i="1"/>
  <c r="AE242" i="1"/>
  <c r="AC242" i="1"/>
  <c r="AB242" i="1"/>
  <c r="AA242" i="1"/>
  <c r="Z242" i="1"/>
  <c r="X242" i="1"/>
  <c r="W242" i="1"/>
  <c r="V242" i="1"/>
  <c r="U242" i="1"/>
  <c r="S242" i="1"/>
  <c r="R242" i="1"/>
  <c r="Q242" i="1"/>
  <c r="P242" i="1"/>
  <c r="N242" i="1"/>
  <c r="M242" i="1"/>
  <c r="L242" i="1"/>
  <c r="K242" i="1"/>
  <c r="AW241" i="1"/>
  <c r="AV241" i="1"/>
  <c r="AU241" i="1"/>
  <c r="AT241" i="1"/>
  <c r="AR241" i="1"/>
  <c r="AQ241" i="1"/>
  <c r="AP241" i="1"/>
  <c r="AO241" i="1"/>
  <c r="AM241" i="1"/>
  <c r="AL241" i="1"/>
  <c r="AK241" i="1"/>
  <c r="AJ241" i="1"/>
  <c r="AH241" i="1"/>
  <c r="AG241" i="1"/>
  <c r="AF241" i="1"/>
  <c r="AE241" i="1"/>
  <c r="AC241" i="1"/>
  <c r="AB241" i="1"/>
  <c r="AA241" i="1"/>
  <c r="Z241" i="1"/>
  <c r="X241" i="1"/>
  <c r="W241" i="1"/>
  <c r="V241" i="1"/>
  <c r="U241" i="1"/>
  <c r="S241" i="1"/>
  <c r="R241" i="1"/>
  <c r="Q241" i="1"/>
  <c r="P241" i="1"/>
  <c r="N241" i="1"/>
  <c r="M241" i="1"/>
  <c r="L241" i="1"/>
  <c r="K241" i="1"/>
  <c r="AW240" i="1"/>
  <c r="AV240" i="1"/>
  <c r="AU240" i="1"/>
  <c r="AT240" i="1"/>
  <c r="AR240" i="1"/>
  <c r="AQ240" i="1"/>
  <c r="AP240" i="1"/>
  <c r="AO240" i="1"/>
  <c r="AM240" i="1"/>
  <c r="AL240" i="1"/>
  <c r="AK240" i="1"/>
  <c r="AJ240" i="1"/>
  <c r="AH240" i="1"/>
  <c r="AG240" i="1"/>
  <c r="AF240" i="1"/>
  <c r="AE240" i="1"/>
  <c r="AC240" i="1"/>
  <c r="AB240" i="1"/>
  <c r="AA240" i="1"/>
  <c r="Z240" i="1"/>
  <c r="X240" i="1"/>
  <c r="W240" i="1"/>
  <c r="V240" i="1"/>
  <c r="U240" i="1"/>
  <c r="S240" i="1"/>
  <c r="R240" i="1"/>
  <c r="Q240" i="1"/>
  <c r="P240" i="1"/>
  <c r="N240" i="1"/>
  <c r="M240" i="1"/>
  <c r="L240" i="1"/>
  <c r="K240" i="1"/>
  <c r="AW239" i="1"/>
  <c r="AV239" i="1"/>
  <c r="AU239" i="1"/>
  <c r="AT239" i="1"/>
  <c r="AR239" i="1"/>
  <c r="AQ239" i="1"/>
  <c r="AP239" i="1"/>
  <c r="AO239" i="1"/>
  <c r="AM239" i="1"/>
  <c r="AL239" i="1"/>
  <c r="AK239" i="1"/>
  <c r="AJ239" i="1"/>
  <c r="AH239" i="1"/>
  <c r="AG239" i="1"/>
  <c r="AF239" i="1"/>
  <c r="AE239" i="1"/>
  <c r="AC239" i="1"/>
  <c r="AB239" i="1"/>
  <c r="AA239" i="1"/>
  <c r="Z239" i="1"/>
  <c r="X239" i="1"/>
  <c r="W239" i="1"/>
  <c r="V239" i="1"/>
  <c r="U239" i="1"/>
  <c r="S239" i="1"/>
  <c r="R239" i="1"/>
  <c r="Q239" i="1"/>
  <c r="P239" i="1"/>
  <c r="N239" i="1"/>
  <c r="M239" i="1"/>
  <c r="L239" i="1"/>
  <c r="K239" i="1"/>
  <c r="AW238" i="1"/>
  <c r="AV238" i="1"/>
  <c r="AU238" i="1"/>
  <c r="AT238" i="1"/>
  <c r="AR238" i="1"/>
  <c r="AQ238" i="1"/>
  <c r="AP238" i="1"/>
  <c r="AO238" i="1"/>
  <c r="AM238" i="1"/>
  <c r="AL238" i="1"/>
  <c r="AK238" i="1"/>
  <c r="AJ238" i="1"/>
  <c r="AH238" i="1"/>
  <c r="AG238" i="1"/>
  <c r="AF238" i="1"/>
  <c r="AE238" i="1"/>
  <c r="AC238" i="1"/>
  <c r="AB238" i="1"/>
  <c r="AA238" i="1"/>
  <c r="Z238" i="1"/>
  <c r="X238" i="1"/>
  <c r="W238" i="1"/>
  <c r="V238" i="1"/>
  <c r="U238" i="1"/>
  <c r="S238" i="1"/>
  <c r="R238" i="1"/>
  <c r="Q238" i="1"/>
  <c r="P238" i="1"/>
  <c r="N238" i="1"/>
  <c r="M238" i="1"/>
  <c r="L238" i="1"/>
  <c r="K238" i="1"/>
  <c r="AW237" i="1"/>
  <c r="AV237" i="1"/>
  <c r="AU237" i="1"/>
  <c r="AT237" i="1"/>
  <c r="AR237" i="1"/>
  <c r="AQ237" i="1"/>
  <c r="AP237" i="1"/>
  <c r="AO237" i="1"/>
  <c r="AM237" i="1"/>
  <c r="AL237" i="1"/>
  <c r="AK237" i="1"/>
  <c r="AJ237" i="1"/>
  <c r="AH237" i="1"/>
  <c r="AG237" i="1"/>
  <c r="AF237" i="1"/>
  <c r="AE237" i="1"/>
  <c r="AC237" i="1"/>
  <c r="AB237" i="1"/>
  <c r="AA237" i="1"/>
  <c r="Z237" i="1"/>
  <c r="X237" i="1"/>
  <c r="W237" i="1"/>
  <c r="V237" i="1"/>
  <c r="U237" i="1"/>
  <c r="S237" i="1"/>
  <c r="R237" i="1"/>
  <c r="Q237" i="1"/>
  <c r="P237" i="1"/>
  <c r="N237" i="1"/>
  <c r="M237" i="1"/>
  <c r="L237" i="1"/>
  <c r="K237" i="1"/>
  <c r="AW236" i="1"/>
  <c r="AV236" i="1"/>
  <c r="AU236" i="1"/>
  <c r="AT236" i="1"/>
  <c r="AR236" i="1"/>
  <c r="AQ236" i="1"/>
  <c r="AP236" i="1"/>
  <c r="AO236" i="1"/>
  <c r="AM236" i="1"/>
  <c r="AL236" i="1"/>
  <c r="AK236" i="1"/>
  <c r="AJ236" i="1"/>
  <c r="AH236" i="1"/>
  <c r="AG236" i="1"/>
  <c r="AF236" i="1"/>
  <c r="AE236" i="1"/>
  <c r="AC236" i="1"/>
  <c r="AB236" i="1"/>
  <c r="AA236" i="1"/>
  <c r="Z236" i="1"/>
  <c r="X236" i="1"/>
  <c r="W236" i="1"/>
  <c r="V236" i="1"/>
  <c r="U236" i="1"/>
  <c r="S236" i="1"/>
  <c r="R236" i="1"/>
  <c r="Q236" i="1"/>
  <c r="P236" i="1"/>
  <c r="N236" i="1"/>
  <c r="M236" i="1"/>
  <c r="L236" i="1"/>
  <c r="K236" i="1"/>
  <c r="AW235" i="1"/>
  <c r="AV235" i="1"/>
  <c r="AU235" i="1"/>
  <c r="AT235" i="1"/>
  <c r="AR235" i="1"/>
  <c r="AQ235" i="1"/>
  <c r="AP235" i="1"/>
  <c r="AO235" i="1"/>
  <c r="AM235" i="1"/>
  <c r="AL235" i="1"/>
  <c r="AK235" i="1"/>
  <c r="AJ235" i="1"/>
  <c r="AH235" i="1"/>
  <c r="AG235" i="1"/>
  <c r="AF235" i="1"/>
  <c r="AE235" i="1"/>
  <c r="AC235" i="1"/>
  <c r="AB235" i="1"/>
  <c r="AA235" i="1"/>
  <c r="Z235" i="1"/>
  <c r="X235" i="1"/>
  <c r="W235" i="1"/>
  <c r="V235" i="1"/>
  <c r="U235" i="1"/>
  <c r="S235" i="1"/>
  <c r="R235" i="1"/>
  <c r="Q235" i="1"/>
  <c r="P235" i="1"/>
  <c r="N235" i="1"/>
  <c r="M235" i="1"/>
  <c r="L235" i="1"/>
  <c r="K235" i="1"/>
  <c r="AW234" i="1"/>
  <c r="AV234" i="1"/>
  <c r="AU234" i="1"/>
  <c r="AT234" i="1"/>
  <c r="AR234" i="1"/>
  <c r="AQ234" i="1"/>
  <c r="AP234" i="1"/>
  <c r="AO234" i="1"/>
  <c r="AM234" i="1"/>
  <c r="AL234" i="1"/>
  <c r="AK234" i="1"/>
  <c r="AJ234" i="1"/>
  <c r="AH234" i="1"/>
  <c r="AG234" i="1"/>
  <c r="AF234" i="1"/>
  <c r="AE234" i="1"/>
  <c r="AC234" i="1"/>
  <c r="AB234" i="1"/>
  <c r="AA234" i="1"/>
  <c r="Z234" i="1"/>
  <c r="X234" i="1"/>
  <c r="W234" i="1"/>
  <c r="V234" i="1"/>
  <c r="U234" i="1"/>
  <c r="S234" i="1"/>
  <c r="R234" i="1"/>
  <c r="Q234" i="1"/>
  <c r="P234" i="1"/>
  <c r="N234" i="1"/>
  <c r="M234" i="1"/>
  <c r="L234" i="1"/>
  <c r="K234" i="1"/>
  <c r="AW233" i="1"/>
  <c r="AV233" i="1"/>
  <c r="AU233" i="1"/>
  <c r="AT233" i="1"/>
  <c r="AR233" i="1"/>
  <c r="AQ233" i="1"/>
  <c r="AP233" i="1"/>
  <c r="AO233" i="1"/>
  <c r="AM233" i="1"/>
  <c r="AL233" i="1"/>
  <c r="AK233" i="1"/>
  <c r="AJ233" i="1"/>
  <c r="AH233" i="1"/>
  <c r="AG233" i="1"/>
  <c r="AF233" i="1"/>
  <c r="AE233" i="1"/>
  <c r="AC233" i="1"/>
  <c r="AB233" i="1"/>
  <c r="AA233" i="1"/>
  <c r="Z233" i="1"/>
  <c r="X233" i="1"/>
  <c r="W233" i="1"/>
  <c r="V233" i="1"/>
  <c r="U233" i="1"/>
  <c r="S233" i="1"/>
  <c r="R233" i="1"/>
  <c r="Q233" i="1"/>
  <c r="P233" i="1"/>
  <c r="N233" i="1"/>
  <c r="M233" i="1"/>
  <c r="L233" i="1"/>
  <c r="K233" i="1"/>
  <c r="AW232" i="1"/>
  <c r="AV232" i="1"/>
  <c r="AU232" i="1"/>
  <c r="AT232" i="1"/>
  <c r="AR232" i="1"/>
  <c r="AQ232" i="1"/>
  <c r="AP232" i="1"/>
  <c r="AO232" i="1"/>
  <c r="AM232" i="1"/>
  <c r="AL232" i="1"/>
  <c r="AK232" i="1"/>
  <c r="AJ232" i="1"/>
  <c r="AH232" i="1"/>
  <c r="AG232" i="1"/>
  <c r="AF232" i="1"/>
  <c r="AE232" i="1"/>
  <c r="AC232" i="1"/>
  <c r="AB232" i="1"/>
  <c r="AA232" i="1"/>
  <c r="Z232" i="1"/>
  <c r="X232" i="1"/>
  <c r="W232" i="1"/>
  <c r="V232" i="1"/>
  <c r="U232" i="1"/>
  <c r="S232" i="1"/>
  <c r="R232" i="1"/>
  <c r="Q232" i="1"/>
  <c r="P232" i="1"/>
  <c r="N232" i="1"/>
  <c r="M232" i="1"/>
  <c r="L232" i="1"/>
  <c r="K232" i="1"/>
  <c r="AW231" i="1"/>
  <c r="AV231" i="1"/>
  <c r="AU231" i="1"/>
  <c r="AT231" i="1"/>
  <c r="AR231" i="1"/>
  <c r="AQ231" i="1"/>
  <c r="AP231" i="1"/>
  <c r="AO231" i="1"/>
  <c r="AM231" i="1"/>
  <c r="AL231" i="1"/>
  <c r="AK231" i="1"/>
  <c r="AJ231" i="1"/>
  <c r="AH231" i="1"/>
  <c r="AG231" i="1"/>
  <c r="AF231" i="1"/>
  <c r="AE231" i="1"/>
  <c r="AC231" i="1"/>
  <c r="AB231" i="1"/>
  <c r="AA231" i="1"/>
  <c r="Z231" i="1"/>
  <c r="X231" i="1"/>
  <c r="W231" i="1"/>
  <c r="V231" i="1"/>
  <c r="U231" i="1"/>
  <c r="S231" i="1"/>
  <c r="R231" i="1"/>
  <c r="Q231" i="1"/>
  <c r="P231" i="1"/>
  <c r="N231" i="1"/>
  <c r="M231" i="1"/>
  <c r="L231" i="1"/>
  <c r="K231" i="1"/>
  <c r="AW230" i="1"/>
  <c r="AV230" i="1"/>
  <c r="AU230" i="1"/>
  <c r="AT230" i="1"/>
  <c r="AR230" i="1"/>
  <c r="AQ230" i="1"/>
  <c r="AP230" i="1"/>
  <c r="AO230" i="1"/>
  <c r="AM230" i="1"/>
  <c r="AL230" i="1"/>
  <c r="AK230" i="1"/>
  <c r="AJ230" i="1"/>
  <c r="AH230" i="1"/>
  <c r="AG230" i="1"/>
  <c r="AF230" i="1"/>
  <c r="AE230" i="1"/>
  <c r="AC230" i="1"/>
  <c r="AB230" i="1"/>
  <c r="AA230" i="1"/>
  <c r="Z230" i="1"/>
  <c r="X230" i="1"/>
  <c r="W230" i="1"/>
  <c r="V230" i="1"/>
  <c r="U230" i="1"/>
  <c r="S230" i="1"/>
  <c r="R230" i="1"/>
  <c r="Q230" i="1"/>
  <c r="P230" i="1"/>
  <c r="N230" i="1"/>
  <c r="M230" i="1"/>
  <c r="L230" i="1"/>
  <c r="K230" i="1"/>
  <c r="AW229" i="1"/>
  <c r="AV229" i="1"/>
  <c r="AU229" i="1"/>
  <c r="AT229" i="1"/>
  <c r="AR229" i="1"/>
  <c r="AQ229" i="1"/>
  <c r="AP229" i="1"/>
  <c r="AO229" i="1"/>
  <c r="AM229" i="1"/>
  <c r="AL229" i="1"/>
  <c r="AK229" i="1"/>
  <c r="AJ229" i="1"/>
  <c r="AH229" i="1"/>
  <c r="AG229" i="1"/>
  <c r="AF229" i="1"/>
  <c r="AE229" i="1"/>
  <c r="AC229" i="1"/>
  <c r="AB229" i="1"/>
  <c r="AA229" i="1"/>
  <c r="Z229" i="1"/>
  <c r="X229" i="1"/>
  <c r="W229" i="1"/>
  <c r="V229" i="1"/>
  <c r="U229" i="1"/>
  <c r="S229" i="1"/>
  <c r="R229" i="1"/>
  <c r="Q229" i="1"/>
  <c r="P229" i="1"/>
  <c r="N229" i="1"/>
  <c r="M229" i="1"/>
  <c r="L229" i="1"/>
  <c r="K229" i="1"/>
  <c r="AW228" i="1"/>
  <c r="AV228" i="1"/>
  <c r="AU228" i="1"/>
  <c r="AT228" i="1"/>
  <c r="AR228" i="1"/>
  <c r="AQ228" i="1"/>
  <c r="AP228" i="1"/>
  <c r="AO228" i="1"/>
  <c r="AM228" i="1"/>
  <c r="AL228" i="1"/>
  <c r="AK228" i="1"/>
  <c r="AJ228" i="1"/>
  <c r="AH228" i="1"/>
  <c r="AG228" i="1"/>
  <c r="AF228" i="1"/>
  <c r="AE228" i="1"/>
  <c r="AC228" i="1"/>
  <c r="AB228" i="1"/>
  <c r="AA228" i="1"/>
  <c r="Z228" i="1"/>
  <c r="X228" i="1"/>
  <c r="W228" i="1"/>
  <c r="V228" i="1"/>
  <c r="U228" i="1"/>
  <c r="S228" i="1"/>
  <c r="R228" i="1"/>
  <c r="Q228" i="1"/>
  <c r="P228" i="1"/>
  <c r="N228" i="1"/>
  <c r="M228" i="1"/>
  <c r="L228" i="1"/>
  <c r="K228" i="1"/>
  <c r="AW227" i="1"/>
  <c r="AV227" i="1"/>
  <c r="AU227" i="1"/>
  <c r="AT227" i="1"/>
  <c r="AR227" i="1"/>
  <c r="AQ227" i="1"/>
  <c r="AP227" i="1"/>
  <c r="AO227" i="1"/>
  <c r="AM227" i="1"/>
  <c r="AL227" i="1"/>
  <c r="AK227" i="1"/>
  <c r="AJ227" i="1"/>
  <c r="AH227" i="1"/>
  <c r="AG227" i="1"/>
  <c r="AF227" i="1"/>
  <c r="AE227" i="1"/>
  <c r="AC227" i="1"/>
  <c r="AB227" i="1"/>
  <c r="AA227" i="1"/>
  <c r="Z227" i="1"/>
  <c r="X227" i="1"/>
  <c r="W227" i="1"/>
  <c r="V227" i="1"/>
  <c r="U227" i="1"/>
  <c r="S227" i="1"/>
  <c r="R227" i="1"/>
  <c r="Q227" i="1"/>
  <c r="P227" i="1"/>
  <c r="N227" i="1"/>
  <c r="M227" i="1"/>
  <c r="L227" i="1"/>
  <c r="K227" i="1"/>
  <c r="AW226" i="1"/>
  <c r="AV226" i="1"/>
  <c r="AU226" i="1"/>
  <c r="AT226" i="1"/>
  <c r="AR226" i="1"/>
  <c r="AQ226" i="1"/>
  <c r="AP226" i="1"/>
  <c r="AO226" i="1"/>
  <c r="AM226" i="1"/>
  <c r="AL226" i="1"/>
  <c r="AK226" i="1"/>
  <c r="AJ226" i="1"/>
  <c r="AH226" i="1"/>
  <c r="AG226" i="1"/>
  <c r="AF226" i="1"/>
  <c r="AE226" i="1"/>
  <c r="AC226" i="1"/>
  <c r="AB226" i="1"/>
  <c r="AA226" i="1"/>
  <c r="Z226" i="1"/>
  <c r="X226" i="1"/>
  <c r="W226" i="1"/>
  <c r="V226" i="1"/>
  <c r="U226" i="1"/>
  <c r="S226" i="1"/>
  <c r="R226" i="1"/>
  <c r="Q226" i="1"/>
  <c r="P226" i="1"/>
  <c r="N226" i="1"/>
  <c r="M226" i="1"/>
  <c r="L226" i="1"/>
  <c r="K226" i="1"/>
  <c r="AW225" i="1"/>
  <c r="AV225" i="1"/>
  <c r="AU225" i="1"/>
  <c r="AT225" i="1"/>
  <c r="AR225" i="1"/>
  <c r="AQ225" i="1"/>
  <c r="AP225" i="1"/>
  <c r="AO225" i="1"/>
  <c r="AM225" i="1"/>
  <c r="AL225" i="1"/>
  <c r="AK225" i="1"/>
  <c r="AJ225" i="1"/>
  <c r="AH225" i="1"/>
  <c r="AG225" i="1"/>
  <c r="AF225" i="1"/>
  <c r="AE225" i="1"/>
  <c r="AC225" i="1"/>
  <c r="AB225" i="1"/>
  <c r="AA225" i="1"/>
  <c r="Z225" i="1"/>
  <c r="X225" i="1"/>
  <c r="W225" i="1"/>
  <c r="V225" i="1"/>
  <c r="U225" i="1"/>
  <c r="S225" i="1"/>
  <c r="R225" i="1"/>
  <c r="Q225" i="1"/>
  <c r="P225" i="1"/>
  <c r="N225" i="1"/>
  <c r="M225" i="1"/>
  <c r="L225" i="1"/>
  <c r="K225" i="1"/>
  <c r="AW224" i="1"/>
  <c r="AV224" i="1"/>
  <c r="AU224" i="1"/>
  <c r="AT224" i="1"/>
  <c r="AR224" i="1"/>
  <c r="AQ224" i="1"/>
  <c r="AP224" i="1"/>
  <c r="AO224" i="1"/>
  <c r="AM224" i="1"/>
  <c r="AL224" i="1"/>
  <c r="AK224" i="1"/>
  <c r="AJ224" i="1"/>
  <c r="AH224" i="1"/>
  <c r="AG224" i="1"/>
  <c r="AF224" i="1"/>
  <c r="AE224" i="1"/>
  <c r="AC224" i="1"/>
  <c r="AB224" i="1"/>
  <c r="AA224" i="1"/>
  <c r="Z224" i="1"/>
  <c r="X224" i="1"/>
  <c r="W224" i="1"/>
  <c r="V224" i="1"/>
  <c r="U224" i="1"/>
  <c r="S224" i="1"/>
  <c r="R224" i="1"/>
  <c r="Q224" i="1"/>
  <c r="P224" i="1"/>
  <c r="N224" i="1"/>
  <c r="M224" i="1"/>
  <c r="L224" i="1"/>
  <c r="K224" i="1"/>
  <c r="AW223" i="1"/>
  <c r="AV223" i="1"/>
  <c r="AU223" i="1"/>
  <c r="AT223" i="1"/>
  <c r="AR223" i="1"/>
  <c r="AQ223" i="1"/>
  <c r="AP223" i="1"/>
  <c r="AO223" i="1"/>
  <c r="AM223" i="1"/>
  <c r="AL223" i="1"/>
  <c r="AK223" i="1"/>
  <c r="AJ223" i="1"/>
  <c r="AH223" i="1"/>
  <c r="AG223" i="1"/>
  <c r="AF223" i="1"/>
  <c r="AE223" i="1"/>
  <c r="AC223" i="1"/>
  <c r="AB223" i="1"/>
  <c r="AA223" i="1"/>
  <c r="Z223" i="1"/>
  <c r="X223" i="1"/>
  <c r="W223" i="1"/>
  <c r="V223" i="1"/>
  <c r="U223" i="1"/>
  <c r="S223" i="1"/>
  <c r="R223" i="1"/>
  <c r="Q223" i="1"/>
  <c r="P223" i="1"/>
  <c r="N223" i="1"/>
  <c r="M223" i="1"/>
  <c r="L223" i="1"/>
  <c r="K223" i="1"/>
  <c r="AW222" i="1"/>
  <c r="AV222" i="1"/>
  <c r="AU222" i="1"/>
  <c r="AT222" i="1"/>
  <c r="AR222" i="1"/>
  <c r="AQ222" i="1"/>
  <c r="AP222" i="1"/>
  <c r="AO222" i="1"/>
  <c r="AM222" i="1"/>
  <c r="AL222" i="1"/>
  <c r="AK222" i="1"/>
  <c r="AJ222" i="1"/>
  <c r="AH222" i="1"/>
  <c r="AG222" i="1"/>
  <c r="AF222" i="1"/>
  <c r="AE222" i="1"/>
  <c r="AC222" i="1"/>
  <c r="AB222" i="1"/>
  <c r="AA222" i="1"/>
  <c r="Z222" i="1"/>
  <c r="X222" i="1"/>
  <c r="W222" i="1"/>
  <c r="V222" i="1"/>
  <c r="U222" i="1"/>
  <c r="S222" i="1"/>
  <c r="R222" i="1"/>
  <c r="Q222" i="1"/>
  <c r="P222" i="1"/>
  <c r="N222" i="1"/>
  <c r="M222" i="1"/>
  <c r="L222" i="1"/>
  <c r="K222" i="1"/>
  <c r="AW221" i="1"/>
  <c r="AV221" i="1"/>
  <c r="AU221" i="1"/>
  <c r="AT221" i="1"/>
  <c r="AR221" i="1"/>
  <c r="AQ221" i="1"/>
  <c r="AP221" i="1"/>
  <c r="AO221" i="1"/>
  <c r="AM221" i="1"/>
  <c r="AL221" i="1"/>
  <c r="AK221" i="1"/>
  <c r="AJ221" i="1"/>
  <c r="AH221" i="1"/>
  <c r="AG221" i="1"/>
  <c r="AF221" i="1"/>
  <c r="AE221" i="1"/>
  <c r="AC221" i="1"/>
  <c r="AB221" i="1"/>
  <c r="AA221" i="1"/>
  <c r="Z221" i="1"/>
  <c r="X221" i="1"/>
  <c r="W221" i="1"/>
  <c r="V221" i="1"/>
  <c r="U221" i="1"/>
  <c r="S221" i="1"/>
  <c r="R221" i="1"/>
  <c r="Q221" i="1"/>
  <c r="P221" i="1"/>
  <c r="N221" i="1"/>
  <c r="M221" i="1"/>
  <c r="L221" i="1"/>
  <c r="K221" i="1"/>
  <c r="AW220" i="1"/>
  <c r="AV220" i="1"/>
  <c r="AU220" i="1"/>
  <c r="AT220" i="1"/>
  <c r="AR220" i="1"/>
  <c r="AQ220" i="1"/>
  <c r="AP220" i="1"/>
  <c r="AO220" i="1"/>
  <c r="AM220" i="1"/>
  <c r="AL220" i="1"/>
  <c r="AK220" i="1"/>
  <c r="AJ220" i="1"/>
  <c r="AH220" i="1"/>
  <c r="AG220" i="1"/>
  <c r="AF220" i="1"/>
  <c r="AE220" i="1"/>
  <c r="AC220" i="1"/>
  <c r="AB220" i="1"/>
  <c r="AA220" i="1"/>
  <c r="Z220" i="1"/>
  <c r="X220" i="1"/>
  <c r="W220" i="1"/>
  <c r="V220" i="1"/>
  <c r="U220" i="1"/>
  <c r="S220" i="1"/>
  <c r="R220" i="1"/>
  <c r="Q220" i="1"/>
  <c r="P220" i="1"/>
  <c r="N220" i="1"/>
  <c r="M220" i="1"/>
  <c r="L220" i="1"/>
  <c r="K220" i="1"/>
  <c r="AW219" i="1"/>
  <c r="AV219" i="1"/>
  <c r="AU219" i="1"/>
  <c r="AT219" i="1"/>
  <c r="AR219" i="1"/>
  <c r="AQ219" i="1"/>
  <c r="AP219" i="1"/>
  <c r="AO219" i="1"/>
  <c r="AM219" i="1"/>
  <c r="AL219" i="1"/>
  <c r="AK219" i="1"/>
  <c r="AJ219" i="1"/>
  <c r="AH219" i="1"/>
  <c r="AG219" i="1"/>
  <c r="AF219" i="1"/>
  <c r="AE219" i="1"/>
  <c r="AC219" i="1"/>
  <c r="AB219" i="1"/>
  <c r="AA219" i="1"/>
  <c r="Z219" i="1"/>
  <c r="X219" i="1"/>
  <c r="W219" i="1"/>
  <c r="V219" i="1"/>
  <c r="U219" i="1"/>
  <c r="S219" i="1"/>
  <c r="R219" i="1"/>
  <c r="Q219" i="1"/>
  <c r="P219" i="1"/>
  <c r="N219" i="1"/>
  <c r="M219" i="1"/>
  <c r="L219" i="1"/>
  <c r="K219" i="1"/>
  <c r="AW218" i="1"/>
  <c r="AV218" i="1"/>
  <c r="AU218" i="1"/>
  <c r="AT218" i="1"/>
  <c r="AR218" i="1"/>
  <c r="AQ218" i="1"/>
  <c r="AP218" i="1"/>
  <c r="AO218" i="1"/>
  <c r="AM218" i="1"/>
  <c r="AL218" i="1"/>
  <c r="AK218" i="1"/>
  <c r="AJ218" i="1"/>
  <c r="AH218" i="1"/>
  <c r="AG218" i="1"/>
  <c r="AF218" i="1"/>
  <c r="AE218" i="1"/>
  <c r="AC218" i="1"/>
  <c r="AB218" i="1"/>
  <c r="AA218" i="1"/>
  <c r="Z218" i="1"/>
  <c r="X218" i="1"/>
  <c r="W218" i="1"/>
  <c r="V218" i="1"/>
  <c r="U218" i="1"/>
  <c r="S218" i="1"/>
  <c r="R218" i="1"/>
  <c r="Q218" i="1"/>
  <c r="P218" i="1"/>
  <c r="N218" i="1"/>
  <c r="M218" i="1"/>
  <c r="L218" i="1"/>
  <c r="K218" i="1"/>
  <c r="AW217" i="1"/>
  <c r="AV217" i="1"/>
  <c r="AU217" i="1"/>
  <c r="AT217" i="1"/>
  <c r="AR217" i="1"/>
  <c r="AQ217" i="1"/>
  <c r="AP217" i="1"/>
  <c r="AO217" i="1"/>
  <c r="AM217" i="1"/>
  <c r="AL217" i="1"/>
  <c r="AK217" i="1"/>
  <c r="AJ217" i="1"/>
  <c r="AH217" i="1"/>
  <c r="AG217" i="1"/>
  <c r="AF217" i="1"/>
  <c r="AE217" i="1"/>
  <c r="AC217" i="1"/>
  <c r="AB217" i="1"/>
  <c r="AA217" i="1"/>
  <c r="Z217" i="1"/>
  <c r="X217" i="1"/>
  <c r="W217" i="1"/>
  <c r="V217" i="1"/>
  <c r="U217" i="1"/>
  <c r="S217" i="1"/>
  <c r="R217" i="1"/>
  <c r="Q217" i="1"/>
  <c r="P217" i="1"/>
  <c r="N217" i="1"/>
  <c r="M217" i="1"/>
  <c r="L217" i="1"/>
  <c r="K217" i="1"/>
  <c r="AW216" i="1"/>
  <c r="AV216" i="1"/>
  <c r="AU216" i="1"/>
  <c r="AT216" i="1"/>
  <c r="AR216" i="1"/>
  <c r="AQ216" i="1"/>
  <c r="AP216" i="1"/>
  <c r="AO216" i="1"/>
  <c r="AM216" i="1"/>
  <c r="AL216" i="1"/>
  <c r="AK216" i="1"/>
  <c r="AJ216" i="1"/>
  <c r="AH216" i="1"/>
  <c r="AG216" i="1"/>
  <c r="AF216" i="1"/>
  <c r="AE216" i="1"/>
  <c r="AC216" i="1"/>
  <c r="AB216" i="1"/>
  <c r="AA216" i="1"/>
  <c r="Z216" i="1"/>
  <c r="X216" i="1"/>
  <c r="W216" i="1"/>
  <c r="V216" i="1"/>
  <c r="U216" i="1"/>
  <c r="S216" i="1"/>
  <c r="R216" i="1"/>
  <c r="Q216" i="1"/>
  <c r="P216" i="1"/>
  <c r="N216" i="1"/>
  <c r="M216" i="1"/>
  <c r="L216" i="1"/>
  <c r="K216" i="1"/>
  <c r="AW215" i="1"/>
  <c r="AV215" i="1"/>
  <c r="AU215" i="1"/>
  <c r="AT215" i="1"/>
  <c r="AR215" i="1"/>
  <c r="AQ215" i="1"/>
  <c r="AP215" i="1"/>
  <c r="AO215" i="1"/>
  <c r="AM215" i="1"/>
  <c r="AL215" i="1"/>
  <c r="AK215" i="1"/>
  <c r="AJ215" i="1"/>
  <c r="AH215" i="1"/>
  <c r="AG215" i="1"/>
  <c r="AF215" i="1"/>
  <c r="AE215" i="1"/>
  <c r="AC215" i="1"/>
  <c r="AB215" i="1"/>
  <c r="AA215" i="1"/>
  <c r="Z215" i="1"/>
  <c r="X215" i="1"/>
  <c r="W215" i="1"/>
  <c r="V215" i="1"/>
  <c r="U215" i="1"/>
  <c r="S215" i="1"/>
  <c r="R215" i="1"/>
  <c r="Q215" i="1"/>
  <c r="P215" i="1"/>
  <c r="N215" i="1"/>
  <c r="M215" i="1"/>
  <c r="L215" i="1"/>
  <c r="K215" i="1"/>
  <c r="AW214" i="1"/>
  <c r="AV214" i="1"/>
  <c r="AU214" i="1"/>
  <c r="AT214" i="1"/>
  <c r="AR214" i="1"/>
  <c r="AQ214" i="1"/>
  <c r="AP214" i="1"/>
  <c r="AO214" i="1"/>
  <c r="AM214" i="1"/>
  <c r="AL214" i="1"/>
  <c r="AK214" i="1"/>
  <c r="AJ214" i="1"/>
  <c r="AH214" i="1"/>
  <c r="AG214" i="1"/>
  <c r="AF214" i="1"/>
  <c r="AE214" i="1"/>
  <c r="AC214" i="1"/>
  <c r="AB214" i="1"/>
  <c r="AA214" i="1"/>
  <c r="Z214" i="1"/>
  <c r="X214" i="1"/>
  <c r="W214" i="1"/>
  <c r="V214" i="1"/>
  <c r="U214" i="1"/>
  <c r="S214" i="1"/>
  <c r="R214" i="1"/>
  <c r="Q214" i="1"/>
  <c r="P214" i="1"/>
  <c r="N214" i="1"/>
  <c r="M214" i="1"/>
  <c r="L214" i="1"/>
  <c r="K214" i="1"/>
  <c r="AW213" i="1"/>
  <c r="AV213" i="1"/>
  <c r="AU213" i="1"/>
  <c r="AT213" i="1"/>
  <c r="AR213" i="1"/>
  <c r="AQ213" i="1"/>
  <c r="AP213" i="1"/>
  <c r="AO213" i="1"/>
  <c r="AM213" i="1"/>
  <c r="AL213" i="1"/>
  <c r="AK213" i="1"/>
  <c r="AJ213" i="1"/>
  <c r="AH213" i="1"/>
  <c r="AG213" i="1"/>
  <c r="AF213" i="1"/>
  <c r="AE213" i="1"/>
  <c r="AC213" i="1"/>
  <c r="AB213" i="1"/>
  <c r="AA213" i="1"/>
  <c r="Z213" i="1"/>
  <c r="X213" i="1"/>
  <c r="W213" i="1"/>
  <c r="V213" i="1"/>
  <c r="U213" i="1"/>
  <c r="S213" i="1"/>
  <c r="R213" i="1"/>
  <c r="Q213" i="1"/>
  <c r="P213" i="1"/>
  <c r="N213" i="1"/>
  <c r="M213" i="1"/>
  <c r="L213" i="1"/>
  <c r="K213" i="1"/>
  <c r="AW212" i="1"/>
  <c r="AV212" i="1"/>
  <c r="AU212" i="1"/>
  <c r="AT212" i="1"/>
  <c r="AR212" i="1"/>
  <c r="AQ212" i="1"/>
  <c r="AP212" i="1"/>
  <c r="AO212" i="1"/>
  <c r="AM212" i="1"/>
  <c r="AL212" i="1"/>
  <c r="AK212" i="1"/>
  <c r="AJ212" i="1"/>
  <c r="AH212" i="1"/>
  <c r="AG212" i="1"/>
  <c r="AF212" i="1"/>
  <c r="AE212" i="1"/>
  <c r="AC212" i="1"/>
  <c r="AB212" i="1"/>
  <c r="AA212" i="1"/>
  <c r="Z212" i="1"/>
  <c r="X212" i="1"/>
  <c r="W212" i="1"/>
  <c r="V212" i="1"/>
  <c r="U212" i="1"/>
  <c r="S212" i="1"/>
  <c r="R212" i="1"/>
  <c r="Q212" i="1"/>
  <c r="P212" i="1"/>
  <c r="N212" i="1"/>
  <c r="M212" i="1"/>
  <c r="L212" i="1"/>
  <c r="K212" i="1"/>
  <c r="AW211" i="1"/>
  <c r="AV211" i="1"/>
  <c r="AU211" i="1"/>
  <c r="AT211" i="1"/>
  <c r="AR211" i="1"/>
  <c r="AQ211" i="1"/>
  <c r="AP211" i="1"/>
  <c r="AO211" i="1"/>
  <c r="AM211" i="1"/>
  <c r="AL211" i="1"/>
  <c r="AK211" i="1"/>
  <c r="AJ211" i="1"/>
  <c r="AH211" i="1"/>
  <c r="AG211" i="1"/>
  <c r="AF211" i="1"/>
  <c r="AE211" i="1"/>
  <c r="AC211" i="1"/>
  <c r="AB211" i="1"/>
  <c r="AA211" i="1"/>
  <c r="Z211" i="1"/>
  <c r="X211" i="1"/>
  <c r="W211" i="1"/>
  <c r="V211" i="1"/>
  <c r="U211" i="1"/>
  <c r="S211" i="1"/>
  <c r="R211" i="1"/>
  <c r="Q211" i="1"/>
  <c r="P211" i="1"/>
  <c r="N211" i="1"/>
  <c r="M211" i="1"/>
  <c r="L211" i="1"/>
  <c r="K211" i="1"/>
  <c r="AW210" i="1"/>
  <c r="AV210" i="1"/>
  <c r="AU210" i="1"/>
  <c r="AT210" i="1"/>
  <c r="AR210" i="1"/>
  <c r="AQ210" i="1"/>
  <c r="AP210" i="1"/>
  <c r="AO210" i="1"/>
  <c r="AM210" i="1"/>
  <c r="AL210" i="1"/>
  <c r="AK210" i="1"/>
  <c r="AJ210" i="1"/>
  <c r="AH210" i="1"/>
  <c r="AG210" i="1"/>
  <c r="AF210" i="1"/>
  <c r="AE210" i="1"/>
  <c r="AC210" i="1"/>
  <c r="AB210" i="1"/>
  <c r="AA210" i="1"/>
  <c r="Z210" i="1"/>
  <c r="X210" i="1"/>
  <c r="W210" i="1"/>
  <c r="V210" i="1"/>
  <c r="U210" i="1"/>
  <c r="S210" i="1"/>
  <c r="R210" i="1"/>
  <c r="Q210" i="1"/>
  <c r="P210" i="1"/>
  <c r="N210" i="1"/>
  <c r="M210" i="1"/>
  <c r="L210" i="1"/>
  <c r="K210" i="1"/>
  <c r="AW209" i="1"/>
  <c r="AV209" i="1"/>
  <c r="AU209" i="1"/>
  <c r="AT209" i="1"/>
  <c r="AR209" i="1"/>
  <c r="AQ209" i="1"/>
  <c r="AP209" i="1"/>
  <c r="AO209" i="1"/>
  <c r="AM209" i="1"/>
  <c r="AL209" i="1"/>
  <c r="AK209" i="1"/>
  <c r="AJ209" i="1"/>
  <c r="AH209" i="1"/>
  <c r="AG209" i="1"/>
  <c r="AF209" i="1"/>
  <c r="AE209" i="1"/>
  <c r="AC209" i="1"/>
  <c r="AB209" i="1"/>
  <c r="AA209" i="1"/>
  <c r="Z209" i="1"/>
  <c r="X209" i="1"/>
  <c r="W209" i="1"/>
  <c r="V209" i="1"/>
  <c r="U209" i="1"/>
  <c r="S209" i="1"/>
  <c r="R209" i="1"/>
  <c r="Q209" i="1"/>
  <c r="P209" i="1"/>
  <c r="N209" i="1"/>
  <c r="M209" i="1"/>
  <c r="L209" i="1"/>
  <c r="K209" i="1"/>
  <c r="AW208" i="1"/>
  <c r="AV208" i="1"/>
  <c r="AU208" i="1"/>
  <c r="AT208" i="1"/>
  <c r="AR208" i="1"/>
  <c r="AQ208" i="1"/>
  <c r="AP208" i="1"/>
  <c r="AO208" i="1"/>
  <c r="AM208" i="1"/>
  <c r="AL208" i="1"/>
  <c r="AK208" i="1"/>
  <c r="AJ208" i="1"/>
  <c r="AH208" i="1"/>
  <c r="AG208" i="1"/>
  <c r="AF208" i="1"/>
  <c r="AE208" i="1"/>
  <c r="AC208" i="1"/>
  <c r="AB208" i="1"/>
  <c r="AA208" i="1"/>
  <c r="Z208" i="1"/>
  <c r="X208" i="1"/>
  <c r="W208" i="1"/>
  <c r="V208" i="1"/>
  <c r="U208" i="1"/>
  <c r="S208" i="1"/>
  <c r="R208" i="1"/>
  <c r="Q208" i="1"/>
  <c r="P208" i="1"/>
  <c r="N208" i="1"/>
  <c r="M208" i="1"/>
  <c r="L208" i="1"/>
  <c r="K208" i="1"/>
  <c r="AW207" i="1"/>
  <c r="AV207" i="1"/>
  <c r="AU207" i="1"/>
  <c r="AT207" i="1"/>
  <c r="AR207" i="1"/>
  <c r="AQ207" i="1"/>
  <c r="AP207" i="1"/>
  <c r="AO207" i="1"/>
  <c r="AM207" i="1"/>
  <c r="AL207" i="1"/>
  <c r="AK207" i="1"/>
  <c r="AJ207" i="1"/>
  <c r="AH207" i="1"/>
  <c r="AG207" i="1"/>
  <c r="AF207" i="1"/>
  <c r="AE207" i="1"/>
  <c r="AC207" i="1"/>
  <c r="AB207" i="1"/>
  <c r="AA207" i="1"/>
  <c r="Z207" i="1"/>
  <c r="X207" i="1"/>
  <c r="W207" i="1"/>
  <c r="V207" i="1"/>
  <c r="U207" i="1"/>
  <c r="S207" i="1"/>
  <c r="R207" i="1"/>
  <c r="Q207" i="1"/>
  <c r="P207" i="1"/>
  <c r="N207" i="1"/>
  <c r="M207" i="1"/>
  <c r="L207" i="1"/>
  <c r="K207" i="1"/>
  <c r="AW206" i="1"/>
  <c r="AV206" i="1"/>
  <c r="AU206" i="1"/>
  <c r="AT206" i="1"/>
  <c r="AR206" i="1"/>
  <c r="AQ206" i="1"/>
  <c r="AP206" i="1"/>
  <c r="AO206" i="1"/>
  <c r="AM206" i="1"/>
  <c r="AL206" i="1"/>
  <c r="AK206" i="1"/>
  <c r="AJ206" i="1"/>
  <c r="AH206" i="1"/>
  <c r="AG206" i="1"/>
  <c r="AF206" i="1"/>
  <c r="AE206" i="1"/>
  <c r="AC206" i="1"/>
  <c r="AB206" i="1"/>
  <c r="AA206" i="1"/>
  <c r="Z206" i="1"/>
  <c r="X206" i="1"/>
  <c r="W206" i="1"/>
  <c r="V206" i="1"/>
  <c r="U206" i="1"/>
  <c r="S206" i="1"/>
  <c r="R206" i="1"/>
  <c r="Q206" i="1"/>
  <c r="P206" i="1"/>
  <c r="N206" i="1"/>
  <c r="M206" i="1"/>
  <c r="L206" i="1"/>
  <c r="K206" i="1"/>
  <c r="AW205" i="1"/>
  <c r="AV205" i="1"/>
  <c r="AU205" i="1"/>
  <c r="AT205" i="1"/>
  <c r="AR205" i="1"/>
  <c r="AQ205" i="1"/>
  <c r="AP205" i="1"/>
  <c r="AO205" i="1"/>
  <c r="AM205" i="1"/>
  <c r="AL205" i="1"/>
  <c r="AK205" i="1"/>
  <c r="AJ205" i="1"/>
  <c r="AH205" i="1"/>
  <c r="AG205" i="1"/>
  <c r="AF205" i="1"/>
  <c r="AE205" i="1"/>
  <c r="AC205" i="1"/>
  <c r="AB205" i="1"/>
  <c r="AA205" i="1"/>
  <c r="Z205" i="1"/>
  <c r="X205" i="1"/>
  <c r="W205" i="1"/>
  <c r="V205" i="1"/>
  <c r="U205" i="1"/>
  <c r="S205" i="1"/>
  <c r="R205" i="1"/>
  <c r="Q205" i="1"/>
  <c r="P205" i="1"/>
  <c r="N205" i="1"/>
  <c r="M205" i="1"/>
  <c r="L205" i="1"/>
  <c r="K205" i="1"/>
  <c r="AW204" i="1"/>
  <c r="AV204" i="1"/>
  <c r="AU204" i="1"/>
  <c r="AT204" i="1"/>
  <c r="AR204" i="1"/>
  <c r="AQ204" i="1"/>
  <c r="AP204" i="1"/>
  <c r="AO204" i="1"/>
  <c r="AM204" i="1"/>
  <c r="AL204" i="1"/>
  <c r="AK204" i="1"/>
  <c r="AJ204" i="1"/>
  <c r="AH204" i="1"/>
  <c r="AG204" i="1"/>
  <c r="AF204" i="1"/>
  <c r="AE204" i="1"/>
  <c r="AC204" i="1"/>
  <c r="AB204" i="1"/>
  <c r="AA204" i="1"/>
  <c r="Z204" i="1"/>
  <c r="X204" i="1"/>
  <c r="W204" i="1"/>
  <c r="V204" i="1"/>
  <c r="U204" i="1"/>
  <c r="S204" i="1"/>
  <c r="R204" i="1"/>
  <c r="Q204" i="1"/>
  <c r="P204" i="1"/>
  <c r="N204" i="1"/>
  <c r="M204" i="1"/>
  <c r="L204" i="1"/>
  <c r="K204" i="1"/>
  <c r="AW203" i="1"/>
  <c r="AV203" i="1"/>
  <c r="AU203" i="1"/>
  <c r="AT203" i="1"/>
  <c r="AR203" i="1"/>
  <c r="AQ203" i="1"/>
  <c r="AP203" i="1"/>
  <c r="AO203" i="1"/>
  <c r="AM203" i="1"/>
  <c r="AL203" i="1"/>
  <c r="AK203" i="1"/>
  <c r="AJ203" i="1"/>
  <c r="AH203" i="1"/>
  <c r="AG203" i="1"/>
  <c r="AF203" i="1"/>
  <c r="AE203" i="1"/>
  <c r="AC203" i="1"/>
  <c r="AB203" i="1"/>
  <c r="AA203" i="1"/>
  <c r="Z203" i="1"/>
  <c r="X203" i="1"/>
  <c r="W203" i="1"/>
  <c r="V203" i="1"/>
  <c r="U203" i="1"/>
  <c r="S203" i="1"/>
  <c r="R203" i="1"/>
  <c r="Q203" i="1"/>
  <c r="P203" i="1"/>
  <c r="N203" i="1"/>
  <c r="M203" i="1"/>
  <c r="L203" i="1"/>
  <c r="K203" i="1"/>
  <c r="AW202" i="1"/>
  <c r="AV202" i="1"/>
  <c r="AU202" i="1"/>
  <c r="AT202" i="1"/>
  <c r="AR202" i="1"/>
  <c r="AQ202" i="1"/>
  <c r="AP202" i="1"/>
  <c r="AO202" i="1"/>
  <c r="AM202" i="1"/>
  <c r="AL202" i="1"/>
  <c r="AK202" i="1"/>
  <c r="AJ202" i="1"/>
  <c r="AH202" i="1"/>
  <c r="AG202" i="1"/>
  <c r="AF202" i="1"/>
  <c r="AE202" i="1"/>
  <c r="AC202" i="1"/>
  <c r="AB202" i="1"/>
  <c r="AA202" i="1"/>
  <c r="Z202" i="1"/>
  <c r="X202" i="1"/>
  <c r="W202" i="1"/>
  <c r="V202" i="1"/>
  <c r="U202" i="1"/>
  <c r="S202" i="1"/>
  <c r="R202" i="1"/>
  <c r="Q202" i="1"/>
  <c r="P202" i="1"/>
  <c r="N202" i="1"/>
  <c r="M202" i="1"/>
  <c r="L202" i="1"/>
  <c r="K202" i="1"/>
  <c r="AW201" i="1"/>
  <c r="AV201" i="1"/>
  <c r="AU201" i="1"/>
  <c r="AT201" i="1"/>
  <c r="AR201" i="1"/>
  <c r="AQ201" i="1"/>
  <c r="AP201" i="1"/>
  <c r="AO201" i="1"/>
  <c r="AM201" i="1"/>
  <c r="AL201" i="1"/>
  <c r="AK201" i="1"/>
  <c r="AJ201" i="1"/>
  <c r="AH201" i="1"/>
  <c r="AG201" i="1"/>
  <c r="AF201" i="1"/>
  <c r="AE201" i="1"/>
  <c r="AC201" i="1"/>
  <c r="AB201" i="1"/>
  <c r="AA201" i="1"/>
  <c r="Z201" i="1"/>
  <c r="X201" i="1"/>
  <c r="W201" i="1"/>
  <c r="V201" i="1"/>
  <c r="U201" i="1"/>
  <c r="S201" i="1"/>
  <c r="R201" i="1"/>
  <c r="Q201" i="1"/>
  <c r="P201" i="1"/>
  <c r="N201" i="1"/>
  <c r="M201" i="1"/>
  <c r="L201" i="1"/>
  <c r="K201" i="1"/>
  <c r="AW200" i="1"/>
  <c r="AV200" i="1"/>
  <c r="AU200" i="1"/>
  <c r="AT200" i="1"/>
  <c r="AR200" i="1"/>
  <c r="AQ200" i="1"/>
  <c r="AP200" i="1"/>
  <c r="AO200" i="1"/>
  <c r="AM200" i="1"/>
  <c r="AL200" i="1"/>
  <c r="AK200" i="1"/>
  <c r="AJ200" i="1"/>
  <c r="AH200" i="1"/>
  <c r="AG200" i="1"/>
  <c r="AF200" i="1"/>
  <c r="AE200" i="1"/>
  <c r="AC200" i="1"/>
  <c r="AB200" i="1"/>
  <c r="AA200" i="1"/>
  <c r="Z200" i="1"/>
  <c r="X200" i="1"/>
  <c r="W200" i="1"/>
  <c r="V200" i="1"/>
  <c r="U200" i="1"/>
  <c r="S200" i="1"/>
  <c r="R200" i="1"/>
  <c r="Q200" i="1"/>
  <c r="P200" i="1"/>
  <c r="N200" i="1"/>
  <c r="M200" i="1"/>
  <c r="L200" i="1"/>
  <c r="K200" i="1"/>
  <c r="AW199" i="1"/>
  <c r="AV199" i="1"/>
  <c r="AU199" i="1"/>
  <c r="AT199" i="1"/>
  <c r="AR199" i="1"/>
  <c r="AQ199" i="1"/>
  <c r="AP199" i="1"/>
  <c r="AO199" i="1"/>
  <c r="AM199" i="1"/>
  <c r="AL199" i="1"/>
  <c r="AK199" i="1"/>
  <c r="AJ199" i="1"/>
  <c r="AH199" i="1"/>
  <c r="AG199" i="1"/>
  <c r="AF199" i="1"/>
  <c r="AE199" i="1"/>
  <c r="AC199" i="1"/>
  <c r="AB199" i="1"/>
  <c r="AA199" i="1"/>
  <c r="Z199" i="1"/>
  <c r="X199" i="1"/>
  <c r="W199" i="1"/>
  <c r="V199" i="1"/>
  <c r="U199" i="1"/>
  <c r="S199" i="1"/>
  <c r="R199" i="1"/>
  <c r="Q199" i="1"/>
  <c r="P199" i="1"/>
  <c r="N199" i="1"/>
  <c r="M199" i="1"/>
  <c r="L199" i="1"/>
  <c r="K199" i="1"/>
  <c r="AW198" i="1"/>
  <c r="AV198" i="1"/>
  <c r="AU198" i="1"/>
  <c r="AT198" i="1"/>
  <c r="AR198" i="1"/>
  <c r="AQ198" i="1"/>
  <c r="AP198" i="1"/>
  <c r="AO198" i="1"/>
  <c r="AM198" i="1"/>
  <c r="AL198" i="1"/>
  <c r="AK198" i="1"/>
  <c r="AJ198" i="1"/>
  <c r="AH198" i="1"/>
  <c r="AG198" i="1"/>
  <c r="AF198" i="1"/>
  <c r="AE198" i="1"/>
  <c r="AC198" i="1"/>
  <c r="AB198" i="1"/>
  <c r="AA198" i="1"/>
  <c r="Z198" i="1"/>
  <c r="X198" i="1"/>
  <c r="W198" i="1"/>
  <c r="V198" i="1"/>
  <c r="U198" i="1"/>
  <c r="S198" i="1"/>
  <c r="R198" i="1"/>
  <c r="Q198" i="1"/>
  <c r="P198" i="1"/>
  <c r="N198" i="1"/>
  <c r="M198" i="1"/>
  <c r="L198" i="1"/>
  <c r="K198" i="1"/>
  <c r="AW197" i="1"/>
  <c r="AV197" i="1"/>
  <c r="AU197" i="1"/>
  <c r="AT197" i="1"/>
  <c r="AR197" i="1"/>
  <c r="AQ197" i="1"/>
  <c r="AP197" i="1"/>
  <c r="AO197" i="1"/>
  <c r="AM197" i="1"/>
  <c r="AL197" i="1"/>
  <c r="AK197" i="1"/>
  <c r="AJ197" i="1"/>
  <c r="AH197" i="1"/>
  <c r="AG197" i="1"/>
  <c r="AF197" i="1"/>
  <c r="AE197" i="1"/>
  <c r="AC197" i="1"/>
  <c r="AB197" i="1"/>
  <c r="AA197" i="1"/>
  <c r="Z197" i="1"/>
  <c r="X197" i="1"/>
  <c r="W197" i="1"/>
  <c r="V197" i="1"/>
  <c r="U197" i="1"/>
  <c r="S197" i="1"/>
  <c r="R197" i="1"/>
  <c r="Q197" i="1"/>
  <c r="P197" i="1"/>
  <c r="N197" i="1"/>
  <c r="M197" i="1"/>
  <c r="L197" i="1"/>
  <c r="K197" i="1"/>
  <c r="AW196" i="1"/>
  <c r="AV196" i="1"/>
  <c r="AU196" i="1"/>
  <c r="AT196" i="1"/>
  <c r="AR196" i="1"/>
  <c r="AQ196" i="1"/>
  <c r="AP196" i="1"/>
  <c r="AO196" i="1"/>
  <c r="AM196" i="1"/>
  <c r="AL196" i="1"/>
  <c r="AK196" i="1"/>
  <c r="AJ196" i="1"/>
  <c r="AH196" i="1"/>
  <c r="AG196" i="1"/>
  <c r="AF196" i="1"/>
  <c r="AE196" i="1"/>
  <c r="AC196" i="1"/>
  <c r="AB196" i="1"/>
  <c r="AA196" i="1"/>
  <c r="Z196" i="1"/>
  <c r="X196" i="1"/>
  <c r="W196" i="1"/>
  <c r="V196" i="1"/>
  <c r="U196" i="1"/>
  <c r="S196" i="1"/>
  <c r="R196" i="1"/>
  <c r="Q196" i="1"/>
  <c r="P196" i="1"/>
  <c r="N196" i="1"/>
  <c r="M196" i="1"/>
  <c r="L196" i="1"/>
  <c r="K196" i="1"/>
  <c r="AW195" i="1"/>
  <c r="AV195" i="1"/>
  <c r="AU195" i="1"/>
  <c r="AT195" i="1"/>
  <c r="AR195" i="1"/>
  <c r="AQ195" i="1"/>
  <c r="AP195" i="1"/>
  <c r="AO195" i="1"/>
  <c r="AM195" i="1"/>
  <c r="AL195" i="1"/>
  <c r="AK195" i="1"/>
  <c r="AJ195" i="1"/>
  <c r="AH195" i="1"/>
  <c r="AG195" i="1"/>
  <c r="AF195" i="1"/>
  <c r="AE195" i="1"/>
  <c r="AC195" i="1"/>
  <c r="AB195" i="1"/>
  <c r="AA195" i="1"/>
  <c r="Z195" i="1"/>
  <c r="X195" i="1"/>
  <c r="W195" i="1"/>
  <c r="V195" i="1"/>
  <c r="U195" i="1"/>
  <c r="S195" i="1"/>
  <c r="R195" i="1"/>
  <c r="Q195" i="1"/>
  <c r="P195" i="1"/>
  <c r="N195" i="1"/>
  <c r="M195" i="1"/>
  <c r="L195" i="1"/>
  <c r="K195" i="1"/>
  <c r="AW194" i="1"/>
  <c r="AV194" i="1"/>
  <c r="AU194" i="1"/>
  <c r="AT194" i="1"/>
  <c r="AR194" i="1"/>
  <c r="AQ194" i="1"/>
  <c r="AP194" i="1"/>
  <c r="AO194" i="1"/>
  <c r="AM194" i="1"/>
  <c r="AL194" i="1"/>
  <c r="AK194" i="1"/>
  <c r="AJ194" i="1"/>
  <c r="AH194" i="1"/>
  <c r="AG194" i="1"/>
  <c r="AF194" i="1"/>
  <c r="AE194" i="1"/>
  <c r="AC194" i="1"/>
  <c r="AB194" i="1"/>
  <c r="AA194" i="1"/>
  <c r="Z194" i="1"/>
  <c r="X194" i="1"/>
  <c r="W194" i="1"/>
  <c r="V194" i="1"/>
  <c r="U194" i="1"/>
  <c r="S194" i="1"/>
  <c r="R194" i="1"/>
  <c r="Q194" i="1"/>
  <c r="P194" i="1"/>
  <c r="N194" i="1"/>
  <c r="M194" i="1"/>
  <c r="L194" i="1"/>
  <c r="K194" i="1"/>
  <c r="AW193" i="1"/>
  <c r="AV193" i="1"/>
  <c r="AU193" i="1"/>
  <c r="AT193" i="1"/>
  <c r="AR193" i="1"/>
  <c r="AQ193" i="1"/>
  <c r="AP193" i="1"/>
  <c r="AO193" i="1"/>
  <c r="AM193" i="1"/>
  <c r="AL193" i="1"/>
  <c r="AK193" i="1"/>
  <c r="AJ193" i="1"/>
  <c r="AH193" i="1"/>
  <c r="AG193" i="1"/>
  <c r="AF193" i="1"/>
  <c r="AE193" i="1"/>
  <c r="AC193" i="1"/>
  <c r="AB193" i="1"/>
  <c r="AA193" i="1"/>
  <c r="Z193" i="1"/>
  <c r="X193" i="1"/>
  <c r="W193" i="1"/>
  <c r="V193" i="1"/>
  <c r="U193" i="1"/>
  <c r="S193" i="1"/>
  <c r="R193" i="1"/>
  <c r="Q193" i="1"/>
  <c r="P193" i="1"/>
  <c r="N193" i="1"/>
  <c r="M193" i="1"/>
  <c r="L193" i="1"/>
  <c r="K193" i="1"/>
  <c r="AW192" i="1"/>
  <c r="AV192" i="1"/>
  <c r="AU192" i="1"/>
  <c r="AT192" i="1"/>
  <c r="AR192" i="1"/>
  <c r="AQ192" i="1"/>
  <c r="AP192" i="1"/>
  <c r="AO192" i="1"/>
  <c r="AM192" i="1"/>
  <c r="AL192" i="1"/>
  <c r="AK192" i="1"/>
  <c r="AJ192" i="1"/>
  <c r="AH192" i="1"/>
  <c r="AG192" i="1"/>
  <c r="AF192" i="1"/>
  <c r="AE192" i="1"/>
  <c r="AC192" i="1"/>
  <c r="AB192" i="1"/>
  <c r="AA192" i="1"/>
  <c r="Z192" i="1"/>
  <c r="X192" i="1"/>
  <c r="W192" i="1"/>
  <c r="V192" i="1"/>
  <c r="U192" i="1"/>
  <c r="S192" i="1"/>
  <c r="R192" i="1"/>
  <c r="Q192" i="1"/>
  <c r="P192" i="1"/>
  <c r="N192" i="1"/>
  <c r="M192" i="1"/>
  <c r="L192" i="1"/>
  <c r="K192" i="1"/>
  <c r="AW191" i="1"/>
  <c r="AV191" i="1"/>
  <c r="AU191" i="1"/>
  <c r="AT191" i="1"/>
  <c r="AR191" i="1"/>
  <c r="AQ191" i="1"/>
  <c r="AP191" i="1"/>
  <c r="AO191" i="1"/>
  <c r="AM191" i="1"/>
  <c r="AL191" i="1"/>
  <c r="AK191" i="1"/>
  <c r="AJ191" i="1"/>
  <c r="AH191" i="1"/>
  <c r="AG191" i="1"/>
  <c r="AF191" i="1"/>
  <c r="AE191" i="1"/>
  <c r="AC191" i="1"/>
  <c r="AB191" i="1"/>
  <c r="AA191" i="1"/>
  <c r="Z191" i="1"/>
  <c r="X191" i="1"/>
  <c r="W191" i="1"/>
  <c r="V191" i="1"/>
  <c r="U191" i="1"/>
  <c r="S191" i="1"/>
  <c r="R191" i="1"/>
  <c r="Q191" i="1"/>
  <c r="P191" i="1"/>
  <c r="N191" i="1"/>
  <c r="M191" i="1"/>
  <c r="L191" i="1"/>
  <c r="K191" i="1"/>
  <c r="AW190" i="1"/>
  <c r="AV190" i="1"/>
  <c r="AU190" i="1"/>
  <c r="AT190" i="1"/>
  <c r="AR190" i="1"/>
  <c r="AQ190" i="1"/>
  <c r="AP190" i="1"/>
  <c r="AO190" i="1"/>
  <c r="AM190" i="1"/>
  <c r="AL190" i="1"/>
  <c r="AK190" i="1"/>
  <c r="AJ190" i="1"/>
  <c r="AH190" i="1"/>
  <c r="AG190" i="1"/>
  <c r="AF190" i="1"/>
  <c r="AE190" i="1"/>
  <c r="AC190" i="1"/>
  <c r="AB190" i="1"/>
  <c r="AA190" i="1"/>
  <c r="Z190" i="1"/>
  <c r="X190" i="1"/>
  <c r="W190" i="1"/>
  <c r="V190" i="1"/>
  <c r="U190" i="1"/>
  <c r="S190" i="1"/>
  <c r="R190" i="1"/>
  <c r="Q190" i="1"/>
  <c r="P190" i="1"/>
  <c r="N190" i="1"/>
  <c r="M190" i="1"/>
  <c r="L190" i="1"/>
  <c r="K190" i="1"/>
  <c r="AW189" i="1"/>
  <c r="AV189" i="1"/>
  <c r="AU189" i="1"/>
  <c r="AT189" i="1"/>
  <c r="AR189" i="1"/>
  <c r="AQ189" i="1"/>
  <c r="AP189" i="1"/>
  <c r="AO189" i="1"/>
  <c r="AM189" i="1"/>
  <c r="AL189" i="1"/>
  <c r="AK189" i="1"/>
  <c r="AJ189" i="1"/>
  <c r="AH189" i="1"/>
  <c r="AG189" i="1"/>
  <c r="AF189" i="1"/>
  <c r="AE189" i="1"/>
  <c r="AC189" i="1"/>
  <c r="AB189" i="1"/>
  <c r="AA189" i="1"/>
  <c r="Z189" i="1"/>
  <c r="X189" i="1"/>
  <c r="W189" i="1"/>
  <c r="V189" i="1"/>
  <c r="U189" i="1"/>
  <c r="S189" i="1"/>
  <c r="R189" i="1"/>
  <c r="Q189" i="1"/>
  <c r="P189" i="1"/>
  <c r="N189" i="1"/>
  <c r="M189" i="1"/>
  <c r="L189" i="1"/>
  <c r="K189" i="1"/>
  <c r="AW188" i="1"/>
  <c r="AV188" i="1"/>
  <c r="AU188" i="1"/>
  <c r="AT188" i="1"/>
  <c r="AR188" i="1"/>
  <c r="AQ188" i="1"/>
  <c r="AP188" i="1"/>
  <c r="AO188" i="1"/>
  <c r="AM188" i="1"/>
  <c r="AL188" i="1"/>
  <c r="AK188" i="1"/>
  <c r="AJ188" i="1"/>
  <c r="AH188" i="1"/>
  <c r="AG188" i="1"/>
  <c r="AF188" i="1"/>
  <c r="AE188" i="1"/>
  <c r="AC188" i="1"/>
  <c r="AB188" i="1"/>
  <c r="AA188" i="1"/>
  <c r="Z188" i="1"/>
  <c r="X188" i="1"/>
  <c r="W188" i="1"/>
  <c r="V188" i="1"/>
  <c r="U188" i="1"/>
  <c r="S188" i="1"/>
  <c r="R188" i="1"/>
  <c r="Q188" i="1"/>
  <c r="P188" i="1"/>
  <c r="N188" i="1"/>
  <c r="M188" i="1"/>
  <c r="L188" i="1"/>
  <c r="K188" i="1"/>
  <c r="AW187" i="1"/>
  <c r="AV187" i="1"/>
  <c r="AU187" i="1"/>
  <c r="AT187" i="1"/>
  <c r="AR187" i="1"/>
  <c r="AQ187" i="1"/>
  <c r="AP187" i="1"/>
  <c r="AO187" i="1"/>
  <c r="AM187" i="1"/>
  <c r="AL187" i="1"/>
  <c r="AK187" i="1"/>
  <c r="AJ187" i="1"/>
  <c r="AH187" i="1"/>
  <c r="AG187" i="1"/>
  <c r="AF187" i="1"/>
  <c r="AE187" i="1"/>
  <c r="AC187" i="1"/>
  <c r="AB187" i="1"/>
  <c r="AA187" i="1"/>
  <c r="Z187" i="1"/>
  <c r="X187" i="1"/>
  <c r="W187" i="1"/>
  <c r="V187" i="1"/>
  <c r="U187" i="1"/>
  <c r="S187" i="1"/>
  <c r="R187" i="1"/>
  <c r="Q187" i="1"/>
  <c r="P187" i="1"/>
  <c r="N187" i="1"/>
  <c r="M187" i="1"/>
  <c r="L187" i="1"/>
  <c r="K187" i="1"/>
  <c r="AW186" i="1"/>
  <c r="AV186" i="1"/>
  <c r="AU186" i="1"/>
  <c r="AT186" i="1"/>
  <c r="AR186" i="1"/>
  <c r="AQ186" i="1"/>
  <c r="AP186" i="1"/>
  <c r="AO186" i="1"/>
  <c r="AM186" i="1"/>
  <c r="AL186" i="1"/>
  <c r="AK186" i="1"/>
  <c r="AJ186" i="1"/>
  <c r="AH186" i="1"/>
  <c r="AG186" i="1"/>
  <c r="AF186" i="1"/>
  <c r="AE186" i="1"/>
  <c r="AC186" i="1"/>
  <c r="AB186" i="1"/>
  <c r="AA186" i="1"/>
  <c r="Z186" i="1"/>
  <c r="X186" i="1"/>
  <c r="W186" i="1"/>
  <c r="V186" i="1"/>
  <c r="U186" i="1"/>
  <c r="S186" i="1"/>
  <c r="R186" i="1"/>
  <c r="Q186" i="1"/>
  <c r="P186" i="1"/>
  <c r="N186" i="1"/>
  <c r="M186" i="1"/>
  <c r="L186" i="1"/>
  <c r="K186" i="1"/>
  <c r="AW185" i="1"/>
  <c r="AV185" i="1"/>
  <c r="AU185" i="1"/>
  <c r="AT185" i="1"/>
  <c r="AR185" i="1"/>
  <c r="AQ185" i="1"/>
  <c r="AP185" i="1"/>
  <c r="AO185" i="1"/>
  <c r="AM185" i="1"/>
  <c r="AL185" i="1"/>
  <c r="AK185" i="1"/>
  <c r="AJ185" i="1"/>
  <c r="AH185" i="1"/>
  <c r="AG185" i="1"/>
  <c r="AF185" i="1"/>
  <c r="AE185" i="1"/>
  <c r="AC185" i="1"/>
  <c r="AB185" i="1"/>
  <c r="AA185" i="1"/>
  <c r="Z185" i="1"/>
  <c r="X185" i="1"/>
  <c r="W185" i="1"/>
  <c r="V185" i="1"/>
  <c r="U185" i="1"/>
  <c r="S185" i="1"/>
  <c r="R185" i="1"/>
  <c r="Q185" i="1"/>
  <c r="P185" i="1"/>
  <c r="N185" i="1"/>
  <c r="M185" i="1"/>
  <c r="L185" i="1"/>
  <c r="K185" i="1"/>
  <c r="AW184" i="1"/>
  <c r="AV184" i="1"/>
  <c r="AU184" i="1"/>
  <c r="AT184" i="1"/>
  <c r="AR184" i="1"/>
  <c r="AQ184" i="1"/>
  <c r="AP184" i="1"/>
  <c r="AO184" i="1"/>
  <c r="AM184" i="1"/>
  <c r="AL184" i="1"/>
  <c r="AK184" i="1"/>
  <c r="AJ184" i="1"/>
  <c r="AH184" i="1"/>
  <c r="AG184" i="1"/>
  <c r="AF184" i="1"/>
  <c r="AE184" i="1"/>
  <c r="AC184" i="1"/>
  <c r="AB184" i="1"/>
  <c r="AA184" i="1"/>
  <c r="Z184" i="1"/>
  <c r="X184" i="1"/>
  <c r="W184" i="1"/>
  <c r="V184" i="1"/>
  <c r="U184" i="1"/>
  <c r="S184" i="1"/>
  <c r="R184" i="1"/>
  <c r="Q184" i="1"/>
  <c r="P184" i="1"/>
  <c r="N184" i="1"/>
  <c r="M184" i="1"/>
  <c r="L184" i="1"/>
  <c r="K184" i="1"/>
  <c r="AW183" i="1"/>
  <c r="AV183" i="1"/>
  <c r="AU183" i="1"/>
  <c r="AT183" i="1"/>
  <c r="AR183" i="1"/>
  <c r="AQ183" i="1"/>
  <c r="AP183" i="1"/>
  <c r="AO183" i="1"/>
  <c r="AM183" i="1"/>
  <c r="AL183" i="1"/>
  <c r="AK183" i="1"/>
  <c r="AJ183" i="1"/>
  <c r="AH183" i="1"/>
  <c r="AG183" i="1"/>
  <c r="AF183" i="1"/>
  <c r="AE183" i="1"/>
  <c r="AC183" i="1"/>
  <c r="AB183" i="1"/>
  <c r="AA183" i="1"/>
  <c r="Z183" i="1"/>
  <c r="X183" i="1"/>
  <c r="W183" i="1"/>
  <c r="V183" i="1"/>
  <c r="U183" i="1"/>
  <c r="S183" i="1"/>
  <c r="R183" i="1"/>
  <c r="Q183" i="1"/>
  <c r="P183" i="1"/>
  <c r="N183" i="1"/>
  <c r="M183" i="1"/>
  <c r="L183" i="1"/>
  <c r="K183" i="1"/>
  <c r="AW182" i="1"/>
  <c r="AV182" i="1"/>
  <c r="AU182" i="1"/>
  <c r="AT182" i="1"/>
  <c r="AR182" i="1"/>
  <c r="AQ182" i="1"/>
  <c r="AP182" i="1"/>
  <c r="AO182" i="1"/>
  <c r="AM182" i="1"/>
  <c r="AL182" i="1"/>
  <c r="AK182" i="1"/>
  <c r="AJ182" i="1"/>
  <c r="AH182" i="1"/>
  <c r="AG182" i="1"/>
  <c r="AF182" i="1"/>
  <c r="AE182" i="1"/>
  <c r="AC182" i="1"/>
  <c r="AB182" i="1"/>
  <c r="AA182" i="1"/>
  <c r="Z182" i="1"/>
  <c r="X182" i="1"/>
  <c r="W182" i="1"/>
  <c r="V182" i="1"/>
  <c r="U182" i="1"/>
  <c r="S182" i="1"/>
  <c r="R182" i="1"/>
  <c r="Q182" i="1"/>
  <c r="P182" i="1"/>
  <c r="N182" i="1"/>
  <c r="M182" i="1"/>
  <c r="L182" i="1"/>
  <c r="K182" i="1"/>
  <c r="AW181" i="1"/>
  <c r="AV181" i="1"/>
  <c r="AU181" i="1"/>
  <c r="AT181" i="1"/>
  <c r="AR181" i="1"/>
  <c r="AQ181" i="1"/>
  <c r="AP181" i="1"/>
  <c r="AO181" i="1"/>
  <c r="AM181" i="1"/>
  <c r="AL181" i="1"/>
  <c r="AK181" i="1"/>
  <c r="AJ181" i="1"/>
  <c r="AH181" i="1"/>
  <c r="AG181" i="1"/>
  <c r="AF181" i="1"/>
  <c r="AE181" i="1"/>
  <c r="AC181" i="1"/>
  <c r="AB181" i="1"/>
  <c r="AA181" i="1"/>
  <c r="Z181" i="1"/>
  <c r="X181" i="1"/>
  <c r="W181" i="1"/>
  <c r="V181" i="1"/>
  <c r="U181" i="1"/>
  <c r="S181" i="1"/>
  <c r="R181" i="1"/>
  <c r="Q181" i="1"/>
  <c r="P181" i="1"/>
  <c r="N181" i="1"/>
  <c r="M181" i="1"/>
  <c r="L181" i="1"/>
  <c r="K181" i="1"/>
  <c r="AW180" i="1"/>
  <c r="AV180" i="1"/>
  <c r="AU180" i="1"/>
  <c r="AT180" i="1"/>
  <c r="AR180" i="1"/>
  <c r="AQ180" i="1"/>
  <c r="AP180" i="1"/>
  <c r="AO180" i="1"/>
  <c r="AM180" i="1"/>
  <c r="AL180" i="1"/>
  <c r="AK180" i="1"/>
  <c r="AJ180" i="1"/>
  <c r="AH180" i="1"/>
  <c r="AG180" i="1"/>
  <c r="AF180" i="1"/>
  <c r="AE180" i="1"/>
  <c r="AC180" i="1"/>
  <c r="AB180" i="1"/>
  <c r="AA180" i="1"/>
  <c r="Z180" i="1"/>
  <c r="X180" i="1"/>
  <c r="W180" i="1"/>
  <c r="V180" i="1"/>
  <c r="U180" i="1"/>
  <c r="S180" i="1"/>
  <c r="R180" i="1"/>
  <c r="Q180" i="1"/>
  <c r="P180" i="1"/>
  <c r="N180" i="1"/>
  <c r="M180" i="1"/>
  <c r="L180" i="1"/>
  <c r="K180" i="1"/>
  <c r="AW179" i="1"/>
  <c r="AV179" i="1"/>
  <c r="AU179" i="1"/>
  <c r="AT179" i="1"/>
  <c r="AR179" i="1"/>
  <c r="AQ179" i="1"/>
  <c r="AP179" i="1"/>
  <c r="AO179" i="1"/>
  <c r="AM179" i="1"/>
  <c r="AL179" i="1"/>
  <c r="AK179" i="1"/>
  <c r="AJ179" i="1"/>
  <c r="AH179" i="1"/>
  <c r="AG179" i="1"/>
  <c r="AF179" i="1"/>
  <c r="AE179" i="1"/>
  <c r="AC179" i="1"/>
  <c r="AB179" i="1"/>
  <c r="AA179" i="1"/>
  <c r="Z179" i="1"/>
  <c r="X179" i="1"/>
  <c r="W179" i="1"/>
  <c r="V179" i="1"/>
  <c r="U179" i="1"/>
  <c r="S179" i="1"/>
  <c r="R179" i="1"/>
  <c r="Q179" i="1"/>
  <c r="P179" i="1"/>
  <c r="N179" i="1"/>
  <c r="M179" i="1"/>
  <c r="L179" i="1"/>
  <c r="K179" i="1"/>
  <c r="AW178" i="1"/>
  <c r="AV178" i="1"/>
  <c r="AU178" i="1"/>
  <c r="AT178" i="1"/>
  <c r="AR178" i="1"/>
  <c r="AQ178" i="1"/>
  <c r="AP178" i="1"/>
  <c r="AO178" i="1"/>
  <c r="AM178" i="1"/>
  <c r="AL178" i="1"/>
  <c r="AK178" i="1"/>
  <c r="AJ178" i="1"/>
  <c r="AH178" i="1"/>
  <c r="AG178" i="1"/>
  <c r="AF178" i="1"/>
  <c r="AE178" i="1"/>
  <c r="AC178" i="1"/>
  <c r="AB178" i="1"/>
  <c r="AA178" i="1"/>
  <c r="Z178" i="1"/>
  <c r="X178" i="1"/>
  <c r="W178" i="1"/>
  <c r="V178" i="1"/>
  <c r="U178" i="1"/>
  <c r="S178" i="1"/>
  <c r="R178" i="1"/>
  <c r="Q178" i="1"/>
  <c r="P178" i="1"/>
  <c r="N178" i="1"/>
  <c r="M178" i="1"/>
  <c r="L178" i="1"/>
  <c r="K178" i="1"/>
  <c r="AW177" i="1"/>
  <c r="AV177" i="1"/>
  <c r="AU177" i="1"/>
  <c r="AT177" i="1"/>
  <c r="AR177" i="1"/>
  <c r="AQ177" i="1"/>
  <c r="AP177" i="1"/>
  <c r="AO177" i="1"/>
  <c r="AM177" i="1"/>
  <c r="AL177" i="1"/>
  <c r="AK177" i="1"/>
  <c r="AJ177" i="1"/>
  <c r="AH177" i="1"/>
  <c r="AG177" i="1"/>
  <c r="AF177" i="1"/>
  <c r="AE177" i="1"/>
  <c r="AC177" i="1"/>
  <c r="AB177" i="1"/>
  <c r="AA177" i="1"/>
  <c r="Z177" i="1"/>
  <c r="X177" i="1"/>
  <c r="W177" i="1"/>
  <c r="V177" i="1"/>
  <c r="U177" i="1"/>
  <c r="S177" i="1"/>
  <c r="R177" i="1"/>
  <c r="Q177" i="1"/>
  <c r="P177" i="1"/>
  <c r="N177" i="1"/>
  <c r="M177" i="1"/>
  <c r="L177" i="1"/>
  <c r="K177" i="1"/>
  <c r="AW176" i="1"/>
  <c r="AV176" i="1"/>
  <c r="AU176" i="1"/>
  <c r="AT176" i="1"/>
  <c r="AR176" i="1"/>
  <c r="AQ176" i="1"/>
  <c r="AP176" i="1"/>
  <c r="AO176" i="1"/>
  <c r="AM176" i="1"/>
  <c r="AL176" i="1"/>
  <c r="AK176" i="1"/>
  <c r="AJ176" i="1"/>
  <c r="AH176" i="1"/>
  <c r="AG176" i="1"/>
  <c r="AF176" i="1"/>
  <c r="AE176" i="1"/>
  <c r="AC176" i="1"/>
  <c r="AB176" i="1"/>
  <c r="AA176" i="1"/>
  <c r="Z176" i="1"/>
  <c r="X176" i="1"/>
  <c r="W176" i="1"/>
  <c r="V176" i="1"/>
  <c r="U176" i="1"/>
  <c r="S176" i="1"/>
  <c r="R176" i="1"/>
  <c r="Q176" i="1"/>
  <c r="P176" i="1"/>
  <c r="N176" i="1"/>
  <c r="M176" i="1"/>
  <c r="L176" i="1"/>
  <c r="K176" i="1"/>
  <c r="AW175" i="1"/>
  <c r="AV175" i="1"/>
  <c r="AU175" i="1"/>
  <c r="AT175" i="1"/>
  <c r="AR175" i="1"/>
  <c r="AQ175" i="1"/>
  <c r="AP175" i="1"/>
  <c r="AO175" i="1"/>
  <c r="AM175" i="1"/>
  <c r="AL175" i="1"/>
  <c r="AK175" i="1"/>
  <c r="AJ175" i="1"/>
  <c r="AH175" i="1"/>
  <c r="AG175" i="1"/>
  <c r="AF175" i="1"/>
  <c r="AE175" i="1"/>
  <c r="AC175" i="1"/>
  <c r="AB175" i="1"/>
  <c r="AA175" i="1"/>
  <c r="Z175" i="1"/>
  <c r="X175" i="1"/>
  <c r="W175" i="1"/>
  <c r="V175" i="1"/>
  <c r="U175" i="1"/>
  <c r="S175" i="1"/>
  <c r="R175" i="1"/>
  <c r="Q175" i="1"/>
  <c r="P175" i="1"/>
  <c r="N175" i="1"/>
  <c r="M175" i="1"/>
  <c r="L175" i="1"/>
  <c r="K175" i="1"/>
  <c r="AW174" i="1"/>
  <c r="AV174" i="1"/>
  <c r="AU174" i="1"/>
  <c r="AT174" i="1"/>
  <c r="AR174" i="1"/>
  <c r="AQ174" i="1"/>
  <c r="AP174" i="1"/>
  <c r="AO174" i="1"/>
  <c r="AM174" i="1"/>
  <c r="AL174" i="1"/>
  <c r="AK174" i="1"/>
  <c r="AJ174" i="1"/>
  <c r="AH174" i="1"/>
  <c r="AG174" i="1"/>
  <c r="AF174" i="1"/>
  <c r="AE174" i="1"/>
  <c r="AC174" i="1"/>
  <c r="AB174" i="1"/>
  <c r="AA174" i="1"/>
  <c r="Z174" i="1"/>
  <c r="X174" i="1"/>
  <c r="W174" i="1"/>
  <c r="V174" i="1"/>
  <c r="U174" i="1"/>
  <c r="S174" i="1"/>
  <c r="R174" i="1"/>
  <c r="Q174" i="1"/>
  <c r="P174" i="1"/>
  <c r="N174" i="1"/>
  <c r="M174" i="1"/>
  <c r="L174" i="1"/>
  <c r="K174" i="1"/>
  <c r="AW173" i="1"/>
  <c r="AV173" i="1"/>
  <c r="AU173" i="1"/>
  <c r="AT173" i="1"/>
  <c r="AR173" i="1"/>
  <c r="AQ173" i="1"/>
  <c r="AP173" i="1"/>
  <c r="AO173" i="1"/>
  <c r="AM173" i="1"/>
  <c r="AL173" i="1"/>
  <c r="AK173" i="1"/>
  <c r="AJ173" i="1"/>
  <c r="AH173" i="1"/>
  <c r="AG173" i="1"/>
  <c r="AF173" i="1"/>
  <c r="AE173" i="1"/>
  <c r="AC173" i="1"/>
  <c r="AB173" i="1"/>
  <c r="AA173" i="1"/>
  <c r="Z173" i="1"/>
  <c r="X173" i="1"/>
  <c r="W173" i="1"/>
  <c r="V173" i="1"/>
  <c r="U173" i="1"/>
  <c r="S173" i="1"/>
  <c r="R173" i="1"/>
  <c r="Q173" i="1"/>
  <c r="P173" i="1"/>
  <c r="N173" i="1"/>
  <c r="M173" i="1"/>
  <c r="L173" i="1"/>
  <c r="K173" i="1"/>
  <c r="AW172" i="1"/>
  <c r="AV172" i="1"/>
  <c r="AU172" i="1"/>
  <c r="AT172" i="1"/>
  <c r="AR172" i="1"/>
  <c r="AQ172" i="1"/>
  <c r="AP172" i="1"/>
  <c r="AO172" i="1"/>
  <c r="AM172" i="1"/>
  <c r="AL172" i="1"/>
  <c r="AK172" i="1"/>
  <c r="AJ172" i="1"/>
  <c r="AH172" i="1"/>
  <c r="AG172" i="1"/>
  <c r="AF172" i="1"/>
  <c r="AE172" i="1"/>
  <c r="AC172" i="1"/>
  <c r="AB172" i="1"/>
  <c r="AA172" i="1"/>
  <c r="Z172" i="1"/>
  <c r="X172" i="1"/>
  <c r="W172" i="1"/>
  <c r="V172" i="1"/>
  <c r="U172" i="1"/>
  <c r="S172" i="1"/>
  <c r="R172" i="1"/>
  <c r="Q172" i="1"/>
  <c r="P172" i="1"/>
  <c r="N172" i="1"/>
  <c r="M172" i="1"/>
  <c r="L172" i="1"/>
  <c r="K172" i="1"/>
  <c r="AW171" i="1"/>
  <c r="AV171" i="1"/>
  <c r="AU171" i="1"/>
  <c r="AT171" i="1"/>
  <c r="AR171" i="1"/>
  <c r="AQ171" i="1"/>
  <c r="AP171" i="1"/>
  <c r="AO171" i="1"/>
  <c r="AM171" i="1"/>
  <c r="AL171" i="1"/>
  <c r="AK171" i="1"/>
  <c r="AJ171" i="1"/>
  <c r="AH171" i="1"/>
  <c r="AG171" i="1"/>
  <c r="AF171" i="1"/>
  <c r="AE171" i="1"/>
  <c r="AC171" i="1"/>
  <c r="AB171" i="1"/>
  <c r="AA171" i="1"/>
  <c r="Z171" i="1"/>
  <c r="X171" i="1"/>
  <c r="W171" i="1"/>
  <c r="V171" i="1"/>
  <c r="U171" i="1"/>
  <c r="S171" i="1"/>
  <c r="R171" i="1"/>
  <c r="Q171" i="1"/>
  <c r="P171" i="1"/>
  <c r="N171" i="1"/>
  <c r="M171" i="1"/>
  <c r="L171" i="1"/>
  <c r="K171" i="1"/>
  <c r="AW170" i="1"/>
  <c r="AV170" i="1"/>
  <c r="AU170" i="1"/>
  <c r="AT170" i="1"/>
  <c r="AR170" i="1"/>
  <c r="AQ170" i="1"/>
  <c r="AP170" i="1"/>
  <c r="AO170" i="1"/>
  <c r="AM170" i="1"/>
  <c r="AL170" i="1"/>
  <c r="AK170" i="1"/>
  <c r="AJ170" i="1"/>
  <c r="AH170" i="1"/>
  <c r="AG170" i="1"/>
  <c r="AF170" i="1"/>
  <c r="AE170" i="1"/>
  <c r="AC170" i="1"/>
  <c r="AB170" i="1"/>
  <c r="AA170" i="1"/>
  <c r="Z170" i="1"/>
  <c r="X170" i="1"/>
  <c r="W170" i="1"/>
  <c r="V170" i="1"/>
  <c r="U170" i="1"/>
  <c r="S170" i="1"/>
  <c r="R170" i="1"/>
  <c r="Q170" i="1"/>
  <c r="P170" i="1"/>
  <c r="N170" i="1"/>
  <c r="M170" i="1"/>
  <c r="L170" i="1"/>
  <c r="K170" i="1"/>
  <c r="AW169" i="1"/>
  <c r="AV169" i="1"/>
  <c r="AU169" i="1"/>
  <c r="AT169" i="1"/>
  <c r="AR169" i="1"/>
  <c r="AQ169" i="1"/>
  <c r="AP169" i="1"/>
  <c r="AO169" i="1"/>
  <c r="AM169" i="1"/>
  <c r="AL169" i="1"/>
  <c r="AK169" i="1"/>
  <c r="AJ169" i="1"/>
  <c r="AH169" i="1"/>
  <c r="AG169" i="1"/>
  <c r="AF169" i="1"/>
  <c r="AE169" i="1"/>
  <c r="AC169" i="1"/>
  <c r="AB169" i="1"/>
  <c r="AA169" i="1"/>
  <c r="Z169" i="1"/>
  <c r="X169" i="1"/>
  <c r="W169" i="1"/>
  <c r="V169" i="1"/>
  <c r="U169" i="1"/>
  <c r="S169" i="1"/>
  <c r="R169" i="1"/>
  <c r="Q169" i="1"/>
  <c r="P169" i="1"/>
  <c r="N169" i="1"/>
  <c r="M169" i="1"/>
  <c r="L169" i="1"/>
  <c r="K169" i="1"/>
  <c r="AW168" i="1"/>
  <c r="AV168" i="1"/>
  <c r="AU168" i="1"/>
  <c r="AT168" i="1"/>
  <c r="AR168" i="1"/>
  <c r="AQ168" i="1"/>
  <c r="AP168" i="1"/>
  <c r="AO168" i="1"/>
  <c r="AM168" i="1"/>
  <c r="AL168" i="1"/>
  <c r="AK168" i="1"/>
  <c r="AJ168" i="1"/>
  <c r="AH168" i="1"/>
  <c r="AG168" i="1"/>
  <c r="AF168" i="1"/>
  <c r="AE168" i="1"/>
  <c r="AC168" i="1"/>
  <c r="AB168" i="1"/>
  <c r="AA168" i="1"/>
  <c r="Z168" i="1"/>
  <c r="X168" i="1"/>
  <c r="W168" i="1"/>
  <c r="V168" i="1"/>
  <c r="U168" i="1"/>
  <c r="S168" i="1"/>
  <c r="R168" i="1"/>
  <c r="Q168" i="1"/>
  <c r="P168" i="1"/>
  <c r="N168" i="1"/>
  <c r="M168" i="1"/>
  <c r="L168" i="1"/>
  <c r="K168" i="1"/>
  <c r="AW167" i="1"/>
  <c r="AV167" i="1"/>
  <c r="AU167" i="1"/>
  <c r="AT167" i="1"/>
  <c r="AR167" i="1"/>
  <c r="AQ167" i="1"/>
  <c r="AP167" i="1"/>
  <c r="AO167" i="1"/>
  <c r="AM167" i="1"/>
  <c r="AL167" i="1"/>
  <c r="AK167" i="1"/>
  <c r="AJ167" i="1"/>
  <c r="AH167" i="1"/>
  <c r="AG167" i="1"/>
  <c r="AF167" i="1"/>
  <c r="AE167" i="1"/>
  <c r="AC167" i="1"/>
  <c r="AB167" i="1"/>
  <c r="AA167" i="1"/>
  <c r="Z167" i="1"/>
  <c r="X167" i="1"/>
  <c r="W167" i="1"/>
  <c r="V167" i="1"/>
  <c r="U167" i="1"/>
  <c r="S167" i="1"/>
  <c r="R167" i="1"/>
  <c r="Q167" i="1"/>
  <c r="P167" i="1"/>
  <c r="N167" i="1"/>
  <c r="M167" i="1"/>
  <c r="L167" i="1"/>
  <c r="K167" i="1"/>
  <c r="AW166" i="1"/>
  <c r="AV166" i="1"/>
  <c r="AU166" i="1"/>
  <c r="AT166" i="1"/>
  <c r="AR166" i="1"/>
  <c r="AQ166" i="1"/>
  <c r="AP166" i="1"/>
  <c r="AO166" i="1"/>
  <c r="AM166" i="1"/>
  <c r="AL166" i="1"/>
  <c r="AK166" i="1"/>
  <c r="AJ166" i="1"/>
  <c r="AH166" i="1"/>
  <c r="AG166" i="1"/>
  <c r="AF166" i="1"/>
  <c r="AE166" i="1"/>
  <c r="AC166" i="1"/>
  <c r="AB166" i="1"/>
  <c r="AA166" i="1"/>
  <c r="Z166" i="1"/>
  <c r="X166" i="1"/>
  <c r="W166" i="1"/>
  <c r="V166" i="1"/>
  <c r="U166" i="1"/>
  <c r="S166" i="1"/>
  <c r="R166" i="1"/>
  <c r="Q166" i="1"/>
  <c r="P166" i="1"/>
  <c r="N166" i="1"/>
  <c r="M166" i="1"/>
  <c r="L166" i="1"/>
  <c r="K166" i="1"/>
  <c r="AW165" i="1"/>
  <c r="AV165" i="1"/>
  <c r="AU165" i="1"/>
  <c r="AT165" i="1"/>
  <c r="AR165" i="1"/>
  <c r="AQ165" i="1"/>
  <c r="AP165" i="1"/>
  <c r="AO165" i="1"/>
  <c r="AM165" i="1"/>
  <c r="AL165" i="1"/>
  <c r="AK165" i="1"/>
  <c r="AJ165" i="1"/>
  <c r="AH165" i="1"/>
  <c r="AG165" i="1"/>
  <c r="AF165" i="1"/>
  <c r="AE165" i="1"/>
  <c r="AC165" i="1"/>
  <c r="AB165" i="1"/>
  <c r="AA165" i="1"/>
  <c r="Z165" i="1"/>
  <c r="X165" i="1"/>
  <c r="W165" i="1"/>
  <c r="V165" i="1"/>
  <c r="U165" i="1"/>
  <c r="S165" i="1"/>
  <c r="R165" i="1"/>
  <c r="Q165" i="1"/>
  <c r="P165" i="1"/>
  <c r="N165" i="1"/>
  <c r="M165" i="1"/>
  <c r="L165" i="1"/>
  <c r="K165" i="1"/>
  <c r="AW164" i="1"/>
  <c r="AV164" i="1"/>
  <c r="AU164" i="1"/>
  <c r="AT164" i="1"/>
  <c r="AR164" i="1"/>
  <c r="AQ164" i="1"/>
  <c r="AP164" i="1"/>
  <c r="AO164" i="1"/>
  <c r="AM164" i="1"/>
  <c r="AL164" i="1"/>
  <c r="AK164" i="1"/>
  <c r="AJ164" i="1"/>
  <c r="AH164" i="1"/>
  <c r="AG164" i="1"/>
  <c r="AF164" i="1"/>
  <c r="AE164" i="1"/>
  <c r="AC164" i="1"/>
  <c r="AB164" i="1"/>
  <c r="AA164" i="1"/>
  <c r="Z164" i="1"/>
  <c r="X164" i="1"/>
  <c r="W164" i="1"/>
  <c r="V164" i="1"/>
  <c r="U164" i="1"/>
  <c r="S164" i="1"/>
  <c r="R164" i="1"/>
  <c r="Q164" i="1"/>
  <c r="P164" i="1"/>
  <c r="N164" i="1"/>
  <c r="M164" i="1"/>
  <c r="L164" i="1"/>
  <c r="K164" i="1"/>
  <c r="AW163" i="1"/>
  <c r="AV163" i="1"/>
  <c r="AU163" i="1"/>
  <c r="AT163" i="1"/>
  <c r="AR163" i="1"/>
  <c r="AQ163" i="1"/>
  <c r="AP163" i="1"/>
  <c r="AO163" i="1"/>
  <c r="AM163" i="1"/>
  <c r="AL163" i="1"/>
  <c r="AK163" i="1"/>
  <c r="AJ163" i="1"/>
  <c r="AH163" i="1"/>
  <c r="AG163" i="1"/>
  <c r="AF163" i="1"/>
  <c r="AE163" i="1"/>
  <c r="AC163" i="1"/>
  <c r="AB163" i="1"/>
  <c r="AA163" i="1"/>
  <c r="Z163" i="1"/>
  <c r="X163" i="1"/>
  <c r="W163" i="1"/>
  <c r="V163" i="1"/>
  <c r="U163" i="1"/>
  <c r="S163" i="1"/>
  <c r="R163" i="1"/>
  <c r="Q163" i="1"/>
  <c r="P163" i="1"/>
  <c r="N163" i="1"/>
  <c r="M163" i="1"/>
  <c r="L163" i="1"/>
  <c r="K163" i="1"/>
  <c r="AW162" i="1"/>
  <c r="AV162" i="1"/>
  <c r="AU162" i="1"/>
  <c r="AT162" i="1"/>
  <c r="AR162" i="1"/>
  <c r="AQ162" i="1"/>
  <c r="AP162" i="1"/>
  <c r="AO162" i="1"/>
  <c r="AM162" i="1"/>
  <c r="AL162" i="1"/>
  <c r="AK162" i="1"/>
  <c r="AJ162" i="1"/>
  <c r="AH162" i="1"/>
  <c r="AG162" i="1"/>
  <c r="AF162" i="1"/>
  <c r="AE162" i="1"/>
  <c r="AC162" i="1"/>
  <c r="AB162" i="1"/>
  <c r="AA162" i="1"/>
  <c r="Z162" i="1"/>
  <c r="X162" i="1"/>
  <c r="W162" i="1"/>
  <c r="V162" i="1"/>
  <c r="U162" i="1"/>
  <c r="S162" i="1"/>
  <c r="R162" i="1"/>
  <c r="Q162" i="1"/>
  <c r="P162" i="1"/>
  <c r="N162" i="1"/>
  <c r="M162" i="1"/>
  <c r="L162" i="1"/>
  <c r="K162" i="1"/>
  <c r="AW161" i="1"/>
  <c r="AV161" i="1"/>
  <c r="AU161" i="1"/>
  <c r="AT161" i="1"/>
  <c r="AR161" i="1"/>
  <c r="AQ161" i="1"/>
  <c r="AP161" i="1"/>
  <c r="AO161" i="1"/>
  <c r="AM161" i="1"/>
  <c r="AL161" i="1"/>
  <c r="AK161" i="1"/>
  <c r="AJ161" i="1"/>
  <c r="AH161" i="1"/>
  <c r="AG161" i="1"/>
  <c r="AF161" i="1"/>
  <c r="AE161" i="1"/>
  <c r="AC161" i="1"/>
  <c r="AB161" i="1"/>
  <c r="AA161" i="1"/>
  <c r="Z161" i="1"/>
  <c r="X161" i="1"/>
  <c r="W161" i="1"/>
  <c r="V161" i="1"/>
  <c r="U161" i="1"/>
  <c r="S161" i="1"/>
  <c r="R161" i="1"/>
  <c r="Q161" i="1"/>
  <c r="P161" i="1"/>
  <c r="N161" i="1"/>
  <c r="M161" i="1"/>
  <c r="L161" i="1"/>
  <c r="K161" i="1"/>
  <c r="AW160" i="1"/>
  <c r="AV160" i="1"/>
  <c r="AU160" i="1"/>
  <c r="AT160" i="1"/>
  <c r="AR160" i="1"/>
  <c r="AQ160" i="1"/>
  <c r="AP160" i="1"/>
  <c r="AO160" i="1"/>
  <c r="AM160" i="1"/>
  <c r="AL160" i="1"/>
  <c r="AK160" i="1"/>
  <c r="AJ160" i="1"/>
  <c r="AH160" i="1"/>
  <c r="AG160" i="1"/>
  <c r="AF160" i="1"/>
  <c r="AE160" i="1"/>
  <c r="AC160" i="1"/>
  <c r="AB160" i="1"/>
  <c r="AA160" i="1"/>
  <c r="Z160" i="1"/>
  <c r="X160" i="1"/>
  <c r="W160" i="1"/>
  <c r="V160" i="1"/>
  <c r="U160" i="1"/>
  <c r="S160" i="1"/>
  <c r="R160" i="1"/>
  <c r="Q160" i="1"/>
  <c r="P160" i="1"/>
  <c r="N160" i="1"/>
  <c r="M160" i="1"/>
  <c r="L160" i="1"/>
  <c r="K160" i="1"/>
  <c r="AW159" i="1"/>
  <c r="AV159" i="1"/>
  <c r="AU159" i="1"/>
  <c r="AT159" i="1"/>
  <c r="AR159" i="1"/>
  <c r="AQ159" i="1"/>
  <c r="AP159" i="1"/>
  <c r="AO159" i="1"/>
  <c r="AM159" i="1"/>
  <c r="AL159" i="1"/>
  <c r="AK159" i="1"/>
  <c r="AJ159" i="1"/>
  <c r="AH159" i="1"/>
  <c r="AG159" i="1"/>
  <c r="AF159" i="1"/>
  <c r="AE159" i="1"/>
  <c r="AC159" i="1"/>
  <c r="AB159" i="1"/>
  <c r="AA159" i="1"/>
  <c r="Z159" i="1"/>
  <c r="X159" i="1"/>
  <c r="W159" i="1"/>
  <c r="V159" i="1"/>
  <c r="U159" i="1"/>
  <c r="S159" i="1"/>
  <c r="R159" i="1"/>
  <c r="Q159" i="1"/>
  <c r="P159" i="1"/>
  <c r="N159" i="1"/>
  <c r="M159" i="1"/>
  <c r="L159" i="1"/>
  <c r="K159" i="1"/>
  <c r="AW158" i="1"/>
  <c r="AV158" i="1"/>
  <c r="AU158" i="1"/>
  <c r="AT158" i="1"/>
  <c r="AR158" i="1"/>
  <c r="AQ158" i="1"/>
  <c r="AP158" i="1"/>
  <c r="AO158" i="1"/>
  <c r="AM158" i="1"/>
  <c r="AL158" i="1"/>
  <c r="AK158" i="1"/>
  <c r="AJ158" i="1"/>
  <c r="AH158" i="1"/>
  <c r="AG158" i="1"/>
  <c r="AF158" i="1"/>
  <c r="AE158" i="1"/>
  <c r="AC158" i="1"/>
  <c r="AB158" i="1"/>
  <c r="AA158" i="1"/>
  <c r="Z158" i="1"/>
  <c r="X158" i="1"/>
  <c r="W158" i="1"/>
  <c r="V158" i="1"/>
  <c r="U158" i="1"/>
  <c r="S158" i="1"/>
  <c r="R158" i="1"/>
  <c r="Q158" i="1"/>
  <c r="P158" i="1"/>
  <c r="N158" i="1"/>
  <c r="M158" i="1"/>
  <c r="L158" i="1"/>
  <c r="K158" i="1"/>
  <c r="AW157" i="1"/>
  <c r="AV157" i="1"/>
  <c r="AU157" i="1"/>
  <c r="AT157" i="1"/>
  <c r="AR157" i="1"/>
  <c r="AQ157" i="1"/>
  <c r="AP157" i="1"/>
  <c r="AO157" i="1"/>
  <c r="AM157" i="1"/>
  <c r="AL157" i="1"/>
  <c r="AK157" i="1"/>
  <c r="AJ157" i="1"/>
  <c r="AH157" i="1"/>
  <c r="AG157" i="1"/>
  <c r="AF157" i="1"/>
  <c r="AE157" i="1"/>
  <c r="AC157" i="1"/>
  <c r="AB157" i="1"/>
  <c r="AA157" i="1"/>
  <c r="Z157" i="1"/>
  <c r="X157" i="1"/>
  <c r="W157" i="1"/>
  <c r="V157" i="1"/>
  <c r="U157" i="1"/>
  <c r="S157" i="1"/>
  <c r="R157" i="1"/>
  <c r="Q157" i="1"/>
  <c r="P157" i="1"/>
  <c r="N157" i="1"/>
  <c r="M157" i="1"/>
  <c r="L157" i="1"/>
  <c r="K157" i="1"/>
  <c r="AW156" i="1"/>
  <c r="AV156" i="1"/>
  <c r="AU156" i="1"/>
  <c r="AT156" i="1"/>
  <c r="AR156" i="1"/>
  <c r="AQ156" i="1"/>
  <c r="AP156" i="1"/>
  <c r="AO156" i="1"/>
  <c r="AM156" i="1"/>
  <c r="AL156" i="1"/>
  <c r="AK156" i="1"/>
  <c r="AJ156" i="1"/>
  <c r="AH156" i="1"/>
  <c r="AG156" i="1"/>
  <c r="AF156" i="1"/>
  <c r="AE156" i="1"/>
  <c r="AC156" i="1"/>
  <c r="AB156" i="1"/>
  <c r="AA156" i="1"/>
  <c r="Z156" i="1"/>
  <c r="X156" i="1"/>
  <c r="W156" i="1"/>
  <c r="V156" i="1"/>
  <c r="U156" i="1"/>
  <c r="S156" i="1"/>
  <c r="R156" i="1"/>
  <c r="Q156" i="1"/>
  <c r="P156" i="1"/>
  <c r="N156" i="1"/>
  <c r="M156" i="1"/>
  <c r="L156" i="1"/>
  <c r="K156" i="1"/>
  <c r="AW155" i="1"/>
  <c r="AV155" i="1"/>
  <c r="AU155" i="1"/>
  <c r="AT155" i="1"/>
  <c r="AR155" i="1"/>
  <c r="AQ155" i="1"/>
  <c r="AP155" i="1"/>
  <c r="AO155" i="1"/>
  <c r="AM155" i="1"/>
  <c r="AL155" i="1"/>
  <c r="AK155" i="1"/>
  <c r="AJ155" i="1"/>
  <c r="AH155" i="1"/>
  <c r="AG155" i="1"/>
  <c r="AF155" i="1"/>
  <c r="AE155" i="1"/>
  <c r="AC155" i="1"/>
  <c r="AB155" i="1"/>
  <c r="AA155" i="1"/>
  <c r="Z155" i="1"/>
  <c r="X155" i="1"/>
  <c r="W155" i="1"/>
  <c r="V155" i="1"/>
  <c r="U155" i="1"/>
  <c r="S155" i="1"/>
  <c r="R155" i="1"/>
  <c r="Q155" i="1"/>
  <c r="P155" i="1"/>
  <c r="N155" i="1"/>
  <c r="M155" i="1"/>
  <c r="L155" i="1"/>
  <c r="K155" i="1"/>
  <c r="AW154" i="1"/>
  <c r="AV154" i="1"/>
  <c r="AU154" i="1"/>
  <c r="AT154" i="1"/>
  <c r="AR154" i="1"/>
  <c r="AQ154" i="1"/>
  <c r="AP154" i="1"/>
  <c r="AO154" i="1"/>
  <c r="AM154" i="1"/>
  <c r="AL154" i="1"/>
  <c r="AK154" i="1"/>
  <c r="AJ154" i="1"/>
  <c r="AH154" i="1"/>
  <c r="AG154" i="1"/>
  <c r="AF154" i="1"/>
  <c r="AE154" i="1"/>
  <c r="AC154" i="1"/>
  <c r="AB154" i="1"/>
  <c r="AA154" i="1"/>
  <c r="Z154" i="1"/>
  <c r="X154" i="1"/>
  <c r="W154" i="1"/>
  <c r="V154" i="1"/>
  <c r="U154" i="1"/>
  <c r="S154" i="1"/>
  <c r="R154" i="1"/>
  <c r="Q154" i="1"/>
  <c r="P154" i="1"/>
  <c r="N154" i="1"/>
  <c r="M154" i="1"/>
  <c r="L154" i="1"/>
  <c r="K154" i="1"/>
  <c r="AW153" i="1"/>
  <c r="AV153" i="1"/>
  <c r="AU153" i="1"/>
  <c r="AT153" i="1"/>
  <c r="AR153" i="1"/>
  <c r="AQ153" i="1"/>
  <c r="AP153" i="1"/>
  <c r="AO153" i="1"/>
  <c r="AM153" i="1"/>
  <c r="AL153" i="1"/>
  <c r="AK153" i="1"/>
  <c r="AJ153" i="1"/>
  <c r="AH153" i="1"/>
  <c r="AG153" i="1"/>
  <c r="AF153" i="1"/>
  <c r="AE153" i="1"/>
  <c r="AC153" i="1"/>
  <c r="AB153" i="1"/>
  <c r="AA153" i="1"/>
  <c r="Z153" i="1"/>
  <c r="X153" i="1"/>
  <c r="W153" i="1"/>
  <c r="V153" i="1"/>
  <c r="U153" i="1"/>
  <c r="S153" i="1"/>
  <c r="R153" i="1"/>
  <c r="Q153" i="1"/>
  <c r="P153" i="1"/>
  <c r="N153" i="1"/>
  <c r="M153" i="1"/>
  <c r="L153" i="1"/>
  <c r="K153" i="1"/>
  <c r="AW152" i="1"/>
  <c r="AV152" i="1"/>
  <c r="AU152" i="1"/>
  <c r="AT152" i="1"/>
  <c r="AR152" i="1"/>
  <c r="AQ152" i="1"/>
  <c r="AP152" i="1"/>
  <c r="AO152" i="1"/>
  <c r="AM152" i="1"/>
  <c r="AL152" i="1"/>
  <c r="AK152" i="1"/>
  <c r="AJ152" i="1"/>
  <c r="AH152" i="1"/>
  <c r="AG152" i="1"/>
  <c r="AF152" i="1"/>
  <c r="AE152" i="1"/>
  <c r="AC152" i="1"/>
  <c r="AB152" i="1"/>
  <c r="AA152" i="1"/>
  <c r="Z152" i="1"/>
  <c r="X152" i="1"/>
  <c r="W152" i="1"/>
  <c r="V152" i="1"/>
  <c r="U152" i="1"/>
  <c r="S152" i="1"/>
  <c r="R152" i="1"/>
  <c r="Q152" i="1"/>
  <c r="P152" i="1"/>
  <c r="N152" i="1"/>
  <c r="M152" i="1"/>
  <c r="L152" i="1"/>
  <c r="K152" i="1"/>
  <c r="AW151" i="1"/>
  <c r="AV151" i="1"/>
  <c r="AU151" i="1"/>
  <c r="AT151" i="1"/>
  <c r="AR151" i="1"/>
  <c r="AQ151" i="1"/>
  <c r="AP151" i="1"/>
  <c r="AO151" i="1"/>
  <c r="AM151" i="1"/>
  <c r="AL151" i="1"/>
  <c r="AK151" i="1"/>
  <c r="AJ151" i="1"/>
  <c r="AH151" i="1"/>
  <c r="AG151" i="1"/>
  <c r="AF151" i="1"/>
  <c r="AE151" i="1"/>
  <c r="AC151" i="1"/>
  <c r="AB151" i="1"/>
  <c r="AA151" i="1"/>
  <c r="Z151" i="1"/>
  <c r="X151" i="1"/>
  <c r="W151" i="1"/>
  <c r="V151" i="1"/>
  <c r="U151" i="1"/>
  <c r="S151" i="1"/>
  <c r="R151" i="1"/>
  <c r="Q151" i="1"/>
  <c r="P151" i="1"/>
  <c r="N151" i="1"/>
  <c r="M151" i="1"/>
  <c r="L151" i="1"/>
  <c r="K151" i="1"/>
  <c r="AW150" i="1"/>
  <c r="AV150" i="1"/>
  <c r="AU150" i="1"/>
  <c r="AT150" i="1"/>
  <c r="AR150" i="1"/>
  <c r="AQ150" i="1"/>
  <c r="AP150" i="1"/>
  <c r="AO150" i="1"/>
  <c r="AM150" i="1"/>
  <c r="AL150" i="1"/>
  <c r="AK150" i="1"/>
  <c r="AJ150" i="1"/>
  <c r="AH150" i="1"/>
  <c r="AG150" i="1"/>
  <c r="AF150" i="1"/>
  <c r="AE150" i="1"/>
  <c r="AC150" i="1"/>
  <c r="AB150" i="1"/>
  <c r="AA150" i="1"/>
  <c r="Z150" i="1"/>
  <c r="X150" i="1"/>
  <c r="W150" i="1"/>
  <c r="V150" i="1"/>
  <c r="U150" i="1"/>
  <c r="S150" i="1"/>
  <c r="R150" i="1"/>
  <c r="Q150" i="1"/>
  <c r="P150" i="1"/>
  <c r="N150" i="1"/>
  <c r="M150" i="1"/>
  <c r="L150" i="1"/>
  <c r="K150" i="1"/>
  <c r="AW149" i="1"/>
  <c r="AV149" i="1"/>
  <c r="AU149" i="1"/>
  <c r="AT149" i="1"/>
  <c r="AR149" i="1"/>
  <c r="AQ149" i="1"/>
  <c r="AP149" i="1"/>
  <c r="AO149" i="1"/>
  <c r="AM149" i="1"/>
  <c r="AL149" i="1"/>
  <c r="AK149" i="1"/>
  <c r="AJ149" i="1"/>
  <c r="AH149" i="1"/>
  <c r="AG149" i="1"/>
  <c r="AF149" i="1"/>
  <c r="AE149" i="1"/>
  <c r="AC149" i="1"/>
  <c r="AB149" i="1"/>
  <c r="AA149" i="1"/>
  <c r="Z149" i="1"/>
  <c r="X149" i="1"/>
  <c r="W149" i="1"/>
  <c r="V149" i="1"/>
  <c r="U149" i="1"/>
  <c r="S149" i="1"/>
  <c r="R149" i="1"/>
  <c r="Q149" i="1"/>
  <c r="P149" i="1"/>
  <c r="N149" i="1"/>
  <c r="M149" i="1"/>
  <c r="L149" i="1"/>
  <c r="K149" i="1"/>
  <c r="AW148" i="1"/>
  <c r="AV148" i="1"/>
  <c r="AU148" i="1"/>
  <c r="AT148" i="1"/>
  <c r="AR148" i="1"/>
  <c r="AQ148" i="1"/>
  <c r="AP148" i="1"/>
  <c r="AO148" i="1"/>
  <c r="AM148" i="1"/>
  <c r="AL148" i="1"/>
  <c r="AK148" i="1"/>
  <c r="AJ148" i="1"/>
  <c r="AH148" i="1"/>
  <c r="AG148" i="1"/>
  <c r="AF148" i="1"/>
  <c r="AE148" i="1"/>
  <c r="AC148" i="1"/>
  <c r="AB148" i="1"/>
  <c r="AA148" i="1"/>
  <c r="Z148" i="1"/>
  <c r="X148" i="1"/>
  <c r="W148" i="1"/>
  <c r="V148" i="1"/>
  <c r="U148" i="1"/>
  <c r="S148" i="1"/>
  <c r="R148" i="1"/>
  <c r="Q148" i="1"/>
  <c r="P148" i="1"/>
  <c r="N148" i="1"/>
  <c r="M148" i="1"/>
  <c r="L148" i="1"/>
  <c r="K148" i="1"/>
  <c r="AW147" i="1"/>
  <c r="AV147" i="1"/>
  <c r="AU147" i="1"/>
  <c r="AT147" i="1"/>
  <c r="AR147" i="1"/>
  <c r="AQ147" i="1"/>
  <c r="AP147" i="1"/>
  <c r="AO147" i="1"/>
  <c r="AM147" i="1"/>
  <c r="AL147" i="1"/>
  <c r="AK147" i="1"/>
  <c r="AJ147" i="1"/>
  <c r="AH147" i="1"/>
  <c r="AG147" i="1"/>
  <c r="AF147" i="1"/>
  <c r="AE147" i="1"/>
  <c r="AC147" i="1"/>
  <c r="AB147" i="1"/>
  <c r="AA147" i="1"/>
  <c r="Z147" i="1"/>
  <c r="X147" i="1"/>
  <c r="W147" i="1"/>
  <c r="V147" i="1"/>
  <c r="U147" i="1"/>
  <c r="S147" i="1"/>
  <c r="R147" i="1"/>
  <c r="Q147" i="1"/>
  <c r="P147" i="1"/>
  <c r="N147" i="1"/>
  <c r="M147" i="1"/>
  <c r="L147" i="1"/>
  <c r="K147" i="1"/>
  <c r="AW146" i="1"/>
  <c r="AV146" i="1"/>
  <c r="AU146" i="1"/>
  <c r="AT146" i="1"/>
  <c r="AR146" i="1"/>
  <c r="AQ146" i="1"/>
  <c r="AP146" i="1"/>
  <c r="AO146" i="1"/>
  <c r="AM146" i="1"/>
  <c r="AL146" i="1"/>
  <c r="AK146" i="1"/>
  <c r="AJ146" i="1"/>
  <c r="AH146" i="1"/>
  <c r="AG146" i="1"/>
  <c r="AF146" i="1"/>
  <c r="AE146" i="1"/>
  <c r="AC146" i="1"/>
  <c r="AB146" i="1"/>
  <c r="AA146" i="1"/>
  <c r="Z146" i="1"/>
  <c r="X146" i="1"/>
  <c r="W146" i="1"/>
  <c r="V146" i="1"/>
  <c r="U146" i="1"/>
  <c r="S146" i="1"/>
  <c r="R146" i="1"/>
  <c r="Q146" i="1"/>
  <c r="P146" i="1"/>
  <c r="N146" i="1"/>
  <c r="M146" i="1"/>
  <c r="L146" i="1"/>
  <c r="K146" i="1"/>
  <c r="AW145" i="1"/>
  <c r="AV145" i="1"/>
  <c r="AU145" i="1"/>
  <c r="AT145" i="1"/>
  <c r="AR145" i="1"/>
  <c r="AQ145" i="1"/>
  <c r="AP145" i="1"/>
  <c r="AO145" i="1"/>
  <c r="AM145" i="1"/>
  <c r="AL145" i="1"/>
  <c r="AK145" i="1"/>
  <c r="AJ145" i="1"/>
  <c r="AH145" i="1"/>
  <c r="AG145" i="1"/>
  <c r="AF145" i="1"/>
  <c r="AE145" i="1"/>
  <c r="AC145" i="1"/>
  <c r="AB145" i="1"/>
  <c r="AA145" i="1"/>
  <c r="Z145" i="1"/>
  <c r="X145" i="1"/>
  <c r="W145" i="1"/>
  <c r="V145" i="1"/>
  <c r="U145" i="1"/>
  <c r="S145" i="1"/>
  <c r="R145" i="1"/>
  <c r="Q145" i="1"/>
  <c r="P145" i="1"/>
  <c r="N145" i="1"/>
  <c r="M145" i="1"/>
  <c r="L145" i="1"/>
  <c r="K145" i="1"/>
  <c r="AW144" i="1"/>
  <c r="AV144" i="1"/>
  <c r="AU144" i="1"/>
  <c r="AT144" i="1"/>
  <c r="AR144" i="1"/>
  <c r="AQ144" i="1"/>
  <c r="AP144" i="1"/>
  <c r="AO144" i="1"/>
  <c r="AM144" i="1"/>
  <c r="AL144" i="1"/>
  <c r="AK144" i="1"/>
  <c r="AJ144" i="1"/>
  <c r="AH144" i="1"/>
  <c r="AG144" i="1"/>
  <c r="AF144" i="1"/>
  <c r="AE144" i="1"/>
  <c r="AC144" i="1"/>
  <c r="AB144" i="1"/>
  <c r="AA144" i="1"/>
  <c r="Z144" i="1"/>
  <c r="X144" i="1"/>
  <c r="W144" i="1"/>
  <c r="V144" i="1"/>
  <c r="U144" i="1"/>
  <c r="S144" i="1"/>
  <c r="R144" i="1"/>
  <c r="Q144" i="1"/>
  <c r="P144" i="1"/>
  <c r="N144" i="1"/>
  <c r="M144" i="1"/>
  <c r="L144" i="1"/>
  <c r="K144" i="1"/>
  <c r="AW143" i="1"/>
  <c r="AV143" i="1"/>
  <c r="AU143" i="1"/>
  <c r="AT143" i="1"/>
  <c r="AR143" i="1"/>
  <c r="AQ143" i="1"/>
  <c r="AP143" i="1"/>
  <c r="AO143" i="1"/>
  <c r="AM143" i="1"/>
  <c r="AL143" i="1"/>
  <c r="AK143" i="1"/>
  <c r="AJ143" i="1"/>
  <c r="AH143" i="1"/>
  <c r="AG143" i="1"/>
  <c r="AF143" i="1"/>
  <c r="AE143" i="1"/>
  <c r="AC143" i="1"/>
  <c r="AB143" i="1"/>
  <c r="AA143" i="1"/>
  <c r="Z143" i="1"/>
  <c r="X143" i="1"/>
  <c r="W143" i="1"/>
  <c r="V143" i="1"/>
  <c r="U143" i="1"/>
  <c r="S143" i="1"/>
  <c r="R143" i="1"/>
  <c r="Q143" i="1"/>
  <c r="P143" i="1"/>
  <c r="N143" i="1"/>
  <c r="M143" i="1"/>
  <c r="L143" i="1"/>
  <c r="K143" i="1"/>
  <c r="AW142" i="1"/>
  <c r="AV142" i="1"/>
  <c r="AU142" i="1"/>
  <c r="AT142" i="1"/>
  <c r="AR142" i="1"/>
  <c r="AQ142" i="1"/>
  <c r="AP142" i="1"/>
  <c r="AO142" i="1"/>
  <c r="AM142" i="1"/>
  <c r="AL142" i="1"/>
  <c r="AK142" i="1"/>
  <c r="AJ142" i="1"/>
  <c r="AH142" i="1"/>
  <c r="AG142" i="1"/>
  <c r="AF142" i="1"/>
  <c r="AE142" i="1"/>
  <c r="AC142" i="1"/>
  <c r="AB142" i="1"/>
  <c r="AA142" i="1"/>
  <c r="Z142" i="1"/>
  <c r="X142" i="1"/>
  <c r="W142" i="1"/>
  <c r="V142" i="1"/>
  <c r="U142" i="1"/>
  <c r="S142" i="1"/>
  <c r="R142" i="1"/>
  <c r="Q142" i="1"/>
  <c r="P142" i="1"/>
  <c r="N142" i="1"/>
  <c r="M142" i="1"/>
  <c r="L142" i="1"/>
  <c r="K142" i="1"/>
  <c r="AW141" i="1"/>
  <c r="AV141" i="1"/>
  <c r="AU141" i="1"/>
  <c r="AT141" i="1"/>
  <c r="AR141" i="1"/>
  <c r="AQ141" i="1"/>
  <c r="AP141" i="1"/>
  <c r="AO141" i="1"/>
  <c r="AM141" i="1"/>
  <c r="AL141" i="1"/>
  <c r="AK141" i="1"/>
  <c r="AJ141" i="1"/>
  <c r="AH141" i="1"/>
  <c r="AG141" i="1"/>
  <c r="AF141" i="1"/>
  <c r="AE141" i="1"/>
  <c r="AC141" i="1"/>
  <c r="AB141" i="1"/>
  <c r="AA141" i="1"/>
  <c r="Z141" i="1"/>
  <c r="X141" i="1"/>
  <c r="W141" i="1"/>
  <c r="V141" i="1"/>
  <c r="U141" i="1"/>
  <c r="S141" i="1"/>
  <c r="R141" i="1"/>
  <c r="Q141" i="1"/>
  <c r="P141" i="1"/>
  <c r="N141" i="1"/>
  <c r="M141" i="1"/>
  <c r="L141" i="1"/>
  <c r="K141" i="1"/>
  <c r="AW140" i="1"/>
  <c r="AV140" i="1"/>
  <c r="AU140" i="1"/>
  <c r="AT140" i="1"/>
  <c r="AR140" i="1"/>
  <c r="AQ140" i="1"/>
  <c r="AP140" i="1"/>
  <c r="AO140" i="1"/>
  <c r="AM140" i="1"/>
  <c r="AL140" i="1"/>
  <c r="AK140" i="1"/>
  <c r="AJ140" i="1"/>
  <c r="AH140" i="1"/>
  <c r="AG140" i="1"/>
  <c r="AF140" i="1"/>
  <c r="AE140" i="1"/>
  <c r="AC140" i="1"/>
  <c r="AB140" i="1"/>
  <c r="AA140" i="1"/>
  <c r="Z140" i="1"/>
  <c r="X140" i="1"/>
  <c r="W140" i="1"/>
  <c r="V140" i="1"/>
  <c r="U140" i="1"/>
  <c r="S140" i="1"/>
  <c r="R140" i="1"/>
  <c r="Q140" i="1"/>
  <c r="P140" i="1"/>
  <c r="N140" i="1"/>
  <c r="M140" i="1"/>
  <c r="L140" i="1"/>
  <c r="K140" i="1"/>
  <c r="AW139" i="1"/>
  <c r="AV139" i="1"/>
  <c r="AU139" i="1"/>
  <c r="AT139" i="1"/>
  <c r="AR139" i="1"/>
  <c r="AQ139" i="1"/>
  <c r="AP139" i="1"/>
  <c r="AO139" i="1"/>
  <c r="AM139" i="1"/>
  <c r="AL139" i="1"/>
  <c r="AK139" i="1"/>
  <c r="AJ139" i="1"/>
  <c r="AH139" i="1"/>
  <c r="AG139" i="1"/>
  <c r="AF139" i="1"/>
  <c r="AE139" i="1"/>
  <c r="AC139" i="1"/>
  <c r="AB139" i="1"/>
  <c r="AA139" i="1"/>
  <c r="Z139" i="1"/>
  <c r="X139" i="1"/>
  <c r="W139" i="1"/>
  <c r="V139" i="1"/>
  <c r="U139" i="1"/>
  <c r="S139" i="1"/>
  <c r="R139" i="1"/>
  <c r="Q139" i="1"/>
  <c r="P139" i="1"/>
  <c r="N139" i="1"/>
  <c r="M139" i="1"/>
  <c r="L139" i="1"/>
  <c r="K139" i="1"/>
  <c r="AW138" i="1"/>
  <c r="AV138" i="1"/>
  <c r="AU138" i="1"/>
  <c r="AT138" i="1"/>
  <c r="AR138" i="1"/>
  <c r="AQ138" i="1"/>
  <c r="AP138" i="1"/>
  <c r="AO138" i="1"/>
  <c r="AM138" i="1"/>
  <c r="AL138" i="1"/>
  <c r="AK138" i="1"/>
  <c r="AJ138" i="1"/>
  <c r="AH138" i="1"/>
  <c r="AG138" i="1"/>
  <c r="AF138" i="1"/>
  <c r="AE138" i="1"/>
  <c r="AC138" i="1"/>
  <c r="AB138" i="1"/>
  <c r="AA138" i="1"/>
  <c r="Z138" i="1"/>
  <c r="X138" i="1"/>
  <c r="W138" i="1"/>
  <c r="V138" i="1"/>
  <c r="U138" i="1"/>
  <c r="S138" i="1"/>
  <c r="R138" i="1"/>
  <c r="Q138" i="1"/>
  <c r="P138" i="1"/>
  <c r="N138" i="1"/>
  <c r="M138" i="1"/>
  <c r="L138" i="1"/>
  <c r="K138" i="1"/>
  <c r="AW137" i="1"/>
  <c r="AV137" i="1"/>
  <c r="AU137" i="1"/>
  <c r="AT137" i="1"/>
  <c r="AR137" i="1"/>
  <c r="AQ137" i="1"/>
  <c r="AP137" i="1"/>
  <c r="AO137" i="1"/>
  <c r="AM137" i="1"/>
  <c r="AL137" i="1"/>
  <c r="AK137" i="1"/>
  <c r="AJ137" i="1"/>
  <c r="AH137" i="1"/>
  <c r="AG137" i="1"/>
  <c r="AF137" i="1"/>
  <c r="AE137" i="1"/>
  <c r="AC137" i="1"/>
  <c r="AB137" i="1"/>
  <c r="AA137" i="1"/>
  <c r="Z137" i="1"/>
  <c r="X137" i="1"/>
  <c r="W137" i="1"/>
  <c r="V137" i="1"/>
  <c r="U137" i="1"/>
  <c r="S137" i="1"/>
  <c r="R137" i="1"/>
  <c r="Q137" i="1"/>
  <c r="P137" i="1"/>
  <c r="N137" i="1"/>
  <c r="M137" i="1"/>
  <c r="L137" i="1"/>
  <c r="K137" i="1"/>
  <c r="AW136" i="1"/>
  <c r="AV136" i="1"/>
  <c r="AU136" i="1"/>
  <c r="AT136" i="1"/>
  <c r="AR136" i="1"/>
  <c r="AQ136" i="1"/>
  <c r="AP136" i="1"/>
  <c r="AO136" i="1"/>
  <c r="AM136" i="1"/>
  <c r="AL136" i="1"/>
  <c r="AK136" i="1"/>
  <c r="AJ136" i="1"/>
  <c r="AH136" i="1"/>
  <c r="AG136" i="1"/>
  <c r="AF136" i="1"/>
  <c r="AE136" i="1"/>
  <c r="AC136" i="1"/>
  <c r="AB136" i="1"/>
  <c r="AA136" i="1"/>
  <c r="Z136" i="1"/>
  <c r="X136" i="1"/>
  <c r="W136" i="1"/>
  <c r="V136" i="1"/>
  <c r="U136" i="1"/>
  <c r="S136" i="1"/>
  <c r="R136" i="1"/>
  <c r="Q136" i="1"/>
  <c r="P136" i="1"/>
  <c r="N136" i="1"/>
  <c r="M136" i="1"/>
  <c r="L136" i="1"/>
  <c r="K136" i="1"/>
  <c r="AW135" i="1"/>
  <c r="AV135" i="1"/>
  <c r="AU135" i="1"/>
  <c r="AT135" i="1"/>
  <c r="AR135" i="1"/>
  <c r="AQ135" i="1"/>
  <c r="AP135" i="1"/>
  <c r="AO135" i="1"/>
  <c r="AM135" i="1"/>
  <c r="AL135" i="1"/>
  <c r="AK135" i="1"/>
  <c r="AJ135" i="1"/>
  <c r="AH135" i="1"/>
  <c r="AG135" i="1"/>
  <c r="AF135" i="1"/>
  <c r="AE135" i="1"/>
  <c r="AC135" i="1"/>
  <c r="AB135" i="1"/>
  <c r="AA135" i="1"/>
  <c r="Z135" i="1"/>
  <c r="X135" i="1"/>
  <c r="W135" i="1"/>
  <c r="V135" i="1"/>
  <c r="U135" i="1"/>
  <c r="S135" i="1"/>
  <c r="R135" i="1"/>
  <c r="Q135" i="1"/>
  <c r="P135" i="1"/>
  <c r="N135" i="1"/>
  <c r="M135" i="1"/>
  <c r="L135" i="1"/>
  <c r="K135" i="1"/>
  <c r="AW134" i="1"/>
  <c r="AV134" i="1"/>
  <c r="AU134" i="1"/>
  <c r="AT134" i="1"/>
  <c r="AR134" i="1"/>
  <c r="AQ134" i="1"/>
  <c r="AP134" i="1"/>
  <c r="AO134" i="1"/>
  <c r="AM134" i="1"/>
  <c r="AL134" i="1"/>
  <c r="AK134" i="1"/>
  <c r="AJ134" i="1"/>
  <c r="AH134" i="1"/>
  <c r="AG134" i="1"/>
  <c r="AF134" i="1"/>
  <c r="AE134" i="1"/>
  <c r="AC134" i="1"/>
  <c r="AB134" i="1"/>
  <c r="AA134" i="1"/>
  <c r="Z134" i="1"/>
  <c r="X134" i="1"/>
  <c r="W134" i="1"/>
  <c r="V134" i="1"/>
  <c r="U134" i="1"/>
  <c r="S134" i="1"/>
  <c r="R134" i="1"/>
  <c r="Q134" i="1"/>
  <c r="P134" i="1"/>
  <c r="N134" i="1"/>
  <c r="M134" i="1"/>
  <c r="L134" i="1"/>
  <c r="K134" i="1"/>
  <c r="AW133" i="1"/>
  <c r="AV133" i="1"/>
  <c r="AU133" i="1"/>
  <c r="AT133" i="1"/>
  <c r="AR133" i="1"/>
  <c r="AQ133" i="1"/>
  <c r="AP133" i="1"/>
  <c r="AO133" i="1"/>
  <c r="AM133" i="1"/>
  <c r="AL133" i="1"/>
  <c r="AK133" i="1"/>
  <c r="AJ133" i="1"/>
  <c r="AH133" i="1"/>
  <c r="AG133" i="1"/>
  <c r="AF133" i="1"/>
  <c r="AE133" i="1"/>
  <c r="AC133" i="1"/>
  <c r="AB133" i="1"/>
  <c r="AA133" i="1"/>
  <c r="Z133" i="1"/>
  <c r="X133" i="1"/>
  <c r="W133" i="1"/>
  <c r="V133" i="1"/>
  <c r="U133" i="1"/>
  <c r="S133" i="1"/>
  <c r="R133" i="1"/>
  <c r="Q133" i="1"/>
  <c r="P133" i="1"/>
  <c r="N133" i="1"/>
  <c r="M133" i="1"/>
  <c r="L133" i="1"/>
  <c r="K133" i="1"/>
  <c r="AW132" i="1"/>
  <c r="AV132" i="1"/>
  <c r="AU132" i="1"/>
  <c r="AT132" i="1"/>
  <c r="AR132" i="1"/>
  <c r="AQ132" i="1"/>
  <c r="AP132" i="1"/>
  <c r="AO132" i="1"/>
  <c r="AM132" i="1"/>
  <c r="AL132" i="1"/>
  <c r="AK132" i="1"/>
  <c r="AJ132" i="1"/>
  <c r="AH132" i="1"/>
  <c r="AG132" i="1"/>
  <c r="AF132" i="1"/>
  <c r="AE132" i="1"/>
  <c r="AC132" i="1"/>
  <c r="AB132" i="1"/>
  <c r="AA132" i="1"/>
  <c r="Z132" i="1"/>
  <c r="X132" i="1"/>
  <c r="W132" i="1"/>
  <c r="V132" i="1"/>
  <c r="U132" i="1"/>
  <c r="S132" i="1"/>
  <c r="R132" i="1"/>
  <c r="Q132" i="1"/>
  <c r="P132" i="1"/>
  <c r="N132" i="1"/>
  <c r="M132" i="1"/>
  <c r="L132" i="1"/>
  <c r="K132" i="1"/>
  <c r="AW131" i="1"/>
  <c r="AV131" i="1"/>
  <c r="AU131" i="1"/>
  <c r="AT131" i="1"/>
  <c r="AR131" i="1"/>
  <c r="AQ131" i="1"/>
  <c r="AP131" i="1"/>
  <c r="AO131" i="1"/>
  <c r="AM131" i="1"/>
  <c r="AL131" i="1"/>
  <c r="AK131" i="1"/>
  <c r="AJ131" i="1"/>
  <c r="AH131" i="1"/>
  <c r="AG131" i="1"/>
  <c r="AF131" i="1"/>
  <c r="AE131" i="1"/>
  <c r="AC131" i="1"/>
  <c r="AB131" i="1"/>
  <c r="AA131" i="1"/>
  <c r="Z131" i="1"/>
  <c r="X131" i="1"/>
  <c r="W131" i="1"/>
  <c r="V131" i="1"/>
  <c r="U131" i="1"/>
  <c r="S131" i="1"/>
  <c r="R131" i="1"/>
  <c r="Q131" i="1"/>
  <c r="P131" i="1"/>
  <c r="N131" i="1"/>
  <c r="M131" i="1"/>
  <c r="L131" i="1"/>
  <c r="K131" i="1"/>
  <c r="AW130" i="1"/>
  <c r="AV130" i="1"/>
  <c r="AU130" i="1"/>
  <c r="AT130" i="1"/>
  <c r="AR130" i="1"/>
  <c r="AQ130" i="1"/>
  <c r="AP130" i="1"/>
  <c r="AO130" i="1"/>
  <c r="AM130" i="1"/>
  <c r="AL130" i="1"/>
  <c r="AK130" i="1"/>
  <c r="AJ130" i="1"/>
  <c r="AH130" i="1"/>
  <c r="AG130" i="1"/>
  <c r="AF130" i="1"/>
  <c r="AE130" i="1"/>
  <c r="AC130" i="1"/>
  <c r="AB130" i="1"/>
  <c r="AA130" i="1"/>
  <c r="Z130" i="1"/>
  <c r="X130" i="1"/>
  <c r="W130" i="1"/>
  <c r="V130" i="1"/>
  <c r="U130" i="1"/>
  <c r="S130" i="1"/>
  <c r="R130" i="1"/>
  <c r="Q130" i="1"/>
  <c r="P130" i="1"/>
  <c r="N130" i="1"/>
  <c r="M130" i="1"/>
  <c r="L130" i="1"/>
  <c r="K130" i="1"/>
  <c r="AW129" i="1"/>
  <c r="AV129" i="1"/>
  <c r="AU129" i="1"/>
  <c r="AT129" i="1"/>
  <c r="AR129" i="1"/>
  <c r="AQ129" i="1"/>
  <c r="AP129" i="1"/>
  <c r="AO129" i="1"/>
  <c r="AM129" i="1"/>
  <c r="AL129" i="1"/>
  <c r="AK129" i="1"/>
  <c r="AJ129" i="1"/>
  <c r="AH129" i="1"/>
  <c r="AG129" i="1"/>
  <c r="AF129" i="1"/>
  <c r="AE129" i="1"/>
  <c r="AC129" i="1"/>
  <c r="AB129" i="1"/>
  <c r="AA129" i="1"/>
  <c r="Z129" i="1"/>
  <c r="X129" i="1"/>
  <c r="W129" i="1"/>
  <c r="V129" i="1"/>
  <c r="U129" i="1"/>
  <c r="S129" i="1"/>
  <c r="R129" i="1"/>
  <c r="Q129" i="1"/>
  <c r="P129" i="1"/>
  <c r="N129" i="1"/>
  <c r="M129" i="1"/>
  <c r="L129" i="1"/>
  <c r="K129" i="1"/>
  <c r="AW128" i="1"/>
  <c r="AV128" i="1"/>
  <c r="AU128" i="1"/>
  <c r="AT128" i="1"/>
  <c r="AR128" i="1"/>
  <c r="AQ128" i="1"/>
  <c r="AP128" i="1"/>
  <c r="AO128" i="1"/>
  <c r="AM128" i="1"/>
  <c r="AL128" i="1"/>
  <c r="AK128" i="1"/>
  <c r="AJ128" i="1"/>
  <c r="AH128" i="1"/>
  <c r="AG128" i="1"/>
  <c r="AF128" i="1"/>
  <c r="AE128" i="1"/>
  <c r="AC128" i="1"/>
  <c r="AB128" i="1"/>
  <c r="AA128" i="1"/>
  <c r="Z128" i="1"/>
  <c r="X128" i="1"/>
  <c r="W128" i="1"/>
  <c r="V128" i="1"/>
  <c r="U128" i="1"/>
  <c r="S128" i="1"/>
  <c r="R128" i="1"/>
  <c r="Q128" i="1"/>
  <c r="P128" i="1"/>
  <c r="N128" i="1"/>
  <c r="M128" i="1"/>
  <c r="L128" i="1"/>
  <c r="K128" i="1"/>
  <c r="AW127" i="1"/>
  <c r="AV127" i="1"/>
  <c r="AU127" i="1"/>
  <c r="AT127" i="1"/>
  <c r="AR127" i="1"/>
  <c r="AQ127" i="1"/>
  <c r="AP127" i="1"/>
  <c r="AO127" i="1"/>
  <c r="AM127" i="1"/>
  <c r="AL127" i="1"/>
  <c r="AK127" i="1"/>
  <c r="AJ127" i="1"/>
  <c r="AH127" i="1"/>
  <c r="AG127" i="1"/>
  <c r="AF127" i="1"/>
  <c r="AE127" i="1"/>
  <c r="AC127" i="1"/>
  <c r="AB127" i="1"/>
  <c r="AA127" i="1"/>
  <c r="Z127" i="1"/>
  <c r="X127" i="1"/>
  <c r="W127" i="1"/>
  <c r="V127" i="1"/>
  <c r="U127" i="1"/>
  <c r="S127" i="1"/>
  <c r="R127" i="1"/>
  <c r="Q127" i="1"/>
  <c r="P127" i="1"/>
  <c r="N127" i="1"/>
  <c r="M127" i="1"/>
  <c r="L127" i="1"/>
  <c r="K127" i="1"/>
  <c r="AW126" i="1"/>
  <c r="AV126" i="1"/>
  <c r="AU126" i="1"/>
  <c r="AT126" i="1"/>
  <c r="AR126" i="1"/>
  <c r="AQ126" i="1"/>
  <c r="AP126" i="1"/>
  <c r="AO126" i="1"/>
  <c r="AM126" i="1"/>
  <c r="AL126" i="1"/>
  <c r="AK126" i="1"/>
  <c r="AJ126" i="1"/>
  <c r="AH126" i="1"/>
  <c r="AG126" i="1"/>
  <c r="AF126" i="1"/>
  <c r="AE126" i="1"/>
  <c r="AC126" i="1"/>
  <c r="AB126" i="1"/>
  <c r="AA126" i="1"/>
  <c r="Z126" i="1"/>
  <c r="X126" i="1"/>
  <c r="W126" i="1"/>
  <c r="V126" i="1"/>
  <c r="U126" i="1"/>
  <c r="S126" i="1"/>
  <c r="R126" i="1"/>
  <c r="Q126" i="1"/>
  <c r="P126" i="1"/>
  <c r="N126" i="1"/>
  <c r="M126" i="1"/>
  <c r="L126" i="1"/>
  <c r="K126" i="1"/>
  <c r="AW125" i="1"/>
  <c r="AV125" i="1"/>
  <c r="AU125" i="1"/>
  <c r="AT125" i="1"/>
  <c r="AR125" i="1"/>
  <c r="AQ125" i="1"/>
  <c r="AP125" i="1"/>
  <c r="AO125" i="1"/>
  <c r="AM125" i="1"/>
  <c r="AL125" i="1"/>
  <c r="AK125" i="1"/>
  <c r="AJ125" i="1"/>
  <c r="AH125" i="1"/>
  <c r="AG125" i="1"/>
  <c r="AF125" i="1"/>
  <c r="AE125" i="1"/>
  <c r="AC125" i="1"/>
  <c r="AB125" i="1"/>
  <c r="AA125" i="1"/>
  <c r="Z125" i="1"/>
  <c r="X125" i="1"/>
  <c r="W125" i="1"/>
  <c r="V125" i="1"/>
  <c r="U125" i="1"/>
  <c r="S125" i="1"/>
  <c r="R125" i="1"/>
  <c r="Q125" i="1"/>
  <c r="P125" i="1"/>
  <c r="N125" i="1"/>
  <c r="M125" i="1"/>
  <c r="L125" i="1"/>
  <c r="K125" i="1"/>
  <c r="AW124" i="1"/>
  <c r="AV124" i="1"/>
  <c r="AU124" i="1"/>
  <c r="AT124" i="1"/>
  <c r="AR124" i="1"/>
  <c r="AQ124" i="1"/>
  <c r="AP124" i="1"/>
  <c r="AO124" i="1"/>
  <c r="AM124" i="1"/>
  <c r="AL124" i="1"/>
  <c r="AK124" i="1"/>
  <c r="AJ124" i="1"/>
  <c r="AH124" i="1"/>
  <c r="AG124" i="1"/>
  <c r="AF124" i="1"/>
  <c r="AE124" i="1"/>
  <c r="AC124" i="1"/>
  <c r="AB124" i="1"/>
  <c r="AA124" i="1"/>
  <c r="Z124" i="1"/>
  <c r="X124" i="1"/>
  <c r="W124" i="1"/>
  <c r="V124" i="1"/>
  <c r="U124" i="1"/>
  <c r="S124" i="1"/>
  <c r="R124" i="1"/>
  <c r="Q124" i="1"/>
  <c r="P124" i="1"/>
  <c r="N124" i="1"/>
  <c r="M124" i="1"/>
  <c r="L124" i="1"/>
  <c r="K124" i="1"/>
  <c r="AW123" i="1"/>
  <c r="AV123" i="1"/>
  <c r="AU123" i="1"/>
  <c r="AT123" i="1"/>
  <c r="AR123" i="1"/>
  <c r="AQ123" i="1"/>
  <c r="AP123" i="1"/>
  <c r="AO123" i="1"/>
  <c r="AM123" i="1"/>
  <c r="AL123" i="1"/>
  <c r="AK123" i="1"/>
  <c r="AJ123" i="1"/>
  <c r="AH123" i="1"/>
  <c r="AG123" i="1"/>
  <c r="AF123" i="1"/>
  <c r="AE123" i="1"/>
  <c r="AC123" i="1"/>
  <c r="AB123" i="1"/>
  <c r="AA123" i="1"/>
  <c r="Z123" i="1"/>
  <c r="X123" i="1"/>
  <c r="W123" i="1"/>
  <c r="V123" i="1"/>
  <c r="U123" i="1"/>
  <c r="S123" i="1"/>
  <c r="R123" i="1"/>
  <c r="Q123" i="1"/>
  <c r="P123" i="1"/>
  <c r="N123" i="1"/>
  <c r="M123" i="1"/>
  <c r="L123" i="1"/>
  <c r="K123" i="1"/>
  <c r="AW122" i="1"/>
  <c r="AV122" i="1"/>
  <c r="AU122" i="1"/>
  <c r="AT122" i="1"/>
  <c r="AR122" i="1"/>
  <c r="AQ122" i="1"/>
  <c r="AP122" i="1"/>
  <c r="AO122" i="1"/>
  <c r="AM122" i="1"/>
  <c r="AL122" i="1"/>
  <c r="AK122" i="1"/>
  <c r="AJ122" i="1"/>
  <c r="AH122" i="1"/>
  <c r="AG122" i="1"/>
  <c r="AF122" i="1"/>
  <c r="AE122" i="1"/>
  <c r="AC122" i="1"/>
  <c r="AB122" i="1"/>
  <c r="AA122" i="1"/>
  <c r="Z122" i="1"/>
  <c r="X122" i="1"/>
  <c r="W122" i="1"/>
  <c r="V122" i="1"/>
  <c r="U122" i="1"/>
  <c r="S122" i="1"/>
  <c r="R122" i="1"/>
  <c r="Q122" i="1"/>
  <c r="P122" i="1"/>
  <c r="N122" i="1"/>
  <c r="M122" i="1"/>
  <c r="L122" i="1"/>
  <c r="K122" i="1"/>
  <c r="AW121" i="1"/>
  <c r="AV121" i="1"/>
  <c r="AU121" i="1"/>
  <c r="AT121" i="1"/>
  <c r="AR121" i="1"/>
  <c r="AQ121" i="1"/>
  <c r="AP121" i="1"/>
  <c r="AO121" i="1"/>
  <c r="AM121" i="1"/>
  <c r="AL121" i="1"/>
  <c r="AK121" i="1"/>
  <c r="AJ121" i="1"/>
  <c r="AH121" i="1"/>
  <c r="AG121" i="1"/>
  <c r="AF121" i="1"/>
  <c r="AE121" i="1"/>
  <c r="AC121" i="1"/>
  <c r="AB121" i="1"/>
  <c r="AA121" i="1"/>
  <c r="Z121" i="1"/>
  <c r="X121" i="1"/>
  <c r="W121" i="1"/>
  <c r="V121" i="1"/>
  <c r="U121" i="1"/>
  <c r="S121" i="1"/>
  <c r="R121" i="1"/>
  <c r="Q121" i="1"/>
  <c r="P121" i="1"/>
  <c r="N121" i="1"/>
  <c r="M121" i="1"/>
  <c r="L121" i="1"/>
  <c r="K121" i="1"/>
  <c r="AW120" i="1"/>
  <c r="AV120" i="1"/>
  <c r="AU120" i="1"/>
  <c r="AT120" i="1"/>
  <c r="AR120" i="1"/>
  <c r="AQ120" i="1"/>
  <c r="AP120" i="1"/>
  <c r="AO120" i="1"/>
  <c r="AM120" i="1"/>
  <c r="AL120" i="1"/>
  <c r="AK120" i="1"/>
  <c r="AJ120" i="1"/>
  <c r="AH120" i="1"/>
  <c r="AG120" i="1"/>
  <c r="AF120" i="1"/>
  <c r="AE120" i="1"/>
  <c r="AC120" i="1"/>
  <c r="AB120" i="1"/>
  <c r="AA120" i="1"/>
  <c r="Z120" i="1"/>
  <c r="X120" i="1"/>
  <c r="W120" i="1"/>
  <c r="V120" i="1"/>
  <c r="U120" i="1"/>
  <c r="S120" i="1"/>
  <c r="R120" i="1"/>
  <c r="Q120" i="1"/>
  <c r="P120" i="1"/>
  <c r="N120" i="1"/>
  <c r="M120" i="1"/>
  <c r="L120" i="1"/>
  <c r="K120" i="1"/>
  <c r="AW119" i="1"/>
  <c r="AV119" i="1"/>
  <c r="AU119" i="1"/>
  <c r="AT119" i="1"/>
  <c r="AR119" i="1"/>
  <c r="AQ119" i="1"/>
  <c r="AP119" i="1"/>
  <c r="AO119" i="1"/>
  <c r="AM119" i="1"/>
  <c r="AL119" i="1"/>
  <c r="AK119" i="1"/>
  <c r="AJ119" i="1"/>
  <c r="AH119" i="1"/>
  <c r="AG119" i="1"/>
  <c r="AF119" i="1"/>
  <c r="AE119" i="1"/>
  <c r="AC119" i="1"/>
  <c r="AB119" i="1"/>
  <c r="AA119" i="1"/>
  <c r="Z119" i="1"/>
  <c r="X119" i="1"/>
  <c r="W119" i="1"/>
  <c r="V119" i="1"/>
  <c r="U119" i="1"/>
  <c r="S119" i="1"/>
  <c r="R119" i="1"/>
  <c r="Q119" i="1"/>
  <c r="P119" i="1"/>
  <c r="N119" i="1"/>
  <c r="M119" i="1"/>
  <c r="L119" i="1"/>
  <c r="K119" i="1"/>
  <c r="AW118" i="1"/>
  <c r="AV118" i="1"/>
  <c r="AU118" i="1"/>
  <c r="AT118" i="1"/>
  <c r="AR118" i="1"/>
  <c r="AQ118" i="1"/>
  <c r="AP118" i="1"/>
  <c r="AO118" i="1"/>
  <c r="AM118" i="1"/>
  <c r="AL118" i="1"/>
  <c r="AK118" i="1"/>
  <c r="AJ118" i="1"/>
  <c r="AH118" i="1"/>
  <c r="AG118" i="1"/>
  <c r="AF118" i="1"/>
  <c r="AE118" i="1"/>
  <c r="AC118" i="1"/>
  <c r="AB118" i="1"/>
  <c r="AA118" i="1"/>
  <c r="Z118" i="1"/>
  <c r="X118" i="1"/>
  <c r="W118" i="1"/>
  <c r="V118" i="1"/>
  <c r="U118" i="1"/>
  <c r="S118" i="1"/>
  <c r="R118" i="1"/>
  <c r="Q118" i="1"/>
  <c r="P118" i="1"/>
  <c r="N118" i="1"/>
  <c r="M118" i="1"/>
  <c r="L118" i="1"/>
  <c r="K118" i="1"/>
  <c r="AW117" i="1"/>
  <c r="AV117" i="1"/>
  <c r="AU117" i="1"/>
  <c r="AT117" i="1"/>
  <c r="AR117" i="1"/>
  <c r="AQ117" i="1"/>
  <c r="AP117" i="1"/>
  <c r="AO117" i="1"/>
  <c r="AM117" i="1"/>
  <c r="AL117" i="1"/>
  <c r="AK117" i="1"/>
  <c r="AJ117" i="1"/>
  <c r="AH117" i="1"/>
  <c r="AG117" i="1"/>
  <c r="AF117" i="1"/>
  <c r="AE117" i="1"/>
  <c r="AC117" i="1"/>
  <c r="AB117" i="1"/>
  <c r="AA117" i="1"/>
  <c r="Z117" i="1"/>
  <c r="X117" i="1"/>
  <c r="W117" i="1"/>
  <c r="V117" i="1"/>
  <c r="U117" i="1"/>
  <c r="S117" i="1"/>
  <c r="R117" i="1"/>
  <c r="Q117" i="1"/>
  <c r="P117" i="1"/>
  <c r="N117" i="1"/>
  <c r="M117" i="1"/>
  <c r="L117" i="1"/>
  <c r="K117" i="1"/>
  <c r="AW116" i="1"/>
  <c r="AV116" i="1"/>
  <c r="AU116" i="1"/>
  <c r="AT116" i="1"/>
  <c r="AR116" i="1"/>
  <c r="AQ116" i="1"/>
  <c r="AP116" i="1"/>
  <c r="AO116" i="1"/>
  <c r="AM116" i="1"/>
  <c r="AL116" i="1"/>
  <c r="AK116" i="1"/>
  <c r="AJ116" i="1"/>
  <c r="AH116" i="1"/>
  <c r="AG116" i="1"/>
  <c r="AF116" i="1"/>
  <c r="AE116" i="1"/>
  <c r="AC116" i="1"/>
  <c r="AB116" i="1"/>
  <c r="AA116" i="1"/>
  <c r="Z116" i="1"/>
  <c r="X116" i="1"/>
  <c r="W116" i="1"/>
  <c r="V116" i="1"/>
  <c r="U116" i="1"/>
  <c r="S116" i="1"/>
  <c r="R116" i="1"/>
  <c r="Q116" i="1"/>
  <c r="P116" i="1"/>
  <c r="N116" i="1"/>
  <c r="M116" i="1"/>
  <c r="L116" i="1"/>
  <c r="K116" i="1"/>
  <c r="AW115" i="1"/>
  <c r="AV115" i="1"/>
  <c r="AU115" i="1"/>
  <c r="AT115" i="1"/>
  <c r="AR115" i="1"/>
  <c r="AQ115" i="1"/>
  <c r="AP115" i="1"/>
  <c r="AO115" i="1"/>
  <c r="AM115" i="1"/>
  <c r="AL115" i="1"/>
  <c r="AK115" i="1"/>
  <c r="AJ115" i="1"/>
  <c r="AH115" i="1"/>
  <c r="AG115" i="1"/>
  <c r="AF115" i="1"/>
  <c r="AE115" i="1"/>
  <c r="AC115" i="1"/>
  <c r="AB115" i="1"/>
  <c r="AA115" i="1"/>
  <c r="Z115" i="1"/>
  <c r="X115" i="1"/>
  <c r="W115" i="1"/>
  <c r="V115" i="1"/>
  <c r="U115" i="1"/>
  <c r="S115" i="1"/>
  <c r="R115" i="1"/>
  <c r="Q115" i="1"/>
  <c r="P115" i="1"/>
  <c r="N115" i="1"/>
  <c r="M115" i="1"/>
  <c r="L115" i="1"/>
  <c r="K115" i="1"/>
  <c r="AW114" i="1"/>
  <c r="AV114" i="1"/>
  <c r="AU114" i="1"/>
  <c r="AT114" i="1"/>
  <c r="AR114" i="1"/>
  <c r="AQ114" i="1"/>
  <c r="AP114" i="1"/>
  <c r="AO114" i="1"/>
  <c r="AM114" i="1"/>
  <c r="AL114" i="1"/>
  <c r="AK114" i="1"/>
  <c r="AJ114" i="1"/>
  <c r="AH114" i="1"/>
  <c r="AG114" i="1"/>
  <c r="AF114" i="1"/>
  <c r="AE114" i="1"/>
  <c r="AC114" i="1"/>
  <c r="AB114" i="1"/>
  <c r="AA114" i="1"/>
  <c r="Z114" i="1"/>
  <c r="X114" i="1"/>
  <c r="W114" i="1"/>
  <c r="V114" i="1"/>
  <c r="U114" i="1"/>
  <c r="S114" i="1"/>
  <c r="R114" i="1"/>
  <c r="Q114" i="1"/>
  <c r="P114" i="1"/>
  <c r="N114" i="1"/>
  <c r="M114" i="1"/>
  <c r="L114" i="1"/>
  <c r="K114" i="1"/>
  <c r="AW113" i="1"/>
  <c r="AV113" i="1"/>
  <c r="AU113" i="1"/>
  <c r="AT113" i="1"/>
  <c r="AR113" i="1"/>
  <c r="AQ113" i="1"/>
  <c r="AP113" i="1"/>
  <c r="AO113" i="1"/>
  <c r="AM113" i="1"/>
  <c r="AL113" i="1"/>
  <c r="AK113" i="1"/>
  <c r="AJ113" i="1"/>
  <c r="AH113" i="1"/>
  <c r="AG113" i="1"/>
  <c r="AF113" i="1"/>
  <c r="AE113" i="1"/>
  <c r="AC113" i="1"/>
  <c r="AB113" i="1"/>
  <c r="AA113" i="1"/>
  <c r="Z113" i="1"/>
  <c r="X113" i="1"/>
  <c r="W113" i="1"/>
  <c r="V113" i="1"/>
  <c r="U113" i="1"/>
  <c r="S113" i="1"/>
  <c r="R113" i="1"/>
  <c r="Q113" i="1"/>
  <c r="P113" i="1"/>
  <c r="N113" i="1"/>
  <c r="M113" i="1"/>
  <c r="L113" i="1"/>
  <c r="K113" i="1"/>
  <c r="AW112" i="1"/>
  <c r="AV112" i="1"/>
  <c r="AU112" i="1"/>
  <c r="AT112" i="1"/>
  <c r="AR112" i="1"/>
  <c r="AQ112" i="1"/>
  <c r="AP112" i="1"/>
  <c r="AO112" i="1"/>
  <c r="AM112" i="1"/>
  <c r="AL112" i="1"/>
  <c r="AK112" i="1"/>
  <c r="AJ112" i="1"/>
  <c r="AH112" i="1"/>
  <c r="AG112" i="1"/>
  <c r="AF112" i="1"/>
  <c r="AE112" i="1"/>
  <c r="AC112" i="1"/>
  <c r="AB112" i="1"/>
  <c r="AA112" i="1"/>
  <c r="Z112" i="1"/>
  <c r="X112" i="1"/>
  <c r="W112" i="1"/>
  <c r="V112" i="1"/>
  <c r="U112" i="1"/>
  <c r="S112" i="1"/>
  <c r="R112" i="1"/>
  <c r="Q112" i="1"/>
  <c r="P112" i="1"/>
  <c r="N112" i="1"/>
  <c r="M112" i="1"/>
  <c r="L112" i="1"/>
  <c r="K112" i="1"/>
  <c r="AW111" i="1"/>
  <c r="AV111" i="1"/>
  <c r="AU111" i="1"/>
  <c r="AT111" i="1"/>
  <c r="AR111" i="1"/>
  <c r="AQ111" i="1"/>
  <c r="AP111" i="1"/>
  <c r="AO111" i="1"/>
  <c r="AM111" i="1"/>
  <c r="AL111" i="1"/>
  <c r="AK111" i="1"/>
  <c r="AJ111" i="1"/>
  <c r="AH111" i="1"/>
  <c r="AG111" i="1"/>
  <c r="AF111" i="1"/>
  <c r="AE111" i="1"/>
  <c r="AC111" i="1"/>
  <c r="AB111" i="1"/>
  <c r="AA111" i="1"/>
  <c r="Z111" i="1"/>
  <c r="X111" i="1"/>
  <c r="W111" i="1"/>
  <c r="V111" i="1"/>
  <c r="U111" i="1"/>
  <c r="S111" i="1"/>
  <c r="R111" i="1"/>
  <c r="Q111" i="1"/>
  <c r="P111" i="1"/>
  <c r="N111" i="1"/>
  <c r="M111" i="1"/>
  <c r="L111" i="1"/>
  <c r="K111" i="1"/>
  <c r="AW110" i="1"/>
  <c r="AV110" i="1"/>
  <c r="AU110" i="1"/>
  <c r="AT110" i="1"/>
  <c r="AR110" i="1"/>
  <c r="AQ110" i="1"/>
  <c r="AP110" i="1"/>
  <c r="AO110" i="1"/>
  <c r="AM110" i="1"/>
  <c r="AL110" i="1"/>
  <c r="AK110" i="1"/>
  <c r="AJ110" i="1"/>
  <c r="AH110" i="1"/>
  <c r="AG110" i="1"/>
  <c r="AF110" i="1"/>
  <c r="AE110" i="1"/>
  <c r="AC110" i="1"/>
  <c r="AB110" i="1"/>
  <c r="AA110" i="1"/>
  <c r="Z110" i="1"/>
  <c r="X110" i="1"/>
  <c r="W110" i="1"/>
  <c r="V110" i="1"/>
  <c r="U110" i="1"/>
  <c r="S110" i="1"/>
  <c r="R110" i="1"/>
  <c r="Q110" i="1"/>
  <c r="P110" i="1"/>
  <c r="N110" i="1"/>
  <c r="M110" i="1"/>
  <c r="L110" i="1"/>
  <c r="K110" i="1"/>
  <c r="AW109" i="1"/>
  <c r="AV109" i="1"/>
  <c r="AU109" i="1"/>
  <c r="AT109" i="1"/>
  <c r="AR109" i="1"/>
  <c r="AQ109" i="1"/>
  <c r="AP109" i="1"/>
  <c r="AO109" i="1"/>
  <c r="AM109" i="1"/>
  <c r="AL109" i="1"/>
  <c r="AK109" i="1"/>
  <c r="AJ109" i="1"/>
  <c r="AH109" i="1"/>
  <c r="AG109" i="1"/>
  <c r="AF109" i="1"/>
  <c r="AE109" i="1"/>
  <c r="AC109" i="1"/>
  <c r="AB109" i="1"/>
  <c r="AA109" i="1"/>
  <c r="Z109" i="1"/>
  <c r="X109" i="1"/>
  <c r="W109" i="1"/>
  <c r="V109" i="1"/>
  <c r="U109" i="1"/>
  <c r="S109" i="1"/>
  <c r="R109" i="1"/>
  <c r="Q109" i="1"/>
  <c r="P109" i="1"/>
  <c r="N109" i="1"/>
  <c r="M109" i="1"/>
  <c r="L109" i="1"/>
  <c r="K109" i="1"/>
  <c r="AW108" i="1"/>
  <c r="AV108" i="1"/>
  <c r="AU108" i="1"/>
  <c r="AT108" i="1"/>
  <c r="AR108" i="1"/>
  <c r="AQ108" i="1"/>
  <c r="AP108" i="1"/>
  <c r="AO108" i="1"/>
  <c r="AM108" i="1"/>
  <c r="AL108" i="1"/>
  <c r="AK108" i="1"/>
  <c r="AJ108" i="1"/>
  <c r="AH108" i="1"/>
  <c r="AG108" i="1"/>
  <c r="AF108" i="1"/>
  <c r="AE108" i="1"/>
  <c r="AC108" i="1"/>
  <c r="AB108" i="1"/>
  <c r="AA108" i="1"/>
  <c r="Z108" i="1"/>
  <c r="X108" i="1"/>
  <c r="W108" i="1"/>
  <c r="V108" i="1"/>
  <c r="U108" i="1"/>
  <c r="S108" i="1"/>
  <c r="R108" i="1"/>
  <c r="Q108" i="1"/>
  <c r="P108" i="1"/>
  <c r="N108" i="1"/>
  <c r="M108" i="1"/>
  <c r="L108" i="1"/>
  <c r="K108" i="1"/>
  <c r="AW107" i="1"/>
  <c r="AV107" i="1"/>
  <c r="AU107" i="1"/>
  <c r="AT107" i="1"/>
  <c r="AR107" i="1"/>
  <c r="AQ107" i="1"/>
  <c r="AP107" i="1"/>
  <c r="AO107" i="1"/>
  <c r="AM107" i="1"/>
  <c r="AL107" i="1"/>
  <c r="AK107" i="1"/>
  <c r="AJ107" i="1"/>
  <c r="AH107" i="1"/>
  <c r="AG107" i="1"/>
  <c r="AF107" i="1"/>
  <c r="AE107" i="1"/>
  <c r="AC107" i="1"/>
  <c r="AB107" i="1"/>
  <c r="AA107" i="1"/>
  <c r="Z107" i="1"/>
  <c r="X107" i="1"/>
  <c r="W107" i="1"/>
  <c r="V107" i="1"/>
  <c r="U107" i="1"/>
  <c r="S107" i="1"/>
  <c r="R107" i="1"/>
  <c r="Q107" i="1"/>
  <c r="P107" i="1"/>
  <c r="N107" i="1"/>
  <c r="M107" i="1"/>
  <c r="L107" i="1"/>
  <c r="K107" i="1"/>
  <c r="AW106" i="1"/>
  <c r="AV106" i="1"/>
  <c r="AU106" i="1"/>
  <c r="AT106" i="1"/>
  <c r="AR106" i="1"/>
  <c r="AQ106" i="1"/>
  <c r="AP106" i="1"/>
  <c r="AO106" i="1"/>
  <c r="AM106" i="1"/>
  <c r="AL106" i="1"/>
  <c r="AK106" i="1"/>
  <c r="AJ106" i="1"/>
  <c r="AH106" i="1"/>
  <c r="AG106" i="1"/>
  <c r="AF106" i="1"/>
  <c r="AE106" i="1"/>
  <c r="AC106" i="1"/>
  <c r="AB106" i="1"/>
  <c r="AA106" i="1"/>
  <c r="Z106" i="1"/>
  <c r="X106" i="1"/>
  <c r="W106" i="1"/>
  <c r="V106" i="1"/>
  <c r="U106" i="1"/>
  <c r="S106" i="1"/>
  <c r="R106" i="1"/>
  <c r="Q106" i="1"/>
  <c r="P106" i="1"/>
  <c r="N106" i="1"/>
  <c r="M106" i="1"/>
  <c r="L106" i="1"/>
  <c r="K106" i="1"/>
  <c r="AW105" i="1"/>
  <c r="AV105" i="1"/>
  <c r="AU105" i="1"/>
  <c r="AT105" i="1"/>
  <c r="AR105" i="1"/>
  <c r="AQ105" i="1"/>
  <c r="AP105" i="1"/>
  <c r="AO105" i="1"/>
  <c r="AM105" i="1"/>
  <c r="AL105" i="1"/>
  <c r="AK105" i="1"/>
  <c r="AJ105" i="1"/>
  <c r="AH105" i="1"/>
  <c r="AG105" i="1"/>
  <c r="AF105" i="1"/>
  <c r="AE105" i="1"/>
  <c r="AC105" i="1"/>
  <c r="AB105" i="1"/>
  <c r="AA105" i="1"/>
  <c r="Z105" i="1"/>
  <c r="X105" i="1"/>
  <c r="W105" i="1"/>
  <c r="V105" i="1"/>
  <c r="U105" i="1"/>
  <c r="S105" i="1"/>
  <c r="R105" i="1"/>
  <c r="Q105" i="1"/>
  <c r="P105" i="1"/>
  <c r="N105" i="1"/>
  <c r="M105" i="1"/>
  <c r="L105" i="1"/>
  <c r="K105" i="1"/>
  <c r="AW104" i="1"/>
  <c r="AV104" i="1"/>
  <c r="AU104" i="1"/>
  <c r="AT104" i="1"/>
  <c r="AR104" i="1"/>
  <c r="AQ104" i="1"/>
  <c r="AP104" i="1"/>
  <c r="AO104" i="1"/>
  <c r="AM104" i="1"/>
  <c r="AL104" i="1"/>
  <c r="AK104" i="1"/>
  <c r="AJ104" i="1"/>
  <c r="AH104" i="1"/>
  <c r="AG104" i="1"/>
  <c r="AF104" i="1"/>
  <c r="AE104" i="1"/>
  <c r="AC104" i="1"/>
  <c r="AB104" i="1"/>
  <c r="AA104" i="1"/>
  <c r="Z104" i="1"/>
  <c r="X104" i="1"/>
  <c r="W104" i="1"/>
  <c r="V104" i="1"/>
  <c r="U104" i="1"/>
  <c r="S104" i="1"/>
  <c r="R104" i="1"/>
  <c r="Q104" i="1"/>
  <c r="P104" i="1"/>
  <c r="N104" i="1"/>
  <c r="M104" i="1"/>
  <c r="L104" i="1"/>
  <c r="K104" i="1"/>
  <c r="AW103" i="1"/>
  <c r="AV103" i="1"/>
  <c r="AU103" i="1"/>
  <c r="AT103" i="1"/>
  <c r="AR103" i="1"/>
  <c r="AQ103" i="1"/>
  <c r="AP103" i="1"/>
  <c r="AO103" i="1"/>
  <c r="AM103" i="1"/>
  <c r="AL103" i="1"/>
  <c r="AK103" i="1"/>
  <c r="AJ103" i="1"/>
  <c r="AH103" i="1"/>
  <c r="AG103" i="1"/>
  <c r="AF103" i="1"/>
  <c r="AE103" i="1"/>
  <c r="AC103" i="1"/>
  <c r="AB103" i="1"/>
  <c r="AA103" i="1"/>
  <c r="Z103" i="1"/>
  <c r="X103" i="1"/>
  <c r="W103" i="1"/>
  <c r="V103" i="1"/>
  <c r="U103" i="1"/>
  <c r="S103" i="1"/>
  <c r="R103" i="1"/>
  <c r="Q103" i="1"/>
  <c r="P103" i="1"/>
  <c r="N103" i="1"/>
  <c r="M103" i="1"/>
  <c r="L103" i="1"/>
  <c r="K103" i="1"/>
  <c r="AW102" i="1"/>
  <c r="AV102" i="1"/>
  <c r="AU102" i="1"/>
  <c r="AT102" i="1"/>
  <c r="AR102" i="1"/>
  <c r="AQ102" i="1"/>
  <c r="AP102" i="1"/>
  <c r="AO102" i="1"/>
  <c r="AM102" i="1"/>
  <c r="AL102" i="1"/>
  <c r="AK102" i="1"/>
  <c r="AJ102" i="1"/>
  <c r="AH102" i="1"/>
  <c r="AG102" i="1"/>
  <c r="AF102" i="1"/>
  <c r="AE102" i="1"/>
  <c r="AC102" i="1"/>
  <c r="AB102" i="1"/>
  <c r="AA102" i="1"/>
  <c r="Z102" i="1"/>
  <c r="X102" i="1"/>
  <c r="W102" i="1"/>
  <c r="V102" i="1"/>
  <c r="U102" i="1"/>
  <c r="S102" i="1"/>
  <c r="R102" i="1"/>
  <c r="Q102" i="1"/>
  <c r="P102" i="1"/>
  <c r="N102" i="1"/>
  <c r="M102" i="1"/>
  <c r="L102" i="1"/>
  <c r="K102" i="1"/>
  <c r="AW101" i="1"/>
  <c r="AV101" i="1"/>
  <c r="AU101" i="1"/>
  <c r="AT101" i="1"/>
  <c r="AR101" i="1"/>
  <c r="AQ101" i="1"/>
  <c r="AP101" i="1"/>
  <c r="AO101" i="1"/>
  <c r="AM101" i="1"/>
  <c r="AL101" i="1"/>
  <c r="AK101" i="1"/>
  <c r="AJ101" i="1"/>
  <c r="AH101" i="1"/>
  <c r="AG101" i="1"/>
  <c r="AF101" i="1"/>
  <c r="AE101" i="1"/>
  <c r="AC101" i="1"/>
  <c r="AB101" i="1"/>
  <c r="AA101" i="1"/>
  <c r="Z101" i="1"/>
  <c r="X101" i="1"/>
  <c r="W101" i="1"/>
  <c r="V101" i="1"/>
  <c r="U101" i="1"/>
  <c r="S101" i="1"/>
  <c r="R101" i="1"/>
  <c r="Q101" i="1"/>
  <c r="P101" i="1"/>
  <c r="N101" i="1"/>
  <c r="M101" i="1"/>
  <c r="L101" i="1"/>
  <c r="K101" i="1"/>
  <c r="AW100" i="1"/>
  <c r="AV100" i="1"/>
  <c r="AU100" i="1"/>
  <c r="AT100" i="1"/>
  <c r="AR100" i="1"/>
  <c r="AQ100" i="1"/>
  <c r="AP100" i="1"/>
  <c r="AO100" i="1"/>
  <c r="AM100" i="1"/>
  <c r="AL100" i="1"/>
  <c r="AK100" i="1"/>
  <c r="AJ100" i="1"/>
  <c r="AH100" i="1"/>
  <c r="AG100" i="1"/>
  <c r="AF100" i="1"/>
  <c r="AE100" i="1"/>
  <c r="AC100" i="1"/>
  <c r="AB100" i="1"/>
  <c r="AA100" i="1"/>
  <c r="Z100" i="1"/>
  <c r="X100" i="1"/>
  <c r="W100" i="1"/>
  <c r="V100" i="1"/>
  <c r="U100" i="1"/>
  <c r="S100" i="1"/>
  <c r="R100" i="1"/>
  <c r="Q100" i="1"/>
  <c r="P100" i="1"/>
  <c r="N100" i="1"/>
  <c r="M100" i="1"/>
  <c r="L100" i="1"/>
  <c r="K100" i="1"/>
  <c r="AW99" i="1"/>
  <c r="AV99" i="1"/>
  <c r="AU99" i="1"/>
  <c r="AT99" i="1"/>
  <c r="AR99" i="1"/>
  <c r="AQ99" i="1"/>
  <c r="AP99" i="1"/>
  <c r="AO99" i="1"/>
  <c r="AM99" i="1"/>
  <c r="AL99" i="1"/>
  <c r="AK99" i="1"/>
  <c r="AJ99" i="1"/>
  <c r="AH99" i="1"/>
  <c r="AG99" i="1"/>
  <c r="AF99" i="1"/>
  <c r="AE99" i="1"/>
  <c r="AC99" i="1"/>
  <c r="AB99" i="1"/>
  <c r="AA99" i="1"/>
  <c r="Z99" i="1"/>
  <c r="X99" i="1"/>
  <c r="W99" i="1"/>
  <c r="V99" i="1"/>
  <c r="U99" i="1"/>
  <c r="S99" i="1"/>
  <c r="R99" i="1"/>
  <c r="Q99" i="1"/>
  <c r="P99" i="1"/>
  <c r="N99" i="1"/>
  <c r="M99" i="1"/>
  <c r="L99" i="1"/>
  <c r="K99" i="1"/>
  <c r="AW98" i="1"/>
  <c r="AV98" i="1"/>
  <c r="AU98" i="1"/>
  <c r="AT98" i="1"/>
  <c r="AR98" i="1"/>
  <c r="AQ98" i="1"/>
  <c r="AP98" i="1"/>
  <c r="AO98" i="1"/>
  <c r="AM98" i="1"/>
  <c r="AL98" i="1"/>
  <c r="AK98" i="1"/>
  <c r="AJ98" i="1"/>
  <c r="AH98" i="1"/>
  <c r="AG98" i="1"/>
  <c r="AF98" i="1"/>
  <c r="AE98" i="1"/>
  <c r="AC98" i="1"/>
  <c r="AB98" i="1"/>
  <c r="AA98" i="1"/>
  <c r="Z98" i="1"/>
  <c r="X98" i="1"/>
  <c r="W98" i="1"/>
  <c r="V98" i="1"/>
  <c r="U98" i="1"/>
  <c r="S98" i="1"/>
  <c r="R98" i="1"/>
  <c r="Q98" i="1"/>
  <c r="P98" i="1"/>
  <c r="N98" i="1"/>
  <c r="M98" i="1"/>
  <c r="L98" i="1"/>
  <c r="K98" i="1"/>
  <c r="AW97" i="1"/>
  <c r="AV97" i="1"/>
  <c r="AU97" i="1"/>
  <c r="AT97" i="1"/>
  <c r="AR97" i="1"/>
  <c r="AQ97" i="1"/>
  <c r="AP97" i="1"/>
  <c r="AO97" i="1"/>
  <c r="AM97" i="1"/>
  <c r="AL97" i="1"/>
  <c r="AK97" i="1"/>
  <c r="AJ97" i="1"/>
  <c r="AH97" i="1"/>
  <c r="AG97" i="1"/>
  <c r="AF97" i="1"/>
  <c r="AE97" i="1"/>
  <c r="AC97" i="1"/>
  <c r="AB97" i="1"/>
  <c r="AA97" i="1"/>
  <c r="Z97" i="1"/>
  <c r="X97" i="1"/>
  <c r="W97" i="1"/>
  <c r="V97" i="1"/>
  <c r="U97" i="1"/>
  <c r="S97" i="1"/>
  <c r="R97" i="1"/>
  <c r="Q97" i="1"/>
  <c r="P97" i="1"/>
  <c r="N97" i="1"/>
  <c r="M97" i="1"/>
  <c r="L97" i="1"/>
  <c r="K97" i="1"/>
  <c r="AW96" i="1"/>
  <c r="AV96" i="1"/>
  <c r="AU96" i="1"/>
  <c r="AT96" i="1"/>
  <c r="AR96" i="1"/>
  <c r="AQ96" i="1"/>
  <c r="AP96" i="1"/>
  <c r="AO96" i="1"/>
  <c r="AM96" i="1"/>
  <c r="AL96" i="1"/>
  <c r="AK96" i="1"/>
  <c r="AJ96" i="1"/>
  <c r="AH96" i="1"/>
  <c r="AG96" i="1"/>
  <c r="AF96" i="1"/>
  <c r="AE96" i="1"/>
  <c r="AC96" i="1"/>
  <c r="AB96" i="1"/>
  <c r="AA96" i="1"/>
  <c r="Z96" i="1"/>
  <c r="X96" i="1"/>
  <c r="W96" i="1"/>
  <c r="V96" i="1"/>
  <c r="U96" i="1"/>
  <c r="S96" i="1"/>
  <c r="R96" i="1"/>
  <c r="Q96" i="1"/>
  <c r="P96" i="1"/>
  <c r="N96" i="1"/>
  <c r="M96" i="1"/>
  <c r="L96" i="1"/>
  <c r="K96" i="1"/>
  <c r="AW95" i="1"/>
  <c r="AV95" i="1"/>
  <c r="AU95" i="1"/>
  <c r="AT95" i="1"/>
  <c r="AR95" i="1"/>
  <c r="AQ95" i="1"/>
  <c r="AP95" i="1"/>
  <c r="AO95" i="1"/>
  <c r="AM95" i="1"/>
  <c r="AL95" i="1"/>
  <c r="AK95" i="1"/>
  <c r="AJ95" i="1"/>
  <c r="AH95" i="1"/>
  <c r="AG95" i="1"/>
  <c r="AF95" i="1"/>
  <c r="AE95" i="1"/>
  <c r="AC95" i="1"/>
  <c r="AB95" i="1"/>
  <c r="AA95" i="1"/>
  <c r="Z95" i="1"/>
  <c r="X95" i="1"/>
  <c r="W95" i="1"/>
  <c r="V95" i="1"/>
  <c r="U95" i="1"/>
  <c r="S95" i="1"/>
  <c r="R95" i="1"/>
  <c r="Q95" i="1"/>
  <c r="P95" i="1"/>
  <c r="N95" i="1"/>
  <c r="M95" i="1"/>
  <c r="L95" i="1"/>
  <c r="K95" i="1"/>
  <c r="AW94" i="1"/>
  <c r="AV94" i="1"/>
  <c r="AU94" i="1"/>
  <c r="AT94" i="1"/>
  <c r="AR94" i="1"/>
  <c r="AQ94" i="1"/>
  <c r="AP94" i="1"/>
  <c r="AO94" i="1"/>
  <c r="AM94" i="1"/>
  <c r="AL94" i="1"/>
  <c r="AK94" i="1"/>
  <c r="AJ94" i="1"/>
  <c r="AH94" i="1"/>
  <c r="AG94" i="1"/>
  <c r="AF94" i="1"/>
  <c r="AE94" i="1"/>
  <c r="AC94" i="1"/>
  <c r="AB94" i="1"/>
  <c r="AA94" i="1"/>
  <c r="Z94" i="1"/>
  <c r="X94" i="1"/>
  <c r="W94" i="1"/>
  <c r="V94" i="1"/>
  <c r="U94" i="1"/>
  <c r="S94" i="1"/>
  <c r="R94" i="1"/>
  <c r="Q94" i="1"/>
  <c r="P94" i="1"/>
  <c r="N94" i="1"/>
  <c r="M94" i="1"/>
  <c r="L94" i="1"/>
  <c r="K94" i="1"/>
  <c r="AW93" i="1"/>
  <c r="AV93" i="1"/>
  <c r="AU93" i="1"/>
  <c r="AT93" i="1"/>
  <c r="AR93" i="1"/>
  <c r="AQ93" i="1"/>
  <c r="AP93" i="1"/>
  <c r="AO93" i="1"/>
  <c r="AM93" i="1"/>
  <c r="AL93" i="1"/>
  <c r="AK93" i="1"/>
  <c r="AJ93" i="1"/>
  <c r="AH93" i="1"/>
  <c r="AG93" i="1"/>
  <c r="AF93" i="1"/>
  <c r="AE93" i="1"/>
  <c r="AC93" i="1"/>
  <c r="AB93" i="1"/>
  <c r="AA93" i="1"/>
  <c r="Z93" i="1"/>
  <c r="X93" i="1"/>
  <c r="W93" i="1"/>
  <c r="V93" i="1"/>
  <c r="U93" i="1"/>
  <c r="S93" i="1"/>
  <c r="R93" i="1"/>
  <c r="Q93" i="1"/>
  <c r="P93" i="1"/>
  <c r="N93" i="1"/>
  <c r="M93" i="1"/>
  <c r="L93" i="1"/>
  <c r="K93" i="1"/>
  <c r="AW92" i="1"/>
  <c r="AV92" i="1"/>
  <c r="AU92" i="1"/>
  <c r="AT92" i="1"/>
  <c r="AR92" i="1"/>
  <c r="AQ92" i="1"/>
  <c r="AP92" i="1"/>
  <c r="AO92" i="1"/>
  <c r="AM92" i="1"/>
  <c r="AL92" i="1"/>
  <c r="AK92" i="1"/>
  <c r="AJ92" i="1"/>
  <c r="AH92" i="1"/>
  <c r="AG92" i="1"/>
  <c r="AF92" i="1"/>
  <c r="AE92" i="1"/>
  <c r="AC92" i="1"/>
  <c r="AB92" i="1"/>
  <c r="AA92" i="1"/>
  <c r="Z92" i="1"/>
  <c r="X92" i="1"/>
  <c r="W92" i="1"/>
  <c r="V92" i="1"/>
  <c r="U92" i="1"/>
  <c r="S92" i="1"/>
  <c r="R92" i="1"/>
  <c r="Q92" i="1"/>
  <c r="P92" i="1"/>
  <c r="N92" i="1"/>
  <c r="M92" i="1"/>
  <c r="L92" i="1"/>
  <c r="K92" i="1"/>
  <c r="AW91" i="1"/>
  <c r="AV91" i="1"/>
  <c r="AU91" i="1"/>
  <c r="AT91" i="1"/>
  <c r="AR91" i="1"/>
  <c r="AQ91" i="1"/>
  <c r="AP91" i="1"/>
  <c r="AO91" i="1"/>
  <c r="AM91" i="1"/>
  <c r="AL91" i="1"/>
  <c r="AK91" i="1"/>
  <c r="AJ91" i="1"/>
  <c r="AH91" i="1"/>
  <c r="AG91" i="1"/>
  <c r="AF91" i="1"/>
  <c r="AE91" i="1"/>
  <c r="AC91" i="1"/>
  <c r="AB91" i="1"/>
  <c r="AA91" i="1"/>
  <c r="Z91" i="1"/>
  <c r="X91" i="1"/>
  <c r="W91" i="1"/>
  <c r="V91" i="1"/>
  <c r="U91" i="1"/>
  <c r="S91" i="1"/>
  <c r="R91" i="1"/>
  <c r="Q91" i="1"/>
  <c r="P91" i="1"/>
  <c r="N91" i="1"/>
  <c r="M91" i="1"/>
  <c r="L91" i="1"/>
  <c r="K91" i="1"/>
  <c r="AW90" i="1"/>
  <c r="AV90" i="1"/>
  <c r="AU90" i="1"/>
  <c r="AT90" i="1"/>
  <c r="AR90" i="1"/>
  <c r="AQ90" i="1"/>
  <c r="AP90" i="1"/>
  <c r="AO90" i="1"/>
  <c r="AM90" i="1"/>
  <c r="AL90" i="1"/>
  <c r="AK90" i="1"/>
  <c r="AJ90" i="1"/>
  <c r="AH90" i="1"/>
  <c r="AG90" i="1"/>
  <c r="AF90" i="1"/>
  <c r="AE90" i="1"/>
  <c r="AC90" i="1"/>
  <c r="AB90" i="1"/>
  <c r="AA90" i="1"/>
  <c r="Z90" i="1"/>
  <c r="X90" i="1"/>
  <c r="W90" i="1"/>
  <c r="V90" i="1"/>
  <c r="U90" i="1"/>
  <c r="S90" i="1"/>
  <c r="R90" i="1"/>
  <c r="Q90" i="1"/>
  <c r="P90" i="1"/>
  <c r="N90" i="1"/>
  <c r="M90" i="1"/>
  <c r="L90" i="1"/>
  <c r="K90" i="1"/>
  <c r="AW89" i="1"/>
  <c r="AV89" i="1"/>
  <c r="AU89" i="1"/>
  <c r="AT89" i="1"/>
  <c r="AR89" i="1"/>
  <c r="AQ89" i="1"/>
  <c r="AP89" i="1"/>
  <c r="AO89" i="1"/>
  <c r="AM89" i="1"/>
  <c r="AL89" i="1"/>
  <c r="AK89" i="1"/>
  <c r="AJ89" i="1"/>
  <c r="AH89" i="1"/>
  <c r="AG89" i="1"/>
  <c r="AF89" i="1"/>
  <c r="AE89" i="1"/>
  <c r="AC89" i="1"/>
  <c r="AB89" i="1"/>
  <c r="AA89" i="1"/>
  <c r="Z89" i="1"/>
  <c r="X89" i="1"/>
  <c r="W89" i="1"/>
  <c r="V89" i="1"/>
  <c r="U89" i="1"/>
  <c r="S89" i="1"/>
  <c r="R89" i="1"/>
  <c r="Q89" i="1"/>
  <c r="P89" i="1"/>
  <c r="N89" i="1"/>
  <c r="M89" i="1"/>
  <c r="L89" i="1"/>
  <c r="K89" i="1"/>
  <c r="AW88" i="1"/>
  <c r="AV88" i="1"/>
  <c r="AU88" i="1"/>
  <c r="AT88" i="1"/>
  <c r="AR88" i="1"/>
  <c r="AQ88" i="1"/>
  <c r="AP88" i="1"/>
  <c r="AO88" i="1"/>
  <c r="AM88" i="1"/>
  <c r="AL88" i="1"/>
  <c r="AK88" i="1"/>
  <c r="AJ88" i="1"/>
  <c r="AH88" i="1"/>
  <c r="AG88" i="1"/>
  <c r="AF88" i="1"/>
  <c r="AE88" i="1"/>
  <c r="AC88" i="1"/>
  <c r="AB88" i="1"/>
  <c r="AA88" i="1"/>
  <c r="Z88" i="1"/>
  <c r="X88" i="1"/>
  <c r="W88" i="1"/>
  <c r="V88" i="1"/>
  <c r="U88" i="1"/>
  <c r="S88" i="1"/>
  <c r="R88" i="1"/>
  <c r="Q88" i="1"/>
  <c r="P88" i="1"/>
  <c r="N88" i="1"/>
  <c r="M88" i="1"/>
  <c r="L88" i="1"/>
  <c r="K88" i="1"/>
  <c r="AW87" i="1"/>
  <c r="AV87" i="1"/>
  <c r="AU87" i="1"/>
  <c r="AT87" i="1"/>
  <c r="AR87" i="1"/>
  <c r="AQ87" i="1"/>
  <c r="AP87" i="1"/>
  <c r="AO87" i="1"/>
  <c r="AM87" i="1"/>
  <c r="AL87" i="1"/>
  <c r="AK87" i="1"/>
  <c r="AJ87" i="1"/>
  <c r="AH87" i="1"/>
  <c r="AG87" i="1"/>
  <c r="AF87" i="1"/>
  <c r="AE87" i="1"/>
  <c r="AC87" i="1"/>
  <c r="AB87" i="1"/>
  <c r="AA87" i="1"/>
  <c r="Z87" i="1"/>
  <c r="X87" i="1"/>
  <c r="W87" i="1"/>
  <c r="V87" i="1"/>
  <c r="U87" i="1"/>
  <c r="S87" i="1"/>
  <c r="R87" i="1"/>
  <c r="Q87" i="1"/>
  <c r="P87" i="1"/>
  <c r="N87" i="1"/>
  <c r="M87" i="1"/>
  <c r="L87" i="1"/>
  <c r="K87" i="1"/>
  <c r="AW86" i="1"/>
  <c r="AV86" i="1"/>
  <c r="AU86" i="1"/>
  <c r="AT86" i="1"/>
  <c r="AR86" i="1"/>
  <c r="AQ86" i="1"/>
  <c r="AP86" i="1"/>
  <c r="AO86" i="1"/>
  <c r="AM86" i="1"/>
  <c r="AL86" i="1"/>
  <c r="AK86" i="1"/>
  <c r="AJ86" i="1"/>
  <c r="AH86" i="1"/>
  <c r="AG86" i="1"/>
  <c r="AF86" i="1"/>
  <c r="AE86" i="1"/>
  <c r="AC86" i="1"/>
  <c r="AB86" i="1"/>
  <c r="AA86" i="1"/>
  <c r="Z86" i="1"/>
  <c r="X86" i="1"/>
  <c r="W86" i="1"/>
  <c r="V86" i="1"/>
  <c r="U86" i="1"/>
  <c r="S86" i="1"/>
  <c r="R86" i="1"/>
  <c r="Q86" i="1"/>
  <c r="P86" i="1"/>
  <c r="N86" i="1"/>
  <c r="M86" i="1"/>
  <c r="L86" i="1"/>
  <c r="K86" i="1"/>
  <c r="AW85" i="1"/>
  <c r="AV85" i="1"/>
  <c r="AU85" i="1"/>
  <c r="AT85" i="1"/>
  <c r="AR85" i="1"/>
  <c r="AQ85" i="1"/>
  <c r="AP85" i="1"/>
  <c r="AO85" i="1"/>
  <c r="AM85" i="1"/>
  <c r="AL85" i="1"/>
  <c r="AK85" i="1"/>
  <c r="AJ85" i="1"/>
  <c r="AH85" i="1"/>
  <c r="AG85" i="1"/>
  <c r="AF85" i="1"/>
  <c r="AE85" i="1"/>
  <c r="AC85" i="1"/>
  <c r="AB85" i="1"/>
  <c r="AA85" i="1"/>
  <c r="Z85" i="1"/>
  <c r="X85" i="1"/>
  <c r="W85" i="1"/>
  <c r="V85" i="1"/>
  <c r="U85" i="1"/>
  <c r="S85" i="1"/>
  <c r="R85" i="1"/>
  <c r="Q85" i="1"/>
  <c r="P85" i="1"/>
  <c r="N85" i="1"/>
  <c r="M85" i="1"/>
  <c r="L85" i="1"/>
  <c r="K85" i="1"/>
  <c r="AW84" i="1"/>
  <c r="AV84" i="1"/>
  <c r="AU84" i="1"/>
  <c r="AT84" i="1"/>
  <c r="AR84" i="1"/>
  <c r="AQ84" i="1"/>
  <c r="AP84" i="1"/>
  <c r="AO84" i="1"/>
  <c r="AM84" i="1"/>
  <c r="AL84" i="1"/>
  <c r="AK84" i="1"/>
  <c r="AJ84" i="1"/>
  <c r="AH84" i="1"/>
  <c r="AG84" i="1"/>
  <c r="AF84" i="1"/>
  <c r="AE84" i="1"/>
  <c r="AC84" i="1"/>
  <c r="AB84" i="1"/>
  <c r="AA84" i="1"/>
  <c r="Z84" i="1"/>
  <c r="X84" i="1"/>
  <c r="W84" i="1"/>
  <c r="V84" i="1"/>
  <c r="U84" i="1"/>
  <c r="S84" i="1"/>
  <c r="R84" i="1"/>
  <c r="Q84" i="1"/>
  <c r="P84" i="1"/>
  <c r="N84" i="1"/>
  <c r="M84" i="1"/>
  <c r="L84" i="1"/>
  <c r="K84" i="1"/>
  <c r="AW83" i="1"/>
  <c r="AV83" i="1"/>
  <c r="AU83" i="1"/>
  <c r="AT83" i="1"/>
  <c r="AR83" i="1"/>
  <c r="AQ83" i="1"/>
  <c r="AP83" i="1"/>
  <c r="AO83" i="1"/>
  <c r="AM83" i="1"/>
  <c r="AL83" i="1"/>
  <c r="AK83" i="1"/>
  <c r="AJ83" i="1"/>
  <c r="AH83" i="1"/>
  <c r="AG83" i="1"/>
  <c r="AF83" i="1"/>
  <c r="AE83" i="1"/>
  <c r="AC83" i="1"/>
  <c r="AB83" i="1"/>
  <c r="AA83" i="1"/>
  <c r="Z83" i="1"/>
  <c r="X83" i="1"/>
  <c r="W83" i="1"/>
  <c r="V83" i="1"/>
  <c r="U83" i="1"/>
  <c r="S83" i="1"/>
  <c r="R83" i="1"/>
  <c r="Q83" i="1"/>
  <c r="P83" i="1"/>
  <c r="N83" i="1"/>
  <c r="M83" i="1"/>
  <c r="L83" i="1"/>
  <c r="K83" i="1"/>
  <c r="AW82" i="1"/>
  <c r="AV82" i="1"/>
  <c r="AU82" i="1"/>
  <c r="AT82" i="1"/>
  <c r="AR82" i="1"/>
  <c r="AQ82" i="1"/>
  <c r="AP82" i="1"/>
  <c r="AO82" i="1"/>
  <c r="AM82" i="1"/>
  <c r="AL82" i="1"/>
  <c r="AK82" i="1"/>
  <c r="AJ82" i="1"/>
  <c r="AH82" i="1"/>
  <c r="AG82" i="1"/>
  <c r="AF82" i="1"/>
  <c r="AE82" i="1"/>
  <c r="AC82" i="1"/>
  <c r="AB82" i="1"/>
  <c r="AA82" i="1"/>
  <c r="Z82" i="1"/>
  <c r="X82" i="1"/>
  <c r="W82" i="1"/>
  <c r="V82" i="1"/>
  <c r="U82" i="1"/>
  <c r="S82" i="1"/>
  <c r="R82" i="1"/>
  <c r="Q82" i="1"/>
  <c r="P82" i="1"/>
  <c r="N82" i="1"/>
  <c r="M82" i="1"/>
  <c r="L82" i="1"/>
  <c r="K82" i="1"/>
  <c r="AW81" i="1"/>
  <c r="AV81" i="1"/>
  <c r="AU81" i="1"/>
  <c r="AT81" i="1"/>
  <c r="AR81" i="1"/>
  <c r="AQ81" i="1"/>
  <c r="AP81" i="1"/>
  <c r="AO81" i="1"/>
  <c r="AM81" i="1"/>
  <c r="AL81" i="1"/>
  <c r="AK81" i="1"/>
  <c r="AJ81" i="1"/>
  <c r="AH81" i="1"/>
  <c r="AG81" i="1"/>
  <c r="AF81" i="1"/>
  <c r="AE81" i="1"/>
  <c r="AC81" i="1"/>
  <c r="AB81" i="1"/>
  <c r="AA81" i="1"/>
  <c r="Z81" i="1"/>
  <c r="X81" i="1"/>
  <c r="W81" i="1"/>
  <c r="V81" i="1"/>
  <c r="U81" i="1"/>
  <c r="S81" i="1"/>
  <c r="R81" i="1"/>
  <c r="Q81" i="1"/>
  <c r="P81" i="1"/>
  <c r="N81" i="1"/>
  <c r="M81" i="1"/>
  <c r="L81" i="1"/>
  <c r="K81" i="1"/>
  <c r="AW80" i="1"/>
  <c r="AV80" i="1"/>
  <c r="AU80" i="1"/>
  <c r="AT80" i="1"/>
  <c r="AR80" i="1"/>
  <c r="AQ80" i="1"/>
  <c r="AP80" i="1"/>
  <c r="AO80" i="1"/>
  <c r="AM80" i="1"/>
  <c r="AL80" i="1"/>
  <c r="AK80" i="1"/>
  <c r="AJ80" i="1"/>
  <c r="AH80" i="1"/>
  <c r="AG80" i="1"/>
  <c r="AF80" i="1"/>
  <c r="AE80" i="1"/>
  <c r="AC80" i="1"/>
  <c r="AB80" i="1"/>
  <c r="AA80" i="1"/>
  <c r="Z80" i="1"/>
  <c r="X80" i="1"/>
  <c r="W80" i="1"/>
  <c r="V80" i="1"/>
  <c r="U80" i="1"/>
  <c r="S80" i="1"/>
  <c r="R80" i="1"/>
  <c r="Q80" i="1"/>
  <c r="P80" i="1"/>
  <c r="N80" i="1"/>
  <c r="M80" i="1"/>
  <c r="L80" i="1"/>
  <c r="K80" i="1"/>
  <c r="AW79" i="1"/>
  <c r="AV79" i="1"/>
  <c r="AU79" i="1"/>
  <c r="AT79" i="1"/>
  <c r="AR79" i="1"/>
  <c r="AQ79" i="1"/>
  <c r="AP79" i="1"/>
  <c r="AO79" i="1"/>
  <c r="AM79" i="1"/>
  <c r="AL79" i="1"/>
  <c r="AK79" i="1"/>
  <c r="AJ79" i="1"/>
  <c r="AH79" i="1"/>
  <c r="AG79" i="1"/>
  <c r="AF79" i="1"/>
  <c r="AE79" i="1"/>
  <c r="AC79" i="1"/>
  <c r="AB79" i="1"/>
  <c r="AA79" i="1"/>
  <c r="Z79" i="1"/>
  <c r="X79" i="1"/>
  <c r="W79" i="1"/>
  <c r="V79" i="1"/>
  <c r="U79" i="1"/>
  <c r="S79" i="1"/>
  <c r="R79" i="1"/>
  <c r="Q79" i="1"/>
  <c r="P79" i="1"/>
  <c r="N79" i="1"/>
  <c r="M79" i="1"/>
  <c r="L79" i="1"/>
  <c r="K79" i="1"/>
  <c r="AW78" i="1"/>
  <c r="AV78" i="1"/>
  <c r="AU78" i="1"/>
  <c r="AT78" i="1"/>
  <c r="AR78" i="1"/>
  <c r="AQ78" i="1"/>
  <c r="AP78" i="1"/>
  <c r="AO78" i="1"/>
  <c r="AM78" i="1"/>
  <c r="AL78" i="1"/>
  <c r="AK78" i="1"/>
  <c r="AJ78" i="1"/>
  <c r="AH78" i="1"/>
  <c r="AG78" i="1"/>
  <c r="AF78" i="1"/>
  <c r="AE78" i="1"/>
  <c r="AC78" i="1"/>
  <c r="AB78" i="1"/>
  <c r="AA78" i="1"/>
  <c r="Z78" i="1"/>
  <c r="X78" i="1"/>
  <c r="W78" i="1"/>
  <c r="V78" i="1"/>
  <c r="U78" i="1"/>
  <c r="S78" i="1"/>
  <c r="R78" i="1"/>
  <c r="Q78" i="1"/>
  <c r="P78" i="1"/>
  <c r="N78" i="1"/>
  <c r="M78" i="1"/>
  <c r="L78" i="1"/>
  <c r="K78" i="1"/>
  <c r="AW77" i="1"/>
  <c r="AV77" i="1"/>
  <c r="AU77" i="1"/>
  <c r="AT77" i="1"/>
  <c r="AR77" i="1"/>
  <c r="AQ77" i="1"/>
  <c r="AP77" i="1"/>
  <c r="AO77" i="1"/>
  <c r="AM77" i="1"/>
  <c r="AL77" i="1"/>
  <c r="AK77" i="1"/>
  <c r="AJ77" i="1"/>
  <c r="AH77" i="1"/>
  <c r="AG77" i="1"/>
  <c r="AF77" i="1"/>
  <c r="AE77" i="1"/>
  <c r="AC77" i="1"/>
  <c r="AB77" i="1"/>
  <c r="AA77" i="1"/>
  <c r="Z77" i="1"/>
  <c r="X77" i="1"/>
  <c r="W77" i="1"/>
  <c r="V77" i="1"/>
  <c r="U77" i="1"/>
  <c r="S77" i="1"/>
  <c r="R77" i="1"/>
  <c r="Q77" i="1"/>
  <c r="P77" i="1"/>
  <c r="N77" i="1"/>
  <c r="M77" i="1"/>
  <c r="L77" i="1"/>
  <c r="K77" i="1"/>
  <c r="AW76" i="1"/>
  <c r="AV76" i="1"/>
  <c r="AU76" i="1"/>
  <c r="AT76" i="1"/>
  <c r="AR76" i="1"/>
  <c r="AQ76" i="1"/>
  <c r="AP76" i="1"/>
  <c r="AO76" i="1"/>
  <c r="AM76" i="1"/>
  <c r="AL76" i="1"/>
  <c r="AK76" i="1"/>
  <c r="AJ76" i="1"/>
  <c r="AH76" i="1"/>
  <c r="AG76" i="1"/>
  <c r="AF76" i="1"/>
  <c r="AE76" i="1"/>
  <c r="AC76" i="1"/>
  <c r="AB76" i="1"/>
  <c r="AA76" i="1"/>
  <c r="Z76" i="1"/>
  <c r="X76" i="1"/>
  <c r="W76" i="1"/>
  <c r="V76" i="1"/>
  <c r="U76" i="1"/>
  <c r="S76" i="1"/>
  <c r="R76" i="1"/>
  <c r="Q76" i="1"/>
  <c r="P76" i="1"/>
  <c r="N76" i="1"/>
  <c r="M76" i="1"/>
  <c r="L76" i="1"/>
  <c r="K76" i="1"/>
  <c r="AW75" i="1"/>
  <c r="AV75" i="1"/>
  <c r="AU75" i="1"/>
  <c r="AT75" i="1"/>
  <c r="AR75" i="1"/>
  <c r="AQ75" i="1"/>
  <c r="AP75" i="1"/>
  <c r="AO75" i="1"/>
  <c r="AM75" i="1"/>
  <c r="AL75" i="1"/>
  <c r="AK75" i="1"/>
  <c r="AJ75" i="1"/>
  <c r="AH75" i="1"/>
  <c r="AG75" i="1"/>
  <c r="AF75" i="1"/>
  <c r="AE75" i="1"/>
  <c r="AC75" i="1"/>
  <c r="AB75" i="1"/>
  <c r="AA75" i="1"/>
  <c r="Z75" i="1"/>
  <c r="X75" i="1"/>
  <c r="W75" i="1"/>
  <c r="V75" i="1"/>
  <c r="U75" i="1"/>
  <c r="S75" i="1"/>
  <c r="R75" i="1"/>
  <c r="Q75" i="1"/>
  <c r="P75" i="1"/>
  <c r="N75" i="1"/>
  <c r="M75" i="1"/>
  <c r="L75" i="1"/>
  <c r="K75" i="1"/>
  <c r="AW74" i="1"/>
  <c r="AV74" i="1"/>
  <c r="AU74" i="1"/>
  <c r="AT74" i="1"/>
  <c r="AR74" i="1"/>
  <c r="AQ74" i="1"/>
  <c r="AP74" i="1"/>
  <c r="AO74" i="1"/>
  <c r="AM74" i="1"/>
  <c r="AL74" i="1"/>
  <c r="AK74" i="1"/>
  <c r="AJ74" i="1"/>
  <c r="AH74" i="1"/>
  <c r="AG74" i="1"/>
  <c r="AF74" i="1"/>
  <c r="AE74" i="1"/>
  <c r="AC74" i="1"/>
  <c r="AB74" i="1"/>
  <c r="AA74" i="1"/>
  <c r="Z74" i="1"/>
  <c r="X74" i="1"/>
  <c r="W74" i="1"/>
  <c r="V74" i="1"/>
  <c r="U74" i="1"/>
  <c r="S74" i="1"/>
  <c r="R74" i="1"/>
  <c r="Q74" i="1"/>
  <c r="P74" i="1"/>
  <c r="N74" i="1"/>
  <c r="M74" i="1"/>
  <c r="L74" i="1"/>
  <c r="K74" i="1"/>
  <c r="AW73" i="1"/>
  <c r="AV73" i="1"/>
  <c r="AU73" i="1"/>
  <c r="AT73" i="1"/>
  <c r="AR73" i="1"/>
  <c r="AQ73" i="1"/>
  <c r="AP73" i="1"/>
  <c r="AO73" i="1"/>
  <c r="AM73" i="1"/>
  <c r="AL73" i="1"/>
  <c r="AK73" i="1"/>
  <c r="AJ73" i="1"/>
  <c r="AH73" i="1"/>
  <c r="AG73" i="1"/>
  <c r="AF73" i="1"/>
  <c r="AE73" i="1"/>
  <c r="AC73" i="1"/>
  <c r="AB73" i="1"/>
  <c r="AA73" i="1"/>
  <c r="Z73" i="1"/>
  <c r="X73" i="1"/>
  <c r="W73" i="1"/>
  <c r="V73" i="1"/>
  <c r="U73" i="1"/>
  <c r="S73" i="1"/>
  <c r="R73" i="1"/>
  <c r="Q73" i="1"/>
  <c r="P73" i="1"/>
  <c r="N73" i="1"/>
  <c r="M73" i="1"/>
  <c r="L73" i="1"/>
  <c r="K73" i="1"/>
  <c r="AW72" i="1"/>
  <c r="AV72" i="1"/>
  <c r="AU72" i="1"/>
  <c r="AT72" i="1"/>
  <c r="AR72" i="1"/>
  <c r="AQ72" i="1"/>
  <c r="AP72" i="1"/>
  <c r="AO72" i="1"/>
  <c r="AM72" i="1"/>
  <c r="AL72" i="1"/>
  <c r="AK72" i="1"/>
  <c r="AJ72" i="1"/>
  <c r="AH72" i="1"/>
  <c r="AG72" i="1"/>
  <c r="AF72" i="1"/>
  <c r="AE72" i="1"/>
  <c r="AC72" i="1"/>
  <c r="AB72" i="1"/>
  <c r="AA72" i="1"/>
  <c r="Z72" i="1"/>
  <c r="X72" i="1"/>
  <c r="W72" i="1"/>
  <c r="V72" i="1"/>
  <c r="U72" i="1"/>
  <c r="S72" i="1"/>
  <c r="R72" i="1"/>
  <c r="Q72" i="1"/>
  <c r="P72" i="1"/>
  <c r="N72" i="1"/>
  <c r="M72" i="1"/>
  <c r="L72" i="1"/>
  <c r="K72" i="1"/>
  <c r="AW71" i="1"/>
  <c r="AV71" i="1"/>
  <c r="AU71" i="1"/>
  <c r="AT71" i="1"/>
  <c r="AR71" i="1"/>
  <c r="AQ71" i="1"/>
  <c r="AP71" i="1"/>
  <c r="AO71" i="1"/>
  <c r="AM71" i="1"/>
  <c r="AL71" i="1"/>
  <c r="AK71" i="1"/>
  <c r="AJ71" i="1"/>
  <c r="AH71" i="1"/>
  <c r="AG71" i="1"/>
  <c r="AF71" i="1"/>
  <c r="AE71" i="1"/>
  <c r="AC71" i="1"/>
  <c r="AB71" i="1"/>
  <c r="AA71" i="1"/>
  <c r="Z71" i="1"/>
  <c r="X71" i="1"/>
  <c r="W71" i="1"/>
  <c r="V71" i="1"/>
  <c r="U71" i="1"/>
  <c r="S71" i="1"/>
  <c r="R71" i="1"/>
  <c r="Q71" i="1"/>
  <c r="P71" i="1"/>
  <c r="N71" i="1"/>
  <c r="M71" i="1"/>
  <c r="L71" i="1"/>
  <c r="K71" i="1"/>
  <c r="AW70" i="1"/>
  <c r="AV70" i="1"/>
  <c r="AU70" i="1"/>
  <c r="AT70" i="1"/>
  <c r="AR70" i="1"/>
  <c r="AQ70" i="1"/>
  <c r="AP70" i="1"/>
  <c r="AO70" i="1"/>
  <c r="AM70" i="1"/>
  <c r="AL70" i="1"/>
  <c r="AK70" i="1"/>
  <c r="AJ70" i="1"/>
  <c r="AH70" i="1"/>
  <c r="AG70" i="1"/>
  <c r="AF70" i="1"/>
  <c r="AE70" i="1"/>
  <c r="AC70" i="1"/>
  <c r="AB70" i="1"/>
  <c r="AA70" i="1"/>
  <c r="Z70" i="1"/>
  <c r="X70" i="1"/>
  <c r="W70" i="1"/>
  <c r="V70" i="1"/>
  <c r="U70" i="1"/>
  <c r="S70" i="1"/>
  <c r="R70" i="1"/>
  <c r="Q70" i="1"/>
  <c r="P70" i="1"/>
  <c r="N70" i="1"/>
  <c r="M70" i="1"/>
  <c r="L70" i="1"/>
  <c r="K70" i="1"/>
  <c r="AW69" i="1"/>
  <c r="AV69" i="1"/>
  <c r="AU69" i="1"/>
  <c r="AT69" i="1"/>
  <c r="AR69" i="1"/>
  <c r="AQ69" i="1"/>
  <c r="AP69" i="1"/>
  <c r="AO69" i="1"/>
  <c r="AM69" i="1"/>
  <c r="AL69" i="1"/>
  <c r="AK69" i="1"/>
  <c r="AJ69" i="1"/>
  <c r="AH69" i="1"/>
  <c r="AG69" i="1"/>
  <c r="AF69" i="1"/>
  <c r="AE69" i="1"/>
  <c r="AC69" i="1"/>
  <c r="AB69" i="1"/>
  <c r="AA69" i="1"/>
  <c r="Z69" i="1"/>
  <c r="X69" i="1"/>
  <c r="W69" i="1"/>
  <c r="V69" i="1"/>
  <c r="U69" i="1"/>
  <c r="S69" i="1"/>
  <c r="R69" i="1"/>
  <c r="Q69" i="1"/>
  <c r="P69" i="1"/>
  <c r="N69" i="1"/>
  <c r="M69" i="1"/>
  <c r="L69" i="1"/>
  <c r="K69" i="1"/>
  <c r="AW68" i="1"/>
  <c r="AV68" i="1"/>
  <c r="AU68" i="1"/>
  <c r="AT68" i="1"/>
  <c r="AR68" i="1"/>
  <c r="AQ68" i="1"/>
  <c r="AP68" i="1"/>
  <c r="AO68" i="1"/>
  <c r="AM68" i="1"/>
  <c r="AL68" i="1"/>
  <c r="AK68" i="1"/>
  <c r="AJ68" i="1"/>
  <c r="AH68" i="1"/>
  <c r="AG68" i="1"/>
  <c r="AF68" i="1"/>
  <c r="AE68" i="1"/>
  <c r="AC68" i="1"/>
  <c r="AB68" i="1"/>
  <c r="AA68" i="1"/>
  <c r="Z68" i="1"/>
  <c r="X68" i="1"/>
  <c r="W68" i="1"/>
  <c r="V68" i="1"/>
  <c r="U68" i="1"/>
  <c r="S68" i="1"/>
  <c r="R68" i="1"/>
  <c r="Q68" i="1"/>
  <c r="P68" i="1"/>
  <c r="N68" i="1"/>
  <c r="M68" i="1"/>
  <c r="L68" i="1"/>
  <c r="K68" i="1"/>
  <c r="AW67" i="1"/>
  <c r="AV67" i="1"/>
  <c r="AU67" i="1"/>
  <c r="AT67" i="1"/>
  <c r="AR67" i="1"/>
  <c r="AQ67" i="1"/>
  <c r="AP67" i="1"/>
  <c r="AO67" i="1"/>
  <c r="AM67" i="1"/>
  <c r="AL67" i="1"/>
  <c r="AK67" i="1"/>
  <c r="AJ67" i="1"/>
  <c r="AH67" i="1"/>
  <c r="AG67" i="1"/>
  <c r="AF67" i="1"/>
  <c r="AE67" i="1"/>
  <c r="AC67" i="1"/>
  <c r="AB67" i="1"/>
  <c r="AA67" i="1"/>
  <c r="Z67" i="1"/>
  <c r="X67" i="1"/>
  <c r="W67" i="1"/>
  <c r="V67" i="1"/>
  <c r="U67" i="1"/>
  <c r="S67" i="1"/>
  <c r="R67" i="1"/>
  <c r="Q67" i="1"/>
  <c r="P67" i="1"/>
  <c r="N67" i="1"/>
  <c r="M67" i="1"/>
  <c r="L67" i="1"/>
  <c r="K67" i="1"/>
  <c r="AW66" i="1"/>
  <c r="AV66" i="1"/>
  <c r="AU66" i="1"/>
  <c r="AT66" i="1"/>
  <c r="AR66" i="1"/>
  <c r="AQ66" i="1"/>
  <c r="AP66" i="1"/>
  <c r="AO66" i="1"/>
  <c r="AM66" i="1"/>
  <c r="AL66" i="1"/>
  <c r="AK66" i="1"/>
  <c r="AJ66" i="1"/>
  <c r="AH66" i="1"/>
  <c r="AG66" i="1"/>
  <c r="AF66" i="1"/>
  <c r="AE66" i="1"/>
  <c r="AC66" i="1"/>
  <c r="AB66" i="1"/>
  <c r="AA66" i="1"/>
  <c r="Z66" i="1"/>
  <c r="X66" i="1"/>
  <c r="W66" i="1"/>
  <c r="V66" i="1"/>
  <c r="U66" i="1"/>
  <c r="S66" i="1"/>
  <c r="R66" i="1"/>
  <c r="Q66" i="1"/>
  <c r="P66" i="1"/>
  <c r="N66" i="1"/>
  <c r="M66" i="1"/>
  <c r="L66" i="1"/>
  <c r="K66" i="1"/>
  <c r="AW65" i="1"/>
  <c r="AV65" i="1"/>
  <c r="AU65" i="1"/>
  <c r="AT65" i="1"/>
  <c r="AR65" i="1"/>
  <c r="AQ65" i="1"/>
  <c r="AP65" i="1"/>
  <c r="AO65" i="1"/>
  <c r="AM65" i="1"/>
  <c r="AL65" i="1"/>
  <c r="AK65" i="1"/>
  <c r="AJ65" i="1"/>
  <c r="AH65" i="1"/>
  <c r="AG65" i="1"/>
  <c r="AF65" i="1"/>
  <c r="AE65" i="1"/>
  <c r="AC65" i="1"/>
  <c r="AB65" i="1"/>
  <c r="AA65" i="1"/>
  <c r="Z65" i="1"/>
  <c r="X65" i="1"/>
  <c r="W65" i="1"/>
  <c r="V65" i="1"/>
  <c r="U65" i="1"/>
  <c r="S65" i="1"/>
  <c r="R65" i="1"/>
  <c r="Q65" i="1"/>
  <c r="P65" i="1"/>
  <c r="N65" i="1"/>
  <c r="M65" i="1"/>
  <c r="L65" i="1"/>
  <c r="K65" i="1"/>
  <c r="AW64" i="1"/>
  <c r="AV64" i="1"/>
  <c r="AU64" i="1"/>
  <c r="AT64" i="1"/>
  <c r="AR64" i="1"/>
  <c r="AQ64" i="1"/>
  <c r="AP64" i="1"/>
  <c r="AO64" i="1"/>
  <c r="AM64" i="1"/>
  <c r="AL64" i="1"/>
  <c r="AK64" i="1"/>
  <c r="AJ64" i="1"/>
  <c r="AH64" i="1"/>
  <c r="AG64" i="1"/>
  <c r="AF64" i="1"/>
  <c r="AE64" i="1"/>
  <c r="AC64" i="1"/>
  <c r="AB64" i="1"/>
  <c r="AA64" i="1"/>
  <c r="Z64" i="1"/>
  <c r="X64" i="1"/>
  <c r="W64" i="1"/>
  <c r="V64" i="1"/>
  <c r="U64" i="1"/>
  <c r="S64" i="1"/>
  <c r="R64" i="1"/>
  <c r="Q64" i="1"/>
  <c r="P64" i="1"/>
  <c r="N64" i="1"/>
  <c r="M64" i="1"/>
  <c r="L64" i="1"/>
  <c r="K64" i="1"/>
  <c r="AW63" i="1"/>
  <c r="AV63" i="1"/>
  <c r="AU63" i="1"/>
  <c r="AT63" i="1"/>
  <c r="AR63" i="1"/>
  <c r="AQ63" i="1"/>
  <c r="AP63" i="1"/>
  <c r="AO63" i="1"/>
  <c r="AM63" i="1"/>
  <c r="AL63" i="1"/>
  <c r="AK63" i="1"/>
  <c r="AJ63" i="1"/>
  <c r="AH63" i="1"/>
  <c r="AG63" i="1"/>
  <c r="AF63" i="1"/>
  <c r="AE63" i="1"/>
  <c r="AC63" i="1"/>
  <c r="AB63" i="1"/>
  <c r="AA63" i="1"/>
  <c r="Z63" i="1"/>
  <c r="X63" i="1"/>
  <c r="W63" i="1"/>
  <c r="V63" i="1"/>
  <c r="U63" i="1"/>
  <c r="S63" i="1"/>
  <c r="R63" i="1"/>
  <c r="Q63" i="1"/>
  <c r="P63" i="1"/>
  <c r="N63" i="1"/>
  <c r="M63" i="1"/>
  <c r="L63" i="1"/>
  <c r="K63" i="1"/>
  <c r="AW62" i="1"/>
  <c r="AV62" i="1"/>
  <c r="AU62" i="1"/>
  <c r="AT62" i="1"/>
  <c r="AR62" i="1"/>
  <c r="AQ62" i="1"/>
  <c r="AP62" i="1"/>
  <c r="AO62" i="1"/>
  <c r="AM62" i="1"/>
  <c r="AL62" i="1"/>
  <c r="AK62" i="1"/>
  <c r="AJ62" i="1"/>
  <c r="AH62" i="1"/>
  <c r="AG62" i="1"/>
  <c r="AF62" i="1"/>
  <c r="AE62" i="1"/>
  <c r="AC62" i="1"/>
  <c r="AB62" i="1"/>
  <c r="AA62" i="1"/>
  <c r="Z62" i="1"/>
  <c r="X62" i="1"/>
  <c r="W62" i="1"/>
  <c r="V62" i="1"/>
  <c r="U62" i="1"/>
  <c r="S62" i="1"/>
  <c r="R62" i="1"/>
  <c r="Q62" i="1"/>
  <c r="P62" i="1"/>
  <c r="N62" i="1"/>
  <c r="M62" i="1"/>
  <c r="L62" i="1"/>
  <c r="K62" i="1"/>
  <c r="AW61" i="1"/>
  <c r="AV61" i="1"/>
  <c r="AU61" i="1"/>
  <c r="AT61" i="1"/>
  <c r="AR61" i="1"/>
  <c r="AQ61" i="1"/>
  <c r="AP61" i="1"/>
  <c r="AO61" i="1"/>
  <c r="AM61" i="1"/>
  <c r="AL61" i="1"/>
  <c r="AK61" i="1"/>
  <c r="AJ61" i="1"/>
  <c r="AH61" i="1"/>
  <c r="AG61" i="1"/>
  <c r="AF61" i="1"/>
  <c r="AE61" i="1"/>
  <c r="AC61" i="1"/>
  <c r="AB61" i="1"/>
  <c r="AA61" i="1"/>
  <c r="Z61" i="1"/>
  <c r="X61" i="1"/>
  <c r="W61" i="1"/>
  <c r="V61" i="1"/>
  <c r="U61" i="1"/>
  <c r="S61" i="1"/>
  <c r="R61" i="1"/>
  <c r="Q61" i="1"/>
  <c r="P61" i="1"/>
  <c r="N61" i="1"/>
  <c r="M61" i="1"/>
  <c r="L61" i="1"/>
  <c r="K61" i="1"/>
  <c r="AW60" i="1"/>
  <c r="AV60" i="1"/>
  <c r="AU60" i="1"/>
  <c r="AT60" i="1"/>
  <c r="AR60" i="1"/>
  <c r="AQ60" i="1"/>
  <c r="AP60" i="1"/>
  <c r="AO60" i="1"/>
  <c r="AM60" i="1"/>
  <c r="AL60" i="1"/>
  <c r="AK60" i="1"/>
  <c r="AJ60" i="1"/>
  <c r="AH60" i="1"/>
  <c r="AG60" i="1"/>
  <c r="AF60" i="1"/>
  <c r="AE60" i="1"/>
  <c r="AC60" i="1"/>
  <c r="AB60" i="1"/>
  <c r="AA60" i="1"/>
  <c r="Z60" i="1"/>
  <c r="X60" i="1"/>
  <c r="W60" i="1"/>
  <c r="V60" i="1"/>
  <c r="U60" i="1"/>
  <c r="S60" i="1"/>
  <c r="R60" i="1"/>
  <c r="Q60" i="1"/>
  <c r="P60" i="1"/>
  <c r="N60" i="1"/>
  <c r="M60" i="1"/>
  <c r="L60" i="1"/>
  <c r="K60" i="1"/>
  <c r="AW59" i="1"/>
  <c r="AV59" i="1"/>
  <c r="AU59" i="1"/>
  <c r="AT59" i="1"/>
  <c r="AR59" i="1"/>
  <c r="AQ59" i="1"/>
  <c r="AP59" i="1"/>
  <c r="AO59" i="1"/>
  <c r="AM59" i="1"/>
  <c r="AL59" i="1"/>
  <c r="AK59" i="1"/>
  <c r="AJ59" i="1"/>
  <c r="AH59" i="1"/>
  <c r="AG59" i="1"/>
  <c r="AF59" i="1"/>
  <c r="AE59" i="1"/>
  <c r="AC59" i="1"/>
  <c r="AB59" i="1"/>
  <c r="AA59" i="1"/>
  <c r="Z59" i="1"/>
  <c r="X59" i="1"/>
  <c r="W59" i="1"/>
  <c r="V59" i="1"/>
  <c r="U59" i="1"/>
  <c r="S59" i="1"/>
  <c r="R59" i="1"/>
  <c r="Q59" i="1"/>
  <c r="P59" i="1"/>
  <c r="N59" i="1"/>
  <c r="M59" i="1"/>
  <c r="L59" i="1"/>
  <c r="K59" i="1"/>
  <c r="AW58" i="1"/>
  <c r="AV58" i="1"/>
  <c r="AU58" i="1"/>
  <c r="AT58" i="1"/>
  <c r="AR58" i="1"/>
  <c r="AQ58" i="1"/>
  <c r="AP58" i="1"/>
  <c r="AO58" i="1"/>
  <c r="AM58" i="1"/>
  <c r="AL58" i="1"/>
  <c r="AK58" i="1"/>
  <c r="AJ58" i="1"/>
  <c r="AH58" i="1"/>
  <c r="AG58" i="1"/>
  <c r="AF58" i="1"/>
  <c r="AE58" i="1"/>
  <c r="AC58" i="1"/>
  <c r="AB58" i="1"/>
  <c r="AA58" i="1"/>
  <c r="Z58" i="1"/>
  <c r="X58" i="1"/>
  <c r="W58" i="1"/>
  <c r="V58" i="1"/>
  <c r="U58" i="1"/>
  <c r="S58" i="1"/>
  <c r="R58" i="1"/>
  <c r="Q58" i="1"/>
  <c r="P58" i="1"/>
  <c r="N58" i="1"/>
  <c r="M58" i="1"/>
  <c r="L58" i="1"/>
  <c r="K58" i="1"/>
  <c r="AW57" i="1"/>
  <c r="AV57" i="1"/>
  <c r="AU57" i="1"/>
  <c r="AT57" i="1"/>
  <c r="AR57" i="1"/>
  <c r="AQ57" i="1"/>
  <c r="AP57" i="1"/>
  <c r="AO57" i="1"/>
  <c r="AM57" i="1"/>
  <c r="AL57" i="1"/>
  <c r="AK57" i="1"/>
  <c r="AJ57" i="1"/>
  <c r="AH57" i="1"/>
  <c r="AG57" i="1"/>
  <c r="AF57" i="1"/>
  <c r="AE57" i="1"/>
  <c r="AC57" i="1"/>
  <c r="AB57" i="1"/>
  <c r="AA57" i="1"/>
  <c r="Z57" i="1"/>
  <c r="X57" i="1"/>
  <c r="W57" i="1"/>
  <c r="V57" i="1"/>
  <c r="U57" i="1"/>
  <c r="S57" i="1"/>
  <c r="R57" i="1"/>
  <c r="Q57" i="1"/>
  <c r="P57" i="1"/>
  <c r="N57" i="1"/>
  <c r="M57" i="1"/>
  <c r="L57" i="1"/>
  <c r="K57" i="1"/>
  <c r="AW56" i="1"/>
  <c r="AV56" i="1"/>
  <c r="AU56" i="1"/>
  <c r="AT56" i="1"/>
  <c r="AR56" i="1"/>
  <c r="AQ56" i="1"/>
  <c r="AP56" i="1"/>
  <c r="AO56" i="1"/>
  <c r="AM56" i="1"/>
  <c r="AL56" i="1"/>
  <c r="AK56" i="1"/>
  <c r="AJ56" i="1"/>
  <c r="AH56" i="1"/>
  <c r="AG56" i="1"/>
  <c r="AF56" i="1"/>
  <c r="AE56" i="1"/>
  <c r="AC56" i="1"/>
  <c r="AB56" i="1"/>
  <c r="AA56" i="1"/>
  <c r="Z56" i="1"/>
  <c r="X56" i="1"/>
  <c r="W56" i="1"/>
  <c r="V56" i="1"/>
  <c r="U56" i="1"/>
  <c r="S56" i="1"/>
  <c r="R56" i="1"/>
  <c r="Q56" i="1"/>
  <c r="P56" i="1"/>
  <c r="N56" i="1"/>
  <c r="M56" i="1"/>
  <c r="L56" i="1"/>
  <c r="K56" i="1"/>
  <c r="AW55" i="1"/>
  <c r="AV55" i="1"/>
  <c r="AU55" i="1"/>
  <c r="AT55" i="1"/>
  <c r="AR55" i="1"/>
  <c r="AQ55" i="1"/>
  <c r="AP55" i="1"/>
  <c r="AO55" i="1"/>
  <c r="AM55" i="1"/>
  <c r="AL55" i="1"/>
  <c r="AK55" i="1"/>
  <c r="AJ55" i="1"/>
  <c r="AH55" i="1"/>
  <c r="AG55" i="1"/>
  <c r="AF55" i="1"/>
  <c r="AE55" i="1"/>
  <c r="AC55" i="1"/>
  <c r="AB55" i="1"/>
  <c r="AA55" i="1"/>
  <c r="Z55" i="1"/>
  <c r="X55" i="1"/>
  <c r="W55" i="1"/>
  <c r="V55" i="1"/>
  <c r="U55" i="1"/>
  <c r="S55" i="1"/>
  <c r="R55" i="1"/>
  <c r="Q55" i="1"/>
  <c r="P55" i="1"/>
  <c r="N55" i="1"/>
  <c r="M55" i="1"/>
  <c r="L55" i="1"/>
  <c r="K55" i="1"/>
  <c r="AW54" i="1"/>
  <c r="AV54" i="1"/>
  <c r="AU54" i="1"/>
  <c r="AT54" i="1"/>
  <c r="AR54" i="1"/>
  <c r="AQ54" i="1"/>
  <c r="AP54" i="1"/>
  <c r="AO54" i="1"/>
  <c r="AM54" i="1"/>
  <c r="AL54" i="1"/>
  <c r="AK54" i="1"/>
  <c r="AJ54" i="1"/>
  <c r="AH54" i="1"/>
  <c r="AG54" i="1"/>
  <c r="AF54" i="1"/>
  <c r="AE54" i="1"/>
  <c r="AC54" i="1"/>
  <c r="AB54" i="1"/>
  <c r="AA54" i="1"/>
  <c r="Z54" i="1"/>
  <c r="X54" i="1"/>
  <c r="W54" i="1"/>
  <c r="V54" i="1"/>
  <c r="U54" i="1"/>
  <c r="S54" i="1"/>
  <c r="R54" i="1"/>
  <c r="Q54" i="1"/>
  <c r="P54" i="1"/>
  <c r="N54" i="1"/>
  <c r="M54" i="1"/>
  <c r="L54" i="1"/>
  <c r="K54" i="1"/>
  <c r="AW53" i="1"/>
  <c r="AV53" i="1"/>
  <c r="AU53" i="1"/>
  <c r="AT53" i="1"/>
  <c r="AR53" i="1"/>
  <c r="AQ53" i="1"/>
  <c r="AP53" i="1"/>
  <c r="AO53" i="1"/>
  <c r="AM53" i="1"/>
  <c r="AL53" i="1"/>
  <c r="AK53" i="1"/>
  <c r="AJ53" i="1"/>
  <c r="AH53" i="1"/>
  <c r="AG53" i="1"/>
  <c r="AF53" i="1"/>
  <c r="AE53" i="1"/>
  <c r="AC53" i="1"/>
  <c r="AB53" i="1"/>
  <c r="AA53" i="1"/>
  <c r="Z53" i="1"/>
  <c r="X53" i="1"/>
  <c r="W53" i="1"/>
  <c r="V53" i="1"/>
  <c r="U53" i="1"/>
  <c r="S53" i="1"/>
  <c r="R53" i="1"/>
  <c r="Q53" i="1"/>
  <c r="P53" i="1"/>
  <c r="N53" i="1"/>
  <c r="M53" i="1"/>
  <c r="L53" i="1"/>
  <c r="K53" i="1"/>
  <c r="AW52" i="1"/>
  <c r="AV52" i="1"/>
  <c r="AU52" i="1"/>
  <c r="AT52" i="1"/>
  <c r="AR52" i="1"/>
  <c r="AQ52" i="1"/>
  <c r="AP52" i="1"/>
  <c r="AO52" i="1"/>
  <c r="AM52" i="1"/>
  <c r="AL52" i="1"/>
  <c r="AK52" i="1"/>
  <c r="AJ52" i="1"/>
  <c r="AH52" i="1"/>
  <c r="AG52" i="1"/>
  <c r="AF52" i="1"/>
  <c r="AE52" i="1"/>
  <c r="AC52" i="1"/>
  <c r="AB52" i="1"/>
  <c r="AA52" i="1"/>
  <c r="Z52" i="1"/>
  <c r="X52" i="1"/>
  <c r="W52" i="1"/>
  <c r="V52" i="1"/>
  <c r="U52" i="1"/>
  <c r="S52" i="1"/>
  <c r="R52" i="1"/>
  <c r="Q52" i="1"/>
  <c r="P52" i="1"/>
  <c r="N52" i="1"/>
  <c r="M52" i="1"/>
  <c r="L52" i="1"/>
  <c r="K52" i="1"/>
  <c r="AW51" i="1"/>
  <c r="AV51" i="1"/>
  <c r="AU51" i="1"/>
  <c r="AT51" i="1"/>
  <c r="AR51" i="1"/>
  <c r="AQ51" i="1"/>
  <c r="AP51" i="1"/>
  <c r="AO51" i="1"/>
  <c r="AM51" i="1"/>
  <c r="AL51" i="1"/>
  <c r="AK51" i="1"/>
  <c r="AJ51" i="1"/>
  <c r="AH51" i="1"/>
  <c r="AG51" i="1"/>
  <c r="AF51" i="1"/>
  <c r="AE51" i="1"/>
  <c r="AC51" i="1"/>
  <c r="AB51" i="1"/>
  <c r="AA51" i="1"/>
  <c r="Z51" i="1"/>
  <c r="X51" i="1"/>
  <c r="W51" i="1"/>
  <c r="V51" i="1"/>
  <c r="U51" i="1"/>
  <c r="S51" i="1"/>
  <c r="R51" i="1"/>
  <c r="Q51" i="1"/>
  <c r="P51" i="1"/>
  <c r="N51" i="1"/>
  <c r="M51" i="1"/>
  <c r="L51" i="1"/>
  <c r="K51" i="1"/>
  <c r="AW50" i="1"/>
  <c r="AV50" i="1"/>
  <c r="AU50" i="1"/>
  <c r="AT50" i="1"/>
  <c r="AR50" i="1"/>
  <c r="AQ50" i="1"/>
  <c r="AP50" i="1"/>
  <c r="AO50" i="1"/>
  <c r="AM50" i="1"/>
  <c r="AL50" i="1"/>
  <c r="AK50" i="1"/>
  <c r="AJ50" i="1"/>
  <c r="AH50" i="1"/>
  <c r="AG50" i="1"/>
  <c r="AF50" i="1"/>
  <c r="AE50" i="1"/>
  <c r="AC50" i="1"/>
  <c r="AB50" i="1"/>
  <c r="AA50" i="1"/>
  <c r="Z50" i="1"/>
  <c r="X50" i="1"/>
  <c r="W50" i="1"/>
  <c r="V50" i="1"/>
  <c r="U50" i="1"/>
  <c r="S50" i="1"/>
  <c r="R50" i="1"/>
  <c r="Q50" i="1"/>
  <c r="P50" i="1"/>
  <c r="N50" i="1"/>
  <c r="M50" i="1"/>
  <c r="L50" i="1"/>
  <c r="K50" i="1"/>
  <c r="AW49" i="1"/>
  <c r="AV49" i="1"/>
  <c r="AU49" i="1"/>
  <c r="AT49" i="1"/>
  <c r="AR49" i="1"/>
  <c r="AQ49" i="1"/>
  <c r="AP49" i="1"/>
  <c r="AO49" i="1"/>
  <c r="AM49" i="1"/>
  <c r="AL49" i="1"/>
  <c r="AK49" i="1"/>
  <c r="AJ49" i="1"/>
  <c r="AH49" i="1"/>
  <c r="AG49" i="1"/>
  <c r="AF49" i="1"/>
  <c r="AE49" i="1"/>
  <c r="AC49" i="1"/>
  <c r="AB49" i="1"/>
  <c r="AA49" i="1"/>
  <c r="Z49" i="1"/>
  <c r="X49" i="1"/>
  <c r="W49" i="1"/>
  <c r="V49" i="1"/>
  <c r="U49" i="1"/>
  <c r="S49" i="1"/>
  <c r="R49" i="1"/>
  <c r="Q49" i="1"/>
  <c r="P49" i="1"/>
  <c r="N49" i="1"/>
  <c r="M49" i="1"/>
  <c r="L49" i="1"/>
  <c r="K49" i="1"/>
  <c r="AW48" i="1"/>
  <c r="AV48" i="1"/>
  <c r="AU48" i="1"/>
  <c r="AT48" i="1"/>
  <c r="AR48" i="1"/>
  <c r="AQ48" i="1"/>
  <c r="AP48" i="1"/>
  <c r="AO48" i="1"/>
  <c r="AM48" i="1"/>
  <c r="AL48" i="1"/>
  <c r="AK48" i="1"/>
  <c r="AJ48" i="1"/>
  <c r="AH48" i="1"/>
  <c r="AG48" i="1"/>
  <c r="AF48" i="1"/>
  <c r="AE48" i="1"/>
  <c r="AC48" i="1"/>
  <c r="AB48" i="1"/>
  <c r="AA48" i="1"/>
  <c r="Z48" i="1"/>
  <c r="X48" i="1"/>
  <c r="W48" i="1"/>
  <c r="V48" i="1"/>
  <c r="U48" i="1"/>
  <c r="S48" i="1"/>
  <c r="R48" i="1"/>
  <c r="Q48" i="1"/>
  <c r="P48" i="1"/>
  <c r="N48" i="1"/>
  <c r="M48" i="1"/>
  <c r="L48" i="1"/>
  <c r="K48" i="1"/>
  <c r="AW47" i="1"/>
  <c r="AV47" i="1"/>
  <c r="AU47" i="1"/>
  <c r="AT47" i="1"/>
  <c r="AR47" i="1"/>
  <c r="AQ47" i="1"/>
  <c r="AP47" i="1"/>
  <c r="AO47" i="1"/>
  <c r="AM47" i="1"/>
  <c r="AL47" i="1"/>
  <c r="AK47" i="1"/>
  <c r="AJ47" i="1"/>
  <c r="AH47" i="1"/>
  <c r="AG47" i="1"/>
  <c r="AF47" i="1"/>
  <c r="AE47" i="1"/>
  <c r="AC47" i="1"/>
  <c r="AB47" i="1"/>
  <c r="AA47" i="1"/>
  <c r="Z47" i="1"/>
  <c r="X47" i="1"/>
  <c r="W47" i="1"/>
  <c r="V47" i="1"/>
  <c r="U47" i="1"/>
  <c r="S47" i="1"/>
  <c r="R47" i="1"/>
  <c r="Q47" i="1"/>
  <c r="P47" i="1"/>
  <c r="N47" i="1"/>
  <c r="M47" i="1"/>
  <c r="L47" i="1"/>
  <c r="K47" i="1"/>
  <c r="AW46" i="1"/>
  <c r="AV46" i="1"/>
  <c r="AU46" i="1"/>
  <c r="AT46" i="1"/>
  <c r="AR46" i="1"/>
  <c r="AQ46" i="1"/>
  <c r="AP46" i="1"/>
  <c r="AO46" i="1"/>
  <c r="AM46" i="1"/>
  <c r="AL46" i="1"/>
  <c r="AK46" i="1"/>
  <c r="AJ46" i="1"/>
  <c r="AH46" i="1"/>
  <c r="AG46" i="1"/>
  <c r="AF46" i="1"/>
  <c r="AE46" i="1"/>
  <c r="AC46" i="1"/>
  <c r="AB46" i="1"/>
  <c r="AA46" i="1"/>
  <c r="Z46" i="1"/>
  <c r="X46" i="1"/>
  <c r="W46" i="1"/>
  <c r="V46" i="1"/>
  <c r="U46" i="1"/>
  <c r="S46" i="1"/>
  <c r="R46" i="1"/>
  <c r="Q46" i="1"/>
  <c r="P46" i="1"/>
  <c r="N46" i="1"/>
  <c r="M46" i="1"/>
  <c r="L46" i="1"/>
  <c r="K46" i="1"/>
  <c r="AW45" i="1"/>
  <c r="AV45" i="1"/>
  <c r="AU45" i="1"/>
  <c r="AT45" i="1"/>
  <c r="AR45" i="1"/>
  <c r="AQ45" i="1"/>
  <c r="AP45" i="1"/>
  <c r="AO45" i="1"/>
  <c r="AM45" i="1"/>
  <c r="AL45" i="1"/>
  <c r="AK45" i="1"/>
  <c r="AJ45" i="1"/>
  <c r="AH45" i="1"/>
  <c r="AG45" i="1"/>
  <c r="AF45" i="1"/>
  <c r="AE45" i="1"/>
  <c r="AC45" i="1"/>
  <c r="AB45" i="1"/>
  <c r="AA45" i="1"/>
  <c r="Z45" i="1"/>
  <c r="X45" i="1"/>
  <c r="W45" i="1"/>
  <c r="V45" i="1"/>
  <c r="U45" i="1"/>
  <c r="S45" i="1"/>
  <c r="R45" i="1"/>
  <c r="Q45" i="1"/>
  <c r="P45" i="1"/>
  <c r="N45" i="1"/>
  <c r="M45" i="1"/>
  <c r="L45" i="1"/>
  <c r="K45" i="1"/>
  <c r="AW44" i="1"/>
  <c r="AV44" i="1"/>
  <c r="AU44" i="1"/>
  <c r="AT44" i="1"/>
  <c r="AR44" i="1"/>
  <c r="AQ44" i="1"/>
  <c r="AP44" i="1"/>
  <c r="AO44" i="1"/>
  <c r="AM44" i="1"/>
  <c r="AL44" i="1"/>
  <c r="AK44" i="1"/>
  <c r="AJ44" i="1"/>
  <c r="AH44" i="1"/>
  <c r="AG44" i="1"/>
  <c r="AF44" i="1"/>
  <c r="AE44" i="1"/>
  <c r="AC44" i="1"/>
  <c r="AB44" i="1"/>
  <c r="AA44" i="1"/>
  <c r="Z44" i="1"/>
  <c r="X44" i="1"/>
  <c r="W44" i="1"/>
  <c r="V44" i="1"/>
  <c r="U44" i="1"/>
  <c r="S44" i="1"/>
  <c r="R44" i="1"/>
  <c r="Q44" i="1"/>
  <c r="P44" i="1"/>
  <c r="N44" i="1"/>
  <c r="M44" i="1"/>
  <c r="L44" i="1"/>
  <c r="K44" i="1"/>
  <c r="AW43" i="1"/>
  <c r="AV43" i="1"/>
  <c r="AU43" i="1"/>
  <c r="AT43" i="1"/>
  <c r="AR43" i="1"/>
  <c r="AQ43" i="1"/>
  <c r="AP43" i="1"/>
  <c r="AO43" i="1"/>
  <c r="AM43" i="1"/>
  <c r="AL43" i="1"/>
  <c r="AK43" i="1"/>
  <c r="AJ43" i="1"/>
  <c r="AH43" i="1"/>
  <c r="AG43" i="1"/>
  <c r="AF43" i="1"/>
  <c r="AE43" i="1"/>
  <c r="AC43" i="1"/>
  <c r="AB43" i="1"/>
  <c r="AA43" i="1"/>
  <c r="Z43" i="1"/>
  <c r="X43" i="1"/>
  <c r="W43" i="1"/>
  <c r="V43" i="1"/>
  <c r="U43" i="1"/>
  <c r="S43" i="1"/>
  <c r="R43" i="1"/>
  <c r="Q43" i="1"/>
  <c r="P43" i="1"/>
  <c r="N43" i="1"/>
  <c r="M43" i="1"/>
  <c r="L43" i="1"/>
  <c r="K43" i="1"/>
  <c r="AW42" i="1"/>
  <c r="AV42" i="1"/>
  <c r="AU42" i="1"/>
  <c r="AT42" i="1"/>
  <c r="AR42" i="1"/>
  <c r="AQ42" i="1"/>
  <c r="AP42" i="1"/>
  <c r="AO42" i="1"/>
  <c r="AM42" i="1"/>
  <c r="AL42" i="1"/>
  <c r="AK42" i="1"/>
  <c r="AJ42" i="1"/>
  <c r="AH42" i="1"/>
  <c r="AG42" i="1"/>
  <c r="AF42" i="1"/>
  <c r="AE42" i="1"/>
  <c r="AC42" i="1"/>
  <c r="AB42" i="1"/>
  <c r="AA42" i="1"/>
  <c r="Z42" i="1"/>
  <c r="X42" i="1"/>
  <c r="W42" i="1"/>
  <c r="V42" i="1"/>
  <c r="U42" i="1"/>
  <c r="S42" i="1"/>
  <c r="R42" i="1"/>
  <c r="Q42" i="1"/>
  <c r="P42" i="1"/>
  <c r="N42" i="1"/>
  <c r="M42" i="1"/>
  <c r="L42" i="1"/>
  <c r="K42" i="1"/>
  <c r="AW41" i="1"/>
  <c r="AV41" i="1"/>
  <c r="AU41" i="1"/>
  <c r="AT41" i="1"/>
  <c r="AR41" i="1"/>
  <c r="AQ41" i="1"/>
  <c r="AP41" i="1"/>
  <c r="AO41" i="1"/>
  <c r="AM41" i="1"/>
  <c r="AL41" i="1"/>
  <c r="AK41" i="1"/>
  <c r="AJ41" i="1"/>
  <c r="AH41" i="1"/>
  <c r="AG41" i="1"/>
  <c r="AF41" i="1"/>
  <c r="AE41" i="1"/>
  <c r="AC41" i="1"/>
  <c r="AB41" i="1"/>
  <c r="AA41" i="1"/>
  <c r="Z41" i="1"/>
  <c r="X41" i="1"/>
  <c r="W41" i="1"/>
  <c r="V41" i="1"/>
  <c r="U41" i="1"/>
  <c r="S41" i="1"/>
  <c r="R41" i="1"/>
  <c r="Q41" i="1"/>
  <c r="P41" i="1"/>
  <c r="N41" i="1"/>
  <c r="M41" i="1"/>
  <c r="L41" i="1"/>
  <c r="K41" i="1"/>
  <c r="AW40" i="1"/>
  <c r="AV40" i="1"/>
  <c r="AU40" i="1"/>
  <c r="AT40" i="1"/>
  <c r="AR40" i="1"/>
  <c r="AQ40" i="1"/>
  <c r="AP40" i="1"/>
  <c r="AO40" i="1"/>
  <c r="AM40" i="1"/>
  <c r="AL40" i="1"/>
  <c r="AK40" i="1"/>
  <c r="AJ40" i="1"/>
  <c r="AH40" i="1"/>
  <c r="AG40" i="1"/>
  <c r="AF40" i="1"/>
  <c r="AE40" i="1"/>
  <c r="AC40" i="1"/>
  <c r="AB40" i="1"/>
  <c r="AA40" i="1"/>
  <c r="Z40" i="1"/>
  <c r="X40" i="1"/>
  <c r="W40" i="1"/>
  <c r="V40" i="1"/>
  <c r="U40" i="1"/>
  <c r="S40" i="1"/>
  <c r="R40" i="1"/>
  <c r="Q40" i="1"/>
  <c r="P40" i="1"/>
  <c r="N40" i="1"/>
  <c r="M40" i="1"/>
  <c r="L40" i="1"/>
  <c r="K40" i="1"/>
  <c r="AW39" i="1"/>
  <c r="AV39" i="1"/>
  <c r="AU39" i="1"/>
  <c r="AT39" i="1"/>
  <c r="AR39" i="1"/>
  <c r="AQ39" i="1"/>
  <c r="AP39" i="1"/>
  <c r="AO39" i="1"/>
  <c r="AM39" i="1"/>
  <c r="AL39" i="1"/>
  <c r="AK39" i="1"/>
  <c r="AJ39" i="1"/>
  <c r="AH39" i="1"/>
  <c r="AG39" i="1"/>
  <c r="AF39" i="1"/>
  <c r="AE39" i="1"/>
  <c r="AC39" i="1"/>
  <c r="AB39" i="1"/>
  <c r="AA39" i="1"/>
  <c r="Z39" i="1"/>
  <c r="X39" i="1"/>
  <c r="W39" i="1"/>
  <c r="V39" i="1"/>
  <c r="U39" i="1"/>
  <c r="S39" i="1"/>
  <c r="R39" i="1"/>
  <c r="Q39" i="1"/>
  <c r="P39" i="1"/>
  <c r="N39" i="1"/>
  <c r="M39" i="1"/>
  <c r="L39" i="1"/>
  <c r="K39" i="1"/>
  <c r="AW38" i="1"/>
  <c r="AV38" i="1"/>
  <c r="AU38" i="1"/>
  <c r="AT38" i="1"/>
  <c r="AR38" i="1"/>
  <c r="AQ38" i="1"/>
  <c r="AP38" i="1"/>
  <c r="AO38" i="1"/>
  <c r="AM38" i="1"/>
  <c r="AL38" i="1"/>
  <c r="AK38" i="1"/>
  <c r="AJ38" i="1"/>
  <c r="AH38" i="1"/>
  <c r="AG38" i="1"/>
  <c r="AF38" i="1"/>
  <c r="AE38" i="1"/>
  <c r="AC38" i="1"/>
  <c r="AB38" i="1"/>
  <c r="AA38" i="1"/>
  <c r="Z38" i="1"/>
  <c r="X38" i="1"/>
  <c r="W38" i="1"/>
  <c r="V38" i="1"/>
  <c r="U38" i="1"/>
  <c r="S38" i="1"/>
  <c r="R38" i="1"/>
  <c r="Q38" i="1"/>
  <c r="P38" i="1"/>
  <c r="N38" i="1"/>
  <c r="M38" i="1"/>
  <c r="L38" i="1"/>
  <c r="K38" i="1"/>
  <c r="AW37" i="1"/>
  <c r="AV37" i="1"/>
  <c r="AU37" i="1"/>
  <c r="AT37" i="1"/>
  <c r="AR37" i="1"/>
  <c r="AQ37" i="1"/>
  <c r="AP37" i="1"/>
  <c r="AO37" i="1"/>
  <c r="AM37" i="1"/>
  <c r="AL37" i="1"/>
  <c r="AK37" i="1"/>
  <c r="AJ37" i="1"/>
  <c r="AH37" i="1"/>
  <c r="AG37" i="1"/>
  <c r="AF37" i="1"/>
  <c r="AE37" i="1"/>
  <c r="AC37" i="1"/>
  <c r="AB37" i="1"/>
  <c r="AA37" i="1"/>
  <c r="Z37" i="1"/>
  <c r="X37" i="1"/>
  <c r="W37" i="1"/>
  <c r="V37" i="1"/>
  <c r="U37" i="1"/>
  <c r="S37" i="1"/>
  <c r="R37" i="1"/>
  <c r="Q37" i="1"/>
  <c r="P37" i="1"/>
  <c r="N37" i="1"/>
  <c r="M37" i="1"/>
  <c r="L37" i="1"/>
  <c r="K37" i="1"/>
  <c r="AW36" i="1"/>
  <c r="AV36" i="1"/>
  <c r="AU36" i="1"/>
  <c r="AT36" i="1"/>
  <c r="AR36" i="1"/>
  <c r="AQ36" i="1"/>
  <c r="AP36" i="1"/>
  <c r="AO36" i="1"/>
  <c r="AM36" i="1"/>
  <c r="AL36" i="1"/>
  <c r="AK36" i="1"/>
  <c r="AJ36" i="1"/>
  <c r="AH36" i="1"/>
  <c r="AG36" i="1"/>
  <c r="AF36" i="1"/>
  <c r="AE36" i="1"/>
  <c r="AC36" i="1"/>
  <c r="AB36" i="1"/>
  <c r="AA36" i="1"/>
  <c r="Z36" i="1"/>
  <c r="X36" i="1"/>
  <c r="W36" i="1"/>
  <c r="V36" i="1"/>
  <c r="U36" i="1"/>
  <c r="S36" i="1"/>
  <c r="R36" i="1"/>
  <c r="Q36" i="1"/>
  <c r="P36" i="1"/>
  <c r="N36" i="1"/>
  <c r="M36" i="1"/>
  <c r="L36" i="1"/>
  <c r="K36" i="1"/>
  <c r="AW35" i="1"/>
  <c r="AV35" i="1"/>
  <c r="AU35" i="1"/>
  <c r="AT35" i="1"/>
  <c r="AR35" i="1"/>
  <c r="AQ35" i="1"/>
  <c r="AP35" i="1"/>
  <c r="AO35" i="1"/>
  <c r="AM35" i="1"/>
  <c r="AL35" i="1"/>
  <c r="AK35" i="1"/>
  <c r="AJ35" i="1"/>
  <c r="AH35" i="1"/>
  <c r="AG35" i="1"/>
  <c r="AF35" i="1"/>
  <c r="AE35" i="1"/>
  <c r="AC35" i="1"/>
  <c r="AB35" i="1"/>
  <c r="AA35" i="1"/>
  <c r="Z35" i="1"/>
  <c r="X35" i="1"/>
  <c r="W35" i="1"/>
  <c r="V35" i="1"/>
  <c r="U35" i="1"/>
  <c r="S35" i="1"/>
  <c r="R35" i="1"/>
  <c r="Q35" i="1"/>
  <c r="P35" i="1"/>
  <c r="N35" i="1"/>
  <c r="M35" i="1"/>
  <c r="L35" i="1"/>
  <c r="K35" i="1"/>
  <c r="AW34" i="1"/>
  <c r="AV34" i="1"/>
  <c r="AU34" i="1"/>
  <c r="AT34" i="1"/>
  <c r="AR34" i="1"/>
  <c r="AQ34" i="1"/>
  <c r="AP34" i="1"/>
  <c r="AO34" i="1"/>
  <c r="AM34" i="1"/>
  <c r="AL34" i="1"/>
  <c r="AK34" i="1"/>
  <c r="AJ34" i="1"/>
  <c r="AH34" i="1"/>
  <c r="AG34" i="1"/>
  <c r="AF34" i="1"/>
  <c r="AE34" i="1"/>
  <c r="AC34" i="1"/>
  <c r="AB34" i="1"/>
  <c r="AA34" i="1"/>
  <c r="Z34" i="1"/>
  <c r="X34" i="1"/>
  <c r="W34" i="1"/>
  <c r="V34" i="1"/>
  <c r="U34" i="1"/>
  <c r="S34" i="1"/>
  <c r="R34" i="1"/>
  <c r="Q34" i="1"/>
  <c r="P34" i="1"/>
  <c r="N34" i="1"/>
  <c r="M34" i="1"/>
  <c r="L34" i="1"/>
  <c r="K34" i="1"/>
  <c r="AW33" i="1"/>
  <c r="AV33" i="1"/>
  <c r="AU33" i="1"/>
  <c r="AT33" i="1"/>
  <c r="AR33" i="1"/>
  <c r="AQ33" i="1"/>
  <c r="AP33" i="1"/>
  <c r="AO33" i="1"/>
  <c r="AM33" i="1"/>
  <c r="AL33" i="1"/>
  <c r="AK33" i="1"/>
  <c r="AJ33" i="1"/>
  <c r="AH33" i="1"/>
  <c r="AG33" i="1"/>
  <c r="AF33" i="1"/>
  <c r="AE33" i="1"/>
  <c r="AC33" i="1"/>
  <c r="AB33" i="1"/>
  <c r="AA33" i="1"/>
  <c r="Z33" i="1"/>
  <c r="X33" i="1"/>
  <c r="W33" i="1"/>
  <c r="V33" i="1"/>
  <c r="U33" i="1"/>
  <c r="S33" i="1"/>
  <c r="R33" i="1"/>
  <c r="Q33" i="1"/>
  <c r="P33" i="1"/>
  <c r="N33" i="1"/>
  <c r="M33" i="1"/>
  <c r="L33" i="1"/>
  <c r="K33" i="1"/>
  <c r="AW32" i="1"/>
  <c r="AV32" i="1"/>
  <c r="AU32" i="1"/>
  <c r="AT32" i="1"/>
  <c r="AR32" i="1"/>
  <c r="AQ32" i="1"/>
  <c r="AP32" i="1"/>
  <c r="AO32" i="1"/>
  <c r="AM32" i="1"/>
  <c r="AL32" i="1"/>
  <c r="AK32" i="1"/>
  <c r="AJ32" i="1"/>
  <c r="AH32" i="1"/>
  <c r="AG32" i="1"/>
  <c r="AF32" i="1"/>
  <c r="AE32" i="1"/>
  <c r="AC32" i="1"/>
  <c r="AB32" i="1"/>
  <c r="AA32" i="1"/>
  <c r="Z32" i="1"/>
  <c r="X32" i="1"/>
  <c r="W32" i="1"/>
  <c r="V32" i="1"/>
  <c r="U32" i="1"/>
  <c r="S32" i="1"/>
  <c r="R32" i="1"/>
  <c r="Q32" i="1"/>
  <c r="P32" i="1"/>
  <c r="N32" i="1"/>
  <c r="M32" i="1"/>
  <c r="L32" i="1"/>
  <c r="K32" i="1"/>
  <c r="AW31" i="1"/>
  <c r="AV31" i="1"/>
  <c r="AU31" i="1"/>
  <c r="AT31" i="1"/>
  <c r="AR31" i="1"/>
  <c r="AQ31" i="1"/>
  <c r="AP31" i="1"/>
  <c r="AO31" i="1"/>
  <c r="AM31" i="1"/>
  <c r="AL31" i="1"/>
  <c r="AK31" i="1"/>
  <c r="AJ31" i="1"/>
  <c r="AH31" i="1"/>
  <c r="AG31" i="1"/>
  <c r="AF31" i="1"/>
  <c r="AE31" i="1"/>
  <c r="AC31" i="1"/>
  <c r="AB31" i="1"/>
  <c r="AA31" i="1"/>
  <c r="Z31" i="1"/>
  <c r="X31" i="1"/>
  <c r="W31" i="1"/>
  <c r="V31" i="1"/>
  <c r="U31" i="1"/>
  <c r="S31" i="1"/>
  <c r="R31" i="1"/>
  <c r="Q31" i="1"/>
  <c r="P31" i="1"/>
  <c r="N31" i="1"/>
  <c r="M31" i="1"/>
  <c r="L31" i="1"/>
  <c r="K31" i="1"/>
  <c r="AW30" i="1"/>
  <c r="AV30" i="1"/>
  <c r="AU30" i="1"/>
  <c r="AT30" i="1"/>
  <c r="AR30" i="1"/>
  <c r="AQ30" i="1"/>
  <c r="AP30" i="1"/>
  <c r="AO30" i="1"/>
  <c r="AM30" i="1"/>
  <c r="AL30" i="1"/>
  <c r="AK30" i="1"/>
  <c r="AJ30" i="1"/>
  <c r="AH30" i="1"/>
  <c r="AG30" i="1"/>
  <c r="AF30" i="1"/>
  <c r="AE30" i="1"/>
  <c r="AC30" i="1"/>
  <c r="AB30" i="1"/>
  <c r="AA30" i="1"/>
  <c r="Z30" i="1"/>
  <c r="X30" i="1"/>
  <c r="W30" i="1"/>
  <c r="V30" i="1"/>
  <c r="U30" i="1"/>
  <c r="S30" i="1"/>
  <c r="R30" i="1"/>
  <c r="Q30" i="1"/>
  <c r="P30" i="1"/>
  <c r="N30" i="1"/>
  <c r="M30" i="1"/>
  <c r="L30" i="1"/>
  <c r="K30" i="1"/>
  <c r="AW29" i="1"/>
  <c r="AV29" i="1"/>
  <c r="AU29" i="1"/>
  <c r="AT29" i="1"/>
  <c r="AR29" i="1"/>
  <c r="AQ29" i="1"/>
  <c r="AP29" i="1"/>
  <c r="AO29" i="1"/>
  <c r="AM29" i="1"/>
  <c r="AL29" i="1"/>
  <c r="AK29" i="1"/>
  <c r="AJ29" i="1"/>
  <c r="AH29" i="1"/>
  <c r="AG29" i="1"/>
  <c r="AF29" i="1"/>
  <c r="AE29" i="1"/>
  <c r="AC29" i="1"/>
  <c r="AB29" i="1"/>
  <c r="AA29" i="1"/>
  <c r="Z29" i="1"/>
  <c r="X29" i="1"/>
  <c r="W29" i="1"/>
  <c r="V29" i="1"/>
  <c r="U29" i="1"/>
  <c r="S29" i="1"/>
  <c r="R29" i="1"/>
  <c r="Q29" i="1"/>
  <c r="P29" i="1"/>
  <c r="N29" i="1"/>
  <c r="M29" i="1"/>
  <c r="L29" i="1"/>
  <c r="K29" i="1"/>
  <c r="AW28" i="1"/>
  <c r="AV28" i="1"/>
  <c r="AU28" i="1"/>
  <c r="AT28" i="1"/>
  <c r="AR28" i="1"/>
  <c r="AQ28" i="1"/>
  <c r="AP28" i="1"/>
  <c r="AO28" i="1"/>
  <c r="AM28" i="1"/>
  <c r="AL28" i="1"/>
  <c r="AK28" i="1"/>
  <c r="AJ28" i="1"/>
  <c r="AH28" i="1"/>
  <c r="AG28" i="1"/>
  <c r="AF28" i="1"/>
  <c r="AE28" i="1"/>
  <c r="AC28" i="1"/>
  <c r="AB28" i="1"/>
  <c r="AA28" i="1"/>
  <c r="Z28" i="1"/>
  <c r="X28" i="1"/>
  <c r="W28" i="1"/>
  <c r="V28" i="1"/>
  <c r="U28" i="1"/>
  <c r="S28" i="1"/>
  <c r="R28" i="1"/>
  <c r="Q28" i="1"/>
  <c r="P28" i="1"/>
  <c r="N28" i="1"/>
  <c r="M28" i="1"/>
  <c r="L28" i="1"/>
  <c r="K28" i="1"/>
  <c r="AW27" i="1"/>
  <c r="AV27" i="1"/>
  <c r="AU27" i="1"/>
  <c r="AT27" i="1"/>
  <c r="AR27" i="1"/>
  <c r="AQ27" i="1"/>
  <c r="AP27" i="1"/>
  <c r="AO27" i="1"/>
  <c r="AM27" i="1"/>
  <c r="AL27" i="1"/>
  <c r="AK27" i="1"/>
  <c r="AJ27" i="1"/>
  <c r="AH27" i="1"/>
  <c r="AG27" i="1"/>
  <c r="AF27" i="1"/>
  <c r="AE27" i="1"/>
  <c r="AC27" i="1"/>
  <c r="AB27" i="1"/>
  <c r="AA27" i="1"/>
  <c r="Z27" i="1"/>
  <c r="X27" i="1"/>
  <c r="W27" i="1"/>
  <c r="V27" i="1"/>
  <c r="U27" i="1"/>
  <c r="S27" i="1"/>
  <c r="R27" i="1"/>
  <c r="Q27" i="1"/>
  <c r="P27" i="1"/>
  <c r="N27" i="1"/>
  <c r="M27" i="1"/>
  <c r="L27" i="1"/>
  <c r="K27" i="1"/>
  <c r="AW26" i="1"/>
  <c r="AV26" i="1"/>
  <c r="AU26" i="1"/>
  <c r="AT26" i="1"/>
  <c r="AR26" i="1"/>
  <c r="AQ26" i="1"/>
  <c r="AP26" i="1"/>
  <c r="AO26" i="1"/>
  <c r="AM26" i="1"/>
  <c r="AL26" i="1"/>
  <c r="AK26" i="1"/>
  <c r="AJ26" i="1"/>
  <c r="AH26" i="1"/>
  <c r="AG26" i="1"/>
  <c r="AF26" i="1"/>
  <c r="AE26" i="1"/>
  <c r="AC26" i="1"/>
  <c r="AB26" i="1"/>
  <c r="AA26" i="1"/>
  <c r="Z26" i="1"/>
  <c r="X26" i="1"/>
  <c r="W26" i="1"/>
  <c r="V26" i="1"/>
  <c r="U26" i="1"/>
  <c r="S26" i="1"/>
  <c r="R26" i="1"/>
  <c r="Q26" i="1"/>
  <c r="P26" i="1"/>
  <c r="N26" i="1"/>
  <c r="M26" i="1"/>
  <c r="L26" i="1"/>
  <c r="K26" i="1"/>
  <c r="AW25" i="1"/>
  <c r="AV25" i="1"/>
  <c r="AU25" i="1"/>
  <c r="AT25" i="1"/>
  <c r="AR25" i="1"/>
  <c r="AQ25" i="1"/>
  <c r="AP25" i="1"/>
  <c r="AO25" i="1"/>
  <c r="AM25" i="1"/>
  <c r="AL25" i="1"/>
  <c r="AK25" i="1"/>
  <c r="AJ25" i="1"/>
  <c r="AH25" i="1"/>
  <c r="AG25" i="1"/>
  <c r="AF25" i="1"/>
  <c r="AE25" i="1"/>
  <c r="AC25" i="1"/>
  <c r="AB25" i="1"/>
  <c r="AA25" i="1"/>
  <c r="Z25" i="1"/>
  <c r="X25" i="1"/>
  <c r="W25" i="1"/>
  <c r="V25" i="1"/>
  <c r="U25" i="1"/>
  <c r="S25" i="1"/>
  <c r="R25" i="1"/>
  <c r="Q25" i="1"/>
  <c r="P25" i="1"/>
  <c r="N25" i="1"/>
  <c r="M25" i="1"/>
  <c r="L25" i="1"/>
  <c r="K25" i="1"/>
  <c r="AW24" i="1"/>
  <c r="AV24" i="1"/>
  <c r="AU24" i="1"/>
  <c r="AT24" i="1"/>
  <c r="AR24" i="1"/>
  <c r="AQ24" i="1"/>
  <c r="AP24" i="1"/>
  <c r="AO24" i="1"/>
  <c r="AM24" i="1"/>
  <c r="AL24" i="1"/>
  <c r="AK24" i="1"/>
  <c r="AJ24" i="1"/>
  <c r="AH24" i="1"/>
  <c r="AG24" i="1"/>
  <c r="AF24" i="1"/>
  <c r="AE24" i="1"/>
  <c r="AC24" i="1"/>
  <c r="AB24" i="1"/>
  <c r="AA24" i="1"/>
  <c r="Z24" i="1"/>
  <c r="X24" i="1"/>
  <c r="W24" i="1"/>
  <c r="V24" i="1"/>
  <c r="U24" i="1"/>
  <c r="S24" i="1"/>
  <c r="R24" i="1"/>
  <c r="Q24" i="1"/>
  <c r="P24" i="1"/>
  <c r="N24" i="1"/>
  <c r="M24" i="1"/>
  <c r="L24" i="1"/>
  <c r="K24" i="1"/>
  <c r="AW23" i="1"/>
  <c r="AV23" i="1"/>
  <c r="AU23" i="1"/>
  <c r="AT23" i="1"/>
  <c r="AR23" i="1"/>
  <c r="AQ23" i="1"/>
  <c r="AP23" i="1"/>
  <c r="AO23" i="1"/>
  <c r="AM23" i="1"/>
  <c r="AL23" i="1"/>
  <c r="AK23" i="1"/>
  <c r="AJ23" i="1"/>
  <c r="AH23" i="1"/>
  <c r="AG23" i="1"/>
  <c r="AF23" i="1"/>
  <c r="AE23" i="1"/>
  <c r="AC23" i="1"/>
  <c r="AB23" i="1"/>
  <c r="AA23" i="1"/>
  <c r="Z23" i="1"/>
  <c r="X23" i="1"/>
  <c r="W23" i="1"/>
  <c r="V23" i="1"/>
  <c r="U23" i="1"/>
  <c r="S23" i="1"/>
  <c r="R23" i="1"/>
  <c r="Q23" i="1"/>
  <c r="P23" i="1"/>
  <c r="N23" i="1"/>
  <c r="M23" i="1"/>
  <c r="L23" i="1"/>
  <c r="K23" i="1"/>
  <c r="AW22" i="1"/>
  <c r="AV22" i="1"/>
  <c r="AU22" i="1"/>
  <c r="AT22" i="1"/>
  <c r="AR22" i="1"/>
  <c r="AQ22" i="1"/>
  <c r="AP22" i="1"/>
  <c r="AO22" i="1"/>
  <c r="AM22" i="1"/>
  <c r="AL22" i="1"/>
  <c r="AK22" i="1"/>
  <c r="AJ22" i="1"/>
  <c r="AH22" i="1"/>
  <c r="AG22" i="1"/>
  <c r="AF22" i="1"/>
  <c r="AE22" i="1"/>
  <c r="AC22" i="1"/>
  <c r="AB22" i="1"/>
  <c r="AA22" i="1"/>
  <c r="Z22" i="1"/>
  <c r="X22" i="1"/>
  <c r="W22" i="1"/>
  <c r="V22" i="1"/>
  <c r="U22" i="1"/>
  <c r="S22" i="1"/>
  <c r="R22" i="1"/>
  <c r="Q22" i="1"/>
  <c r="P22" i="1"/>
  <c r="N22" i="1"/>
  <c r="M22" i="1"/>
  <c r="L22" i="1"/>
  <c r="K22" i="1"/>
  <c r="AW21" i="1"/>
  <c r="AV21" i="1"/>
  <c r="AU21" i="1"/>
  <c r="AT21" i="1"/>
  <c r="AR21" i="1"/>
  <c r="AQ21" i="1"/>
  <c r="AP21" i="1"/>
  <c r="AO21" i="1"/>
  <c r="AM21" i="1"/>
  <c r="AL21" i="1"/>
  <c r="AK21" i="1"/>
  <c r="AJ21" i="1"/>
  <c r="AH21" i="1"/>
  <c r="AG21" i="1"/>
  <c r="AF21" i="1"/>
  <c r="AE21" i="1"/>
  <c r="AC21" i="1"/>
  <c r="AB21" i="1"/>
  <c r="AA21" i="1"/>
  <c r="Z21" i="1"/>
  <c r="X21" i="1"/>
  <c r="W21" i="1"/>
  <c r="V21" i="1"/>
  <c r="U21" i="1"/>
  <c r="S21" i="1"/>
  <c r="R21" i="1"/>
  <c r="Q21" i="1"/>
  <c r="P21" i="1"/>
  <c r="N21" i="1"/>
  <c r="M21" i="1"/>
  <c r="L21" i="1"/>
  <c r="K21" i="1"/>
  <c r="AW20" i="1"/>
  <c r="AV20" i="1"/>
  <c r="AU20" i="1"/>
  <c r="AT20" i="1"/>
  <c r="AR20" i="1"/>
  <c r="AQ20" i="1"/>
  <c r="AP20" i="1"/>
  <c r="AO20" i="1"/>
  <c r="AM20" i="1"/>
  <c r="AL20" i="1"/>
  <c r="AK20" i="1"/>
  <c r="AJ20" i="1"/>
  <c r="AH20" i="1"/>
  <c r="AG20" i="1"/>
  <c r="AF20" i="1"/>
  <c r="AE20" i="1"/>
  <c r="AC20" i="1"/>
  <c r="AB20" i="1"/>
  <c r="AA20" i="1"/>
  <c r="Z20" i="1"/>
  <c r="X20" i="1"/>
  <c r="W20" i="1"/>
  <c r="V20" i="1"/>
  <c r="U20" i="1"/>
  <c r="S20" i="1"/>
  <c r="R20" i="1"/>
  <c r="Q20" i="1"/>
  <c r="P20" i="1"/>
  <c r="N20" i="1"/>
  <c r="M20" i="1"/>
  <c r="L20" i="1"/>
  <c r="K20" i="1"/>
  <c r="AW19" i="1"/>
  <c r="AV19" i="1"/>
  <c r="AU19" i="1"/>
  <c r="AT19" i="1"/>
  <c r="AR19" i="1"/>
  <c r="AQ19" i="1"/>
  <c r="AP19" i="1"/>
  <c r="AO19" i="1"/>
  <c r="AM19" i="1"/>
  <c r="AL19" i="1"/>
  <c r="AK19" i="1"/>
  <c r="AJ19" i="1"/>
  <c r="AH19" i="1"/>
  <c r="AG19" i="1"/>
  <c r="AF19" i="1"/>
  <c r="AE19" i="1"/>
  <c r="AC19" i="1"/>
  <c r="AB19" i="1"/>
  <c r="AA19" i="1"/>
  <c r="Z19" i="1"/>
  <c r="X19" i="1"/>
  <c r="W19" i="1"/>
  <c r="V19" i="1"/>
  <c r="U19" i="1"/>
  <c r="S19" i="1"/>
  <c r="R19" i="1"/>
  <c r="Q19" i="1"/>
  <c r="P19" i="1"/>
  <c r="N19" i="1"/>
  <c r="M19" i="1"/>
  <c r="L19" i="1"/>
  <c r="K19" i="1"/>
  <c r="AW18" i="1"/>
  <c r="AV18" i="1"/>
  <c r="AU18" i="1"/>
  <c r="AT18" i="1"/>
  <c r="AR18" i="1"/>
  <c r="AQ18" i="1"/>
  <c r="AP18" i="1"/>
  <c r="AO18" i="1"/>
  <c r="AM18" i="1"/>
  <c r="AL18" i="1"/>
  <c r="AK18" i="1"/>
  <c r="AJ18" i="1"/>
  <c r="AH18" i="1"/>
  <c r="AG18" i="1"/>
  <c r="AF18" i="1"/>
  <c r="AE18" i="1"/>
  <c r="AC18" i="1"/>
  <c r="AB18" i="1"/>
  <c r="AA18" i="1"/>
  <c r="Z18" i="1"/>
  <c r="X18" i="1"/>
  <c r="W18" i="1"/>
  <c r="V18" i="1"/>
  <c r="U18" i="1"/>
  <c r="S18" i="1"/>
  <c r="R18" i="1"/>
  <c r="Q18" i="1"/>
  <c r="P18" i="1"/>
  <c r="N18" i="1"/>
  <c r="M18" i="1"/>
  <c r="L18" i="1"/>
  <c r="K18" i="1"/>
  <c r="AW17" i="1"/>
  <c r="AV17" i="1"/>
  <c r="AU17" i="1"/>
  <c r="AT17" i="1"/>
  <c r="AR17" i="1"/>
  <c r="AQ17" i="1"/>
  <c r="AP17" i="1"/>
  <c r="AO17" i="1"/>
  <c r="AM17" i="1"/>
  <c r="AL17" i="1"/>
  <c r="AK17" i="1"/>
  <c r="AJ17" i="1"/>
  <c r="AH17" i="1"/>
  <c r="AG17" i="1"/>
  <c r="AF17" i="1"/>
  <c r="AE17" i="1"/>
  <c r="AC17" i="1"/>
  <c r="AB17" i="1"/>
  <c r="AA17" i="1"/>
  <c r="Z17" i="1"/>
  <c r="X17" i="1"/>
  <c r="W17" i="1"/>
  <c r="V17" i="1"/>
  <c r="U17" i="1"/>
  <c r="S17" i="1"/>
  <c r="R17" i="1"/>
  <c r="Q17" i="1"/>
  <c r="P17" i="1"/>
  <c r="N17" i="1"/>
  <c r="M17" i="1"/>
  <c r="L17" i="1"/>
  <c r="K17" i="1"/>
  <c r="AW16" i="1"/>
  <c r="AV16" i="1"/>
  <c r="AU16" i="1"/>
  <c r="AT16" i="1"/>
  <c r="AR16" i="1"/>
  <c r="AQ16" i="1"/>
  <c r="AP16" i="1"/>
  <c r="AO16" i="1"/>
  <c r="AM16" i="1"/>
  <c r="AL16" i="1"/>
  <c r="AK16" i="1"/>
  <c r="AJ16" i="1"/>
  <c r="AH16" i="1"/>
  <c r="AG16" i="1"/>
  <c r="AF16" i="1"/>
  <c r="AE16" i="1"/>
  <c r="AC16" i="1"/>
  <c r="AB16" i="1"/>
  <c r="AA16" i="1"/>
  <c r="Z16" i="1"/>
  <c r="X16" i="1"/>
  <c r="W16" i="1"/>
  <c r="V16" i="1"/>
  <c r="U16" i="1"/>
  <c r="S16" i="1"/>
  <c r="R16" i="1"/>
  <c r="Q16" i="1"/>
  <c r="P16" i="1"/>
  <c r="N16" i="1"/>
  <c r="M16" i="1"/>
  <c r="L16" i="1"/>
  <c r="K16" i="1"/>
  <c r="AW15" i="1"/>
  <c r="AV15" i="1"/>
  <c r="AU15" i="1"/>
  <c r="AT15" i="1"/>
  <c r="AR15" i="1"/>
  <c r="AQ15" i="1"/>
  <c r="AP15" i="1"/>
  <c r="AO15" i="1"/>
  <c r="AM15" i="1"/>
  <c r="AL15" i="1"/>
  <c r="AK15" i="1"/>
  <c r="AJ15" i="1"/>
  <c r="AH15" i="1"/>
  <c r="AG15" i="1"/>
  <c r="AF15" i="1"/>
  <c r="AE15" i="1"/>
  <c r="AC15" i="1"/>
  <c r="AB15" i="1"/>
  <c r="AA15" i="1"/>
  <c r="Z15" i="1"/>
  <c r="X15" i="1"/>
  <c r="W15" i="1"/>
  <c r="V15" i="1"/>
  <c r="U15" i="1"/>
  <c r="S15" i="1"/>
  <c r="R15" i="1"/>
  <c r="Q15" i="1"/>
  <c r="P15" i="1"/>
  <c r="N15" i="1"/>
  <c r="M15" i="1"/>
  <c r="L15" i="1"/>
  <c r="K15" i="1"/>
  <c r="AW14" i="1"/>
  <c r="AV14" i="1"/>
  <c r="AU14" i="1"/>
  <c r="AT14" i="1"/>
  <c r="AR14" i="1"/>
  <c r="AQ14" i="1"/>
  <c r="AP14" i="1"/>
  <c r="AO14" i="1"/>
  <c r="AM14" i="1"/>
  <c r="AL14" i="1"/>
  <c r="AK14" i="1"/>
  <c r="AJ14" i="1"/>
  <c r="AH14" i="1"/>
  <c r="AG14" i="1"/>
  <c r="AF14" i="1"/>
  <c r="AE14" i="1"/>
  <c r="AC14" i="1"/>
  <c r="AB14" i="1"/>
  <c r="AA14" i="1"/>
  <c r="Z14" i="1"/>
  <c r="X14" i="1"/>
  <c r="W14" i="1"/>
  <c r="V14" i="1"/>
  <c r="U14" i="1"/>
  <c r="S14" i="1"/>
  <c r="R14" i="1"/>
  <c r="Q14" i="1"/>
  <c r="P14" i="1"/>
  <c r="N14" i="1"/>
  <c r="M14" i="1"/>
  <c r="L14" i="1"/>
  <c r="K14" i="1"/>
  <c r="AW13" i="1"/>
  <c r="AV13" i="1"/>
  <c r="AU13" i="1"/>
  <c r="AT13" i="1"/>
  <c r="AR13" i="1"/>
  <c r="AQ13" i="1"/>
  <c r="AP13" i="1"/>
  <c r="AO13" i="1"/>
  <c r="AM13" i="1"/>
  <c r="AL13" i="1"/>
  <c r="AK13" i="1"/>
  <c r="AJ13" i="1"/>
  <c r="AH13" i="1"/>
  <c r="AG13" i="1"/>
  <c r="AF13" i="1"/>
  <c r="AE13" i="1"/>
  <c r="AC13" i="1"/>
  <c r="AB13" i="1"/>
  <c r="AA13" i="1"/>
  <c r="Z13" i="1"/>
  <c r="X13" i="1"/>
  <c r="W13" i="1"/>
  <c r="V13" i="1"/>
  <c r="U13" i="1"/>
  <c r="S13" i="1"/>
  <c r="R13" i="1"/>
  <c r="Q13" i="1"/>
  <c r="P13" i="1"/>
  <c r="N13" i="1"/>
  <c r="M13" i="1"/>
  <c r="L13" i="1"/>
  <c r="K13" i="1"/>
  <c r="AW12" i="1"/>
  <c r="AV12" i="1"/>
  <c r="AU12" i="1"/>
  <c r="AT12" i="1"/>
  <c r="AR12" i="1"/>
  <c r="AQ12" i="1"/>
  <c r="AP12" i="1"/>
  <c r="AO12" i="1"/>
  <c r="AM12" i="1"/>
  <c r="AL12" i="1"/>
  <c r="AK12" i="1"/>
  <c r="AJ12" i="1"/>
  <c r="AH12" i="1"/>
  <c r="AG12" i="1"/>
  <c r="AF12" i="1"/>
  <c r="AE12" i="1"/>
  <c r="AC12" i="1"/>
  <c r="AB12" i="1"/>
  <c r="AA12" i="1"/>
  <c r="Z12" i="1"/>
  <c r="X12" i="1"/>
  <c r="W12" i="1"/>
  <c r="V12" i="1"/>
  <c r="U12" i="1"/>
  <c r="S12" i="1"/>
  <c r="R12" i="1"/>
  <c r="Q12" i="1"/>
  <c r="P12" i="1"/>
  <c r="N12" i="1"/>
  <c r="M12" i="1"/>
  <c r="L12" i="1"/>
  <c r="K12" i="1"/>
  <c r="AW11" i="1"/>
  <c r="AV11" i="1"/>
  <c r="AU11" i="1"/>
  <c r="AT11" i="1"/>
  <c r="AR11" i="1"/>
  <c r="AQ11" i="1"/>
  <c r="AP11" i="1"/>
  <c r="AO11" i="1"/>
  <c r="AM11" i="1"/>
  <c r="AL11" i="1"/>
  <c r="AK11" i="1"/>
  <c r="AJ11" i="1"/>
  <c r="AH11" i="1"/>
  <c r="AG11" i="1"/>
  <c r="AF11" i="1"/>
  <c r="AE11" i="1"/>
  <c r="AC11" i="1"/>
  <c r="AB11" i="1"/>
  <c r="AA11" i="1"/>
  <c r="Z11" i="1"/>
  <c r="X11" i="1"/>
  <c r="W11" i="1"/>
  <c r="V11" i="1"/>
  <c r="U11" i="1"/>
  <c r="S11" i="1"/>
  <c r="R11" i="1"/>
  <c r="Q11" i="1"/>
  <c r="P11" i="1"/>
  <c r="N11" i="1"/>
  <c r="M11" i="1"/>
  <c r="L11" i="1"/>
  <c r="K11" i="1"/>
  <c r="AW10" i="1"/>
  <c r="AV10" i="1"/>
  <c r="AU10" i="1"/>
  <c r="AT10" i="1"/>
  <c r="AR10" i="1"/>
  <c r="AQ10" i="1"/>
  <c r="AP10" i="1"/>
  <c r="AO10" i="1"/>
  <c r="AM10" i="1"/>
  <c r="AL10" i="1"/>
  <c r="AK10" i="1"/>
  <c r="AJ10" i="1"/>
  <c r="AH10" i="1"/>
  <c r="AG10" i="1"/>
  <c r="AF10" i="1"/>
  <c r="AE10" i="1"/>
  <c r="AC10" i="1"/>
  <c r="AB10" i="1"/>
  <c r="AA10" i="1"/>
  <c r="Z10" i="1"/>
  <c r="X10" i="1"/>
  <c r="W10" i="1"/>
  <c r="V10" i="1"/>
  <c r="U10" i="1"/>
  <c r="S10" i="1"/>
  <c r="R10" i="1"/>
  <c r="Q10" i="1"/>
  <c r="P10" i="1"/>
  <c r="N10" i="1"/>
  <c r="M10" i="1"/>
  <c r="L10" i="1"/>
  <c r="K10" i="1"/>
  <c r="AW9" i="1"/>
  <c r="AV9" i="1"/>
  <c r="AU9" i="1"/>
  <c r="AT9" i="1"/>
  <c r="AR9" i="1"/>
  <c r="AQ9" i="1"/>
  <c r="AP9" i="1"/>
  <c r="AO9" i="1"/>
  <c r="AM9" i="1"/>
  <c r="AL9" i="1"/>
  <c r="AK9" i="1"/>
  <c r="AJ9" i="1"/>
  <c r="AH9" i="1"/>
  <c r="AG9" i="1"/>
  <c r="AF9" i="1"/>
  <c r="AE9" i="1"/>
  <c r="AC9" i="1"/>
  <c r="AB9" i="1"/>
  <c r="AA9" i="1"/>
  <c r="Z9" i="1"/>
  <c r="X9" i="1"/>
  <c r="W9" i="1"/>
  <c r="V9" i="1"/>
  <c r="U9" i="1"/>
  <c r="S9" i="1"/>
  <c r="R9" i="1"/>
  <c r="Q9" i="1"/>
  <c r="P9" i="1"/>
  <c r="N9" i="1"/>
  <c r="M9" i="1"/>
  <c r="L9" i="1"/>
  <c r="K9" i="1"/>
  <c r="AW8" i="1"/>
  <c r="AV8" i="1"/>
  <c r="AU8" i="1"/>
  <c r="AT8" i="1"/>
  <c r="AR8" i="1"/>
  <c r="AQ8" i="1"/>
  <c r="AP8" i="1"/>
  <c r="AO8" i="1"/>
  <c r="AM8" i="1"/>
  <c r="AL8" i="1"/>
  <c r="AK8" i="1"/>
  <c r="AJ8" i="1"/>
  <c r="AH8" i="1"/>
  <c r="AG8" i="1"/>
  <c r="AF8" i="1"/>
  <c r="AE8" i="1"/>
  <c r="AC8" i="1"/>
  <c r="AB8" i="1"/>
  <c r="AA8" i="1"/>
  <c r="Z8" i="1"/>
  <c r="X8" i="1"/>
  <c r="W8" i="1"/>
  <c r="V8" i="1"/>
  <c r="U8" i="1"/>
  <c r="S8" i="1"/>
  <c r="R8" i="1"/>
  <c r="Q8" i="1"/>
  <c r="P8" i="1"/>
  <c r="N8" i="1"/>
  <c r="M8" i="1"/>
  <c r="L8" i="1"/>
  <c r="K8" i="1"/>
  <c r="AW7" i="1"/>
  <c r="AV7" i="1"/>
  <c r="AU7" i="1"/>
  <c r="AT7" i="1"/>
  <c r="AR7" i="1"/>
  <c r="AQ7" i="1"/>
  <c r="AP7" i="1"/>
  <c r="AO7" i="1"/>
  <c r="AM7" i="1"/>
  <c r="AL7" i="1"/>
  <c r="AK7" i="1"/>
  <c r="AJ7" i="1"/>
  <c r="AH7" i="1"/>
  <c r="AG7" i="1"/>
  <c r="AF7" i="1"/>
  <c r="AE7" i="1"/>
  <c r="AC7" i="1"/>
  <c r="AB7" i="1"/>
  <c r="AA7" i="1"/>
  <c r="Z7" i="1"/>
  <c r="X7" i="1"/>
  <c r="W7" i="1"/>
  <c r="V7" i="1"/>
  <c r="U7" i="1"/>
  <c r="S7" i="1"/>
  <c r="R7" i="1"/>
  <c r="Q7" i="1"/>
  <c r="P7" i="1"/>
  <c r="N7" i="1"/>
  <c r="M7" i="1"/>
  <c r="L7" i="1"/>
  <c r="K7" i="1"/>
  <c r="AW6" i="1"/>
  <c r="AV6" i="1"/>
  <c r="AU6" i="1"/>
  <c r="AT6" i="1"/>
  <c r="AR6" i="1"/>
  <c r="AQ6" i="1"/>
  <c r="AP6" i="1"/>
  <c r="AO6" i="1"/>
  <c r="AM6" i="1"/>
  <c r="AL6" i="1"/>
  <c r="AK6" i="1"/>
  <c r="AJ6" i="1"/>
  <c r="AH6" i="1"/>
  <c r="AG6" i="1"/>
  <c r="AF6" i="1"/>
  <c r="AE6" i="1"/>
  <c r="AC6" i="1"/>
  <c r="AB6" i="1"/>
  <c r="AA6" i="1"/>
  <c r="Z6" i="1"/>
  <c r="X6" i="1"/>
  <c r="W6" i="1"/>
  <c r="V6" i="1"/>
  <c r="U6" i="1"/>
  <c r="S6" i="1"/>
  <c r="R6" i="1"/>
  <c r="Q6" i="1"/>
  <c r="P6" i="1"/>
  <c r="N6" i="1"/>
  <c r="M6" i="1"/>
  <c r="L6" i="1"/>
  <c r="K6" i="1"/>
  <c r="AW5" i="1"/>
  <c r="AV5" i="1"/>
  <c r="AU5" i="1"/>
  <c r="AT5" i="1"/>
  <c r="AR5" i="1"/>
  <c r="AQ5" i="1"/>
  <c r="AP5" i="1"/>
  <c r="AO5" i="1"/>
  <c r="AM5" i="1"/>
  <c r="AL5" i="1"/>
  <c r="AK5" i="1"/>
  <c r="AJ5" i="1"/>
  <c r="AH5" i="1"/>
  <c r="AG5" i="1"/>
  <c r="AF5" i="1"/>
  <c r="AE5" i="1"/>
  <c r="AC5" i="1"/>
  <c r="AB5" i="1"/>
  <c r="AA5" i="1"/>
  <c r="Z5" i="1"/>
  <c r="X5" i="1"/>
  <c r="W5" i="1"/>
  <c r="V5" i="1"/>
  <c r="U5" i="1"/>
  <c r="S5" i="1"/>
  <c r="R5" i="1"/>
  <c r="Q5" i="1"/>
  <c r="P5" i="1"/>
  <c r="N5" i="1"/>
  <c r="M5" i="1"/>
  <c r="L5" i="1"/>
  <c r="K5" i="1"/>
  <c r="AW4" i="1"/>
  <c r="AV4" i="1"/>
  <c r="AU4" i="1"/>
  <c r="AT4" i="1"/>
  <c r="AR4" i="1"/>
  <c r="AQ4" i="1"/>
  <c r="AP4" i="1"/>
  <c r="AO4" i="1"/>
  <c r="AM4" i="1"/>
  <c r="AL4" i="1"/>
  <c r="AK4" i="1"/>
  <c r="AJ4" i="1"/>
  <c r="AH4" i="1"/>
  <c r="AG4" i="1"/>
  <c r="AF4" i="1"/>
  <c r="AE4" i="1"/>
  <c r="AC4" i="1"/>
  <c r="AB4" i="1"/>
  <c r="AA4" i="1"/>
  <c r="Z4" i="1"/>
  <c r="X4" i="1"/>
  <c r="W4" i="1"/>
  <c r="V4" i="1"/>
  <c r="U4" i="1"/>
  <c r="S4" i="1"/>
  <c r="R4" i="1"/>
  <c r="Q4" i="1"/>
  <c r="P4" i="1"/>
  <c r="N4" i="1"/>
  <c r="M4" i="1"/>
  <c r="L4" i="1"/>
  <c r="K4" i="1"/>
  <c r="AW3" i="1"/>
  <c r="AV3" i="1"/>
  <c r="AU3" i="1"/>
  <c r="AT3" i="1"/>
  <c r="AR3" i="1"/>
  <c r="AQ3" i="1"/>
  <c r="AP3" i="1"/>
  <c r="AO3" i="1"/>
  <c r="AM3" i="1"/>
  <c r="AL3" i="1"/>
  <c r="AK3" i="1"/>
  <c r="AJ3" i="1"/>
  <c r="AH3" i="1"/>
  <c r="AG3" i="1"/>
  <c r="AF3" i="1"/>
  <c r="AE3" i="1"/>
  <c r="AC3" i="1"/>
  <c r="AB3" i="1"/>
  <c r="AA3" i="1"/>
  <c r="Z3" i="1"/>
  <c r="X3" i="1"/>
  <c r="W3" i="1"/>
  <c r="V3" i="1"/>
  <c r="U3" i="1"/>
  <c r="S3" i="1"/>
  <c r="R3" i="1"/>
  <c r="Q3" i="1"/>
  <c r="P3" i="1"/>
  <c r="N3" i="1"/>
  <c r="M3" i="1"/>
  <c r="L3" i="1"/>
  <c r="K3" i="1"/>
</calcChain>
</file>

<file path=xl/sharedStrings.xml><?xml version="1.0" encoding="utf-8"?>
<sst xmlns="http://schemas.openxmlformats.org/spreadsheetml/2006/main" count="17051" uniqueCount="4759">
  <si>
    <t>Lenvatinib</t>
  </si>
  <si>
    <t>Sorafenib</t>
  </si>
  <si>
    <t>Regorafenib</t>
  </si>
  <si>
    <t xml:space="preserve"> Apatinib</t>
  </si>
  <si>
    <t>Bevacizumab</t>
  </si>
  <si>
    <t>Pemigatinib</t>
  </si>
  <si>
    <t xml:space="preserve"> Ivosidenib</t>
  </si>
  <si>
    <t>Total Area</t>
  </si>
  <si>
    <t>Normalized AUC</t>
  </si>
  <si>
    <t>IC50 (μM)</t>
  </si>
  <si>
    <t>Sensitive</t>
  </si>
  <si>
    <t xml:space="preserve">Normalized AUC </t>
  </si>
  <si>
    <t xml:space="preserve">Total Area </t>
  </si>
  <si>
    <t>Apatinib</t>
  </si>
  <si>
    <t>HRR1493882_r2.fastq.gz (8.26 GB)</t>
  </si>
  <si>
    <t>HRX1166146</t>
  </si>
  <si>
    <t>WES of S42</t>
  </si>
  <si>
    <t>Illumina NovaSeq 6000</t>
  </si>
  <si>
    <t>HRS1029953 (SAMC3323307)</t>
  </si>
  <si>
    <t xml:space="preserve">HRS1029953 </t>
  </si>
  <si>
    <t>P6C1_O</t>
  </si>
  <si>
    <t>P6C1 Organoid</t>
  </si>
  <si>
    <t>P6</t>
  </si>
  <si>
    <t>P6C1</t>
  </si>
  <si>
    <t>HRR1493883_r2.fastq.gz (6.85 GB)</t>
  </si>
  <si>
    <t>HRX1166147</t>
  </si>
  <si>
    <t>WES of S43</t>
  </si>
  <si>
    <t>HRS1029954 (SAMC3323308)</t>
  </si>
  <si>
    <t xml:space="preserve">HRS1029954 </t>
  </si>
  <si>
    <t>P6C2_O</t>
  </si>
  <si>
    <t>P6C2 Organoid</t>
  </si>
  <si>
    <t>P6C2</t>
  </si>
  <si>
    <t>HRR1493884_r2.fastq.gz (6.48 GB)</t>
  </si>
  <si>
    <t>HRX1166148</t>
  </si>
  <si>
    <t>WES of S48</t>
  </si>
  <si>
    <t>HRS1029959 (SAMC3323313)</t>
  </si>
  <si>
    <t xml:space="preserve">HRS1029959 </t>
  </si>
  <si>
    <t>P6C3_T</t>
  </si>
  <si>
    <t>P6C3 Tumor lesion</t>
  </si>
  <si>
    <t>P6C3</t>
  </si>
  <si>
    <t>HRR1493885_r2.fastq.gz (5.01 GB)</t>
  </si>
  <si>
    <t>HRX1166149</t>
  </si>
  <si>
    <t>WES of S49</t>
  </si>
  <si>
    <t>HRS1029960 (SAMC3323314)</t>
  </si>
  <si>
    <t xml:space="preserve">HRS1029960 </t>
  </si>
  <si>
    <t>P6C4_T</t>
  </si>
  <si>
    <t>P6C4 Tumor lesion</t>
  </si>
  <si>
    <t>P6C4</t>
  </si>
  <si>
    <t>HRR1493886_r2.fastq.gz (8.15 GB)</t>
  </si>
  <si>
    <t>HRX1166150</t>
  </si>
  <si>
    <t>WES of S46</t>
  </si>
  <si>
    <t>HRS1029957 (SAMC3323311)</t>
  </si>
  <si>
    <t xml:space="preserve">HRS1029957 </t>
  </si>
  <si>
    <t>P6C1_T</t>
  </si>
  <si>
    <t>P6C1 Tumor lesion</t>
  </si>
  <si>
    <t>HRR1493887_r2.fastq.gz (8.11 GB)</t>
  </si>
  <si>
    <t>HRX1166151</t>
  </si>
  <si>
    <t>WES of S47</t>
  </si>
  <si>
    <t>HRS1029958 (SAMC3323312)</t>
  </si>
  <si>
    <t xml:space="preserve">HRS1029958 </t>
  </si>
  <si>
    <t>P6C2_T</t>
  </si>
  <si>
    <t>P6C2 Tumor lesion</t>
  </si>
  <si>
    <t>HRR1493888_r2.fastq.gz (8.62 GB)</t>
  </si>
  <si>
    <t>HRX1166152</t>
  </si>
  <si>
    <t>WES of S50</t>
  </si>
  <si>
    <t>HRS1029961 (SAMC3323315)</t>
  </si>
  <si>
    <t xml:space="preserve">HRS1029961 </t>
  </si>
  <si>
    <t>P6_N</t>
  </si>
  <si>
    <t>P6 Normal control</t>
  </si>
  <si>
    <t>HRR1493889_r2.fastq.gz (9.81 GB)</t>
  </si>
  <si>
    <t>HRX1166153</t>
  </si>
  <si>
    <t>WES of S51</t>
  </si>
  <si>
    <t>HRS1029962 (SAMC3323316)</t>
  </si>
  <si>
    <t xml:space="preserve">HRS1029962 </t>
  </si>
  <si>
    <t>P7C1_O</t>
  </si>
  <si>
    <t>P7C1 Organoid</t>
  </si>
  <si>
    <t>P7</t>
  </si>
  <si>
    <t>P7C1</t>
  </si>
  <si>
    <t>HRR1493890_r2.fastq.gz (9.76 GB)</t>
  </si>
  <si>
    <t>HRX1166154</t>
  </si>
  <si>
    <t>WES of S52</t>
  </si>
  <si>
    <t>HRS1029963 (SAMC3323317)</t>
  </si>
  <si>
    <t xml:space="preserve">HRS1029963 </t>
  </si>
  <si>
    <t>P7C1_T</t>
  </si>
  <si>
    <t>P7C1 Tumor lesion</t>
  </si>
  <si>
    <t>HRR1493891_r2.fastq.gz (8.31 GB)</t>
  </si>
  <si>
    <t>HRX1166155</t>
  </si>
  <si>
    <t>WES of S53</t>
  </si>
  <si>
    <t>HRS1029964 (SAMC3323318)</t>
  </si>
  <si>
    <t xml:space="preserve">HRS1029964 </t>
  </si>
  <si>
    <t>P7_N</t>
  </si>
  <si>
    <t>P7 Normal control</t>
  </si>
  <si>
    <t>HRR1493892_r2.fastq.gz (5.89 GB)</t>
  </si>
  <si>
    <t>HRX1166156</t>
  </si>
  <si>
    <t>WES of S57</t>
  </si>
  <si>
    <t>HRS1029968 (SAMC3323322)</t>
  </si>
  <si>
    <t xml:space="preserve">HRS1029968 </t>
  </si>
  <si>
    <t>P8_N</t>
  </si>
  <si>
    <t>P8 Normal control</t>
  </si>
  <si>
    <t>P8</t>
  </si>
  <si>
    <t>HRR1493893_r2.fastq.gz (6.30 GB)</t>
  </si>
  <si>
    <t>HRX1166157</t>
  </si>
  <si>
    <t>WES of S58</t>
  </si>
  <si>
    <t>HRS1029969 (SAMC3323323)</t>
  </si>
  <si>
    <t xml:space="preserve">HRS1029969 </t>
  </si>
  <si>
    <t>P8C1_O</t>
  </si>
  <si>
    <t>P8C1 Organoid</t>
  </si>
  <si>
    <t>P8C1</t>
  </si>
  <si>
    <t>HRR1493894_r2.fastq.gz (7.96 GB)</t>
  </si>
  <si>
    <t>HRX1166158</t>
  </si>
  <si>
    <t>WES of S54</t>
  </si>
  <si>
    <t>HRS1029965 (SAMC3323319)</t>
  </si>
  <si>
    <t xml:space="preserve">HRS1029965 </t>
  </si>
  <si>
    <t>P8C2_O</t>
  </si>
  <si>
    <t>P8C2 Organoid</t>
  </si>
  <si>
    <t>P8C2</t>
  </si>
  <si>
    <t>HRR1493895_r2.fastq.gz (7.07 GB)</t>
  </si>
  <si>
    <t>HRX1166159</t>
  </si>
  <si>
    <t>WES of S55</t>
  </si>
  <si>
    <t>HRS1029966 (SAMC3323320)</t>
  </si>
  <si>
    <t xml:space="preserve">HRS1029966 </t>
  </si>
  <si>
    <t>P8C3_O</t>
  </si>
  <si>
    <t>P8C3 Organoid</t>
  </si>
  <si>
    <t>P8C3</t>
  </si>
  <si>
    <t>HRR1493896_r2.fastq.gz (8.00 GB)</t>
  </si>
  <si>
    <t>HRX1166160</t>
  </si>
  <si>
    <t>WES of S59</t>
  </si>
  <si>
    <t>HRS1029970 (SAMC3323324)</t>
  </si>
  <si>
    <t xml:space="preserve">HRS1029970 </t>
  </si>
  <si>
    <t>P8C1_T</t>
  </si>
  <si>
    <t>P8C1 Tumor lesion</t>
  </si>
  <si>
    <t>HRR1493897_r2.fastq.gz (7.44 GB)</t>
  </si>
  <si>
    <t>HRX1166161</t>
  </si>
  <si>
    <t>WES of S60</t>
  </si>
  <si>
    <t>HRS1029971 (SAMC3323325)</t>
  </si>
  <si>
    <t xml:space="preserve">HRS1029971 </t>
  </si>
  <si>
    <t>P8C2_T</t>
  </si>
  <si>
    <t>P8C2 Tumor lesion</t>
  </si>
  <si>
    <t>HRR1493898_r2.fastq.gz (6.65 GB)</t>
  </si>
  <si>
    <t>HRX1166162</t>
  </si>
  <si>
    <t>WES of S56</t>
  </si>
  <si>
    <t>HRS1029967 (SAMC3323321)</t>
  </si>
  <si>
    <t xml:space="preserve">HRS1029967 </t>
  </si>
  <si>
    <t>P8C3_T</t>
  </si>
  <si>
    <t>P8C3 Tumor lesion</t>
  </si>
  <si>
    <t>HRR1493899_r2.fastq.gz (7.50 GB)</t>
  </si>
  <si>
    <t>HRX1166163</t>
  </si>
  <si>
    <t>WES of S61</t>
  </si>
  <si>
    <t>HRS1029972 (SAMC3323326)</t>
  </si>
  <si>
    <t xml:space="preserve">HRS1029972 </t>
  </si>
  <si>
    <t>P9C1_O</t>
  </si>
  <si>
    <t>P9C1 Organoid</t>
  </si>
  <si>
    <t>P9</t>
  </si>
  <si>
    <t>P9C1</t>
  </si>
  <si>
    <t>HRR1493900_r2.fastq.gz (7.77 GB)</t>
  </si>
  <si>
    <t>HRX1166164</t>
  </si>
  <si>
    <t>WES of S62</t>
  </si>
  <si>
    <t>HRS1029973 (SAMC3323327)</t>
  </si>
  <si>
    <t xml:space="preserve">HRS1029973 </t>
  </si>
  <si>
    <t>P9C2_O</t>
  </si>
  <si>
    <t>P9C2 Organoid</t>
  </si>
  <si>
    <t>P9C2</t>
  </si>
  <si>
    <t>HRR1493901_r2.fastq.gz (6.86 GB)</t>
  </si>
  <si>
    <t>HRX1166165</t>
  </si>
  <si>
    <t>WES of S63</t>
  </si>
  <si>
    <t>HRS1029974 (SAMC3323328)</t>
  </si>
  <si>
    <t xml:space="preserve">HRS1029974 </t>
  </si>
  <si>
    <t>P9C1_T</t>
  </si>
  <si>
    <t>P9C1 Tumor lesion</t>
  </si>
  <si>
    <t>HRR1493902_r2.fastq.gz (8.10 GB)</t>
  </si>
  <si>
    <t>HRX1166166</t>
  </si>
  <si>
    <t>WES of S64</t>
  </si>
  <si>
    <t>HRS1029975 (SAMC3323329)</t>
  </si>
  <si>
    <t xml:space="preserve">HRS1029975 </t>
  </si>
  <si>
    <t>P9C2_T</t>
  </si>
  <si>
    <t>P9C2 Tumor lesion</t>
  </si>
  <si>
    <t>HRR1493903_r2.fastq.gz (6.68 GB)</t>
  </si>
  <si>
    <t>HRX1166167</t>
  </si>
  <si>
    <t>WES of S65</t>
  </si>
  <si>
    <t>HRS1029976 (SAMC3323330)</t>
  </si>
  <si>
    <t xml:space="preserve">HRS1029976 </t>
  </si>
  <si>
    <t>P9_N</t>
  </si>
  <si>
    <t>P9 Normal control</t>
  </si>
  <si>
    <t>HRR1493904_r2.fastq.gz (6.68 GB)</t>
  </si>
  <si>
    <t>HRX1166168</t>
  </si>
  <si>
    <t>WES of S72</t>
  </si>
  <si>
    <t>HRS1029983 (SAMC3323337)</t>
  </si>
  <si>
    <t xml:space="preserve">HRS1029983 </t>
  </si>
  <si>
    <t>P10_B</t>
  </si>
  <si>
    <t>P10 Blood control</t>
  </si>
  <si>
    <t>P10</t>
  </si>
  <si>
    <t>HRR1493905_r2.fastq.gz (7.15 GB)</t>
  </si>
  <si>
    <t>HRX1166169</t>
  </si>
  <si>
    <t>WES of S66</t>
  </si>
  <si>
    <t>HRS1029977 (SAMC3323331)</t>
  </si>
  <si>
    <t xml:space="preserve">HRS1029977 </t>
  </si>
  <si>
    <t>P10C1_O</t>
  </si>
  <si>
    <t>P10C1 Organoid</t>
  </si>
  <si>
    <t>P10C1</t>
  </si>
  <si>
    <t>HRR1493906_r2.fastq.gz (6.68 GB)</t>
  </si>
  <si>
    <t>HRX1166170</t>
  </si>
  <si>
    <t>WES of S67</t>
  </si>
  <si>
    <t>HRS1029978 (SAMC3323332)</t>
  </si>
  <si>
    <t xml:space="preserve">HRS1029978 </t>
  </si>
  <si>
    <t>P10C2_O</t>
  </si>
  <si>
    <t>P10C2 Organoid</t>
  </si>
  <si>
    <t>P10C2</t>
  </si>
  <si>
    <t>HRR1493907_r2.fastq.gz (7.25 GB)</t>
  </si>
  <si>
    <t>HRX1166171</t>
  </si>
  <si>
    <t>WES of S68</t>
  </si>
  <si>
    <t>HRS1029979 (SAMC3323333)</t>
  </si>
  <si>
    <t xml:space="preserve">HRS1029979 </t>
  </si>
  <si>
    <t>P10C3_O</t>
  </si>
  <si>
    <t>P10C3 Organoid</t>
  </si>
  <si>
    <t>P10C3</t>
  </si>
  <si>
    <t>HRR1493908_r2.fastq.gz (7.18 GB)</t>
  </si>
  <si>
    <t>HRX1166172</t>
  </si>
  <si>
    <t>WES of S69</t>
  </si>
  <si>
    <t>HRS1029980 (SAMC3323334)</t>
  </si>
  <si>
    <t xml:space="preserve">HRS1029980 </t>
  </si>
  <si>
    <t>P10C1_T</t>
  </si>
  <si>
    <t>P10C1 Tumor lesion</t>
  </si>
  <si>
    <t>HRR1493909_r2.fastq.gz (9.03 GB)</t>
  </si>
  <si>
    <t>HRX1166173</t>
  </si>
  <si>
    <t>WES of S70</t>
  </si>
  <si>
    <t>HRS1029981 (SAMC3323335)</t>
  </si>
  <si>
    <t xml:space="preserve">HRS1029981 </t>
  </si>
  <si>
    <t>P10C2_T</t>
  </si>
  <si>
    <t>P10C2 Tumor lesion</t>
  </si>
  <si>
    <t>HRR1493910_r2.fastq.gz (8.33 GB)</t>
  </si>
  <si>
    <t>HRX1166174</t>
  </si>
  <si>
    <t>WES of S71</t>
  </si>
  <si>
    <t>HRS1029982 (SAMC3323336)</t>
  </si>
  <si>
    <t xml:space="preserve">HRS1029982 </t>
  </si>
  <si>
    <t>P10C3_T</t>
  </si>
  <si>
    <t>P10C3 Tumor lesion</t>
  </si>
  <si>
    <t>HRR1493911_r2.fastq.gz (8.19 GB)</t>
  </si>
  <si>
    <t>HRX1166175</t>
  </si>
  <si>
    <t>WES of S79</t>
  </si>
  <si>
    <t>HRS1029990 (SAMC3323344)</t>
  </si>
  <si>
    <t xml:space="preserve">HRS1029990 </t>
  </si>
  <si>
    <t>P11_B</t>
  </si>
  <si>
    <t>P11 Blood control</t>
  </si>
  <si>
    <t>P11</t>
  </si>
  <si>
    <t>HRR1493912_r2.fastq.gz (8.58 GB)</t>
  </si>
  <si>
    <t>HRX1166176</t>
  </si>
  <si>
    <t>WES of S73</t>
  </si>
  <si>
    <t>HRS1029984 (SAMC3323338)</t>
  </si>
  <si>
    <t xml:space="preserve">HRS1029984 </t>
  </si>
  <si>
    <t>P11C1_O</t>
  </si>
  <si>
    <t>P11C1 Organoid</t>
  </si>
  <si>
    <t>P11C1</t>
  </si>
  <si>
    <t>HRR1493913_r2.fastq.gz (8.36 GB)</t>
  </si>
  <si>
    <t>HRX1166177</t>
  </si>
  <si>
    <t>WES of S74</t>
  </si>
  <si>
    <t>HRS1029985 (SAMC3323339)</t>
  </si>
  <si>
    <t xml:space="preserve">HRS1029985 </t>
  </si>
  <si>
    <t>P11C2_O</t>
  </si>
  <si>
    <t>P11C2 Organoid</t>
  </si>
  <si>
    <t>P11C2</t>
  </si>
  <si>
    <t>HRR1493914_r2.fastq.gz (6.37 GB)</t>
  </si>
  <si>
    <t>HRX1166178</t>
  </si>
  <si>
    <t>WES of S75</t>
  </si>
  <si>
    <t>HRS1029986 (SAMC3323340)</t>
  </si>
  <si>
    <t xml:space="preserve">HRS1029986 </t>
  </si>
  <si>
    <t>P11C3_O</t>
  </si>
  <si>
    <t>P11C3 Organoid</t>
  </si>
  <si>
    <t>P11C3</t>
  </si>
  <si>
    <t>HRR1493915_r2.fastq.gz (7.59 GB)</t>
  </si>
  <si>
    <t>HRX1166179</t>
  </si>
  <si>
    <t>WES of S76</t>
  </si>
  <si>
    <t>HRS1029987 (SAMC3323341)</t>
  </si>
  <si>
    <t xml:space="preserve">HRS1029987 </t>
  </si>
  <si>
    <t>P11C1_T</t>
  </si>
  <si>
    <t>P11C1 Tumor lesion</t>
  </si>
  <si>
    <t>HRR1493916_r2.fastq.gz (7.12 GB)</t>
  </si>
  <si>
    <t>HRX1166180</t>
  </si>
  <si>
    <t>WES of S77</t>
  </si>
  <si>
    <t>HRS1029988 (SAMC3323342)</t>
  </si>
  <si>
    <t xml:space="preserve">HRS1029988 </t>
  </si>
  <si>
    <t>P11C2_T</t>
  </si>
  <si>
    <t>P11C2 Tumor lesion</t>
  </si>
  <si>
    <t>HRR1493917_r2.fastq.gz (6.74 GB)</t>
  </si>
  <si>
    <t>HRX1166181</t>
  </si>
  <si>
    <t>WES of S78</t>
  </si>
  <si>
    <t>HRS1029989 (SAMC3323343)</t>
  </si>
  <si>
    <t xml:space="preserve">HRS1029989 </t>
  </si>
  <si>
    <t>P11C3_T</t>
  </si>
  <si>
    <t>P11C3 Tumor lesion</t>
  </si>
  <si>
    <t>HRR1493918_r2.fastq.gz (6.14 GB)</t>
  </si>
  <si>
    <t>HRX1166182</t>
  </si>
  <si>
    <t>WES of S86</t>
  </si>
  <si>
    <t>HRS1029997 (SAMC3323351)</t>
  </si>
  <si>
    <t xml:space="preserve">HRS1029997 </t>
  </si>
  <si>
    <t>P12_N</t>
  </si>
  <si>
    <t>P12 Normal control</t>
  </si>
  <si>
    <t>P12</t>
  </si>
  <si>
    <t>HRR1493919_r2.fastq.gz (5.88 GB)</t>
  </si>
  <si>
    <t>HRX1166183</t>
  </si>
  <si>
    <t>WES of S80</t>
  </si>
  <si>
    <t>HRS1029991 (SAMC3323345)</t>
  </si>
  <si>
    <t xml:space="preserve">HRS1029991 </t>
  </si>
  <si>
    <t>P12C1_O</t>
  </si>
  <si>
    <t>P12C1 Organoid</t>
  </si>
  <si>
    <t>P12C1</t>
  </si>
  <si>
    <t>HRR1493920_r2.fastq.gz (6.92 GB)</t>
  </si>
  <si>
    <t>HRX1166184</t>
  </si>
  <si>
    <t>WES of S81</t>
  </si>
  <si>
    <t>HRS1029992 (SAMC3323346)</t>
  </si>
  <si>
    <t xml:space="preserve">HRS1029992 </t>
  </si>
  <si>
    <t>P12C2_O</t>
  </si>
  <si>
    <t>P12C2 Organoid</t>
  </si>
  <si>
    <t>P12C2</t>
  </si>
  <si>
    <t>HRR1493921_r2.fastq.gz (7.35 GB)</t>
  </si>
  <si>
    <t>HRX1166185</t>
  </si>
  <si>
    <t>WES of S82</t>
  </si>
  <si>
    <t>HRS1029993 (SAMC3323347)</t>
  </si>
  <si>
    <t xml:space="preserve">HRS1029993 </t>
  </si>
  <si>
    <t>P12C3_O</t>
  </si>
  <si>
    <t>P12C3 Organoid</t>
  </si>
  <si>
    <t>P12C3</t>
  </si>
  <si>
    <t>HRR1493922_r2.fastq.gz (7.78 GB)</t>
  </si>
  <si>
    <t>HRX1166186</t>
  </si>
  <si>
    <t>WES of S83</t>
  </si>
  <si>
    <t>HRS1029994 (SAMC3323348)</t>
  </si>
  <si>
    <t xml:space="preserve">HRS1029994 </t>
  </si>
  <si>
    <t>P12C1_T</t>
  </si>
  <si>
    <t>P12C1 Tumor lesion</t>
  </si>
  <si>
    <t>HRR1493923_r2.fastq.gz (7.13 GB)</t>
  </si>
  <si>
    <t>HRX1166187</t>
  </si>
  <si>
    <t>WES of S84</t>
  </si>
  <si>
    <t>HRS1029995 (SAMC3323349)</t>
  </si>
  <si>
    <t xml:space="preserve">HRS1029995 </t>
  </si>
  <si>
    <t>P12C2_T</t>
  </si>
  <si>
    <t>P12C2 Tumor lesion</t>
  </si>
  <si>
    <t>HRR1493924_r2.fastq.gz (7.39 GB)</t>
  </si>
  <si>
    <t>HRX1166188</t>
  </si>
  <si>
    <t>WES of S85</t>
  </si>
  <si>
    <t>HRS1029996 (SAMC3323350)</t>
  </si>
  <si>
    <t xml:space="preserve">HRS1029996 </t>
  </si>
  <si>
    <t>P12C3_T</t>
  </si>
  <si>
    <t>P12C3 Tumor lesion</t>
  </si>
  <si>
    <t>HRR1493925_r2.fastq.gz (8.20 GB)</t>
  </si>
  <si>
    <t>HRX1166189</t>
  </si>
  <si>
    <t>WES of S97</t>
  </si>
  <si>
    <t>HRS1030008 (SAMC3323362)</t>
  </si>
  <si>
    <t xml:space="preserve">HRS1030008 </t>
  </si>
  <si>
    <t>P13_B</t>
  </si>
  <si>
    <t>P13 Blood control</t>
  </si>
  <si>
    <t>P13</t>
  </si>
  <si>
    <t>HRR1493926_r2.fastq.gz (7.66 GB)</t>
  </si>
  <si>
    <t>HRX1166190</t>
  </si>
  <si>
    <t>WES of S89</t>
  </si>
  <si>
    <t>HRS1030000 (SAMC3323354)</t>
  </si>
  <si>
    <t xml:space="preserve">HRS1030000 </t>
  </si>
  <si>
    <t>P13C1_O</t>
  </si>
  <si>
    <t>P13C1 Organoid</t>
  </si>
  <si>
    <t>P13C1</t>
  </si>
  <si>
    <t>HRR1493927_r2.fastq.gz (9.98 GB)</t>
  </si>
  <si>
    <t>HRX1166191</t>
  </si>
  <si>
    <t>WES of S90</t>
  </si>
  <si>
    <t>HRS1030001 (SAMC3323355)</t>
  </si>
  <si>
    <t xml:space="preserve">HRS1030001 </t>
  </si>
  <si>
    <t>P13C2_O</t>
  </si>
  <si>
    <t>P13C2 Organoid</t>
  </si>
  <si>
    <t>P13C2</t>
  </si>
  <si>
    <t>HRR1493928_r2.fastq.gz (8.23 GB)</t>
  </si>
  <si>
    <t>HRX1166192</t>
  </si>
  <si>
    <t>WES of S91</t>
  </si>
  <si>
    <t>HRS1030002 (SAMC3323356)</t>
  </si>
  <si>
    <t xml:space="preserve">HRS1030002 </t>
  </si>
  <si>
    <t>P13C3_O</t>
  </si>
  <si>
    <t>P13C3 Organoid</t>
  </si>
  <si>
    <t>P13C3</t>
  </si>
  <si>
    <t>HRR1493929_r2.fastq.gz (8.62 GB)</t>
  </si>
  <si>
    <t>HRX1166193</t>
  </si>
  <si>
    <t>WES of S92</t>
  </si>
  <si>
    <t>HRS1030003 (SAMC3323357)</t>
  </si>
  <si>
    <t xml:space="preserve">HRS1030003 </t>
  </si>
  <si>
    <t>P13C4_O</t>
  </si>
  <si>
    <t>P13C4 Organoid</t>
  </si>
  <si>
    <t>P13C4</t>
  </si>
  <si>
    <t>HRR1493930_r2.fastq.gz (9.62 GB)</t>
  </si>
  <si>
    <t>HRX1166194</t>
  </si>
  <si>
    <t>WES of S93</t>
  </si>
  <si>
    <t>HRS1030004 (SAMC3323358)</t>
  </si>
  <si>
    <t xml:space="preserve">HRS1030004 </t>
  </si>
  <si>
    <t>P13C1_T</t>
  </si>
  <si>
    <t>P13C1 Tumor lesion</t>
  </si>
  <si>
    <t>HRR1493931_r2.fastq.gz (7.81 GB)</t>
  </si>
  <si>
    <t>HRX1166195</t>
  </si>
  <si>
    <t>WES of S94</t>
  </si>
  <si>
    <t>HRS1030005 (SAMC3323359)</t>
  </si>
  <si>
    <t xml:space="preserve">HRS1030005 </t>
  </si>
  <si>
    <t>P13C2_T</t>
  </si>
  <si>
    <t>P13C2 Tumor lesion</t>
  </si>
  <si>
    <t>HRR1493932_r2.fastq.gz (8.13 GB)</t>
  </si>
  <si>
    <t>HRX1166196</t>
  </si>
  <si>
    <t>WES of S95</t>
  </si>
  <si>
    <t>HRS1030006 (SAMC3323360)</t>
  </si>
  <si>
    <t xml:space="preserve">HRS1030006 </t>
  </si>
  <si>
    <t>P13C3_T</t>
  </si>
  <si>
    <t>P13C3 Tumor lesion</t>
  </si>
  <si>
    <t>HRR1493933_r2.fastq.gz (8.26 GB)</t>
  </si>
  <si>
    <t>HRX1166197</t>
  </si>
  <si>
    <t>WES of S96</t>
  </si>
  <si>
    <t>HRS1030007 (SAMC3323361)</t>
  </si>
  <si>
    <t xml:space="preserve">HRS1030007 </t>
  </si>
  <si>
    <t>P13C4_T</t>
  </si>
  <si>
    <t>P13C4 Tumor lesion</t>
  </si>
  <si>
    <t>HRR1493934_r2.fastq.gz (6.12 GB)</t>
  </si>
  <si>
    <t>HRX1166198</t>
  </si>
  <si>
    <t>WES of S104</t>
  </si>
  <si>
    <t>HRS1030015 (SAMC3323369)</t>
  </si>
  <si>
    <t xml:space="preserve">HRS1030015 </t>
  </si>
  <si>
    <t>P14_B</t>
  </si>
  <si>
    <t>P14 Blood control</t>
  </si>
  <si>
    <t>P14</t>
  </si>
  <si>
    <t>HRR1493935_r2.fastq.gz (8.44 GB)</t>
  </si>
  <si>
    <t>HRX1166199</t>
  </si>
  <si>
    <t>WES of S98</t>
  </si>
  <si>
    <t>HRS1030009 (SAMC3323363)</t>
  </si>
  <si>
    <t xml:space="preserve">HRS1030009 </t>
  </si>
  <si>
    <t>P14C1_O</t>
  </si>
  <si>
    <t>P14C1 Organoid</t>
  </si>
  <si>
    <t>P14C1</t>
  </si>
  <si>
    <t>HRR1493936_r2.fastq.gz (10.58 GB)</t>
  </si>
  <si>
    <t>HRX1166200</t>
  </si>
  <si>
    <t>WES of S99</t>
  </si>
  <si>
    <t>HRS1030010 (SAMC3323364)</t>
  </si>
  <si>
    <t xml:space="preserve">HRS1030010 </t>
  </si>
  <si>
    <t>P14C2_O</t>
  </si>
  <si>
    <t>P14C2 Organoid</t>
  </si>
  <si>
    <t>P14C2</t>
  </si>
  <si>
    <t>HRR1493937_r2.fastq.gz (9.19 GB)</t>
  </si>
  <si>
    <t>HRX1166201</t>
  </si>
  <si>
    <t>WES of S100</t>
  </si>
  <si>
    <t>HRS1030011 (SAMC3323365)</t>
  </si>
  <si>
    <t xml:space="preserve">HRS1030011 </t>
  </si>
  <si>
    <t>P14C3_O</t>
  </si>
  <si>
    <t>P14C3 Organoid</t>
  </si>
  <si>
    <t>P14C3</t>
  </si>
  <si>
    <t>HRR1493938_r2.fastq.gz (7.77 GB)</t>
  </si>
  <si>
    <t>HRX1166202</t>
  </si>
  <si>
    <t>WES of S101</t>
  </si>
  <si>
    <t>HRS1030012 (SAMC3323366)</t>
  </si>
  <si>
    <t xml:space="preserve">HRS1030012 </t>
  </si>
  <si>
    <t>P14C1_T</t>
  </si>
  <si>
    <t>P14C1 Tumor lesion</t>
  </si>
  <si>
    <t>HRR1493939_r2.fastq.gz (7.34 GB)</t>
  </si>
  <si>
    <t>HRX1166203</t>
  </si>
  <si>
    <t>WES of S102</t>
  </si>
  <si>
    <t>HRS1030013 (SAMC3323367)</t>
  </si>
  <si>
    <t xml:space="preserve">HRS1030013 </t>
  </si>
  <si>
    <t>P14C2_T</t>
  </si>
  <si>
    <t>P14C2 Tumor lesion</t>
  </si>
  <si>
    <t>HRR1493940_r2.fastq.gz (8.68 GB)</t>
  </si>
  <si>
    <t>HRX1166204</t>
  </si>
  <si>
    <t>WES of S103</t>
  </si>
  <si>
    <t>HRS1030014 (SAMC3323368)</t>
  </si>
  <si>
    <t xml:space="preserve">HRS1030014 </t>
  </si>
  <si>
    <t>P14C3_T</t>
  </si>
  <si>
    <t>P14C3 Tumor lesion</t>
  </si>
  <si>
    <t>HRR1493941_r2.fastq.gz (9.51 GB)</t>
  </si>
  <si>
    <t>HRX1166205</t>
  </si>
  <si>
    <t>WES of S108</t>
  </si>
  <si>
    <t>HRS1030019 (SAMC3323373)</t>
  </si>
  <si>
    <t xml:space="preserve">HRS1030019 </t>
  </si>
  <si>
    <t>P15_B</t>
  </si>
  <si>
    <t>P15 Blood control</t>
  </si>
  <si>
    <t>P15</t>
  </si>
  <si>
    <t>HRR1493942_r2.fastq.gz (8.36 GB)</t>
  </si>
  <si>
    <t>HRX1166206</t>
  </si>
  <si>
    <t>WES of S106</t>
  </si>
  <si>
    <t>HRS1030017 (SAMC3323371)</t>
  </si>
  <si>
    <t xml:space="preserve">HRS1030017 </t>
  </si>
  <si>
    <t>P15C3_O</t>
  </si>
  <si>
    <t>P15C3 Organoid</t>
  </si>
  <si>
    <t>P15C3</t>
  </si>
  <si>
    <t>HRR1493943_r2.fastq.gz (7.79 GB)</t>
  </si>
  <si>
    <t>HRX1166207</t>
  </si>
  <si>
    <t>WES of S107</t>
  </si>
  <si>
    <t>HRS1030018 (SAMC3323372)</t>
  </si>
  <si>
    <t xml:space="preserve">HRS1030018 </t>
  </si>
  <si>
    <t>P15C3_T</t>
  </si>
  <si>
    <t>P15C3 Tumor lesion</t>
  </si>
  <si>
    <t>HRR1493944_r2.fastq.gz (8.78 GB)</t>
  </si>
  <si>
    <t>HRX1166208</t>
  </si>
  <si>
    <t>WES of S115</t>
  </si>
  <si>
    <t>HRS1030026 (SAMC3323380)</t>
  </si>
  <si>
    <t xml:space="preserve">HRS1030026 </t>
  </si>
  <si>
    <t>P16_B</t>
  </si>
  <si>
    <t>P16 Blood control</t>
  </si>
  <si>
    <t>P16</t>
  </si>
  <si>
    <t>HRR1493945_r2.fastq.gz (7.56 GB)</t>
  </si>
  <si>
    <t>HRX1166209</t>
  </si>
  <si>
    <t>WES of S111</t>
  </si>
  <si>
    <t>HRS1030022 (SAMC3323376)</t>
  </si>
  <si>
    <t xml:space="preserve">HRS1030022 </t>
  </si>
  <si>
    <t>P16C1_O</t>
  </si>
  <si>
    <t>P16C1 Organoid</t>
  </si>
  <si>
    <t>P16C1</t>
  </si>
  <si>
    <t>HRR1493946_r2.fastq.gz (6.86 GB)</t>
  </si>
  <si>
    <t>HRX1166210</t>
  </si>
  <si>
    <t>WES of S112</t>
  </si>
  <si>
    <t>HRS1030023 (SAMC3323377)</t>
  </si>
  <si>
    <t xml:space="preserve">HRS1030023 </t>
  </si>
  <si>
    <t>P16C2_O</t>
  </si>
  <si>
    <t>P16C2 Organoid</t>
  </si>
  <si>
    <t>P16C2</t>
  </si>
  <si>
    <t>HRR1493947_r2.fastq.gz (8.43 GB)</t>
  </si>
  <si>
    <t>HRX1166211</t>
  </si>
  <si>
    <t>WES of S113</t>
  </si>
  <si>
    <t>HRS1030024 (SAMC3323378)</t>
  </si>
  <si>
    <t xml:space="preserve">HRS1030024 </t>
  </si>
  <si>
    <t>P16C1_T</t>
  </si>
  <si>
    <t>P16C1 Tumor lesion</t>
  </si>
  <si>
    <t>HRR1493948_r2.fastq.gz (7.39 GB)</t>
  </si>
  <si>
    <t>HRX1166212</t>
  </si>
  <si>
    <t>WES of S114</t>
  </si>
  <si>
    <t>HRS1030025 (SAMC3323379)</t>
  </si>
  <si>
    <t xml:space="preserve">HRS1030025 </t>
  </si>
  <si>
    <t>P16C2_T</t>
  </si>
  <si>
    <t>P16C2 Tumor lesion</t>
  </si>
  <si>
    <t>HRR1493949_r2.fastq.gz (8.04 GB)</t>
  </si>
  <si>
    <t>HRX1166213</t>
  </si>
  <si>
    <t>WES of S124</t>
  </si>
  <si>
    <t>HRS1030035 (SAMC3323389)</t>
  </si>
  <si>
    <t xml:space="preserve">HRS1030035 </t>
  </si>
  <si>
    <t>P17_B</t>
  </si>
  <si>
    <t>P17 Blood control</t>
  </si>
  <si>
    <t>P17</t>
  </si>
  <si>
    <t>HRR1493950_r2.fastq.gz (7.21 GB)</t>
  </si>
  <si>
    <t>HRX1166214</t>
  </si>
  <si>
    <t>WES of S118</t>
  </si>
  <si>
    <t>HRS1030029 (SAMC3323383)</t>
  </si>
  <si>
    <t xml:space="preserve">HRS1030029 </t>
  </si>
  <si>
    <t>P17C1_O</t>
  </si>
  <si>
    <t>P17C1 Organoid</t>
  </si>
  <si>
    <t>P17C1</t>
  </si>
  <si>
    <t>HRR1493951_r2.fastq.gz (8.19 GB)</t>
  </si>
  <si>
    <t>HRX1166215</t>
  </si>
  <si>
    <t>WES of S119</t>
  </si>
  <si>
    <t>HRS1030030 (SAMC3323384)</t>
  </si>
  <si>
    <t xml:space="preserve">HRS1030030 </t>
  </si>
  <si>
    <t>P17C2_O</t>
  </si>
  <si>
    <t>P17C2 Organoid</t>
  </si>
  <si>
    <t>P17C2</t>
  </si>
  <si>
    <t>HRR1493952_r2.fastq.gz (7.70 GB)</t>
  </si>
  <si>
    <t>HRX1166216</t>
  </si>
  <si>
    <t>WES of S120</t>
  </si>
  <si>
    <t>HRS1030031 (SAMC3323385)</t>
  </si>
  <si>
    <t xml:space="preserve">HRS1030031 </t>
  </si>
  <si>
    <t>P17C3_O</t>
  </si>
  <si>
    <t>P17C3 Organoid</t>
  </si>
  <si>
    <t>P17C3</t>
  </si>
  <si>
    <t>HRR1493953_r2.fastq.gz (7.29 GB)</t>
  </si>
  <si>
    <t>HRX1166217</t>
  </si>
  <si>
    <t>WES of S121</t>
  </si>
  <si>
    <t>HRS1030032 (SAMC3323386)</t>
  </si>
  <si>
    <t xml:space="preserve">HRS1030032 </t>
  </si>
  <si>
    <t>P17C1_T</t>
  </si>
  <si>
    <t>P17C1 Tumor lesion</t>
  </si>
  <si>
    <t>HRR1493954_r2.fastq.gz (7.72 GB)</t>
  </si>
  <si>
    <t>HRX1166218</t>
  </si>
  <si>
    <t>WES of S122</t>
  </si>
  <si>
    <t>HRS1030033 (SAMC3323387)</t>
  </si>
  <si>
    <t xml:space="preserve">HRS1030033 </t>
  </si>
  <si>
    <t>P17C2_T</t>
  </si>
  <si>
    <t>P17C2 Tumor lesion</t>
  </si>
  <si>
    <t>HRR1493955_r2.fastq.gz (9.49 GB)</t>
  </si>
  <si>
    <t>HRX1166219</t>
  </si>
  <si>
    <t>WES of S123</t>
  </si>
  <si>
    <t>HRS1030034 (SAMC3323388)</t>
  </si>
  <si>
    <t xml:space="preserve">HRS1030034 </t>
  </si>
  <si>
    <t>P17C3_T</t>
  </si>
  <si>
    <t>P17C3 Tumor lesion</t>
  </si>
  <si>
    <t>HRR1493956_r2.fastq.gz (5.37 GB)</t>
  </si>
  <si>
    <t>HRX1166220</t>
  </si>
  <si>
    <t>WES of S128</t>
  </si>
  <si>
    <t>HRS1030039 (SAMC3323393)</t>
  </si>
  <si>
    <t xml:space="preserve">HRS1030039 </t>
  </si>
  <si>
    <t>P18C1_O</t>
  </si>
  <si>
    <t>P18C1 Organoid</t>
  </si>
  <si>
    <t>P18</t>
  </si>
  <si>
    <t>P18C1</t>
  </si>
  <si>
    <t>HRR1493957_r2.fastq.gz (4.98 GB)</t>
  </si>
  <si>
    <t>HRX1166221</t>
  </si>
  <si>
    <t>WES of S129</t>
  </si>
  <si>
    <t>HRS1030040 (SAMC3323394)</t>
  </si>
  <si>
    <t xml:space="preserve">HRS1030040 </t>
  </si>
  <si>
    <t>P18C2_O</t>
  </si>
  <si>
    <t>P18C2 Organoid</t>
  </si>
  <si>
    <t>P18C2</t>
  </si>
  <si>
    <t>HRR1493958_r2.fastq.gz (5.90 GB)</t>
  </si>
  <si>
    <t>HRX1166222</t>
  </si>
  <si>
    <t>WES of S126</t>
  </si>
  <si>
    <t>HRS1030037 (SAMC3323391)</t>
  </si>
  <si>
    <t xml:space="preserve">HRS1030037 </t>
  </si>
  <si>
    <t>P18C3_O</t>
  </si>
  <si>
    <t>P18C3 Organoid</t>
  </si>
  <si>
    <t>P18C3</t>
  </si>
  <si>
    <t>HRR1493959_r2.fastq.gz (6.00 GB)</t>
  </si>
  <si>
    <t>HRX1166223</t>
  </si>
  <si>
    <t>WES of S130</t>
  </si>
  <si>
    <t>HRS1030041 (SAMC3323395)</t>
  </si>
  <si>
    <t xml:space="preserve">HRS1030041 </t>
  </si>
  <si>
    <t>P18C1_T</t>
  </si>
  <si>
    <t>P18C1 Tumor lesion</t>
  </si>
  <si>
    <t>HRR1493960_r2.fastq.gz (5.92 GB)</t>
  </si>
  <si>
    <t>HRX1166224</t>
  </si>
  <si>
    <t>WES of S125</t>
  </si>
  <si>
    <t>HRS1030036 (SAMC3323390)</t>
  </si>
  <si>
    <t xml:space="preserve">HRS1030036 </t>
  </si>
  <si>
    <t>P18C2_T</t>
  </si>
  <si>
    <t>P18C2 Tumor lesion</t>
  </si>
  <si>
    <t>HRR1493961_r2.fastq.gz (6.15 GB)</t>
  </si>
  <si>
    <t>HRX1166225</t>
  </si>
  <si>
    <t>WES of S127</t>
  </si>
  <si>
    <t>HRS1030038 (SAMC3323392)</t>
  </si>
  <si>
    <t xml:space="preserve">HRS1030038 </t>
  </si>
  <si>
    <t>P18C3_T</t>
  </si>
  <si>
    <t>P18C3 Tumor lesion</t>
  </si>
  <si>
    <t>HRR1493962_r2.fastq.gz (6.19 GB)</t>
  </si>
  <si>
    <t>HRX1166226</t>
  </si>
  <si>
    <t>WES of S131</t>
  </si>
  <si>
    <t>HRS1030042 (SAMC3323396)</t>
  </si>
  <si>
    <t xml:space="preserve">HRS1030042 </t>
  </si>
  <si>
    <t>P18_N</t>
  </si>
  <si>
    <t>P18 Normal control</t>
  </si>
  <si>
    <t>HRR1493963_r2.fastq.gz (5.99 GB)</t>
  </si>
  <si>
    <t>HRX1166227</t>
  </si>
  <si>
    <t>WES of S136</t>
  </si>
  <si>
    <t>HRS1030047 (SAMC3323401)</t>
  </si>
  <si>
    <t xml:space="preserve">HRS1030047 </t>
  </si>
  <si>
    <t>P19C1_O</t>
  </si>
  <si>
    <t>P19C1 Organoid</t>
  </si>
  <si>
    <t>P19</t>
  </si>
  <si>
    <t>P19C1</t>
  </si>
  <si>
    <t>HRR1493964_r2.fastq.gz (5.68 GB)</t>
  </si>
  <si>
    <t>HRX1166228</t>
  </si>
  <si>
    <t>WES of S132</t>
  </si>
  <si>
    <t>HRS1030043 (SAMC3323397)</t>
  </si>
  <si>
    <t xml:space="preserve">HRS1030043 </t>
  </si>
  <si>
    <t>P19C2_O</t>
  </si>
  <si>
    <t>P19C2 Organoid</t>
  </si>
  <si>
    <t>P19C2</t>
  </si>
  <si>
    <t>HRR1493965_r2.fastq.gz (6.15 GB)</t>
  </si>
  <si>
    <t>HRX1166229</t>
  </si>
  <si>
    <t>WES of S133</t>
  </si>
  <si>
    <t>HRS1030044 (SAMC3323398)</t>
  </si>
  <si>
    <t xml:space="preserve">HRS1030044 </t>
  </si>
  <si>
    <t>P19C3_O</t>
  </si>
  <si>
    <t>P19C3 Organoid</t>
  </si>
  <si>
    <t>P19C3</t>
  </si>
  <si>
    <t>HRR1493966_r2.fastq.gz (5.34 GB)</t>
  </si>
  <si>
    <t>HRX1166230</t>
  </si>
  <si>
    <t>WES of S137</t>
  </si>
  <si>
    <t>HRS1030048 (SAMC3323402)</t>
  </si>
  <si>
    <t xml:space="preserve">HRS1030048 </t>
  </si>
  <si>
    <t>P19C1_T</t>
  </si>
  <si>
    <t>P19C1 Tumor lesion</t>
  </si>
  <si>
    <t>HRR1493967_r2.fastq.gz (5.95 GB)</t>
  </si>
  <si>
    <t>HRX1166231</t>
  </si>
  <si>
    <t>WES of S134</t>
  </si>
  <si>
    <t>HRS1030045 (SAMC3323399)</t>
  </si>
  <si>
    <t xml:space="preserve">HRS1030045 </t>
  </si>
  <si>
    <t>P19C2_T</t>
  </si>
  <si>
    <t>P19C2 Tumor lesion</t>
  </si>
  <si>
    <t>HRR1493968_r2.fastq.gz (5.84 GB)</t>
  </si>
  <si>
    <t>HRX1166232</t>
  </si>
  <si>
    <t>WES of S135</t>
  </si>
  <si>
    <t>HRS1030046 (SAMC3323400)</t>
  </si>
  <si>
    <t xml:space="preserve">HRS1030046 </t>
  </si>
  <si>
    <t>P19C3_T</t>
  </si>
  <si>
    <t>P19C3 Tumor lesion</t>
  </si>
  <si>
    <t>HRR1493969_r2.fastq.gz (6.03 GB)</t>
  </si>
  <si>
    <t>HRX1166233</t>
  </si>
  <si>
    <t>WES of S138</t>
  </si>
  <si>
    <t>HRS1030049 (SAMC3323403)</t>
  </si>
  <si>
    <t xml:space="preserve">HRS1030049 </t>
  </si>
  <si>
    <t>P19_N</t>
  </si>
  <si>
    <t>P19 Normal control</t>
  </si>
  <si>
    <t>HRR1493970_r2.fastq.gz (8.54 GB)</t>
  </si>
  <si>
    <t>HRX1166234</t>
  </si>
  <si>
    <t>WES of S139</t>
  </si>
  <si>
    <t>HRS1030050 (SAMC3323404)</t>
  </si>
  <si>
    <t xml:space="preserve">HRS1030050 </t>
  </si>
  <si>
    <t>P20C1_O</t>
  </si>
  <si>
    <t>P20C1 Organoid</t>
  </si>
  <si>
    <t>P20</t>
  </si>
  <si>
    <t>P20C1</t>
  </si>
  <si>
    <t>HRR1493971_r2.fastq.gz (6.74 GB)</t>
  </si>
  <si>
    <t>HRX1166235</t>
  </si>
  <si>
    <t>WES of S140</t>
  </si>
  <si>
    <t>HRS1030051 (SAMC3323405)</t>
  </si>
  <si>
    <t xml:space="preserve">HRS1030051 </t>
  </si>
  <si>
    <t>P20C2_O</t>
  </si>
  <si>
    <t>P20C2 Organoid</t>
  </si>
  <si>
    <t>P20C2</t>
  </si>
  <si>
    <t>HRR1493972_r2.fastq.gz (7.51 GB)</t>
  </si>
  <si>
    <t>HRX1166236</t>
  </si>
  <si>
    <t>WES of S141</t>
  </si>
  <si>
    <t>HRS1030052 (SAMC3323406)</t>
  </si>
  <si>
    <t xml:space="preserve">HRS1030052 </t>
  </si>
  <si>
    <t>P20C3_O</t>
  </si>
  <si>
    <t>P20C3 Organoid</t>
  </si>
  <si>
    <t>P20C3</t>
  </si>
  <si>
    <t>HRR1493973_r2.fastq.gz (7.41 GB)</t>
  </si>
  <si>
    <t>HRX1166237</t>
  </si>
  <si>
    <t>WES of S142</t>
  </si>
  <si>
    <t>HRS1030053 (SAMC3323407)</t>
  </si>
  <si>
    <t xml:space="preserve">HRS1030053 </t>
  </si>
  <si>
    <t>P20C4_O</t>
  </si>
  <si>
    <t>P20C4 Organoid</t>
  </si>
  <si>
    <t>P20C4</t>
  </si>
  <si>
    <t>HRR1493974_r2.fastq.gz (7.54 GB)</t>
  </si>
  <si>
    <t>HRX1166238</t>
  </si>
  <si>
    <t>WES of S143</t>
  </si>
  <si>
    <t>HRS1030054 (SAMC3323408)</t>
  </si>
  <si>
    <t xml:space="preserve">HRS1030054 </t>
  </si>
  <si>
    <t>P20C1_T</t>
  </si>
  <si>
    <t>P20C1 Tumor lesion</t>
  </si>
  <si>
    <t>HRR1493975_r2.fastq.gz (9.18 GB)</t>
  </si>
  <si>
    <t>HRX1166239</t>
  </si>
  <si>
    <t>WES of S144</t>
  </si>
  <si>
    <t>HRS1030055 (SAMC3323409)</t>
  </si>
  <si>
    <t xml:space="preserve">HRS1030055 </t>
  </si>
  <si>
    <t>P20C2_T</t>
  </si>
  <si>
    <t>P20C2 Tumor lesion</t>
  </si>
  <si>
    <t>HRR1493976_r2.fastq.gz (8.14 GB)</t>
  </si>
  <si>
    <t>HRX1166240</t>
  </si>
  <si>
    <t>WES of S145</t>
  </si>
  <si>
    <t>HRS1030056 (SAMC3323410)</t>
  </si>
  <si>
    <t xml:space="preserve">HRS1030056 </t>
  </si>
  <si>
    <t>P20C3_T</t>
  </si>
  <si>
    <t>P20C3 Tumor lesion</t>
  </si>
  <si>
    <t>HRR1493977_r2.fastq.gz (6.79 GB)</t>
  </si>
  <si>
    <t>HRX1166241</t>
  </si>
  <si>
    <t>WES of S146</t>
  </si>
  <si>
    <t>HRS1030057 (SAMC3323411)</t>
  </si>
  <si>
    <t xml:space="preserve">HRS1030057 </t>
  </si>
  <si>
    <t>P20C4_T</t>
  </si>
  <si>
    <t>P20C4 Tumor lesion</t>
  </si>
  <si>
    <t>HRR1493978_r2.fastq.gz (7.25 GB)</t>
  </si>
  <si>
    <t>HRX1166242</t>
  </si>
  <si>
    <t>WES of S147</t>
  </si>
  <si>
    <t>HRS1030058 (SAMC3323412)</t>
  </si>
  <si>
    <t xml:space="preserve">HRS1030058 </t>
  </si>
  <si>
    <t>P20_N</t>
  </si>
  <si>
    <t>P20 Normal control</t>
  </si>
  <si>
    <t>HRR1493979_r2.fastq.gz (8.61 GB)</t>
  </si>
  <si>
    <t>HRX1166243</t>
  </si>
  <si>
    <t>WES of S148</t>
  </si>
  <si>
    <t>HRS1030059 (SAMC3323413)</t>
  </si>
  <si>
    <t xml:space="preserve">HRS1030059 </t>
  </si>
  <si>
    <t>P21C1_O</t>
  </si>
  <si>
    <t>P21C1 Organoid</t>
  </si>
  <si>
    <t>P21</t>
  </si>
  <si>
    <t>P21C1</t>
  </si>
  <si>
    <t>HRR1493980_r2.fastq.gz (7.48 GB)</t>
  </si>
  <si>
    <t>HRX1166244</t>
  </si>
  <si>
    <t>WES of S149</t>
  </si>
  <si>
    <t>HRS1030060 (SAMC3323414)</t>
  </si>
  <si>
    <t xml:space="preserve">HRS1030060 </t>
  </si>
  <si>
    <t>P21C2_O</t>
  </si>
  <si>
    <t>P21C2 Organoid</t>
  </si>
  <si>
    <t>P21C2</t>
  </si>
  <si>
    <t>HRR1493981_r2.fastq.gz (6.95 GB)</t>
  </si>
  <si>
    <t>HRX1166245</t>
  </si>
  <si>
    <t>WES of S150</t>
  </si>
  <si>
    <t>HRS1030061 (SAMC3323415)</t>
  </si>
  <si>
    <t xml:space="preserve">HRS1030061 </t>
  </si>
  <si>
    <t>P21C3_O</t>
  </si>
  <si>
    <t>P21C3 Organoid</t>
  </si>
  <si>
    <t>P21C3</t>
  </si>
  <si>
    <t>HRR1493982_r2.fastq.gz (6.78 GB)</t>
  </si>
  <si>
    <t>HRX1166246</t>
  </si>
  <si>
    <t>WES of S151</t>
  </si>
  <si>
    <t>HRS1030062 (SAMC3323416)</t>
  </si>
  <si>
    <t xml:space="preserve">HRS1030062 </t>
  </si>
  <si>
    <t>P21C4_O</t>
  </si>
  <si>
    <t>P21C4 Organoid</t>
  </si>
  <si>
    <t>P21C4</t>
  </si>
  <si>
    <t>HRR1493983_r2.fastq.gz (9.07 GB)</t>
  </si>
  <si>
    <t>HRX1166247</t>
  </si>
  <si>
    <t>WES of S152</t>
  </si>
  <si>
    <t>HRS1030063 (SAMC3323417)</t>
  </si>
  <si>
    <t xml:space="preserve">HRS1030063 </t>
  </si>
  <si>
    <t>P21C1_T</t>
  </si>
  <si>
    <t>P21C1 Tumor lesion</t>
  </si>
  <si>
    <t>HRR1493984_r2.fastq.gz (6.12 GB)</t>
  </si>
  <si>
    <t>HRX1166248</t>
  </si>
  <si>
    <t>WES of S153</t>
  </si>
  <si>
    <t>HRS1030064 (SAMC3323418)</t>
  </si>
  <si>
    <t xml:space="preserve">HRS1030064 </t>
  </si>
  <si>
    <t>P21C2_T</t>
  </si>
  <si>
    <t>P21C2 Tumor lesion</t>
  </si>
  <si>
    <t>HRR1493985_r2.fastq.gz (7.34 GB)</t>
  </si>
  <si>
    <t>HRX1166249</t>
  </si>
  <si>
    <t>WES of S154</t>
  </si>
  <si>
    <t>HRS1030065 (SAMC3323419)</t>
  </si>
  <si>
    <t xml:space="preserve">HRS1030065 </t>
  </si>
  <si>
    <t>P21C3_T</t>
  </si>
  <si>
    <t>P21C3 Tumor lesion</t>
  </si>
  <si>
    <t>HRR1493986_r2.fastq.gz (8.32 GB)</t>
  </si>
  <si>
    <t>HRX1166250</t>
  </si>
  <si>
    <t>WES of S155</t>
  </si>
  <si>
    <t>HRS1030066 (SAMC3323420)</t>
  </si>
  <si>
    <t xml:space="preserve">HRS1030066 </t>
  </si>
  <si>
    <t>P21C4_T</t>
  </si>
  <si>
    <t>P21C4 Tumor lesion</t>
  </si>
  <si>
    <t>HRR1493987_r2.fastq.gz (7.66 GB)</t>
  </si>
  <si>
    <t>HRX1166251</t>
  </si>
  <si>
    <t>WES of S156</t>
  </si>
  <si>
    <t>HRS1030067 (SAMC3323421)</t>
  </si>
  <si>
    <t xml:space="preserve">HRS1030067 </t>
  </si>
  <si>
    <t>P21_N</t>
  </si>
  <si>
    <t>P21 Normal control</t>
  </si>
  <si>
    <t>HRR1493988_r2.fastq.gz (6.29 GB)</t>
  </si>
  <si>
    <t>HRX1166252</t>
  </si>
  <si>
    <t>WES of S157</t>
  </si>
  <si>
    <t>HRS1030068 (SAMC3323422)</t>
  </si>
  <si>
    <t xml:space="preserve">HRS1030068 </t>
  </si>
  <si>
    <t>P22C1_O</t>
  </si>
  <si>
    <t>P22C1 Organoid</t>
  </si>
  <si>
    <t>P22</t>
  </si>
  <si>
    <t>P22C1</t>
  </si>
  <si>
    <t>HRR1493989_r2.fastq.gz (5.72 GB)</t>
  </si>
  <si>
    <t>HRX1166253</t>
  </si>
  <si>
    <t>WES of S158</t>
  </si>
  <si>
    <t>HRS1030069 (SAMC3323423)</t>
  </si>
  <si>
    <t xml:space="preserve">HRS1030069 </t>
  </si>
  <si>
    <t>P22C2_O</t>
  </si>
  <si>
    <t>P22C2 Organoid</t>
  </si>
  <si>
    <t>P22C2</t>
  </si>
  <si>
    <t>HRR1493990_r2.fastq.gz (6.15 GB)</t>
  </si>
  <si>
    <t>HRX1166254</t>
  </si>
  <si>
    <t>WES of S162</t>
  </si>
  <si>
    <t>HRS1030073 (SAMC3323427)</t>
  </si>
  <si>
    <t xml:space="preserve">HRS1030073 </t>
  </si>
  <si>
    <t>P22C3_O</t>
  </si>
  <si>
    <t>P22C3 Organoid</t>
  </si>
  <si>
    <t>P22C3</t>
  </si>
  <si>
    <t>HRR1493991_r2.fastq.gz (6.94 GB)</t>
  </si>
  <si>
    <t>HRX1166255</t>
  </si>
  <si>
    <t>WES of S159</t>
  </si>
  <si>
    <t>HRS1030070 (SAMC3323424)</t>
  </si>
  <si>
    <t xml:space="preserve">HRS1030070 </t>
  </si>
  <si>
    <t>P22C1_T</t>
  </si>
  <si>
    <t>P22C1 Tumor lesion</t>
  </si>
  <si>
    <t>HRR1493992_r2.fastq.gz (7.24 GB)</t>
  </si>
  <si>
    <t>HRX1166256</t>
  </si>
  <si>
    <t>WES of S160</t>
  </si>
  <si>
    <t>HRS1030071 (SAMC3323425)</t>
  </si>
  <si>
    <t xml:space="preserve">HRS1030071 </t>
  </si>
  <si>
    <t>P22C2_T</t>
  </si>
  <si>
    <t>P22C2 Tumor lesion</t>
  </si>
  <si>
    <t>HRR1493993_r2.fastq.gz (6.78 GB)</t>
  </si>
  <si>
    <t>HRX1166257</t>
  </si>
  <si>
    <t>WES of S161</t>
  </si>
  <si>
    <t>HRS1030072 (SAMC3323426)</t>
  </si>
  <si>
    <t xml:space="preserve">HRS1030072 </t>
  </si>
  <si>
    <t>P22C3_T</t>
  </si>
  <si>
    <t>P22C3 Tumor lesion</t>
  </si>
  <si>
    <t>HRR1493994_r2.fastq.gz (6.19 GB)</t>
  </si>
  <si>
    <t>HRX1166258</t>
  </si>
  <si>
    <t>WES of S163</t>
  </si>
  <si>
    <t>HRS1030074 (SAMC3323428)</t>
  </si>
  <si>
    <t xml:space="preserve">HRS1030074 </t>
  </si>
  <si>
    <t>P22_N</t>
  </si>
  <si>
    <t>P22 Normal control</t>
  </si>
  <si>
    <t>HRR1493995_r2.fastq.gz (7.13 GB)</t>
  </si>
  <si>
    <t>HRX1166259</t>
  </si>
  <si>
    <t>WES of S164</t>
  </si>
  <si>
    <t>HRS1030075 (SAMC3323429)</t>
  </si>
  <si>
    <t xml:space="preserve">HRS1030075 </t>
  </si>
  <si>
    <t>P23C1_O</t>
  </si>
  <si>
    <t>P23C1 Organoid</t>
  </si>
  <si>
    <t>P23</t>
  </si>
  <si>
    <t>P23C1</t>
  </si>
  <si>
    <t>HRR1493996_r2.fastq.gz (7.31 GB)</t>
  </si>
  <si>
    <t>HRX1166260</t>
  </si>
  <si>
    <t>WES of S165</t>
  </si>
  <si>
    <t>HRS1030076 (SAMC3323430)</t>
  </si>
  <si>
    <t xml:space="preserve">HRS1030076 </t>
  </si>
  <si>
    <t>P23C2_O</t>
  </si>
  <si>
    <t>P23C2 Organoid</t>
  </si>
  <si>
    <t>P23C2</t>
  </si>
  <si>
    <t>HRR1493997_r2.fastq.gz (9.51 GB)</t>
  </si>
  <si>
    <t>HRX1166261</t>
  </si>
  <si>
    <t>WES of S166</t>
  </si>
  <si>
    <t>HRS1030077 (SAMC3323431)</t>
  </si>
  <si>
    <t xml:space="preserve">HRS1030077 </t>
  </si>
  <si>
    <t>P23C3_O</t>
  </si>
  <si>
    <t>P23C3 Organoid</t>
  </si>
  <si>
    <t>P23C3</t>
  </si>
  <si>
    <t>HRR1493998_r2.fastq.gz (8.08 GB)</t>
  </si>
  <si>
    <t>HRX1166262</t>
  </si>
  <si>
    <t>WES of S167</t>
  </si>
  <si>
    <t>HRS1030078 (SAMC3323432)</t>
  </si>
  <si>
    <t xml:space="preserve">HRS1030078 </t>
  </si>
  <si>
    <t>P23C1_T</t>
  </si>
  <si>
    <t>P23C1 Tumor lesion</t>
  </si>
  <si>
    <t>HRR1493999_r2.fastq.gz (7.17 GB)</t>
  </si>
  <si>
    <t>HRX1166263</t>
  </si>
  <si>
    <t>WES of S168</t>
  </si>
  <si>
    <t>HRS1030079 (SAMC3323433)</t>
  </si>
  <si>
    <t xml:space="preserve">HRS1030079 </t>
  </si>
  <si>
    <t>P23C2_T</t>
  </si>
  <si>
    <t>P23C2 Tumor lesion</t>
  </si>
  <si>
    <t>HRR1494000_r2.fastq.gz (7.18 GB)</t>
  </si>
  <si>
    <t>HRX1166264</t>
  </si>
  <si>
    <t>WES of S169</t>
  </si>
  <si>
    <t>HRS1030080 (SAMC3323434)</t>
  </si>
  <si>
    <t xml:space="preserve">HRS1030080 </t>
  </si>
  <si>
    <t>P23C3_T</t>
  </si>
  <si>
    <t>P23C3 Tumor lesion</t>
  </si>
  <si>
    <t>HRR1494001_r2.fastq.gz (6.08 GB)</t>
  </si>
  <si>
    <t>HRX1166265</t>
  </si>
  <si>
    <t>WES of S170</t>
  </si>
  <si>
    <t>HRS1030081 (SAMC3323435)</t>
  </si>
  <si>
    <t xml:space="preserve">HRS1030081 </t>
  </si>
  <si>
    <t>P23_N</t>
  </si>
  <si>
    <t>P23 Normal control</t>
  </si>
  <si>
    <t>HRR1494002_r2.fastq.gz (9.27 GB)</t>
  </si>
  <si>
    <t>HRX1166266</t>
  </si>
  <si>
    <t>WES of S171</t>
  </si>
  <si>
    <t>HRS1030082 (SAMC3323436)</t>
  </si>
  <si>
    <t xml:space="preserve">HRS1030082 </t>
  </si>
  <si>
    <t>P24C1_O</t>
  </si>
  <si>
    <t>P24C1 Organoid</t>
  </si>
  <si>
    <t>P24</t>
  </si>
  <si>
    <t>P24C1</t>
  </si>
  <si>
    <t>HRR1494003_r2.fastq.gz (9.23 GB)</t>
  </si>
  <si>
    <t>HRX1166267</t>
  </si>
  <si>
    <t>WES of S173</t>
  </si>
  <si>
    <t>HRS1030084 (SAMC3323438)</t>
  </si>
  <si>
    <t xml:space="preserve">HRS1030084 </t>
  </si>
  <si>
    <t>P24C2_O</t>
  </si>
  <si>
    <t>P24C2 Organoid</t>
  </si>
  <si>
    <t>P24C2</t>
  </si>
  <si>
    <t>HRR1494004_r2.fastq.gz (6.88 GB)</t>
  </si>
  <si>
    <t>HRX1166268</t>
  </si>
  <si>
    <t>WES of S172</t>
  </si>
  <si>
    <t>HRS1030083 (SAMC3323437)</t>
  </si>
  <si>
    <t xml:space="preserve">HRS1030083 </t>
  </si>
  <si>
    <t>P24C1_T</t>
  </si>
  <si>
    <t>P24C1 Tumor lesion</t>
  </si>
  <si>
    <t>HRR1494005_r2.fastq.gz (8.44 GB)</t>
  </si>
  <si>
    <t>HRX1166269</t>
  </si>
  <si>
    <t>WES of S174</t>
  </si>
  <si>
    <t>HRS1030085 (SAMC3323439)</t>
  </si>
  <si>
    <t xml:space="preserve">HRS1030085 </t>
  </si>
  <si>
    <t>P24C2_T</t>
  </si>
  <si>
    <t>P24C2 Tumor lesion</t>
  </si>
  <si>
    <t>HRR1494006_r2.fastq.gz (7.48 GB)</t>
  </si>
  <si>
    <t>HRX1166270</t>
  </si>
  <si>
    <t>WES of S175</t>
  </si>
  <si>
    <t>HRS1030086 (SAMC3323440)</t>
  </si>
  <si>
    <t xml:space="preserve">HRS1030086 </t>
  </si>
  <si>
    <t>P24_N</t>
  </si>
  <si>
    <t>P24 Normal control</t>
  </si>
  <si>
    <t>HRR1494007_r2.fastq.gz (10.04 GB)</t>
  </si>
  <si>
    <t>HRX1166271</t>
  </si>
  <si>
    <t>WES of S178</t>
  </si>
  <si>
    <t>HRS1030089 (SAMC3323443)</t>
  </si>
  <si>
    <t xml:space="preserve">HRS1030089 </t>
  </si>
  <si>
    <t>P25C1_O</t>
  </si>
  <si>
    <t>P25C1 Organoid</t>
  </si>
  <si>
    <t>P25</t>
  </si>
  <si>
    <t>P25C1</t>
  </si>
  <si>
    <t>HRR1494008_r2.fastq.gz (8.01 GB)</t>
  </si>
  <si>
    <t>HRX1166272</t>
  </si>
  <si>
    <t>WES of S179</t>
  </si>
  <si>
    <t>HRS1030090 (SAMC3323444)</t>
  </si>
  <si>
    <t xml:space="preserve">HRS1030090 </t>
  </si>
  <si>
    <t>P25C2_O</t>
  </si>
  <si>
    <t>P25C2 Organoid</t>
  </si>
  <si>
    <t>P25C2</t>
  </si>
  <si>
    <t>HRR1494009_r2.fastq.gz (8.61 GB)</t>
  </si>
  <si>
    <t>HRX1166273</t>
  </si>
  <si>
    <t>WES of S180</t>
  </si>
  <si>
    <t>HRS1030091 (SAMC3323445)</t>
  </si>
  <si>
    <t xml:space="preserve">HRS1030091 </t>
  </si>
  <si>
    <t>P25C3_O</t>
  </si>
  <si>
    <t>P25C3 Organoid</t>
  </si>
  <si>
    <t>P25C3</t>
  </si>
  <si>
    <t>HRR1494010_r2.fastq.gz (9.25 GB)</t>
  </si>
  <si>
    <t>HRX1166274</t>
  </si>
  <si>
    <t>WES of S181</t>
  </si>
  <si>
    <t>HRS1030092 (SAMC3323446)</t>
  </si>
  <si>
    <t xml:space="preserve">HRS1030092 </t>
  </si>
  <si>
    <t>P25C4_O</t>
  </si>
  <si>
    <t>P25C4 Organoid</t>
  </si>
  <si>
    <t>P25C4</t>
  </si>
  <si>
    <t>HRR1494011_r2.fastq.gz (8.66 GB)</t>
  </si>
  <si>
    <t>HRX1166275</t>
  </si>
  <si>
    <t>WES of S182</t>
  </si>
  <si>
    <t>HRS1030093 (SAMC3323447)</t>
  </si>
  <si>
    <t xml:space="preserve">HRS1030093 </t>
  </si>
  <si>
    <t>P25C5_O</t>
  </si>
  <si>
    <t>P25C5 Organoid</t>
  </si>
  <si>
    <t>P25C5</t>
  </si>
  <si>
    <t>HRR1494012_r2.fastq.gz (9.99 GB)</t>
  </si>
  <si>
    <t>HRX1166276</t>
  </si>
  <si>
    <t>WES of S183</t>
  </si>
  <si>
    <t>HRS1030094 (SAMC3323448)</t>
  </si>
  <si>
    <t xml:space="preserve">HRS1030094 </t>
  </si>
  <si>
    <t>P25C1_T</t>
  </si>
  <si>
    <t>P25C1 Tumor lesion</t>
  </si>
  <si>
    <t>HRR1494013_r2.fastq.gz (7.57 GB)</t>
  </si>
  <si>
    <t>HRX1166277</t>
  </si>
  <si>
    <t>WES of S184</t>
  </si>
  <si>
    <t>HRS1030095 (SAMC3323449)</t>
  </si>
  <si>
    <t xml:space="preserve">HRS1030095 </t>
  </si>
  <si>
    <t>P25C2_T</t>
  </si>
  <si>
    <t>P25C2 Tumor lesion</t>
  </si>
  <si>
    <t>HRR1494014_r2.fastq.gz (9.37 GB)</t>
  </si>
  <si>
    <t>HRX1166278</t>
  </si>
  <si>
    <t>WES of S185</t>
  </si>
  <si>
    <t>HRS1030096 (SAMC3323450)</t>
  </si>
  <si>
    <t xml:space="preserve">HRS1030096 </t>
  </si>
  <si>
    <t>P25C3_T</t>
  </si>
  <si>
    <t>P25C3 Tumor lesion</t>
  </si>
  <si>
    <t>HRR1494015_r2.fastq.gz (8.88 GB)</t>
  </si>
  <si>
    <t>HRX1166279</t>
  </si>
  <si>
    <t>WES of S186</t>
  </si>
  <si>
    <t>HRS1030097 (SAMC3323451)</t>
  </si>
  <si>
    <t xml:space="preserve">HRS1030097 </t>
  </si>
  <si>
    <t>P25C4_T</t>
  </si>
  <si>
    <t>P25C4 Tumor lesion</t>
  </si>
  <si>
    <t>HRR1494016_r2.fastq.gz (8.69 GB)</t>
  </si>
  <si>
    <t>HRX1166280</t>
  </si>
  <si>
    <t>WES of S187</t>
  </si>
  <si>
    <t>HRS1030098 (SAMC3323452)</t>
  </si>
  <si>
    <t xml:space="preserve">HRS1030098 </t>
  </si>
  <si>
    <t>P25C5_T</t>
  </si>
  <si>
    <t>P25C5 Tumor lesion</t>
  </si>
  <si>
    <t>HRR1494017_r2.fastq.gz (8.03 GB)</t>
  </si>
  <si>
    <t>HRX1166281</t>
  </si>
  <si>
    <t>WES of S188</t>
  </si>
  <si>
    <t>HRS1030099 (SAMC3323453)</t>
  </si>
  <si>
    <t xml:space="preserve">HRS1030099 </t>
  </si>
  <si>
    <t>P25_N</t>
  </si>
  <si>
    <t>P25 Normal control</t>
  </si>
  <si>
    <t>HRR1494018_r2.fastq.gz (9.08 GB)</t>
  </si>
  <si>
    <t>HRX1166282</t>
  </si>
  <si>
    <t>WES of S191</t>
  </si>
  <si>
    <t>HRS1030102 (SAMC3323456)</t>
  </si>
  <si>
    <t xml:space="preserve">HRS1030102 </t>
  </si>
  <si>
    <t>P26C1_O</t>
  </si>
  <si>
    <t>P26C1 Organoid</t>
  </si>
  <si>
    <t>P26</t>
  </si>
  <si>
    <t>P26C1</t>
  </si>
  <si>
    <t>HRR1494019_r2.fastq.gz (8.70 GB)</t>
  </si>
  <si>
    <t>HRX1166283</t>
  </si>
  <si>
    <t>WES of S192</t>
  </si>
  <si>
    <t>HRS1030103 (SAMC3323457)</t>
  </si>
  <si>
    <t xml:space="preserve">HRS1030103 </t>
  </si>
  <si>
    <t>P26C2_O</t>
  </si>
  <si>
    <t>P26C2 Organoid</t>
  </si>
  <si>
    <t>P26C2</t>
  </si>
  <si>
    <t>HRR1494020_r2.fastq.gz (7.80 GB)</t>
  </si>
  <si>
    <t>HRX1166284</t>
  </si>
  <si>
    <t>WES of S193</t>
  </si>
  <si>
    <t>HRS1030104 (SAMC3323458)</t>
  </si>
  <si>
    <t xml:space="preserve">HRS1030104 </t>
  </si>
  <si>
    <t>P26C3_O</t>
  </si>
  <si>
    <t>P26C3 Organoid</t>
  </si>
  <si>
    <t>P26C3</t>
  </si>
  <si>
    <t>HRR1494021_r2.fastq.gz (9.54 GB)</t>
  </si>
  <si>
    <t>HRX1166285</t>
  </si>
  <si>
    <t>WES of S194</t>
  </si>
  <si>
    <t>HRS1030105 (SAMC3323459)</t>
  </si>
  <si>
    <t xml:space="preserve">HRS1030105 </t>
  </si>
  <si>
    <t>P26C4_O</t>
  </si>
  <si>
    <t>P26C4 Organoid</t>
  </si>
  <si>
    <t>P26C4</t>
  </si>
  <si>
    <t>HRR1494022_r2.fastq.gz (9.07 GB)</t>
  </si>
  <si>
    <t>HRX1166286</t>
  </si>
  <si>
    <t>WES of S195</t>
  </si>
  <si>
    <t>HRS1030106 (SAMC3323460)</t>
  </si>
  <si>
    <t xml:space="preserve">HRS1030106 </t>
  </si>
  <si>
    <t>P26C5_O</t>
  </si>
  <si>
    <t>P26C5 Organoid</t>
  </si>
  <si>
    <t>P26C5</t>
  </si>
  <si>
    <t>HRR1494023_r2.fastq.gz (8.54 GB)</t>
  </si>
  <si>
    <t>HRX1166287</t>
  </si>
  <si>
    <t>WES of S196</t>
  </si>
  <si>
    <t>HRS1030107 (SAMC3323461)</t>
  </si>
  <si>
    <t xml:space="preserve">HRS1030107 </t>
  </si>
  <si>
    <t>P26C1_T</t>
  </si>
  <si>
    <t>P26C1 Tumor lesion</t>
  </si>
  <si>
    <t>HRR1494024_r2.fastq.gz (7.79 GB)</t>
  </si>
  <si>
    <t>HRX1166288</t>
  </si>
  <si>
    <t>WES of S197</t>
  </si>
  <si>
    <t>HRS1030108 (SAMC3323462)</t>
  </si>
  <si>
    <t xml:space="preserve">HRS1030108 </t>
  </si>
  <si>
    <t>P26C2_T</t>
  </si>
  <si>
    <t>P26C2 Tumor lesion</t>
  </si>
  <si>
    <t>HRR1494025_r2.fastq.gz (9.90 GB)</t>
  </si>
  <si>
    <t>HRX1166289</t>
  </si>
  <si>
    <t>WES of S198</t>
  </si>
  <si>
    <t>HRS1030109 (SAMC3323463)</t>
  </si>
  <si>
    <t xml:space="preserve">HRS1030109 </t>
  </si>
  <si>
    <t>P26C3_T</t>
  </si>
  <si>
    <t>P26C3 Tumor lesion</t>
  </si>
  <si>
    <t>HRR1494026_r2.fastq.gz (8.06 GB)</t>
  </si>
  <si>
    <t>HRX1166290</t>
  </si>
  <si>
    <t>WES of S199</t>
  </si>
  <si>
    <t>HRS1030110 (SAMC3323464)</t>
  </si>
  <si>
    <t xml:space="preserve">HRS1030110 </t>
  </si>
  <si>
    <t>P26C4_T</t>
  </si>
  <si>
    <t>P26C4 Tumor lesion</t>
  </si>
  <si>
    <t>HRR1494027_r2.fastq.gz (9.21 GB)</t>
  </si>
  <si>
    <t>HRX1166291</t>
  </si>
  <si>
    <t>WES of S200</t>
  </si>
  <si>
    <t>HRS1030111 (SAMC3323465)</t>
  </si>
  <si>
    <t xml:space="preserve">HRS1030111 </t>
  </si>
  <si>
    <t>P26C5_T</t>
  </si>
  <si>
    <t>P26C5 Tumor lesion</t>
  </si>
  <si>
    <t>HRR1494028_r2.fastq.gz (9.30 GB)</t>
  </si>
  <si>
    <t>HRX1166292</t>
  </si>
  <si>
    <t>WES of S201</t>
  </si>
  <si>
    <t>HRS1030112 (SAMC3323466)</t>
  </si>
  <si>
    <t xml:space="preserve">HRS1030112 </t>
  </si>
  <si>
    <t>P26_N</t>
  </si>
  <si>
    <t>P26 Normal control</t>
  </si>
  <si>
    <t>HRR1494029_r2.fastq.gz (6.82 GB)</t>
  </si>
  <si>
    <t>HRX1166293</t>
  </si>
  <si>
    <t>WES of S204</t>
  </si>
  <si>
    <t>HRS1030115 (SAMC3323469)</t>
  </si>
  <si>
    <t xml:space="preserve">HRS1030115 </t>
  </si>
  <si>
    <t>P27C1_O</t>
  </si>
  <si>
    <t>P27C1 Organoid</t>
  </si>
  <si>
    <t>P27</t>
  </si>
  <si>
    <t>P27C1</t>
  </si>
  <si>
    <t>HRR1494030_r2.fastq.gz (8.36 GB)</t>
  </si>
  <si>
    <t>HRX1166294</t>
  </si>
  <si>
    <t>WES of S205</t>
  </si>
  <si>
    <t>HRS1030116 (SAMC3323470)</t>
  </si>
  <si>
    <t xml:space="preserve">HRS1030116 </t>
  </si>
  <si>
    <t>P27C2_O</t>
  </si>
  <si>
    <t>P27C2 Organoid</t>
  </si>
  <si>
    <t>P27C2</t>
  </si>
  <si>
    <t>HRR1494031_r2.fastq.gz (9.60 GB)</t>
  </si>
  <si>
    <t>HRX1166295</t>
  </si>
  <si>
    <t>WES of S206</t>
  </si>
  <si>
    <t>HRS1030117 (SAMC3323471)</t>
  </si>
  <si>
    <t xml:space="preserve">HRS1030117 </t>
  </si>
  <si>
    <t>P27C3_O</t>
  </si>
  <si>
    <t>P27C3 Organoid</t>
  </si>
  <si>
    <t>P27C3</t>
  </si>
  <si>
    <t>HRR1494032_r2.fastq.gz (7.46 GB)</t>
  </si>
  <si>
    <t>HRX1166296</t>
  </si>
  <si>
    <t>WES of S207</t>
  </si>
  <si>
    <t>HRS1030118 (SAMC3323472)</t>
  </si>
  <si>
    <t xml:space="preserve">HRS1030118 </t>
  </si>
  <si>
    <t>P27C1_T</t>
  </si>
  <si>
    <t>P27C1 Tumor lesion</t>
  </si>
  <si>
    <t>HRR1494033_r2.fastq.gz (8.40 GB)</t>
  </si>
  <si>
    <t>HRX1166297</t>
  </si>
  <si>
    <t>WES of S208</t>
  </si>
  <si>
    <t>HRS1030119 (SAMC3323473)</t>
  </si>
  <si>
    <t xml:space="preserve">HRS1030119 </t>
  </si>
  <si>
    <t>P27C2_T</t>
  </si>
  <si>
    <t>P27C2 Tumor lesion</t>
  </si>
  <si>
    <t>HRR1494034_r2.fastq.gz (8.11 GB)</t>
  </si>
  <si>
    <t>HRX1166298</t>
  </si>
  <si>
    <t>WES of S209</t>
  </si>
  <si>
    <t>HRS1030120 (SAMC3323474)</t>
  </si>
  <si>
    <t xml:space="preserve">HRS1030120 </t>
  </si>
  <si>
    <t>P27C3_T</t>
  </si>
  <si>
    <t>P27C3 Tumor lesion</t>
  </si>
  <si>
    <t>HRR1494035_r2.fastq.gz (8.82 GB)</t>
  </si>
  <si>
    <t>HRX1166299</t>
  </si>
  <si>
    <t>WES of S210</t>
  </si>
  <si>
    <t>HRS1030121 (SAMC3323475)</t>
  </si>
  <si>
    <t xml:space="preserve">HRS1030121 </t>
  </si>
  <si>
    <t>P27_N</t>
  </si>
  <si>
    <t>P27 Normal control</t>
  </si>
  <si>
    <t>HRR1494036_r2.fastq.gz (5.96 GB)</t>
  </si>
  <si>
    <t>HRX1166300</t>
  </si>
  <si>
    <t>WES of S211</t>
  </si>
  <si>
    <t>HRS1030122 (SAMC3323476)</t>
  </si>
  <si>
    <t xml:space="preserve">HRS1030122 </t>
  </si>
  <si>
    <t>P28C1_O</t>
  </si>
  <si>
    <t>P28C1 Organoid</t>
  </si>
  <si>
    <t>P28</t>
  </si>
  <si>
    <t>P28C1</t>
  </si>
  <si>
    <t>HRR1494037_r2.fastq.gz (6.21 GB)</t>
  </si>
  <si>
    <t>HRX1166301</t>
  </si>
  <si>
    <t>WES of S215</t>
  </si>
  <si>
    <t>HRS1030126 (SAMC3323480)</t>
  </si>
  <si>
    <t xml:space="preserve">HRS1030126 </t>
  </si>
  <si>
    <t>P28C2_O</t>
  </si>
  <si>
    <t>P28C2 Organoid</t>
  </si>
  <si>
    <t>P28C2</t>
  </si>
  <si>
    <t>HRR1494038_r2.fastq.gz (6.27 GB)</t>
  </si>
  <si>
    <t>HRX1166302</t>
  </si>
  <si>
    <t>WES of S216</t>
  </si>
  <si>
    <t>HRS1030127 (SAMC3323481)</t>
  </si>
  <si>
    <t xml:space="preserve">HRS1030127 </t>
  </si>
  <si>
    <t>P28C3_O</t>
  </si>
  <si>
    <t>P28C3 Organoid</t>
  </si>
  <si>
    <t>P28C3</t>
  </si>
  <si>
    <t>HRR1494039_r2.fastq.gz (6.27 GB)</t>
  </si>
  <si>
    <t>HRX1166303</t>
  </si>
  <si>
    <t>WES of S212</t>
  </si>
  <si>
    <t>HRS1030123 (SAMC3323477)</t>
  </si>
  <si>
    <t xml:space="preserve">HRS1030123 </t>
  </si>
  <si>
    <t>P28C4_O</t>
  </si>
  <si>
    <t>P28C4 Organoid</t>
  </si>
  <si>
    <t>P28C4</t>
  </si>
  <si>
    <t>HRR1494040_r2.fastq.gz (5.95 GB)</t>
  </si>
  <si>
    <t>HRX1166304</t>
  </si>
  <si>
    <t>WES of S217</t>
  </si>
  <si>
    <t>HRS1030128 (SAMC3323482)</t>
  </si>
  <si>
    <t xml:space="preserve">HRS1030128 </t>
  </si>
  <si>
    <t>P28_N</t>
  </si>
  <si>
    <t>P28 Normal control</t>
  </si>
  <si>
    <t>HRR1494041_r2.fastq.gz (6.25 GB)</t>
  </si>
  <si>
    <t>HRX1166305</t>
  </si>
  <si>
    <t>WES of S213</t>
  </si>
  <si>
    <t>HRS1030124 (SAMC3323478)</t>
  </si>
  <si>
    <t xml:space="preserve">HRS1030124 </t>
  </si>
  <si>
    <t>P28C1_T</t>
  </si>
  <si>
    <t>P28C1 Tumor lesion</t>
  </si>
  <si>
    <t>HRR1494042_r2.fastq.gz (6.26 GB)</t>
  </si>
  <si>
    <t>HRX1166306</t>
  </si>
  <si>
    <t>WES of S218</t>
  </si>
  <si>
    <t>HRS1030129 (SAMC3323483)</t>
  </si>
  <si>
    <t xml:space="preserve">HRS1030129 </t>
  </si>
  <si>
    <t>P28C2_T</t>
  </si>
  <si>
    <t>P28C2 Tumor lesion</t>
  </si>
  <si>
    <t>HRR1494043_r2.fastq.gz (6.07 GB)</t>
  </si>
  <si>
    <t>HRX1166307</t>
  </si>
  <si>
    <t>WES of S219</t>
  </si>
  <si>
    <t>HRS1030130 (SAMC3323484)</t>
  </si>
  <si>
    <t xml:space="preserve">HRS1030130 </t>
  </si>
  <si>
    <t>P28C3_T</t>
  </si>
  <si>
    <t>P28C3 Tumor lesion</t>
  </si>
  <si>
    <t>HRR1494044_r2.fastq.gz (5.77 GB)</t>
  </si>
  <si>
    <t>HRX1166308</t>
  </si>
  <si>
    <t>WES of S214</t>
  </si>
  <si>
    <t>HRS1030125 (SAMC3323479)</t>
  </si>
  <si>
    <t xml:space="preserve">HRS1030125 </t>
  </si>
  <si>
    <t>P28C4_T</t>
  </si>
  <si>
    <t>P28C4 Tumor lesion</t>
  </si>
  <si>
    <t>HRR1494045_r2.fastq.gz (6.64 GB)</t>
  </si>
  <si>
    <t>HRX1166309</t>
  </si>
  <si>
    <t>WES of S221</t>
  </si>
  <si>
    <t>HRS1030132 (SAMC3323486)</t>
  </si>
  <si>
    <t xml:space="preserve">HRS1030132 </t>
  </si>
  <si>
    <t>P29C1_O</t>
  </si>
  <si>
    <t>P29C1 Organoid</t>
  </si>
  <si>
    <t>P29</t>
  </si>
  <si>
    <t>P29C1</t>
  </si>
  <si>
    <t>HRR1494046_r2.fastq.gz (8.39 GB)</t>
  </si>
  <si>
    <t>HRX1166310</t>
  </si>
  <si>
    <t>WES of S222</t>
  </si>
  <si>
    <t>HRS1030133 (SAMC3323487)</t>
  </si>
  <si>
    <t xml:space="preserve">HRS1030133 </t>
  </si>
  <si>
    <t>P29C2_O</t>
  </si>
  <si>
    <t>P29C2 Organoid</t>
  </si>
  <si>
    <t>P29C2</t>
  </si>
  <si>
    <t>HRR1494047_r2.fastq.gz (6.77 GB)</t>
  </si>
  <si>
    <t>HRX1166311</t>
  </si>
  <si>
    <t>WES of S223</t>
  </si>
  <si>
    <t>HRS1030134 (SAMC3323488)</t>
  </si>
  <si>
    <t xml:space="preserve">HRS1030134 </t>
  </si>
  <si>
    <t>P29C3_O</t>
  </si>
  <si>
    <t>P29C3 Organoid</t>
  </si>
  <si>
    <t>P29C3</t>
  </si>
  <si>
    <t>HRR1494048_r2.fastq.gz (7.15 GB)</t>
  </si>
  <si>
    <t>HRX1166312</t>
  </si>
  <si>
    <t>WES of S224</t>
  </si>
  <si>
    <t>HRS1030135 (SAMC3323489)</t>
  </si>
  <si>
    <t xml:space="preserve">HRS1030135 </t>
  </si>
  <si>
    <t>P29C1_T</t>
  </si>
  <si>
    <t>P29C1 Tumor lesion</t>
  </si>
  <si>
    <t>HRR1494049_r2.fastq.gz (7.25 GB)</t>
  </si>
  <si>
    <t>HRX1166313</t>
  </si>
  <si>
    <t>WES of S225</t>
  </si>
  <si>
    <t>HRS1030136 (SAMC3323490)</t>
  </si>
  <si>
    <t xml:space="preserve">HRS1030136 </t>
  </si>
  <si>
    <t>P29C2_T</t>
  </si>
  <si>
    <t>P29C2 Tumor lesion</t>
  </si>
  <si>
    <t>HRR1494050_r2.fastq.gz (7.57 GB)</t>
  </si>
  <si>
    <t>HRX1166314</t>
  </si>
  <si>
    <t>WES of S226</t>
  </si>
  <si>
    <t>HRS1030137 (SAMC3323491)</t>
  </si>
  <si>
    <t xml:space="preserve">HRS1030137 </t>
  </si>
  <si>
    <t>P29C3_T</t>
  </si>
  <si>
    <t>P29C3 Tumor lesion</t>
  </si>
  <si>
    <t>HRR1494051_r2.fastq.gz (13.87 GB)</t>
  </si>
  <si>
    <t>HRX1166315</t>
  </si>
  <si>
    <t>WES of S227</t>
  </si>
  <si>
    <t>HRS1030138 (SAMC3323492)</t>
  </si>
  <si>
    <t xml:space="preserve">HRS1030138 </t>
  </si>
  <si>
    <t>P29_N</t>
  </si>
  <si>
    <t>P29 Normal control</t>
  </si>
  <si>
    <t>HRR1494052_r2.fastq.gz (6.34 GB)</t>
  </si>
  <si>
    <t>HRX1166316</t>
  </si>
  <si>
    <t>WES of S228</t>
  </si>
  <si>
    <t>HRS1030139 (SAMC3323493)</t>
  </si>
  <si>
    <t xml:space="preserve">HRS1030139 </t>
  </si>
  <si>
    <t>P30_N</t>
  </si>
  <si>
    <t>P30 Normal control</t>
  </si>
  <si>
    <t>P30</t>
  </si>
  <si>
    <t>HRR1494053_r2.fastq.gz (5.43 GB)</t>
  </si>
  <si>
    <t>HRX1166317</t>
  </si>
  <si>
    <t>WES of S229</t>
  </si>
  <si>
    <t>HRS1030140 (SAMC3323494)</t>
  </si>
  <si>
    <t xml:space="preserve">HRS1030140 </t>
  </si>
  <si>
    <t>P30C1_O</t>
  </si>
  <si>
    <t>P30C1 Organoid</t>
  </si>
  <si>
    <t>P30C1</t>
  </si>
  <si>
    <t>HRR1494054_r2.fastq.gz (5.91 GB)</t>
  </si>
  <si>
    <t>HRX1166318</t>
  </si>
  <si>
    <t>WES of S230</t>
  </si>
  <si>
    <t>HRS1030141 (SAMC3323495)</t>
  </si>
  <si>
    <t xml:space="preserve">HRS1030141 </t>
  </si>
  <si>
    <t>P30C2_O</t>
  </si>
  <si>
    <t>P30C2 Organoid</t>
  </si>
  <si>
    <t>P30C2</t>
  </si>
  <si>
    <t>HRR1494055_r2.fastq.gz (5.79 GB)</t>
  </si>
  <si>
    <t>HRX1166319</t>
  </si>
  <si>
    <t>WES of S231</t>
  </si>
  <si>
    <t>HRS1030142 (SAMC3323496)</t>
  </si>
  <si>
    <t xml:space="preserve">HRS1030142 </t>
  </si>
  <si>
    <t>P30C3_O</t>
  </si>
  <si>
    <t>P30C3 Organoid</t>
  </si>
  <si>
    <t>P30C3</t>
  </si>
  <si>
    <t>HRR1494056_r2.fastq.gz (5.95 GB)</t>
  </si>
  <si>
    <t>HRX1166320</t>
  </si>
  <si>
    <t>WES of S232</t>
  </si>
  <si>
    <t>HRS1030143 (SAMC3323497)</t>
  </si>
  <si>
    <t xml:space="preserve">HRS1030143 </t>
  </si>
  <si>
    <t>P30C4_O</t>
  </si>
  <si>
    <t>P30C4 Organoid</t>
  </si>
  <si>
    <t>P30C4</t>
  </si>
  <si>
    <t>HRR1494057_r2.fastq.gz (6.08 GB)</t>
  </si>
  <si>
    <t>HRX1166321</t>
  </si>
  <si>
    <t>WES of S233</t>
  </si>
  <si>
    <t>HRS1030144 (SAMC3323498)</t>
  </si>
  <si>
    <t xml:space="preserve">HRS1030144 </t>
  </si>
  <si>
    <t>P30C1_T</t>
  </si>
  <si>
    <t>P30C1 Tumor lesion</t>
  </si>
  <si>
    <t>HRR1494058_r2.fastq.gz (5.94 GB)</t>
  </si>
  <si>
    <t>HRX1166322</t>
  </si>
  <si>
    <t>WES of S234</t>
  </si>
  <si>
    <t>HRS1030145 (SAMC3323499)</t>
  </si>
  <si>
    <t xml:space="preserve">HRS1030145 </t>
  </si>
  <si>
    <t>P30C2_T</t>
  </si>
  <si>
    <t>P30C2 Tumor lesion</t>
  </si>
  <si>
    <t>HRR1494059_r2.fastq.gz (5.86 GB)</t>
  </si>
  <si>
    <t>HRX1166323</t>
  </si>
  <si>
    <t>WES of S235</t>
  </si>
  <si>
    <t>HRS1030146 (SAMC3323500)</t>
  </si>
  <si>
    <t xml:space="preserve">HRS1030146 </t>
  </si>
  <si>
    <t>P30C3_T</t>
  </si>
  <si>
    <t>P30C3 Tumor lesion</t>
  </si>
  <si>
    <t>HRR1494060_r2.fastq.gz (5.83 GB)</t>
  </si>
  <si>
    <t>HRX1166324</t>
  </si>
  <si>
    <t>WES of S236</t>
  </si>
  <si>
    <t>HRS1030147 (SAMC3323501)</t>
  </si>
  <si>
    <t xml:space="preserve">HRS1030147 </t>
  </si>
  <si>
    <t>P30C4_T</t>
  </si>
  <si>
    <t>P30C4 Tumor lesion</t>
  </si>
  <si>
    <t>HRR1494061_r2.fastq.gz (6.40 GB)</t>
  </si>
  <si>
    <t>HRX1166325</t>
  </si>
  <si>
    <t>WES of S239</t>
  </si>
  <si>
    <t>HRS1030150 (SAMC3323504)</t>
  </si>
  <si>
    <t xml:space="preserve">HRS1030150 </t>
  </si>
  <si>
    <t>P31C1_O</t>
  </si>
  <si>
    <t>P31C1 Organoid</t>
  </si>
  <si>
    <t>P31</t>
  </si>
  <si>
    <t>P31C1</t>
  </si>
  <si>
    <t>HRR1494062_r2.fastq.gz (6.77 GB)</t>
  </si>
  <si>
    <t>HRX1166326</t>
  </si>
  <si>
    <t>WES of S240</t>
  </si>
  <si>
    <t>HRS1030151 (SAMC3323505)</t>
  </si>
  <si>
    <t xml:space="preserve">HRS1030151 </t>
  </si>
  <si>
    <t>P31C1_T</t>
  </si>
  <si>
    <t>P31C1 Tumor lesion</t>
  </si>
  <si>
    <t>HRR1494063_r2.fastq.gz (7.61 GB)</t>
  </si>
  <si>
    <t>HRX1166327</t>
  </si>
  <si>
    <t>WES of S241</t>
  </si>
  <si>
    <t>HRS1030152 (SAMC3323506)</t>
  </si>
  <si>
    <t xml:space="preserve">HRS1030152 </t>
  </si>
  <si>
    <t>P31_N</t>
  </si>
  <si>
    <t>P31 Normal control</t>
  </si>
  <si>
    <t>HRR1494064_r2.fastq.gz (7.40 GB)</t>
  </si>
  <si>
    <t>HRX1166328</t>
  </si>
  <si>
    <t>WES of S243</t>
  </si>
  <si>
    <t>HRS1030154 (SAMC3323508)</t>
  </si>
  <si>
    <t xml:space="preserve">HRS1030154 </t>
  </si>
  <si>
    <t>P32C1_O</t>
  </si>
  <si>
    <t>P32C1 Organoid</t>
  </si>
  <si>
    <t>P32</t>
  </si>
  <si>
    <t>P32C1</t>
  </si>
  <si>
    <t>HRR1494065_r2.fastq.gz (8.69 GB)</t>
  </si>
  <si>
    <t>HRX1166329</t>
  </si>
  <si>
    <t>WES of S244</t>
  </si>
  <si>
    <t>HRS1030155 (SAMC3323509)</t>
  </si>
  <si>
    <t xml:space="preserve">HRS1030155 </t>
  </si>
  <si>
    <t>P32C2_O</t>
  </si>
  <si>
    <t>P32C2 Organoid</t>
  </si>
  <si>
    <t>P32C2</t>
  </si>
  <si>
    <t>HRR1494066_r2.fastq.gz (8.71 GB)</t>
  </si>
  <si>
    <t>HRX1166330</t>
  </si>
  <si>
    <t>WES of S245</t>
  </si>
  <si>
    <t>HRS1030156 (SAMC3323510)</t>
  </si>
  <si>
    <t xml:space="preserve">HRS1030156 </t>
  </si>
  <si>
    <t>P32C1_T</t>
  </si>
  <si>
    <t>P32C1 Tumor lesion</t>
  </si>
  <si>
    <t>HRR1494067_r2.fastq.gz (8.29 GB)</t>
  </si>
  <si>
    <t>HRX1166331</t>
  </si>
  <si>
    <t>WES of S246</t>
  </si>
  <si>
    <t>HRS1030157 (SAMC3323511)</t>
  </si>
  <si>
    <t xml:space="preserve">HRS1030157 </t>
  </si>
  <si>
    <t>P32C2_T</t>
  </si>
  <si>
    <t>P32C2 Tumor lesion</t>
  </si>
  <si>
    <t>HRR1494068_r2.fastq.gz (7.86 GB)</t>
  </si>
  <si>
    <t>HRX1166332</t>
  </si>
  <si>
    <t>WES of S247</t>
  </si>
  <si>
    <t>HRS1030158 (SAMC3323512)</t>
  </si>
  <si>
    <t xml:space="preserve">HRS1030158 </t>
  </si>
  <si>
    <t>P32_N</t>
  </si>
  <si>
    <t>P32 Normal control</t>
  </si>
  <si>
    <t>HRR1494069_r2.fastq.gz (8.42 GB)</t>
  </si>
  <si>
    <t>HRX1166333</t>
  </si>
  <si>
    <t>WES of S254</t>
  </si>
  <si>
    <t>HRS1030165 (SAMC3323519)</t>
  </si>
  <si>
    <t xml:space="preserve">HRS1030165 </t>
  </si>
  <si>
    <t>P33_B</t>
  </si>
  <si>
    <t>P33 Blood control</t>
  </si>
  <si>
    <t>P33</t>
  </si>
  <si>
    <t>HRR1494070_r2.fastq.gz (6.72 GB)</t>
  </si>
  <si>
    <t>HRX1166334</t>
  </si>
  <si>
    <t>WES of S250</t>
  </si>
  <si>
    <t>HRS1030161 (SAMC3323515)</t>
  </si>
  <si>
    <t xml:space="preserve">HRS1030161 </t>
  </si>
  <si>
    <t>P33C1_O</t>
  </si>
  <si>
    <t>P33C1 Organoid</t>
  </si>
  <si>
    <t>P33C1</t>
  </si>
  <si>
    <t>HRR1494071_r2.fastq.gz (7.25 GB)</t>
  </si>
  <si>
    <t>HRX1166335</t>
  </si>
  <si>
    <t>WES of S251</t>
  </si>
  <si>
    <t>HRS1030162 (SAMC3323516)</t>
  </si>
  <si>
    <t xml:space="preserve">HRS1030162 </t>
  </si>
  <si>
    <t>P33C2_O</t>
  </si>
  <si>
    <t>P33C2 Organoid</t>
  </si>
  <si>
    <t>P33C2</t>
  </si>
  <si>
    <t>HRR1494072_r2.fastq.gz (6.65 GB)</t>
  </si>
  <si>
    <t>HRX1166336</t>
  </si>
  <si>
    <t>WES of S252</t>
  </si>
  <si>
    <t>HRS1030163 (SAMC3323517)</t>
  </si>
  <si>
    <t xml:space="preserve">HRS1030163 </t>
  </si>
  <si>
    <t>P33C1_T</t>
  </si>
  <si>
    <t>P33C1 Tumor lesion</t>
  </si>
  <si>
    <t>HRR1494073_r2.fastq.gz (6.84 GB)</t>
  </si>
  <si>
    <t>HRX1166337</t>
  </si>
  <si>
    <t>WES of S253</t>
  </si>
  <si>
    <t>HRS1030164 (SAMC3323518)</t>
  </si>
  <si>
    <t xml:space="preserve">HRS1030164 </t>
  </si>
  <si>
    <t>P33C2_T</t>
  </si>
  <si>
    <t>P33C2 Tumor lesion</t>
  </si>
  <si>
    <t>HRR1494074_r2.fastq.gz (8.77 GB)</t>
  </si>
  <si>
    <t>HRX1166338</t>
  </si>
  <si>
    <t>WES of S263</t>
  </si>
  <si>
    <t>HRS1030174 (SAMC3323528)</t>
  </si>
  <si>
    <t xml:space="preserve">HRS1030174 </t>
  </si>
  <si>
    <t>P34_B</t>
  </si>
  <si>
    <t>P34 Blood control</t>
  </si>
  <si>
    <t>P34</t>
  </si>
  <si>
    <t>HRR1494075_r2.fastq.gz (6.56 GB)</t>
  </si>
  <si>
    <t>HRX1166339</t>
  </si>
  <si>
    <t>WES of S257</t>
  </si>
  <si>
    <t>HRS1030168 (SAMC3323522)</t>
  </si>
  <si>
    <t xml:space="preserve">HRS1030168 </t>
  </si>
  <si>
    <t>P34C1_O</t>
  </si>
  <si>
    <t>P34C1 Organoid</t>
  </si>
  <si>
    <t>P34C1</t>
  </si>
  <si>
    <t>HRR1494076_r2.fastq.gz (7.46 GB)</t>
  </si>
  <si>
    <t>HRX1166340</t>
  </si>
  <si>
    <t>WES of S258</t>
  </si>
  <si>
    <t>HRS1030169 (SAMC3323523)</t>
  </si>
  <si>
    <t xml:space="preserve">HRS1030169 </t>
  </si>
  <si>
    <t>P34C2_O</t>
  </si>
  <si>
    <t>P34C2 Organoid</t>
  </si>
  <si>
    <t>P34C2</t>
  </si>
  <si>
    <t>HRR1494077_r2.fastq.gz (7.38 GB)</t>
  </si>
  <si>
    <t>HRX1166341</t>
  </si>
  <si>
    <t>WES of S259</t>
  </si>
  <si>
    <t>HRS1030170 (SAMC3323524)</t>
  </si>
  <si>
    <t xml:space="preserve">HRS1030170 </t>
  </si>
  <si>
    <t>P34C3_O</t>
  </si>
  <si>
    <t>P34C3 Organoid</t>
  </si>
  <si>
    <t>P34C3</t>
  </si>
  <si>
    <t>HRR1494078_r2.fastq.gz (7.67 GB)</t>
  </si>
  <si>
    <t>HRX1166342</t>
  </si>
  <si>
    <t>WES of S260</t>
  </si>
  <si>
    <t>HRS1030171 (SAMC3323525)</t>
  </si>
  <si>
    <t xml:space="preserve">HRS1030171 </t>
  </si>
  <si>
    <t>P34C1_T</t>
  </si>
  <si>
    <t>P34C1 Tumor lesion</t>
  </si>
  <si>
    <t>HRR1494079_r2.fastq.gz (6.13 GB)</t>
  </si>
  <si>
    <t>HRX1166343</t>
  </si>
  <si>
    <t>WES of S261</t>
  </si>
  <si>
    <t>HRS1030172 (SAMC3323526)</t>
  </si>
  <si>
    <t xml:space="preserve">HRS1030172 </t>
  </si>
  <si>
    <t>P34C2_T</t>
  </si>
  <si>
    <t>P34C2 Tumor lesion</t>
  </si>
  <si>
    <t>HRR1494080_r2.fastq.gz (6.51 GB)</t>
  </si>
  <si>
    <t>HRX1166344</t>
  </si>
  <si>
    <t>WES of S262</t>
  </si>
  <si>
    <t>HRS1030173 (SAMC3323527)</t>
  </si>
  <si>
    <t xml:space="preserve">HRS1030173 </t>
  </si>
  <si>
    <t>P34C3_T</t>
  </si>
  <si>
    <t>P34C3 Tumor lesion</t>
  </si>
  <si>
    <t>HRR1494081_r2.fastq.gz (8.57 GB)</t>
  </si>
  <si>
    <t>HRX1166345</t>
  </si>
  <si>
    <t>WES of S266</t>
  </si>
  <si>
    <t>HRS1030177 (SAMC3323531)</t>
  </si>
  <si>
    <t xml:space="preserve">HRS1030177 </t>
  </si>
  <si>
    <t>P35_B</t>
  </si>
  <si>
    <t>P35 Blood control</t>
  </si>
  <si>
    <t>P35</t>
  </si>
  <si>
    <t>HRR1494082_r2.fastq.gz (8.03 GB)</t>
  </si>
  <si>
    <t>HRX1166346</t>
  </si>
  <si>
    <t>WES of S264</t>
  </si>
  <si>
    <t>HRS1030175 (SAMC3323529)</t>
  </si>
  <si>
    <t xml:space="preserve">HRS1030175 </t>
  </si>
  <si>
    <t>P35C1_O</t>
  </si>
  <si>
    <t>P35C1 Organoid</t>
  </si>
  <si>
    <t>P35C1</t>
  </si>
  <si>
    <t>HRR1494083_r2.fastq.gz (8.61 GB)</t>
  </si>
  <si>
    <t>HRX1166347</t>
  </si>
  <si>
    <t>WES of S265</t>
  </si>
  <si>
    <t>HRS1030176 (SAMC3323530)</t>
  </si>
  <si>
    <t xml:space="preserve">HRS1030176 </t>
  </si>
  <si>
    <t>P35C1_T</t>
  </si>
  <si>
    <t>P35C1 Tumor lesion</t>
  </si>
  <si>
    <t>HRR1494084_r2.fastq.gz (6.01 GB)</t>
  </si>
  <si>
    <t>HRX1166348</t>
  </si>
  <si>
    <t>WES of S267</t>
  </si>
  <si>
    <t>HRS1030178 (SAMC3323532)</t>
  </si>
  <si>
    <t xml:space="preserve">HRS1030178 </t>
  </si>
  <si>
    <t>P36_N</t>
  </si>
  <si>
    <t>P36 Normal control</t>
  </si>
  <si>
    <t>P36</t>
  </si>
  <si>
    <t>HRR1494085_r2.fastq.gz (5.64 GB)</t>
  </si>
  <si>
    <t>HRX1166349</t>
  </si>
  <si>
    <t>WES of S268</t>
  </si>
  <si>
    <t>HRS1030179 (SAMC3323533)</t>
  </si>
  <si>
    <t xml:space="preserve">HRS1030179 </t>
  </si>
  <si>
    <t>P36C2_O</t>
  </si>
  <si>
    <t>P36C2 Organoid</t>
  </si>
  <si>
    <t>P36C2</t>
  </si>
  <si>
    <t>HRR1494086_r2.fastq.gz (6.04 GB)</t>
  </si>
  <si>
    <t>HRX1166350</t>
  </si>
  <si>
    <t>WES of S269</t>
  </si>
  <si>
    <t>HRS1030180 (SAMC3323534)</t>
  </si>
  <si>
    <t xml:space="preserve">HRS1030180 </t>
  </si>
  <si>
    <t>P36C4_O</t>
  </si>
  <si>
    <t>P36C4 Organoid</t>
  </si>
  <si>
    <t>P36C4</t>
  </si>
  <si>
    <t>HRR1494087_r2.fastq.gz (6.02 GB)</t>
  </si>
  <si>
    <t>HRX1166351</t>
  </si>
  <si>
    <t>WES of S270</t>
  </si>
  <si>
    <t>HRS1030181 (SAMC3323535)</t>
  </si>
  <si>
    <t xml:space="preserve">HRS1030181 </t>
  </si>
  <si>
    <t>P36C2_T</t>
  </si>
  <si>
    <t>P36C2 Tumor lesion</t>
  </si>
  <si>
    <t>HRR1494088_r2.fastq.gz (5.77 GB)</t>
  </si>
  <si>
    <t>HRX1166352</t>
  </si>
  <si>
    <t>WES of S271</t>
  </si>
  <si>
    <t>HRS1030182 (SAMC3323536)</t>
  </si>
  <si>
    <t xml:space="preserve">HRS1030182 </t>
  </si>
  <si>
    <t>P36C4_T</t>
  </si>
  <si>
    <t>P36C4 Tumor lesion</t>
  </si>
  <si>
    <t>HRR1494089_r2.fastq.gz (6.27 GB)</t>
  </si>
  <si>
    <t>HRX1166353</t>
  </si>
  <si>
    <t>WES of S282</t>
  </si>
  <si>
    <t>HRS1030193 (SAMC3323547)</t>
  </si>
  <si>
    <t xml:space="preserve">HRS1030193 </t>
  </si>
  <si>
    <t>P42C1_O</t>
  </si>
  <si>
    <t>P42C1 Organoid</t>
  </si>
  <si>
    <t>P42</t>
  </si>
  <si>
    <t>P42C1</t>
  </si>
  <si>
    <t>HRR1494090_r2.fastq.gz (5.86 GB)</t>
  </si>
  <si>
    <t>HRX1166354</t>
  </si>
  <si>
    <t>WES of S284</t>
  </si>
  <si>
    <t>HRS1030195 (SAMC3323549)</t>
  </si>
  <si>
    <t xml:space="preserve">HRS1030195 </t>
  </si>
  <si>
    <t>P42C2_O</t>
  </si>
  <si>
    <t>P42C2 Organoid</t>
  </si>
  <si>
    <t>P42C2</t>
  </si>
  <si>
    <t>HRR1494091_r2.fastq.gz (5.79 GB)</t>
  </si>
  <si>
    <t>HRX1166355</t>
  </si>
  <si>
    <t>WES of S283</t>
  </si>
  <si>
    <t>HRS1030194 (SAMC3323548)</t>
  </si>
  <si>
    <t xml:space="preserve">HRS1030194 </t>
  </si>
  <si>
    <t>P42C1_T</t>
  </si>
  <si>
    <t>P42C1 Tumor lesion</t>
  </si>
  <si>
    <t>HRR1494092_r2.fastq.gz (5.93 GB)</t>
  </si>
  <si>
    <t>HRX1166356</t>
  </si>
  <si>
    <t>WES of S285</t>
  </si>
  <si>
    <t>HRS1030196 (SAMC3323550)</t>
  </si>
  <si>
    <t xml:space="preserve">HRS1030196 </t>
  </si>
  <si>
    <t>P42C2_T</t>
  </si>
  <si>
    <t>P42C2 Tumor lesion</t>
  </si>
  <si>
    <t>HRR1494093_r2.fastq.gz (6.32 GB)</t>
  </si>
  <si>
    <t>HRX1166357</t>
  </si>
  <si>
    <t>WES of S286</t>
  </si>
  <si>
    <t>HRS1030197 (SAMC3323551)</t>
  </si>
  <si>
    <t xml:space="preserve">HRS1030197 </t>
  </si>
  <si>
    <t>P42_N</t>
  </si>
  <si>
    <t>P42 Normal control</t>
  </si>
  <si>
    <t>HRR1494094_r2.fastq.gz (9.27 GB)</t>
  </si>
  <si>
    <t>HRX1166358</t>
  </si>
  <si>
    <t>WES of S310</t>
  </si>
  <si>
    <t>HRS1030221 (SAMC3323575)</t>
  </si>
  <si>
    <t xml:space="preserve">HRS1030221 </t>
  </si>
  <si>
    <t>P60C2_E</t>
  </si>
  <si>
    <t>P60C2 Early passage organoid</t>
  </si>
  <si>
    <t>P60</t>
  </si>
  <si>
    <t>P60C2</t>
  </si>
  <si>
    <t>HRR1494095_r2.fastq.gz (9.73 GB)</t>
  </si>
  <si>
    <t>HRX1166359</t>
  </si>
  <si>
    <t>WES of S311</t>
  </si>
  <si>
    <t>HRS1030222 (SAMC3323576)</t>
  </si>
  <si>
    <t xml:space="preserve">HRS1030222 </t>
  </si>
  <si>
    <t>P60C2_L</t>
  </si>
  <si>
    <t>P60C2 Late passage organoid</t>
  </si>
  <si>
    <t>HRR1494096_r2.fastq.gz (8.21 GB)</t>
  </si>
  <si>
    <t>HRX1166360</t>
  </si>
  <si>
    <t>WES of S312</t>
  </si>
  <si>
    <t>HRS1030223 (SAMC3323577)</t>
  </si>
  <si>
    <t xml:space="preserve">HRS1030223 </t>
  </si>
  <si>
    <t>P60C2_T</t>
  </si>
  <si>
    <t>P60C2 Tumor lesion</t>
  </si>
  <si>
    <t>HRR1494097_r2.fastq.gz (7.26 GB)</t>
  </si>
  <si>
    <t>HRX1166361</t>
  </si>
  <si>
    <t>WES of S313</t>
  </si>
  <si>
    <t>HRS1030224 (SAMC3323578)</t>
  </si>
  <si>
    <t xml:space="preserve">HRS1030224 </t>
  </si>
  <si>
    <t>P60C3_E</t>
  </si>
  <si>
    <t>P60C3 Early passage organoid</t>
  </si>
  <si>
    <t>P60C3</t>
  </si>
  <si>
    <t>HRR1494098_r2.fastq.gz (7.81 GB)</t>
  </si>
  <si>
    <t>HRX1166362</t>
  </si>
  <si>
    <t>WES of S314</t>
  </si>
  <si>
    <t>HRS1030225 (SAMC3323579)</t>
  </si>
  <si>
    <t xml:space="preserve">HRS1030225 </t>
  </si>
  <si>
    <t>P60C3_L</t>
  </si>
  <si>
    <t>P60C3 Late passage organoid</t>
  </si>
  <si>
    <t>HRR1494099_r2.fastq.gz (7.02 GB)</t>
  </si>
  <si>
    <t>HRX1166363</t>
  </si>
  <si>
    <t>WES of S315</t>
  </si>
  <si>
    <t>HRS1030226 (SAMC3323580)</t>
  </si>
  <si>
    <t xml:space="preserve">HRS1030226 </t>
  </si>
  <si>
    <t>P60C3_T</t>
  </si>
  <si>
    <t>P60C3 Tumor lesion</t>
  </si>
  <si>
    <t>HRR1494100_r2.fastq.gz (6.99 GB)</t>
  </si>
  <si>
    <t>HRX1166364</t>
  </si>
  <si>
    <t>WES of S316</t>
  </si>
  <si>
    <t>HRS1030227 (SAMC3323581)</t>
  </si>
  <si>
    <t xml:space="preserve">HRS1030227 </t>
  </si>
  <si>
    <t>P60_N</t>
  </si>
  <si>
    <t>P60 Normal control</t>
  </si>
  <si>
    <t>HRR1494101_r2.fastq.gz (9.73 GB)</t>
  </si>
  <si>
    <t>HRX1166365</t>
  </si>
  <si>
    <t>WES of S320</t>
  </si>
  <si>
    <t>HRS1030231 (SAMC3323585)</t>
  </si>
  <si>
    <t xml:space="preserve">HRS1030231 </t>
  </si>
  <si>
    <t>P61C3_E</t>
  </si>
  <si>
    <t>P61C3 Early passage organoid</t>
  </si>
  <si>
    <t>P61</t>
  </si>
  <si>
    <t>P61C3</t>
  </si>
  <si>
    <t>HRR1494102_r2.fastq.gz (12.20 GB)</t>
  </si>
  <si>
    <t>HRX1166366</t>
  </si>
  <si>
    <t>WES of S321</t>
  </si>
  <si>
    <t>HRS1030232 (SAMC3323586)</t>
  </si>
  <si>
    <t xml:space="preserve">HRS1030232 </t>
  </si>
  <si>
    <t>P61C3_L</t>
  </si>
  <si>
    <t>P61C3 Late passage organoid</t>
  </si>
  <si>
    <t>HRR1494103_r2.fastq.gz (10.94 GB)</t>
  </si>
  <si>
    <t>HRX1166367</t>
  </si>
  <si>
    <t>WES of S322</t>
  </si>
  <si>
    <t>HRS1030233 (SAMC3323587)</t>
  </si>
  <si>
    <t xml:space="preserve">HRS1030233 </t>
  </si>
  <si>
    <t>P61C3_T</t>
  </si>
  <si>
    <t>P61C3 Tumor lesion</t>
  </si>
  <si>
    <t>HRR1494104_r2.fastq.gz (7.47 GB)</t>
  </si>
  <si>
    <t>HRX1166368</t>
  </si>
  <si>
    <t>WES of S323</t>
  </si>
  <si>
    <t>HRS1030234 (SAMC3323588)</t>
  </si>
  <si>
    <t xml:space="preserve">HRS1030234 </t>
  </si>
  <si>
    <t>P61_N</t>
  </si>
  <si>
    <t>P61 Normal control</t>
  </si>
  <si>
    <t>HRR1494105_r2.fastq.gz (9.75 GB)</t>
  </si>
  <si>
    <t>HRX1166369</t>
  </si>
  <si>
    <t>WES of S336</t>
  </si>
  <si>
    <t>HRS1030247 (SAMC3323601)</t>
  </si>
  <si>
    <t xml:space="preserve">HRS1030247 </t>
  </si>
  <si>
    <t>P65C1_E</t>
  </si>
  <si>
    <t>P65C1 Early passage organoid</t>
  </si>
  <si>
    <t>P65</t>
  </si>
  <si>
    <t>P65C1</t>
  </si>
  <si>
    <t>HRR1494106_r2.fastq.gz (8.75 GB)</t>
  </si>
  <si>
    <t>HRX1166370</t>
  </si>
  <si>
    <t>WES of S337</t>
  </si>
  <si>
    <t>HRS1030248 (SAMC3323602)</t>
  </si>
  <si>
    <t xml:space="preserve">HRS1030248 </t>
  </si>
  <si>
    <t>P65C1_L</t>
  </si>
  <si>
    <t>P65C1 Late passage organoid</t>
  </si>
  <si>
    <t>HRR1494107_r2.fastq.gz (8.05 GB)</t>
  </si>
  <si>
    <t>HRX1166371</t>
  </si>
  <si>
    <t>WES of S338</t>
  </si>
  <si>
    <t>HRS1030249 (SAMC3323603)</t>
  </si>
  <si>
    <t xml:space="preserve">HRS1030249 </t>
  </si>
  <si>
    <t>P65C1_T</t>
  </si>
  <si>
    <t>P65C1 Tumor lesion</t>
  </si>
  <si>
    <t>HRR1494108_r2.fastq.gz (7.42 GB)</t>
  </si>
  <si>
    <t>HRX1166372</t>
  </si>
  <si>
    <t>WES of S339</t>
  </si>
  <si>
    <t>HRS1030250 (SAMC3323604)</t>
  </si>
  <si>
    <t xml:space="preserve">HRS1030250 </t>
  </si>
  <si>
    <t>P65_N</t>
  </si>
  <si>
    <t>P65 Normal control</t>
  </si>
  <si>
    <t>HRR1494109_r2.fastq.gz (6.91 GB)</t>
  </si>
  <si>
    <t>HRX1166373</t>
  </si>
  <si>
    <t>WES of S343</t>
  </si>
  <si>
    <t>HRS1030254 (SAMC3323608)</t>
  </si>
  <si>
    <t xml:space="preserve">HRS1030254 </t>
  </si>
  <si>
    <t>P66C1_E</t>
  </si>
  <si>
    <t>P66C1 Early passage organoid</t>
  </si>
  <si>
    <t>P66</t>
  </si>
  <si>
    <t>P66C1</t>
  </si>
  <si>
    <t>HRR1494110_r2.fastq.gz (7.02 GB)</t>
  </si>
  <si>
    <t>HRX1166374</t>
  </si>
  <si>
    <t>WES of S344</t>
  </si>
  <si>
    <t>HRS1030255 (SAMC3323609)</t>
  </si>
  <si>
    <t xml:space="preserve">HRS1030255 </t>
  </si>
  <si>
    <t>P66C1_L</t>
  </si>
  <si>
    <t>P66C1 Late passage organoid</t>
  </si>
  <si>
    <t>HRR1494111_r2.fastq.gz (6.82 GB)</t>
  </si>
  <si>
    <t>HRX1166375</t>
  </si>
  <si>
    <t>WES of S345</t>
  </si>
  <si>
    <t>HRS1030256 (SAMC3323610)</t>
  </si>
  <si>
    <t xml:space="preserve">HRS1030256 </t>
  </si>
  <si>
    <t>P66C1_T</t>
  </si>
  <si>
    <t>P66C1 Tumor lesion</t>
  </si>
  <si>
    <t>HRR1494112_r2.fastq.gz (6.98 GB)</t>
  </si>
  <si>
    <t>HRX1166376</t>
  </si>
  <si>
    <t>WES of S346</t>
  </si>
  <si>
    <t>HRS1030257 (SAMC3323611)</t>
  </si>
  <si>
    <t xml:space="preserve">HRS1030257 </t>
  </si>
  <si>
    <t>P66C2_E</t>
  </si>
  <si>
    <t>P66C2 Early passage organoid</t>
  </si>
  <si>
    <t>P66C2</t>
  </si>
  <si>
    <t>HRR1494113_r2.fastq.gz (7.10 GB)</t>
  </si>
  <si>
    <t>HRX1166377</t>
  </si>
  <si>
    <t>WES of S347</t>
  </si>
  <si>
    <t>HRS1030258 (SAMC3323612)</t>
  </si>
  <si>
    <t xml:space="preserve">HRS1030258 </t>
  </si>
  <si>
    <t>P66C2_L</t>
  </si>
  <si>
    <t>P66C2 Late passage organoid</t>
  </si>
  <si>
    <t>HRR1494114_r2.fastq.gz (6.69 GB)</t>
  </si>
  <si>
    <t>HRX1166378</t>
  </si>
  <si>
    <t>WES of S348</t>
  </si>
  <si>
    <t>HRS1030259 (SAMC3323613)</t>
  </si>
  <si>
    <t xml:space="preserve">HRS1030259 </t>
  </si>
  <si>
    <t>P66C2_T</t>
  </si>
  <si>
    <t>P66C2 Tumor lesion</t>
  </si>
  <si>
    <t>HRR1494115_r2.fastq.gz (7.06 GB)</t>
  </si>
  <si>
    <t>HRX1166379</t>
  </si>
  <si>
    <t>WES of S349</t>
  </si>
  <si>
    <t>HRS1030260 (SAMC3323614)</t>
  </si>
  <si>
    <t xml:space="preserve">HRS1030260 </t>
  </si>
  <si>
    <t>P66C3_E</t>
  </si>
  <si>
    <t>P66C3 Early passage organoid</t>
  </si>
  <si>
    <t>P66C3</t>
  </si>
  <si>
    <t>HRR1494116_r2.fastq.gz (5.97 GB)</t>
  </si>
  <si>
    <t>HRX1166380</t>
  </si>
  <si>
    <t>WES of S350</t>
  </si>
  <si>
    <t>HRS1030261 (SAMC3323615)</t>
  </si>
  <si>
    <t xml:space="preserve">HRS1030261 </t>
  </si>
  <si>
    <t>P66C3_L</t>
  </si>
  <si>
    <t>P66C3 Late passage organoid</t>
  </si>
  <si>
    <t>HRR1494117_r2.fastq.gz (6.87 GB)</t>
  </si>
  <si>
    <t>HRX1166381</t>
  </si>
  <si>
    <t>WES of S351</t>
  </si>
  <si>
    <t>HRS1030262 (SAMC3323616)</t>
  </si>
  <si>
    <t xml:space="preserve">HRS1030262 </t>
  </si>
  <si>
    <t>P66C3_T</t>
  </si>
  <si>
    <t>P66C3 Tumor lesion</t>
  </si>
  <si>
    <t>HRR1494118_r2.fastq.gz (6.96 GB)</t>
  </si>
  <si>
    <t>HRX1166382</t>
  </si>
  <si>
    <t>WES of S352</t>
  </si>
  <si>
    <t>HRS1030263 (SAMC3323617)</t>
  </si>
  <si>
    <t xml:space="preserve">HRS1030263 </t>
  </si>
  <si>
    <t>P66_N</t>
  </si>
  <si>
    <t>P66 Normal control</t>
  </si>
  <si>
    <t>HRR1494119_r2.fastq.gz (12.70 GB)</t>
  </si>
  <si>
    <t>HRX1166383</t>
  </si>
  <si>
    <t>WES of S377</t>
  </si>
  <si>
    <t>HRS1030288 (SAMC3323642)</t>
  </si>
  <si>
    <t xml:space="preserve">HRS1030288 </t>
  </si>
  <si>
    <t>P74C3_E</t>
  </si>
  <si>
    <t>P74C3 Early passage organoid</t>
  </si>
  <si>
    <t>P74</t>
  </si>
  <si>
    <t>P74C3</t>
  </si>
  <si>
    <t>HRR1494120_r2.fastq.gz (6.29 GB)</t>
  </si>
  <si>
    <t>HRX1166384</t>
  </si>
  <si>
    <t>WES of S378</t>
  </si>
  <si>
    <t>HRS1030289 (SAMC3323643)</t>
  </si>
  <si>
    <t xml:space="preserve">HRS1030289 </t>
  </si>
  <si>
    <t>P74C3_L</t>
  </si>
  <si>
    <t>P74C3 Late passage organoid</t>
  </si>
  <si>
    <t>HRR1494121_r2.fastq.gz (11.63 GB)</t>
  </si>
  <si>
    <t>HRX1166385</t>
  </si>
  <si>
    <t>WES of S379</t>
  </si>
  <si>
    <t>HRS1030290 (SAMC3323644)</t>
  </si>
  <si>
    <t xml:space="preserve">HRS1030290 </t>
  </si>
  <si>
    <t>P74C3_T</t>
  </si>
  <si>
    <t>P74C3 Tumor lesion</t>
  </si>
  <si>
    <t>HRR1494122_r2.fastq.gz (8.50 GB)</t>
  </si>
  <si>
    <t>HRX1166386</t>
  </si>
  <si>
    <t>WES of S380</t>
  </si>
  <si>
    <t>HRS1030291 (SAMC3323645)</t>
  </si>
  <si>
    <t xml:space="preserve">HRS1030291 </t>
  </si>
  <si>
    <t>P74_N</t>
  </si>
  <si>
    <t>P74 Normal control</t>
  </si>
  <si>
    <t>HRR1494123_r2.fastq.gz (11.57 GB)</t>
  </si>
  <si>
    <t>HRX1166387</t>
  </si>
  <si>
    <t>WES of S384</t>
  </si>
  <si>
    <t>HRS1030295 (SAMC3323649)</t>
  </si>
  <si>
    <t xml:space="preserve">HRS1030295 </t>
  </si>
  <si>
    <t>P75C2_E</t>
  </si>
  <si>
    <t>P75C2 Early passage organoid</t>
  </si>
  <si>
    <t>P75</t>
  </si>
  <si>
    <t>P75C2</t>
  </si>
  <si>
    <t>HRR1494124_r2.fastq.gz (9.05 GB)</t>
  </si>
  <si>
    <t>HRX1166388</t>
  </si>
  <si>
    <t>WES of S385</t>
  </si>
  <si>
    <t>HRS1030296 (SAMC3323650)</t>
  </si>
  <si>
    <t xml:space="preserve">HRS1030296 </t>
  </si>
  <si>
    <t>P75C2_L</t>
  </si>
  <si>
    <t>P75C2 Late passage organoid</t>
  </si>
  <si>
    <t>HRR1494125_r2.fastq.gz (14.25 GB)</t>
  </si>
  <si>
    <t>HRX1166389</t>
  </si>
  <si>
    <t>WES of S386</t>
  </si>
  <si>
    <t>HRS1030297 (SAMC3323651)</t>
  </si>
  <si>
    <t xml:space="preserve">HRS1030297 </t>
  </si>
  <si>
    <t>P75C2_T</t>
  </si>
  <si>
    <t>P75C2 Tumor lesion</t>
  </si>
  <si>
    <t>HRR1494126_r2.fastq.gz (9.28 GB)</t>
  </si>
  <si>
    <t>HRX1166390</t>
  </si>
  <si>
    <t>WES of S387</t>
  </si>
  <si>
    <t>HRS1030298 (SAMC3323652)</t>
  </si>
  <si>
    <t xml:space="preserve">HRS1030298 </t>
  </si>
  <si>
    <t>P75_N</t>
  </si>
  <si>
    <t>P75 Normal control</t>
  </si>
  <si>
    <t>HRR1494127_r2.fastq.gz (8.92 GB)</t>
  </si>
  <si>
    <t>HRX1166391</t>
  </si>
  <si>
    <t>WES of S391</t>
  </si>
  <si>
    <t>HRS1030302 (SAMC3323656)</t>
  </si>
  <si>
    <t xml:space="preserve">HRS1030302 </t>
  </si>
  <si>
    <t>P76C2_E</t>
  </si>
  <si>
    <t>P76C2 Early passage organoid</t>
  </si>
  <si>
    <t>P76</t>
  </si>
  <si>
    <t>P76C2</t>
  </si>
  <si>
    <t>HRR1494128_r2.fastq.gz (9.74 GB)</t>
  </si>
  <si>
    <t>HRX1166392</t>
  </si>
  <si>
    <t>WES of S392</t>
  </si>
  <si>
    <t>HRS1030303 (SAMC3323657)</t>
  </si>
  <si>
    <t xml:space="preserve">HRS1030303 </t>
  </si>
  <si>
    <t>P76C2_L</t>
  </si>
  <si>
    <t>P76C2 Late passage organoid</t>
  </si>
  <si>
    <t>HRR1494129_r2.fastq.gz (8.07 GB)</t>
  </si>
  <si>
    <t>HRX1166393</t>
  </si>
  <si>
    <t>WES of S393</t>
  </si>
  <si>
    <t>HRS1030304 (SAMC3323658)</t>
  </si>
  <si>
    <t xml:space="preserve">HRS1030304 </t>
  </si>
  <si>
    <t>P76C2_T</t>
  </si>
  <si>
    <t>P76C2 Tumor lesion</t>
  </si>
  <si>
    <t>HRR1494130_r2.fastq.gz (8.09 GB)</t>
  </si>
  <si>
    <t>HRX1166394</t>
  </si>
  <si>
    <t>WES of S394</t>
  </si>
  <si>
    <t>HRS1030305 (SAMC3323659)</t>
  </si>
  <si>
    <t xml:space="preserve">HRS1030305 </t>
  </si>
  <si>
    <t>P76_N</t>
  </si>
  <si>
    <t>P76 Normal control</t>
  </si>
  <si>
    <t>HRR1494131_r2.fastq.gz (4.58 GB)</t>
  </si>
  <si>
    <t>HRX1166395</t>
  </si>
  <si>
    <t>WES of S398</t>
  </si>
  <si>
    <t>HRS1030309 (SAMC3323663)</t>
  </si>
  <si>
    <t xml:space="preserve">HRS1030309 </t>
  </si>
  <si>
    <t>P85_N</t>
  </si>
  <si>
    <t>P85 Normal control</t>
  </si>
  <si>
    <t>P85</t>
  </si>
  <si>
    <t>HRR1494132_r2.fastq.gz (6.74 GB)</t>
  </si>
  <si>
    <t>HRX1166396</t>
  </si>
  <si>
    <t>WES of S399</t>
  </si>
  <si>
    <t>HRS1030310 (SAMC3323664)</t>
  </si>
  <si>
    <t xml:space="preserve">HRS1030310 </t>
  </si>
  <si>
    <t>P85C1_T</t>
  </si>
  <si>
    <t>P85C1 Tumor lesion</t>
  </si>
  <si>
    <t>P85C1</t>
  </si>
  <si>
    <t>HRR1494133_r2.fastq.gz (4.34 GB)</t>
  </si>
  <si>
    <t>HRX1166397</t>
  </si>
  <si>
    <t>WES of S400</t>
  </si>
  <si>
    <t>HRS1030311 (SAMC3323665)</t>
  </si>
  <si>
    <t xml:space="preserve">HRS1030311 </t>
  </si>
  <si>
    <t>P85C2_T</t>
  </si>
  <si>
    <t>P85C2 Tumor lesion</t>
  </si>
  <si>
    <t>P85C2</t>
  </si>
  <si>
    <t>HRR1494134_r2.fastq.gz (4.77 GB)</t>
  </si>
  <si>
    <t>HRX1166398</t>
  </si>
  <si>
    <t>WES of S401</t>
  </si>
  <si>
    <t>HRS1030312 (SAMC3323666)</t>
  </si>
  <si>
    <t xml:space="preserve">HRS1030312 </t>
  </si>
  <si>
    <t>P85C3_T</t>
  </si>
  <si>
    <t>P85C3 Tumor lesion</t>
  </si>
  <si>
    <t>P85C3</t>
  </si>
  <si>
    <t>HRR1494135_r2.fastq.gz (5.96 GB)</t>
  </si>
  <si>
    <t>HRX1166399</t>
  </si>
  <si>
    <t>WES of S404</t>
  </si>
  <si>
    <t>HRS1030315 (SAMC3323669)</t>
  </si>
  <si>
    <t xml:space="preserve">HRS1030315 </t>
  </si>
  <si>
    <t>P89C1_T</t>
  </si>
  <si>
    <t>P89C1 Tumor lesion</t>
  </si>
  <si>
    <t>P89</t>
  </si>
  <si>
    <t>P89C1</t>
  </si>
  <si>
    <t>HRR1494136_r2.fastq.gz (5.67 GB)</t>
  </si>
  <si>
    <t>HRX1166400</t>
  </si>
  <si>
    <t>WES of S405</t>
  </si>
  <si>
    <t>HRS1030316 (SAMC3323670)</t>
  </si>
  <si>
    <t xml:space="preserve">HRS1030316 </t>
  </si>
  <si>
    <t>P89C2_T</t>
  </si>
  <si>
    <t>P89C2 Tumor lesion</t>
  </si>
  <si>
    <t>P89C2</t>
  </si>
  <si>
    <t>HRR1494137_r2.fastq.gz (5.77 GB)</t>
  </si>
  <si>
    <t>HRX1166401</t>
  </si>
  <si>
    <t>WES of S406</t>
  </si>
  <si>
    <t>HRS1030317 (SAMC3323671)</t>
  </si>
  <si>
    <t xml:space="preserve">HRS1030317 </t>
  </si>
  <si>
    <t>P89C4_T</t>
  </si>
  <si>
    <t>P89C4 Tumor lesion</t>
  </si>
  <si>
    <t>P89C4</t>
  </si>
  <si>
    <t>HRR1494138_r2.fastq.gz (6.16 GB)</t>
  </si>
  <si>
    <t>HRX1166402</t>
  </si>
  <si>
    <t>WES of S407</t>
  </si>
  <si>
    <t>HRS1030318 (SAMC3323672)</t>
  </si>
  <si>
    <t xml:space="preserve">HRS1030318 </t>
  </si>
  <si>
    <t>P89_N</t>
  </si>
  <si>
    <t>P89 Normal control</t>
  </si>
  <si>
    <t>HRR1494139_r2.fastq.gz (7.59 GB)</t>
  </si>
  <si>
    <t>HRX1166403</t>
  </si>
  <si>
    <t>WES of S408</t>
  </si>
  <si>
    <t>HRS1030319 (SAMC3323673)</t>
  </si>
  <si>
    <t xml:space="preserve">HRS1030319 </t>
  </si>
  <si>
    <t>P90_N</t>
  </si>
  <si>
    <t>P90 Normal control</t>
  </si>
  <si>
    <t>P90</t>
  </si>
  <si>
    <t>HRR1494140_r2.fastq.gz (5.27 GB)</t>
  </si>
  <si>
    <t>HRX1166404</t>
  </si>
  <si>
    <t>WES of S409</t>
  </si>
  <si>
    <t>HRS1030320 (SAMC3323674)</t>
  </si>
  <si>
    <t xml:space="preserve">HRS1030320 </t>
  </si>
  <si>
    <t>P90C1_T</t>
  </si>
  <si>
    <t>P90C1 Tumor lesion</t>
  </si>
  <si>
    <t>P90C1</t>
  </si>
  <si>
    <t>HRR1494141_r2.fastq.gz (5.19 GB)</t>
  </si>
  <si>
    <t>HRX1166405</t>
  </si>
  <si>
    <t>WES of S410</t>
  </si>
  <si>
    <t>HRS1030321 (SAMC3323675)</t>
  </si>
  <si>
    <t xml:space="preserve">HRS1030321 </t>
  </si>
  <si>
    <t>P90C2_T</t>
  </si>
  <si>
    <t>P90C2 Tumor lesion</t>
  </si>
  <si>
    <t>P90C2</t>
  </si>
  <si>
    <t>HRR1494142_r2.fastq.gz (5.61 GB)</t>
  </si>
  <si>
    <t>HRX1166406</t>
  </si>
  <si>
    <t>WES of S411</t>
  </si>
  <si>
    <t>HRS1030322 (SAMC3323676)</t>
  </si>
  <si>
    <t xml:space="preserve">HRS1030322 </t>
  </si>
  <si>
    <t>P90C3_T</t>
  </si>
  <si>
    <t>P90C3 Tumor lesion</t>
  </si>
  <si>
    <t>P90C3</t>
  </si>
  <si>
    <t>HRR1494143_r2.fastq.gz (5.11 GB)</t>
  </si>
  <si>
    <t>HRX1166407</t>
  </si>
  <si>
    <t>WES of S412</t>
  </si>
  <si>
    <t>HRS1030323 (SAMC3323677)</t>
  </si>
  <si>
    <t xml:space="preserve">HRS1030323 </t>
  </si>
  <si>
    <t>P90C4_T</t>
  </si>
  <si>
    <t>P90C4 Tumor lesion</t>
  </si>
  <si>
    <t>P90C4</t>
  </si>
  <si>
    <t>HRR1494144_r2.fastq.gz (5.73 GB)</t>
  </si>
  <si>
    <t>HRX1166408</t>
  </si>
  <si>
    <t>WES of S414</t>
  </si>
  <si>
    <t>HRS1030325 (SAMC3323679)</t>
  </si>
  <si>
    <t xml:space="preserve">HRS1030325 </t>
  </si>
  <si>
    <t>P92_N</t>
  </si>
  <si>
    <t>P92 Normal control</t>
  </si>
  <si>
    <t>P92</t>
  </si>
  <si>
    <t>HRR1494145_r2.fastq.gz (4.83 GB)</t>
  </si>
  <si>
    <t>HRX1166409</t>
  </si>
  <si>
    <t>WES of S415</t>
  </si>
  <si>
    <t>HRS1030326 (SAMC3323680)</t>
  </si>
  <si>
    <t xml:space="preserve">HRS1030326 </t>
  </si>
  <si>
    <t>P92C1_T</t>
  </si>
  <si>
    <t>P92C1 Tumor lesion</t>
  </si>
  <si>
    <t>P92C1</t>
  </si>
  <si>
    <t>HRR1494146_r2.fastq.gz (4.93 GB)</t>
  </si>
  <si>
    <t>HRX1166410</t>
  </si>
  <si>
    <t>WES of S416</t>
  </si>
  <si>
    <t>HRS1030327 (SAMC3323681)</t>
  </si>
  <si>
    <t xml:space="preserve">HRS1030327 </t>
  </si>
  <si>
    <t>P92C2_T</t>
  </si>
  <si>
    <t>P92C2 Tumor lesion</t>
  </si>
  <si>
    <t>P92C2</t>
  </si>
  <si>
    <t>HRR1494147_r2.fastq.gz (4.20 GB)</t>
  </si>
  <si>
    <t>HRX1166411</t>
  </si>
  <si>
    <t>WES of S417</t>
  </si>
  <si>
    <t>HRS1030328 (SAMC3323682)</t>
  </si>
  <si>
    <t xml:space="preserve">HRS1030328 </t>
  </si>
  <si>
    <t>P92C3_T</t>
  </si>
  <si>
    <t>P92C3 Tumor lesion</t>
  </si>
  <si>
    <t>P92C3</t>
  </si>
  <si>
    <t>HRR1494148_r2.fastq.gz (8.90 GB)</t>
  </si>
  <si>
    <t>HRX1166412</t>
  </si>
  <si>
    <t>WES of S422</t>
  </si>
  <si>
    <t>HRS1030333 (SAMC3323687)</t>
  </si>
  <si>
    <t xml:space="preserve">HRS1030333 </t>
  </si>
  <si>
    <t>P103C2_N</t>
  </si>
  <si>
    <t>P103C2 Normal control</t>
  </si>
  <si>
    <t>P103</t>
  </si>
  <si>
    <t>P103C2</t>
  </si>
  <si>
    <t>HRR1494149_r2.fastq.gz (8.11 GB)</t>
  </si>
  <si>
    <t>HRX1166413</t>
  </si>
  <si>
    <t>WES of S419</t>
  </si>
  <si>
    <t>HRS1030330 (SAMC3323684)</t>
  </si>
  <si>
    <t xml:space="preserve">HRS1030330 </t>
  </si>
  <si>
    <t>P103C2_T</t>
  </si>
  <si>
    <t>P103C2 Tumor lesion</t>
  </si>
  <si>
    <t>HRR1494150_r2.fastq.gz (7.71 GB)</t>
  </si>
  <si>
    <t>HRX1166414</t>
  </si>
  <si>
    <t>WES of S420</t>
  </si>
  <si>
    <t>HRS1030331 (SAMC3323685)</t>
  </si>
  <si>
    <t xml:space="preserve">HRS1030331 </t>
  </si>
  <si>
    <t>P103C2_E</t>
  </si>
  <si>
    <t>P103C2 Early passage organoid</t>
  </si>
  <si>
    <t>HRR1494151_r2.fastq.gz (6.51 GB)</t>
  </si>
  <si>
    <t>HRX1166415</t>
  </si>
  <si>
    <t>WES of S421</t>
  </si>
  <si>
    <t>HRS1030332 (SAMC3323686)</t>
  </si>
  <si>
    <t xml:space="preserve">HRS1030332 </t>
  </si>
  <si>
    <t>P103C2_L</t>
  </si>
  <si>
    <t>P103C2 Late passage organoid</t>
  </si>
  <si>
    <t>HRR1494152_r2.fastq.gz (6.27 GB)</t>
  </si>
  <si>
    <t>HRX1166416</t>
  </si>
  <si>
    <t>WES of S425</t>
  </si>
  <si>
    <t>HRS1030336 (SAMC3323690)</t>
  </si>
  <si>
    <t xml:space="preserve">HRS1030336 </t>
  </si>
  <si>
    <t>P117_N</t>
  </si>
  <si>
    <t>P117 Normal control</t>
  </si>
  <si>
    <t>P117</t>
  </si>
  <si>
    <t>HRR1494153_r2.fastq.gz (5.60 GB)</t>
  </si>
  <si>
    <t>HRX1166417</t>
  </si>
  <si>
    <t>WES of S424</t>
  </si>
  <si>
    <t>HRS1030335 (SAMC3323689)</t>
  </si>
  <si>
    <t xml:space="preserve">HRS1030335 </t>
  </si>
  <si>
    <t>P117_O</t>
  </si>
  <si>
    <t>P117 Organoid</t>
  </si>
  <si>
    <t>HRR1494154_r2.fastq.gz (6.96 GB)</t>
  </si>
  <si>
    <t>HRX1166418</t>
  </si>
  <si>
    <t>WES of S427</t>
  </si>
  <si>
    <t>HRS1030338 (SAMC3323692)</t>
  </si>
  <si>
    <t xml:space="preserve">HRS1030338 </t>
  </si>
  <si>
    <t>P118_N</t>
  </si>
  <si>
    <t>P118 Normal control</t>
  </si>
  <si>
    <t>P118</t>
  </si>
  <si>
    <t>HRR1494155_r2.fastq.gz (6.07 GB)</t>
  </si>
  <si>
    <t>HRX1166419</t>
  </si>
  <si>
    <t>WES of S426</t>
  </si>
  <si>
    <t>HRS1030337 (SAMC3323691)</t>
  </si>
  <si>
    <t xml:space="preserve">HRS1030337 </t>
  </si>
  <si>
    <t>P118_O</t>
  </si>
  <si>
    <t>P118 Organoid</t>
  </si>
  <si>
    <t>HRR1494156_r2.fastq.gz (6.90 GB)</t>
  </si>
  <si>
    <t>HRX1166420</t>
  </si>
  <si>
    <t>WES of S429</t>
  </si>
  <si>
    <t>HRS1030340 (SAMC3323694)</t>
  </si>
  <si>
    <t xml:space="preserve">HRS1030340 </t>
  </si>
  <si>
    <t>P119_N</t>
  </si>
  <si>
    <t>P119 Normal control</t>
  </si>
  <si>
    <t>P119</t>
  </si>
  <si>
    <t>HRR1494157_r2.fastq.gz (6.46 GB)</t>
  </si>
  <si>
    <t>HRX1166421</t>
  </si>
  <si>
    <t>WES of S428</t>
  </si>
  <si>
    <t>HRS1030339 (SAMC3323693)</t>
  </si>
  <si>
    <t xml:space="preserve">HRS1030339 </t>
  </si>
  <si>
    <t>P119_O</t>
  </si>
  <si>
    <t>P119 Organoid</t>
  </si>
  <si>
    <t>HRR1494158_r2.fastq.gz (7.22 GB)</t>
  </si>
  <si>
    <t>HRX1166422</t>
  </si>
  <si>
    <t>WES of S430</t>
  </si>
  <si>
    <t>HRS1030341 (SAMC3323695)</t>
  </si>
  <si>
    <t xml:space="preserve">HRS1030341 </t>
  </si>
  <si>
    <t>P120_O</t>
  </si>
  <si>
    <t>P120 Organoid</t>
  </si>
  <si>
    <t>P120</t>
  </si>
  <si>
    <t>HRR1494159_r2.fastq.gz (7.74 GB)</t>
  </si>
  <si>
    <t>HRX1166423</t>
  </si>
  <si>
    <t>WES of S431</t>
  </si>
  <si>
    <t>HRS1030342 (SAMC3323696)</t>
  </si>
  <si>
    <t xml:space="preserve">HRS1030342 </t>
  </si>
  <si>
    <t>P120_N</t>
  </si>
  <si>
    <t>P120 Normal control</t>
  </si>
  <si>
    <t>HRR1494160_r2.fastq.gz (9.22 GB)</t>
  </si>
  <si>
    <t>HRX1166424</t>
  </si>
  <si>
    <t>WES of S432</t>
  </si>
  <si>
    <t>HRS1030343 (SAMC3323697)</t>
  </si>
  <si>
    <t xml:space="preserve">HRS1030343 </t>
  </si>
  <si>
    <t>P121_O</t>
  </si>
  <si>
    <t>P121 Organoid</t>
  </si>
  <si>
    <t>P121</t>
  </si>
  <si>
    <t>HRR1494161_r2.fastq.gz (8.73 GB)</t>
  </si>
  <si>
    <t>HRX1166425</t>
  </si>
  <si>
    <t>WES of S433</t>
  </si>
  <si>
    <t>HRS1030344 (SAMC3323698)</t>
  </si>
  <si>
    <t xml:space="preserve">HRS1030344 </t>
  </si>
  <si>
    <t>P121_N</t>
  </si>
  <si>
    <t>P121 Normal control</t>
  </si>
  <si>
    <t>HRR1494162_r2.fastq.gz (7.66 GB)</t>
  </si>
  <si>
    <t>HRX1166426</t>
  </si>
  <si>
    <t>WES of S434</t>
  </si>
  <si>
    <t>HRS1030345 (SAMC3323699)</t>
  </si>
  <si>
    <t xml:space="preserve">HRS1030345 </t>
  </si>
  <si>
    <t>P122_O</t>
  </si>
  <si>
    <t>P122 Organoid</t>
  </si>
  <si>
    <t>P122</t>
  </si>
  <si>
    <t>HRR1494163_r2.fastq.gz (8.00 GB)</t>
  </si>
  <si>
    <t>HRX1166427</t>
  </si>
  <si>
    <t>WES of S435</t>
  </si>
  <si>
    <t>HRS1030346 (SAMC3323700)</t>
  </si>
  <si>
    <t xml:space="preserve">HRS1030346 </t>
  </si>
  <si>
    <t>P122_N</t>
  </si>
  <si>
    <t>P122 Normal control</t>
  </si>
  <si>
    <t>HRR1494164_r2.fastq.gz (7.58 GB)</t>
  </si>
  <si>
    <t>HRX1166428</t>
  </si>
  <si>
    <t>WES of S437</t>
  </si>
  <si>
    <t>HRS1030348 (SAMC3323702)</t>
  </si>
  <si>
    <t xml:space="preserve">HRS1030348 </t>
  </si>
  <si>
    <t>P123_N</t>
  </si>
  <si>
    <t>P123 Normal control</t>
  </si>
  <si>
    <t>P123</t>
  </si>
  <si>
    <t>HRR1494165_r2.fastq.gz (8.34 GB)</t>
  </si>
  <si>
    <t>HRX1166429</t>
  </si>
  <si>
    <t>WES of S436</t>
  </si>
  <si>
    <t>HRS1030347 (SAMC3323701)</t>
  </si>
  <si>
    <t xml:space="preserve">HRS1030347 </t>
  </si>
  <si>
    <t>P123_O</t>
  </si>
  <si>
    <t>P123 Organoid</t>
  </si>
  <si>
    <t>HRR1494166_r2.fastq.gz (7.42 GB)</t>
  </si>
  <si>
    <t>HRX1166430</t>
  </si>
  <si>
    <t>WES of S438</t>
  </si>
  <si>
    <t>HRS1030349 (SAMC3323703)</t>
  </si>
  <si>
    <t xml:space="preserve">HRS1030349 </t>
  </si>
  <si>
    <t>P124_O</t>
  </si>
  <si>
    <t>P124 Organoid</t>
  </si>
  <si>
    <t>P124</t>
  </si>
  <si>
    <t>HRR1494167_r2.fastq.gz (6.89 GB)</t>
  </si>
  <si>
    <t>HRX1166431</t>
  </si>
  <si>
    <t>WES of S439</t>
  </si>
  <si>
    <t>HRS1030350 (SAMC3323704)</t>
  </si>
  <si>
    <t xml:space="preserve">HRS1030350 </t>
  </si>
  <si>
    <t>P124_N</t>
  </si>
  <si>
    <t>P124 Normal control</t>
  </si>
  <si>
    <t>HRR1494168_r2.fastq.gz (8.27 GB)</t>
  </si>
  <si>
    <t>HRX1166432</t>
  </si>
  <si>
    <t>WES of S440</t>
  </si>
  <si>
    <t>HRS1030351 (SAMC3323705)</t>
  </si>
  <si>
    <t xml:space="preserve">HRS1030351 </t>
  </si>
  <si>
    <t>P125_O</t>
  </si>
  <si>
    <t>P125 Organoid</t>
  </si>
  <si>
    <t>P125</t>
  </si>
  <si>
    <t>HRR1494169_r2.fastq.gz (7.09 GB)</t>
  </si>
  <si>
    <t>HRX1166433</t>
  </si>
  <si>
    <t>WES of S441</t>
  </si>
  <si>
    <t>HRS1030352 (SAMC3323706)</t>
  </si>
  <si>
    <t xml:space="preserve">HRS1030352 </t>
  </si>
  <si>
    <t>P125_N</t>
  </si>
  <si>
    <t>P125 Normal control</t>
  </si>
  <si>
    <t>HRR1494170_r2.fastq.gz (6.24 GB)</t>
  </si>
  <si>
    <t>HRX1166434</t>
  </si>
  <si>
    <t>WES of S442</t>
  </si>
  <si>
    <t>HRS1030353 (SAMC3323707)</t>
  </si>
  <si>
    <t xml:space="preserve">HRS1030353 </t>
  </si>
  <si>
    <t>P126_O</t>
  </si>
  <si>
    <t>P126 Organoid</t>
  </si>
  <si>
    <t>P126</t>
  </si>
  <si>
    <t>HRR1494171_r2.fastq.gz (8.99 GB)</t>
  </si>
  <si>
    <t>HRX1166435</t>
  </si>
  <si>
    <t>WES of S443</t>
  </si>
  <si>
    <t>HRS1030354 (SAMC3323708)</t>
  </si>
  <si>
    <t xml:space="preserve">HRS1030354 </t>
  </si>
  <si>
    <t>P126_N</t>
  </si>
  <si>
    <t>P126 Normal control</t>
  </si>
  <si>
    <t>HRR1494172_r2.fastq.gz (9.73 GB)</t>
  </si>
  <si>
    <t>HRX1166436</t>
  </si>
  <si>
    <t>WES of S444</t>
  </si>
  <si>
    <t>HRS1030355 (SAMC3323709)</t>
  </si>
  <si>
    <t xml:space="preserve">HRS1030355 </t>
  </si>
  <si>
    <t>P127_O</t>
  </si>
  <si>
    <t>P127 Organoid</t>
  </si>
  <si>
    <t>P127</t>
  </si>
  <si>
    <t>HRR1494173_r2.fastq.gz (8.78 GB)</t>
  </si>
  <si>
    <t>HRX1166437</t>
  </si>
  <si>
    <t>WES of S445</t>
  </si>
  <si>
    <t>HRS1030356 (SAMC3323710)</t>
  </si>
  <si>
    <t xml:space="preserve">HRS1030356 </t>
  </si>
  <si>
    <t>P127_N</t>
  </si>
  <si>
    <t>P127 Normal control</t>
  </si>
  <si>
    <t>HRR1494174_r2.fastq.gz (6.12 GB)</t>
  </si>
  <si>
    <t>HRX1166438</t>
  </si>
  <si>
    <t>WES of S447</t>
  </si>
  <si>
    <t>HRS1030358 (SAMC3323712)</t>
  </si>
  <si>
    <t xml:space="preserve">HRS1030358 </t>
  </si>
  <si>
    <t>P128_N</t>
  </si>
  <si>
    <t>P128 Normal control</t>
  </si>
  <si>
    <t>P128</t>
  </si>
  <si>
    <t>HRR1494175_r2.fastq.gz (6.18 GB)</t>
  </si>
  <si>
    <t>HRX1166439</t>
  </si>
  <si>
    <t>WES of S446</t>
  </si>
  <si>
    <t>HRS1030357 (SAMC3323711)</t>
  </si>
  <si>
    <t xml:space="preserve">HRS1030357 </t>
  </si>
  <si>
    <t>P128_O</t>
  </si>
  <si>
    <t>P128 Organoid</t>
  </si>
  <si>
    <t>HRR1494176_r2.fastq.gz (9.12 GB)</t>
  </si>
  <si>
    <t>HRX1166440</t>
  </si>
  <si>
    <t>WES of S448</t>
  </si>
  <si>
    <t>HRS1030359 (SAMC3323713)</t>
  </si>
  <si>
    <t xml:space="preserve">HRS1030359 </t>
  </si>
  <si>
    <t>P129_O</t>
  </si>
  <si>
    <t>P129 Organoid</t>
  </si>
  <si>
    <t>P129</t>
  </si>
  <si>
    <t>HRR1494177_r2.fastq.gz (8.16 GB)</t>
  </si>
  <si>
    <t>HRX1166441</t>
  </si>
  <si>
    <t>WES of S449</t>
  </si>
  <si>
    <t>HRS1030360 (SAMC3323714)</t>
  </si>
  <si>
    <t xml:space="preserve">HRS1030360 </t>
  </si>
  <si>
    <t>P129_N</t>
  </si>
  <si>
    <t>P129 Normal control</t>
  </si>
  <si>
    <t>HRR1494178_r2.fastq.gz (7.26 GB)</t>
  </si>
  <si>
    <t>HRX1166442</t>
  </si>
  <si>
    <t>WES of S453</t>
  </si>
  <si>
    <t>HRS1030364 (SAMC3323718)</t>
  </si>
  <si>
    <t xml:space="preserve">HRS1030364 </t>
  </si>
  <si>
    <t>P130_N</t>
  </si>
  <si>
    <t>P130 Normal control</t>
  </si>
  <si>
    <t>P130</t>
  </si>
  <si>
    <t>HRR1494179_r2.fastq.gz (8.58 GB)</t>
  </si>
  <si>
    <t>HRX1166443</t>
  </si>
  <si>
    <t>WES of S450</t>
  </si>
  <si>
    <t>HRS1030361 (SAMC3323715)</t>
  </si>
  <si>
    <t xml:space="preserve">HRS1030361 </t>
  </si>
  <si>
    <t>P130_T</t>
  </si>
  <si>
    <t>P130 Tumor lesion</t>
  </si>
  <si>
    <t>HRR1494180_r2.fastq.gz (8.02 GB)</t>
  </si>
  <si>
    <t>HRX1166444</t>
  </si>
  <si>
    <t>WES of S451</t>
  </si>
  <si>
    <t>HRS1030362 (SAMC3323716)</t>
  </si>
  <si>
    <t xml:space="preserve">HRS1030362 </t>
  </si>
  <si>
    <t>P130_E</t>
  </si>
  <si>
    <t>P130 Early passage organoid</t>
  </si>
  <si>
    <t>HRR1494181_r2.fastq.gz (7.54 GB)</t>
  </si>
  <si>
    <t>HRX1166445</t>
  </si>
  <si>
    <t>WES of S452</t>
  </si>
  <si>
    <t>HRS1030363 (SAMC3323717)</t>
  </si>
  <si>
    <t xml:space="preserve">HRS1030363 </t>
  </si>
  <si>
    <t>P130_L</t>
  </si>
  <si>
    <t>P130 Late passage organoid</t>
  </si>
  <si>
    <t>HRR1494182_r2.fastq.gz (8.82 GB)</t>
  </si>
  <si>
    <t>HRX1166446</t>
  </si>
  <si>
    <t>WES of S457</t>
  </si>
  <si>
    <t>HRS1030368 (SAMC3323722)</t>
  </si>
  <si>
    <t xml:space="preserve">HRS1030368 </t>
  </si>
  <si>
    <t>P131_N</t>
  </si>
  <si>
    <t>P131 Normal control</t>
  </si>
  <si>
    <t>P131</t>
  </si>
  <si>
    <t>HRR1494183_r2.fastq.gz (7.40 GB)</t>
  </si>
  <si>
    <t>HRX1166447</t>
  </si>
  <si>
    <t>WES of S454</t>
  </si>
  <si>
    <t>HRS1030365 (SAMC3323719)</t>
  </si>
  <si>
    <t xml:space="preserve">HRS1030365 </t>
  </si>
  <si>
    <t>P131_T</t>
  </si>
  <si>
    <t>P131 Tumor lesion</t>
  </si>
  <si>
    <t>HRR1494184_r2.fastq.gz (7.24 GB)</t>
  </si>
  <si>
    <t>HRX1166448</t>
  </si>
  <si>
    <t>WES of S455</t>
  </si>
  <si>
    <t>HRS1030366 (SAMC3323720)</t>
  </si>
  <si>
    <t xml:space="preserve">HRS1030366 </t>
  </si>
  <si>
    <t>P131_E</t>
  </si>
  <si>
    <t>P131 Early passage organoid</t>
  </si>
  <si>
    <t>HRR1494185_r2.fastq.gz (7.25 GB)</t>
  </si>
  <si>
    <t>HRX1166449</t>
  </si>
  <si>
    <t>WES of S456</t>
  </si>
  <si>
    <t>HRS1030367 (SAMC3323721)</t>
  </si>
  <si>
    <t xml:space="preserve">HRS1030367 </t>
  </si>
  <si>
    <t>P131_L</t>
  </si>
  <si>
    <t>P131 Late passage organoid</t>
  </si>
  <si>
    <t>HRR1494186_r2.fastq.gz (7.65 GB)</t>
  </si>
  <si>
    <t>HRX1166450</t>
  </si>
  <si>
    <t>WES of S458</t>
  </si>
  <si>
    <t>HRS1030369 (SAMC3323723)</t>
  </si>
  <si>
    <t xml:space="preserve">HRS1030369 </t>
  </si>
  <si>
    <t>P132_T</t>
  </si>
  <si>
    <t>P132 Tumor lesion</t>
  </si>
  <si>
    <t>P132</t>
  </si>
  <si>
    <t>HRR1494187_r2.fastq.gz (7.92 GB)</t>
  </si>
  <si>
    <t>HRX1166451</t>
  </si>
  <si>
    <t>WES of S459</t>
  </si>
  <si>
    <t>HRS1030370 (SAMC3323724)</t>
  </si>
  <si>
    <t xml:space="preserve">HRS1030370 </t>
  </si>
  <si>
    <t>P132_E</t>
  </si>
  <si>
    <t>P132 Early passage organoid</t>
  </si>
  <si>
    <t>HRR1494188_r2.fastq.gz (10.28 GB)</t>
  </si>
  <si>
    <t>HRX1166452</t>
  </si>
  <si>
    <t>WES of S460</t>
  </si>
  <si>
    <t>HRS1030371 (SAMC3323725)</t>
  </si>
  <si>
    <t xml:space="preserve">HRS1030371 </t>
  </si>
  <si>
    <t>P132_L</t>
  </si>
  <si>
    <t>P132 Late passage organoid</t>
  </si>
  <si>
    <t>HRR1494189_r2.fastq.gz (7.42 GB)</t>
  </si>
  <si>
    <t>HRX1166453</t>
  </si>
  <si>
    <t>WES of S464</t>
  </si>
  <si>
    <t>HRS1030375 (SAMC3323729)</t>
  </si>
  <si>
    <t xml:space="preserve">HRS1030375 </t>
  </si>
  <si>
    <t>P133_N</t>
  </si>
  <si>
    <t>P133 Normal control</t>
  </si>
  <si>
    <t>P133</t>
  </si>
  <si>
    <t>HRR1494190_r2.fastq.gz (6.74 GB)</t>
  </si>
  <si>
    <t>HRX1166454</t>
  </si>
  <si>
    <t>WES of S461</t>
  </si>
  <si>
    <t>HRS1030372 (SAMC3323726)</t>
  </si>
  <si>
    <t xml:space="preserve">HRS1030372 </t>
  </si>
  <si>
    <t>P133_T</t>
  </si>
  <si>
    <t>P133 Tumor lesion</t>
  </si>
  <si>
    <t>HRR1494191_r2.fastq.gz (8.82 GB)</t>
  </si>
  <si>
    <t>HRX1166455</t>
  </si>
  <si>
    <t>WES of S462</t>
  </si>
  <si>
    <t>HRS1030373 (SAMC3323727)</t>
  </si>
  <si>
    <t xml:space="preserve">HRS1030373 </t>
  </si>
  <si>
    <t>P133_E</t>
  </si>
  <si>
    <t>P133 Early passage organoid</t>
  </si>
  <si>
    <t>HRR1494192_r2.fastq.gz (7.83 GB)</t>
  </si>
  <si>
    <t>HRX1166456</t>
  </si>
  <si>
    <t>WES of S463</t>
  </si>
  <si>
    <t>HRS1030374 (SAMC3323728)</t>
  </si>
  <si>
    <t xml:space="preserve">HRS1030374 </t>
  </si>
  <si>
    <t>P133_L</t>
  </si>
  <si>
    <t>P133 Late passage organoid</t>
  </si>
  <si>
    <t>HRR1494193_r2.fastq.gz (7.85 GB)</t>
  </si>
  <si>
    <t>HRX1166457</t>
  </si>
  <si>
    <t>WES of S468</t>
  </si>
  <si>
    <t>HRS1030379 (SAMC3323733)</t>
  </si>
  <si>
    <t xml:space="preserve">HRS1030379 </t>
  </si>
  <si>
    <t>P134_N</t>
  </si>
  <si>
    <t>P134 Normal control</t>
  </si>
  <si>
    <t>P134</t>
  </si>
  <si>
    <t>HRR1494194_r2.fastq.gz (8.52 GB)</t>
  </si>
  <si>
    <t>HRX1166458</t>
  </si>
  <si>
    <t>WES of S465</t>
  </si>
  <si>
    <t>HRS1030376 (SAMC3323730)</t>
  </si>
  <si>
    <t xml:space="preserve">HRS1030376 </t>
  </si>
  <si>
    <t>P134_T</t>
  </si>
  <si>
    <t>P134 Tumor lesion</t>
  </si>
  <si>
    <t>HRR1494195_r2.fastq.gz (8.72 GB)</t>
  </si>
  <si>
    <t>HRX1166459</t>
  </si>
  <si>
    <t>WES of S466</t>
  </si>
  <si>
    <t>HRS1030377 (SAMC3323731)</t>
  </si>
  <si>
    <t xml:space="preserve">HRS1030377 </t>
  </si>
  <si>
    <t>P134_E</t>
  </si>
  <si>
    <t>P134 Early passage organoid</t>
  </si>
  <si>
    <t>HRR1494196_r2.fastq.gz (9.15 GB)</t>
  </si>
  <si>
    <t>HRX1166460</t>
  </si>
  <si>
    <t>WES of S467</t>
  </si>
  <si>
    <t>HRS1030378 (SAMC3323732)</t>
  </si>
  <si>
    <t xml:space="preserve">HRS1030378 </t>
  </si>
  <si>
    <t>P134_L</t>
  </si>
  <si>
    <t>P134 Late passage organoid</t>
  </si>
  <si>
    <t>HRR1494197_r2.fastq.gz (8.80 GB)</t>
  </si>
  <si>
    <t>HRX1166461</t>
  </si>
  <si>
    <t>WES of S469</t>
  </si>
  <si>
    <t>HRS1030380 (SAMC3323734)</t>
  </si>
  <si>
    <t xml:space="preserve">HRS1030380 </t>
  </si>
  <si>
    <t>P135_O</t>
  </si>
  <si>
    <t>P135 Organoid</t>
  </si>
  <si>
    <t>P135</t>
  </si>
  <si>
    <t>HRR1494198_r2.fastq.gz (8.93 GB)</t>
  </si>
  <si>
    <t>HRX1166462</t>
  </si>
  <si>
    <t>WES of S470</t>
  </si>
  <si>
    <t>HRS1030381 (SAMC3323735)</t>
  </si>
  <si>
    <t xml:space="preserve">HRS1030381 </t>
  </si>
  <si>
    <t>P135_N</t>
  </si>
  <si>
    <t>P135 Normal control</t>
  </si>
  <si>
    <t>HRR1494199_r2.fastq.gz (9.54 GB)</t>
  </si>
  <si>
    <t>HRX1166463</t>
  </si>
  <si>
    <t>WES of S471</t>
  </si>
  <si>
    <t>HRS1030382 (SAMC3323736)</t>
  </si>
  <si>
    <t xml:space="preserve">HRS1030382 </t>
  </si>
  <si>
    <t>P136_O</t>
  </si>
  <si>
    <t>P136 Organoid</t>
  </si>
  <si>
    <t>P136</t>
  </si>
  <si>
    <t>HRR1494200_r2.fastq.gz (6.77 GB)</t>
  </si>
  <si>
    <t>HRX1166464</t>
  </si>
  <si>
    <t>WES of S472</t>
  </si>
  <si>
    <t>HRS1030383 (SAMC3323737)</t>
  </si>
  <si>
    <t xml:space="preserve">HRS1030383 </t>
  </si>
  <si>
    <t>P136_N</t>
  </si>
  <si>
    <t>P136 Normal control</t>
  </si>
  <si>
    <t>HRR1494201_r2.fastq.gz (7.67 GB)</t>
  </si>
  <si>
    <t>HRX1166465</t>
  </si>
  <si>
    <t>WES of S473</t>
  </si>
  <si>
    <t>HRS1030384 (SAMC3323738)</t>
  </si>
  <si>
    <t xml:space="preserve">HRS1030384 </t>
  </si>
  <si>
    <t>P137_O</t>
  </si>
  <si>
    <t>P137 Organoid</t>
  </si>
  <si>
    <t>P137</t>
  </si>
  <si>
    <t>HRR1494202_r2.fastq.gz (8.26 GB)</t>
  </si>
  <si>
    <t>HRX1166466</t>
  </si>
  <si>
    <t>WES of S474</t>
  </si>
  <si>
    <t>HRS1030385 (SAMC3323739)</t>
  </si>
  <si>
    <t xml:space="preserve">HRS1030385 </t>
  </si>
  <si>
    <t>P137_N</t>
  </si>
  <si>
    <t>P137 Normal control</t>
  </si>
  <si>
    <t>HRR1494203_r2.fastq.gz (7.84 GB)</t>
  </si>
  <si>
    <t>HRX1166467</t>
  </si>
  <si>
    <t>WES of S476</t>
  </si>
  <si>
    <t>HRS1030387 (SAMC3323741)</t>
  </si>
  <si>
    <t xml:space="preserve">HRS1030387 </t>
  </si>
  <si>
    <t>P138_N</t>
  </si>
  <si>
    <t>P138 Normal control</t>
  </si>
  <si>
    <t>P138</t>
  </si>
  <si>
    <t>HRR1494204_r2.fastq.gz (8.94 GB)</t>
  </si>
  <si>
    <t>HRX1166468</t>
  </si>
  <si>
    <t>WES of S475</t>
  </si>
  <si>
    <t>HRS1030386 (SAMC3323740)</t>
  </si>
  <si>
    <t xml:space="preserve">HRS1030386 </t>
  </si>
  <si>
    <t>P138_O</t>
  </si>
  <si>
    <t>P138 Organoid</t>
  </si>
  <si>
    <t>HRR1494205_r2.fastq.gz (7.87 GB)</t>
  </si>
  <si>
    <t>HRX1166469</t>
  </si>
  <si>
    <t>WES of S477</t>
  </si>
  <si>
    <t>HRS1030388 (SAMC3323742)</t>
  </si>
  <si>
    <t xml:space="preserve">HRS1030388 </t>
  </si>
  <si>
    <t>P139_O</t>
  </si>
  <si>
    <t>P139 Organoid</t>
  </si>
  <si>
    <t>P139</t>
  </si>
  <si>
    <t>HRR1494206_r2.fastq.gz (7.14 GB)</t>
  </si>
  <si>
    <t>HRX1166470</t>
  </si>
  <si>
    <t>WES of S478</t>
  </si>
  <si>
    <t>HRS1030389 (SAMC3323743)</t>
  </si>
  <si>
    <t xml:space="preserve">HRS1030389 </t>
  </si>
  <si>
    <t>P140_O</t>
  </si>
  <si>
    <t>P140 Organoid</t>
  </si>
  <si>
    <t>P140</t>
  </si>
  <si>
    <t>HRR1494207_r2.fastq.gz (6.07 GB)</t>
  </si>
  <si>
    <t>HRX1166471</t>
  </si>
  <si>
    <t>WES of S479</t>
  </si>
  <si>
    <t>HRS1030390 (SAMC3323744)</t>
  </si>
  <si>
    <t xml:space="preserve">HRS1030390 </t>
  </si>
  <si>
    <t>P141_O</t>
  </si>
  <si>
    <t>P141 Organoid</t>
  </si>
  <si>
    <t>P141</t>
  </si>
  <si>
    <t>HRR1494208_r2.fastq.gz (5.15 GB)</t>
  </si>
  <si>
    <t>HRX1166472</t>
  </si>
  <si>
    <t>WES of S480</t>
  </si>
  <si>
    <t>HRS1030391 (SAMC3323745)</t>
  </si>
  <si>
    <t xml:space="preserve">HRS1030391 </t>
  </si>
  <si>
    <t>P142_O</t>
  </si>
  <si>
    <t>P142 Organoid</t>
  </si>
  <si>
    <t>P142</t>
  </si>
  <si>
    <t>HRR1494209_r2.fastq.gz (4.69 GB)</t>
  </si>
  <si>
    <t>HRX1166473</t>
  </si>
  <si>
    <t>WES of S481</t>
  </si>
  <si>
    <t>HRS1030392 (SAMC3323746)</t>
  </si>
  <si>
    <t xml:space="preserve">HRS1030392 </t>
  </si>
  <si>
    <t>P142_N</t>
  </si>
  <si>
    <t>P142 Normal control</t>
  </si>
  <si>
    <t>HRR1494210_r2.fastq.gz (6.13 GB)</t>
  </si>
  <si>
    <t>HRX1166474</t>
  </si>
  <si>
    <t>WES of S482</t>
  </si>
  <si>
    <t>HRS1030393 (SAMC3323747)</t>
  </si>
  <si>
    <t xml:space="preserve">HRS1030393 </t>
  </si>
  <si>
    <t>P143_O</t>
  </si>
  <si>
    <t>P143 Organoid</t>
  </si>
  <si>
    <t>P143</t>
  </si>
  <si>
    <t>HRR1494211_r2.fastq.gz (7.63 GB)</t>
  </si>
  <si>
    <t>HRX1166475</t>
  </si>
  <si>
    <t>WES of S509</t>
  </si>
  <si>
    <t>HRS1030420 (SAMC3323774)</t>
  </si>
  <si>
    <t xml:space="preserve">HRS1030420 </t>
  </si>
  <si>
    <t>A15_E</t>
  </si>
  <si>
    <t>A15 Early passage organoid</t>
  </si>
  <si>
    <t>A15</t>
  </si>
  <si>
    <t>HRR1494212_r2.fastq.gz (6.79 GB)</t>
  </si>
  <si>
    <t>HRX1166476</t>
  </si>
  <si>
    <t>WES of S511</t>
  </si>
  <si>
    <t>HRS1030422 (SAMC3323776)</t>
  </si>
  <si>
    <t xml:space="preserve">HRS1030422 </t>
  </si>
  <si>
    <t>A15_L</t>
  </si>
  <si>
    <t>A15 Late passage organoid</t>
  </si>
  <si>
    <t>HRR1494213_r2.fastq.gz (6.30 GB)</t>
  </si>
  <si>
    <t>HRX1166477</t>
  </si>
  <si>
    <t>WES of S512</t>
  </si>
  <si>
    <t>HRS1030423 (SAMC3323777)</t>
  </si>
  <si>
    <t xml:space="preserve">HRS1030423 </t>
  </si>
  <si>
    <t>A15_N</t>
  </si>
  <si>
    <t>A15 Normal control</t>
  </si>
  <si>
    <t>HRR1494214_r2.fastq.gz (9.50 GB)</t>
  </si>
  <si>
    <t>HRX1166478</t>
  </si>
  <si>
    <t>WES of S514</t>
  </si>
  <si>
    <t>HRS1030425 (SAMC3323779)</t>
  </si>
  <si>
    <t xml:space="preserve">HRS1030425 </t>
  </si>
  <si>
    <t>A16_E</t>
  </si>
  <si>
    <t>A16 Early passage organoid</t>
  </si>
  <si>
    <t>A16</t>
  </si>
  <si>
    <t>HRR1494215_r2.fastq.gz (8.58 GB)</t>
  </si>
  <si>
    <t>HRX1166479</t>
  </si>
  <si>
    <t>WES of S515</t>
  </si>
  <si>
    <t>HRS1030426 (SAMC3323780)</t>
  </si>
  <si>
    <t xml:space="preserve">HRS1030426 </t>
  </si>
  <si>
    <t>A16_L</t>
  </si>
  <si>
    <t>A16 Late passage organoid</t>
  </si>
  <si>
    <t>HRR1494216_r2.fastq.gz (7.55 GB)</t>
  </si>
  <si>
    <t>HRX1166480</t>
  </si>
  <si>
    <t>WES of S516</t>
  </si>
  <si>
    <t>HRS1030427 (SAMC3323781)</t>
  </si>
  <si>
    <t xml:space="preserve">HRS1030427 </t>
  </si>
  <si>
    <t>A16_N</t>
  </si>
  <si>
    <t>A16 Normal control</t>
  </si>
  <si>
    <t>HRR1494217_r2.fastq.gz (7.98 GB)</t>
  </si>
  <si>
    <t>HRX1166481</t>
  </si>
  <si>
    <t>WES of S517</t>
  </si>
  <si>
    <t>HRS1030428 (SAMC3323782)</t>
  </si>
  <si>
    <t xml:space="preserve">HRS1030428 </t>
  </si>
  <si>
    <t>A17C1_O</t>
  </si>
  <si>
    <t>A17C1 Organoid</t>
  </si>
  <si>
    <t>A17</t>
  </si>
  <si>
    <t>A17C1</t>
  </si>
  <si>
    <t>HRR1494218_r2.fastq.gz (10.55 GB)</t>
  </si>
  <si>
    <t>HRX1166482</t>
  </si>
  <si>
    <t>WES of S519</t>
  </si>
  <si>
    <t>HRS1030430 (SAMC3323784)</t>
  </si>
  <si>
    <t xml:space="preserve">HRS1030430 </t>
  </si>
  <si>
    <t>A17C3_O</t>
  </si>
  <si>
    <t>A17C3 Organoid</t>
  </si>
  <si>
    <t>A17C3</t>
  </si>
  <si>
    <t>HRR1494219_r2.fastq.gz (5.80 GB)</t>
  </si>
  <si>
    <t>HRX1166483</t>
  </si>
  <si>
    <t>WES of S522</t>
  </si>
  <si>
    <t>HRS1030433 (SAMC3323787)</t>
  </si>
  <si>
    <t xml:space="preserve">HRS1030433 </t>
  </si>
  <si>
    <t>A18C2_O</t>
  </si>
  <si>
    <t>A18C2 Organoid</t>
  </si>
  <si>
    <t>A18</t>
  </si>
  <si>
    <t>A18C2</t>
  </si>
  <si>
    <t>HRR1494220_r2.fastq.gz (5.93 GB)</t>
  </si>
  <si>
    <t>HRX1166484</t>
  </si>
  <si>
    <t>WES of S523</t>
  </si>
  <si>
    <t>HRS1030434 (SAMC3323788)</t>
  </si>
  <si>
    <t xml:space="preserve">HRS1030434 </t>
  </si>
  <si>
    <t>A18C3_T</t>
  </si>
  <si>
    <t>A18C3 Tumor lesion</t>
  </si>
  <si>
    <t>A18C3</t>
  </si>
  <si>
    <t>HRX1166485</t>
  </si>
  <si>
    <t>RNAseq of S1</t>
  </si>
  <si>
    <t>HRS1029912 (SAMC3323266)</t>
  </si>
  <si>
    <t xml:space="preserve">HRS1029912 </t>
  </si>
  <si>
    <t>P1C3_O</t>
  </si>
  <si>
    <t>P1C3 Organoid</t>
  </si>
  <si>
    <t>P1</t>
  </si>
  <si>
    <t>P1C3</t>
  </si>
  <si>
    <t>HRR1494222_r2.fastq.gz (1.99 GB)</t>
  </si>
  <si>
    <t>HRX1166486</t>
  </si>
  <si>
    <t>RNAseq of S2</t>
  </si>
  <si>
    <t>HRS1029913 (SAMC3323267)</t>
  </si>
  <si>
    <t xml:space="preserve">HRS1029913 </t>
  </si>
  <si>
    <t>P1C3_T</t>
  </si>
  <si>
    <t>P1C3 Tumor lesion</t>
  </si>
  <si>
    <t>HRR1494223_r2.fastq.gz (2.51 GB)</t>
  </si>
  <si>
    <t>HRX1166487</t>
  </si>
  <si>
    <t>RNAseq of S10</t>
  </si>
  <si>
    <t>HRS1029921 (SAMC3323275)</t>
  </si>
  <si>
    <t xml:space="preserve">HRS1029921 </t>
  </si>
  <si>
    <t>P2C2_O</t>
  </si>
  <si>
    <t>P2C2 Organoid</t>
  </si>
  <si>
    <t>P2</t>
  </si>
  <si>
    <t>P2C2</t>
  </si>
  <si>
    <t>HRR1494224_r2.fastq.gz (1.80 GB)</t>
  </si>
  <si>
    <t>HRX1166488</t>
  </si>
  <si>
    <t>RNAseq of S11</t>
  </si>
  <si>
    <t>HRS1029922 (SAMC3323276)</t>
  </si>
  <si>
    <t xml:space="preserve">HRS1029922 </t>
  </si>
  <si>
    <t>P2C4_O</t>
  </si>
  <si>
    <t>P2C4 Organoid</t>
  </si>
  <si>
    <t>P2C4</t>
  </si>
  <si>
    <t>HRR1494225_r2.fastq.gz (2.12 GB)</t>
  </si>
  <si>
    <t>HRX1166489</t>
  </si>
  <si>
    <t>RNAseq of S12</t>
  </si>
  <si>
    <t>HRS1029923 (SAMC3323277)</t>
  </si>
  <si>
    <t xml:space="preserve">HRS1029923 </t>
  </si>
  <si>
    <t>P2C5_O</t>
  </si>
  <si>
    <t>P2C5 Organoid</t>
  </si>
  <si>
    <t>P2C5</t>
  </si>
  <si>
    <t>HRR1494226_r2.fastq.gz (2.06 GB)</t>
  </si>
  <si>
    <t>HRX1166490</t>
  </si>
  <si>
    <t>RNAseq of S13</t>
  </si>
  <si>
    <t>HRS1029924 (SAMC3323278)</t>
  </si>
  <si>
    <t xml:space="preserve">HRS1029924 </t>
  </si>
  <si>
    <t>P2C2_T</t>
  </si>
  <si>
    <t>P2C2 Tumor lesion</t>
  </si>
  <si>
    <t>HRR1494227_r2.fastq.gz (2.16 GB)</t>
  </si>
  <si>
    <t>HRX1166491</t>
  </si>
  <si>
    <t>RNAseq of S14</t>
  </si>
  <si>
    <t>HRS1029925 (SAMC3323279)</t>
  </si>
  <si>
    <t xml:space="preserve">HRS1029925 </t>
  </si>
  <si>
    <t>P2C4_T</t>
  </si>
  <si>
    <t>P2C4 Tumor lesion</t>
  </si>
  <si>
    <t>HRR1494228_r2.fastq.gz (2.17 GB)</t>
  </si>
  <si>
    <t>HRX1166492</t>
  </si>
  <si>
    <t>RNAseq of S15</t>
  </si>
  <si>
    <t>HRS1029926 (SAMC3323280)</t>
  </si>
  <si>
    <t xml:space="preserve">HRS1029926 </t>
  </si>
  <si>
    <t>P2C5_T</t>
  </si>
  <si>
    <t>P2C5 Tumor lesion</t>
  </si>
  <si>
    <t>HRR1494229_r2.fastq.gz (1.79 GB)</t>
  </si>
  <si>
    <t>HRX1166493</t>
  </si>
  <si>
    <t>RNAseq of S16</t>
  </si>
  <si>
    <t>HRS1029927 (SAMC3323281)</t>
  </si>
  <si>
    <t xml:space="preserve">HRS1029927 </t>
  </si>
  <si>
    <t>P3C4_O</t>
  </si>
  <si>
    <t>P3C4 Organoid</t>
  </si>
  <si>
    <t>P3</t>
  </si>
  <si>
    <t>P3C4</t>
  </si>
  <si>
    <t>HRR1494230_r2.fastq.gz (1.76 GB)</t>
  </si>
  <si>
    <t>HRX1166494</t>
  </si>
  <si>
    <t>RNAseq of S17</t>
  </si>
  <si>
    <t>HRS1029928 (SAMC3323282)</t>
  </si>
  <si>
    <t xml:space="preserve">HRS1029928 </t>
  </si>
  <si>
    <t>P3C3_O</t>
  </si>
  <si>
    <t>P3C3 Organoid</t>
  </si>
  <si>
    <t>P3C3</t>
  </si>
  <si>
    <t>HRR1494231_r2.fastq.gz (1.83 GB)</t>
  </si>
  <si>
    <t>HRX1166495</t>
  </si>
  <si>
    <t>RNAseq of S18</t>
  </si>
  <si>
    <t>HRS1029929 (SAMC3323283)</t>
  </si>
  <si>
    <t xml:space="preserve">HRS1029929 </t>
  </si>
  <si>
    <t>P3C5_O</t>
  </si>
  <si>
    <t>P3C5 Organoid</t>
  </si>
  <si>
    <t>P3C5</t>
  </si>
  <si>
    <t>HRR1494232_r2.fastq.gz (2.09 GB)</t>
  </si>
  <si>
    <t>HRX1166496</t>
  </si>
  <si>
    <t>RNAseq of S19</t>
  </si>
  <si>
    <t>HRS1029930 (SAMC3323284)</t>
  </si>
  <si>
    <t xml:space="preserve">HRS1029930 </t>
  </si>
  <si>
    <t>P3C1_O</t>
  </si>
  <si>
    <t>P3C1 Organoid</t>
  </si>
  <si>
    <t>P3C1</t>
  </si>
  <si>
    <t>HRR1494233_r2.fastq.gz (1.85 GB)</t>
  </si>
  <si>
    <t>HRX1166497</t>
  </si>
  <si>
    <t>RNAseq of S20</t>
  </si>
  <si>
    <t>HRS1029931 (SAMC3323285)</t>
  </si>
  <si>
    <t xml:space="preserve">HRS1029931 </t>
  </si>
  <si>
    <t>P3C2_O</t>
  </si>
  <si>
    <t>P3C2 Organoid</t>
  </si>
  <si>
    <t>P3C2</t>
  </si>
  <si>
    <t>HRR1494234_r2.fastq.gz (1.96 GB)</t>
  </si>
  <si>
    <t>HRX1166498</t>
  </si>
  <si>
    <t>RNAseq of S21</t>
  </si>
  <si>
    <t>HRS1029932 (SAMC3323286)</t>
  </si>
  <si>
    <t xml:space="preserve">HRS1029932 </t>
  </si>
  <si>
    <t>P3C1_T</t>
  </si>
  <si>
    <t>P3C1 Tumor lesion</t>
  </si>
  <si>
    <t>HRR1494235_r2.fastq.gz (2.00 GB)</t>
  </si>
  <si>
    <t>HRX1166499</t>
  </si>
  <si>
    <t>RNAseq of S22</t>
  </si>
  <si>
    <t>HRS1029933 (SAMC3323287)</t>
  </si>
  <si>
    <t xml:space="preserve">HRS1029933 </t>
  </si>
  <si>
    <t>P3C2_T</t>
  </si>
  <si>
    <t>P3C2 Tumor lesion</t>
  </si>
  <si>
    <t>HRR1494236_r2.fastq.gz (1.51 GB)</t>
  </si>
  <si>
    <t>HRX1166500</t>
  </si>
  <si>
    <t>RNAseq of S33</t>
  </si>
  <si>
    <t>HRS1029944 (SAMC3323298)</t>
  </si>
  <si>
    <t xml:space="preserve">HRS1029944 </t>
  </si>
  <si>
    <t>P5C2_O</t>
  </si>
  <si>
    <t>P5C2 Organoid</t>
  </si>
  <si>
    <t>P5</t>
  </si>
  <si>
    <t>P5C2</t>
  </si>
  <si>
    <t>HRR1494237_r2.fastq.gz (2.01 GB)</t>
  </si>
  <si>
    <t>HRX1166501</t>
  </si>
  <si>
    <t>RNAseq of S34</t>
  </si>
  <si>
    <t>HRS1029945 (SAMC3323299)</t>
  </si>
  <si>
    <t xml:space="preserve">HRS1029945 </t>
  </si>
  <si>
    <t>P5C2_T</t>
  </si>
  <si>
    <t>P5C2 Tumor lesion</t>
  </si>
  <si>
    <t>HRR1494238_r2.fastq.gz (1.80 GB)</t>
  </si>
  <si>
    <t>HRX1166502</t>
  </si>
  <si>
    <t>RNAseq of S35</t>
  </si>
  <si>
    <t>HRS1029946 (SAMC3323300)</t>
  </si>
  <si>
    <t xml:space="preserve">HRS1029946 </t>
  </si>
  <si>
    <t>P5C1_O</t>
  </si>
  <si>
    <t>P5C1 Organoid</t>
  </si>
  <si>
    <t>P5C1</t>
  </si>
  <si>
    <t>HRR1494239_r2.fastq.gz (1.65 GB)</t>
  </si>
  <si>
    <t>HRX1166503</t>
  </si>
  <si>
    <t>RNAseq of S36</t>
  </si>
  <si>
    <t>HRS1029947 (SAMC3323301)</t>
  </si>
  <si>
    <t xml:space="preserve">HRS1029947 </t>
  </si>
  <si>
    <t>P5C1_T</t>
  </si>
  <si>
    <t>P5C1 Tumor lesion</t>
  </si>
  <si>
    <t>HRR1494240_r2.fastq.gz (2.00 GB)</t>
  </si>
  <si>
    <t>HRX1166504</t>
  </si>
  <si>
    <t>RNAseq of S40</t>
  </si>
  <si>
    <t>HRS1029951 (SAMC3323305)</t>
  </si>
  <si>
    <t xml:space="preserve">HRS1029951 </t>
  </si>
  <si>
    <t>P6C5_T</t>
  </si>
  <si>
    <t>P6C5 Tumor lesion</t>
  </si>
  <si>
    <t>P6C5</t>
  </si>
  <si>
    <t>HRR1494241_r2.fastq.gz (2.03 GB)</t>
  </si>
  <si>
    <t>HRX1166505</t>
  </si>
  <si>
    <t>RNAseq of S41</t>
  </si>
  <si>
    <t>HRS1029952 (SAMC3323306)</t>
  </si>
  <si>
    <t xml:space="preserve">HRS1029952 </t>
  </si>
  <si>
    <t>P6C5_O</t>
  </si>
  <si>
    <t>P6C5 Organoid</t>
  </si>
  <si>
    <t>HRR1494242_r2.fastq.gz (2.44 GB)</t>
  </si>
  <si>
    <t>HRX1166506</t>
  </si>
  <si>
    <t>RNAseq of S42</t>
  </si>
  <si>
    <t>HRR1494243_r2.fastq.gz (2.55 GB)</t>
  </si>
  <si>
    <t>HRX1166507</t>
  </si>
  <si>
    <t>RNAseq of S43</t>
  </si>
  <si>
    <t>HRR1494244_r2.fastq.gz (1.90 GB)</t>
  </si>
  <si>
    <t>HRX1166508</t>
  </si>
  <si>
    <t>RNAseq of S44</t>
  </si>
  <si>
    <t>HRS1029955 (SAMC3323309)</t>
  </si>
  <si>
    <t xml:space="preserve">HRS1029955 </t>
  </si>
  <si>
    <t>P6C3_O</t>
  </si>
  <si>
    <t>P6C3 Organoid</t>
  </si>
  <si>
    <t>HRR1494245_r2.fastq.gz (2.09 GB)</t>
  </si>
  <si>
    <t>HRX1166509</t>
  </si>
  <si>
    <t>RNAseq of S45</t>
  </si>
  <si>
    <t>HRS1029956 (SAMC3323310)</t>
  </si>
  <si>
    <t xml:space="preserve">HRS1029956 </t>
  </si>
  <si>
    <t>P6C4_O</t>
  </si>
  <si>
    <t>P6C4 Organoid</t>
  </si>
  <si>
    <t>HRR1494246_r2.fastq.gz (2.39 GB)</t>
  </si>
  <si>
    <t>HRX1166510</t>
  </si>
  <si>
    <t>RNAseq of S46</t>
  </si>
  <si>
    <t>HRR1494247_r2.fastq.gz (2.10 GB)</t>
  </si>
  <si>
    <t>HRX1166511</t>
  </si>
  <si>
    <t>RNAseq of S47</t>
  </si>
  <si>
    <t>HRR1494248_r2.fastq.gz (2.15 GB)</t>
  </si>
  <si>
    <t>HRX1166512</t>
  </si>
  <si>
    <t>RNAseq of S48</t>
  </si>
  <si>
    <t>HRR1494249_r2.fastq.gz (2.28 GB)</t>
  </si>
  <si>
    <t>HRX1166513</t>
  </si>
  <si>
    <t>RNAseq of S49</t>
  </si>
  <si>
    <t>HRR1494250_r2.fastq.gz (1.92 GB)</t>
  </si>
  <si>
    <t>HRX1166514</t>
  </si>
  <si>
    <t>RNAseq of S51</t>
  </si>
  <si>
    <t>HRR1494251_r2.fastq.gz (1.95 GB)</t>
  </si>
  <si>
    <t>HRX1166515</t>
  </si>
  <si>
    <t>RNAseq of S52</t>
  </si>
  <si>
    <t>HRR1494252_r2.fastq.gz (1.85 GB)</t>
  </si>
  <si>
    <t>HRX1166516</t>
  </si>
  <si>
    <t>RNAseq of S54</t>
  </si>
  <si>
    <t>HRR1494253_r2.fastq.gz (2.53 GB)</t>
  </si>
  <si>
    <t>HRX1166517</t>
  </si>
  <si>
    <t>RNAseq of S55</t>
  </si>
  <si>
    <t>HRR1494254_r2.fastq.gz (2.73 GB)</t>
  </si>
  <si>
    <t>HRX1166518</t>
  </si>
  <si>
    <t>RNAseq of S56</t>
  </si>
  <si>
    <t>HRR1494255_r2.fastq.gz (2.04 GB)</t>
  </si>
  <si>
    <t>HRX1166519</t>
  </si>
  <si>
    <t>RNAseq of S66</t>
  </si>
  <si>
    <t>HRR1494256_r2.fastq.gz (2.21 GB)</t>
  </si>
  <si>
    <t>HRX1166520</t>
  </si>
  <si>
    <t>RNAseq of S67</t>
  </si>
  <si>
    <t>HRR1494257_r2.fastq.gz (1.96 GB)</t>
  </si>
  <si>
    <t>HRX1166521</t>
  </si>
  <si>
    <t>RNAseq of S68</t>
  </si>
  <si>
    <t>HRR1494258_r2.fastq.gz (1.85 GB)</t>
  </si>
  <si>
    <t>HRX1166522</t>
  </si>
  <si>
    <t>RNAseq of S69</t>
  </si>
  <si>
    <t>HRR1494259_r2.fastq.gz (1.79 GB)</t>
  </si>
  <si>
    <t>HRX1166523</t>
  </si>
  <si>
    <t>RNAseq of S70</t>
  </si>
  <si>
    <t>HRR1494260_r2.fastq.gz (2.12 GB)</t>
  </si>
  <si>
    <t>HRX1166524</t>
  </si>
  <si>
    <t>RNAseq of S71</t>
  </si>
  <si>
    <t>HRR1494261_r2.fastq.gz (2.27 GB)</t>
  </si>
  <si>
    <t>HRX1166525</t>
  </si>
  <si>
    <t>RNAseq of S73</t>
  </si>
  <si>
    <t>HRR1494262_r2.fastq.gz (1.84 GB)</t>
  </si>
  <si>
    <t>HRX1166526</t>
  </si>
  <si>
    <t>RNAseq of S74</t>
  </si>
  <si>
    <t>HRR1494263_r2.fastq.gz (1.92 GB)</t>
  </si>
  <si>
    <t>HRX1166527</t>
  </si>
  <si>
    <t>RNAseq of S75</t>
  </si>
  <si>
    <t>HRR1494264_r2.fastq.gz (1.91 GB)</t>
  </si>
  <si>
    <t>HRX1166528</t>
  </si>
  <si>
    <t>RNAseq of S76</t>
  </si>
  <si>
    <t>HRR1494265_r2.fastq.gz (1.95 GB)</t>
  </si>
  <si>
    <t>HRX1166529</t>
  </si>
  <si>
    <t>RNAseq of S77</t>
  </si>
  <si>
    <t>HRR1494266_r2.fastq.gz (2.01 GB)</t>
  </si>
  <si>
    <t>HRX1166530</t>
  </si>
  <si>
    <t>RNAseq of S78</t>
  </si>
  <si>
    <t>HRR1494267_r2.fastq.gz (1.89 GB)</t>
  </si>
  <si>
    <t>HRX1166531</t>
  </si>
  <si>
    <t>RNAseq of S80</t>
  </si>
  <si>
    <t>HRR1494268_r2.fastq.gz (2.00 GB)</t>
  </si>
  <si>
    <t>HRX1166532</t>
  </si>
  <si>
    <t>RNAseq of S81</t>
  </si>
  <si>
    <t>HRR1494269_r2.fastq.gz (2.28 GB)</t>
  </si>
  <si>
    <t>HRX1166533</t>
  </si>
  <si>
    <t>RNAseq of S82</t>
  </si>
  <si>
    <t>HRR1494270_r2.fastq.gz (2.35 GB)</t>
  </si>
  <si>
    <t>HRX1166534</t>
  </si>
  <si>
    <t>RNAseq of S83</t>
  </si>
  <si>
    <t>HRR1494271_r2.fastq.gz (2.07 GB)</t>
  </si>
  <si>
    <t>HRX1166535</t>
  </si>
  <si>
    <t>RNAseq of S84</t>
  </si>
  <si>
    <t>HRR1494272_r2.fastq.gz (1.84 GB)</t>
  </si>
  <si>
    <t>HRX1166536</t>
  </si>
  <si>
    <t>RNAseq of S85</t>
  </si>
  <si>
    <t>HRR1494273_r2.fastq.gz (1.72 GB)</t>
  </si>
  <si>
    <t>HRX1166537</t>
  </si>
  <si>
    <t>RNAseq of S87</t>
  </si>
  <si>
    <t>HRS1029998 (SAMC3323352)</t>
  </si>
  <si>
    <t xml:space="preserve">HRS1029998 </t>
  </si>
  <si>
    <t>P13_ALO</t>
  </si>
  <si>
    <t>P13 Adjacent Liver-derived Organoid</t>
  </si>
  <si>
    <t>HRR1494274_r2.fastq.gz (1.95 GB)</t>
  </si>
  <si>
    <t>HRX1166538</t>
  </si>
  <si>
    <t>RNAseq of S88</t>
  </si>
  <si>
    <t>HRS1029999 (SAMC3323353)</t>
  </si>
  <si>
    <t xml:space="preserve">HRS1029999 </t>
  </si>
  <si>
    <t>P13_AL</t>
  </si>
  <si>
    <t>P13 Adjacent Liver</t>
  </si>
  <si>
    <t>HRR1494275_r2.fastq.gz (1.93 GB)</t>
  </si>
  <si>
    <t>HRX1166539</t>
  </si>
  <si>
    <t>RNAseq of S89</t>
  </si>
  <si>
    <t>HRR1494276_r2.fastq.gz (1.89 GB)</t>
  </si>
  <si>
    <t>HRX1166540</t>
  </si>
  <si>
    <t>RNAseq of S90</t>
  </si>
  <si>
    <t>HRR1494277_r2.fastq.gz (1.83 GB)</t>
  </si>
  <si>
    <t>HRX1166541</t>
  </si>
  <si>
    <t>RNAseq of S91</t>
  </si>
  <si>
    <t>HRR1494278_r2.fastq.gz (2.25 GB)</t>
  </si>
  <si>
    <t>HRX1166542</t>
  </si>
  <si>
    <t>RNAseq of S92</t>
  </si>
  <si>
    <t>HRR1494279_r2.fastq.gz (1.91 GB)</t>
  </si>
  <si>
    <t>HRX1166543</t>
  </si>
  <si>
    <t>RNAseq of S93</t>
  </si>
  <si>
    <t>HRR1494280_r2.fastq.gz (1.97 GB)</t>
  </si>
  <si>
    <t>HRX1166544</t>
  </si>
  <si>
    <t>RNAseq of S94</t>
  </si>
  <si>
    <t>HRR1494281_r2.fastq.gz (1.87 GB)</t>
  </si>
  <si>
    <t>HRX1166545</t>
  </si>
  <si>
    <t>RNAseq of S95</t>
  </si>
  <si>
    <t>HRR1494282_r2.fastq.gz (1.85 GB)</t>
  </si>
  <si>
    <t>HRX1166546</t>
  </si>
  <si>
    <t>RNAseq of S96</t>
  </si>
  <si>
    <t>HRR1494283_r2.fastq.gz (2.15 GB)</t>
  </si>
  <si>
    <t>HRX1166547</t>
  </si>
  <si>
    <t>RNAseq of S98</t>
  </si>
  <si>
    <t>HRR1494284_r2.fastq.gz (1.96 GB)</t>
  </si>
  <si>
    <t>HRX1166548</t>
  </si>
  <si>
    <t>RNAseq of S99</t>
  </si>
  <si>
    <t>HRR1494285_r2.fastq.gz (1.99 GB)</t>
  </si>
  <si>
    <t>HRX1166549</t>
  </si>
  <si>
    <t>RNAseq of S100</t>
  </si>
  <si>
    <t>HRR1494286_r2.fastq.gz (1.99 GB)</t>
  </si>
  <si>
    <t>HRX1166550</t>
  </si>
  <si>
    <t>RNAseq of S101</t>
  </si>
  <si>
    <t>HRR1494287_r2.fastq.gz (1.95 GB)</t>
  </si>
  <si>
    <t>HRX1166551</t>
  </si>
  <si>
    <t>RNAseq of S102</t>
  </si>
  <si>
    <t>HRR1494288_r2.fastq.gz (1.84 GB)</t>
  </si>
  <si>
    <t>HRX1166552</t>
  </si>
  <si>
    <t>RNAseq of S103</t>
  </si>
  <si>
    <t>HRR1494289_r2.fastq.gz (1.90 GB)</t>
  </si>
  <si>
    <t>HRX1166553</t>
  </si>
  <si>
    <t>RNAseq of S105</t>
  </si>
  <si>
    <t>HRS1030016 (SAMC3323370)</t>
  </si>
  <si>
    <t xml:space="preserve">HRS1030016 </t>
  </si>
  <si>
    <t>P15C2_O</t>
  </si>
  <si>
    <t>P15C2 Organoid</t>
  </si>
  <si>
    <t>P15C2</t>
  </si>
  <si>
    <t>HRR1494290_r2.fastq.gz (2.15 GB)</t>
  </si>
  <si>
    <t>HRX1166554</t>
  </si>
  <si>
    <t>RNAseq of S106</t>
  </si>
  <si>
    <t>HRR1494291_r2.fastq.gz (1.59 GB)</t>
  </si>
  <si>
    <t>HRX1166555</t>
  </si>
  <si>
    <t>RNAseq of S107</t>
  </si>
  <si>
    <t>HRR1494292_r2.fastq.gz (1.87 GB)</t>
  </si>
  <si>
    <t>HRX1166556</t>
  </si>
  <si>
    <t>RNAseq of S109</t>
  </si>
  <si>
    <t>HRS1030020 (SAMC3323374)</t>
  </si>
  <si>
    <t xml:space="preserve">HRS1030020 </t>
  </si>
  <si>
    <t>P16_ALO</t>
  </si>
  <si>
    <t>P16 Adjacent Liver-derived Organoid</t>
  </si>
  <si>
    <t>HRR1494293_r2.fastq.gz (1.91 GB)</t>
  </si>
  <si>
    <t>HRX1166557</t>
  </si>
  <si>
    <t>RNAseq of S110</t>
  </si>
  <si>
    <t>HRS1030021 (SAMC3323375)</t>
  </si>
  <si>
    <t xml:space="preserve">HRS1030021 </t>
  </si>
  <si>
    <t>P16_AL</t>
  </si>
  <si>
    <t>P16 Adjacent Liver</t>
  </si>
  <si>
    <t>HRR1494294_r2.fastq.gz (1.81 GB)</t>
  </si>
  <si>
    <t>HRX1166558</t>
  </si>
  <si>
    <t>RNAseq of S111</t>
  </si>
  <si>
    <t>HRR1494295_r2.fastq.gz (1.87 GB)</t>
  </si>
  <si>
    <t>HRX1166559</t>
  </si>
  <si>
    <t>RNAseq of S112</t>
  </si>
  <si>
    <t>HRR1494296_r2.fastq.gz (1.78 GB)</t>
  </si>
  <si>
    <t>HRX1166560</t>
  </si>
  <si>
    <t>RNAseq of S113</t>
  </si>
  <si>
    <t>HRR1494297_r2.fastq.gz (1.92 GB)</t>
  </si>
  <si>
    <t>HRX1166561</t>
  </si>
  <si>
    <t>RNAseq of S114</t>
  </si>
  <si>
    <t>HRR1494298_r2.fastq.gz (1.94 GB)</t>
  </si>
  <si>
    <t>HRX1166562</t>
  </si>
  <si>
    <t>RNAseq of S116</t>
  </si>
  <si>
    <t>HRS1030027 (SAMC3323381)</t>
  </si>
  <si>
    <t xml:space="preserve">HRS1030027 </t>
  </si>
  <si>
    <t>P17_ALO</t>
  </si>
  <si>
    <t>P17 Adjacent Liver-derived Organoid</t>
  </si>
  <si>
    <t>HRR1494299_r2.fastq.gz (1.91 GB)</t>
  </si>
  <si>
    <t>HRX1166563</t>
  </si>
  <si>
    <t>RNAseq of S117</t>
  </si>
  <si>
    <t>HRS1030028 (SAMC3323382)</t>
  </si>
  <si>
    <t xml:space="preserve">HRS1030028 </t>
  </si>
  <si>
    <t>P17_AL</t>
  </si>
  <si>
    <t>P17 Adjacent Liver</t>
  </si>
  <si>
    <t>HRR1494300_r2.fastq.gz (1.89 GB)</t>
  </si>
  <si>
    <t>HRX1166564</t>
  </si>
  <si>
    <t>RNAseq of S118</t>
  </si>
  <si>
    <t>HRR1494301_r2.fastq.gz (1.85 GB)</t>
  </si>
  <si>
    <t>HRX1166565</t>
  </si>
  <si>
    <t>RNAseq of S119</t>
  </si>
  <si>
    <t>HRR1494302_r2.fastq.gz (1.96 GB)</t>
  </si>
  <si>
    <t>HRX1166566</t>
  </si>
  <si>
    <t>RNAseq of S120</t>
  </si>
  <si>
    <t>HRR1494303_r2.fastq.gz (1.88 GB)</t>
  </si>
  <si>
    <t>HRX1166567</t>
  </si>
  <si>
    <t>RNAseq of S121</t>
  </si>
  <si>
    <t>HRR1494304_r2.fastq.gz (1.85 GB)</t>
  </si>
  <si>
    <t>HRX1166568</t>
  </si>
  <si>
    <t>RNAseq of S122</t>
  </si>
  <si>
    <t>HRR1494305_r2.fastq.gz (1.93 GB)</t>
  </si>
  <si>
    <t>HRX1166569</t>
  </si>
  <si>
    <t>RNAseq of S123</t>
  </si>
  <si>
    <t>HRR1494306_r2.fastq.gz (2.04 GB)</t>
  </si>
  <si>
    <t>HRX1166570</t>
  </si>
  <si>
    <t>RNAseq of S125</t>
  </si>
  <si>
    <t>HRR1494307_r2.fastq.gz (3.53 GB)</t>
  </si>
  <si>
    <t>HRX1166571</t>
  </si>
  <si>
    <t>RNAseq of S126</t>
  </si>
  <si>
    <t>HRR1494308_r2.fastq.gz (3.62 GB)</t>
  </si>
  <si>
    <t>HRX1166572</t>
  </si>
  <si>
    <t>RNAseq of S127</t>
  </si>
  <si>
    <t>HRR1494309_r2.fastq.gz (1.80 GB)</t>
  </si>
  <si>
    <t>HRX1166573</t>
  </si>
  <si>
    <t>RNAseq of S132</t>
  </si>
  <si>
    <t>HRR1494310_r2.fastq.gz (2.08 GB)</t>
  </si>
  <si>
    <t>HRX1166574</t>
  </si>
  <si>
    <t>RNAseq of S133</t>
  </si>
  <si>
    <t>HRR1494311_r2.fastq.gz (2.11 GB)</t>
  </si>
  <si>
    <t>HRX1166575</t>
  </si>
  <si>
    <t>RNAseq of S134</t>
  </si>
  <si>
    <t>HRR1494312_r2.fastq.gz (2.15 GB)</t>
  </si>
  <si>
    <t>HRX1166576</t>
  </si>
  <si>
    <t>RNAseq of S135</t>
  </si>
  <si>
    <t>HRR1494313_r2.fastq.gz (3.57 GB)</t>
  </si>
  <si>
    <t>HRX1166577</t>
  </si>
  <si>
    <t>RNAseq of S136</t>
  </si>
  <si>
    <t>HRR1494314_r2.fastq.gz (3.63 GB)</t>
  </si>
  <si>
    <t>HRX1166578</t>
  </si>
  <si>
    <t>RNAseq of S137</t>
  </si>
  <si>
    <t>HRR1494315_r2.fastq.gz (1.69 GB)</t>
  </si>
  <si>
    <t>HRX1166579</t>
  </si>
  <si>
    <t>RNAseq of S139</t>
  </si>
  <si>
    <t>HRR1494316_r2.fastq.gz (2.60 GB)</t>
  </si>
  <si>
    <t>HRX1166580</t>
  </si>
  <si>
    <t>RNAseq of S140</t>
  </si>
  <si>
    <t>HRR1494317_r2.fastq.gz (2.30 GB)</t>
  </si>
  <si>
    <t>HRX1166581</t>
  </si>
  <si>
    <t>RNAseq of S141</t>
  </si>
  <si>
    <t>HRR1494318_r2.fastq.gz (2.11 GB)</t>
  </si>
  <si>
    <t>HRX1166582</t>
  </si>
  <si>
    <t>RNAseq of S142</t>
  </si>
  <si>
    <t>HRR1494319_r2.fastq.gz (1.74 GB)</t>
  </si>
  <si>
    <t>HRX1166583</t>
  </si>
  <si>
    <t>RNAseq of S143</t>
  </si>
  <si>
    <t>HRR1494320_r2.fastq.gz (1.80 GB)</t>
  </si>
  <si>
    <t>HRX1166584</t>
  </si>
  <si>
    <t>RNAseq of S144</t>
  </si>
  <si>
    <t>HRR1494321_r2.fastq.gz (1.76 GB)</t>
  </si>
  <si>
    <t>HRX1166585</t>
  </si>
  <si>
    <t>RNAseq of S145</t>
  </si>
  <si>
    <t>HRR1494322_r2.fastq.gz (1.83 GB)</t>
  </si>
  <si>
    <t>HRX1166586</t>
  </si>
  <si>
    <t>RNAseq of S146</t>
  </si>
  <si>
    <t>HRR1494323_r2.fastq.gz (1.77 GB)</t>
  </si>
  <si>
    <t>HRX1166587</t>
  </si>
  <si>
    <t>RNAseq of S148</t>
  </si>
  <si>
    <t>HRR1494324_r2.fastq.gz (1.98 GB)</t>
  </si>
  <si>
    <t>HRX1166588</t>
  </si>
  <si>
    <t>RNAseq of S149</t>
  </si>
  <si>
    <t>HRR1494325_r2.fastq.gz (1.93 GB)</t>
  </si>
  <si>
    <t>HRX1166589</t>
  </si>
  <si>
    <t>RNAseq of S150</t>
  </si>
  <si>
    <t>HRR1494326_r2.fastq.gz (1.73 GB)</t>
  </si>
  <si>
    <t>HRX1166590</t>
  </si>
  <si>
    <t>RNAseq of S151</t>
  </si>
  <si>
    <t>HRR1494327_r2.fastq.gz (2.68 GB)</t>
  </si>
  <si>
    <t>HRX1166591</t>
  </si>
  <si>
    <t>RNAseq of S152</t>
  </si>
  <si>
    <t>HRR1494328_r2.fastq.gz (1.77 GB)</t>
  </si>
  <si>
    <t>HRX1166592</t>
  </si>
  <si>
    <t>RNAseq of S153</t>
  </si>
  <si>
    <t>HRR1494329_r2.fastq.gz (1.80 GB)</t>
  </si>
  <si>
    <t>HRX1166593</t>
  </si>
  <si>
    <t>RNAseq of S154</t>
  </si>
  <si>
    <t>HRR1494330_r2.fastq.gz (1.89 GB)</t>
  </si>
  <si>
    <t>HRX1166594</t>
  </si>
  <si>
    <t>RNAseq of S155</t>
  </si>
  <si>
    <t>HRR1494331_r2.fastq.gz (1.84 GB)</t>
  </si>
  <si>
    <t>HRX1166595</t>
  </si>
  <si>
    <t>RNAseq of S157</t>
  </si>
  <si>
    <t>HRR1494332_r2.fastq.gz (1.87 GB)</t>
  </si>
  <si>
    <t>HRX1166596</t>
  </si>
  <si>
    <t>RNAseq of S158</t>
  </si>
  <si>
    <t>HRR1494333_r2.fastq.gz (1.66 GB)</t>
  </si>
  <si>
    <t>HRX1166597</t>
  </si>
  <si>
    <t>RNAseq of S159</t>
  </si>
  <si>
    <t>HRR1494334_r2.fastq.gz (2.29 GB)</t>
  </si>
  <si>
    <t>HRX1166598</t>
  </si>
  <si>
    <t>RNAseq of S160</t>
  </si>
  <si>
    <t>HRR1494335_r2.fastq.gz (1.75 GB)</t>
  </si>
  <si>
    <t>HRX1166599</t>
  </si>
  <si>
    <t>RNAseq of S161</t>
  </si>
  <si>
    <t>HRR1494336_r2.fastq.gz (3.13 GB)</t>
  </si>
  <si>
    <t>HRX1166600</t>
  </si>
  <si>
    <t>RNAseq of S162</t>
  </si>
  <si>
    <t>HRR1494337_r2.fastq.gz (2.67 GB)</t>
  </si>
  <si>
    <t>HRX1166601</t>
  </si>
  <si>
    <t>RNAseq of S164</t>
  </si>
  <si>
    <t>HRR1494338_r2.fastq.gz (1.89 GB)</t>
  </si>
  <si>
    <t>HRX1166602</t>
  </si>
  <si>
    <t>RNAseq of S165</t>
  </si>
  <si>
    <t>HRR1494339_r2.fastq.gz (2.06 GB)</t>
  </si>
  <si>
    <t>HRX1166603</t>
  </si>
  <si>
    <t>RNAseq of S166</t>
  </si>
  <si>
    <t>HRR1494340_r2.fastq.gz (2.67 GB)</t>
  </si>
  <si>
    <t>HRX1166604</t>
  </si>
  <si>
    <t>RNAseq of S167</t>
  </si>
  <si>
    <t>HRR1494341_r2.fastq.gz (1.91 GB)</t>
  </si>
  <si>
    <t>HRX1166605</t>
  </si>
  <si>
    <t>RNAseq of S168</t>
  </si>
  <si>
    <t>HRR1494342_r2.fastq.gz (2.52 GB)</t>
  </si>
  <si>
    <t>HRX1166606</t>
  </si>
  <si>
    <t>RNAseq of S169</t>
  </si>
  <si>
    <t>HRR1494343_r2.fastq.gz (1.91 GB)</t>
  </si>
  <si>
    <t>HRX1166607</t>
  </si>
  <si>
    <t>RNAseq of S171</t>
  </si>
  <si>
    <t>HRR1494344_r2.fastq.gz (1.96 GB)</t>
  </si>
  <si>
    <t>HRX1166608</t>
  </si>
  <si>
    <t>RNAseq of S172</t>
  </si>
  <si>
    <t>HRR1494345_r2.fastq.gz (2.40 GB)</t>
  </si>
  <si>
    <t>HRX1166609</t>
  </si>
  <si>
    <t>RNAseq of S173</t>
  </si>
  <si>
    <t>HRR1494346_r2.fastq.gz (1.83 GB)</t>
  </si>
  <si>
    <t>HRX1166610</t>
  </si>
  <si>
    <t>RNAseq of S174</t>
  </si>
  <si>
    <t>HRR1494347_r2.fastq.gz (1.82 GB)</t>
  </si>
  <si>
    <t>HRX1166611</t>
  </si>
  <si>
    <t>RNAseq of S176</t>
  </si>
  <si>
    <t>HRS1030087 (SAMC3323441)</t>
  </si>
  <si>
    <t xml:space="preserve">HRS1030087 </t>
  </si>
  <si>
    <t>P25_ALO</t>
  </si>
  <si>
    <t>P25 Adjacent Liver-derived Organoid</t>
  </si>
  <si>
    <t>HRR1494348_r2.fastq.gz (1.82 GB)</t>
  </si>
  <si>
    <t>HRX1166612</t>
  </si>
  <si>
    <t>RNAseq of S177</t>
  </si>
  <si>
    <t>HRS1030088 (SAMC3323442)</t>
  </si>
  <si>
    <t xml:space="preserve">HRS1030088 </t>
  </si>
  <si>
    <t>P25_AL</t>
  </si>
  <si>
    <t>P25 Adjacent Liver</t>
  </si>
  <si>
    <t>HRR1494349_r2.fastq.gz (2.67 GB)</t>
  </si>
  <si>
    <t>HRX1166613</t>
  </si>
  <si>
    <t>RNAseq of S178</t>
  </si>
  <si>
    <t>HRR1494350_r2.fastq.gz (1.91 GB)</t>
  </si>
  <si>
    <t>HRX1166614</t>
  </si>
  <si>
    <t>RNAseq of S179</t>
  </si>
  <si>
    <t>HRR1494351_r2.fastq.gz (1.93 GB)</t>
  </si>
  <si>
    <t>HRX1166615</t>
  </si>
  <si>
    <t>RNAseq of S180</t>
  </si>
  <si>
    <t>HRR1494352_r2.fastq.gz (2.07 GB)</t>
  </si>
  <si>
    <t>HRX1166616</t>
  </si>
  <si>
    <t>RNAseq of S181</t>
  </si>
  <si>
    <t>HRR1494353_r2.fastq.gz (1.99 GB)</t>
  </si>
  <si>
    <t>HRX1166617</t>
  </si>
  <si>
    <t>RNAseq of S182</t>
  </si>
  <si>
    <t>HRR1494354_r2.fastq.gz (1.90 GB)</t>
  </si>
  <si>
    <t>HRX1166618</t>
  </si>
  <si>
    <t>RNAseq of S183</t>
  </si>
  <si>
    <t>HRR1494355_r2.fastq.gz (2.85 GB)</t>
  </si>
  <si>
    <t>HRX1166619</t>
  </si>
  <si>
    <t>RNAseq of S184</t>
  </si>
  <si>
    <t>HRR1494356_r2.fastq.gz (2.36 GB)</t>
  </si>
  <si>
    <t>HRX1166620</t>
  </si>
  <si>
    <t>RNAseq of S185</t>
  </si>
  <si>
    <t>HRR1494357_r2.fastq.gz (2.25 GB)</t>
  </si>
  <si>
    <t>HRX1166621</t>
  </si>
  <si>
    <t>RNAseq of S186</t>
  </si>
  <si>
    <t>HRR1494358_r2.fastq.gz (1.96 GB)</t>
  </si>
  <si>
    <t>HRX1166622</t>
  </si>
  <si>
    <t>RNAseq of S187</t>
  </si>
  <si>
    <t>HRR1494359_r2.fastq.gz (1.97 GB)</t>
  </si>
  <si>
    <t>HRX1166623</t>
  </si>
  <si>
    <t>RNAseq of S189</t>
  </si>
  <si>
    <t>HRS1030100 (SAMC3323454)</t>
  </si>
  <si>
    <t xml:space="preserve">HRS1030100 </t>
  </si>
  <si>
    <t>P26_ALO</t>
  </si>
  <si>
    <t>P26 Adjacent Liver-derived Organoid</t>
  </si>
  <si>
    <t>HRR1494360_r2.fastq.gz (1.96 GB)</t>
  </si>
  <si>
    <t>HRX1166624</t>
  </si>
  <si>
    <t>RNAseq of S190</t>
  </si>
  <si>
    <t>HRS1030101 (SAMC3323455)</t>
  </si>
  <si>
    <t xml:space="preserve">HRS1030101 </t>
  </si>
  <si>
    <t>P26_AL</t>
  </si>
  <si>
    <t>P26 Adjacent Liver</t>
  </si>
  <si>
    <t>HRR1494361_r2.fastq.gz (2.33 GB)</t>
  </si>
  <si>
    <t>HRX1166625</t>
  </si>
  <si>
    <t>RNAseq of S191</t>
  </si>
  <si>
    <t>HRR1494362_r2.fastq.gz (2.27 GB)</t>
  </si>
  <si>
    <t>HRX1166626</t>
  </si>
  <si>
    <t>RNAseq of S192</t>
  </si>
  <si>
    <t>HRR1494363_r2.fastq.gz (2.35 GB)</t>
  </si>
  <si>
    <t>HRX1166627</t>
  </si>
  <si>
    <t>RNAseq of S193</t>
  </si>
  <si>
    <t>HRR1494364_r2.fastq.gz (2.26 GB)</t>
  </si>
  <si>
    <t>HRX1166628</t>
  </si>
  <si>
    <t>RNAseq of S194</t>
  </si>
  <si>
    <t>HRR1494365_r2.fastq.gz (2.33 GB)</t>
  </si>
  <si>
    <t>HRX1166629</t>
  </si>
  <si>
    <t>RNAseq of S195</t>
  </si>
  <si>
    <t>HRR1494366_r2.fastq.gz (2.05 GB)</t>
  </si>
  <si>
    <t>HRX1166630</t>
  </si>
  <si>
    <t>RNAseq of S196</t>
  </si>
  <si>
    <t>HRR1494367_r2.fastq.gz (2.23 GB)</t>
  </si>
  <si>
    <t>HRX1166631</t>
  </si>
  <si>
    <t>RNAseq of S197</t>
  </si>
  <si>
    <t>HRR1494368_r2.fastq.gz (2.43 GB)</t>
  </si>
  <si>
    <t>HRX1166632</t>
  </si>
  <si>
    <t>RNAseq of S198</t>
  </si>
  <si>
    <t>HRR1494369_r2.fastq.gz (2.32 GB)</t>
  </si>
  <si>
    <t>HRX1166633</t>
  </si>
  <si>
    <t>RNAseq of S199</t>
  </si>
  <si>
    <t>HRR1494370_r2.fastq.gz (1.94 GB)</t>
  </si>
  <si>
    <t>HRX1166634</t>
  </si>
  <si>
    <t>RNAseq of S200</t>
  </si>
  <si>
    <t>HRR1494371_r2.fastq.gz (1.87 GB)</t>
  </si>
  <si>
    <t>HRX1166635</t>
  </si>
  <si>
    <t>RNAseq of S202</t>
  </si>
  <si>
    <t>HRS1030113 (SAMC3323467)</t>
  </si>
  <si>
    <t xml:space="preserve">HRS1030113 </t>
  </si>
  <si>
    <t>P27_ALO</t>
  </si>
  <si>
    <t>P27 Adjacent Liver-derived Organoid</t>
  </si>
  <si>
    <t>HRR1494372_r2.fastq.gz (1.96 GB)</t>
  </si>
  <si>
    <t>HRX1166636</t>
  </si>
  <si>
    <t>RNAseq of S203</t>
  </si>
  <si>
    <t>HRS1030114 (SAMC3323468)</t>
  </si>
  <si>
    <t xml:space="preserve">HRS1030114 </t>
  </si>
  <si>
    <t>P27_AL</t>
  </si>
  <si>
    <t>P27 Adjacent Liver</t>
  </si>
  <si>
    <t>HRR1494373_r2.fastq.gz (2.17 GB)</t>
  </si>
  <si>
    <t>HRX1166637</t>
  </si>
  <si>
    <t>RNAseq of S204</t>
  </si>
  <si>
    <t>HRR1494374_r2.fastq.gz (2.24 GB)</t>
  </si>
  <si>
    <t>HRX1166638</t>
  </si>
  <si>
    <t>RNAseq of S205</t>
  </si>
  <si>
    <t>HRR1494375_r2.fastq.gz (1.81 GB)</t>
  </si>
  <si>
    <t>HRX1166639</t>
  </si>
  <si>
    <t>RNAseq of S206</t>
  </si>
  <si>
    <t>HRR1494376_r2.fastq.gz (2.18 GB)</t>
  </si>
  <si>
    <t>HRX1166640</t>
  </si>
  <si>
    <t>RNAseq of S207</t>
  </si>
  <si>
    <t>HRR1494377_r2.fastq.gz (1.73 GB)</t>
  </si>
  <si>
    <t>HRX1166641</t>
  </si>
  <si>
    <t>RNAseq of S208</t>
  </si>
  <si>
    <t>HRR1494378_r2.fastq.gz (1.74 GB)</t>
  </si>
  <si>
    <t>HRX1166642</t>
  </si>
  <si>
    <t>RNAseq of S209</t>
  </si>
  <si>
    <t>HRR1494379_r2.fastq.gz (3.66 GB)</t>
  </si>
  <si>
    <t>HRX1166643</t>
  </si>
  <si>
    <t>RNAseq of S211</t>
  </si>
  <si>
    <t>HRR1494380_r2.fastq.gz (3.42 GB)</t>
  </si>
  <si>
    <t>HRX1166644</t>
  </si>
  <si>
    <t>RNAseq of S212</t>
  </si>
  <si>
    <t>HRR1494381_r2.fastq.gz (3.49 GB)</t>
  </si>
  <si>
    <t>HRX1166645</t>
  </si>
  <si>
    <t>RNAseq of S213</t>
  </si>
  <si>
    <t>HRR1494382_r2.fastq.gz (3.70 GB)</t>
  </si>
  <si>
    <t>HRX1166646</t>
  </si>
  <si>
    <t>RNAseq of S214</t>
  </si>
  <si>
    <t>HRR1494383_r2.fastq.gz (1.93 GB)</t>
  </si>
  <si>
    <t>HRX1166647</t>
  </si>
  <si>
    <t>RNAseq of S220</t>
  </si>
  <si>
    <t>HRS1030131 (SAMC3323485)</t>
  </si>
  <si>
    <t xml:space="preserve">HRS1030131 </t>
  </si>
  <si>
    <t>P29C4_O</t>
  </si>
  <si>
    <t>P29C4 Organoid</t>
  </si>
  <si>
    <t>P29C4</t>
  </si>
  <si>
    <t>HRR1494384_r2.fastq.gz (1.67 GB)</t>
  </si>
  <si>
    <t>HRX1166648</t>
  </si>
  <si>
    <t>RNAseq of S221</t>
  </si>
  <si>
    <t>HRR1494385_r2.fastq.gz (1.85 GB)</t>
  </si>
  <si>
    <t>HRX1166649</t>
  </si>
  <si>
    <t>RNAseq of S237</t>
  </si>
  <si>
    <t>HRS1030148 (SAMC3323502)</t>
  </si>
  <si>
    <t xml:space="preserve">HRS1030148 </t>
  </si>
  <si>
    <t>P31C2_O</t>
  </si>
  <si>
    <t>P31C2 Organoid</t>
  </si>
  <si>
    <t>P31C2</t>
  </si>
  <si>
    <t>HRR1494386_r2.fastq.gz (1.64 GB)</t>
  </si>
  <si>
    <t>HRX1166650</t>
  </si>
  <si>
    <t>RNAseq of S238</t>
  </si>
  <si>
    <t>HRS1030149 (SAMC3323503)</t>
  </si>
  <si>
    <t xml:space="preserve">HRS1030149 </t>
  </si>
  <si>
    <t>P31C2_T</t>
  </si>
  <si>
    <t>P31C2 Tumor lesion</t>
  </si>
  <si>
    <t>HRR1494387_r2.fastq.gz (2.02 GB)</t>
  </si>
  <si>
    <t>HRX1166651</t>
  </si>
  <si>
    <t>RNAseq of S239</t>
  </si>
  <si>
    <t>HRR1494388_r2.fastq.gz (2.10 GB)</t>
  </si>
  <si>
    <t>HRX1166652</t>
  </si>
  <si>
    <t>RNAseq of S240</t>
  </si>
  <si>
    <t>HRR1494389_r2.fastq.gz (1.89 GB)</t>
  </si>
  <si>
    <t>HRX1166653</t>
  </si>
  <si>
    <t>RNAseq of S242</t>
  </si>
  <si>
    <t>HRS1030153 (SAMC3323507)</t>
  </si>
  <si>
    <t xml:space="preserve">HRS1030153 </t>
  </si>
  <si>
    <t>P32C3_O</t>
  </si>
  <si>
    <t>P32C3 Organoid</t>
  </si>
  <si>
    <t>P32C3</t>
  </si>
  <si>
    <t>HRR1494390_r2.fastq.gz (2.38 GB)</t>
  </si>
  <si>
    <t>HRX1166654</t>
  </si>
  <si>
    <t>RNAseq of S243</t>
  </si>
  <si>
    <t>HRR1494391_r2.fastq.gz (2.01 GB)</t>
  </si>
  <si>
    <t>HRX1166655</t>
  </si>
  <si>
    <t>RNAseq of S244</t>
  </si>
  <si>
    <t>HRR1494392_r2.fastq.gz (2.38 GB)</t>
  </si>
  <si>
    <t>HRX1166656</t>
  </si>
  <si>
    <t>RNAseq of S245</t>
  </si>
  <si>
    <t>HRR1494393_r2.fastq.gz (1.94 GB)</t>
  </si>
  <si>
    <t>HRX1166657</t>
  </si>
  <si>
    <t>RNAseq of S246</t>
  </si>
  <si>
    <t>HRR1494394_r2.fastq.gz (1.94 GB)</t>
  </si>
  <si>
    <t>HRX1166658</t>
  </si>
  <si>
    <t>RNAseq of S248</t>
  </si>
  <si>
    <t>HRS1030159 (SAMC3323513)</t>
  </si>
  <si>
    <t xml:space="preserve">HRS1030159 </t>
  </si>
  <si>
    <t>P33_ALO</t>
  </si>
  <si>
    <t>P33 Adjacent Liver-derived Organoid</t>
  </si>
  <si>
    <t>HRR1494395_r2.fastq.gz (1.90 GB)</t>
  </si>
  <si>
    <t>HRX1166659</t>
  </si>
  <si>
    <t>RNAseq of S249</t>
  </si>
  <si>
    <t>HRS1030160 (SAMC3323514)</t>
  </si>
  <si>
    <t xml:space="preserve">HRS1030160 </t>
  </si>
  <si>
    <t>P33_AL</t>
  </si>
  <si>
    <t>P33 Adjacent Liver</t>
  </si>
  <si>
    <t>HRR1494396_r2.fastq.gz (1.89 GB)</t>
  </si>
  <si>
    <t>HRX1166660</t>
  </si>
  <si>
    <t>RNAseq of S250</t>
  </si>
  <si>
    <t>HRR1494397_r2.fastq.gz (1.84 GB)</t>
  </si>
  <si>
    <t>HRX1166661</t>
  </si>
  <si>
    <t>RNAseq of S251</t>
  </si>
  <si>
    <t>HRR1494398_r2.fastq.gz (2.18 GB)</t>
  </si>
  <si>
    <t>HRX1166662</t>
  </si>
  <si>
    <t>RNAseq of S252</t>
  </si>
  <si>
    <t>HRR1494399_r2.fastq.gz (1.95 GB)</t>
  </si>
  <si>
    <t>HRX1166663</t>
  </si>
  <si>
    <t>RNAseq of S253</t>
  </si>
  <si>
    <t>HRR1494400_r2.fastq.gz (1.88 GB)</t>
  </si>
  <si>
    <t>HRX1166664</t>
  </si>
  <si>
    <t>RNAseq of S255</t>
  </si>
  <si>
    <t>HRS1030166 (SAMC3323520)</t>
  </si>
  <si>
    <t xml:space="preserve">HRS1030166 </t>
  </si>
  <si>
    <t>P34_ALO</t>
  </si>
  <si>
    <t>P34 Adjacent Liver-derived Organoid</t>
  </si>
  <si>
    <t>HRR1494401_r2.fastq.gz (1.86 GB)</t>
  </si>
  <si>
    <t>HRX1166665</t>
  </si>
  <si>
    <t>RNAseq of S256</t>
  </si>
  <si>
    <t>HRS1030167 (SAMC3323521)</t>
  </si>
  <si>
    <t xml:space="preserve">HRS1030167 </t>
  </si>
  <si>
    <t>P34_AL</t>
  </si>
  <si>
    <t>P34 Adjacent Liver</t>
  </si>
  <si>
    <t>HRR1494402_r2.fastq.gz (1.89 GB)</t>
  </si>
  <si>
    <t>HRX1166666</t>
  </si>
  <si>
    <t>RNAseq of S257</t>
  </si>
  <si>
    <t>HRR1494403_r2.fastq.gz (1.91 GB)</t>
  </si>
  <si>
    <t>HRX1166667</t>
  </si>
  <si>
    <t>RNAseq of S258</t>
  </si>
  <si>
    <t>HRR1494404_r2.fastq.gz (2.09 GB)</t>
  </si>
  <si>
    <t>HRX1166668</t>
  </si>
  <si>
    <t>RNAseq of S259</t>
  </si>
  <si>
    <t>HRR1494405_r2.fastq.gz (2.13 GB)</t>
  </si>
  <si>
    <t>HRX1166669</t>
  </si>
  <si>
    <t>RNAseq of S260</t>
  </si>
  <si>
    <t>HRR1494406_r2.fastq.gz (1.87 GB)</t>
  </si>
  <si>
    <t>HRX1166670</t>
  </si>
  <si>
    <t>RNAseq of S261</t>
  </si>
  <si>
    <t>HRR1494407_r2.fastq.gz (2.10 GB)</t>
  </si>
  <si>
    <t>HRX1166671</t>
  </si>
  <si>
    <t>RNAseq of S262</t>
  </si>
  <si>
    <t>HRR1494408_r2.fastq.gz (2.10 GB)</t>
  </si>
  <si>
    <t>HRX1166672</t>
  </si>
  <si>
    <t>RNAseq of S264</t>
  </si>
  <si>
    <t>HRR1494409_r2.fastq.gz (1.74 GB)</t>
  </si>
  <si>
    <t>HRX1166673</t>
  </si>
  <si>
    <t>RNAseq of S265</t>
  </si>
  <si>
    <t>HRR1494410_r2.fastq.gz (1.71 GB)</t>
  </si>
  <si>
    <t>HRX1166674</t>
  </si>
  <si>
    <t>RNAseq of S272</t>
  </si>
  <si>
    <t>HRS1030183 (SAMC3323537)</t>
  </si>
  <si>
    <t xml:space="preserve">HRS1030183 </t>
  </si>
  <si>
    <t>P37C1_T</t>
  </si>
  <si>
    <t>P37C1 Tumor lesion</t>
  </si>
  <si>
    <t>P37</t>
  </si>
  <si>
    <t>P37C1</t>
  </si>
  <si>
    <t>HRR1494411_r2.fastq.gz (1.93 GB)</t>
  </si>
  <si>
    <t>HRX1166675</t>
  </si>
  <si>
    <t>RNAseq of S273</t>
  </si>
  <si>
    <t>HRS1030184 (SAMC3323538)</t>
  </si>
  <si>
    <t xml:space="preserve">HRS1030184 </t>
  </si>
  <si>
    <t>P37C3_T</t>
  </si>
  <si>
    <t>P37C3 Tumor lesion</t>
  </si>
  <si>
    <t>P37C3</t>
  </si>
  <si>
    <t>HRR1494412_r2.fastq.gz (1.80 GB)</t>
  </si>
  <si>
    <t>HRX1166676</t>
  </si>
  <si>
    <t>RNAseq of S274</t>
  </si>
  <si>
    <t>HRS1030185 (SAMC3323539)</t>
  </si>
  <si>
    <t xml:space="preserve">HRS1030185 </t>
  </si>
  <si>
    <t>P38C1_T</t>
  </si>
  <si>
    <t>P38C1 Tumor lesion</t>
  </si>
  <si>
    <t>P38</t>
  </si>
  <si>
    <t>P38C1</t>
  </si>
  <si>
    <t>HRR1494413_r2.fastq.gz (1.61 GB)</t>
  </si>
  <si>
    <t>HRX1166677</t>
  </si>
  <si>
    <t>RNAseq of S275</t>
  </si>
  <si>
    <t>HRS1030186 (SAMC3323540)</t>
  </si>
  <si>
    <t xml:space="preserve">HRS1030186 </t>
  </si>
  <si>
    <t>P39C2_T</t>
  </si>
  <si>
    <t>P39C2 Tumor lesion</t>
  </si>
  <si>
    <t>P39</t>
  </si>
  <si>
    <t>P39C2</t>
  </si>
  <si>
    <t>HRR1494414_r2.fastq.gz (2.02 GB)</t>
  </si>
  <si>
    <t>HRX1166678</t>
  </si>
  <si>
    <t>RNAseq of S276</t>
  </si>
  <si>
    <t>HRS1030187 (SAMC3323541)</t>
  </si>
  <si>
    <t xml:space="preserve">HRS1030187 </t>
  </si>
  <si>
    <t>P40C1_O</t>
  </si>
  <si>
    <t>P40C1 Organoid</t>
  </si>
  <si>
    <t>P40</t>
  </si>
  <si>
    <t>P40C1</t>
  </si>
  <si>
    <t>HRR1494415_r2.fastq.gz (2.04 GB)</t>
  </si>
  <si>
    <t>HRX1166679</t>
  </si>
  <si>
    <t>RNAseq of S277</t>
  </si>
  <si>
    <t>HRS1030188 (SAMC3323542)</t>
  </si>
  <si>
    <t xml:space="preserve">HRS1030188 </t>
  </si>
  <si>
    <t>P40C2_T</t>
  </si>
  <si>
    <t>P40C2 Tumor lesion</t>
  </si>
  <si>
    <t>P40C2</t>
  </si>
  <si>
    <t>HRR1494416_r2.fastq.gz (2.05 GB)</t>
  </si>
  <si>
    <t>HRX1166680</t>
  </si>
  <si>
    <t>RNAseq of S278</t>
  </si>
  <si>
    <t>HRS1030189 (SAMC3323543)</t>
  </si>
  <si>
    <t xml:space="preserve">HRS1030189 </t>
  </si>
  <si>
    <t>P40C3_T</t>
  </si>
  <si>
    <t>P40C3 Tumor lesion</t>
  </si>
  <si>
    <t>P40C3</t>
  </si>
  <si>
    <t>HRR1494417_r2.fastq.gz (1.96 GB)</t>
  </si>
  <si>
    <t>HRX1166681</t>
  </si>
  <si>
    <t>RNAseq of S279</t>
  </si>
  <si>
    <t>HRS1030190 (SAMC3323544)</t>
  </si>
  <si>
    <t xml:space="preserve">HRS1030190 </t>
  </si>
  <si>
    <t>P41C1_T</t>
  </si>
  <si>
    <t>P41C1 Tumor lesion</t>
  </si>
  <si>
    <t>P41</t>
  </si>
  <si>
    <t>P41C1</t>
  </si>
  <si>
    <t>HRR1494418_r2.fastq.gz (2.23 GB)</t>
  </si>
  <si>
    <t>HRX1166682</t>
  </si>
  <si>
    <t>RNAseq of S280</t>
  </si>
  <si>
    <t>HRS1030191 (SAMC3323545)</t>
  </si>
  <si>
    <t xml:space="preserve">HRS1030191 </t>
  </si>
  <si>
    <t>P41C2_T</t>
  </si>
  <si>
    <t>P41C2 Tumor lesion</t>
  </si>
  <si>
    <t>P41C2</t>
  </si>
  <si>
    <t>HRR1494419_r2.fastq.gz (1.98 GB)</t>
  </si>
  <si>
    <t>HRX1166683</t>
  </si>
  <si>
    <t>RNAseq of S281</t>
  </si>
  <si>
    <t>HRS1030192 (SAMC3323546)</t>
  </si>
  <si>
    <t xml:space="preserve">HRS1030192 </t>
  </si>
  <si>
    <t>P41C3_T</t>
  </si>
  <si>
    <t>P41C3 Tumor lesion</t>
  </si>
  <si>
    <t>P41C3</t>
  </si>
  <si>
    <t>HRR1494420_r2.fastq.gz (1.61 GB)</t>
  </si>
  <si>
    <t>HRX1166684</t>
  </si>
  <si>
    <t>RNAseq of S282</t>
  </si>
  <si>
    <t>HRR1494421_r2.fastq.gz (1.74 GB)</t>
  </si>
  <si>
    <t>HRX1166685</t>
  </si>
  <si>
    <t>RNAseq of S283</t>
  </si>
  <si>
    <t>HRR1494422_r2.fastq.gz (2.09 GB)</t>
  </si>
  <si>
    <t>HRX1166686</t>
  </si>
  <si>
    <t>RNAseq of S284</t>
  </si>
  <si>
    <t>HRR1494423_r2.fastq.gz (1.67 GB)</t>
  </si>
  <si>
    <t>HRX1166687</t>
  </si>
  <si>
    <t>RNAseq of S285</t>
  </si>
  <si>
    <t>HRR1494424_r2.fastq.gz (1.76 GB)</t>
  </si>
  <si>
    <t>HRX1166688</t>
  </si>
  <si>
    <t>RNAseq of S287</t>
  </si>
  <si>
    <t>HRS1030198 (SAMC3323552)</t>
  </si>
  <si>
    <t xml:space="preserve">HRS1030198 </t>
  </si>
  <si>
    <t>P45C1_O</t>
  </si>
  <si>
    <t>P45C1 Organoid</t>
  </si>
  <si>
    <t>P45</t>
  </si>
  <si>
    <t>P45C1</t>
  </si>
  <si>
    <t>HRR1494425_r2.fastq.gz (1.59 GB)</t>
  </si>
  <si>
    <t>HRX1166689</t>
  </si>
  <si>
    <t>RNAseq of S288</t>
  </si>
  <si>
    <t>HRS1030199 (SAMC3323553)</t>
  </si>
  <si>
    <t xml:space="preserve">HRS1030199 </t>
  </si>
  <si>
    <t>P45C4_O</t>
  </si>
  <si>
    <t>P45C4 Organoid</t>
  </si>
  <si>
    <t>P45C4</t>
  </si>
  <si>
    <t>HRR1494426_r2.fastq.gz (1.73 GB)</t>
  </si>
  <si>
    <t>HRX1166690</t>
  </si>
  <si>
    <t>RNAseq of S289</t>
  </si>
  <si>
    <t>HRS1030200 (SAMC3323554)</t>
  </si>
  <si>
    <t xml:space="preserve">HRS1030200 </t>
  </si>
  <si>
    <t>P46C3_O</t>
  </si>
  <si>
    <t>P46C3 Organoid</t>
  </si>
  <si>
    <t>P46</t>
  </si>
  <si>
    <t>P46C3</t>
  </si>
  <si>
    <t>HRR1494427_r2.fastq.gz (1.63 GB)</t>
  </si>
  <si>
    <t>HRX1166691</t>
  </si>
  <si>
    <t>RNAseq of S290</t>
  </si>
  <si>
    <t>HRS1030201 (SAMC3323555)</t>
  </si>
  <si>
    <t xml:space="preserve">HRS1030201 </t>
  </si>
  <si>
    <t>P48C1_T</t>
  </si>
  <si>
    <t>P48C1 Tumor lesion</t>
  </si>
  <si>
    <t>P48</t>
  </si>
  <si>
    <t>P48C1</t>
  </si>
  <si>
    <t>HRR1494428_r2.fastq.gz (2.07 GB)</t>
  </si>
  <si>
    <t>HRX1166692</t>
  </si>
  <si>
    <t>RNAseq of S291</t>
  </si>
  <si>
    <t>HRS1030202 (SAMC3323556)</t>
  </si>
  <si>
    <t xml:space="preserve">HRS1030202 </t>
  </si>
  <si>
    <t>P48C1_O</t>
  </si>
  <si>
    <t>P48C1 Organoid</t>
  </si>
  <si>
    <t>HRR1494429_r2.fastq.gz (2.00 GB)</t>
  </si>
  <si>
    <t>HRX1166693</t>
  </si>
  <si>
    <t>RNAseq of S292</t>
  </si>
  <si>
    <t>HRS1030203 (SAMC3323557)</t>
  </si>
  <si>
    <t xml:space="preserve">HRS1030203 </t>
  </si>
  <si>
    <t>P51C2_O</t>
  </si>
  <si>
    <t>P51C2 Organoid</t>
  </si>
  <si>
    <t>P51</t>
  </si>
  <si>
    <t>P51C2</t>
  </si>
  <si>
    <t>HRR1494430_r2.fastq.gz (1.82 GB)</t>
  </si>
  <si>
    <t>HRX1166694</t>
  </si>
  <si>
    <t>RNAseq of S293</t>
  </si>
  <si>
    <t>HRS1030204 (SAMC3323558)</t>
  </si>
  <si>
    <t xml:space="preserve">HRS1030204 </t>
  </si>
  <si>
    <t>P51C3_O</t>
  </si>
  <si>
    <t>P51C3 Organoid</t>
  </si>
  <si>
    <t>P51C3</t>
  </si>
  <si>
    <t>HRR1494431_r2.fastq.gz (1.85 GB)</t>
  </si>
  <si>
    <t>HRX1166695</t>
  </si>
  <si>
    <t>RNAseq of S294</t>
  </si>
  <si>
    <t>HRS1030205 (SAMC3323559)</t>
  </si>
  <si>
    <t xml:space="preserve">HRS1030205 </t>
  </si>
  <si>
    <t>P52C1_O</t>
  </si>
  <si>
    <t>P52C1 Organoid</t>
  </si>
  <si>
    <t>P52</t>
  </si>
  <si>
    <t>P52C1</t>
  </si>
  <si>
    <t>HRR1494432_r2.fastq.gz (1.84 GB)</t>
  </si>
  <si>
    <t>HRX1166696</t>
  </si>
  <si>
    <t>RNAseq of S295</t>
  </si>
  <si>
    <t>HRS1030206 (SAMC3323560)</t>
  </si>
  <si>
    <t xml:space="preserve">HRS1030206 </t>
  </si>
  <si>
    <t>P52C2_O</t>
  </si>
  <si>
    <t>P52C2 Organoid</t>
  </si>
  <si>
    <t>P52C2</t>
  </si>
  <si>
    <t>HRR1494433_r2.fastq.gz (2.03 GB)</t>
  </si>
  <si>
    <t>HRX1166697</t>
  </si>
  <si>
    <t>RNAseq of S296</t>
  </si>
  <si>
    <t>HRS1030207 (SAMC3323561)</t>
  </si>
  <si>
    <t xml:space="preserve">HRS1030207 </t>
  </si>
  <si>
    <t>P57C1_O</t>
  </si>
  <si>
    <t>P57C1 Organoid</t>
  </si>
  <si>
    <t>P57</t>
  </si>
  <si>
    <t>P57C1</t>
  </si>
  <si>
    <t>HRR1494434_r2.fastq.gz (2.03 GB)</t>
  </si>
  <si>
    <t>HRX1166698</t>
  </si>
  <si>
    <t>RNAseq of S297</t>
  </si>
  <si>
    <t>HRS1030208 (SAMC3323562)</t>
  </si>
  <si>
    <t xml:space="preserve">HRS1030208 </t>
  </si>
  <si>
    <t>P57C2_O</t>
  </si>
  <si>
    <t>P57C2 Organoid</t>
  </si>
  <si>
    <t>P57C2</t>
  </si>
  <si>
    <t>HRR1494435_r2.fastq.gz (1.86 GB)</t>
  </si>
  <si>
    <t>HRX1166699</t>
  </si>
  <si>
    <t>RNAseq of S298</t>
  </si>
  <si>
    <t>HRS1030209 (SAMC3323563)</t>
  </si>
  <si>
    <t xml:space="preserve">HRS1030209 </t>
  </si>
  <si>
    <t>P57C3_O</t>
  </si>
  <si>
    <t>P57C3 Organoid</t>
  </si>
  <si>
    <t>P57C3</t>
  </si>
  <si>
    <t>HRR1494436_r2.fastq.gz (2.11 GB)</t>
  </si>
  <si>
    <t>HRX1166700</t>
  </si>
  <si>
    <t>RNAseq of S299</t>
  </si>
  <si>
    <t>HRS1030210 (SAMC3323564)</t>
  </si>
  <si>
    <t xml:space="preserve">HRS1030210 </t>
  </si>
  <si>
    <t>P57C4_O</t>
  </si>
  <si>
    <t>P57C4 Organoid</t>
  </si>
  <si>
    <t>P57C4</t>
  </si>
  <si>
    <t>HRR1494437_r2.fastq.gz (2.03 GB)</t>
  </si>
  <si>
    <t>HRX1166701</t>
  </si>
  <si>
    <t>RNAseq of S300</t>
  </si>
  <si>
    <t>HRS1030211 (SAMC3323565)</t>
  </si>
  <si>
    <t xml:space="preserve">HRS1030211 </t>
  </si>
  <si>
    <t>P58C2_O</t>
  </si>
  <si>
    <t>P58C2 Organoid</t>
  </si>
  <si>
    <t>P58</t>
  </si>
  <si>
    <t>P58C2</t>
  </si>
  <si>
    <t>HRR1494438_r2.fastq.gz (2.20 GB)</t>
  </si>
  <si>
    <t>HRX1166702</t>
  </si>
  <si>
    <t>RNAseq of S301</t>
  </si>
  <si>
    <t>HRS1030212 (SAMC3323566)</t>
  </si>
  <si>
    <t xml:space="preserve">HRS1030212 </t>
  </si>
  <si>
    <t>P58C4_O</t>
  </si>
  <si>
    <t>P58C4 Organoid</t>
  </si>
  <si>
    <t>P58C4</t>
  </si>
  <si>
    <t>HRR1494439_r2.fastq.gz (2.07 GB)</t>
  </si>
  <si>
    <t>HRX1166703</t>
  </si>
  <si>
    <t>RNAseq of S302</t>
  </si>
  <si>
    <t>HRS1030213 (SAMC3323567)</t>
  </si>
  <si>
    <t xml:space="preserve">HRS1030213 </t>
  </si>
  <si>
    <t>P58C5_O</t>
  </si>
  <si>
    <t>P58C5 Organoid</t>
  </si>
  <si>
    <t>P58C5</t>
  </si>
  <si>
    <t>HRR1494440_r2.fastq.gz (1.97 GB)</t>
  </si>
  <si>
    <t>HRX1166704</t>
  </si>
  <si>
    <t>RNAseq of S303</t>
  </si>
  <si>
    <t>HRS1030214 (SAMC3323568)</t>
  </si>
  <si>
    <t xml:space="preserve">HRS1030214 </t>
  </si>
  <si>
    <t>P58C1_O</t>
  </si>
  <si>
    <t>P58C1 Organoid</t>
  </si>
  <si>
    <t>P58C1</t>
  </si>
  <si>
    <t>HRR1494441_r2.fastq.gz (2.03 GB)</t>
  </si>
  <si>
    <t>HRX1166705</t>
  </si>
  <si>
    <t>RNAseq of S304</t>
  </si>
  <si>
    <t>HRS1030215 (SAMC3323569)</t>
  </si>
  <si>
    <t xml:space="preserve">HRS1030215 </t>
  </si>
  <si>
    <t>P58C3_O</t>
  </si>
  <si>
    <t>P58C3 Organoid</t>
  </si>
  <si>
    <t>P58C3</t>
  </si>
  <si>
    <t>HRR1494442_r2.fastq.gz (1.88 GB)</t>
  </si>
  <si>
    <t>HRX1166706</t>
  </si>
  <si>
    <t>RNAseq of S305</t>
  </si>
  <si>
    <t>HRS1030216 (SAMC3323570)</t>
  </si>
  <si>
    <t xml:space="preserve">HRS1030216 </t>
  </si>
  <si>
    <t>P59C3_O</t>
  </si>
  <si>
    <t>P59C3 Organoid</t>
  </si>
  <si>
    <t>P59</t>
  </si>
  <si>
    <t>P59C3</t>
  </si>
  <si>
    <t>HRR1494443_r2.fastq.gz (2.10 GB)</t>
  </si>
  <si>
    <t>HRX1166707</t>
  </si>
  <si>
    <t>RNAseq of S306</t>
  </si>
  <si>
    <t>HRS1030217 (SAMC3323571)</t>
  </si>
  <si>
    <t xml:space="preserve">HRS1030217 </t>
  </si>
  <si>
    <t>P59C4_O</t>
  </si>
  <si>
    <t>P59C4 Organoid</t>
  </si>
  <si>
    <t>P59C4</t>
  </si>
  <si>
    <t>HRR1494444_r2.fastq.gz (2.00 GB)</t>
  </si>
  <si>
    <t>HRX1166708</t>
  </si>
  <si>
    <t>RNAseq of S307</t>
  </si>
  <si>
    <t>HRS1030218 (SAMC3323572)</t>
  </si>
  <si>
    <t xml:space="preserve">HRS1030218 </t>
  </si>
  <si>
    <t>P60C1_O</t>
  </si>
  <si>
    <t>P60C1 Organoid</t>
  </si>
  <si>
    <t>P60C1</t>
  </si>
  <si>
    <t>HRR1494445_r2.fastq.gz (2.05 GB)</t>
  </si>
  <si>
    <t>HRX1166709</t>
  </si>
  <si>
    <t>RNAseq of S308</t>
  </si>
  <si>
    <t>HRS1030219 (SAMC3323573)</t>
  </si>
  <si>
    <t xml:space="preserve">HRS1030219 </t>
  </si>
  <si>
    <t>P60C2_O</t>
  </si>
  <si>
    <t>P60C2 Organoid</t>
  </si>
  <si>
    <t>HRR1494446_r2.fastq.gz (2.06 GB)</t>
  </si>
  <si>
    <t>HRX1166710</t>
  </si>
  <si>
    <t>RNAseq of S309</t>
  </si>
  <si>
    <t>HRS1030220 (SAMC3323574)</t>
  </si>
  <si>
    <t xml:space="preserve">HRS1030220 </t>
  </si>
  <si>
    <t>P60C3_O</t>
  </si>
  <si>
    <t>P60C3 Organoid</t>
  </si>
  <si>
    <t>HRR1494447_r2.fastq.gz (1.99 GB)</t>
  </si>
  <si>
    <t>HRX1166711</t>
  </si>
  <si>
    <t>RNAseq of S310</t>
  </si>
  <si>
    <t>HRR1494448_r2.fastq.gz (2.03 GB)</t>
  </si>
  <si>
    <t>HRX1166712</t>
  </si>
  <si>
    <t>RNAseq of S311</t>
  </si>
  <si>
    <t>HRR1494449_r2.fastq.gz (1.96 GB)</t>
  </si>
  <si>
    <t>HRX1166713</t>
  </si>
  <si>
    <t>RNAseq of S312</t>
  </si>
  <si>
    <t>HRR1494450_r2.fastq.gz (1.79 GB)</t>
  </si>
  <si>
    <t>HRX1166714</t>
  </si>
  <si>
    <t>RNAseq of S313</t>
  </si>
  <si>
    <t>HRR1494451_r2.fastq.gz (1.68 GB)</t>
  </si>
  <si>
    <t>HRX1166715</t>
  </si>
  <si>
    <t>RNAseq of S314</t>
  </si>
  <si>
    <t>HRR1494452_r2.fastq.gz (1.67 GB)</t>
  </si>
  <si>
    <t>HRX1166716</t>
  </si>
  <si>
    <t>RNAseq of S315</t>
  </si>
  <si>
    <t>HRR1494453_r2.fastq.gz (1.88 GB)</t>
  </si>
  <si>
    <t>HRX1166717</t>
  </si>
  <si>
    <t>RNAseq of S317</t>
  </si>
  <si>
    <t>HRS1030228 (SAMC3323582)</t>
  </si>
  <si>
    <t xml:space="preserve">HRS1030228 </t>
  </si>
  <si>
    <t>P61C1_O</t>
  </si>
  <si>
    <t>P61C1 Organoid</t>
  </si>
  <si>
    <t>P61C1</t>
  </si>
  <si>
    <t>HRR1494454_r2.fastq.gz (2.03 GB)</t>
  </si>
  <si>
    <t>HRX1166718</t>
  </si>
  <si>
    <t>RNAseq of S318</t>
  </si>
  <si>
    <t>HRS1030229 (SAMC3323583)</t>
  </si>
  <si>
    <t xml:space="preserve">HRS1030229 </t>
  </si>
  <si>
    <t>P61C2_O</t>
  </si>
  <si>
    <t>P61C2 Organoid</t>
  </si>
  <si>
    <t>P61C2</t>
  </si>
  <si>
    <t>HRR1494455_r2.fastq.gz (1.90 GB)</t>
  </si>
  <si>
    <t>HRX1166719</t>
  </si>
  <si>
    <t>RNAseq of S319</t>
  </si>
  <si>
    <t>HRS1030230 (SAMC3323584)</t>
  </si>
  <si>
    <t xml:space="preserve">HRS1030230 </t>
  </si>
  <si>
    <t>P61C3_O</t>
  </si>
  <si>
    <t>P61C3 Organoid</t>
  </si>
  <si>
    <t>HRR1494456_r2.fastq.gz (1.78 GB)</t>
  </si>
  <si>
    <t>HRX1166720</t>
  </si>
  <si>
    <t>RNAseq of S320</t>
  </si>
  <si>
    <t>HRR1494457_r2.fastq.gz (1.82 GB)</t>
  </si>
  <si>
    <t>HRX1166721</t>
  </si>
  <si>
    <t>RNAseq of S321</t>
  </si>
  <si>
    <t>HRR1494458_r2.fastq.gz (2.01 GB)</t>
  </si>
  <si>
    <t>HRX1166722</t>
  </si>
  <si>
    <t>RNAseq of S322</t>
  </si>
  <si>
    <t>HRR1494459_r2.fastq.gz (1.85 GB)</t>
  </si>
  <si>
    <t>HRX1166723</t>
  </si>
  <si>
    <t>RNAseq of S324</t>
  </si>
  <si>
    <t>HRS1030235 (SAMC3323589)</t>
  </si>
  <si>
    <t xml:space="preserve">HRS1030235 </t>
  </si>
  <si>
    <t>P62C1_O</t>
  </si>
  <si>
    <t>P62C1 Organoid</t>
  </si>
  <si>
    <t>P62</t>
  </si>
  <si>
    <t>P62C1</t>
  </si>
  <si>
    <t>HRR1494460_r2.fastq.gz (1.94 GB)</t>
  </si>
  <si>
    <t>HRX1166724</t>
  </si>
  <si>
    <t>RNAseq of S325</t>
  </si>
  <si>
    <t>HRS1030236 (SAMC3323590)</t>
  </si>
  <si>
    <t xml:space="preserve">HRS1030236 </t>
  </si>
  <si>
    <t>P62C2_O</t>
  </si>
  <si>
    <t>P62C2 Organoid</t>
  </si>
  <si>
    <t>P62C2</t>
  </si>
  <si>
    <t>HRR1494461_r2.fastq.gz (1.82 GB)</t>
  </si>
  <si>
    <t>HRX1166725</t>
  </si>
  <si>
    <t>RNAseq of S326</t>
  </si>
  <si>
    <t>HRS1030237 (SAMC3323591)</t>
  </si>
  <si>
    <t xml:space="preserve">HRS1030237 </t>
  </si>
  <si>
    <t>P62C3_O</t>
  </si>
  <si>
    <t>P62C3 Organoid</t>
  </si>
  <si>
    <t>P62C3</t>
  </si>
  <si>
    <t>HRR1494462_r2.fastq.gz (2.07 GB)</t>
  </si>
  <si>
    <t>HRX1166726</t>
  </si>
  <si>
    <t>RNAseq of S327</t>
  </si>
  <si>
    <t>HRS1030238 (SAMC3323592)</t>
  </si>
  <si>
    <t xml:space="preserve">HRS1030238 </t>
  </si>
  <si>
    <t>P63C1_O</t>
  </si>
  <si>
    <t>P63C1 Organoid</t>
  </si>
  <si>
    <t>P63</t>
  </si>
  <si>
    <t>P63C1</t>
  </si>
  <si>
    <t>HRR1494463_r2.fastq.gz (1.97 GB)</t>
  </si>
  <si>
    <t>HRX1166727</t>
  </si>
  <si>
    <t>RNAseq of S328</t>
  </si>
  <si>
    <t>HRS1030239 (SAMC3323593)</t>
  </si>
  <si>
    <t xml:space="preserve">HRS1030239 </t>
  </si>
  <si>
    <t>P63C2_O</t>
  </si>
  <si>
    <t>P63C2 Organoid</t>
  </si>
  <si>
    <t>P63C2</t>
  </si>
  <si>
    <t>HRR1494464_r2.fastq.gz (1.97 GB)</t>
  </si>
  <si>
    <t>HRX1166728</t>
  </si>
  <si>
    <t>RNAseq of S329</t>
  </si>
  <si>
    <t>HRS1030240 (SAMC3323594)</t>
  </si>
  <si>
    <t xml:space="preserve">HRS1030240 </t>
  </si>
  <si>
    <t>P63C3_O</t>
  </si>
  <si>
    <t>P63C3 Organoid</t>
  </si>
  <si>
    <t>P63C3</t>
  </si>
  <si>
    <t>HRR1494465_r2.fastq.gz (1.97 GB)</t>
  </si>
  <si>
    <t>HRX1166729</t>
  </si>
  <si>
    <t>RNAseq of S330</t>
  </si>
  <si>
    <t>HRS1030241 (SAMC3323595)</t>
  </si>
  <si>
    <t xml:space="preserve">HRS1030241 </t>
  </si>
  <si>
    <t>P64C1_O</t>
  </si>
  <si>
    <t>P64C1 Organoid</t>
  </si>
  <si>
    <t>P64</t>
  </si>
  <si>
    <t>P64C1</t>
  </si>
  <si>
    <t>HRR1494466_r2.fastq.gz (1.81 GB)</t>
  </si>
  <si>
    <t>HRX1166730</t>
  </si>
  <si>
    <t>RNAseq of S331</t>
  </si>
  <si>
    <t>HRS1030242 (SAMC3323596)</t>
  </si>
  <si>
    <t xml:space="preserve">HRS1030242 </t>
  </si>
  <si>
    <t>P64C2_O</t>
  </si>
  <si>
    <t>P64C2 Organoid</t>
  </si>
  <si>
    <t>P64C2</t>
  </si>
  <si>
    <t>HRR1494467_r2.fastq.gz (2.00 GB)</t>
  </si>
  <si>
    <t>HRX1166731</t>
  </si>
  <si>
    <t>RNAseq of S332</t>
  </si>
  <si>
    <t>HRS1030243 (SAMC3323597)</t>
  </si>
  <si>
    <t xml:space="preserve">HRS1030243 </t>
  </si>
  <si>
    <t>P64C3_O</t>
  </si>
  <si>
    <t>P64C3 Organoid</t>
  </si>
  <si>
    <t>P64C3</t>
  </si>
  <si>
    <t>HRR1494468_r2.fastq.gz (2.08 GB)</t>
  </si>
  <si>
    <t>HRX1166732</t>
  </si>
  <si>
    <t>RNAseq of S333</t>
  </si>
  <si>
    <t>HRS1030244 (SAMC3323598)</t>
  </si>
  <si>
    <t xml:space="preserve">HRS1030244 </t>
  </si>
  <si>
    <t>P65C1_O</t>
  </si>
  <si>
    <t>P65C1 Organoid</t>
  </si>
  <si>
    <t>HRR1494469_r2.fastq.gz (1.99 GB)</t>
  </si>
  <si>
    <t>HRX1166733</t>
  </si>
  <si>
    <t>RNAseq of S334</t>
  </si>
  <si>
    <t>HRS1030245 (SAMC3323599)</t>
  </si>
  <si>
    <t xml:space="preserve">HRS1030245 </t>
  </si>
  <si>
    <t>P65C2_O</t>
  </si>
  <si>
    <t>P65C2 Organoid</t>
  </si>
  <si>
    <t>P65C2</t>
  </si>
  <si>
    <t>HRR1494470_r2.fastq.gz (2.04 GB)</t>
  </si>
  <si>
    <t>HRX1166734</t>
  </si>
  <si>
    <t>RNAseq of S335</t>
  </si>
  <si>
    <t>HRS1030246 (SAMC3323600)</t>
  </si>
  <si>
    <t xml:space="preserve">HRS1030246 </t>
  </si>
  <si>
    <t>P65C3_O</t>
  </si>
  <si>
    <t>P65C3 Organoid</t>
  </si>
  <si>
    <t>P65C3</t>
  </si>
  <si>
    <t>HRR1494471_r2.fastq.gz (2.09 GB)</t>
  </si>
  <si>
    <t>HRX1166735</t>
  </si>
  <si>
    <t>RNAseq of S336</t>
  </si>
  <si>
    <t>HRR1494472_r2.fastq.gz (1.73 GB)</t>
  </si>
  <si>
    <t>HRX1166736</t>
  </si>
  <si>
    <t>RNAseq of S337</t>
  </si>
  <si>
    <t>HRR1494473_r2.fastq.gz (1.82 GB)</t>
  </si>
  <si>
    <t>HRX1166737</t>
  </si>
  <si>
    <t>RNAseq of S338</t>
  </si>
  <si>
    <t>HRR1494474_r2.fastq.gz (2.05 GB)</t>
  </si>
  <si>
    <t>HRX1166738</t>
  </si>
  <si>
    <t>RNAseq of S340</t>
  </si>
  <si>
    <t>HRS1030251 (SAMC3323605)</t>
  </si>
  <si>
    <t xml:space="preserve">HRS1030251 </t>
  </si>
  <si>
    <t>P66C1_O</t>
  </si>
  <si>
    <t>P66C1 Organoid</t>
  </si>
  <si>
    <t>HRR1494475_r2.fastq.gz (2.07 GB)</t>
  </si>
  <si>
    <t>HRX1166739</t>
  </si>
  <si>
    <t>RNAseq of S341</t>
  </si>
  <si>
    <t>HRS1030252 (SAMC3323606)</t>
  </si>
  <si>
    <t xml:space="preserve">HRS1030252 </t>
  </si>
  <si>
    <t>P66C2_O</t>
  </si>
  <si>
    <t>P66C2 Organoid</t>
  </si>
  <si>
    <t>HRR1494476_r2.fastq.gz (2.01 GB)</t>
  </si>
  <si>
    <t>HRX1166740</t>
  </si>
  <si>
    <t>RNAseq of S342</t>
  </si>
  <si>
    <t>HRS1030253 (SAMC3323607)</t>
  </si>
  <si>
    <t xml:space="preserve">HRS1030253 </t>
  </si>
  <si>
    <t>P66C3_O</t>
  </si>
  <si>
    <t>P66C3 Organoid</t>
  </si>
  <si>
    <t>HRR1494477_r2.fastq.gz (1.83 GB)</t>
  </si>
  <si>
    <t>HRX1166741</t>
  </si>
  <si>
    <t>RNAseq of S343</t>
  </si>
  <si>
    <t>HRR1494478_r2.fastq.gz (2.03 GB)</t>
  </si>
  <si>
    <t>HRX1166742</t>
  </si>
  <si>
    <t>RNAseq of S344</t>
  </si>
  <si>
    <t>HRR1494479_r2.fastq.gz (1.80 GB)</t>
  </si>
  <si>
    <t>HRX1166743</t>
  </si>
  <si>
    <t>RNAseq of S345</t>
  </si>
  <si>
    <t>HRR1494480_r2.fastq.gz (1.84 GB)</t>
  </si>
  <si>
    <t>HRX1166744</t>
  </si>
  <si>
    <t>RNAseq of S346</t>
  </si>
  <si>
    <t>HRR1494481_r2.fastq.gz (1.94 GB)</t>
  </si>
  <si>
    <t>HRX1166745</t>
  </si>
  <si>
    <t>RNAseq of S347</t>
  </si>
  <si>
    <t>HRR1494482_r2.fastq.gz (1.91 GB)</t>
  </si>
  <si>
    <t>HRX1166746</t>
  </si>
  <si>
    <t>RNAseq of S348</t>
  </si>
  <si>
    <t>HRR1494483_r2.fastq.gz (1.87 GB)</t>
  </si>
  <si>
    <t>HRX1166747</t>
  </si>
  <si>
    <t>RNAseq of S349</t>
  </si>
  <si>
    <t>HRR1494484_r2.fastq.gz (1.99 GB)</t>
  </si>
  <si>
    <t>HRX1166748</t>
  </si>
  <si>
    <t>RNAseq of S350</t>
  </si>
  <si>
    <t>HRR1494485_r2.fastq.gz (1.91 GB)</t>
  </si>
  <si>
    <t>HRX1166749</t>
  </si>
  <si>
    <t>RNAseq of S351</t>
  </si>
  <si>
    <t>HRR1494486_r2.fastq.gz (2.07 GB)</t>
  </si>
  <si>
    <t>HRX1166750</t>
  </si>
  <si>
    <t>RNAseq of S353</t>
  </si>
  <si>
    <t>HRS1030264 (SAMC3323618)</t>
  </si>
  <si>
    <t xml:space="preserve">HRS1030264 </t>
  </si>
  <si>
    <t>P67C1_O</t>
  </si>
  <si>
    <t>P67C1 Organoid</t>
  </si>
  <si>
    <t>P67</t>
  </si>
  <si>
    <t>P67C1</t>
  </si>
  <si>
    <t>HRR1494487_r2.fastq.gz (2.02 GB)</t>
  </si>
  <si>
    <t>HRX1166751</t>
  </si>
  <si>
    <t>RNAseq of S354</t>
  </si>
  <si>
    <t>HRS1030265 (SAMC3323619)</t>
  </si>
  <si>
    <t xml:space="preserve">HRS1030265 </t>
  </si>
  <si>
    <t>P67C2_O</t>
  </si>
  <si>
    <t>P67C2 Organoid</t>
  </si>
  <si>
    <t>P67C2</t>
  </si>
  <si>
    <t>HRR1494488_r2.fastq.gz (2.15 GB)</t>
  </si>
  <si>
    <t>HRX1166752</t>
  </si>
  <si>
    <t>RNAseq of S355</t>
  </si>
  <si>
    <t>HRS1030266 (SAMC3323620)</t>
  </si>
  <si>
    <t xml:space="preserve">HRS1030266 </t>
  </si>
  <si>
    <t>P67C3_O</t>
  </si>
  <si>
    <t>P67C3 Organoid</t>
  </si>
  <si>
    <t>P67C3</t>
  </si>
  <si>
    <t>HRR1494489_r2.fastq.gz (2.16 GB)</t>
  </si>
  <si>
    <t>HRX1166753</t>
  </si>
  <si>
    <t>RNAseq of S356</t>
  </si>
  <si>
    <t>HRS1030267 (SAMC3323621)</t>
  </si>
  <si>
    <t xml:space="preserve">HRS1030267 </t>
  </si>
  <si>
    <t>P68C2_O</t>
  </si>
  <si>
    <t>P68C2 Organoid</t>
  </si>
  <si>
    <t>P68</t>
  </si>
  <si>
    <t>P68C2</t>
  </si>
  <si>
    <t>HRR1494490_r2.fastq.gz (2.15 GB)</t>
  </si>
  <si>
    <t>HRX1166754</t>
  </si>
  <si>
    <t>RNAseq of S357</t>
  </si>
  <si>
    <t>HRS1030268 (SAMC3323622)</t>
  </si>
  <si>
    <t xml:space="preserve">HRS1030268 </t>
  </si>
  <si>
    <t>P68C3_O</t>
  </si>
  <si>
    <t>P68C3 Organoid</t>
  </si>
  <si>
    <t>P68C3</t>
  </si>
  <si>
    <t>HRR1494491_r2.fastq.gz (1.95 GB)</t>
  </si>
  <si>
    <t>HRX1166755</t>
  </si>
  <si>
    <t>RNAseq of S358</t>
  </si>
  <si>
    <t>HRS1030269 (SAMC3323623)</t>
  </si>
  <si>
    <t xml:space="preserve">HRS1030269 </t>
  </si>
  <si>
    <t>P68C1_O</t>
  </si>
  <si>
    <t>P68C1 Organoid</t>
  </si>
  <si>
    <t>P68C1</t>
  </si>
  <si>
    <t>HRR1494492_r2.fastq.gz (2.10 GB)</t>
  </si>
  <si>
    <t>HRX1166756</t>
  </si>
  <si>
    <t>RNAseq of S359</t>
  </si>
  <si>
    <t>HRS1030270 (SAMC3323624)</t>
  </si>
  <si>
    <t xml:space="preserve">HRS1030270 </t>
  </si>
  <si>
    <t>P69C1_O</t>
  </si>
  <si>
    <t>P69C1 Organoid</t>
  </si>
  <si>
    <t>P69</t>
  </si>
  <si>
    <t>P69C1</t>
  </si>
  <si>
    <t>HRR1494493_r2.fastq.gz (2.09 GB)</t>
  </si>
  <si>
    <t>HRX1166757</t>
  </si>
  <si>
    <t>RNAseq of S360</t>
  </si>
  <si>
    <t>HRS1030271 (SAMC3323625)</t>
  </si>
  <si>
    <t xml:space="preserve">HRS1030271 </t>
  </si>
  <si>
    <t>P69C2_O</t>
  </si>
  <si>
    <t>P69C2 Organoid</t>
  </si>
  <si>
    <t>P69C2</t>
  </si>
  <si>
    <t>HRR1494494_r2.fastq.gz (2.07 GB)</t>
  </si>
  <si>
    <t>HRX1166758</t>
  </si>
  <si>
    <t>RNAseq of S361</t>
  </si>
  <si>
    <t>HRS1030272 (SAMC3323626)</t>
  </si>
  <si>
    <t xml:space="preserve">HRS1030272 </t>
  </si>
  <si>
    <t>P69C3_O</t>
  </si>
  <si>
    <t>P69C3 Organoid</t>
  </si>
  <si>
    <t>P69C3</t>
  </si>
  <si>
    <t>HRR1494495_r2.fastq.gz (2.07 GB)</t>
  </si>
  <si>
    <t>HRX1166759</t>
  </si>
  <si>
    <t>RNAseq of S362</t>
  </si>
  <si>
    <t>HRS1030273 (SAMC3323627)</t>
  </si>
  <si>
    <t xml:space="preserve">HRS1030273 </t>
  </si>
  <si>
    <t>P70C1_O</t>
  </si>
  <si>
    <t>P70C1 Organoid</t>
  </si>
  <si>
    <t>P70</t>
  </si>
  <si>
    <t>P70C1</t>
  </si>
  <si>
    <t>HRR1494496_r2.fastq.gz (2.03 GB)</t>
  </si>
  <si>
    <t>HRX1166760</t>
  </si>
  <si>
    <t>RNAseq of S363</t>
  </si>
  <si>
    <t>HRS1030274 (SAMC3323628)</t>
  </si>
  <si>
    <t xml:space="preserve">HRS1030274 </t>
  </si>
  <si>
    <t>P70C2_O</t>
  </si>
  <si>
    <t>P70C2 Organoid</t>
  </si>
  <si>
    <t>P70C2</t>
  </si>
  <si>
    <t>HRR1494497_r2.fastq.gz (2.03 GB)</t>
  </si>
  <si>
    <t>HRX1166761</t>
  </si>
  <si>
    <t>RNAseq of S364</t>
  </si>
  <si>
    <t>HRS1030275 (SAMC3323629)</t>
  </si>
  <si>
    <t xml:space="preserve">HRS1030275 </t>
  </si>
  <si>
    <t>P70C3_O</t>
  </si>
  <si>
    <t>P70C3 Organoid</t>
  </si>
  <si>
    <t>P70C3</t>
  </si>
  <si>
    <t>HRR1494498_r2.fastq.gz (2.10 GB)</t>
  </si>
  <si>
    <t>HRX1166762</t>
  </si>
  <si>
    <t>RNAseq of S365</t>
  </si>
  <si>
    <t>HRS1030276 (SAMC3323630)</t>
  </si>
  <si>
    <t xml:space="preserve">HRS1030276 </t>
  </si>
  <si>
    <t>P71C1_O</t>
  </si>
  <si>
    <t>P71C1 Organoid</t>
  </si>
  <si>
    <t>P71</t>
  </si>
  <si>
    <t>P71C1</t>
  </si>
  <si>
    <t>HRR1494499_r2.fastq.gz (2.07 GB)</t>
  </si>
  <si>
    <t>HRX1166763</t>
  </si>
  <si>
    <t>RNAseq of S366</t>
  </si>
  <si>
    <t>HRS1030277 (SAMC3323631)</t>
  </si>
  <si>
    <t xml:space="preserve">HRS1030277 </t>
  </si>
  <si>
    <t>P71C2_O</t>
  </si>
  <si>
    <t>P71C2 Organoid</t>
  </si>
  <si>
    <t>P71C2</t>
  </si>
  <si>
    <t>HRR1494500_r2.fastq.gz (2.01 GB)</t>
  </si>
  <si>
    <t>HRX1166764</t>
  </si>
  <si>
    <t>RNAseq of S367</t>
  </si>
  <si>
    <t>HRS1030278 (SAMC3323632)</t>
  </si>
  <si>
    <t xml:space="preserve">HRS1030278 </t>
  </si>
  <si>
    <t>P71C3_O</t>
  </si>
  <si>
    <t>P71C3 Organoid</t>
  </si>
  <si>
    <t>P71C3</t>
  </si>
  <si>
    <t>HRR1494501_r2.fastq.gz (2.04 GB)</t>
  </si>
  <si>
    <t>HRX1166765</t>
  </si>
  <si>
    <t>RNAseq of S368</t>
  </si>
  <si>
    <t>HRS1030279 (SAMC3323633)</t>
  </si>
  <si>
    <t xml:space="preserve">HRS1030279 </t>
  </si>
  <si>
    <t>P72C1_O</t>
  </si>
  <si>
    <t>P72C1 Organoid</t>
  </si>
  <si>
    <t>P72</t>
  </si>
  <si>
    <t>P72C1</t>
  </si>
  <si>
    <t>HRR1494502_r2.fastq.gz (2.02 GB)</t>
  </si>
  <si>
    <t>HRX1166766</t>
  </si>
  <si>
    <t>RNAseq of S369</t>
  </si>
  <si>
    <t>HRS1030280 (SAMC3323634)</t>
  </si>
  <si>
    <t xml:space="preserve">HRS1030280 </t>
  </si>
  <si>
    <t>P72C3_O</t>
  </si>
  <si>
    <t>P72C3 Organoid</t>
  </si>
  <si>
    <t>P72C3</t>
  </si>
  <si>
    <t>HRR1494503_r2.fastq.gz (1.92 GB)</t>
  </si>
  <si>
    <t>HRX1166767</t>
  </si>
  <si>
    <t>RNAseq of S370</t>
  </si>
  <si>
    <t>HRS1030281 (SAMC3323635)</t>
  </si>
  <si>
    <t xml:space="preserve">HRS1030281 </t>
  </si>
  <si>
    <t>P72C2_O</t>
  </si>
  <si>
    <t>P72C2 Organoid</t>
  </si>
  <si>
    <t>P72C2</t>
  </si>
  <si>
    <t>HRR1494504_r2.fastq.gz (2.04 GB)</t>
  </si>
  <si>
    <t>HRX1166768</t>
  </si>
  <si>
    <t>RNAseq of S371</t>
  </si>
  <si>
    <t>HRS1030282 (SAMC3323636)</t>
  </si>
  <si>
    <t xml:space="preserve">HRS1030282 </t>
  </si>
  <si>
    <t>P73C1_O</t>
  </si>
  <si>
    <t>P73C1 Organoid</t>
  </si>
  <si>
    <t>P73</t>
  </si>
  <si>
    <t>P73C1</t>
  </si>
  <si>
    <t>HRR1494505_r2.fastq.gz (2.00 GB)</t>
  </si>
  <si>
    <t>HRX1166769</t>
  </si>
  <si>
    <t>RNAseq of S372</t>
  </si>
  <si>
    <t>HRS1030283 (SAMC3323637)</t>
  </si>
  <si>
    <t xml:space="preserve">HRS1030283 </t>
  </si>
  <si>
    <t>P73C2_O</t>
  </si>
  <si>
    <t>P73C2 Organoid</t>
  </si>
  <si>
    <t>P73C2</t>
  </si>
  <si>
    <t>HRR1494506_r2.fastq.gz (2.14 GB)</t>
  </si>
  <si>
    <t>HRX1166770</t>
  </si>
  <si>
    <t>RNAseq of S373</t>
  </si>
  <si>
    <t>HRS1030284 (SAMC3323638)</t>
  </si>
  <si>
    <t xml:space="preserve">HRS1030284 </t>
  </si>
  <si>
    <t>P73C3_O</t>
  </si>
  <si>
    <t>P73C3 Organoid</t>
  </si>
  <si>
    <t>P73C3</t>
  </si>
  <si>
    <t>HRR1494507_r2.fastq.gz (2.10 GB)</t>
  </si>
  <si>
    <t>HRX1166771</t>
  </si>
  <si>
    <t>RNAseq of S374</t>
  </si>
  <si>
    <t>HRS1030285 (SAMC3323639)</t>
  </si>
  <si>
    <t xml:space="preserve">HRS1030285 </t>
  </si>
  <si>
    <t>P74C1_O</t>
  </si>
  <si>
    <t>P74C1 Organoid</t>
  </si>
  <si>
    <t>P74C1</t>
  </si>
  <si>
    <t>HRR1494508_r2.fastq.gz (2.06 GB)</t>
  </si>
  <si>
    <t>HRX1166772</t>
  </si>
  <si>
    <t>RNAseq of S375</t>
  </si>
  <si>
    <t>HRS1030286 (SAMC3323640)</t>
  </si>
  <si>
    <t xml:space="preserve">HRS1030286 </t>
  </si>
  <si>
    <t>P74C2_O</t>
  </si>
  <si>
    <t>P74C2 Organoid</t>
  </si>
  <si>
    <t>P74C2</t>
  </si>
  <si>
    <t>HRR1494509_r2.fastq.gz (2.06 GB)</t>
  </si>
  <si>
    <t>HRX1166773</t>
  </si>
  <si>
    <t>RNAseq of S376</t>
  </si>
  <si>
    <t>HRS1030287 (SAMC3323641)</t>
  </si>
  <si>
    <t xml:space="preserve">HRS1030287 </t>
  </si>
  <si>
    <t>P74C3_O</t>
  </si>
  <si>
    <t>P74C3 Organoid</t>
  </si>
  <si>
    <t>HRR1494510_r2.fastq.gz (1.80 GB)</t>
  </si>
  <si>
    <t>HRX1166774</t>
  </si>
  <si>
    <t>RNAseq of S377</t>
  </si>
  <si>
    <t>HRR1494511_r2.fastq.gz (1.93 GB)</t>
  </si>
  <si>
    <t>HRX1166775</t>
  </si>
  <si>
    <t>RNAseq of S378</t>
  </si>
  <si>
    <t>HRR1494512_r2.fastq.gz (1.89 GB)</t>
  </si>
  <si>
    <t>HRX1166776</t>
  </si>
  <si>
    <t>RNAseq of S379</t>
  </si>
  <si>
    <t>HRR1494513_r2.fastq.gz (2.04 GB)</t>
  </si>
  <si>
    <t>HRX1166777</t>
  </si>
  <si>
    <t>RNAseq of S381</t>
  </si>
  <si>
    <t>HRS1030292 (SAMC3323646)</t>
  </si>
  <si>
    <t xml:space="preserve">HRS1030292 </t>
  </si>
  <si>
    <t>P75C1_O</t>
  </si>
  <si>
    <t>P75C1 Organoid</t>
  </si>
  <si>
    <t>P75C1</t>
  </si>
  <si>
    <t>HRR1494514_r2.fastq.gz (2.07 GB)</t>
  </si>
  <si>
    <t>HRX1166778</t>
  </si>
  <si>
    <t>RNAseq of S382</t>
  </si>
  <si>
    <t>HRS1030293 (SAMC3323647)</t>
  </si>
  <si>
    <t xml:space="preserve">HRS1030293 </t>
  </si>
  <si>
    <t>P75C3_O</t>
  </si>
  <si>
    <t>P75C3 Organoid</t>
  </si>
  <si>
    <t>P75C3</t>
  </si>
  <si>
    <t>HRR1494515_r2.fastq.gz (2.04 GB)</t>
  </si>
  <si>
    <t>HRX1166779</t>
  </si>
  <si>
    <t>RNAseq of S383</t>
  </si>
  <si>
    <t>HRS1030294 (SAMC3323648)</t>
  </si>
  <si>
    <t xml:space="preserve">HRS1030294 </t>
  </si>
  <si>
    <t>P75C2_O</t>
  </si>
  <si>
    <t>P75C2 Organoid</t>
  </si>
  <si>
    <t>HRR1494516_r2.fastq.gz (1.97 GB)</t>
  </si>
  <si>
    <t>HRX1166780</t>
  </si>
  <si>
    <t>RNAseq of S384</t>
  </si>
  <si>
    <t>HRR1494517_r2.fastq.gz (1.82 GB)</t>
  </si>
  <si>
    <t>HRX1166781</t>
  </si>
  <si>
    <t>RNAseq of S385</t>
  </si>
  <si>
    <t>HRR1494518_r2.fastq.gz (1.98 GB)</t>
  </si>
  <si>
    <t>HRX1166782</t>
  </si>
  <si>
    <t>RNAseq of S386</t>
  </si>
  <si>
    <t>HRR1494519_r2.fastq.gz (2.02 GB)</t>
  </si>
  <si>
    <t>HRX1166783</t>
  </si>
  <si>
    <t>RNAseq of S388</t>
  </si>
  <si>
    <t>HRS1030299 (SAMC3323653)</t>
  </si>
  <si>
    <t xml:space="preserve">HRS1030299 </t>
  </si>
  <si>
    <t>P76C1_O</t>
  </si>
  <si>
    <t>P76C1 Organoid</t>
  </si>
  <si>
    <t>P76C1</t>
  </si>
  <si>
    <t>HRR1494520_r2.fastq.gz (1.96 GB)</t>
  </si>
  <si>
    <t>HRX1166784</t>
  </si>
  <si>
    <t>RNAseq of S389</t>
  </si>
  <si>
    <t>HRS1030300 (SAMC3323654)</t>
  </si>
  <si>
    <t xml:space="preserve">HRS1030300 </t>
  </si>
  <si>
    <t>P76C2_O</t>
  </si>
  <si>
    <t>P76C2 Organoid</t>
  </si>
  <si>
    <t>HRR1494521_r2.fastq.gz (1.96 GB)</t>
  </si>
  <si>
    <t>HRX1166785</t>
  </si>
  <si>
    <t>RNAseq of S390</t>
  </si>
  <si>
    <t>HRS1030301 (SAMC3323655)</t>
  </si>
  <si>
    <t xml:space="preserve">HRS1030301 </t>
  </si>
  <si>
    <t>P76C3_O</t>
  </si>
  <si>
    <t>P76C3 Organoid</t>
  </si>
  <si>
    <t>P76C3</t>
  </si>
  <si>
    <t>HRR1494522_r2.fastq.gz (1.89 GB)</t>
  </si>
  <si>
    <t>HRX1166786</t>
  </si>
  <si>
    <t>RNAseq of S391</t>
  </si>
  <si>
    <t>HRR1494523_r2.fastq.gz (2.03 GB)</t>
  </si>
  <si>
    <t>HRX1166787</t>
  </si>
  <si>
    <t>RNAseq of S392</t>
  </si>
  <si>
    <t>HRR1494524_r2.fastq.gz (1.87 GB)</t>
  </si>
  <si>
    <t>HRX1166788</t>
  </si>
  <si>
    <t>RNAseq of S393</t>
  </si>
  <si>
    <t>HRR1494525_r2.fastq.gz (1.98 GB)</t>
  </si>
  <si>
    <t>HRX1166789</t>
  </si>
  <si>
    <t>RNAseq of S395</t>
  </si>
  <si>
    <t>HRS1030306 (SAMC3323660)</t>
  </si>
  <si>
    <t xml:space="preserve">HRS1030306 </t>
  </si>
  <si>
    <t>P77C2_O</t>
  </si>
  <si>
    <t>P77C2 Organoid</t>
  </si>
  <si>
    <t>P77</t>
  </si>
  <si>
    <t>P77C2</t>
  </si>
  <si>
    <t>HRR1494526_r2.fastq.gz (1.80 GB)</t>
  </si>
  <si>
    <t>HRX1166790</t>
  </si>
  <si>
    <t>RNAseq of S396</t>
  </si>
  <si>
    <t>HRS1030307 (SAMC3323661)</t>
  </si>
  <si>
    <t xml:space="preserve">HRS1030307 </t>
  </si>
  <si>
    <t>P77C3_O</t>
  </si>
  <si>
    <t>P77C3 Organoid</t>
  </si>
  <si>
    <t>P77C3</t>
  </si>
  <si>
    <t>HRR1494527_r2.fastq.gz (1.85 GB)</t>
  </si>
  <si>
    <t>HRX1166791</t>
  </si>
  <si>
    <t>RNAseq of S397</t>
  </si>
  <si>
    <t>HRS1030308 (SAMC3323662)</t>
  </si>
  <si>
    <t xml:space="preserve">HRS1030308 </t>
  </si>
  <si>
    <t>P85C1_O</t>
  </si>
  <si>
    <t>P85C1 Organoid</t>
  </si>
  <si>
    <t>HRR1494528_r2.fastq.gz (1.81 GB)</t>
  </si>
  <si>
    <t>HRX1166792</t>
  </si>
  <si>
    <t>RNAseq of S402</t>
  </si>
  <si>
    <t>HRS1030313 (SAMC3323667)</t>
  </si>
  <si>
    <t xml:space="preserve">HRS1030313 </t>
  </si>
  <si>
    <t>P86C1_O</t>
  </si>
  <si>
    <t>P86C1 Organoid</t>
  </si>
  <si>
    <t>P86</t>
  </si>
  <si>
    <t>P86C1</t>
  </si>
  <si>
    <t>HRR1494529_r2.fastq.gz (1.87 GB)</t>
  </si>
  <si>
    <t>HRX1166793</t>
  </si>
  <si>
    <t>RNAseq of S403</t>
  </si>
  <si>
    <t>HRS1030314 (SAMC3323668)</t>
  </si>
  <si>
    <t xml:space="preserve">HRS1030314 </t>
  </si>
  <si>
    <t>P88C1_O</t>
  </si>
  <si>
    <t>P88C1 Organoid</t>
  </si>
  <si>
    <t>P88</t>
  </si>
  <si>
    <t>P88C1</t>
  </si>
  <si>
    <t>HRR1494530_r2.fastq.gz (1.65 GB)</t>
  </si>
  <si>
    <t>HRX1166794</t>
  </si>
  <si>
    <t>RNAseq of S413</t>
  </si>
  <si>
    <t>HRS1030324 (SAMC3323678)</t>
  </si>
  <si>
    <t xml:space="preserve">HRS1030324 </t>
  </si>
  <si>
    <t>P91C3_O</t>
  </si>
  <si>
    <t>P91C3 Organoid</t>
  </si>
  <si>
    <t>P91</t>
  </si>
  <si>
    <t>P91C3</t>
  </si>
  <si>
    <t>HRR1494531_r2.fastq.gz (1.85 GB)</t>
  </si>
  <si>
    <t>HRX1166795</t>
  </si>
  <si>
    <t>RNAseq of S418</t>
  </si>
  <si>
    <t>HRS1030329 (SAMC3323683)</t>
  </si>
  <si>
    <t xml:space="preserve">HRS1030329 </t>
  </si>
  <si>
    <t>P93C1_O</t>
  </si>
  <si>
    <t>P93C1 Organoid</t>
  </si>
  <si>
    <t>P93</t>
  </si>
  <si>
    <t>P93C1</t>
  </si>
  <si>
    <t>HRR1494532_r2.fastq.gz (2.37 GB)</t>
  </si>
  <si>
    <t>HRX1166796</t>
  </si>
  <si>
    <t>RNAseq of S419</t>
  </si>
  <si>
    <t>HRR1494533_r2.fastq.gz (2.22 GB)</t>
  </si>
  <si>
    <t>HRX1166797</t>
  </si>
  <si>
    <t>RNAseq of S420</t>
  </si>
  <si>
    <t>HRR1494534_r2.fastq.gz (2.66 GB)</t>
  </si>
  <si>
    <t>HRX1166798</t>
  </si>
  <si>
    <t>RNAseq of S421</t>
  </si>
  <si>
    <t>HRR1494535_r2.fastq.gz (1.87 GB)</t>
  </si>
  <si>
    <t>HRX1166799</t>
  </si>
  <si>
    <t>RNAseq of S423</t>
  </si>
  <si>
    <t>HRS1030334 (SAMC3323688)</t>
  </si>
  <si>
    <t xml:space="preserve">HRS1030334 </t>
  </si>
  <si>
    <t>P113C1_O</t>
  </si>
  <si>
    <t>P113C1 Organoid</t>
  </si>
  <si>
    <t>P113</t>
  </si>
  <si>
    <t>P113C1</t>
  </si>
  <si>
    <t>HRR1494536_r2.fastq.gz (2.70 GB)</t>
  </si>
  <si>
    <t>HRX1166800</t>
  </si>
  <si>
    <t>RNAseq of S424</t>
  </si>
  <si>
    <t>HRR1494537_r2.fastq.gz (2.60 GB)</t>
  </si>
  <si>
    <t>HRX1166801</t>
  </si>
  <si>
    <t>RNAseq of S426</t>
  </si>
  <si>
    <t>HRR1494538_r2.fastq.gz (2.45 GB)</t>
  </si>
  <si>
    <t>HRX1166802</t>
  </si>
  <si>
    <t>RNAseq of S428</t>
  </si>
  <si>
    <t>HRR1494539_r2.fastq.gz (2.62 GB)</t>
  </si>
  <si>
    <t>HRX1166803</t>
  </si>
  <si>
    <t>RNAseq of S430</t>
  </si>
  <si>
    <t>HRR1494540_r2.fastq.gz (3.06 GB)</t>
  </si>
  <si>
    <t>HRX1166804</t>
  </si>
  <si>
    <t>RNAseq of S432</t>
  </si>
  <si>
    <t>HRR1494541_r2.fastq.gz (2.45 GB)</t>
  </si>
  <si>
    <t>HRX1166805</t>
  </si>
  <si>
    <t>RNAseq of S434</t>
  </si>
  <si>
    <t>HRR1494542_r2.fastq.gz (2.52 GB)</t>
  </si>
  <si>
    <t>HRX1166806</t>
  </si>
  <si>
    <t>RNAseq of S436</t>
  </si>
  <si>
    <t>HRR1494543_r2.fastq.gz (2.58 GB)</t>
  </si>
  <si>
    <t>HRX1166807</t>
  </si>
  <si>
    <t>RNAseq of S438</t>
  </si>
  <si>
    <t>HRR1494544_r2.fastq.gz (2.60 GB)</t>
  </si>
  <si>
    <t>HRX1166808</t>
  </si>
  <si>
    <t>RNAseq of S440</t>
  </si>
  <si>
    <t>HRR1494545_r2.fastq.gz (2.71 GB)</t>
  </si>
  <si>
    <t>HRX1166809</t>
  </si>
  <si>
    <t>RNAseq of S442</t>
  </si>
  <si>
    <t>HRR1494546_r2.fastq.gz (2.82 GB)</t>
  </si>
  <si>
    <t>HRX1166810</t>
  </si>
  <si>
    <t>RNAseq of S444</t>
  </si>
  <si>
    <t>HRR1494547_r2.fastq.gz (3.21 GB)</t>
  </si>
  <si>
    <t>HRX1166811</t>
  </si>
  <si>
    <t>RNAseq of S446</t>
  </si>
  <si>
    <t>HRR1494548_r2.fastq.gz (2.03 GB)</t>
  </si>
  <si>
    <t>HRX1166812</t>
  </si>
  <si>
    <t>RNAseq of S448</t>
  </si>
  <si>
    <t>HRR1494549_r2.fastq.gz (2.25 GB)</t>
  </si>
  <si>
    <t>HRX1166813</t>
  </si>
  <si>
    <t>RNAseq of S450</t>
  </si>
  <si>
    <t>HRR1494550_r2.fastq.gz (2.54 GB)</t>
  </si>
  <si>
    <t>HRX1166814</t>
  </si>
  <si>
    <t>RNAseq of S451</t>
  </si>
  <si>
    <t>HRR1494551_r2.fastq.gz (2.56 GB)</t>
  </si>
  <si>
    <t>HRX1166815</t>
  </si>
  <si>
    <t>RNAseq of S452</t>
  </si>
  <si>
    <t>HRR1494552_r2.fastq.gz (2.43 GB)</t>
  </si>
  <si>
    <t>HRX1166816</t>
  </si>
  <si>
    <t>RNAseq of S454</t>
  </si>
  <si>
    <t>HRR1494553_r2.fastq.gz (2.76 GB)</t>
  </si>
  <si>
    <t>HRX1166817</t>
  </si>
  <si>
    <t>RNAseq of S455</t>
  </si>
  <si>
    <t>HRR1494554_r2.fastq.gz (2.57 GB)</t>
  </si>
  <si>
    <t>HRX1166818</t>
  </si>
  <si>
    <t>RNAseq of S456</t>
  </si>
  <si>
    <t>HRR1494555_r2.fastq.gz (2.63 GB)</t>
  </si>
  <si>
    <t>HRX1166819</t>
  </si>
  <si>
    <t>RNAseq of S458</t>
  </si>
  <si>
    <t>HRR1494556_r2.fastq.gz (3.12 GB)</t>
  </si>
  <si>
    <t>HRX1166820</t>
  </si>
  <si>
    <t>RNAseq of S459</t>
  </si>
  <si>
    <t>HRR1494557_r2.fastq.gz (3.10 GB)</t>
  </si>
  <si>
    <t>HRX1166821</t>
  </si>
  <si>
    <t>RNAseq of S460</t>
  </si>
  <si>
    <t>HRR1494558_r2.fastq.gz (3.09 GB)</t>
  </si>
  <si>
    <t>HRX1166822</t>
  </si>
  <si>
    <t>RNAseq of S461</t>
  </si>
  <si>
    <t>HRR1494559_r2.fastq.gz (3.05 GB)</t>
  </si>
  <si>
    <t>HRX1166823</t>
  </si>
  <si>
    <t>RNAseq of S462</t>
  </si>
  <si>
    <t>HRR1494560_r2.fastq.gz (2.60 GB)</t>
  </si>
  <si>
    <t>HRX1166824</t>
  </si>
  <si>
    <t>RNAseq of S463</t>
  </si>
  <si>
    <t>HRR1494561_r2.fastq.gz (2.48 GB)</t>
  </si>
  <si>
    <t>HRX1166825</t>
  </si>
  <si>
    <t>RNAseq of S465</t>
  </si>
  <si>
    <t>HRR1494562_r2.fastq.gz (2.53 GB)</t>
  </si>
  <si>
    <t>HRX1166826</t>
  </si>
  <si>
    <t>RNAseq of S466</t>
  </si>
  <si>
    <t>HRR1494563_r2.fastq.gz (2.34 GB)</t>
  </si>
  <si>
    <t>HRX1166827</t>
  </si>
  <si>
    <t>RNAseq of S467</t>
  </si>
  <si>
    <t>HRR1494564_r2.fastq.gz (2.37 GB)</t>
  </si>
  <si>
    <t>HRX1166828</t>
  </si>
  <si>
    <t>RNAseq of S469</t>
  </si>
  <si>
    <t>HRR1494565_r2.fastq.gz (2.45 GB)</t>
  </si>
  <si>
    <t>HRX1166829</t>
  </si>
  <si>
    <t>RNAseq of S471</t>
  </si>
  <si>
    <t>HRR1494566_r2.fastq.gz (2.50 GB)</t>
  </si>
  <si>
    <t>HRX1166830</t>
  </si>
  <si>
    <t>RNAseq of S473</t>
  </si>
  <si>
    <t>HRR1494567_r2.fastq.gz (2.44 GB)</t>
  </si>
  <si>
    <t>HRX1166831</t>
  </si>
  <si>
    <t>RNAseq of S475</t>
  </si>
  <si>
    <t>HRR1494568_r2.fastq.gz (2.31 GB)</t>
  </si>
  <si>
    <t>HRX1166832</t>
  </si>
  <si>
    <t>RNAseq of S477</t>
  </si>
  <si>
    <t>HRR1494569_r2.fastq.gz (2.48 GB)</t>
  </si>
  <si>
    <t>HRX1166833</t>
  </si>
  <si>
    <t>RNAseq of S478</t>
  </si>
  <si>
    <t>HRR1494570_r2.fastq.gz (2.69 GB)</t>
  </si>
  <si>
    <t>HRX1166834</t>
  </si>
  <si>
    <t>RNAseq of S479</t>
  </si>
  <si>
    <t>HRR1494571_r2.fastq.gz (3.06 GB)</t>
  </si>
  <si>
    <t>HRX1166835</t>
  </si>
  <si>
    <t>RNAseq of S480</t>
  </si>
  <si>
    <t>HRR1494572_r2.fastq.gz (2.92 GB)</t>
  </si>
  <si>
    <t>HRX1166836</t>
  </si>
  <si>
    <t>RNAseq of S482</t>
  </si>
  <si>
    <t>HRR1494573_r2.fastq.gz (2.86 GB)</t>
  </si>
  <si>
    <t>HRX1166837</t>
  </si>
  <si>
    <t>RNAseq of S483</t>
  </si>
  <si>
    <t>HRS1030394 (SAMC3323748)</t>
  </si>
  <si>
    <t xml:space="preserve">HRS1030394 </t>
  </si>
  <si>
    <t>A1_O</t>
  </si>
  <si>
    <t>A1 Organoid</t>
  </si>
  <si>
    <t>A1</t>
  </si>
  <si>
    <t>HRR1494574_r2.fastq.gz (2.65 GB)</t>
  </si>
  <si>
    <t>HRX1166838</t>
  </si>
  <si>
    <t>RNAseq of S484</t>
  </si>
  <si>
    <t>HRS1030395 (SAMC3323749)</t>
  </si>
  <si>
    <t xml:space="preserve">HRS1030395 </t>
  </si>
  <si>
    <t>A2_O</t>
  </si>
  <si>
    <t>A2 Organoid</t>
  </si>
  <si>
    <t>A2</t>
  </si>
  <si>
    <t>HRR1494575_r2.fastq.gz (1.83 GB)</t>
  </si>
  <si>
    <t>HRX1166839</t>
  </si>
  <si>
    <t>RNAseq of S485</t>
  </si>
  <si>
    <t>HRS1030396 (SAMC3323750)</t>
  </si>
  <si>
    <t xml:space="preserve">HRS1030396 </t>
  </si>
  <si>
    <t>A3_O</t>
  </si>
  <si>
    <t>A3 Organoid</t>
  </si>
  <si>
    <t>A3</t>
  </si>
  <si>
    <t>HRR1494576_r2.fastq.gz (1.67 GB)</t>
  </si>
  <si>
    <t>HRX1166840</t>
  </si>
  <si>
    <t>RNAseq of S486</t>
  </si>
  <si>
    <t>HRS1030397 (SAMC3323751)</t>
  </si>
  <si>
    <t xml:space="preserve">HRS1030397 </t>
  </si>
  <si>
    <t>A3_T</t>
  </si>
  <si>
    <t>A3 Tumor lesion</t>
  </si>
  <si>
    <t>HRR1494577_r2.fastq.gz (1.80 GB)</t>
  </si>
  <si>
    <t>HRX1166841</t>
  </si>
  <si>
    <t>RNAseq of S487</t>
  </si>
  <si>
    <t>HRS1030398 (SAMC3323752)</t>
  </si>
  <si>
    <t xml:space="preserve">HRS1030398 </t>
  </si>
  <si>
    <t>A4_O</t>
  </si>
  <si>
    <t>A4 Organoid</t>
  </si>
  <si>
    <t>A4</t>
  </si>
  <si>
    <t>HRR1494578_r2.fastq.gz (1.71 GB)</t>
  </si>
  <si>
    <t>HRX1166842</t>
  </si>
  <si>
    <t>RNAseq of S488</t>
  </si>
  <si>
    <t>HRS1030399 (SAMC3323753)</t>
  </si>
  <si>
    <t xml:space="preserve">HRS1030399 </t>
  </si>
  <si>
    <t>A4_T</t>
  </si>
  <si>
    <t>A4 Tumor lesion</t>
  </si>
  <si>
    <t>HRR1494579_r2.fastq.gz (1.78 GB)</t>
  </si>
  <si>
    <t>HRX1166843</t>
  </si>
  <si>
    <t>RNAseq of S489</t>
  </si>
  <si>
    <t>HRS1030400 (SAMC3323754)</t>
  </si>
  <si>
    <t xml:space="preserve">HRS1030400 </t>
  </si>
  <si>
    <t>A5_O</t>
  </si>
  <si>
    <t>A5 Organoid</t>
  </si>
  <si>
    <t>A5</t>
  </si>
  <si>
    <t>HRR1494580_r2.fastq.gz (1.81 GB)</t>
  </si>
  <si>
    <t>HRX1166844</t>
  </si>
  <si>
    <t>RNAseq of S490</t>
  </si>
  <si>
    <t>HRS1030401 (SAMC3323755)</t>
  </si>
  <si>
    <t xml:space="preserve">HRS1030401 </t>
  </si>
  <si>
    <t>A5_T</t>
  </si>
  <si>
    <t>A5 Tumor lesion</t>
  </si>
  <si>
    <t>HRR1494581_r2.fastq.gz (1.67 GB)</t>
  </si>
  <si>
    <t>HRX1166845</t>
  </si>
  <si>
    <t>RNAseq of S491</t>
  </si>
  <si>
    <t>HRS1030402 (SAMC3323756)</t>
  </si>
  <si>
    <t xml:space="preserve">HRS1030402 </t>
  </si>
  <si>
    <t>A6_O</t>
  </si>
  <si>
    <t>A6 Organoid</t>
  </si>
  <si>
    <t>A6</t>
  </si>
  <si>
    <t>HRR1494582_r2.fastq.gz (1.74 GB)</t>
  </si>
  <si>
    <t>HRX1166846</t>
  </si>
  <si>
    <t>RNAseq of S492</t>
  </si>
  <si>
    <t>HRS1030403 (SAMC3323757)</t>
  </si>
  <si>
    <t xml:space="preserve">HRS1030403 </t>
  </si>
  <si>
    <t>A6_T</t>
  </si>
  <si>
    <t>A6 Tumor lesion</t>
  </si>
  <si>
    <t>HRR1494583_r2.fastq.gz (1.85 GB)</t>
  </si>
  <si>
    <t>HRX1166847</t>
  </si>
  <si>
    <t>RNAseq of S493</t>
  </si>
  <si>
    <t>HRS1030404 (SAMC3323758)</t>
  </si>
  <si>
    <t xml:space="preserve">HRS1030404 </t>
  </si>
  <si>
    <t>A7_O</t>
  </si>
  <si>
    <t>A7 Organoid</t>
  </si>
  <si>
    <t>A7</t>
  </si>
  <si>
    <t>HRR1494584_r2.fastq.gz (1.85 GB)</t>
  </si>
  <si>
    <t>HRX1166848</t>
  </si>
  <si>
    <t>RNAseq of S494</t>
  </si>
  <si>
    <t>HRS1030405 (SAMC3323759)</t>
  </si>
  <si>
    <t xml:space="preserve">HRS1030405 </t>
  </si>
  <si>
    <t>A7_T</t>
  </si>
  <si>
    <t>A7 Tumor lesion</t>
  </si>
  <si>
    <t>HRR1494585_r2.fastq.gz (1.80 GB)</t>
  </si>
  <si>
    <t>HRX1166849</t>
  </si>
  <si>
    <t>RNAseq of S495</t>
  </si>
  <si>
    <t>HRS1030406 (SAMC3323760)</t>
  </si>
  <si>
    <t xml:space="preserve">HRS1030406 </t>
  </si>
  <si>
    <t>A8_O</t>
  </si>
  <si>
    <t>A8 Organoid</t>
  </si>
  <si>
    <t>A8</t>
  </si>
  <si>
    <t>HRR1494586_r2.fastq.gz (1.83 GB)</t>
  </si>
  <si>
    <t>HRX1166850</t>
  </si>
  <si>
    <t>RNAseq of S496</t>
  </si>
  <si>
    <t>HRS1030407 (SAMC3323761)</t>
  </si>
  <si>
    <t xml:space="preserve">HRS1030407 </t>
  </si>
  <si>
    <t>A8_T</t>
  </si>
  <si>
    <t>A8 Tumor lesion</t>
  </si>
  <si>
    <t>HRR1494587_r2.fastq.gz (1.90 GB)</t>
  </si>
  <si>
    <t>HRX1166851</t>
  </si>
  <si>
    <t>RNAseq of S497</t>
  </si>
  <si>
    <t>HRS1030408 (SAMC3323762)</t>
  </si>
  <si>
    <t xml:space="preserve">HRS1030408 </t>
  </si>
  <si>
    <t>A9_O</t>
  </si>
  <si>
    <t>A9 Organoid</t>
  </si>
  <si>
    <t>A9</t>
  </si>
  <si>
    <t>HRR1494588_r2.fastq.gz (1.88 GB)</t>
  </si>
  <si>
    <t>HRX1166852</t>
  </si>
  <si>
    <t>RNAseq of S498</t>
  </si>
  <si>
    <t>HRS1030409 (SAMC3323763)</t>
  </si>
  <si>
    <t xml:space="preserve">HRS1030409 </t>
  </si>
  <si>
    <t>A9_T</t>
  </si>
  <si>
    <t>A9 Tumor lesion</t>
  </si>
  <si>
    <t>HRR1494589_r2.fastq.gz (1.91 GB)</t>
  </si>
  <si>
    <t>HRX1166853</t>
  </si>
  <si>
    <t>RNAseq of S499</t>
  </si>
  <si>
    <t>HRS1030410 (SAMC3323764)</t>
  </si>
  <si>
    <t xml:space="preserve">HRS1030410 </t>
  </si>
  <si>
    <t>A10_O</t>
  </si>
  <si>
    <t>A10 Organoid</t>
  </si>
  <si>
    <t>A10</t>
  </si>
  <si>
    <t>HRR1494590_r2.fastq.gz (1.82 GB)</t>
  </si>
  <si>
    <t>HRX1166854</t>
  </si>
  <si>
    <t>RNAseq of S500</t>
  </si>
  <si>
    <t>HRS1030411 (SAMC3323765)</t>
  </si>
  <si>
    <t xml:space="preserve">HRS1030411 </t>
  </si>
  <si>
    <t>A10_T</t>
  </si>
  <si>
    <t>A10 Tumor lesion</t>
  </si>
  <si>
    <t>HRR1494591_r2.fastq.gz (1.85 GB)</t>
  </si>
  <si>
    <t>HRX1166855</t>
  </si>
  <si>
    <t>RNAseq of S501</t>
  </si>
  <si>
    <t>HRS1030412 (SAMC3323766)</t>
  </si>
  <si>
    <t xml:space="preserve">HRS1030412 </t>
  </si>
  <si>
    <t>A11_O</t>
  </si>
  <si>
    <t>A11 Organoid</t>
  </si>
  <si>
    <t>A11</t>
  </si>
  <si>
    <t>HRR1494592_r2.fastq.gz (1.75 GB)</t>
  </si>
  <si>
    <t>HRX1166856</t>
  </si>
  <si>
    <t>RNAseq of S502</t>
  </si>
  <si>
    <t>HRS1030413 (SAMC3323767)</t>
  </si>
  <si>
    <t xml:space="preserve">HRS1030413 </t>
  </si>
  <si>
    <t>A11_T</t>
  </si>
  <si>
    <t>A11 Tumor lesion</t>
  </si>
  <si>
    <t>HRR1494593_r2.fastq.gz (1.71 GB)</t>
  </si>
  <si>
    <t>HRX1166857</t>
  </si>
  <si>
    <t>RNAseq of S503</t>
  </si>
  <si>
    <t>HRS1030414 (SAMC3323768)</t>
  </si>
  <si>
    <t xml:space="preserve">HRS1030414 </t>
  </si>
  <si>
    <t>A12_O</t>
  </si>
  <si>
    <t>A12 Organoid</t>
  </si>
  <si>
    <t>A12</t>
  </si>
  <si>
    <t>HRR1494594_r2.fastq.gz (1.75 GB)</t>
  </si>
  <si>
    <t>HRX1166858</t>
  </si>
  <si>
    <t>RNAseq of S504</t>
  </si>
  <si>
    <t>HRS1030415 (SAMC3323769)</t>
  </si>
  <si>
    <t xml:space="preserve">HRS1030415 </t>
  </si>
  <si>
    <t>A12_T</t>
  </si>
  <si>
    <t>A12 Tumor lesion</t>
  </si>
  <si>
    <t>HRR1494595_r2.fastq.gz (1.82 GB)</t>
  </si>
  <si>
    <t>HRX1166859</t>
  </si>
  <si>
    <t>RNAseq of S505</t>
  </si>
  <si>
    <t>HRS1030416 (SAMC3323770)</t>
  </si>
  <si>
    <t xml:space="preserve">HRS1030416 </t>
  </si>
  <si>
    <t>A13_O</t>
  </si>
  <si>
    <t>A13 Organoid</t>
  </si>
  <si>
    <t>A13</t>
  </si>
  <si>
    <t>HRR1494596_r2.fastq.gz (1.84 GB)</t>
  </si>
  <si>
    <t>HRX1166860</t>
  </si>
  <si>
    <t>RNAseq of S506</t>
  </si>
  <si>
    <t>HRS1030417 (SAMC3323771)</t>
  </si>
  <si>
    <t xml:space="preserve">HRS1030417 </t>
  </si>
  <si>
    <t>A13_T</t>
  </si>
  <si>
    <t>A13 Tumor lesion</t>
  </si>
  <si>
    <t>HRR1494597_r2.fastq.gz (1.80 GB)</t>
  </si>
  <si>
    <t>HRX1166861</t>
  </si>
  <si>
    <t>RNAseq of S507</t>
  </si>
  <si>
    <t>HRS1030418 (SAMC3323772)</t>
  </si>
  <si>
    <t xml:space="preserve">HRS1030418 </t>
  </si>
  <si>
    <t>A14_O</t>
  </si>
  <si>
    <t>A14 Organoid</t>
  </si>
  <si>
    <t>A14</t>
  </si>
  <si>
    <t>HRR1494598_r2.fastq.gz (1.75 GB)</t>
  </si>
  <si>
    <t>HRX1166862</t>
  </si>
  <si>
    <t>RNAseq of S508</t>
  </si>
  <si>
    <t>HRS1030419 (SAMC3323773)</t>
  </si>
  <si>
    <t xml:space="preserve">HRS1030419 </t>
  </si>
  <si>
    <t>A14_T</t>
  </si>
  <si>
    <t>A14 Tumor lesion</t>
  </si>
  <si>
    <t>HRR1494599_r2.fastq.gz (2.81 GB)</t>
  </si>
  <si>
    <t>HRX1166863</t>
  </si>
  <si>
    <t>RNAseq of S509</t>
  </si>
  <si>
    <t>HRR1494600_r2.fastq.gz (2.46 GB)</t>
  </si>
  <si>
    <t>HRX1166864</t>
  </si>
  <si>
    <t>RNAseq of S510</t>
  </si>
  <si>
    <t>HRS1030421 (SAMC3323775)</t>
  </si>
  <si>
    <t xml:space="preserve">HRS1030421 </t>
  </si>
  <si>
    <t>A15_T</t>
  </si>
  <si>
    <t>A15 Tumor lesion</t>
  </si>
  <si>
    <t>HRR1494601_r2.fastq.gz (2.47 GB)</t>
  </si>
  <si>
    <t>HRX1166865</t>
  </si>
  <si>
    <t>RNAseq of S513</t>
  </si>
  <si>
    <t>HRS1030424 (SAMC3323778)</t>
  </si>
  <si>
    <t xml:space="preserve">HRS1030424 </t>
  </si>
  <si>
    <t>A16_T</t>
  </si>
  <si>
    <t>A16 Tumor lesion</t>
  </si>
  <si>
    <t>HRR1494602_r2.fastq.gz (2.65 GB)</t>
  </si>
  <si>
    <t>HRX1166866</t>
  </si>
  <si>
    <t>RNAseq of S514</t>
  </si>
  <si>
    <t>HRR1494603_r2.fastq.gz (1.92 GB)</t>
  </si>
  <si>
    <t>HRX1166867</t>
  </si>
  <si>
    <t>RNAseq of S517</t>
  </si>
  <si>
    <t>HRR1494604_r2.fastq.gz (2.02 GB)</t>
  </si>
  <si>
    <t>HRX1166868</t>
  </si>
  <si>
    <t>RNAseq of S518</t>
  </si>
  <si>
    <t>HRS1030429 (SAMC3323783)</t>
  </si>
  <si>
    <t xml:space="preserve">HRS1030429 </t>
  </si>
  <si>
    <t>A17C2_O</t>
  </si>
  <si>
    <t>A17C2 Organoid</t>
  </si>
  <si>
    <t>A17C2</t>
  </si>
  <si>
    <t>HRR1494605_r2.fastq.gz (2.21 GB)</t>
  </si>
  <si>
    <t>HRX1166869</t>
  </si>
  <si>
    <t>RNAseq of S519</t>
  </si>
  <si>
    <t>HRR1494606_r2.fastq.gz (1.93 GB)</t>
  </si>
  <si>
    <t>HRX1166870</t>
  </si>
  <si>
    <t>RNAseq of S520</t>
  </si>
  <si>
    <t>HRS1030431 (SAMC3323785)</t>
  </si>
  <si>
    <t xml:space="preserve">HRS1030431 </t>
  </si>
  <si>
    <t>A17C1_T</t>
  </si>
  <si>
    <t>A17C1 Tumor lesion</t>
  </si>
  <si>
    <t>HRR1494607_r2.fastq.gz (1.43 GB)</t>
  </si>
  <si>
    <t>HRX1166871</t>
  </si>
  <si>
    <t>RNAseq of S521</t>
  </si>
  <si>
    <t>HRS1030432 (SAMC3323786)</t>
  </si>
  <si>
    <t xml:space="preserve">HRS1030432 </t>
  </si>
  <si>
    <t>A18_O</t>
  </si>
  <si>
    <t>A18 Organoid</t>
  </si>
  <si>
    <t>HRX1166109</t>
  </si>
  <si>
    <t>WES of S3</t>
  </si>
  <si>
    <t>HRS1029914 (SAMC3323268)</t>
  </si>
  <si>
    <t xml:space="preserve">HRS1029914 </t>
  </si>
  <si>
    <t>P1C2_T</t>
  </si>
  <si>
    <t>P1C2 Tumor lesion</t>
  </si>
  <si>
    <t>P1C2</t>
  </si>
  <si>
    <t>HRR1493845_r2.fastq.gz (5.99 GB)</t>
  </si>
  <si>
    <t>HRX1166110</t>
  </si>
  <si>
    <t>WES of S4</t>
  </si>
  <si>
    <t>HRS1029915 (SAMC3323269)</t>
  </si>
  <si>
    <t xml:space="preserve">HRS1029915 </t>
  </si>
  <si>
    <t>P1_B</t>
  </si>
  <si>
    <t>P1 Blood control</t>
  </si>
  <si>
    <t>HRR1493846_r2.fastq.gz (7.34 GB)</t>
  </si>
  <si>
    <t>HRX1166111</t>
  </si>
  <si>
    <t>WES of S5</t>
  </si>
  <si>
    <t>HRS1029916 (SAMC3323270)</t>
  </si>
  <si>
    <t xml:space="preserve">HRS1029916 </t>
  </si>
  <si>
    <t>P1C1_O</t>
  </si>
  <si>
    <t>P1C1 Organoid</t>
  </si>
  <si>
    <t>P1C1</t>
  </si>
  <si>
    <t>HRR1493847_r2.fastq.gz (5.70 GB)</t>
  </si>
  <si>
    <t>HRX1166112</t>
  </si>
  <si>
    <t>WES of S6</t>
  </si>
  <si>
    <t>HRS1029917 (SAMC3323271)</t>
  </si>
  <si>
    <t xml:space="preserve">HRS1029917 </t>
  </si>
  <si>
    <t>P1C2_O</t>
  </si>
  <si>
    <t>P1C2 Organoid</t>
  </si>
  <si>
    <t>HRR1493848_r2.fastq.gz (6.06 GB)</t>
  </si>
  <si>
    <t>HRX1166113</t>
  </si>
  <si>
    <t>WES of S7</t>
  </si>
  <si>
    <t>HRS1029918 (SAMC3323272)</t>
  </si>
  <si>
    <t xml:space="preserve">HRS1029918 </t>
  </si>
  <si>
    <t>P1C4_O</t>
  </si>
  <si>
    <t>P1C4 Organoid</t>
  </si>
  <si>
    <t>P1C4</t>
  </si>
  <si>
    <t>HRR1493849_r2.fastq.gz (5.99 GB)</t>
  </si>
  <si>
    <t>HRX1166114</t>
  </si>
  <si>
    <t>WES of S8</t>
  </si>
  <si>
    <t>HRS1029919 (SAMC3323273)</t>
  </si>
  <si>
    <t xml:space="preserve">HRS1029919 </t>
  </si>
  <si>
    <t>P1C1_T</t>
  </si>
  <si>
    <t>P1C1 Tumor lesion</t>
  </si>
  <si>
    <t>HRR1493850_r2.fastq.gz (5.64 GB)</t>
  </si>
  <si>
    <t>HRX1166115</t>
  </si>
  <si>
    <t>WES of S9</t>
  </si>
  <si>
    <t>HRS1029920 (SAMC3323274)</t>
  </si>
  <si>
    <t xml:space="preserve">HRS1029920 </t>
  </si>
  <si>
    <t>P1C4_T</t>
  </si>
  <si>
    <t>P1C4 Tumor lesion</t>
  </si>
  <si>
    <t>HRR1493851_r2.fastq.gz (5.96 GB)</t>
  </si>
  <si>
    <t>HRX1166116</t>
  </si>
  <si>
    <t>WES of S10</t>
  </si>
  <si>
    <t>HRR1493852_r2.fastq.gz (8.21 GB)</t>
  </si>
  <si>
    <t>HRX1166117</t>
  </si>
  <si>
    <t>WES of S11</t>
  </si>
  <si>
    <t>HRR1493853_r2.fastq.gz (7.15 GB)</t>
  </si>
  <si>
    <t>HRX1166118</t>
  </si>
  <si>
    <t>WES of S12</t>
  </si>
  <si>
    <t>HRR1493854_r2.fastq.gz (6.34 GB)</t>
  </si>
  <si>
    <t>HRX1166119</t>
  </si>
  <si>
    <t>WES of S13</t>
  </si>
  <si>
    <t>HRR1493855_r2.fastq.gz (7.62 GB)</t>
  </si>
  <si>
    <t>HRX1166120</t>
  </si>
  <si>
    <t>WES of S14</t>
  </si>
  <si>
    <t>HRR1493856_r2.fastq.gz (6.21 GB)</t>
  </si>
  <si>
    <t>HRX1166121</t>
  </si>
  <si>
    <t>WES of S15</t>
  </si>
  <si>
    <t>HRR1493857_r2.fastq.gz (5.78 GB)</t>
  </si>
  <si>
    <t>HRX1166122</t>
  </si>
  <si>
    <t>WES of S19</t>
  </si>
  <si>
    <t>HRR1493858_r2.fastq.gz (7.64 GB)</t>
  </si>
  <si>
    <t>HRX1166123</t>
  </si>
  <si>
    <t>WES of S20</t>
  </si>
  <si>
    <t>HRR1493859_r2.fastq.gz (8.11 GB)</t>
  </si>
  <si>
    <t>HRX1166124</t>
  </si>
  <si>
    <t>WES of S17</t>
  </si>
  <si>
    <t>HRR1493860_r2.fastq.gz (8.45 GB)</t>
  </si>
  <si>
    <t>HRX1166125</t>
  </si>
  <si>
    <t>WES of S16</t>
  </si>
  <si>
    <t>HRR1493861_r2.fastq.gz (7.90 GB)</t>
  </si>
  <si>
    <t>HRX1166126</t>
  </si>
  <si>
    <t>WES of S22</t>
  </si>
  <si>
    <t>HRR1493862_r2.fastq.gz (8.54 GB)</t>
  </si>
  <si>
    <t>HRX1166127</t>
  </si>
  <si>
    <t>WES of S23</t>
  </si>
  <si>
    <t>HRS1029934 (SAMC3323288)</t>
  </si>
  <si>
    <t xml:space="preserve">HRS1029934 </t>
  </si>
  <si>
    <t>P3C3_T</t>
  </si>
  <si>
    <t>P3C3 Tumor lesion</t>
  </si>
  <si>
    <t>HRR1493863_r2.fastq.gz (7.77 GB)</t>
  </si>
  <si>
    <t>HRX1166128</t>
  </si>
  <si>
    <t>WES of S24</t>
  </si>
  <si>
    <t>HRS1029935 (SAMC3323289)</t>
  </si>
  <si>
    <t xml:space="preserve">HRS1029935 </t>
  </si>
  <si>
    <t>P3C4_T</t>
  </si>
  <si>
    <t>P3C4 Tumor lesion</t>
  </si>
  <si>
    <t>HRR1493864_r2.fastq.gz (7.76 GB)</t>
  </si>
  <si>
    <t>HRX1166129</t>
  </si>
  <si>
    <t>WES of S25</t>
  </si>
  <si>
    <t>HRS1029936 (SAMC3323290)</t>
  </si>
  <si>
    <t xml:space="preserve">HRS1029936 </t>
  </si>
  <si>
    <t>P3_N</t>
  </si>
  <si>
    <t>P3 Normal control</t>
  </si>
  <si>
    <t>HRR1493865_r2.fastq.gz (9.49 GB)</t>
  </si>
  <si>
    <t>HRX1166130</t>
  </si>
  <si>
    <t>WES of S26</t>
  </si>
  <si>
    <t>HRS1029937 (SAMC3323291)</t>
  </si>
  <si>
    <t xml:space="preserve">HRS1029937 </t>
  </si>
  <si>
    <t>P4C1_O</t>
  </si>
  <si>
    <t>P4C1 Organoid</t>
  </si>
  <si>
    <t>P4</t>
  </si>
  <si>
    <t>P4C1</t>
  </si>
  <si>
    <t>HRR1493866_r2.fastq.gz (8.43 GB)</t>
  </si>
  <si>
    <t>HRX1166131</t>
  </si>
  <si>
    <t>WES of S27</t>
  </si>
  <si>
    <t>HRS1029938 (SAMC3323292)</t>
  </si>
  <si>
    <t xml:space="preserve">HRS1029938 </t>
  </si>
  <si>
    <t>P4C2_O</t>
  </si>
  <si>
    <t>P4C2 Organoid</t>
  </si>
  <si>
    <t>P4C2</t>
  </si>
  <si>
    <t>HRR1493867_r2.fastq.gz (6.66 GB)</t>
  </si>
  <si>
    <t>HRX1166132</t>
  </si>
  <si>
    <t>WES of S28</t>
  </si>
  <si>
    <t>HRS1029939 (SAMC3323293)</t>
  </si>
  <si>
    <t xml:space="preserve">HRS1029939 </t>
  </si>
  <si>
    <t>P4C3_O</t>
  </si>
  <si>
    <t>P4C3 Organoid</t>
  </si>
  <si>
    <t>P4C3</t>
  </si>
  <si>
    <t>HRR1493868_r2.fastq.gz (7.13 GB)</t>
  </si>
  <si>
    <t>HRX1166133</t>
  </si>
  <si>
    <t>WES of S29</t>
  </si>
  <si>
    <t>HRS1029940 (SAMC3323294)</t>
  </si>
  <si>
    <t xml:space="preserve">HRS1029940 </t>
  </si>
  <si>
    <t>P4C1_T</t>
  </si>
  <si>
    <t>P4C1 Tumor lesion</t>
  </si>
  <si>
    <t>HRR1493869_r2.fastq.gz (6.12 GB)</t>
  </si>
  <si>
    <t>HRX1166134</t>
  </si>
  <si>
    <t>WES of S30</t>
  </si>
  <si>
    <t>HRS1029941 (SAMC3323295)</t>
  </si>
  <si>
    <t xml:space="preserve">HRS1029941 </t>
  </si>
  <si>
    <t>P4C2_T</t>
  </si>
  <si>
    <t>P4C2 Tumor lesion</t>
  </si>
  <si>
    <t>HRR1493870_r2.fastq.gz (8.63 GB)</t>
  </si>
  <si>
    <t>HRX1166135</t>
  </si>
  <si>
    <t>WES of S31</t>
  </si>
  <si>
    <t>HRS1029942 (SAMC3323296)</t>
  </si>
  <si>
    <t xml:space="preserve">HRS1029942 </t>
  </si>
  <si>
    <t>P4C3_T</t>
  </si>
  <si>
    <t>P4C3 Tumor lesion</t>
  </si>
  <si>
    <t>HRR1493871_r2.fastq.gz (7.40 GB)</t>
  </si>
  <si>
    <t>HRX1166136</t>
  </si>
  <si>
    <t>WES of S32</t>
  </si>
  <si>
    <t>HRS1029943 (SAMC3323297)</t>
  </si>
  <si>
    <t xml:space="preserve">HRS1029943 </t>
  </si>
  <si>
    <t>P4_N</t>
  </si>
  <si>
    <t>P4 Normal control</t>
  </si>
  <si>
    <t>HRR1493872_r2.fastq.gz (7.60 GB)</t>
  </si>
  <si>
    <t>HRX1166137</t>
  </si>
  <si>
    <t>WES of S37</t>
  </si>
  <si>
    <t>HRS1029948 (SAMC3323302)</t>
  </si>
  <si>
    <t xml:space="preserve">HRS1029948 </t>
  </si>
  <si>
    <t>P5_B</t>
  </si>
  <si>
    <t>P5 Blood control</t>
  </si>
  <si>
    <t>HRR1493873_r2.fastq.gz (8.80 GB)</t>
  </si>
  <si>
    <t>HRX1166138</t>
  </si>
  <si>
    <t>WES of S33</t>
  </si>
  <si>
    <t>HRR1493874_r2.fastq.gz (7.08 GB)</t>
  </si>
  <si>
    <t>HRX1166139</t>
  </si>
  <si>
    <t>WES of S35</t>
  </si>
  <si>
    <t>HRR1493875_r2.fastq.gz (6.90 GB)</t>
  </si>
  <si>
    <t>HRX1166140</t>
  </si>
  <si>
    <t>WES of S38</t>
  </si>
  <si>
    <t>HRS1029949 (SAMC3323303)</t>
  </si>
  <si>
    <t xml:space="preserve">HRS1029949 </t>
  </si>
  <si>
    <t>P5C3_O</t>
  </si>
  <si>
    <t>P5C3 Organoid</t>
  </si>
  <si>
    <t>P5C3</t>
  </si>
  <si>
    <t>HRR1493876_r2.fastq.gz (8.59 GB)</t>
  </si>
  <si>
    <t>HRX1166141</t>
  </si>
  <si>
    <t>WES of S34</t>
  </si>
  <si>
    <t>HRR1493877_r2.fastq.gz (7.82 GB)</t>
  </si>
  <si>
    <t>HRX1166142</t>
  </si>
  <si>
    <t>WES of S36</t>
  </si>
  <si>
    <t>HRR1493878_r2.fastq.gz (13.54 GB)</t>
  </si>
  <si>
    <t>HRX1166143</t>
  </si>
  <si>
    <t>WES of S39</t>
  </si>
  <si>
    <t>HRS1029950 (SAMC3323304)</t>
  </si>
  <si>
    <t xml:space="preserve">HRS1029950 </t>
  </si>
  <si>
    <t>P5C3_T</t>
  </si>
  <si>
    <t>P5C3 Tumor lesion</t>
  </si>
  <si>
    <t>HRR1493879_r2.fastq.gz (6.69 GB)</t>
  </si>
  <si>
    <t>HRX1166144</t>
  </si>
  <si>
    <t>WES of S44</t>
  </si>
  <si>
    <t>HRR1493880_r2.fastq.gz (4.86 GB)</t>
  </si>
  <si>
    <t>HRX1166145</t>
  </si>
  <si>
    <t>WES of S45</t>
  </si>
  <si>
    <t>HRR1493881_r2.fastq.gz (6.98 GB)</t>
  </si>
  <si>
    <t>No</t>
  </si>
  <si>
    <t>Resistant</t>
  </si>
  <si>
    <t>Yes</t>
  </si>
  <si>
    <t>HRR1494221_r2.fastq.gz (1.84 GB)</t>
    <phoneticPr fontId="7" type="noConversion"/>
  </si>
  <si>
    <t>实验编号</t>
    <phoneticPr fontId="7" type="noConversion"/>
  </si>
  <si>
    <t>实验标题</t>
    <phoneticPr fontId="7" type="noConversion"/>
  </si>
  <si>
    <t>测序平台</t>
    <phoneticPr fontId="7" type="noConversion"/>
  </si>
  <si>
    <t>样本编号</t>
    <phoneticPr fontId="7" type="noConversion"/>
  </si>
  <si>
    <t>样本名字</t>
    <phoneticPr fontId="7" type="noConversion"/>
  </si>
  <si>
    <t>样本类型</t>
    <phoneticPr fontId="7" type="noConversion"/>
  </si>
  <si>
    <t>患者编号</t>
    <phoneticPr fontId="7" type="noConversion"/>
  </si>
  <si>
    <t>临床患者的药敏信息</t>
    <phoneticPr fontId="7" type="noConversion"/>
  </si>
  <si>
    <t>Organoid</t>
  </si>
  <si>
    <t>Tumorlesion</t>
  </si>
  <si>
    <t>AdjacentLiver-derivedOrganoid</t>
  </si>
  <si>
    <t>AdjacentLiver</t>
  </si>
  <si>
    <t>Earlypassageorganoid</t>
  </si>
  <si>
    <t>Latepassageorganoid</t>
  </si>
  <si>
    <t>类型</t>
    <phoneticPr fontId="7" type="noConversion"/>
  </si>
  <si>
    <t>Normalcontrol</t>
  </si>
  <si>
    <t>Bloodcontrol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</si>
</sst>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2"/>
      <color theme="0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>
      <alignment vertical="center"/>
    </xf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0" xfId="1" applyFont="1" applyAlignment="1">
      <alignment horizontal="center" vertical="center"/>
    </xf>
    <xf numFmtId="0" fontId="3" fillId="3" borderId="0" xfId="1" applyFont="1" applyFill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5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" fillId="5" borderId="1" xfId="0" applyFont="1" applyFill="1" applyBorder="1" applyAlignment="1">
      <alignment horizontal="center" vertical="top"/>
    </xf>
    <xf numFmtId="0" fontId="1" fillId="5" borderId="0" xfId="0" applyFont="1" applyFill="1" applyAlignment="1">
      <alignment horizontal="center" vertical="top"/>
    </xf>
    <xf numFmtId="0" fontId="0" fillId="5" borderId="0" xfId="0" applyFill="1"/>
    <xf numFmtId="0" fontId="5" fillId="5" borderId="0" xfId="0" applyFont="1" applyFill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ocuments/WeChat/WeChat%20Files/wxid_j3329emj02xl22/FileStorage/File/2024-10/mmc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ocuments/WeChat/WeChat%20Files/wxid_j3329emj02xl22/FileStorage/File/2024-10/mmc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S6"/>
    </sheetNames>
    <sheetDataSet>
      <sheetData sheetId="0">
        <row r="1">
          <cell r="B1" t="str">
            <v>Lenvatinib</v>
          </cell>
          <cell r="G1" t="str">
            <v>Sorafenib</v>
          </cell>
          <cell r="L1" t="str">
            <v>Regorafenib</v>
          </cell>
          <cell r="Q1" t="str">
            <v>Apatinib</v>
          </cell>
          <cell r="V1" t="str">
            <v>Bevacizumab</v>
          </cell>
          <cell r="AA1" t="str">
            <v>Pemigatinib</v>
          </cell>
          <cell r="AF1" t="str">
            <v>Ivosidenib</v>
          </cell>
        </row>
        <row r="2">
          <cell r="A2" t="str">
            <v>PDO</v>
          </cell>
          <cell r="B2" t="str">
            <v>Total Area</v>
          </cell>
          <cell r="C2" t="str">
            <v>Normalized AUC</v>
          </cell>
          <cell r="D2" t="str">
            <v>IC50 (μM)</v>
          </cell>
          <cell r="E2" t="str">
            <v>Sensitive</v>
          </cell>
          <cell r="G2" t="str">
            <v>Total Area</v>
          </cell>
          <cell r="H2" t="str">
            <v>Normalized AUC</v>
          </cell>
          <cell r="I2" t="str">
            <v>IC50 (μM)</v>
          </cell>
          <cell r="J2" t="str">
            <v>Sensitive</v>
          </cell>
          <cell r="L2" t="str">
            <v>Total Area</v>
          </cell>
          <cell r="M2" t="str">
            <v>Normalized AUC</v>
          </cell>
          <cell r="N2" t="str">
            <v>IC50 (μM)</v>
          </cell>
          <cell r="O2" t="str">
            <v>Sensitive</v>
          </cell>
          <cell r="Q2" t="str">
            <v>Total Area</v>
          </cell>
          <cell r="R2" t="str">
            <v>Normalized AUC</v>
          </cell>
          <cell r="S2" t="str">
            <v>IC50 (μM)</v>
          </cell>
          <cell r="T2" t="str">
            <v>Sensitive</v>
          </cell>
          <cell r="V2" t="str">
            <v>Total Area</v>
          </cell>
          <cell r="W2" t="str">
            <v>Normalized AUC</v>
          </cell>
          <cell r="X2" t="str">
            <v>IC50 (μM)</v>
          </cell>
          <cell r="Y2" t="str">
            <v>Sensitive</v>
          </cell>
          <cell r="AA2" t="str">
            <v>Total Area</v>
          </cell>
          <cell r="AB2" t="str">
            <v>Normalized AUC</v>
          </cell>
          <cell r="AC2" t="str">
            <v>IC50 (μM)</v>
          </cell>
          <cell r="AD2" t="str">
            <v>Sensitive</v>
          </cell>
          <cell r="AF2" t="str">
            <v>Total Area</v>
          </cell>
          <cell r="AG2" t="str">
            <v>Normalized AUC</v>
          </cell>
          <cell r="AH2" t="str">
            <v>IC50 (μM)</v>
          </cell>
          <cell r="AI2" t="str">
            <v>Sensitive</v>
          </cell>
        </row>
        <row r="3">
          <cell r="A3" t="str">
            <v>P1C1</v>
          </cell>
          <cell r="B3">
            <v>360</v>
          </cell>
          <cell r="C3">
            <v>0.76612045115982097</v>
          </cell>
          <cell r="D3">
            <v>8.0489999999999995</v>
          </cell>
          <cell r="E3" t="str">
            <v>No</v>
          </cell>
          <cell r="G3">
            <v>372.4</v>
          </cell>
          <cell r="H3">
            <v>0.792509044477548</v>
          </cell>
          <cell r="I3">
            <v>7.6829999999999998</v>
          </cell>
          <cell r="J3" t="str">
            <v>No</v>
          </cell>
          <cell r="L3">
            <v>362.9</v>
          </cell>
          <cell r="M3">
            <v>0.77229197701638597</v>
          </cell>
          <cell r="N3">
            <v>15.36</v>
          </cell>
          <cell r="O3" t="str">
            <v>No</v>
          </cell>
          <cell r="Q3">
            <v>385.8</v>
          </cell>
          <cell r="R3">
            <v>0.82102575015960799</v>
          </cell>
          <cell r="S3">
            <v>14.88</v>
          </cell>
          <cell r="T3" t="str">
            <v>No</v>
          </cell>
          <cell r="V3">
            <v>381</v>
          </cell>
          <cell r="W3">
            <v>0.81081081081081097</v>
          </cell>
          <cell r="X3">
            <v>20.53</v>
          </cell>
          <cell r="Y3" t="str">
            <v>No</v>
          </cell>
          <cell r="AA3">
            <v>397.2</v>
          </cell>
          <cell r="AB3">
            <v>0.84528623111300305</v>
          </cell>
          <cell r="AC3">
            <v>77.680000000000007</v>
          </cell>
          <cell r="AD3" t="str">
            <v>No</v>
          </cell>
          <cell r="AF3">
            <v>391.8</v>
          </cell>
          <cell r="AG3">
            <v>0.83379442434560502</v>
          </cell>
          <cell r="AH3">
            <v>45.85</v>
          </cell>
          <cell r="AI3" t="str">
            <v>No</v>
          </cell>
        </row>
        <row r="4">
          <cell r="A4" t="str">
            <v>P1C2</v>
          </cell>
          <cell r="B4">
            <v>341.7</v>
          </cell>
          <cell r="C4">
            <v>0.72717599489253004</v>
          </cell>
          <cell r="D4">
            <v>5.5570000000000004</v>
          </cell>
          <cell r="E4" t="str">
            <v>No</v>
          </cell>
          <cell r="G4">
            <v>381.9</v>
          </cell>
          <cell r="H4">
            <v>0.81272611193871003</v>
          </cell>
          <cell r="I4">
            <v>9.4979999999999993</v>
          </cell>
          <cell r="J4" t="str">
            <v>No</v>
          </cell>
          <cell r="L4">
            <v>365</v>
          </cell>
          <cell r="M4">
            <v>0.77676101298148503</v>
          </cell>
          <cell r="N4">
            <v>20.82</v>
          </cell>
          <cell r="O4" t="str">
            <v>No</v>
          </cell>
          <cell r="Q4">
            <v>387.8</v>
          </cell>
          <cell r="R4">
            <v>0.82528197488827404</v>
          </cell>
          <cell r="S4">
            <v>15.89</v>
          </cell>
          <cell r="T4" t="str">
            <v>No</v>
          </cell>
          <cell r="V4">
            <v>350.6</v>
          </cell>
          <cell r="W4">
            <v>0.74611619493509296</v>
          </cell>
          <cell r="X4">
            <v>9.4969999999999999</v>
          </cell>
          <cell r="Y4" t="str">
            <v>No</v>
          </cell>
          <cell r="AA4">
            <v>421.3</v>
          </cell>
          <cell r="AB4">
            <v>0.89657373909342397</v>
          </cell>
          <cell r="AC4">
            <v>101.5</v>
          </cell>
          <cell r="AD4" t="str">
            <v>No</v>
          </cell>
          <cell r="AF4">
            <v>381.3</v>
          </cell>
          <cell r="AG4">
            <v>0.81144924452011102</v>
          </cell>
          <cell r="AH4">
            <v>35.18</v>
          </cell>
          <cell r="AI4" t="str">
            <v>No</v>
          </cell>
        </row>
        <row r="5">
          <cell r="A5" t="str">
            <v>P1C3</v>
          </cell>
          <cell r="B5">
            <v>405.3</v>
          </cell>
          <cell r="C5">
            <v>0.86252394126409904</v>
          </cell>
          <cell r="D5">
            <v>15.35</v>
          </cell>
          <cell r="E5" t="str">
            <v>No</v>
          </cell>
          <cell r="G5">
            <v>347.5</v>
          </cell>
          <cell r="H5">
            <v>0.73951904660566103</v>
          </cell>
          <cell r="I5">
            <v>4.88</v>
          </cell>
          <cell r="J5" t="str">
            <v>No</v>
          </cell>
          <cell r="L5">
            <v>433.9</v>
          </cell>
          <cell r="M5">
            <v>0.92338795488401804</v>
          </cell>
          <cell r="N5">
            <v>47.88</v>
          </cell>
          <cell r="O5" t="str">
            <v>No</v>
          </cell>
          <cell r="Q5">
            <v>377.4</v>
          </cell>
          <cell r="R5">
            <v>0.80314960629921295</v>
          </cell>
          <cell r="S5">
            <v>10.83</v>
          </cell>
          <cell r="T5" t="str">
            <v>No</v>
          </cell>
          <cell r="V5">
            <v>426</v>
          </cell>
          <cell r="W5">
            <v>0.90657586720578898</v>
          </cell>
          <cell r="X5">
            <v>35.96</v>
          </cell>
          <cell r="Y5" t="str">
            <v>No</v>
          </cell>
          <cell r="AA5">
            <v>456.8</v>
          </cell>
          <cell r="AB5">
            <v>0.97212172802723995</v>
          </cell>
          <cell r="AC5">
            <v>166.2</v>
          </cell>
          <cell r="AD5" t="str">
            <v>No</v>
          </cell>
          <cell r="AF5">
            <v>462.2</v>
          </cell>
          <cell r="AG5">
            <v>0.98361353479463698</v>
          </cell>
          <cell r="AH5">
            <v>237.3</v>
          </cell>
          <cell r="AI5" t="str">
            <v>No</v>
          </cell>
        </row>
        <row r="6">
          <cell r="A6" t="str">
            <v>P1C4</v>
          </cell>
          <cell r="B6">
            <v>332.7</v>
          </cell>
          <cell r="C6">
            <v>0.708022983613535</v>
          </cell>
          <cell r="D6">
            <v>4.37</v>
          </cell>
          <cell r="E6" t="str">
            <v>No</v>
          </cell>
          <cell r="G6">
            <v>327.7</v>
          </cell>
          <cell r="H6">
            <v>0.69738242179187104</v>
          </cell>
          <cell r="I6">
            <v>2.6459999999999999</v>
          </cell>
          <cell r="J6" t="str">
            <v>Yes</v>
          </cell>
          <cell r="L6">
            <v>326.7</v>
          </cell>
          <cell r="M6">
            <v>0.69525430942753796</v>
          </cell>
          <cell r="N6">
            <v>2.56</v>
          </cell>
          <cell r="O6" t="str">
            <v>Yes</v>
          </cell>
          <cell r="Q6">
            <v>363.1</v>
          </cell>
          <cell r="R6">
            <v>0.772717599489253</v>
          </cell>
          <cell r="S6">
            <v>7.5679999999999996</v>
          </cell>
          <cell r="T6" t="str">
            <v>No</v>
          </cell>
          <cell r="V6">
            <v>392.3</v>
          </cell>
          <cell r="W6">
            <v>0.83485848052777201</v>
          </cell>
          <cell r="X6">
            <v>27.27</v>
          </cell>
          <cell r="Y6" t="str">
            <v>No</v>
          </cell>
          <cell r="AA6">
            <v>417.6</v>
          </cell>
          <cell r="AB6">
            <v>0.88869972334539304</v>
          </cell>
          <cell r="AC6">
            <v>89.58</v>
          </cell>
          <cell r="AD6" t="str">
            <v>No</v>
          </cell>
          <cell r="AF6">
            <v>418.9</v>
          </cell>
          <cell r="AG6">
            <v>0.89146626941902496</v>
          </cell>
          <cell r="AH6">
            <v>63.05</v>
          </cell>
          <cell r="AI6" t="str">
            <v>No</v>
          </cell>
        </row>
        <row r="7">
          <cell r="A7" t="str">
            <v>P2C1</v>
          </cell>
          <cell r="B7">
            <v>358.8</v>
          </cell>
          <cell r="C7">
            <v>0.76356671632262196</v>
          </cell>
          <cell r="D7">
            <v>7.5819999999999999</v>
          </cell>
          <cell r="E7" t="str">
            <v>No</v>
          </cell>
          <cell r="G7">
            <v>363.2</v>
          </cell>
          <cell r="H7">
            <v>0.77293041072568602</v>
          </cell>
          <cell r="I7">
            <v>12.28</v>
          </cell>
          <cell r="J7" t="str">
            <v>No</v>
          </cell>
          <cell r="L7">
            <v>397.5</v>
          </cell>
          <cell r="M7">
            <v>0.845924664822303</v>
          </cell>
          <cell r="N7">
            <v>33.49</v>
          </cell>
          <cell r="O7" t="str">
            <v>No</v>
          </cell>
          <cell r="Q7">
            <v>376.4</v>
          </cell>
          <cell r="R7">
            <v>0.80102149393487998</v>
          </cell>
          <cell r="S7">
            <v>13.37</v>
          </cell>
          <cell r="T7" t="str">
            <v>No</v>
          </cell>
          <cell r="V7">
            <v>339.1</v>
          </cell>
          <cell r="W7">
            <v>0.72164290274526499</v>
          </cell>
          <cell r="X7">
            <v>4.8550000000000004</v>
          </cell>
          <cell r="Y7" t="str">
            <v>No</v>
          </cell>
          <cell r="AA7">
            <v>425.6</v>
          </cell>
          <cell r="AB7">
            <v>0.90572462226005501</v>
          </cell>
          <cell r="AC7">
            <v>221.5</v>
          </cell>
          <cell r="AD7" t="str">
            <v>No</v>
          </cell>
          <cell r="AF7">
            <v>427.4</v>
          </cell>
          <cell r="AG7">
            <v>0.90955522451585402</v>
          </cell>
          <cell r="AH7">
            <v>81.17</v>
          </cell>
          <cell r="AI7" t="str">
            <v>No</v>
          </cell>
        </row>
        <row r="8">
          <cell r="A8" t="str">
            <v>P2C2</v>
          </cell>
          <cell r="B8">
            <v>395.6</v>
          </cell>
          <cell r="C8">
            <v>0.84188125133006997</v>
          </cell>
          <cell r="D8">
            <v>121.7</v>
          </cell>
          <cell r="E8" t="str">
            <v>No</v>
          </cell>
          <cell r="G8">
            <v>368.4</v>
          </cell>
          <cell r="H8">
            <v>0.78399659502021701</v>
          </cell>
          <cell r="I8">
            <v>9.2349999999999994</v>
          </cell>
          <cell r="J8" t="str">
            <v>No</v>
          </cell>
          <cell r="L8">
            <v>413.2</v>
          </cell>
          <cell r="M8">
            <v>0.87933602894232799</v>
          </cell>
          <cell r="N8">
            <v>34.369999999999997</v>
          </cell>
          <cell r="O8" t="str">
            <v>No</v>
          </cell>
          <cell r="Q8">
            <v>349.1</v>
          </cell>
          <cell r="R8">
            <v>0.74292402638859301</v>
          </cell>
          <cell r="S8">
            <v>9.0220000000000002</v>
          </cell>
          <cell r="T8" t="str">
            <v>No</v>
          </cell>
          <cell r="V8">
            <v>392</v>
          </cell>
          <cell r="W8">
            <v>0.83422004681847195</v>
          </cell>
          <cell r="X8">
            <v>20.86</v>
          </cell>
          <cell r="Y8" t="str">
            <v>No</v>
          </cell>
          <cell r="AA8">
            <v>390.6</v>
          </cell>
          <cell r="AB8">
            <v>0.83124068950840602</v>
          </cell>
          <cell r="AC8">
            <v>77.680000000000007</v>
          </cell>
          <cell r="AD8" t="str">
            <v>No</v>
          </cell>
          <cell r="AF8">
            <v>384.3</v>
          </cell>
          <cell r="AG8">
            <v>0.81783358161310904</v>
          </cell>
          <cell r="AH8">
            <v>44.76</v>
          </cell>
          <cell r="AI8" t="str">
            <v>No</v>
          </cell>
        </row>
        <row r="9">
          <cell r="A9" t="str">
            <v>P2C3</v>
          </cell>
          <cell r="B9">
            <v>364.6</v>
          </cell>
          <cell r="C9">
            <v>0.77590976803575196</v>
          </cell>
          <cell r="D9">
            <v>5.6289999999999996</v>
          </cell>
          <cell r="E9" t="str">
            <v>No</v>
          </cell>
          <cell r="G9">
            <v>320.89999999999998</v>
          </cell>
          <cell r="H9">
            <v>0.68291125771440697</v>
          </cell>
          <cell r="I9">
            <v>2.08</v>
          </cell>
          <cell r="J9" t="str">
            <v>Yes</v>
          </cell>
          <cell r="L9">
            <v>364.4</v>
          </cell>
          <cell r="M9">
            <v>0.77548414556288603</v>
          </cell>
          <cell r="N9">
            <v>4.4119999999999999</v>
          </cell>
          <cell r="O9" t="str">
            <v>No</v>
          </cell>
          <cell r="Q9">
            <v>355.3</v>
          </cell>
          <cell r="R9">
            <v>0.75611832304745696</v>
          </cell>
          <cell r="S9">
            <v>5.6790000000000003</v>
          </cell>
          <cell r="T9" t="str">
            <v>No</v>
          </cell>
          <cell r="V9">
            <v>442.8</v>
          </cell>
          <cell r="W9">
            <v>0.94232815492657995</v>
          </cell>
          <cell r="X9">
            <v>79.819999999999993</v>
          </cell>
          <cell r="Y9" t="str">
            <v>No</v>
          </cell>
          <cell r="AA9">
            <v>453.6</v>
          </cell>
          <cell r="AB9">
            <v>0.96531176846137501</v>
          </cell>
          <cell r="AC9">
            <v>156.19999999999999</v>
          </cell>
          <cell r="AD9" t="str">
            <v>No</v>
          </cell>
          <cell r="AF9">
            <v>457.2</v>
          </cell>
          <cell r="AG9">
            <v>0.97297297297297303</v>
          </cell>
          <cell r="AH9">
            <v>150.9</v>
          </cell>
          <cell r="AI9" t="str">
            <v>No</v>
          </cell>
        </row>
        <row r="10">
          <cell r="A10" t="str">
            <v>P2C4</v>
          </cell>
          <cell r="B10">
            <v>398.2</v>
          </cell>
          <cell r="C10">
            <v>0.84741434347733602</v>
          </cell>
          <cell r="D10">
            <v>38.25</v>
          </cell>
          <cell r="E10" t="str">
            <v>No</v>
          </cell>
          <cell r="G10">
            <v>349.5</v>
          </cell>
          <cell r="H10">
            <v>0.74377527133432697</v>
          </cell>
          <cell r="I10">
            <v>4.6710000000000003</v>
          </cell>
          <cell r="J10" t="str">
            <v>No</v>
          </cell>
          <cell r="L10">
            <v>325.39999999999998</v>
          </cell>
          <cell r="M10">
            <v>0.69248776335390505</v>
          </cell>
          <cell r="N10">
            <v>2.1970000000000001</v>
          </cell>
          <cell r="O10" t="str">
            <v>Yes</v>
          </cell>
          <cell r="Q10">
            <v>322.7</v>
          </cell>
          <cell r="R10">
            <v>0.68674185997020598</v>
          </cell>
          <cell r="S10">
            <v>1.841</v>
          </cell>
          <cell r="T10" t="str">
            <v>Yes</v>
          </cell>
          <cell r="V10">
            <v>365.2</v>
          </cell>
          <cell r="W10">
            <v>0.77718663545435196</v>
          </cell>
          <cell r="X10">
            <v>11.57</v>
          </cell>
          <cell r="Y10" t="str">
            <v>No</v>
          </cell>
          <cell r="AA10">
            <v>409.9</v>
          </cell>
          <cell r="AB10">
            <v>0.87231325814003002</v>
          </cell>
          <cell r="AC10">
            <v>85.21</v>
          </cell>
          <cell r="AD10" t="str">
            <v>No</v>
          </cell>
          <cell r="AF10">
            <v>407.2</v>
          </cell>
          <cell r="AG10">
            <v>0.86656735475633095</v>
          </cell>
          <cell r="AH10">
            <v>110</v>
          </cell>
          <cell r="AI10" t="str">
            <v>No</v>
          </cell>
        </row>
        <row r="11">
          <cell r="A11" t="str">
            <v>P2C5</v>
          </cell>
          <cell r="B11">
            <v>411.1</v>
          </cell>
          <cell r="C11">
            <v>0.87486699297722903</v>
          </cell>
          <cell r="D11">
            <v>31.31</v>
          </cell>
          <cell r="E11" t="str">
            <v>No</v>
          </cell>
          <cell r="G11">
            <v>324.7</v>
          </cell>
          <cell r="H11">
            <v>0.69099808469887203</v>
          </cell>
          <cell r="I11">
            <v>2.1800000000000002</v>
          </cell>
          <cell r="J11" t="str">
            <v>Yes</v>
          </cell>
          <cell r="L11">
            <v>361.2</v>
          </cell>
          <cell r="M11">
            <v>0.76867418599702098</v>
          </cell>
          <cell r="N11">
            <v>4.1059999999999999</v>
          </cell>
          <cell r="O11" t="str">
            <v>No</v>
          </cell>
          <cell r="Q11">
            <v>321.8</v>
          </cell>
          <cell r="R11">
            <v>0.68482655884230703</v>
          </cell>
          <cell r="S11">
            <v>2.1989999999999998</v>
          </cell>
          <cell r="T11" t="str">
            <v>Yes</v>
          </cell>
          <cell r="V11">
            <v>434.7</v>
          </cell>
          <cell r="W11">
            <v>0.92509044477548397</v>
          </cell>
          <cell r="X11">
            <v>66.05</v>
          </cell>
          <cell r="Y11" t="str">
            <v>No</v>
          </cell>
          <cell r="AA11">
            <v>453.6</v>
          </cell>
          <cell r="AB11">
            <v>0.96531176846137501</v>
          </cell>
          <cell r="AC11">
            <v>172.5</v>
          </cell>
          <cell r="AD11" t="str">
            <v>No</v>
          </cell>
          <cell r="AF11">
            <v>438</v>
          </cell>
          <cell r="AG11">
            <v>0.93211321557778304</v>
          </cell>
          <cell r="AH11">
            <v>59.73</v>
          </cell>
          <cell r="AI11" t="str">
            <v>No</v>
          </cell>
        </row>
        <row r="12">
          <cell r="A12" t="str">
            <v>P3C1</v>
          </cell>
          <cell r="B12">
            <v>362.2</v>
          </cell>
          <cell r="C12">
            <v>0.77080229836135306</v>
          </cell>
          <cell r="D12">
            <v>6.577</v>
          </cell>
          <cell r="E12" t="str">
            <v>No</v>
          </cell>
          <cell r="G12">
            <v>348.1</v>
          </cell>
          <cell r="H12">
            <v>0.74079591402426104</v>
          </cell>
          <cell r="I12">
            <v>3.1789999999999998</v>
          </cell>
          <cell r="J12" t="str">
            <v>No</v>
          </cell>
          <cell r="L12">
            <v>332</v>
          </cell>
          <cell r="M12">
            <v>0.70653330495850197</v>
          </cell>
          <cell r="N12">
            <v>2.2690000000000001</v>
          </cell>
          <cell r="O12" t="str">
            <v>No</v>
          </cell>
          <cell r="Q12">
            <v>404.4</v>
          </cell>
          <cell r="R12">
            <v>0.86060864013619898</v>
          </cell>
          <cell r="S12">
            <v>21.1</v>
          </cell>
          <cell r="T12" t="str">
            <v>No</v>
          </cell>
          <cell r="V12">
            <v>454.7</v>
          </cell>
          <cell r="W12">
            <v>0.967652692062141</v>
          </cell>
          <cell r="X12">
            <v>570</v>
          </cell>
          <cell r="Y12" t="str">
            <v>No</v>
          </cell>
          <cell r="AA12">
            <v>332.3</v>
          </cell>
          <cell r="AB12">
            <v>0.70717173866780203</v>
          </cell>
          <cell r="AC12">
            <v>2.516</v>
          </cell>
          <cell r="AD12" t="str">
            <v>No</v>
          </cell>
          <cell r="AF12">
            <v>443.4</v>
          </cell>
          <cell r="AG12">
            <v>0.94360502234517996</v>
          </cell>
          <cell r="AH12">
            <v>62.8</v>
          </cell>
          <cell r="AI12" t="str">
            <v>No</v>
          </cell>
        </row>
        <row r="13">
          <cell r="A13" t="str">
            <v>P3C2</v>
          </cell>
          <cell r="B13">
            <v>380.7</v>
          </cell>
          <cell r="C13">
            <v>0.81017237710151102</v>
          </cell>
          <cell r="D13">
            <v>13.49</v>
          </cell>
          <cell r="E13" t="str">
            <v>No</v>
          </cell>
          <cell r="G13">
            <v>338.3</v>
          </cell>
          <cell r="H13">
            <v>0.71994041285379895</v>
          </cell>
          <cell r="I13">
            <v>2.4849999999999999</v>
          </cell>
          <cell r="J13" t="str">
            <v>No</v>
          </cell>
          <cell r="L13">
            <v>327.9</v>
          </cell>
          <cell r="M13">
            <v>0.69780804426473697</v>
          </cell>
          <cell r="N13">
            <v>2.411</v>
          </cell>
          <cell r="O13" t="str">
            <v>Yes</v>
          </cell>
          <cell r="Q13">
            <v>390.3</v>
          </cell>
          <cell r="R13">
            <v>0.83060225579910596</v>
          </cell>
          <cell r="S13">
            <v>19.63</v>
          </cell>
          <cell r="T13" t="str">
            <v>No</v>
          </cell>
          <cell r="V13">
            <v>433.9</v>
          </cell>
          <cell r="W13">
            <v>0.92338795488401804</v>
          </cell>
          <cell r="X13">
            <v>111.3</v>
          </cell>
          <cell r="Y13" t="str">
            <v>No</v>
          </cell>
          <cell r="AA13">
            <v>416.7</v>
          </cell>
          <cell r="AB13">
            <v>0.88678442221749298</v>
          </cell>
          <cell r="AC13">
            <v>45.54</v>
          </cell>
          <cell r="AD13" t="str">
            <v>No</v>
          </cell>
          <cell r="AF13">
            <v>423.6</v>
          </cell>
          <cell r="AG13">
            <v>0.90146839753138996</v>
          </cell>
          <cell r="AH13">
            <v>50.89</v>
          </cell>
          <cell r="AI13" t="str">
            <v>No</v>
          </cell>
        </row>
        <row r="14">
          <cell r="A14" t="str">
            <v>P3C3</v>
          </cell>
          <cell r="B14">
            <v>409.2</v>
          </cell>
          <cell r="C14">
            <v>0.870823579484997</v>
          </cell>
          <cell r="D14">
            <v>22.67</v>
          </cell>
          <cell r="E14" t="str">
            <v>No</v>
          </cell>
          <cell r="G14">
            <v>331.7</v>
          </cell>
          <cell r="H14">
            <v>0.70589487124920203</v>
          </cell>
          <cell r="I14">
            <v>2.5099999999999998</v>
          </cell>
          <cell r="J14" t="str">
            <v>No</v>
          </cell>
          <cell r="L14">
            <v>318</v>
          </cell>
          <cell r="M14">
            <v>0.67673973185784198</v>
          </cell>
          <cell r="N14">
            <v>1.6180000000000001</v>
          </cell>
          <cell r="O14" t="str">
            <v>Yes</v>
          </cell>
          <cell r="Q14">
            <v>384.8</v>
          </cell>
          <cell r="R14">
            <v>0.81889763779527602</v>
          </cell>
          <cell r="S14">
            <v>17.600000000000001</v>
          </cell>
          <cell r="T14" t="str">
            <v>No</v>
          </cell>
          <cell r="V14">
            <v>391.4</v>
          </cell>
          <cell r="W14">
            <v>0.83294317939987195</v>
          </cell>
          <cell r="X14">
            <v>20.57</v>
          </cell>
          <cell r="Y14" t="str">
            <v>No</v>
          </cell>
          <cell r="AA14">
            <v>418.9</v>
          </cell>
          <cell r="AB14">
            <v>0.89146626941902496</v>
          </cell>
          <cell r="AC14">
            <v>41.6</v>
          </cell>
          <cell r="AD14" t="str">
            <v>No</v>
          </cell>
          <cell r="AF14">
            <v>425.9</v>
          </cell>
          <cell r="AG14">
            <v>0.90636305596935496</v>
          </cell>
          <cell r="AH14">
            <v>62.21</v>
          </cell>
          <cell r="AI14" t="str">
            <v>No</v>
          </cell>
        </row>
        <row r="15">
          <cell r="A15" t="str">
            <v>P3C4</v>
          </cell>
          <cell r="B15">
            <v>345.2</v>
          </cell>
          <cell r="C15">
            <v>0.73462438816769504</v>
          </cell>
          <cell r="D15">
            <v>7.0449999999999999</v>
          </cell>
          <cell r="E15" t="str">
            <v>No</v>
          </cell>
          <cell r="G15">
            <v>311.10000000000002</v>
          </cell>
          <cell r="H15">
            <v>0.66205575654394599</v>
          </cell>
          <cell r="I15">
            <v>1.681</v>
          </cell>
          <cell r="J15" t="str">
            <v>Yes</v>
          </cell>
          <cell r="L15">
            <v>307.3</v>
          </cell>
          <cell r="M15">
            <v>0.65396892955948105</v>
          </cell>
          <cell r="N15">
            <v>1.3919999999999999</v>
          </cell>
          <cell r="O15" t="str">
            <v>Yes</v>
          </cell>
          <cell r="Q15">
            <v>361.8</v>
          </cell>
          <cell r="R15">
            <v>0.76995105341561998</v>
          </cell>
          <cell r="S15">
            <v>8.1280000000000001</v>
          </cell>
          <cell r="T15" t="str">
            <v>No</v>
          </cell>
          <cell r="V15">
            <v>396.9</v>
          </cell>
          <cell r="W15">
            <v>0.84464779740370299</v>
          </cell>
          <cell r="X15">
            <v>42.4</v>
          </cell>
          <cell r="Y15" t="str">
            <v>No</v>
          </cell>
          <cell r="AA15">
            <v>388.8</v>
          </cell>
          <cell r="AB15">
            <v>0.82741008725260701</v>
          </cell>
          <cell r="AC15">
            <v>33.54</v>
          </cell>
          <cell r="AD15" t="str">
            <v>No</v>
          </cell>
          <cell r="AF15">
            <v>358.1</v>
          </cell>
          <cell r="AG15">
            <v>0.76207703766758905</v>
          </cell>
          <cell r="AH15">
            <v>10.34</v>
          </cell>
          <cell r="AI15" t="str">
            <v>No</v>
          </cell>
        </row>
        <row r="16">
          <cell r="A16" t="str">
            <v>P3C5</v>
          </cell>
          <cell r="B16">
            <v>362</v>
          </cell>
          <cell r="C16">
            <v>0.77037667588848702</v>
          </cell>
          <cell r="D16">
            <v>7.835</v>
          </cell>
          <cell r="E16" t="str">
            <v>No</v>
          </cell>
          <cell r="G16">
            <v>328.8</v>
          </cell>
          <cell r="H16">
            <v>0.69972334539263703</v>
          </cell>
          <cell r="I16">
            <v>2.5529999999999999</v>
          </cell>
          <cell r="J16" t="str">
            <v>No</v>
          </cell>
          <cell r="L16">
            <v>321.89999999999998</v>
          </cell>
          <cell r="M16">
            <v>0.68503937007874005</v>
          </cell>
          <cell r="N16">
            <v>1.9359999999999999</v>
          </cell>
          <cell r="O16" t="str">
            <v>Yes</v>
          </cell>
          <cell r="Q16">
            <v>315.39999999999998</v>
          </cell>
          <cell r="R16">
            <v>0.67120663971057704</v>
          </cell>
          <cell r="S16">
            <v>1.64</v>
          </cell>
          <cell r="T16" t="str">
            <v>Yes</v>
          </cell>
          <cell r="V16">
            <v>407</v>
          </cell>
          <cell r="W16">
            <v>0.86614173228346503</v>
          </cell>
          <cell r="X16">
            <v>40.89</v>
          </cell>
          <cell r="Y16" t="str">
            <v>No</v>
          </cell>
          <cell r="AA16">
            <v>410.4</v>
          </cell>
          <cell r="AB16">
            <v>0.87337731432219601</v>
          </cell>
          <cell r="AC16">
            <v>45.34</v>
          </cell>
          <cell r="AD16" t="str">
            <v>No</v>
          </cell>
          <cell r="AF16">
            <v>393</v>
          </cell>
          <cell r="AG16">
            <v>0.83634815918280503</v>
          </cell>
          <cell r="AH16">
            <v>20.57</v>
          </cell>
          <cell r="AI16" t="str">
            <v>No</v>
          </cell>
        </row>
        <row r="17">
          <cell r="A17" t="str">
            <v>P4C1</v>
          </cell>
          <cell r="B17">
            <v>368.6</v>
          </cell>
          <cell r="C17">
            <v>0.78442221749308405</v>
          </cell>
          <cell r="D17">
            <v>8.9689999999999994</v>
          </cell>
          <cell r="E17" t="str">
            <v>No</v>
          </cell>
          <cell r="G17">
            <v>328.8</v>
          </cell>
          <cell r="H17">
            <v>0.69972334539263703</v>
          </cell>
          <cell r="I17">
            <v>2.3620000000000001</v>
          </cell>
          <cell r="J17" t="str">
            <v>No</v>
          </cell>
          <cell r="L17">
            <v>289.3</v>
          </cell>
          <cell r="M17">
            <v>0.61566290700148996</v>
          </cell>
          <cell r="N17">
            <v>0.83140000000000003</v>
          </cell>
          <cell r="O17" t="str">
            <v>Yes</v>
          </cell>
          <cell r="Q17">
            <v>406.2</v>
          </cell>
          <cell r="R17">
            <v>0.86443924239199799</v>
          </cell>
          <cell r="S17">
            <v>30.68</v>
          </cell>
          <cell r="T17" t="str">
            <v>No</v>
          </cell>
          <cell r="V17">
            <v>371.6</v>
          </cell>
          <cell r="W17">
            <v>0.79080655458608196</v>
          </cell>
          <cell r="X17">
            <v>14.38</v>
          </cell>
          <cell r="Y17" t="str">
            <v>No</v>
          </cell>
          <cell r="AA17">
            <v>385.5</v>
          </cell>
          <cell r="AB17">
            <v>0.82038731645030905</v>
          </cell>
          <cell r="AC17">
            <v>33.21</v>
          </cell>
          <cell r="AD17" t="str">
            <v>No</v>
          </cell>
          <cell r="AF17">
            <v>396.5</v>
          </cell>
          <cell r="AG17">
            <v>0.84379655245797003</v>
          </cell>
          <cell r="AH17">
            <v>22.96</v>
          </cell>
          <cell r="AI17" t="str">
            <v>No</v>
          </cell>
        </row>
        <row r="18">
          <cell r="A18" t="str">
            <v>P4C2</v>
          </cell>
          <cell r="B18">
            <v>347.1</v>
          </cell>
          <cell r="C18">
            <v>0.73866780165992796</v>
          </cell>
          <cell r="D18">
            <v>6.8659999999999997</v>
          </cell>
          <cell r="E18" t="str">
            <v>No</v>
          </cell>
          <cell r="G18">
            <v>306.7</v>
          </cell>
          <cell r="H18">
            <v>0.65269206214088105</v>
          </cell>
          <cell r="I18">
            <v>1.53</v>
          </cell>
          <cell r="J18" t="str">
            <v>Yes</v>
          </cell>
          <cell r="L18">
            <v>309.39999999999998</v>
          </cell>
          <cell r="M18">
            <v>0.65843796552458</v>
          </cell>
          <cell r="N18">
            <v>1.5649999999999999</v>
          </cell>
          <cell r="O18" t="str">
            <v>Yes</v>
          </cell>
          <cell r="Q18">
            <v>341.2</v>
          </cell>
          <cell r="R18">
            <v>0.72611193871036395</v>
          </cell>
          <cell r="S18">
            <v>3.9830000000000001</v>
          </cell>
          <cell r="T18" t="str">
            <v>No</v>
          </cell>
          <cell r="V18">
            <v>354.9</v>
          </cell>
          <cell r="W18">
            <v>0.755267078101724</v>
          </cell>
          <cell r="X18">
            <v>6.383</v>
          </cell>
          <cell r="Y18" t="str">
            <v>No</v>
          </cell>
          <cell r="AA18">
            <v>399.3</v>
          </cell>
          <cell r="AB18">
            <v>0.84975526707810201</v>
          </cell>
          <cell r="AC18">
            <v>53.54</v>
          </cell>
          <cell r="AD18" t="str">
            <v>No</v>
          </cell>
          <cell r="AF18">
            <v>387.4</v>
          </cell>
          <cell r="AG18">
            <v>0.82443072994254096</v>
          </cell>
          <cell r="AH18">
            <v>24.5</v>
          </cell>
          <cell r="AI18" t="str">
            <v>No</v>
          </cell>
        </row>
        <row r="19">
          <cell r="A19" t="str">
            <v>P4C3</v>
          </cell>
          <cell r="B19">
            <v>358.8</v>
          </cell>
          <cell r="C19">
            <v>0.76356671632262196</v>
          </cell>
          <cell r="D19">
            <v>6.1429999999999998</v>
          </cell>
          <cell r="E19" t="str">
            <v>No</v>
          </cell>
          <cell r="G19">
            <v>347.8</v>
          </cell>
          <cell r="H19">
            <v>0.74015748031496098</v>
          </cell>
          <cell r="I19">
            <v>3.4409999999999998</v>
          </cell>
          <cell r="J19" t="str">
            <v>No</v>
          </cell>
          <cell r="L19">
            <v>338.3</v>
          </cell>
          <cell r="M19">
            <v>0.71994041285379895</v>
          </cell>
          <cell r="N19">
            <v>2.79</v>
          </cell>
          <cell r="O19" t="str">
            <v>No</v>
          </cell>
          <cell r="Q19">
            <v>391.9</v>
          </cell>
          <cell r="R19">
            <v>0.83400723558203904</v>
          </cell>
          <cell r="S19">
            <v>12.16</v>
          </cell>
          <cell r="T19" t="str">
            <v>No</v>
          </cell>
          <cell r="V19">
            <v>355.6</v>
          </cell>
          <cell r="W19">
            <v>0.75675675675675702</v>
          </cell>
          <cell r="X19">
            <v>6.4160000000000004</v>
          </cell>
          <cell r="Y19" t="str">
            <v>No</v>
          </cell>
          <cell r="AA19">
            <v>433.7</v>
          </cell>
          <cell r="AB19">
            <v>0.922962332411151</v>
          </cell>
          <cell r="AC19">
            <v>96.14</v>
          </cell>
          <cell r="AD19" t="str">
            <v>No</v>
          </cell>
          <cell r="AF19">
            <v>420</v>
          </cell>
          <cell r="AG19">
            <v>0.89380719301979195</v>
          </cell>
          <cell r="AH19">
            <v>35.81</v>
          </cell>
          <cell r="AI19" t="str">
            <v>No</v>
          </cell>
        </row>
        <row r="20">
          <cell r="A20" t="str">
            <v>P5C1</v>
          </cell>
          <cell r="B20">
            <v>250.1</v>
          </cell>
          <cell r="C20">
            <v>0.53224090231964205</v>
          </cell>
          <cell r="D20">
            <v>0.39900000000000002</v>
          </cell>
          <cell r="E20" t="str">
            <v>Yes</v>
          </cell>
          <cell r="G20">
            <v>321.3</v>
          </cell>
          <cell r="H20">
            <v>0.68376250266014005</v>
          </cell>
          <cell r="I20">
            <v>2.1520000000000001</v>
          </cell>
          <cell r="J20" t="str">
            <v>Yes</v>
          </cell>
          <cell r="L20">
            <v>347.8</v>
          </cell>
          <cell r="M20">
            <v>0.74015748031496098</v>
          </cell>
          <cell r="N20">
            <v>5.4029999999999996</v>
          </cell>
          <cell r="O20" t="str">
            <v>No</v>
          </cell>
          <cell r="Q20">
            <v>311.89999999999998</v>
          </cell>
          <cell r="R20">
            <v>0.66375824643541204</v>
          </cell>
          <cell r="S20">
            <v>1.6140000000000001</v>
          </cell>
          <cell r="T20" t="str">
            <v>Yes</v>
          </cell>
          <cell r="V20">
            <v>360.5</v>
          </cell>
          <cell r="W20">
            <v>0.76718450734198795</v>
          </cell>
          <cell r="X20">
            <v>13.73</v>
          </cell>
          <cell r="Y20" t="str">
            <v>No</v>
          </cell>
          <cell r="AA20">
            <v>442.6</v>
          </cell>
          <cell r="AB20">
            <v>0.94190253245371403</v>
          </cell>
          <cell r="AC20">
            <v>193.1</v>
          </cell>
          <cell r="AD20" t="str">
            <v>No</v>
          </cell>
          <cell r="AF20">
            <v>400.2</v>
          </cell>
          <cell r="AG20">
            <v>0.85167056820600096</v>
          </cell>
          <cell r="AH20">
            <v>181.2</v>
          </cell>
          <cell r="AI20" t="str">
            <v>No</v>
          </cell>
        </row>
        <row r="21">
          <cell r="A21" t="str">
            <v>P5C2</v>
          </cell>
          <cell r="B21">
            <v>305.39999999999998</v>
          </cell>
          <cell r="C21">
            <v>0.64992551606724802</v>
          </cell>
          <cell r="D21">
            <v>1.5920000000000001</v>
          </cell>
          <cell r="E21" t="str">
            <v>Yes</v>
          </cell>
          <cell r="G21">
            <v>315.10000000000002</v>
          </cell>
          <cell r="H21">
            <v>0.67056820600127698</v>
          </cell>
          <cell r="I21">
            <v>1.5880000000000001</v>
          </cell>
          <cell r="J21" t="str">
            <v>Yes</v>
          </cell>
          <cell r="L21">
            <v>320</v>
          </cell>
          <cell r="M21">
            <v>0.68099595658650802</v>
          </cell>
          <cell r="N21">
            <v>1.9019999999999999</v>
          </cell>
          <cell r="O21" t="str">
            <v>Yes</v>
          </cell>
          <cell r="Q21">
            <v>295.2</v>
          </cell>
          <cell r="R21">
            <v>0.62821876995105297</v>
          </cell>
          <cell r="S21">
            <v>1.028</v>
          </cell>
          <cell r="T21" t="str">
            <v>Yes</v>
          </cell>
          <cell r="V21">
            <v>370.2</v>
          </cell>
          <cell r="W21">
            <v>0.78782719727601602</v>
          </cell>
          <cell r="X21">
            <v>18.95</v>
          </cell>
          <cell r="Y21" t="str">
            <v>No</v>
          </cell>
          <cell r="AA21">
            <v>472.5</v>
          </cell>
          <cell r="AB21">
            <v>1.00553309214727</v>
          </cell>
          <cell r="AC21">
            <v>641.9</v>
          </cell>
          <cell r="AD21" t="str">
            <v>No</v>
          </cell>
          <cell r="AF21">
            <v>436.7</v>
          </cell>
          <cell r="AG21">
            <v>0.92934666950415001</v>
          </cell>
          <cell r="AH21">
            <v>427.6</v>
          </cell>
          <cell r="AI21" t="str">
            <v>No</v>
          </cell>
        </row>
        <row r="22">
          <cell r="A22" t="str">
            <v>P5C3</v>
          </cell>
          <cell r="B22">
            <v>304.5</v>
          </cell>
          <cell r="C22">
            <v>0.64801021493934896</v>
          </cell>
          <cell r="D22">
            <v>1.1459999999999999</v>
          </cell>
          <cell r="E22" t="str">
            <v>Yes</v>
          </cell>
          <cell r="G22">
            <v>333.1</v>
          </cell>
          <cell r="H22">
            <v>0.70887422855926796</v>
          </cell>
          <cell r="I22">
            <v>3.056</v>
          </cell>
          <cell r="J22" t="str">
            <v>No</v>
          </cell>
          <cell r="L22">
            <v>357.3</v>
          </cell>
          <cell r="M22">
            <v>0.76037454777612301</v>
          </cell>
          <cell r="N22">
            <v>6.98</v>
          </cell>
          <cell r="O22" t="str">
            <v>No</v>
          </cell>
          <cell r="Q22">
            <v>291.3</v>
          </cell>
          <cell r="R22">
            <v>0.619919131730155</v>
          </cell>
          <cell r="S22">
            <v>1.099</v>
          </cell>
          <cell r="T22" t="str">
            <v>Yes</v>
          </cell>
          <cell r="V22">
            <v>380.8</v>
          </cell>
          <cell r="W22">
            <v>0.81038518833794404</v>
          </cell>
          <cell r="X22">
            <v>25.26</v>
          </cell>
          <cell r="Y22" t="str">
            <v>No</v>
          </cell>
          <cell r="AA22">
            <v>430.8</v>
          </cell>
          <cell r="AB22">
            <v>0.916790806554586</v>
          </cell>
          <cell r="AC22">
            <v>173.7</v>
          </cell>
          <cell r="AD22" t="str">
            <v>No</v>
          </cell>
          <cell r="AF22">
            <v>452.2</v>
          </cell>
          <cell r="AG22">
            <v>0.96233241115130896</v>
          </cell>
          <cell r="AH22">
            <v>285.5</v>
          </cell>
          <cell r="AI22" t="str">
            <v>No</v>
          </cell>
        </row>
        <row r="23">
          <cell r="A23" t="str">
            <v>P5C4</v>
          </cell>
          <cell r="B23">
            <v>305.7</v>
          </cell>
          <cell r="C23">
            <v>0.65056394977654797</v>
          </cell>
          <cell r="D23">
            <v>1.4750000000000001</v>
          </cell>
          <cell r="E23" t="str">
            <v>Yes</v>
          </cell>
          <cell r="G23">
            <v>370.3</v>
          </cell>
          <cell r="H23">
            <v>0.78804000851244904</v>
          </cell>
          <cell r="I23">
            <v>11.91</v>
          </cell>
          <cell r="J23" t="str">
            <v>No</v>
          </cell>
          <cell r="L23">
            <v>387</v>
          </cell>
          <cell r="M23">
            <v>0.823579484996808</v>
          </cell>
          <cell r="N23">
            <v>17.649999999999999</v>
          </cell>
          <cell r="O23" t="str">
            <v>No</v>
          </cell>
          <cell r="Q23">
            <v>317.8</v>
          </cell>
          <cell r="R23">
            <v>0.67631410938497605</v>
          </cell>
          <cell r="S23">
            <v>1.5509999999999999</v>
          </cell>
          <cell r="T23" t="str">
            <v>Yes</v>
          </cell>
          <cell r="V23">
            <v>361</v>
          </cell>
          <cell r="W23">
            <v>0.76824856352415405</v>
          </cell>
          <cell r="X23">
            <v>12.04</v>
          </cell>
          <cell r="Y23" t="str">
            <v>No</v>
          </cell>
          <cell r="AA23">
            <v>405.8</v>
          </cell>
          <cell r="AB23">
            <v>0.86358799744626502</v>
          </cell>
          <cell r="AC23">
            <v>89.76</v>
          </cell>
          <cell r="AD23" t="str">
            <v>No</v>
          </cell>
          <cell r="AF23">
            <v>424.1</v>
          </cell>
          <cell r="AG23">
            <v>0.90253245371355595</v>
          </cell>
          <cell r="AH23">
            <v>196.1</v>
          </cell>
          <cell r="AI23" t="str">
            <v>No</v>
          </cell>
        </row>
        <row r="24">
          <cell r="A24" t="str">
            <v>P6C1</v>
          </cell>
          <cell r="B24">
            <v>306.5</v>
          </cell>
          <cell r="C24">
            <v>0.65226643966801401</v>
          </cell>
          <cell r="D24">
            <v>1.093</v>
          </cell>
          <cell r="E24" t="str">
            <v>Yes</v>
          </cell>
          <cell r="G24">
            <v>316.89999999999998</v>
          </cell>
          <cell r="H24">
            <v>0.67439880825707599</v>
          </cell>
          <cell r="I24">
            <v>1.17</v>
          </cell>
          <cell r="J24" t="str">
            <v>Yes</v>
          </cell>
          <cell r="L24">
            <v>359.1</v>
          </cell>
          <cell r="M24">
            <v>0.76420515003192202</v>
          </cell>
          <cell r="N24">
            <v>6.6349999999999998</v>
          </cell>
          <cell r="O24" t="str">
            <v>No</v>
          </cell>
          <cell r="Q24">
            <v>388.3</v>
          </cell>
          <cell r="R24">
            <v>0.82634603107044102</v>
          </cell>
          <cell r="S24">
            <v>11.69</v>
          </cell>
          <cell r="T24" t="str">
            <v>No</v>
          </cell>
          <cell r="V24">
            <v>378.1</v>
          </cell>
          <cell r="W24">
            <v>0.80463928495424597</v>
          </cell>
          <cell r="X24">
            <v>8.8510000000000009</v>
          </cell>
          <cell r="Y24" t="str">
            <v>No</v>
          </cell>
          <cell r="AA24">
            <v>424.4</v>
          </cell>
          <cell r="AB24">
            <v>0.90317088742285601</v>
          </cell>
          <cell r="AC24">
            <v>84.01</v>
          </cell>
          <cell r="AD24" t="str">
            <v>No</v>
          </cell>
          <cell r="AF24">
            <v>408</v>
          </cell>
          <cell r="AG24">
            <v>0.868269844647797</v>
          </cell>
          <cell r="AH24">
            <v>33.61</v>
          </cell>
          <cell r="AI24" t="str">
            <v>No</v>
          </cell>
        </row>
        <row r="25">
          <cell r="A25" t="str">
            <v>P6C2</v>
          </cell>
          <cell r="B25">
            <v>245.9</v>
          </cell>
          <cell r="C25">
            <v>0.52330283038944503</v>
          </cell>
          <cell r="D25">
            <v>0.31319999999999998</v>
          </cell>
          <cell r="E25" t="str">
            <v>Yes</v>
          </cell>
          <cell r="G25">
            <v>282.3</v>
          </cell>
          <cell r="H25">
            <v>0.60076612045115996</v>
          </cell>
          <cell r="I25">
            <v>0.61819999999999997</v>
          </cell>
          <cell r="J25" t="str">
            <v>Yes</v>
          </cell>
          <cell r="L25">
            <v>304.89999999999998</v>
          </cell>
          <cell r="M25">
            <v>0.64886145988508204</v>
          </cell>
          <cell r="N25">
            <v>1.4930000000000001</v>
          </cell>
          <cell r="O25" t="str">
            <v>Yes</v>
          </cell>
          <cell r="Q25">
            <v>359.8</v>
          </cell>
          <cell r="R25">
            <v>0.76569482868695504</v>
          </cell>
          <cell r="S25">
            <v>6.5410000000000004</v>
          </cell>
          <cell r="T25" t="str">
            <v>No</v>
          </cell>
          <cell r="V25">
            <v>380.8</v>
          </cell>
          <cell r="W25">
            <v>0.81038518833794404</v>
          </cell>
          <cell r="X25">
            <v>11.32</v>
          </cell>
          <cell r="Y25" t="str">
            <v>No</v>
          </cell>
          <cell r="AA25">
            <v>411.5</v>
          </cell>
          <cell r="AB25">
            <v>0.875718237922962</v>
          </cell>
          <cell r="AC25">
            <v>49.03</v>
          </cell>
          <cell r="AD25" t="str">
            <v>No</v>
          </cell>
          <cell r="AF25">
            <v>403.4</v>
          </cell>
          <cell r="AG25">
            <v>0.85848052777186601</v>
          </cell>
          <cell r="AH25">
            <v>26.97</v>
          </cell>
          <cell r="AI25" t="str">
            <v>No</v>
          </cell>
        </row>
        <row r="26">
          <cell r="A26" t="str">
            <v>P6C3</v>
          </cell>
          <cell r="B26">
            <v>306.10000000000002</v>
          </cell>
          <cell r="C26">
            <v>0.65141519472228104</v>
          </cell>
          <cell r="D26">
            <v>1.179</v>
          </cell>
          <cell r="E26" t="str">
            <v>Yes</v>
          </cell>
          <cell r="G26">
            <v>393.6</v>
          </cell>
          <cell r="H26">
            <v>0.83762502660140503</v>
          </cell>
          <cell r="I26">
            <v>20.23</v>
          </cell>
          <cell r="J26" t="str">
            <v>No</v>
          </cell>
          <cell r="L26">
            <v>265</v>
          </cell>
          <cell r="M26">
            <v>0.563949776548202</v>
          </cell>
          <cell r="N26">
            <v>0.38069999999999998</v>
          </cell>
          <cell r="O26" t="str">
            <v>Yes</v>
          </cell>
          <cell r="Q26">
            <v>331.9</v>
          </cell>
          <cell r="R26">
            <v>0.70632049372206895</v>
          </cell>
          <cell r="S26">
            <v>2.403</v>
          </cell>
          <cell r="T26" t="str">
            <v>No</v>
          </cell>
          <cell r="V26">
            <v>376.5</v>
          </cell>
          <cell r="W26">
            <v>0.801234305171313</v>
          </cell>
          <cell r="X26">
            <v>8.6720000000000006</v>
          </cell>
          <cell r="Y26" t="str">
            <v>No</v>
          </cell>
          <cell r="AA26">
            <v>377.3</v>
          </cell>
          <cell r="AB26">
            <v>0.80293679506277904</v>
          </cell>
          <cell r="AC26">
            <v>32.5</v>
          </cell>
          <cell r="AD26" t="str">
            <v>No</v>
          </cell>
          <cell r="AF26">
            <v>416.5</v>
          </cell>
          <cell r="AG26">
            <v>0.88635879974462695</v>
          </cell>
          <cell r="AH26">
            <v>43.31</v>
          </cell>
          <cell r="AI26" t="str">
            <v>No</v>
          </cell>
        </row>
        <row r="27">
          <cell r="A27" t="str">
            <v>P6C4</v>
          </cell>
          <cell r="B27">
            <v>291.89999999999998</v>
          </cell>
          <cell r="C27">
            <v>0.62119599914875501</v>
          </cell>
          <cell r="D27">
            <v>0.78280000000000005</v>
          </cell>
          <cell r="E27" t="str">
            <v>Yes</v>
          </cell>
          <cell r="G27">
            <v>365.9</v>
          </cell>
          <cell r="H27">
            <v>0.77867631410938498</v>
          </cell>
          <cell r="I27">
            <v>8.5079999999999991</v>
          </cell>
          <cell r="J27" t="str">
            <v>No</v>
          </cell>
          <cell r="L27">
            <v>318.60000000000002</v>
          </cell>
          <cell r="M27">
            <v>0.67801659927644198</v>
          </cell>
          <cell r="N27">
            <v>1.6679999999999999</v>
          </cell>
          <cell r="O27" t="str">
            <v>Yes</v>
          </cell>
          <cell r="Q27">
            <v>353.8</v>
          </cell>
          <cell r="R27">
            <v>0.75292615450095801</v>
          </cell>
          <cell r="S27">
            <v>6.09</v>
          </cell>
          <cell r="T27" t="str">
            <v>No</v>
          </cell>
          <cell r="V27">
            <v>396.9</v>
          </cell>
          <cell r="W27">
            <v>0.84464779740370299</v>
          </cell>
          <cell r="X27">
            <v>11.4</v>
          </cell>
          <cell r="Y27" t="str">
            <v>No</v>
          </cell>
          <cell r="AA27">
            <v>417.8</v>
          </cell>
          <cell r="AB27">
            <v>0.88912534581825897</v>
          </cell>
          <cell r="AC27">
            <v>60.77</v>
          </cell>
          <cell r="AD27" t="str">
            <v>No</v>
          </cell>
          <cell r="AF27">
            <v>401.9</v>
          </cell>
          <cell r="AG27">
            <v>0.85528835922536695</v>
          </cell>
          <cell r="AH27">
            <v>30.71</v>
          </cell>
          <cell r="AI27" t="str">
            <v>No</v>
          </cell>
        </row>
        <row r="28">
          <cell r="A28" t="str">
            <v>P6C5</v>
          </cell>
          <cell r="B28">
            <v>345.1</v>
          </cell>
          <cell r="C28">
            <v>0.73441157693126202</v>
          </cell>
          <cell r="D28">
            <v>4.2389999999999999</v>
          </cell>
          <cell r="E28" t="str">
            <v>No</v>
          </cell>
          <cell r="G28">
            <v>337.7</v>
          </cell>
          <cell r="H28">
            <v>0.71866354543519895</v>
          </cell>
          <cell r="I28">
            <v>3.8029999999999999</v>
          </cell>
          <cell r="J28" t="str">
            <v>No</v>
          </cell>
          <cell r="L28">
            <v>298.39999999999998</v>
          </cell>
          <cell r="M28">
            <v>0.63502872951691802</v>
          </cell>
          <cell r="N28">
            <v>1.05</v>
          </cell>
          <cell r="O28" t="str">
            <v>Yes</v>
          </cell>
          <cell r="Q28">
            <v>312.10000000000002</v>
          </cell>
          <cell r="R28">
            <v>0.66418386890827796</v>
          </cell>
          <cell r="S28">
            <v>1.3919999999999999</v>
          </cell>
          <cell r="T28" t="str">
            <v>Yes</v>
          </cell>
          <cell r="V28">
            <v>347.9</v>
          </cell>
          <cell r="W28">
            <v>0.740370291551394</v>
          </cell>
          <cell r="X28">
            <v>6.3920000000000003</v>
          </cell>
          <cell r="Y28" t="str">
            <v>No</v>
          </cell>
          <cell r="AA28">
            <v>404.8</v>
          </cell>
          <cell r="AB28">
            <v>0.86145988508193205</v>
          </cell>
          <cell r="AC28">
            <v>115.3</v>
          </cell>
          <cell r="AD28" t="str">
            <v>No</v>
          </cell>
          <cell r="AF28">
            <v>429.2</v>
          </cell>
          <cell r="AG28">
            <v>0.91338582677165403</v>
          </cell>
          <cell r="AH28">
            <v>196.8</v>
          </cell>
          <cell r="AI28" t="str">
            <v>No</v>
          </cell>
        </row>
        <row r="29">
          <cell r="A29" t="str">
            <v>P7C1</v>
          </cell>
          <cell r="B29">
            <v>294.7</v>
          </cell>
          <cell r="C29">
            <v>0.62715471376888698</v>
          </cell>
          <cell r="D29">
            <v>0.83079999999999998</v>
          </cell>
          <cell r="E29" t="str">
            <v>Yes</v>
          </cell>
          <cell r="G29">
            <v>350.3</v>
          </cell>
          <cell r="H29">
            <v>0.74547776122579301</v>
          </cell>
          <cell r="I29">
            <v>5.3730000000000002</v>
          </cell>
          <cell r="J29" t="str">
            <v>No</v>
          </cell>
          <cell r="L29">
            <v>357.6</v>
          </cell>
          <cell r="M29">
            <v>0.76101298148542296</v>
          </cell>
          <cell r="N29">
            <v>6.41</v>
          </cell>
          <cell r="O29" t="str">
            <v>No</v>
          </cell>
          <cell r="Q29">
            <v>364</v>
          </cell>
          <cell r="R29">
            <v>0.77463290061715295</v>
          </cell>
          <cell r="S29">
            <v>8.0939999999999994</v>
          </cell>
          <cell r="T29" t="str">
            <v>No</v>
          </cell>
          <cell r="V29">
            <v>338.8</v>
          </cell>
          <cell r="W29">
            <v>0.72100446903596505</v>
          </cell>
          <cell r="X29">
            <v>3.073</v>
          </cell>
          <cell r="Y29" t="str">
            <v>No</v>
          </cell>
          <cell r="AA29">
            <v>390.5</v>
          </cell>
          <cell r="AB29">
            <v>0.831027878271973</v>
          </cell>
          <cell r="AC29">
            <v>43.24</v>
          </cell>
          <cell r="AD29" t="str">
            <v>No</v>
          </cell>
          <cell r="AF29">
            <v>370.9</v>
          </cell>
          <cell r="AG29">
            <v>0.78931687593104904</v>
          </cell>
          <cell r="AH29">
            <v>15.84</v>
          </cell>
          <cell r="AI29" t="str">
            <v>No</v>
          </cell>
        </row>
        <row r="30">
          <cell r="A30" t="str">
            <v>P7C2</v>
          </cell>
          <cell r="B30">
            <v>328.3</v>
          </cell>
          <cell r="C30">
            <v>0.69865928921047005</v>
          </cell>
          <cell r="D30">
            <v>2.0259999999999998</v>
          </cell>
          <cell r="E30" t="str">
            <v>Yes</v>
          </cell>
          <cell r="G30">
            <v>326.2</v>
          </cell>
          <cell r="H30">
            <v>0.69419025324537098</v>
          </cell>
          <cell r="I30">
            <v>1.899</v>
          </cell>
          <cell r="J30" t="str">
            <v>Yes</v>
          </cell>
          <cell r="L30">
            <v>341.8</v>
          </cell>
          <cell r="M30">
            <v>0.72738880612896395</v>
          </cell>
          <cell r="N30">
            <v>4.1829999999999998</v>
          </cell>
          <cell r="O30" t="str">
            <v>No</v>
          </cell>
          <cell r="Q30">
            <v>323.8</v>
          </cell>
          <cell r="R30">
            <v>0.68908278357097297</v>
          </cell>
          <cell r="S30">
            <v>2.27</v>
          </cell>
          <cell r="T30" t="str">
            <v>Yes</v>
          </cell>
          <cell r="V30">
            <v>376.2</v>
          </cell>
          <cell r="W30">
            <v>0.80059587146201305</v>
          </cell>
          <cell r="X30">
            <v>13.51</v>
          </cell>
          <cell r="Y30" t="str">
            <v>No</v>
          </cell>
          <cell r="AA30">
            <v>408.5</v>
          </cell>
          <cell r="AB30">
            <v>0.86933390082996398</v>
          </cell>
          <cell r="AC30">
            <v>54.94</v>
          </cell>
          <cell r="AD30" t="str">
            <v>No</v>
          </cell>
          <cell r="AF30">
            <v>420.5</v>
          </cell>
          <cell r="AG30">
            <v>0.89487124920195804</v>
          </cell>
          <cell r="AH30">
            <v>41.54</v>
          </cell>
          <cell r="AI30" t="str">
            <v>No</v>
          </cell>
        </row>
        <row r="31">
          <cell r="A31" t="str">
            <v>P7C3</v>
          </cell>
          <cell r="B31">
            <v>310.60000000000002</v>
          </cell>
          <cell r="C31">
            <v>0.66099170036177901</v>
          </cell>
          <cell r="D31">
            <v>1.165</v>
          </cell>
          <cell r="E31" t="str">
            <v>Yes</v>
          </cell>
          <cell r="G31">
            <v>314.89999999999998</v>
          </cell>
          <cell r="H31">
            <v>0.67014258352841005</v>
          </cell>
          <cell r="I31">
            <v>1.264</v>
          </cell>
          <cell r="J31" t="str">
            <v>Yes</v>
          </cell>
          <cell r="L31">
            <v>330.5</v>
          </cell>
          <cell r="M31">
            <v>0.70334113641200302</v>
          </cell>
          <cell r="N31">
            <v>2.69</v>
          </cell>
          <cell r="O31" t="str">
            <v>No</v>
          </cell>
          <cell r="Q31">
            <v>314.39999999999998</v>
          </cell>
          <cell r="R31">
            <v>0.66907852734624396</v>
          </cell>
          <cell r="S31">
            <v>1.5349999999999999</v>
          </cell>
          <cell r="T31" t="str">
            <v>Yes</v>
          </cell>
          <cell r="V31">
            <v>455</v>
          </cell>
          <cell r="W31">
            <v>0.96829112577144105</v>
          </cell>
          <cell r="X31">
            <v>303.10000000000002</v>
          </cell>
          <cell r="Y31" t="str">
            <v>No</v>
          </cell>
          <cell r="AA31">
            <v>428.4</v>
          </cell>
          <cell r="AB31">
            <v>0.91168333688018699</v>
          </cell>
          <cell r="AC31">
            <v>118.3</v>
          </cell>
          <cell r="AD31" t="str">
            <v>No</v>
          </cell>
          <cell r="AF31">
            <v>439</v>
          </cell>
          <cell r="AG31">
            <v>0.93424132794211501</v>
          </cell>
          <cell r="AH31">
            <v>294.2</v>
          </cell>
          <cell r="AI31" t="str">
            <v>No</v>
          </cell>
        </row>
        <row r="32">
          <cell r="A32" t="str">
            <v>P8C1</v>
          </cell>
          <cell r="B32">
            <v>372.5</v>
          </cell>
          <cell r="C32">
            <v>0.79272185571398202</v>
          </cell>
          <cell r="D32">
            <v>9.5470000000000006</v>
          </cell>
          <cell r="E32" t="str">
            <v>No</v>
          </cell>
          <cell r="G32">
            <v>381.7</v>
          </cell>
          <cell r="H32">
            <v>0.81230048946584399</v>
          </cell>
          <cell r="I32">
            <v>8.1859999999999999</v>
          </cell>
          <cell r="J32" t="str">
            <v>No</v>
          </cell>
          <cell r="L32">
            <v>337.7</v>
          </cell>
          <cell r="M32">
            <v>0.71866354543519895</v>
          </cell>
          <cell r="N32">
            <v>2.891</v>
          </cell>
          <cell r="O32" t="str">
            <v>No</v>
          </cell>
          <cell r="Q32">
            <v>376.5</v>
          </cell>
          <cell r="R32">
            <v>0.801234305171313</v>
          </cell>
          <cell r="S32">
            <v>16.23</v>
          </cell>
          <cell r="T32" t="str">
            <v>No</v>
          </cell>
          <cell r="V32">
            <v>391.4</v>
          </cell>
          <cell r="W32">
            <v>0.83294317939987195</v>
          </cell>
          <cell r="X32">
            <v>27.57</v>
          </cell>
          <cell r="Y32" t="str">
            <v>No</v>
          </cell>
          <cell r="AA32">
            <v>379.9</v>
          </cell>
          <cell r="AB32">
            <v>0.80846988721004498</v>
          </cell>
          <cell r="AC32">
            <v>13.57</v>
          </cell>
          <cell r="AD32" t="str">
            <v>No</v>
          </cell>
          <cell r="AF32">
            <v>356.7</v>
          </cell>
          <cell r="AG32">
            <v>0.75909768035752301</v>
          </cell>
          <cell r="AH32">
            <v>8.0890000000000004</v>
          </cell>
          <cell r="AI32" t="str">
            <v>No</v>
          </cell>
        </row>
        <row r="33">
          <cell r="A33" t="str">
            <v>P8C2</v>
          </cell>
          <cell r="B33">
            <v>291.60000000000002</v>
          </cell>
          <cell r="C33">
            <v>0.62055756543945495</v>
          </cell>
          <cell r="D33">
            <v>0.90900000000000003</v>
          </cell>
          <cell r="E33" t="str">
            <v>Yes</v>
          </cell>
          <cell r="G33">
            <v>286.89999999999998</v>
          </cell>
          <cell r="H33">
            <v>0.61055543732709106</v>
          </cell>
          <cell r="I33">
            <v>0.75409999999999999</v>
          </cell>
          <cell r="J33" t="str">
            <v>Yes</v>
          </cell>
          <cell r="L33">
            <v>290.7</v>
          </cell>
          <cell r="M33">
            <v>0.618642264311556</v>
          </cell>
          <cell r="N33">
            <v>0.76890000000000003</v>
          </cell>
          <cell r="O33" t="str">
            <v>Yes</v>
          </cell>
          <cell r="Q33">
            <v>339.9</v>
          </cell>
          <cell r="R33">
            <v>0.72334539263673103</v>
          </cell>
          <cell r="S33">
            <v>4.1159999999999997</v>
          </cell>
          <cell r="T33" t="str">
            <v>No</v>
          </cell>
          <cell r="V33">
            <v>427.1</v>
          </cell>
          <cell r="W33">
            <v>0.90891679080655496</v>
          </cell>
          <cell r="X33">
            <v>64.2</v>
          </cell>
          <cell r="Y33" t="str">
            <v>No</v>
          </cell>
          <cell r="AA33">
            <v>395.7</v>
          </cell>
          <cell r="AB33">
            <v>0.84209406256650399</v>
          </cell>
          <cell r="AC33">
            <v>21.99</v>
          </cell>
          <cell r="AD33" t="str">
            <v>No</v>
          </cell>
          <cell r="AF33">
            <v>416.8</v>
          </cell>
          <cell r="AG33">
            <v>0.886997233453926</v>
          </cell>
          <cell r="AH33">
            <v>34.96</v>
          </cell>
          <cell r="AI33" t="str">
            <v>No</v>
          </cell>
        </row>
        <row r="34">
          <cell r="A34" t="str">
            <v>P8C3</v>
          </cell>
          <cell r="B34">
            <v>351.4</v>
          </cell>
          <cell r="C34">
            <v>0.747818684826559</v>
          </cell>
          <cell r="D34">
            <v>4.8949999999999996</v>
          </cell>
          <cell r="E34" t="str">
            <v>No</v>
          </cell>
          <cell r="G34">
            <v>309</v>
          </cell>
          <cell r="H34">
            <v>0.65758672057884704</v>
          </cell>
          <cell r="I34">
            <v>1.0409999999999999</v>
          </cell>
          <cell r="J34" t="str">
            <v>Yes</v>
          </cell>
          <cell r="L34">
            <v>354.6</v>
          </cell>
          <cell r="M34">
            <v>0.75462864439242405</v>
          </cell>
          <cell r="N34">
            <v>6.532</v>
          </cell>
          <cell r="O34" t="str">
            <v>No</v>
          </cell>
          <cell r="Q34">
            <v>334</v>
          </cell>
          <cell r="R34">
            <v>0.71078952968716702</v>
          </cell>
          <cell r="S34">
            <v>3.4180000000000001</v>
          </cell>
          <cell r="T34" t="str">
            <v>No</v>
          </cell>
          <cell r="V34">
            <v>409.3</v>
          </cell>
          <cell r="W34">
            <v>0.87103639072143002</v>
          </cell>
          <cell r="X34">
            <v>55.06</v>
          </cell>
          <cell r="Y34" t="str">
            <v>No</v>
          </cell>
          <cell r="AA34">
            <v>404.3</v>
          </cell>
          <cell r="AB34">
            <v>0.86039582889976596</v>
          </cell>
          <cell r="AC34">
            <v>44.13</v>
          </cell>
          <cell r="AD34" t="str">
            <v>No</v>
          </cell>
          <cell r="AF34">
            <v>415</v>
          </cell>
          <cell r="AG34">
            <v>0.88316663119812699</v>
          </cell>
          <cell r="AH34">
            <v>61.82</v>
          </cell>
          <cell r="AI34" t="str">
            <v>No</v>
          </cell>
        </row>
        <row r="35">
          <cell r="A35" t="str">
            <v>P9C1</v>
          </cell>
          <cell r="B35">
            <v>357.9</v>
          </cell>
          <cell r="C35">
            <v>0.76165141519472201</v>
          </cell>
          <cell r="D35">
            <v>9.0809999999999995</v>
          </cell>
          <cell r="E35" t="str">
            <v>No</v>
          </cell>
          <cell r="G35">
            <v>317.3</v>
          </cell>
          <cell r="H35">
            <v>0.67525005320280895</v>
          </cell>
          <cell r="I35">
            <v>1.5469999999999999</v>
          </cell>
          <cell r="J35" t="str">
            <v>Yes</v>
          </cell>
          <cell r="L35">
            <v>339.2</v>
          </cell>
          <cell r="M35">
            <v>0.72185571398169801</v>
          </cell>
          <cell r="N35">
            <v>4.9660000000000002</v>
          </cell>
          <cell r="O35" t="str">
            <v>No</v>
          </cell>
          <cell r="Q35">
            <v>331.9</v>
          </cell>
          <cell r="R35">
            <v>0.70632049372206895</v>
          </cell>
          <cell r="S35">
            <v>3.2690000000000001</v>
          </cell>
          <cell r="T35" t="str">
            <v>No</v>
          </cell>
          <cell r="V35">
            <v>348.8</v>
          </cell>
          <cell r="W35">
            <v>0.74228559267929395</v>
          </cell>
          <cell r="X35">
            <v>5.93</v>
          </cell>
          <cell r="Y35" t="str">
            <v>No</v>
          </cell>
          <cell r="AA35">
            <v>379.3</v>
          </cell>
          <cell r="AB35">
            <v>0.80719301979144498</v>
          </cell>
          <cell r="AC35">
            <v>10.199999999999999</v>
          </cell>
          <cell r="AD35" t="str">
            <v>No</v>
          </cell>
          <cell r="AF35">
            <v>351.4</v>
          </cell>
          <cell r="AG35">
            <v>0.747818684826559</v>
          </cell>
          <cell r="AH35">
            <v>5.8410000000000002</v>
          </cell>
          <cell r="AI35" t="str">
            <v>No</v>
          </cell>
        </row>
        <row r="36">
          <cell r="A36" t="str">
            <v>P9C2</v>
          </cell>
          <cell r="B36">
            <v>296.7</v>
          </cell>
          <cell r="C36">
            <v>0.63141093849755303</v>
          </cell>
          <cell r="D36">
            <v>0.85029999999999994</v>
          </cell>
          <cell r="E36" t="str">
            <v>Yes</v>
          </cell>
          <cell r="G36">
            <v>292</v>
          </cell>
          <cell r="H36">
            <v>0.62140881038518803</v>
          </cell>
          <cell r="I36">
            <v>0.92649999999999999</v>
          </cell>
          <cell r="J36" t="str">
            <v>Yes</v>
          </cell>
          <cell r="L36">
            <v>366</v>
          </cell>
          <cell r="M36">
            <v>0.778889125345818</v>
          </cell>
          <cell r="N36">
            <v>9.6910000000000007</v>
          </cell>
          <cell r="O36" t="str">
            <v>No</v>
          </cell>
          <cell r="Q36">
            <v>305.5</v>
          </cell>
          <cell r="R36">
            <v>0.65013832730368204</v>
          </cell>
          <cell r="S36">
            <v>1.444</v>
          </cell>
          <cell r="T36" t="str">
            <v>Yes</v>
          </cell>
          <cell r="V36">
            <v>337.3</v>
          </cell>
          <cell r="W36">
            <v>0.71781230048946598</v>
          </cell>
          <cell r="X36">
            <v>2.395</v>
          </cell>
          <cell r="Y36" t="str">
            <v>No</v>
          </cell>
          <cell r="AA36">
            <v>452</v>
          </cell>
          <cell r="AB36">
            <v>0.96190678867844204</v>
          </cell>
          <cell r="AC36">
            <v>150.80000000000001</v>
          </cell>
          <cell r="AD36" t="str">
            <v>No</v>
          </cell>
          <cell r="AF36">
            <v>364.1</v>
          </cell>
          <cell r="AG36">
            <v>0.77484571185358597</v>
          </cell>
          <cell r="AH36">
            <v>7.8339999999999996</v>
          </cell>
          <cell r="AI36" t="str">
            <v>No</v>
          </cell>
        </row>
        <row r="37">
          <cell r="A37" t="str">
            <v>P9C3</v>
          </cell>
          <cell r="B37">
            <v>376.6</v>
          </cell>
          <cell r="C37">
            <v>0.80144711640774602</v>
          </cell>
          <cell r="D37">
            <v>6.3310000000000004</v>
          </cell>
          <cell r="E37" t="str">
            <v>No</v>
          </cell>
          <cell r="G37">
            <v>318.89999999999998</v>
          </cell>
          <cell r="H37">
            <v>0.67865503298574203</v>
          </cell>
          <cell r="I37">
            <v>1.2669999999999999</v>
          </cell>
          <cell r="J37" t="str">
            <v>Yes</v>
          </cell>
          <cell r="L37">
            <v>361.9</v>
          </cell>
          <cell r="M37">
            <v>0.770163864652054</v>
          </cell>
          <cell r="N37">
            <v>4.3170000000000002</v>
          </cell>
          <cell r="O37" t="str">
            <v>No</v>
          </cell>
          <cell r="Q37">
            <v>319</v>
          </cell>
          <cell r="R37">
            <v>0.67886784422217505</v>
          </cell>
          <cell r="S37">
            <v>2.4430000000000001</v>
          </cell>
          <cell r="T37" t="str">
            <v>Yes</v>
          </cell>
          <cell r="V37">
            <v>397.1</v>
          </cell>
          <cell r="W37">
            <v>0.84507341987657003</v>
          </cell>
          <cell r="X37">
            <v>12.39</v>
          </cell>
          <cell r="Y37" t="str">
            <v>No</v>
          </cell>
          <cell r="AA37">
            <v>453.9</v>
          </cell>
          <cell r="AB37">
            <v>0.96595020217067495</v>
          </cell>
          <cell r="AC37">
            <v>196.1</v>
          </cell>
          <cell r="AD37" t="str">
            <v>No</v>
          </cell>
          <cell r="AF37">
            <v>404.5</v>
          </cell>
          <cell r="AG37">
            <v>0.860821451372633</v>
          </cell>
          <cell r="AH37">
            <v>14.47</v>
          </cell>
          <cell r="AI37" t="str">
            <v>No</v>
          </cell>
        </row>
        <row r="38">
          <cell r="A38" t="str">
            <v>P10C1</v>
          </cell>
          <cell r="B38">
            <v>343.8</v>
          </cell>
          <cell r="C38">
            <v>0.731645030857629</v>
          </cell>
          <cell r="D38">
            <v>4.8529999999999998</v>
          </cell>
          <cell r="E38" t="str">
            <v>No</v>
          </cell>
          <cell r="G38">
            <v>354.7</v>
          </cell>
          <cell r="H38">
            <v>0.75484145562885696</v>
          </cell>
          <cell r="I38">
            <v>5.9210000000000003</v>
          </cell>
          <cell r="J38" t="str">
            <v>No</v>
          </cell>
          <cell r="L38">
            <v>384</v>
          </cell>
          <cell r="M38">
            <v>0.81719514790380898</v>
          </cell>
          <cell r="N38">
            <v>9.4730000000000008</v>
          </cell>
          <cell r="O38" t="str">
            <v>No</v>
          </cell>
          <cell r="Q38">
            <v>389.1</v>
          </cell>
          <cell r="R38">
            <v>0.82804852096190695</v>
          </cell>
          <cell r="S38">
            <v>18.2</v>
          </cell>
          <cell r="T38" t="str">
            <v>No</v>
          </cell>
          <cell r="V38">
            <v>357.9</v>
          </cell>
          <cell r="W38">
            <v>0.76165141519472201</v>
          </cell>
          <cell r="X38">
            <v>8.5779999999999994</v>
          </cell>
          <cell r="Y38" t="str">
            <v>No</v>
          </cell>
          <cell r="AA38">
            <v>461.2</v>
          </cell>
          <cell r="AB38">
            <v>0.98148542243030401</v>
          </cell>
          <cell r="AC38">
            <v>269.39999999999998</v>
          </cell>
          <cell r="AD38" t="str">
            <v>No</v>
          </cell>
          <cell r="AF38">
            <v>420</v>
          </cell>
          <cell r="AG38">
            <v>0.89380719301979195</v>
          </cell>
          <cell r="AH38">
            <v>261.8</v>
          </cell>
          <cell r="AI38" t="str">
            <v>No</v>
          </cell>
        </row>
        <row r="39">
          <cell r="A39" t="str">
            <v>P10C2</v>
          </cell>
          <cell r="B39">
            <v>305.89999999999998</v>
          </cell>
          <cell r="C39">
            <v>0.650989572249415</v>
          </cell>
          <cell r="D39">
            <v>1.4870000000000001</v>
          </cell>
          <cell r="E39" t="str">
            <v>Yes</v>
          </cell>
          <cell r="G39">
            <v>363</v>
          </cell>
          <cell r="H39">
            <v>0.77250478825281998</v>
          </cell>
          <cell r="I39">
            <v>9.5350000000000001</v>
          </cell>
          <cell r="J39" t="str">
            <v>No</v>
          </cell>
          <cell r="L39">
            <v>346.1</v>
          </cell>
          <cell r="M39">
            <v>0.73653968929559499</v>
          </cell>
          <cell r="N39">
            <v>5.7060000000000004</v>
          </cell>
          <cell r="O39" t="str">
            <v>No</v>
          </cell>
          <cell r="Q39">
            <v>341.2</v>
          </cell>
          <cell r="R39">
            <v>0.72611193871036395</v>
          </cell>
          <cell r="S39">
            <v>4.5330000000000004</v>
          </cell>
          <cell r="T39" t="str">
            <v>No</v>
          </cell>
          <cell r="V39">
            <v>336.9</v>
          </cell>
          <cell r="W39">
            <v>0.71696105554373302</v>
          </cell>
          <cell r="X39">
            <v>3.6659999999999999</v>
          </cell>
          <cell r="Y39" t="str">
            <v>No</v>
          </cell>
          <cell r="AA39">
            <v>408.9</v>
          </cell>
          <cell r="AB39">
            <v>0.87018514577569706</v>
          </cell>
          <cell r="AC39">
            <v>119.7</v>
          </cell>
          <cell r="AD39" t="str">
            <v>No</v>
          </cell>
          <cell r="AF39">
            <v>431.7</v>
          </cell>
          <cell r="AG39">
            <v>0.91870610768248595</v>
          </cell>
          <cell r="AH39">
            <v>243.9</v>
          </cell>
          <cell r="AI39" t="str">
            <v>No</v>
          </cell>
        </row>
        <row r="40">
          <cell r="A40" t="str">
            <v>P10C3</v>
          </cell>
          <cell r="B40">
            <v>284.10000000000002</v>
          </cell>
          <cell r="C40">
            <v>0.60459672270695897</v>
          </cell>
          <cell r="D40">
            <v>0.70130000000000003</v>
          </cell>
          <cell r="E40" t="str">
            <v>Yes</v>
          </cell>
          <cell r="G40">
            <v>358.8</v>
          </cell>
          <cell r="H40">
            <v>0.76356671632262196</v>
          </cell>
          <cell r="I40">
            <v>9.7089999999999996</v>
          </cell>
          <cell r="J40" t="str">
            <v>No</v>
          </cell>
          <cell r="L40">
            <v>304.7</v>
          </cell>
          <cell r="M40">
            <v>0.648435837412215</v>
          </cell>
          <cell r="N40">
            <v>1.8160000000000001</v>
          </cell>
          <cell r="O40" t="str">
            <v>Yes</v>
          </cell>
          <cell r="Q40">
            <v>367.2</v>
          </cell>
          <cell r="R40">
            <v>0.78144286018301801</v>
          </cell>
          <cell r="S40">
            <v>9.9269999999999996</v>
          </cell>
          <cell r="T40" t="str">
            <v>No</v>
          </cell>
          <cell r="V40">
            <v>290.89999999999998</v>
          </cell>
          <cell r="W40">
            <v>0.61906788678442204</v>
          </cell>
          <cell r="X40">
            <v>0.98629999999999995</v>
          </cell>
          <cell r="Y40" t="str">
            <v>Yes</v>
          </cell>
          <cell r="AA40">
            <v>407.1</v>
          </cell>
          <cell r="AB40">
            <v>0.86635454351989805</v>
          </cell>
          <cell r="AC40">
            <v>123.8</v>
          </cell>
          <cell r="AD40" t="str">
            <v>No</v>
          </cell>
          <cell r="AF40">
            <v>407.2</v>
          </cell>
          <cell r="AG40">
            <v>0.86656735475633095</v>
          </cell>
          <cell r="AH40">
            <v>80.69</v>
          </cell>
          <cell r="AI40" t="str">
            <v>No</v>
          </cell>
        </row>
        <row r="41">
          <cell r="A41" t="str">
            <v>P11C1</v>
          </cell>
          <cell r="B41">
            <v>347.8</v>
          </cell>
          <cell r="C41">
            <v>0.74015748031496098</v>
          </cell>
          <cell r="D41">
            <v>4.72</v>
          </cell>
          <cell r="E41" t="str">
            <v>No</v>
          </cell>
          <cell r="G41">
            <v>350.7</v>
          </cell>
          <cell r="H41">
            <v>0.74632900617152598</v>
          </cell>
          <cell r="I41">
            <v>5.9020000000000001</v>
          </cell>
          <cell r="J41" t="str">
            <v>No</v>
          </cell>
          <cell r="L41">
            <v>351.5</v>
          </cell>
          <cell r="M41">
            <v>0.74803149606299202</v>
          </cell>
          <cell r="N41">
            <v>3.9359999999999999</v>
          </cell>
          <cell r="O41" t="str">
            <v>No</v>
          </cell>
          <cell r="Q41">
            <v>325.10000000000002</v>
          </cell>
          <cell r="R41">
            <v>0.69184932964460499</v>
          </cell>
          <cell r="S41">
            <v>2.4540000000000002</v>
          </cell>
          <cell r="T41" t="str">
            <v>Yes</v>
          </cell>
          <cell r="V41">
            <v>342.2</v>
          </cell>
          <cell r="W41">
            <v>0.72824005107469703</v>
          </cell>
          <cell r="X41">
            <v>3.238</v>
          </cell>
          <cell r="Y41" t="str">
            <v>No</v>
          </cell>
          <cell r="AA41">
            <v>421.4</v>
          </cell>
          <cell r="AB41">
            <v>0.89678655032985699</v>
          </cell>
          <cell r="AC41">
            <v>87.27</v>
          </cell>
          <cell r="AD41" t="str">
            <v>No</v>
          </cell>
          <cell r="AF41">
            <v>430.2</v>
          </cell>
          <cell r="AG41">
            <v>0.915513939135986</v>
          </cell>
          <cell r="AH41">
            <v>185.8</v>
          </cell>
          <cell r="AI41" t="str">
            <v>No</v>
          </cell>
        </row>
        <row r="42">
          <cell r="A42" t="str">
            <v>P11C2</v>
          </cell>
          <cell r="B42">
            <v>310.89999999999998</v>
          </cell>
          <cell r="C42">
            <v>0.66163013407107896</v>
          </cell>
          <cell r="D42">
            <v>1.7030000000000001</v>
          </cell>
          <cell r="E42" t="str">
            <v>Yes</v>
          </cell>
          <cell r="G42">
            <v>357.6</v>
          </cell>
          <cell r="H42">
            <v>0.76101298148542296</v>
          </cell>
          <cell r="I42">
            <v>9.4429999999999996</v>
          </cell>
          <cell r="J42" t="str">
            <v>No</v>
          </cell>
          <cell r="L42">
            <v>373.1</v>
          </cell>
          <cell r="M42">
            <v>0.79399872313258102</v>
          </cell>
          <cell r="N42">
            <v>21.11</v>
          </cell>
          <cell r="O42" t="str">
            <v>No</v>
          </cell>
          <cell r="Q42">
            <v>382.3</v>
          </cell>
          <cell r="R42">
            <v>0.81357735688444399</v>
          </cell>
          <cell r="S42">
            <v>8.3140000000000001</v>
          </cell>
          <cell r="T42" t="str">
            <v>No</v>
          </cell>
          <cell r="V42">
            <v>289.60000000000002</v>
          </cell>
          <cell r="W42">
            <v>0.61630134071079001</v>
          </cell>
          <cell r="X42">
            <v>0.98580000000000001</v>
          </cell>
          <cell r="Y42" t="str">
            <v>Yes</v>
          </cell>
          <cell r="AA42">
            <v>406.9</v>
          </cell>
          <cell r="AB42">
            <v>0.86592892104703101</v>
          </cell>
          <cell r="AC42">
            <v>125.1</v>
          </cell>
          <cell r="AD42" t="str">
            <v>No</v>
          </cell>
          <cell r="AF42">
            <v>414.8</v>
          </cell>
          <cell r="AG42">
            <v>0.88274100872526096</v>
          </cell>
          <cell r="AH42">
            <v>124.2</v>
          </cell>
          <cell r="AI42" t="str">
            <v>No</v>
          </cell>
        </row>
        <row r="43">
          <cell r="A43" t="str">
            <v>P11C3</v>
          </cell>
          <cell r="B43">
            <v>290</v>
          </cell>
          <cell r="C43">
            <v>0.61715258565652298</v>
          </cell>
          <cell r="D43">
            <v>0.94599999999999995</v>
          </cell>
          <cell r="E43" t="str">
            <v>Yes</v>
          </cell>
          <cell r="G43">
            <v>371.8</v>
          </cell>
          <cell r="H43">
            <v>0.79123217705894899</v>
          </cell>
          <cell r="I43">
            <v>12.49</v>
          </cell>
          <cell r="J43" t="str">
            <v>No</v>
          </cell>
          <cell r="L43">
            <v>377</v>
          </cell>
          <cell r="M43">
            <v>0.80229836135347998</v>
          </cell>
          <cell r="N43">
            <v>14.69</v>
          </cell>
          <cell r="O43" t="str">
            <v>No</v>
          </cell>
          <cell r="Q43">
            <v>330</v>
          </cell>
          <cell r="R43">
            <v>0.70227708022983604</v>
          </cell>
          <cell r="S43">
            <v>3.0840000000000001</v>
          </cell>
          <cell r="T43" t="str">
            <v>No</v>
          </cell>
          <cell r="V43">
            <v>359.9</v>
          </cell>
          <cell r="W43">
            <v>0.76590763992338795</v>
          </cell>
          <cell r="X43">
            <v>11.02</v>
          </cell>
          <cell r="Y43" t="str">
            <v>No</v>
          </cell>
          <cell r="AA43">
            <v>408.2</v>
          </cell>
          <cell r="AB43">
            <v>0.86869546712066403</v>
          </cell>
          <cell r="AC43">
            <v>94.53</v>
          </cell>
          <cell r="AD43" t="str">
            <v>No</v>
          </cell>
          <cell r="AF43">
            <v>424.8</v>
          </cell>
          <cell r="AG43">
            <v>0.90402213236858897</v>
          </cell>
          <cell r="AH43">
            <v>81.650000000000006</v>
          </cell>
          <cell r="AI43" t="str">
            <v>No</v>
          </cell>
        </row>
        <row r="44">
          <cell r="A44" t="str">
            <v>P12C1</v>
          </cell>
          <cell r="B44">
            <v>389.1</v>
          </cell>
          <cell r="C44">
            <v>0.82804852096190695</v>
          </cell>
          <cell r="D44">
            <v>10.69</v>
          </cell>
          <cell r="E44" t="str">
            <v>No</v>
          </cell>
          <cell r="G44">
            <v>403.3</v>
          </cell>
          <cell r="H44">
            <v>0.85826771653543299</v>
          </cell>
          <cell r="I44">
            <v>18.760000000000002</v>
          </cell>
          <cell r="J44" t="str">
            <v>No</v>
          </cell>
          <cell r="L44">
            <v>377.4</v>
          </cell>
          <cell r="M44">
            <v>0.80314960629921295</v>
          </cell>
          <cell r="N44">
            <v>8.6059999999999999</v>
          </cell>
          <cell r="O44" t="str">
            <v>No</v>
          </cell>
          <cell r="Q44">
            <v>405.4</v>
          </cell>
          <cell r="R44">
            <v>0.86273675250053194</v>
          </cell>
          <cell r="S44">
            <v>19.36</v>
          </cell>
          <cell r="T44" t="str">
            <v>No</v>
          </cell>
          <cell r="V44">
            <v>352.9</v>
          </cell>
          <cell r="W44">
            <v>0.75101085337305795</v>
          </cell>
          <cell r="X44">
            <v>6.3230000000000004</v>
          </cell>
          <cell r="Y44" t="str">
            <v>No</v>
          </cell>
          <cell r="AA44">
            <v>454.2</v>
          </cell>
          <cell r="AB44">
            <v>0.96658863587997401</v>
          </cell>
          <cell r="AC44">
            <v>201.6</v>
          </cell>
          <cell r="AD44" t="str">
            <v>No</v>
          </cell>
          <cell r="AF44">
            <v>426.5</v>
          </cell>
          <cell r="AG44">
            <v>0.90763992338795496</v>
          </cell>
          <cell r="AH44">
            <v>139.19999999999999</v>
          </cell>
          <cell r="AI44" t="str">
            <v>No</v>
          </cell>
        </row>
        <row r="45">
          <cell r="A45" t="str">
            <v>P12C2</v>
          </cell>
          <cell r="B45">
            <v>315.39999999999998</v>
          </cell>
          <cell r="C45">
            <v>0.67120663971057704</v>
          </cell>
          <cell r="D45">
            <v>1.4530000000000001</v>
          </cell>
          <cell r="E45" t="str">
            <v>Yes</v>
          </cell>
          <cell r="G45">
            <v>392.4</v>
          </cell>
          <cell r="H45">
            <v>0.83507129176420503</v>
          </cell>
          <cell r="I45">
            <v>20.87</v>
          </cell>
          <cell r="J45" t="str">
            <v>No</v>
          </cell>
          <cell r="L45">
            <v>359.5</v>
          </cell>
          <cell r="M45">
            <v>0.76505639497765499</v>
          </cell>
          <cell r="N45">
            <v>7.1710000000000003</v>
          </cell>
          <cell r="O45" t="str">
            <v>No</v>
          </cell>
          <cell r="Q45">
            <v>319.8</v>
          </cell>
          <cell r="R45">
            <v>0.68057033411364098</v>
          </cell>
          <cell r="S45">
            <v>1.99</v>
          </cell>
          <cell r="T45" t="str">
            <v>Yes</v>
          </cell>
          <cell r="V45">
            <v>382.5</v>
          </cell>
          <cell r="W45">
            <v>0.81400297935731003</v>
          </cell>
          <cell r="X45">
            <v>12.23</v>
          </cell>
          <cell r="Y45" t="str">
            <v>No</v>
          </cell>
          <cell r="AA45">
            <v>433.8</v>
          </cell>
          <cell r="AB45">
            <v>0.92317514364758502</v>
          </cell>
          <cell r="AC45">
            <v>268.10000000000002</v>
          </cell>
          <cell r="AD45" t="str">
            <v>No</v>
          </cell>
          <cell r="AF45">
            <v>422.6</v>
          </cell>
          <cell r="AG45">
            <v>0.899340285167057</v>
          </cell>
          <cell r="AH45">
            <v>92.23</v>
          </cell>
          <cell r="AI45" t="str">
            <v>No</v>
          </cell>
        </row>
        <row r="46">
          <cell r="A46" t="str">
            <v>P12C3</v>
          </cell>
          <cell r="B46">
            <v>383.6</v>
          </cell>
          <cell r="C46">
            <v>0.81634390295807602</v>
          </cell>
          <cell r="D46">
            <v>11.01</v>
          </cell>
          <cell r="E46" t="str">
            <v>No</v>
          </cell>
          <cell r="G46">
            <v>391.7</v>
          </cell>
          <cell r="H46">
            <v>0.833581613109172</v>
          </cell>
          <cell r="I46">
            <v>19.28</v>
          </cell>
          <cell r="J46" t="str">
            <v>No</v>
          </cell>
          <cell r="L46">
            <v>378.9</v>
          </cell>
          <cell r="M46">
            <v>0.80634177484571201</v>
          </cell>
          <cell r="N46">
            <v>8.9009999999999998</v>
          </cell>
          <cell r="O46" t="str">
            <v>No</v>
          </cell>
          <cell r="Q46">
            <v>384.4</v>
          </cell>
          <cell r="R46">
            <v>0.81804639284954195</v>
          </cell>
          <cell r="S46">
            <v>17.989999999999998</v>
          </cell>
          <cell r="T46" t="str">
            <v>No</v>
          </cell>
          <cell r="V46">
            <v>362.5</v>
          </cell>
          <cell r="W46">
            <v>0.771440732070653</v>
          </cell>
          <cell r="X46">
            <v>9.1289999999999996</v>
          </cell>
          <cell r="Y46" t="str">
            <v>No</v>
          </cell>
          <cell r="AA46">
            <v>398</v>
          </cell>
          <cell r="AB46">
            <v>0.84698872100446898</v>
          </cell>
          <cell r="AC46">
            <v>42.28</v>
          </cell>
          <cell r="AD46" t="str">
            <v>No</v>
          </cell>
          <cell r="AF46">
            <v>366.5</v>
          </cell>
          <cell r="AG46">
            <v>0.77995318152798498</v>
          </cell>
          <cell r="AH46">
            <v>10.35</v>
          </cell>
          <cell r="AI46" t="str">
            <v>No</v>
          </cell>
        </row>
        <row r="47">
          <cell r="A47" t="str">
            <v>P13C1</v>
          </cell>
          <cell r="B47">
            <v>270</v>
          </cell>
          <cell r="C47">
            <v>0.57459033836986595</v>
          </cell>
          <cell r="D47">
            <v>0.45100000000000001</v>
          </cell>
          <cell r="E47" t="str">
            <v>Yes</v>
          </cell>
          <cell r="G47">
            <v>347.2</v>
          </cell>
          <cell r="H47">
            <v>0.73888061289636098</v>
          </cell>
          <cell r="I47">
            <v>3.0579999999999998</v>
          </cell>
          <cell r="J47" t="str">
            <v>No</v>
          </cell>
          <cell r="L47">
            <v>335.9</v>
          </cell>
          <cell r="M47">
            <v>0.71483294317940005</v>
          </cell>
          <cell r="N47">
            <v>3.16</v>
          </cell>
          <cell r="O47" t="str">
            <v>No</v>
          </cell>
          <cell r="Q47">
            <v>295.8</v>
          </cell>
          <cell r="R47">
            <v>0.62949563736965297</v>
          </cell>
          <cell r="S47">
            <v>1.486</v>
          </cell>
          <cell r="T47" t="str">
            <v>Yes</v>
          </cell>
          <cell r="V47">
            <v>322.60000000000002</v>
          </cell>
          <cell r="W47">
            <v>0.68652904873377296</v>
          </cell>
          <cell r="X47">
            <v>2.5449999999999999</v>
          </cell>
          <cell r="Y47" t="str">
            <v>Yes</v>
          </cell>
          <cell r="AA47">
            <v>417.3</v>
          </cell>
          <cell r="AB47">
            <v>0.88806128963609299</v>
          </cell>
          <cell r="AC47">
            <v>134.1</v>
          </cell>
          <cell r="AD47" t="str">
            <v>No</v>
          </cell>
          <cell r="AF47">
            <v>380.5</v>
          </cell>
          <cell r="AG47">
            <v>0.80974675462864398</v>
          </cell>
          <cell r="AH47">
            <v>60.05</v>
          </cell>
          <cell r="AI47" t="str">
            <v>No</v>
          </cell>
        </row>
        <row r="48">
          <cell r="A48" t="str">
            <v>P13C2</v>
          </cell>
          <cell r="B48">
            <v>301.3</v>
          </cell>
          <cell r="C48">
            <v>0.64120025537348402</v>
          </cell>
          <cell r="D48">
            <v>1.139</v>
          </cell>
          <cell r="E48" t="str">
            <v>Yes</v>
          </cell>
          <cell r="G48">
            <v>321.10000000000002</v>
          </cell>
          <cell r="H48">
            <v>0.68333688018727401</v>
          </cell>
          <cell r="I48">
            <v>1.75</v>
          </cell>
          <cell r="J48" t="str">
            <v>Yes</v>
          </cell>
          <cell r="L48">
            <v>364.7</v>
          </cell>
          <cell r="M48">
            <v>0.77612257927218598</v>
          </cell>
          <cell r="N48">
            <v>12.64</v>
          </cell>
          <cell r="O48" t="str">
            <v>No</v>
          </cell>
          <cell r="Q48">
            <v>306.2</v>
          </cell>
          <cell r="R48">
            <v>0.65162800595871495</v>
          </cell>
          <cell r="S48">
            <v>1.393</v>
          </cell>
          <cell r="T48" t="str">
            <v>Yes</v>
          </cell>
          <cell r="V48">
            <v>375.4</v>
          </cell>
          <cell r="W48">
            <v>0.79889338157054701</v>
          </cell>
          <cell r="X48">
            <v>14.79</v>
          </cell>
          <cell r="Y48" t="str">
            <v>No</v>
          </cell>
          <cell r="AA48">
            <v>407.5</v>
          </cell>
          <cell r="AB48">
            <v>0.86720578846563101</v>
          </cell>
          <cell r="AC48">
            <v>108.3</v>
          </cell>
          <cell r="AD48" t="str">
            <v>No</v>
          </cell>
          <cell r="AF48">
            <v>390.1</v>
          </cell>
          <cell r="AG48">
            <v>0.83017663332624003</v>
          </cell>
          <cell r="AH48">
            <v>95.6</v>
          </cell>
          <cell r="AI48" t="str">
            <v>No</v>
          </cell>
        </row>
        <row r="49">
          <cell r="A49" t="str">
            <v>P13C3</v>
          </cell>
          <cell r="B49">
            <v>308.10000000000002</v>
          </cell>
          <cell r="C49">
            <v>0.65567141945094698</v>
          </cell>
          <cell r="D49">
            <v>1.2869999999999999</v>
          </cell>
          <cell r="E49" t="str">
            <v>Yes</v>
          </cell>
          <cell r="G49">
            <v>319.10000000000002</v>
          </cell>
          <cell r="H49">
            <v>0.67908065545860796</v>
          </cell>
          <cell r="I49">
            <v>1.6619999999999999</v>
          </cell>
          <cell r="J49" t="str">
            <v>Yes</v>
          </cell>
          <cell r="L49">
            <v>306.7</v>
          </cell>
          <cell r="M49">
            <v>0.65269206214088105</v>
          </cell>
          <cell r="N49">
            <v>1.395</v>
          </cell>
          <cell r="O49" t="str">
            <v>Yes</v>
          </cell>
          <cell r="Q49">
            <v>297.5</v>
          </cell>
          <cell r="R49">
            <v>0.63311342838901896</v>
          </cell>
          <cell r="S49">
            <v>1.1619999999999999</v>
          </cell>
          <cell r="T49" t="str">
            <v>Yes</v>
          </cell>
          <cell r="V49">
            <v>418.5</v>
          </cell>
          <cell r="W49">
            <v>0.89061502447329199</v>
          </cell>
          <cell r="X49">
            <v>46.33</v>
          </cell>
          <cell r="Y49" t="str">
            <v>No</v>
          </cell>
          <cell r="AA49">
            <v>442.1</v>
          </cell>
          <cell r="AB49">
            <v>0.94083847627154704</v>
          </cell>
          <cell r="AC49">
            <v>249.8</v>
          </cell>
          <cell r="AD49" t="str">
            <v>No</v>
          </cell>
          <cell r="AF49">
            <v>439.8</v>
          </cell>
          <cell r="AG49">
            <v>0.93594381783358205</v>
          </cell>
          <cell r="AH49">
            <v>229.8</v>
          </cell>
          <cell r="AI49" t="str">
            <v>No</v>
          </cell>
        </row>
        <row r="50">
          <cell r="A50" t="str">
            <v>P13C4</v>
          </cell>
          <cell r="B50">
            <v>304.3</v>
          </cell>
          <cell r="C50">
            <v>0.64758459246648203</v>
          </cell>
          <cell r="D50">
            <v>1.1519999999999999</v>
          </cell>
          <cell r="E50" t="str">
            <v>Yes</v>
          </cell>
          <cell r="G50">
            <v>294.89999999999998</v>
          </cell>
          <cell r="H50">
            <v>0.62758033624175402</v>
          </cell>
          <cell r="I50">
            <v>0.94069999999999998</v>
          </cell>
          <cell r="J50" t="str">
            <v>Yes</v>
          </cell>
          <cell r="L50">
            <v>287.7</v>
          </cell>
          <cell r="M50">
            <v>0.61225792721855699</v>
          </cell>
          <cell r="N50">
            <v>0.97889999999999999</v>
          </cell>
          <cell r="O50" t="str">
            <v>Yes</v>
          </cell>
          <cell r="Q50">
            <v>317.7</v>
          </cell>
          <cell r="R50">
            <v>0.67610129814854203</v>
          </cell>
          <cell r="S50">
            <v>1.728</v>
          </cell>
          <cell r="T50" t="str">
            <v>Yes</v>
          </cell>
          <cell r="V50">
            <v>415.6</v>
          </cell>
          <cell r="W50">
            <v>0.884443498616727</v>
          </cell>
          <cell r="X50">
            <v>72.55</v>
          </cell>
          <cell r="Y50" t="str">
            <v>No</v>
          </cell>
          <cell r="AA50">
            <v>417.6</v>
          </cell>
          <cell r="AB50">
            <v>0.88869972334539304</v>
          </cell>
          <cell r="AC50">
            <v>57.92</v>
          </cell>
          <cell r="AD50" t="str">
            <v>No</v>
          </cell>
          <cell r="AF50">
            <v>415.2</v>
          </cell>
          <cell r="AG50">
            <v>0.88359225367099403</v>
          </cell>
          <cell r="AH50">
            <v>60.58</v>
          </cell>
          <cell r="AI50" t="str">
            <v>No</v>
          </cell>
        </row>
        <row r="51">
          <cell r="A51" t="str">
            <v>P14C1</v>
          </cell>
          <cell r="B51">
            <v>330.1</v>
          </cell>
          <cell r="C51">
            <v>0.70248989146626994</v>
          </cell>
          <cell r="D51">
            <v>2.2429999999999999</v>
          </cell>
          <cell r="E51" t="str">
            <v>Yes</v>
          </cell>
          <cell r="G51">
            <v>395.9</v>
          </cell>
          <cell r="H51">
            <v>0.84251968503937003</v>
          </cell>
          <cell r="I51">
            <v>22.78</v>
          </cell>
          <cell r="J51" t="str">
            <v>No</v>
          </cell>
          <cell r="L51">
            <v>393.2</v>
          </cell>
          <cell r="M51">
            <v>0.83677378165567096</v>
          </cell>
          <cell r="N51">
            <v>21.84</v>
          </cell>
          <cell r="O51" t="str">
            <v>No</v>
          </cell>
          <cell r="Q51">
            <v>410.5</v>
          </cell>
          <cell r="R51">
            <v>0.87359012555863003</v>
          </cell>
          <cell r="S51">
            <v>41.44</v>
          </cell>
          <cell r="T51" t="str">
            <v>No</v>
          </cell>
          <cell r="V51">
            <v>417</v>
          </cell>
          <cell r="W51">
            <v>0.88742285592679304</v>
          </cell>
          <cell r="X51">
            <v>25.58</v>
          </cell>
          <cell r="Y51" t="str">
            <v>No</v>
          </cell>
          <cell r="AA51">
            <v>441.5</v>
          </cell>
          <cell r="AB51">
            <v>0.93956160885294704</v>
          </cell>
          <cell r="AC51">
            <v>57.63</v>
          </cell>
          <cell r="AD51" t="str">
            <v>No</v>
          </cell>
          <cell r="AF51">
            <v>437.5</v>
          </cell>
          <cell r="AG51">
            <v>0.93104915939561605</v>
          </cell>
          <cell r="AH51">
            <v>113.7</v>
          </cell>
          <cell r="AI51" t="str">
            <v>No</v>
          </cell>
        </row>
        <row r="52">
          <cell r="A52" t="str">
            <v>P14C2</v>
          </cell>
          <cell r="B52">
            <v>331.2</v>
          </cell>
          <cell r="C52">
            <v>0.70483081506703604</v>
          </cell>
          <cell r="D52">
            <v>3.1240000000000001</v>
          </cell>
          <cell r="E52" t="str">
            <v>Yes</v>
          </cell>
          <cell r="G52">
            <v>375.7</v>
          </cell>
          <cell r="H52">
            <v>0.79953181527984696</v>
          </cell>
          <cell r="I52">
            <v>11.32</v>
          </cell>
          <cell r="J52" t="str">
            <v>No</v>
          </cell>
          <cell r="L52">
            <v>375.7</v>
          </cell>
          <cell r="M52">
            <v>0.79953181527984696</v>
          </cell>
          <cell r="N52">
            <v>11.71</v>
          </cell>
          <cell r="O52" t="str">
            <v>No</v>
          </cell>
          <cell r="Q52">
            <v>370.3</v>
          </cell>
          <cell r="R52">
            <v>0.78804000851244904</v>
          </cell>
          <cell r="S52">
            <v>9.4890000000000008</v>
          </cell>
          <cell r="T52" t="str">
            <v>No</v>
          </cell>
          <cell r="V52">
            <v>374.5</v>
          </cell>
          <cell r="W52">
            <v>0.79697808044264695</v>
          </cell>
          <cell r="X52">
            <v>14.22</v>
          </cell>
          <cell r="Y52" t="str">
            <v>No</v>
          </cell>
          <cell r="AA52">
            <v>413.4</v>
          </cell>
          <cell r="AB52">
            <v>0.87976165141519502</v>
          </cell>
          <cell r="AC52">
            <v>31.83</v>
          </cell>
          <cell r="AD52" t="str">
            <v>No</v>
          </cell>
          <cell r="AF52">
            <v>445.5</v>
          </cell>
          <cell r="AG52">
            <v>0.94807405831027902</v>
          </cell>
          <cell r="AH52">
            <v>123.9</v>
          </cell>
          <cell r="AI52" t="str">
            <v>No</v>
          </cell>
        </row>
        <row r="53">
          <cell r="A53" t="str">
            <v>P14C3</v>
          </cell>
          <cell r="B53">
            <v>344.8</v>
          </cell>
          <cell r="C53">
            <v>0.73377314322196197</v>
          </cell>
          <cell r="D53">
            <v>3.6150000000000002</v>
          </cell>
          <cell r="E53" t="str">
            <v>No</v>
          </cell>
          <cell r="G53">
            <v>394.3</v>
          </cell>
          <cell r="H53">
            <v>0.83911470525643805</v>
          </cell>
          <cell r="I53">
            <v>23.27</v>
          </cell>
          <cell r="J53" t="str">
            <v>No</v>
          </cell>
          <cell r="L53">
            <v>407.3</v>
          </cell>
          <cell r="M53">
            <v>0.86678016599276497</v>
          </cell>
          <cell r="N53">
            <v>32.51</v>
          </cell>
          <cell r="O53" t="str">
            <v>No</v>
          </cell>
          <cell r="Q53">
            <v>387.3</v>
          </cell>
          <cell r="R53">
            <v>0.82421791870610805</v>
          </cell>
          <cell r="S53">
            <v>17.350000000000001</v>
          </cell>
          <cell r="T53" t="str">
            <v>No</v>
          </cell>
          <cell r="V53">
            <v>389.2</v>
          </cell>
          <cell r="W53">
            <v>0.82826133219833997</v>
          </cell>
          <cell r="X53">
            <v>17.2</v>
          </cell>
          <cell r="Y53" t="str">
            <v>No</v>
          </cell>
          <cell r="AA53">
            <v>407.7</v>
          </cell>
          <cell r="AB53">
            <v>0.86763141093849805</v>
          </cell>
          <cell r="AC53">
            <v>39.58</v>
          </cell>
          <cell r="AD53" t="str">
            <v>No</v>
          </cell>
          <cell r="AF53">
            <v>437.7</v>
          </cell>
          <cell r="AG53">
            <v>0.93147478186848298</v>
          </cell>
          <cell r="AH53">
            <v>106.7</v>
          </cell>
          <cell r="AI53" t="str">
            <v>No</v>
          </cell>
        </row>
        <row r="54">
          <cell r="A54" t="str">
            <v>P15C1</v>
          </cell>
          <cell r="B54">
            <v>378.3</v>
          </cell>
          <cell r="C54">
            <v>0.80506490742711201</v>
          </cell>
          <cell r="D54">
            <v>8.8480000000000008</v>
          </cell>
          <cell r="E54" t="str">
            <v>No</v>
          </cell>
          <cell r="G54">
            <v>413.8</v>
          </cell>
          <cell r="H54">
            <v>0.88061289636092799</v>
          </cell>
          <cell r="I54">
            <v>22.11</v>
          </cell>
          <cell r="J54" t="str">
            <v>No</v>
          </cell>
          <cell r="L54">
            <v>407.2</v>
          </cell>
          <cell r="M54">
            <v>0.86656735475633095</v>
          </cell>
          <cell r="N54">
            <v>21.07</v>
          </cell>
          <cell r="O54" t="str">
            <v>No</v>
          </cell>
          <cell r="Q54">
            <v>405.9</v>
          </cell>
          <cell r="R54">
            <v>0.86380080868269804</v>
          </cell>
          <cell r="S54">
            <v>20.13</v>
          </cell>
          <cell r="T54" t="str">
            <v>No</v>
          </cell>
          <cell r="V54">
            <v>384.8</v>
          </cell>
          <cell r="W54">
            <v>0.81889763779527602</v>
          </cell>
          <cell r="X54">
            <v>18.809999999999999</v>
          </cell>
          <cell r="Y54" t="str">
            <v>No</v>
          </cell>
          <cell r="AA54">
            <v>455.5</v>
          </cell>
          <cell r="AB54">
            <v>0.96935518195360704</v>
          </cell>
          <cell r="AC54">
            <v>146.80000000000001</v>
          </cell>
          <cell r="AD54" t="str">
            <v>No</v>
          </cell>
          <cell r="AF54">
            <v>424.5</v>
          </cell>
          <cell r="AG54">
            <v>0.90338369865928903</v>
          </cell>
          <cell r="AH54">
            <v>98.48</v>
          </cell>
          <cell r="AI54" t="str">
            <v>No</v>
          </cell>
        </row>
        <row r="55">
          <cell r="A55" t="str">
            <v>P15C2</v>
          </cell>
          <cell r="B55">
            <v>418.4</v>
          </cell>
          <cell r="C55">
            <v>0.89040221323685897</v>
          </cell>
          <cell r="D55">
            <v>22.58</v>
          </cell>
          <cell r="E55" t="str">
            <v>No</v>
          </cell>
          <cell r="G55">
            <v>386.5</v>
          </cell>
          <cell r="H55">
            <v>0.82251542881464101</v>
          </cell>
          <cell r="I55">
            <v>18.079999999999998</v>
          </cell>
          <cell r="J55" t="str">
            <v>No</v>
          </cell>
          <cell r="L55">
            <v>356.4</v>
          </cell>
          <cell r="M55">
            <v>0.75845924664822295</v>
          </cell>
          <cell r="N55">
            <v>6.8849999999999998</v>
          </cell>
          <cell r="O55" t="str">
            <v>No</v>
          </cell>
          <cell r="Q55">
            <v>335.4</v>
          </cell>
          <cell r="R55">
            <v>0.71376888699723295</v>
          </cell>
          <cell r="S55">
            <v>3.1709999999999998</v>
          </cell>
          <cell r="T55" t="str">
            <v>No</v>
          </cell>
          <cell r="V55">
            <v>394</v>
          </cell>
          <cell r="W55">
            <v>0.838476271547138</v>
          </cell>
          <cell r="X55">
            <v>13.95</v>
          </cell>
          <cell r="Y55" t="str">
            <v>No</v>
          </cell>
          <cell r="AA55">
            <v>468.7</v>
          </cell>
          <cell r="AB55">
            <v>0.99744626516280099</v>
          </cell>
          <cell r="AC55">
            <v>399.8</v>
          </cell>
          <cell r="AD55" t="str">
            <v>No</v>
          </cell>
          <cell r="AF55">
            <v>426.8</v>
          </cell>
          <cell r="AG55">
            <v>0.90827835709725502</v>
          </cell>
          <cell r="AH55">
            <v>109.3</v>
          </cell>
          <cell r="AI55" t="str">
            <v>No</v>
          </cell>
        </row>
        <row r="56">
          <cell r="A56" t="str">
            <v>P15C3</v>
          </cell>
          <cell r="B56">
            <v>389.9</v>
          </cell>
          <cell r="C56">
            <v>0.82975101085337299</v>
          </cell>
          <cell r="D56">
            <v>9.5009999999999994</v>
          </cell>
          <cell r="E56" t="str">
            <v>No</v>
          </cell>
          <cell r="G56">
            <v>390</v>
          </cell>
          <cell r="H56">
            <v>0.82996382208980601</v>
          </cell>
          <cell r="I56">
            <v>19.79</v>
          </cell>
          <cell r="J56" t="str">
            <v>No</v>
          </cell>
          <cell r="L56">
            <v>345.5</v>
          </cell>
          <cell r="M56">
            <v>0.73526282187699499</v>
          </cell>
          <cell r="N56">
            <v>5.9989999999999997</v>
          </cell>
          <cell r="O56" t="str">
            <v>No</v>
          </cell>
          <cell r="Q56">
            <v>349.5</v>
          </cell>
          <cell r="R56">
            <v>0.74377527133432697</v>
          </cell>
          <cell r="S56">
            <v>4.0270000000000001</v>
          </cell>
          <cell r="T56" t="str">
            <v>No</v>
          </cell>
          <cell r="V56">
            <v>312.8</v>
          </cell>
          <cell r="W56">
            <v>0.66567354756331099</v>
          </cell>
          <cell r="X56">
            <v>1.722</v>
          </cell>
          <cell r="Y56" t="str">
            <v>Yes</v>
          </cell>
          <cell r="AA56">
            <v>430.9</v>
          </cell>
          <cell r="AB56">
            <v>0.91700361779101902</v>
          </cell>
          <cell r="AC56">
            <v>98.14</v>
          </cell>
          <cell r="AD56" t="str">
            <v>No</v>
          </cell>
          <cell r="AF56">
            <v>400.3</v>
          </cell>
          <cell r="AG56">
            <v>0.85188337944243497</v>
          </cell>
          <cell r="AH56">
            <v>24.87</v>
          </cell>
          <cell r="AI56" t="str">
            <v>No</v>
          </cell>
        </row>
        <row r="57">
          <cell r="A57" t="str">
            <v>P16C1</v>
          </cell>
          <cell r="B57">
            <v>297.39999999999998</v>
          </cell>
          <cell r="C57">
            <v>0.63290061715258605</v>
          </cell>
          <cell r="D57">
            <v>1.056</v>
          </cell>
          <cell r="E57" t="str">
            <v>Yes</v>
          </cell>
          <cell r="G57">
            <v>395.7</v>
          </cell>
          <cell r="H57">
            <v>0.84209406256650399</v>
          </cell>
          <cell r="I57">
            <v>22.2</v>
          </cell>
          <cell r="J57" t="str">
            <v>No</v>
          </cell>
          <cell r="L57">
            <v>350.1</v>
          </cell>
          <cell r="M57">
            <v>0.74505213875292597</v>
          </cell>
          <cell r="N57">
            <v>6.1150000000000002</v>
          </cell>
          <cell r="O57" t="str">
            <v>No</v>
          </cell>
          <cell r="Q57">
            <v>383.8</v>
          </cell>
          <cell r="R57">
            <v>0.81676952543094306</v>
          </cell>
          <cell r="S57">
            <v>15.15</v>
          </cell>
          <cell r="T57" t="str">
            <v>No</v>
          </cell>
          <cell r="V57">
            <v>339.7</v>
          </cell>
          <cell r="W57">
            <v>0.72291977016386499</v>
          </cell>
          <cell r="X57">
            <v>5.8620000000000001</v>
          </cell>
          <cell r="Y57" t="str">
            <v>No</v>
          </cell>
          <cell r="AA57">
            <v>435.7</v>
          </cell>
          <cell r="AB57">
            <v>0.92721855713981705</v>
          </cell>
          <cell r="AC57">
            <v>101.5</v>
          </cell>
          <cell r="AD57" t="str">
            <v>No</v>
          </cell>
          <cell r="AF57">
            <v>422.6</v>
          </cell>
          <cell r="AG57">
            <v>0.899340285167057</v>
          </cell>
          <cell r="AH57">
            <v>97.38</v>
          </cell>
          <cell r="AI57" t="str">
            <v>No</v>
          </cell>
        </row>
        <row r="58">
          <cell r="A58" t="str">
            <v>P16C2</v>
          </cell>
          <cell r="B58">
            <v>359.2</v>
          </cell>
          <cell r="C58">
            <v>0.76441796126835504</v>
          </cell>
          <cell r="D58">
            <v>5.08</v>
          </cell>
          <cell r="E58" t="str">
            <v>No</v>
          </cell>
          <cell r="G58">
            <v>376.1</v>
          </cell>
          <cell r="H58">
            <v>0.80038306022558003</v>
          </cell>
          <cell r="I58">
            <v>13.39</v>
          </cell>
          <cell r="J58" t="str">
            <v>No</v>
          </cell>
          <cell r="L58">
            <v>297.2</v>
          </cell>
          <cell r="M58">
            <v>0.63247499467971902</v>
          </cell>
          <cell r="N58">
            <v>0.99080000000000001</v>
          </cell>
          <cell r="O58" t="str">
            <v>Yes</v>
          </cell>
          <cell r="Q58">
            <v>377</v>
          </cell>
          <cell r="R58">
            <v>0.80229836135347998</v>
          </cell>
          <cell r="S58">
            <v>12.38</v>
          </cell>
          <cell r="T58" t="str">
            <v>No</v>
          </cell>
          <cell r="V58">
            <v>310.60000000000002</v>
          </cell>
          <cell r="W58">
            <v>0.66099170036177901</v>
          </cell>
          <cell r="X58">
            <v>2.2149999999999999</v>
          </cell>
          <cell r="Y58" t="str">
            <v>Yes</v>
          </cell>
          <cell r="AA58">
            <v>362.9</v>
          </cell>
          <cell r="AB58">
            <v>0.77229197701638597</v>
          </cell>
          <cell r="AC58">
            <v>13.39</v>
          </cell>
          <cell r="AD58" t="str">
            <v>No</v>
          </cell>
          <cell r="AF58">
            <v>338.2</v>
          </cell>
          <cell r="AG58">
            <v>0.71972760161736504</v>
          </cell>
          <cell r="AH58">
            <v>8.0879999999999992</v>
          </cell>
          <cell r="AI58" t="str">
            <v>No</v>
          </cell>
        </row>
        <row r="59">
          <cell r="A59" t="str">
            <v>P16C3</v>
          </cell>
          <cell r="B59">
            <v>377.5</v>
          </cell>
          <cell r="C59">
            <v>0.80336241753564597</v>
          </cell>
          <cell r="D59">
            <v>8.2100000000000009</v>
          </cell>
          <cell r="E59" t="str">
            <v>No</v>
          </cell>
          <cell r="G59">
            <v>343.8</v>
          </cell>
          <cell r="H59">
            <v>0.731645030857629</v>
          </cell>
          <cell r="I59">
            <v>3.129</v>
          </cell>
          <cell r="J59" t="str">
            <v>No</v>
          </cell>
          <cell r="L59">
            <v>293</v>
          </cell>
          <cell r="M59">
            <v>0.62353692274952099</v>
          </cell>
          <cell r="N59">
            <v>1.0669999999999999</v>
          </cell>
          <cell r="O59" t="str">
            <v>Yes</v>
          </cell>
          <cell r="Q59">
            <v>330</v>
          </cell>
          <cell r="R59">
            <v>0.70227708022983604</v>
          </cell>
          <cell r="S59">
            <v>2.488</v>
          </cell>
          <cell r="T59" t="str">
            <v>No</v>
          </cell>
          <cell r="V59">
            <v>335</v>
          </cell>
          <cell r="W59">
            <v>0.71291764205149999</v>
          </cell>
          <cell r="X59">
            <v>3.306</v>
          </cell>
          <cell r="Y59" t="str">
            <v>No</v>
          </cell>
          <cell r="AA59">
            <v>460.2</v>
          </cell>
          <cell r="AB59">
            <v>0.97935731006597104</v>
          </cell>
          <cell r="AC59">
            <v>193.3</v>
          </cell>
          <cell r="AD59" t="str">
            <v>No</v>
          </cell>
          <cell r="AF59">
            <v>456.8</v>
          </cell>
          <cell r="AG59">
            <v>0.97212172802723995</v>
          </cell>
          <cell r="AH59">
            <v>330.3</v>
          </cell>
          <cell r="AI59" t="str">
            <v>No</v>
          </cell>
        </row>
        <row r="60">
          <cell r="A60" t="str">
            <v>P17C1</v>
          </cell>
          <cell r="B60">
            <v>343</v>
          </cell>
          <cell r="C60">
            <v>0.72994254096616296</v>
          </cell>
          <cell r="D60">
            <v>4.2869999999999999</v>
          </cell>
          <cell r="E60" t="str">
            <v>No</v>
          </cell>
          <cell r="G60">
            <v>399.9</v>
          </cell>
          <cell r="H60">
            <v>0.85103213449670101</v>
          </cell>
          <cell r="I60">
            <v>30.64</v>
          </cell>
          <cell r="J60" t="str">
            <v>No</v>
          </cell>
          <cell r="L60">
            <v>334.8</v>
          </cell>
          <cell r="M60">
            <v>0.71249201957863395</v>
          </cell>
          <cell r="N60">
            <v>2.3420000000000001</v>
          </cell>
          <cell r="O60" t="str">
            <v>No</v>
          </cell>
          <cell r="Q60">
            <v>325.7</v>
          </cell>
          <cell r="R60">
            <v>0.693126197063205</v>
          </cell>
          <cell r="S60">
            <v>2.41</v>
          </cell>
          <cell r="T60" t="str">
            <v>Yes</v>
          </cell>
          <cell r="V60">
            <v>364.8</v>
          </cell>
          <cell r="W60">
            <v>0.77633539050861899</v>
          </cell>
          <cell r="X60">
            <v>6.7539999999999996</v>
          </cell>
          <cell r="Y60" t="str">
            <v>No</v>
          </cell>
          <cell r="AA60">
            <v>439.5</v>
          </cell>
          <cell r="AB60">
            <v>0.93530538412428199</v>
          </cell>
          <cell r="AC60">
            <v>150.19999999999999</v>
          </cell>
          <cell r="AD60" t="str">
            <v>No</v>
          </cell>
          <cell r="AF60">
            <v>430.8</v>
          </cell>
          <cell r="AG60">
            <v>0.916790806554586</v>
          </cell>
          <cell r="AH60">
            <v>234.3</v>
          </cell>
          <cell r="AI60" t="str">
            <v>No</v>
          </cell>
        </row>
        <row r="61">
          <cell r="A61" t="str">
            <v>P17C2</v>
          </cell>
          <cell r="B61">
            <v>354.7</v>
          </cell>
          <cell r="C61">
            <v>0.75484145562885696</v>
          </cell>
          <cell r="D61">
            <v>4.5129999999999999</v>
          </cell>
          <cell r="E61" t="str">
            <v>No</v>
          </cell>
          <cell r="G61">
            <v>402.5</v>
          </cell>
          <cell r="H61">
            <v>0.85656522664396695</v>
          </cell>
          <cell r="I61">
            <v>33.61</v>
          </cell>
          <cell r="J61" t="str">
            <v>No</v>
          </cell>
          <cell r="L61">
            <v>335.1</v>
          </cell>
          <cell r="M61">
            <v>0.71313045328793401</v>
          </cell>
          <cell r="N61">
            <v>2.8450000000000002</v>
          </cell>
          <cell r="O61" t="str">
            <v>No</v>
          </cell>
          <cell r="Q61">
            <v>322.5</v>
          </cell>
          <cell r="R61">
            <v>0.68631623749734005</v>
          </cell>
          <cell r="S61">
            <v>2.1640000000000001</v>
          </cell>
          <cell r="T61" t="str">
            <v>Yes</v>
          </cell>
          <cell r="V61">
            <v>397.3</v>
          </cell>
          <cell r="W61">
            <v>0.84549904234943596</v>
          </cell>
          <cell r="X61">
            <v>14.66</v>
          </cell>
          <cell r="Y61" t="str">
            <v>No</v>
          </cell>
          <cell r="AA61">
            <v>450.9</v>
          </cell>
          <cell r="AB61">
            <v>0.95956586507767605</v>
          </cell>
          <cell r="AC61">
            <v>290.39999999999998</v>
          </cell>
          <cell r="AD61" t="str">
            <v>No</v>
          </cell>
          <cell r="AF61">
            <v>435.9</v>
          </cell>
          <cell r="AG61">
            <v>0.92764417961268397</v>
          </cell>
          <cell r="AH61">
            <v>146.69999999999999</v>
          </cell>
          <cell r="AI61" t="str">
            <v>No</v>
          </cell>
        </row>
        <row r="62">
          <cell r="A62" t="str">
            <v>P17C3</v>
          </cell>
          <cell r="B62">
            <v>293.2</v>
          </cell>
          <cell r="C62">
            <v>0.62396254522238803</v>
          </cell>
          <cell r="D62">
            <v>0.97489999999999999</v>
          </cell>
          <cell r="E62" t="str">
            <v>Yes</v>
          </cell>
          <cell r="G62">
            <v>399.3</v>
          </cell>
          <cell r="H62">
            <v>0.84975526707810201</v>
          </cell>
          <cell r="I62">
            <v>31.23</v>
          </cell>
          <cell r="J62" t="str">
            <v>No</v>
          </cell>
          <cell r="L62">
            <v>319.10000000000002</v>
          </cell>
          <cell r="M62">
            <v>0.67908065545860796</v>
          </cell>
          <cell r="N62">
            <v>1.5309999999999999</v>
          </cell>
          <cell r="O62" t="str">
            <v>Yes</v>
          </cell>
          <cell r="Q62">
            <v>321.5</v>
          </cell>
          <cell r="R62">
            <v>0.68418812513300697</v>
          </cell>
          <cell r="S62">
            <v>1.786</v>
          </cell>
          <cell r="T62" t="str">
            <v>Yes</v>
          </cell>
          <cell r="V62">
            <v>400.6</v>
          </cell>
          <cell r="W62">
            <v>0.85252181315173403</v>
          </cell>
          <cell r="X62">
            <v>28.73</v>
          </cell>
          <cell r="Y62" t="str">
            <v>No</v>
          </cell>
          <cell r="AA62">
            <v>432.1</v>
          </cell>
          <cell r="AB62">
            <v>0.91955735262821903</v>
          </cell>
          <cell r="AC62">
            <v>129.80000000000001</v>
          </cell>
          <cell r="AD62" t="str">
            <v>No</v>
          </cell>
          <cell r="AF62">
            <v>432.1</v>
          </cell>
          <cell r="AG62">
            <v>0.91955735262821903</v>
          </cell>
          <cell r="AH62">
            <v>106.6</v>
          </cell>
          <cell r="AI62" t="str">
            <v>No</v>
          </cell>
        </row>
        <row r="63">
          <cell r="A63" t="str">
            <v>P18C1</v>
          </cell>
          <cell r="B63">
            <v>300.7</v>
          </cell>
          <cell r="C63">
            <v>0.63992338795488402</v>
          </cell>
          <cell r="D63">
            <v>1.03</v>
          </cell>
          <cell r="E63" t="str">
            <v>Yes</v>
          </cell>
          <cell r="G63">
            <v>310.39999999999998</v>
          </cell>
          <cell r="H63">
            <v>0.66056607788891297</v>
          </cell>
          <cell r="I63">
            <v>1.335</v>
          </cell>
          <cell r="J63" t="str">
            <v>Yes</v>
          </cell>
          <cell r="L63">
            <v>381.3</v>
          </cell>
          <cell r="M63">
            <v>0.81144924452011102</v>
          </cell>
          <cell r="N63">
            <v>11.34</v>
          </cell>
          <cell r="O63" t="str">
            <v>No</v>
          </cell>
          <cell r="Q63">
            <v>319.8</v>
          </cell>
          <cell r="R63">
            <v>0.68057033411364098</v>
          </cell>
          <cell r="S63">
            <v>1.91</v>
          </cell>
          <cell r="T63" t="str">
            <v>Yes</v>
          </cell>
          <cell r="V63">
            <v>339.2</v>
          </cell>
          <cell r="W63">
            <v>0.72185571398169801</v>
          </cell>
          <cell r="X63">
            <v>3.198</v>
          </cell>
          <cell r="Y63" t="str">
            <v>No</v>
          </cell>
          <cell r="AA63">
            <v>441.5</v>
          </cell>
          <cell r="AB63">
            <v>0.93956160885294704</v>
          </cell>
          <cell r="AC63">
            <v>144.1</v>
          </cell>
          <cell r="AD63" t="str">
            <v>No</v>
          </cell>
          <cell r="AF63">
            <v>432.1</v>
          </cell>
          <cell r="AG63">
            <v>0.91955735262821903</v>
          </cell>
          <cell r="AH63">
            <v>138.19999999999999</v>
          </cell>
          <cell r="AI63" t="str">
            <v>No</v>
          </cell>
        </row>
        <row r="64">
          <cell r="A64" t="str">
            <v>P18C2</v>
          </cell>
          <cell r="B64">
            <v>323.60000000000002</v>
          </cell>
          <cell r="C64">
            <v>0.68865716109810604</v>
          </cell>
          <cell r="D64">
            <v>2.0539999999999998</v>
          </cell>
          <cell r="E64" t="str">
            <v>Yes</v>
          </cell>
          <cell r="G64">
            <v>338.4</v>
          </cell>
          <cell r="H64">
            <v>0.72015322409023197</v>
          </cell>
          <cell r="I64">
            <v>6.0810000000000004</v>
          </cell>
          <cell r="J64" t="str">
            <v>No</v>
          </cell>
          <cell r="L64">
            <v>339.6</v>
          </cell>
          <cell r="M64">
            <v>0.72270695892743098</v>
          </cell>
          <cell r="N64">
            <v>6.6840000000000002</v>
          </cell>
          <cell r="O64" t="str">
            <v>No</v>
          </cell>
          <cell r="Q64">
            <v>365.8</v>
          </cell>
          <cell r="R64">
            <v>0.77846350287295196</v>
          </cell>
          <cell r="S64">
            <v>8.532</v>
          </cell>
          <cell r="T64" t="str">
            <v>No</v>
          </cell>
          <cell r="V64">
            <v>360.6</v>
          </cell>
          <cell r="W64">
            <v>0.76739731857842097</v>
          </cell>
          <cell r="X64">
            <v>8.1560000000000006</v>
          </cell>
          <cell r="Y64" t="str">
            <v>No</v>
          </cell>
          <cell r="AA64">
            <v>409.9</v>
          </cell>
          <cell r="AB64">
            <v>0.87231325814003002</v>
          </cell>
          <cell r="AC64">
            <v>117.1</v>
          </cell>
          <cell r="AD64" t="str">
            <v>No</v>
          </cell>
          <cell r="AF64">
            <v>435</v>
          </cell>
          <cell r="AG64">
            <v>0.92572887848478402</v>
          </cell>
          <cell r="AH64">
            <v>127.6</v>
          </cell>
          <cell r="AI64" t="str">
            <v>No</v>
          </cell>
        </row>
        <row r="65">
          <cell r="A65" t="str">
            <v>P18C3</v>
          </cell>
          <cell r="B65">
            <v>282.60000000000002</v>
          </cell>
          <cell r="C65">
            <v>0.60140455416046001</v>
          </cell>
          <cell r="D65">
            <v>0.73580000000000001</v>
          </cell>
          <cell r="E65" t="str">
            <v>Yes</v>
          </cell>
          <cell r="G65">
            <v>305.39999999999998</v>
          </cell>
          <cell r="H65">
            <v>0.64992551606724802</v>
          </cell>
          <cell r="I65">
            <v>1.0669999999999999</v>
          </cell>
          <cell r="J65" t="str">
            <v>Yes</v>
          </cell>
          <cell r="L65">
            <v>331.6</v>
          </cell>
          <cell r="M65">
            <v>0.70568206001276901</v>
          </cell>
          <cell r="N65">
            <v>2.746</v>
          </cell>
          <cell r="O65" t="str">
            <v>No</v>
          </cell>
          <cell r="Q65">
            <v>339</v>
          </cell>
          <cell r="R65">
            <v>0.72143009150883197</v>
          </cell>
          <cell r="S65">
            <v>4.0970000000000004</v>
          </cell>
          <cell r="T65" t="str">
            <v>No</v>
          </cell>
          <cell r="V65">
            <v>321.89999999999998</v>
          </cell>
          <cell r="W65">
            <v>0.68503937007874005</v>
          </cell>
          <cell r="X65">
            <v>1.8879999999999999</v>
          </cell>
          <cell r="Y65" t="str">
            <v>Yes</v>
          </cell>
          <cell r="AA65">
            <v>417.9</v>
          </cell>
          <cell r="AB65">
            <v>0.88933815705469199</v>
          </cell>
          <cell r="AC65">
            <v>92.75</v>
          </cell>
          <cell r="AD65" t="str">
            <v>No</v>
          </cell>
          <cell r="AF65">
            <v>401.9</v>
          </cell>
          <cell r="AG65">
            <v>0.85528835922536695</v>
          </cell>
          <cell r="AH65">
            <v>116.4</v>
          </cell>
          <cell r="AI65" t="str">
            <v>No</v>
          </cell>
        </row>
        <row r="66">
          <cell r="A66" t="str">
            <v>P19C1</v>
          </cell>
          <cell r="B66">
            <v>296.5</v>
          </cell>
          <cell r="C66">
            <v>0.63098531602468599</v>
          </cell>
          <cell r="D66">
            <v>1.0920000000000001</v>
          </cell>
          <cell r="E66" t="str">
            <v>Yes</v>
          </cell>
          <cell r="G66">
            <v>322.60000000000002</v>
          </cell>
          <cell r="H66">
            <v>0.68652904873377296</v>
          </cell>
          <cell r="I66">
            <v>1.9970000000000001</v>
          </cell>
          <cell r="J66" t="str">
            <v>Yes</v>
          </cell>
          <cell r="L66">
            <v>348.1</v>
          </cell>
          <cell r="M66">
            <v>0.74079591402426104</v>
          </cell>
          <cell r="N66">
            <v>6.258</v>
          </cell>
          <cell r="O66" t="str">
            <v>No</v>
          </cell>
          <cell r="Q66">
            <v>346.6</v>
          </cell>
          <cell r="R66">
            <v>0.73760374547776097</v>
          </cell>
          <cell r="S66">
            <v>5.38</v>
          </cell>
          <cell r="T66" t="str">
            <v>No</v>
          </cell>
          <cell r="V66">
            <v>333.8</v>
          </cell>
          <cell r="W66">
            <v>0.71036390721430098</v>
          </cell>
          <cell r="X66">
            <v>3.9950000000000001</v>
          </cell>
          <cell r="Y66" t="str">
            <v>No</v>
          </cell>
          <cell r="AA66">
            <v>424.7</v>
          </cell>
          <cell r="AB66">
            <v>0.90380932113215595</v>
          </cell>
          <cell r="AC66">
            <v>152.9</v>
          </cell>
          <cell r="AD66" t="str">
            <v>No</v>
          </cell>
          <cell r="AF66">
            <v>402</v>
          </cell>
          <cell r="AG66">
            <v>0.85550117046179996</v>
          </cell>
          <cell r="AH66">
            <v>159.80000000000001</v>
          </cell>
          <cell r="AI66" t="str">
            <v>No</v>
          </cell>
        </row>
        <row r="67">
          <cell r="A67" t="str">
            <v>P19C2</v>
          </cell>
          <cell r="B67">
            <v>334.1</v>
          </cell>
          <cell r="C67">
            <v>0.71100234092360104</v>
          </cell>
          <cell r="D67">
            <v>2.7839999999999998</v>
          </cell>
          <cell r="E67" t="str">
            <v>No</v>
          </cell>
          <cell r="G67">
            <v>302.89999999999998</v>
          </cell>
          <cell r="H67">
            <v>0.64460523515641599</v>
          </cell>
          <cell r="I67">
            <v>1.3839999999999999</v>
          </cell>
          <cell r="J67" t="str">
            <v>Yes</v>
          </cell>
          <cell r="L67">
            <v>317.5</v>
          </cell>
          <cell r="M67">
            <v>0.67567567567567599</v>
          </cell>
          <cell r="N67">
            <v>1.772</v>
          </cell>
          <cell r="O67" t="str">
            <v>Yes</v>
          </cell>
          <cell r="Q67">
            <v>330.5</v>
          </cell>
          <cell r="R67">
            <v>0.70334113641200302</v>
          </cell>
          <cell r="S67">
            <v>2.1589999999999998</v>
          </cell>
          <cell r="T67" t="str">
            <v>No</v>
          </cell>
          <cell r="V67">
            <v>310.2</v>
          </cell>
          <cell r="W67">
            <v>0.66014045541604605</v>
          </cell>
          <cell r="X67">
            <v>1.387</v>
          </cell>
          <cell r="Y67" t="str">
            <v>Yes</v>
          </cell>
          <cell r="AA67">
            <v>412.1</v>
          </cell>
          <cell r="AB67">
            <v>0.876995105341562</v>
          </cell>
          <cell r="AC67">
            <v>135</v>
          </cell>
          <cell r="AD67" t="str">
            <v>No</v>
          </cell>
          <cell r="AF67">
            <v>455.1</v>
          </cell>
          <cell r="AG67">
            <v>0.96850393700787396</v>
          </cell>
          <cell r="AH67">
            <v>240.9</v>
          </cell>
          <cell r="AI67" t="str">
            <v>No</v>
          </cell>
        </row>
        <row r="68">
          <cell r="A68" t="str">
            <v>P19C3</v>
          </cell>
          <cell r="B68">
            <v>301.5</v>
          </cell>
          <cell r="C68">
            <v>0.64162587784634995</v>
          </cell>
          <cell r="D68">
            <v>1.0029999999999999</v>
          </cell>
          <cell r="E68" t="str">
            <v>Yes</v>
          </cell>
          <cell r="G68">
            <v>317.3</v>
          </cell>
          <cell r="H68">
            <v>0.67525005320280895</v>
          </cell>
          <cell r="I68">
            <v>2.004</v>
          </cell>
          <cell r="J68" t="str">
            <v>Yes</v>
          </cell>
          <cell r="L68">
            <v>350.5</v>
          </cell>
          <cell r="M68">
            <v>0.74590338369865905</v>
          </cell>
          <cell r="N68">
            <v>5.5090000000000003</v>
          </cell>
          <cell r="O68" t="str">
            <v>No</v>
          </cell>
          <cell r="Q68">
            <v>346.8</v>
          </cell>
          <cell r="R68">
            <v>0.73802936795062801</v>
          </cell>
          <cell r="S68">
            <v>4.806</v>
          </cell>
          <cell r="T68" t="str">
            <v>No</v>
          </cell>
          <cell r="V68">
            <v>350</v>
          </cell>
          <cell r="W68">
            <v>0.74483932751649296</v>
          </cell>
          <cell r="X68">
            <v>5.8979999999999997</v>
          </cell>
          <cell r="Y68" t="str">
            <v>No</v>
          </cell>
          <cell r="AA68">
            <v>427.5</v>
          </cell>
          <cell r="AB68">
            <v>0.90976803575228804</v>
          </cell>
          <cell r="AC68">
            <v>137.6</v>
          </cell>
          <cell r="AD68" t="str">
            <v>No</v>
          </cell>
          <cell r="AF68">
            <v>434.5</v>
          </cell>
          <cell r="AG68">
            <v>0.92466482230261804</v>
          </cell>
          <cell r="AH68">
            <v>183.1</v>
          </cell>
          <cell r="AI68" t="str">
            <v>No</v>
          </cell>
        </row>
        <row r="69">
          <cell r="A69" t="str">
            <v>P20C1</v>
          </cell>
          <cell r="B69">
            <v>354.3</v>
          </cell>
          <cell r="C69">
            <v>0.753990210683124</v>
          </cell>
          <cell r="D69">
            <v>5.1449999999999996</v>
          </cell>
          <cell r="E69" t="str">
            <v>No</v>
          </cell>
          <cell r="G69">
            <v>388.2</v>
          </cell>
          <cell r="H69">
            <v>0.826133219834007</v>
          </cell>
          <cell r="I69">
            <v>19.760000000000002</v>
          </cell>
          <cell r="J69" t="str">
            <v>No</v>
          </cell>
          <cell r="L69">
            <v>367.7</v>
          </cell>
          <cell r="M69">
            <v>0.78250691636518399</v>
          </cell>
          <cell r="N69">
            <v>8.6910000000000007</v>
          </cell>
          <cell r="O69" t="str">
            <v>No</v>
          </cell>
          <cell r="Q69">
            <v>381.3</v>
          </cell>
          <cell r="R69">
            <v>0.81144924452011102</v>
          </cell>
          <cell r="S69">
            <v>13.22</v>
          </cell>
          <cell r="T69" t="str">
            <v>No</v>
          </cell>
          <cell r="V69">
            <v>337.6</v>
          </cell>
          <cell r="W69">
            <v>0.71845073419876604</v>
          </cell>
          <cell r="X69">
            <v>3.58</v>
          </cell>
          <cell r="Y69" t="str">
            <v>No</v>
          </cell>
          <cell r="AA69">
            <v>447.5</v>
          </cell>
          <cell r="AB69">
            <v>0.95233028303894496</v>
          </cell>
          <cell r="AC69">
            <v>212.9</v>
          </cell>
          <cell r="AD69" t="str">
            <v>No</v>
          </cell>
          <cell r="AF69">
            <v>444.3</v>
          </cell>
          <cell r="AG69">
            <v>0.94552032347307902</v>
          </cell>
          <cell r="AH69">
            <v>128</v>
          </cell>
          <cell r="AI69" t="str">
            <v>No</v>
          </cell>
        </row>
        <row r="70">
          <cell r="A70" t="str">
            <v>P20C2</v>
          </cell>
          <cell r="B70">
            <v>373.7</v>
          </cell>
          <cell r="C70">
            <v>0.79527559055118102</v>
          </cell>
          <cell r="D70">
            <v>9.016</v>
          </cell>
          <cell r="E70" t="str">
            <v>No</v>
          </cell>
          <cell r="G70">
            <v>388.9</v>
          </cell>
          <cell r="H70">
            <v>0.82762289848904003</v>
          </cell>
          <cell r="I70">
            <v>18.649999999999999</v>
          </cell>
          <cell r="J70" t="str">
            <v>No</v>
          </cell>
          <cell r="L70">
            <v>354.4</v>
          </cell>
          <cell r="M70">
            <v>0.75420302191955702</v>
          </cell>
          <cell r="N70">
            <v>4.5129999999999999</v>
          </cell>
          <cell r="O70" t="str">
            <v>No</v>
          </cell>
          <cell r="Q70">
            <v>344</v>
          </cell>
          <cell r="R70">
            <v>0.73207065333049604</v>
          </cell>
          <cell r="S70">
            <v>3.6219999999999999</v>
          </cell>
          <cell r="T70" t="str">
            <v>No</v>
          </cell>
          <cell r="V70">
            <v>330</v>
          </cell>
          <cell r="W70">
            <v>0.70227708022983604</v>
          </cell>
          <cell r="X70">
            <v>2.4089999999999998</v>
          </cell>
          <cell r="Y70" t="str">
            <v>No</v>
          </cell>
          <cell r="AA70">
            <v>454.7</v>
          </cell>
          <cell r="AB70">
            <v>0.967652692062141</v>
          </cell>
          <cell r="AC70">
            <v>239.2</v>
          </cell>
          <cell r="AD70" t="str">
            <v>No</v>
          </cell>
          <cell r="AF70">
            <v>434.5</v>
          </cell>
          <cell r="AG70">
            <v>0.92466482230261804</v>
          </cell>
          <cell r="AH70">
            <v>128.19999999999999</v>
          </cell>
          <cell r="AI70" t="str">
            <v>No</v>
          </cell>
        </row>
        <row r="71">
          <cell r="A71" t="str">
            <v>P20C3</v>
          </cell>
          <cell r="B71">
            <v>282.3</v>
          </cell>
          <cell r="C71">
            <v>0.60076612045115996</v>
          </cell>
          <cell r="D71">
            <v>0.92430000000000001</v>
          </cell>
          <cell r="E71" t="str">
            <v>Yes</v>
          </cell>
          <cell r="G71">
            <v>392.4</v>
          </cell>
          <cell r="H71">
            <v>0.83507129176420503</v>
          </cell>
          <cell r="I71">
            <v>19.53</v>
          </cell>
          <cell r="J71" t="str">
            <v>No</v>
          </cell>
          <cell r="L71">
            <v>303.89999999999998</v>
          </cell>
          <cell r="M71">
            <v>0.64673334752074896</v>
          </cell>
          <cell r="N71">
            <v>1.4650000000000001</v>
          </cell>
          <cell r="O71" t="str">
            <v>Yes</v>
          </cell>
          <cell r="Q71">
            <v>306.89999999999998</v>
          </cell>
          <cell r="R71">
            <v>0.65311768461374797</v>
          </cell>
          <cell r="S71">
            <v>1.405</v>
          </cell>
          <cell r="T71" t="str">
            <v>Yes</v>
          </cell>
          <cell r="V71">
            <v>384.1</v>
          </cell>
          <cell r="W71">
            <v>0.817407959140243</v>
          </cell>
          <cell r="X71">
            <v>14.57</v>
          </cell>
          <cell r="Y71" t="str">
            <v>No</v>
          </cell>
          <cell r="AA71">
            <v>405.4</v>
          </cell>
          <cell r="AB71">
            <v>0.86273675250053194</v>
          </cell>
          <cell r="AC71">
            <v>43.37</v>
          </cell>
          <cell r="AD71" t="str">
            <v>No</v>
          </cell>
          <cell r="AF71">
            <v>430.1</v>
          </cell>
          <cell r="AG71">
            <v>0.91530112789955298</v>
          </cell>
          <cell r="AH71">
            <v>63.65</v>
          </cell>
          <cell r="AI71" t="str">
            <v>No</v>
          </cell>
        </row>
        <row r="72">
          <cell r="A72" t="str">
            <v>P20C4</v>
          </cell>
          <cell r="B72">
            <v>295.3</v>
          </cell>
          <cell r="C72">
            <v>0.62843158118748699</v>
          </cell>
          <cell r="D72">
            <v>1.177</v>
          </cell>
          <cell r="E72" t="str">
            <v>Yes</v>
          </cell>
          <cell r="G72">
            <v>303.7</v>
          </cell>
          <cell r="H72">
            <v>0.64630772504788303</v>
          </cell>
          <cell r="I72">
            <v>1.5740000000000001</v>
          </cell>
          <cell r="J72" t="str">
            <v>Yes</v>
          </cell>
          <cell r="L72">
            <v>277.89999999999998</v>
          </cell>
          <cell r="M72">
            <v>0.59140242604809501</v>
          </cell>
          <cell r="N72">
            <v>0.89290000000000003</v>
          </cell>
          <cell r="O72" t="str">
            <v>Yes</v>
          </cell>
          <cell r="Q72">
            <v>302.10000000000002</v>
          </cell>
          <cell r="R72">
            <v>0.64290274526494995</v>
          </cell>
          <cell r="S72">
            <v>1.5640000000000001</v>
          </cell>
          <cell r="T72" t="str">
            <v>Yes</v>
          </cell>
          <cell r="V72">
            <v>311.8</v>
          </cell>
          <cell r="W72">
            <v>0.66354543519897902</v>
          </cell>
          <cell r="X72">
            <v>2.1760000000000002</v>
          </cell>
          <cell r="Y72" t="str">
            <v>Yes</v>
          </cell>
          <cell r="AA72">
            <v>369.1</v>
          </cell>
          <cell r="AB72">
            <v>0.78548627367525004</v>
          </cell>
          <cell r="AC72">
            <v>18.829999999999998</v>
          </cell>
          <cell r="AD72" t="str">
            <v>No</v>
          </cell>
          <cell r="AF72">
            <v>426</v>
          </cell>
          <cell r="AG72">
            <v>0.90657586720578898</v>
          </cell>
          <cell r="AH72">
            <v>72.63</v>
          </cell>
          <cell r="AI72" t="str">
            <v>No</v>
          </cell>
        </row>
        <row r="73">
          <cell r="A73" t="str">
            <v>P21C1</v>
          </cell>
          <cell r="B73">
            <v>297.39999999999998</v>
          </cell>
          <cell r="C73">
            <v>0.63290061715258605</v>
          </cell>
          <cell r="D73">
            <v>1.006</v>
          </cell>
          <cell r="E73" t="str">
            <v>Yes</v>
          </cell>
          <cell r="G73">
            <v>363.9</v>
          </cell>
          <cell r="H73">
            <v>0.77442008938071905</v>
          </cell>
          <cell r="I73">
            <v>8.3829999999999991</v>
          </cell>
          <cell r="J73" t="str">
            <v>No</v>
          </cell>
          <cell r="L73">
            <v>337.2</v>
          </cell>
          <cell r="M73">
            <v>0.71759948925303296</v>
          </cell>
          <cell r="N73">
            <v>3.8610000000000002</v>
          </cell>
          <cell r="O73" t="str">
            <v>No</v>
          </cell>
          <cell r="Q73">
            <v>320.10000000000002</v>
          </cell>
          <cell r="R73">
            <v>0.68120876782294104</v>
          </cell>
          <cell r="S73">
            <v>1.9350000000000001</v>
          </cell>
          <cell r="T73" t="str">
            <v>Yes</v>
          </cell>
          <cell r="V73">
            <v>350.7</v>
          </cell>
          <cell r="W73">
            <v>0.74632900617152598</v>
          </cell>
          <cell r="X73">
            <v>5.6239999999999997</v>
          </cell>
          <cell r="Y73" t="str">
            <v>No</v>
          </cell>
          <cell r="AA73">
            <v>455</v>
          </cell>
          <cell r="AB73">
            <v>0.96829112577144105</v>
          </cell>
          <cell r="AC73">
            <v>139</v>
          </cell>
          <cell r="AD73" t="str">
            <v>No</v>
          </cell>
          <cell r="AF73">
            <v>449.4</v>
          </cell>
          <cell r="AG73">
            <v>0.95637369653117699</v>
          </cell>
          <cell r="AH73">
            <v>107.4</v>
          </cell>
          <cell r="AI73" t="str">
            <v>No</v>
          </cell>
        </row>
        <row r="74">
          <cell r="A74" t="str">
            <v>P21C2</v>
          </cell>
          <cell r="B74">
            <v>332.6</v>
          </cell>
          <cell r="C74">
            <v>0.70781017237710198</v>
          </cell>
          <cell r="D74">
            <v>2.407</v>
          </cell>
          <cell r="E74" t="str">
            <v>No</v>
          </cell>
          <cell r="G74">
            <v>388.2</v>
          </cell>
          <cell r="H74">
            <v>0.826133219834007</v>
          </cell>
          <cell r="I74">
            <v>19.96</v>
          </cell>
          <cell r="J74" t="str">
            <v>No</v>
          </cell>
          <cell r="L74">
            <v>348.3</v>
          </cell>
          <cell r="M74">
            <v>0.74122153649712696</v>
          </cell>
          <cell r="N74">
            <v>6.141</v>
          </cell>
          <cell r="O74" t="str">
            <v>No</v>
          </cell>
          <cell r="Q74">
            <v>323.8</v>
          </cell>
          <cell r="R74">
            <v>0.68908278357097297</v>
          </cell>
          <cell r="S74">
            <v>1.6919999999999999</v>
          </cell>
          <cell r="T74" t="str">
            <v>Yes</v>
          </cell>
          <cell r="V74">
            <v>367.8</v>
          </cell>
          <cell r="W74">
            <v>0.78271972760161701</v>
          </cell>
          <cell r="X74">
            <v>9.8629999999999995</v>
          </cell>
          <cell r="Y74" t="str">
            <v>No</v>
          </cell>
          <cell r="AA74">
            <v>459.6</v>
          </cell>
          <cell r="AB74">
            <v>0.97808044264737204</v>
          </cell>
          <cell r="AC74">
            <v>223.6</v>
          </cell>
          <cell r="AD74" t="str">
            <v>No</v>
          </cell>
          <cell r="AF74">
            <v>465.2</v>
          </cell>
          <cell r="AG74">
            <v>0.98999787188763599</v>
          </cell>
          <cell r="AH74">
            <v>1046</v>
          </cell>
          <cell r="AI74" t="str">
            <v>No</v>
          </cell>
        </row>
        <row r="75">
          <cell r="A75" t="str">
            <v>P21C3</v>
          </cell>
          <cell r="B75">
            <v>323.5</v>
          </cell>
          <cell r="C75">
            <v>0.68844434986167302</v>
          </cell>
          <cell r="D75">
            <v>1.6439999999999999</v>
          </cell>
          <cell r="E75" t="str">
            <v>Yes</v>
          </cell>
          <cell r="G75">
            <v>391.9</v>
          </cell>
          <cell r="H75">
            <v>0.83400723558203904</v>
          </cell>
          <cell r="I75">
            <v>19.12</v>
          </cell>
          <cell r="J75" t="str">
            <v>No</v>
          </cell>
          <cell r="L75">
            <v>310.39999999999998</v>
          </cell>
          <cell r="M75">
            <v>0.66056607788891297</v>
          </cell>
          <cell r="N75">
            <v>1.37</v>
          </cell>
          <cell r="O75" t="str">
            <v>Yes</v>
          </cell>
          <cell r="Q75">
            <v>350.4</v>
          </cell>
          <cell r="R75">
            <v>0.74569057246222603</v>
          </cell>
          <cell r="S75">
            <v>4.1870000000000003</v>
          </cell>
          <cell r="T75" t="str">
            <v>No</v>
          </cell>
          <cell r="V75">
            <v>381.4</v>
          </cell>
          <cell r="W75">
            <v>0.81166205575654404</v>
          </cell>
          <cell r="X75">
            <v>15.76</v>
          </cell>
          <cell r="Y75" t="str">
            <v>No</v>
          </cell>
          <cell r="AA75">
            <v>462.8</v>
          </cell>
          <cell r="AB75">
            <v>0.98489040221323698</v>
          </cell>
          <cell r="AC75">
            <v>231.1</v>
          </cell>
          <cell r="AD75" t="str">
            <v>No</v>
          </cell>
          <cell r="AF75">
            <v>453.5</v>
          </cell>
          <cell r="AG75">
            <v>0.96509895722494199</v>
          </cell>
          <cell r="AH75">
            <v>254.8</v>
          </cell>
          <cell r="AI75" t="str">
            <v>No</v>
          </cell>
        </row>
        <row r="76">
          <cell r="A76" t="str">
            <v>P21C4</v>
          </cell>
          <cell r="B76">
            <v>334.4</v>
          </cell>
          <cell r="C76">
            <v>0.71164077463290099</v>
          </cell>
          <cell r="D76">
            <v>3.0750000000000002</v>
          </cell>
          <cell r="E76" t="str">
            <v>No</v>
          </cell>
          <cell r="G76">
            <v>389.8</v>
          </cell>
          <cell r="H76">
            <v>0.82953819961693998</v>
          </cell>
          <cell r="I76">
            <v>19.07</v>
          </cell>
          <cell r="J76" t="str">
            <v>No</v>
          </cell>
          <cell r="L76">
            <v>348.2</v>
          </cell>
          <cell r="M76">
            <v>0.74100872526069395</v>
          </cell>
          <cell r="N76">
            <v>3.6280000000000001</v>
          </cell>
          <cell r="O76" t="str">
            <v>No</v>
          </cell>
          <cell r="Q76">
            <v>386.1</v>
          </cell>
          <cell r="R76">
            <v>0.82166418386890805</v>
          </cell>
          <cell r="S76">
            <v>15.89</v>
          </cell>
          <cell r="T76" t="str">
            <v>No</v>
          </cell>
          <cell r="V76">
            <v>383.7</v>
          </cell>
          <cell r="W76">
            <v>0.81655671419450904</v>
          </cell>
          <cell r="X76">
            <v>13.49</v>
          </cell>
          <cell r="Y76" t="str">
            <v>No</v>
          </cell>
          <cell r="AA76">
            <v>449.8</v>
          </cell>
          <cell r="AB76">
            <v>0.95722494147690995</v>
          </cell>
          <cell r="AC76">
            <v>117.5</v>
          </cell>
          <cell r="AD76" t="str">
            <v>No</v>
          </cell>
          <cell r="AF76">
            <v>448.4</v>
          </cell>
          <cell r="AG76">
            <v>0.95424558416684402</v>
          </cell>
          <cell r="AH76">
            <v>191.6</v>
          </cell>
          <cell r="AI76" t="str">
            <v>No</v>
          </cell>
        </row>
        <row r="77">
          <cell r="A77" t="str">
            <v>P22C1</v>
          </cell>
          <cell r="B77">
            <v>325.39999999999998</v>
          </cell>
          <cell r="C77">
            <v>0.69248776335390505</v>
          </cell>
          <cell r="D77">
            <v>2.165</v>
          </cell>
          <cell r="E77" t="str">
            <v>Yes</v>
          </cell>
          <cell r="G77">
            <v>384.3</v>
          </cell>
          <cell r="H77">
            <v>0.81783358161310904</v>
          </cell>
          <cell r="I77">
            <v>18.29</v>
          </cell>
          <cell r="J77" t="str">
            <v>No</v>
          </cell>
          <cell r="L77">
            <v>313.2</v>
          </cell>
          <cell r="M77">
            <v>0.66652479250904495</v>
          </cell>
          <cell r="N77">
            <v>1.393</v>
          </cell>
          <cell r="O77" t="str">
            <v>Yes</v>
          </cell>
          <cell r="Q77">
            <v>355.3</v>
          </cell>
          <cell r="R77">
            <v>0.75611832304745696</v>
          </cell>
          <cell r="S77">
            <v>6.6120000000000001</v>
          </cell>
          <cell r="T77" t="str">
            <v>No</v>
          </cell>
          <cell r="V77">
            <v>407.2</v>
          </cell>
          <cell r="W77">
            <v>0.86656735475633095</v>
          </cell>
          <cell r="X77">
            <v>33.869999999999997</v>
          </cell>
          <cell r="Y77" t="str">
            <v>No</v>
          </cell>
          <cell r="AA77">
            <v>424.5</v>
          </cell>
          <cell r="AB77">
            <v>0.90338369865928903</v>
          </cell>
          <cell r="AC77">
            <v>90.9</v>
          </cell>
          <cell r="AD77" t="str">
            <v>No</v>
          </cell>
          <cell r="AF77">
            <v>422.4</v>
          </cell>
          <cell r="AG77">
            <v>0.89891466269418996</v>
          </cell>
          <cell r="AH77">
            <v>72</v>
          </cell>
          <cell r="AI77" t="str">
            <v>No</v>
          </cell>
        </row>
        <row r="78">
          <cell r="A78" t="str">
            <v>P22C2</v>
          </cell>
          <cell r="B78">
            <v>375.9</v>
          </cell>
          <cell r="C78">
            <v>0.799957437752713</v>
          </cell>
          <cell r="D78">
            <v>9.3379999999999992</v>
          </cell>
          <cell r="E78" t="str">
            <v>No</v>
          </cell>
          <cell r="G78">
            <v>368.9</v>
          </cell>
          <cell r="H78">
            <v>0.785060651202383</v>
          </cell>
          <cell r="I78">
            <v>10.06</v>
          </cell>
          <cell r="J78" t="str">
            <v>No</v>
          </cell>
          <cell r="L78">
            <v>344.3</v>
          </cell>
          <cell r="M78">
            <v>0.73270908703979598</v>
          </cell>
          <cell r="N78">
            <v>3.105</v>
          </cell>
          <cell r="O78" t="str">
            <v>No</v>
          </cell>
          <cell r="Q78">
            <v>386.1</v>
          </cell>
          <cell r="R78">
            <v>0.82166418386890805</v>
          </cell>
          <cell r="S78">
            <v>18.45</v>
          </cell>
          <cell r="T78" t="str">
            <v>No</v>
          </cell>
          <cell r="V78">
            <v>393.3</v>
          </cell>
          <cell r="W78">
            <v>0.83698659289210497</v>
          </cell>
          <cell r="X78">
            <v>22.2</v>
          </cell>
          <cell r="Y78" t="str">
            <v>No</v>
          </cell>
          <cell r="AA78">
            <v>428.1</v>
          </cell>
          <cell r="AB78">
            <v>0.91104490317088704</v>
          </cell>
          <cell r="AC78">
            <v>141.80000000000001</v>
          </cell>
          <cell r="AD78" t="str">
            <v>No</v>
          </cell>
          <cell r="AF78">
            <v>434.1</v>
          </cell>
          <cell r="AG78">
            <v>0.92381357735688496</v>
          </cell>
          <cell r="AH78">
            <v>154</v>
          </cell>
          <cell r="AI78" t="str">
            <v>No</v>
          </cell>
        </row>
        <row r="79">
          <cell r="A79" t="str">
            <v>P22C3</v>
          </cell>
          <cell r="B79">
            <v>313.8</v>
          </cell>
          <cell r="C79">
            <v>0.66780165992764395</v>
          </cell>
          <cell r="D79">
            <v>1.4370000000000001</v>
          </cell>
          <cell r="E79" t="str">
            <v>Yes</v>
          </cell>
          <cell r="G79">
            <v>367.1</v>
          </cell>
          <cell r="H79">
            <v>0.78123004894658399</v>
          </cell>
          <cell r="I79">
            <v>8.8559999999999999</v>
          </cell>
          <cell r="J79" t="str">
            <v>No</v>
          </cell>
          <cell r="L79">
            <v>324.8</v>
          </cell>
          <cell r="M79">
            <v>0.69121089593530505</v>
          </cell>
          <cell r="N79">
            <v>1.619</v>
          </cell>
          <cell r="O79" t="str">
            <v>Yes</v>
          </cell>
          <cell r="Q79">
            <v>315.39999999999998</v>
          </cell>
          <cell r="R79">
            <v>0.67120663971057704</v>
          </cell>
          <cell r="S79">
            <v>1.7769999999999999</v>
          </cell>
          <cell r="T79" t="str">
            <v>Yes</v>
          </cell>
          <cell r="V79">
            <v>417.1</v>
          </cell>
          <cell r="W79">
            <v>0.88763566716322595</v>
          </cell>
          <cell r="X79">
            <v>70.41</v>
          </cell>
          <cell r="Y79" t="str">
            <v>No</v>
          </cell>
          <cell r="AA79">
            <v>427.5</v>
          </cell>
          <cell r="AB79">
            <v>0.90976803575228804</v>
          </cell>
          <cell r="AC79">
            <v>110.9</v>
          </cell>
          <cell r="AD79" t="str">
            <v>No</v>
          </cell>
          <cell r="AF79">
            <v>412.6</v>
          </cell>
          <cell r="AG79">
            <v>0.87805916152372898</v>
          </cell>
          <cell r="AH79">
            <v>40.409999999999997</v>
          </cell>
          <cell r="AI79" t="str">
            <v>No</v>
          </cell>
        </row>
        <row r="80">
          <cell r="A80" t="str">
            <v>P22C4</v>
          </cell>
          <cell r="B80">
            <v>328</v>
          </cell>
          <cell r="C80">
            <v>0.69802085550117099</v>
          </cell>
          <cell r="D80">
            <v>5.5090000000000003</v>
          </cell>
          <cell r="E80" t="str">
            <v>Yes</v>
          </cell>
          <cell r="G80">
            <v>327.10000000000002</v>
          </cell>
          <cell r="H80">
            <v>0.69610555437327104</v>
          </cell>
          <cell r="I80">
            <v>3.3410000000000002</v>
          </cell>
          <cell r="J80" t="str">
            <v>Yes</v>
          </cell>
          <cell r="L80">
            <v>320.7</v>
          </cell>
          <cell r="M80">
            <v>0.68248563524154104</v>
          </cell>
          <cell r="N80">
            <v>3.855</v>
          </cell>
          <cell r="O80" t="str">
            <v>Yes</v>
          </cell>
          <cell r="Q80">
            <v>366</v>
          </cell>
          <cell r="R80">
            <v>0.778889125345818</v>
          </cell>
          <cell r="S80">
            <v>7.8920000000000003</v>
          </cell>
          <cell r="T80" t="str">
            <v>No</v>
          </cell>
          <cell r="V80">
            <v>372.1</v>
          </cell>
          <cell r="W80">
            <v>0.79187061076824905</v>
          </cell>
          <cell r="X80">
            <v>21.21</v>
          </cell>
          <cell r="Y80" t="str">
            <v>No</v>
          </cell>
          <cell r="AA80">
            <v>415.6</v>
          </cell>
          <cell r="AB80">
            <v>0.884443498616727</v>
          </cell>
          <cell r="AC80">
            <v>66.989999999999995</v>
          </cell>
          <cell r="AD80" t="str">
            <v>No</v>
          </cell>
          <cell r="AF80">
            <v>411.2</v>
          </cell>
          <cell r="AG80">
            <v>0.87507980421366205</v>
          </cell>
          <cell r="AH80">
            <v>62.78</v>
          </cell>
          <cell r="AI80" t="str">
            <v>No</v>
          </cell>
        </row>
        <row r="81">
          <cell r="A81" t="str">
            <v>P23C1</v>
          </cell>
          <cell r="B81">
            <v>330</v>
          </cell>
          <cell r="C81">
            <v>0.70227708022983604</v>
          </cell>
          <cell r="D81">
            <v>3.024</v>
          </cell>
          <cell r="E81" t="str">
            <v>Yes</v>
          </cell>
          <cell r="G81">
            <v>393.9</v>
          </cell>
          <cell r="H81">
            <v>0.83826346031070398</v>
          </cell>
          <cell r="I81">
            <v>23.23</v>
          </cell>
          <cell r="J81" t="str">
            <v>No</v>
          </cell>
          <cell r="L81">
            <v>355.7</v>
          </cell>
          <cell r="M81">
            <v>0.75696956799319004</v>
          </cell>
          <cell r="N81">
            <v>6.59</v>
          </cell>
          <cell r="O81" t="str">
            <v>No</v>
          </cell>
          <cell r="Q81">
            <v>387.6</v>
          </cell>
          <cell r="R81">
            <v>0.824856352415408</v>
          </cell>
          <cell r="S81">
            <v>16.78</v>
          </cell>
          <cell r="T81" t="str">
            <v>No</v>
          </cell>
          <cell r="V81">
            <v>389.8</v>
          </cell>
          <cell r="W81">
            <v>0.82953819961693998</v>
          </cell>
          <cell r="X81">
            <v>22.34</v>
          </cell>
          <cell r="Y81" t="str">
            <v>No</v>
          </cell>
          <cell r="AA81">
            <v>427.2</v>
          </cell>
          <cell r="AB81">
            <v>0.90912960204298798</v>
          </cell>
          <cell r="AC81">
            <v>147.80000000000001</v>
          </cell>
          <cell r="AD81" t="str">
            <v>No</v>
          </cell>
          <cell r="AF81">
            <v>432.8</v>
          </cell>
          <cell r="AG81">
            <v>0.92104703128325205</v>
          </cell>
          <cell r="AH81">
            <v>203.1</v>
          </cell>
          <cell r="AI81" t="str">
            <v>No</v>
          </cell>
        </row>
        <row r="82">
          <cell r="A82" t="str">
            <v>P23C2</v>
          </cell>
          <cell r="B82">
            <v>332.9</v>
          </cell>
          <cell r="C82">
            <v>0.70844860608640103</v>
          </cell>
          <cell r="D82">
            <v>3.1150000000000002</v>
          </cell>
          <cell r="E82" t="str">
            <v>No</v>
          </cell>
          <cell r="G82">
            <v>395.2</v>
          </cell>
          <cell r="H82">
            <v>0.841030006384337</v>
          </cell>
          <cell r="I82">
            <v>20.91</v>
          </cell>
          <cell r="J82" t="str">
            <v>No</v>
          </cell>
          <cell r="L82">
            <v>388.9</v>
          </cell>
          <cell r="M82">
            <v>0.82762289848904003</v>
          </cell>
          <cell r="N82">
            <v>19.89</v>
          </cell>
          <cell r="O82" t="str">
            <v>No</v>
          </cell>
          <cell r="Q82">
            <v>378.4</v>
          </cell>
          <cell r="R82">
            <v>0.80527771866354503</v>
          </cell>
          <cell r="S82">
            <v>12.47</v>
          </cell>
          <cell r="T82" t="str">
            <v>No</v>
          </cell>
          <cell r="V82">
            <v>354.3</v>
          </cell>
          <cell r="W82">
            <v>0.753990210683124</v>
          </cell>
          <cell r="X82">
            <v>7.8529999999999998</v>
          </cell>
          <cell r="Y82" t="str">
            <v>No</v>
          </cell>
          <cell r="AA82">
            <v>464.2</v>
          </cell>
          <cell r="AB82">
            <v>0.98786975952330303</v>
          </cell>
          <cell r="AC82">
            <v>296</v>
          </cell>
          <cell r="AD82" t="str">
            <v>No</v>
          </cell>
          <cell r="AF82">
            <v>437.2</v>
          </cell>
          <cell r="AG82">
            <v>0.930410725686316</v>
          </cell>
          <cell r="AH82">
            <v>195.8</v>
          </cell>
          <cell r="AI82" t="str">
            <v>No</v>
          </cell>
        </row>
        <row r="83">
          <cell r="A83" t="str">
            <v>P23C3</v>
          </cell>
          <cell r="B83">
            <v>304.5</v>
          </cell>
          <cell r="C83">
            <v>0.64801021493934896</v>
          </cell>
          <cell r="D83">
            <v>0.97950000000000004</v>
          </cell>
          <cell r="E83" t="str">
            <v>Yes</v>
          </cell>
          <cell r="G83">
            <v>394.4</v>
          </cell>
          <cell r="H83">
            <v>0.83932751649287096</v>
          </cell>
          <cell r="I83">
            <v>23.78</v>
          </cell>
          <cell r="J83" t="str">
            <v>No</v>
          </cell>
          <cell r="L83">
            <v>354.6</v>
          </cell>
          <cell r="M83">
            <v>0.75462864439242405</v>
          </cell>
          <cell r="N83">
            <v>8.6240000000000006</v>
          </cell>
          <cell r="O83" t="str">
            <v>No</v>
          </cell>
          <cell r="Q83">
            <v>335.4</v>
          </cell>
          <cell r="R83">
            <v>0.71376888699723295</v>
          </cell>
          <cell r="S83">
            <v>3.7309999999999999</v>
          </cell>
          <cell r="T83" t="str">
            <v>No</v>
          </cell>
          <cell r="V83">
            <v>307.39999999999998</v>
          </cell>
          <cell r="W83">
            <v>0.65418174079591396</v>
          </cell>
          <cell r="X83">
            <v>2.387</v>
          </cell>
          <cell r="Y83" t="str">
            <v>Yes</v>
          </cell>
          <cell r="AA83">
            <v>449.2</v>
          </cell>
          <cell r="AB83">
            <v>0.95594807405830995</v>
          </cell>
          <cell r="AC83">
            <v>773.8</v>
          </cell>
          <cell r="AD83" t="str">
            <v>No</v>
          </cell>
          <cell r="AF83">
            <v>420.1</v>
          </cell>
          <cell r="AG83">
            <v>0.89402000425622496</v>
          </cell>
          <cell r="AH83">
            <v>131.80000000000001</v>
          </cell>
          <cell r="AI83" t="str">
            <v>No</v>
          </cell>
        </row>
        <row r="84">
          <cell r="A84" t="str">
            <v>P24C1</v>
          </cell>
          <cell r="B84">
            <v>304.7</v>
          </cell>
          <cell r="C84">
            <v>0.648435837412215</v>
          </cell>
          <cell r="D84">
            <v>1.2769999999999999</v>
          </cell>
          <cell r="E84" t="str">
            <v>Yes</v>
          </cell>
          <cell r="G84">
            <v>390.4</v>
          </cell>
          <cell r="H84">
            <v>0.83081506703553898</v>
          </cell>
          <cell r="I84">
            <v>18.440000000000001</v>
          </cell>
          <cell r="J84" t="str">
            <v>No</v>
          </cell>
          <cell r="L84">
            <v>371.8</v>
          </cell>
          <cell r="M84">
            <v>0.79123217705894899</v>
          </cell>
          <cell r="N84">
            <v>5.7489999999999997</v>
          </cell>
          <cell r="O84" t="str">
            <v>No</v>
          </cell>
          <cell r="Q84">
            <v>300.3</v>
          </cell>
          <cell r="R84">
            <v>0.63907214300915105</v>
          </cell>
          <cell r="S84">
            <v>1.9239999999999999</v>
          </cell>
          <cell r="T84" t="str">
            <v>Yes</v>
          </cell>
          <cell r="V84">
            <v>394.4</v>
          </cell>
          <cell r="W84">
            <v>0.83932751649287096</v>
          </cell>
          <cell r="X84">
            <v>22.82</v>
          </cell>
          <cell r="Y84" t="str">
            <v>No</v>
          </cell>
          <cell r="AA84">
            <v>443.9</v>
          </cell>
          <cell r="AB84">
            <v>0.94466907852734605</v>
          </cell>
          <cell r="AC84">
            <v>114</v>
          </cell>
          <cell r="AD84" t="str">
            <v>No</v>
          </cell>
          <cell r="AF84">
            <v>426.1</v>
          </cell>
          <cell r="AG84">
            <v>0.906788678442222</v>
          </cell>
          <cell r="AH84">
            <v>64.73</v>
          </cell>
          <cell r="AI84" t="str">
            <v>No</v>
          </cell>
        </row>
        <row r="85">
          <cell r="A85" t="str">
            <v>P24C2</v>
          </cell>
          <cell r="B85">
            <v>292</v>
          </cell>
          <cell r="C85">
            <v>0.62140881038518803</v>
          </cell>
          <cell r="D85">
            <v>0.9274</v>
          </cell>
          <cell r="E85" t="str">
            <v>Yes</v>
          </cell>
          <cell r="G85">
            <v>359.7</v>
          </cell>
          <cell r="H85">
            <v>0.76548201745052102</v>
          </cell>
          <cell r="I85">
            <v>7.0439999999999996</v>
          </cell>
          <cell r="J85" t="str">
            <v>No</v>
          </cell>
          <cell r="L85">
            <v>347.8</v>
          </cell>
          <cell r="M85">
            <v>0.74015748031496098</v>
          </cell>
          <cell r="N85">
            <v>3.26</v>
          </cell>
          <cell r="O85" t="str">
            <v>No</v>
          </cell>
          <cell r="Q85">
            <v>307.89999999999998</v>
          </cell>
          <cell r="R85">
            <v>0.65524579697808005</v>
          </cell>
          <cell r="S85">
            <v>1.2230000000000001</v>
          </cell>
          <cell r="T85" t="str">
            <v>Yes</v>
          </cell>
          <cell r="V85">
            <v>422.9</v>
          </cell>
          <cell r="W85">
            <v>0.89997871887635705</v>
          </cell>
          <cell r="X85">
            <v>38.369999999999997</v>
          </cell>
          <cell r="Y85" t="str">
            <v>No</v>
          </cell>
          <cell r="AA85">
            <v>432.4</v>
          </cell>
          <cell r="AB85">
            <v>0.92019578633751897</v>
          </cell>
          <cell r="AC85">
            <v>66.989999999999995</v>
          </cell>
          <cell r="AD85" t="str">
            <v>No</v>
          </cell>
          <cell r="AF85">
            <v>443</v>
          </cell>
          <cell r="AG85">
            <v>0.94275377739944699</v>
          </cell>
          <cell r="AH85">
            <v>118.7</v>
          </cell>
          <cell r="AI85" t="str">
            <v>No</v>
          </cell>
        </row>
        <row r="86">
          <cell r="A86" t="str">
            <v>P25C1</v>
          </cell>
          <cell r="B86">
            <v>352.3</v>
          </cell>
          <cell r="C86">
            <v>0.74973398595445895</v>
          </cell>
          <cell r="D86">
            <v>4.7530000000000001</v>
          </cell>
          <cell r="E86" t="str">
            <v>No</v>
          </cell>
          <cell r="G86">
            <v>343.4</v>
          </cell>
          <cell r="H86">
            <v>0.73079378591189603</v>
          </cell>
          <cell r="I86">
            <v>4.9379999999999997</v>
          </cell>
          <cell r="J86" t="str">
            <v>No</v>
          </cell>
          <cell r="L86">
            <v>404.3</v>
          </cell>
          <cell r="M86">
            <v>0.86039582889976596</v>
          </cell>
          <cell r="N86">
            <v>41.17</v>
          </cell>
          <cell r="O86" t="str">
            <v>No</v>
          </cell>
          <cell r="Q86">
            <v>394.7</v>
          </cell>
          <cell r="R86">
            <v>0.83996595020217102</v>
          </cell>
          <cell r="S86">
            <v>16.13</v>
          </cell>
          <cell r="T86" t="str">
            <v>No</v>
          </cell>
          <cell r="V86">
            <v>386.1</v>
          </cell>
          <cell r="W86">
            <v>0.82166418386890805</v>
          </cell>
          <cell r="X86">
            <v>17.25</v>
          </cell>
          <cell r="Y86" t="str">
            <v>No</v>
          </cell>
          <cell r="AA86">
            <v>422</v>
          </cell>
          <cell r="AB86">
            <v>0.89806341774845699</v>
          </cell>
          <cell r="AC86">
            <v>190.6</v>
          </cell>
          <cell r="AD86" t="str">
            <v>No</v>
          </cell>
          <cell r="AF86">
            <v>432.3</v>
          </cell>
          <cell r="AG86">
            <v>0.91998297510108495</v>
          </cell>
          <cell r="AH86">
            <v>215.2</v>
          </cell>
          <cell r="AI86" t="str">
            <v>No</v>
          </cell>
        </row>
        <row r="87">
          <cell r="A87" t="str">
            <v>P25C2</v>
          </cell>
          <cell r="B87">
            <v>341.4</v>
          </cell>
          <cell r="C87">
            <v>0.72653756118322999</v>
          </cell>
          <cell r="D87">
            <v>2.9329999999999998</v>
          </cell>
          <cell r="E87" t="str">
            <v>No</v>
          </cell>
          <cell r="G87">
            <v>365.1</v>
          </cell>
          <cell r="H87">
            <v>0.77697382421791905</v>
          </cell>
          <cell r="I87">
            <v>10.050000000000001</v>
          </cell>
          <cell r="J87" t="str">
            <v>No</v>
          </cell>
          <cell r="L87">
            <v>381.2</v>
          </cell>
          <cell r="M87">
            <v>0.81123643328367701</v>
          </cell>
          <cell r="N87">
            <v>17.72</v>
          </cell>
          <cell r="O87" t="str">
            <v>No</v>
          </cell>
          <cell r="Q87">
            <v>326.7</v>
          </cell>
          <cell r="R87">
            <v>0.69525430942753796</v>
          </cell>
          <cell r="S87">
            <v>2.3530000000000002</v>
          </cell>
          <cell r="T87" t="str">
            <v>No</v>
          </cell>
          <cell r="V87">
            <v>370.9</v>
          </cell>
          <cell r="W87">
            <v>0.78931687593104904</v>
          </cell>
          <cell r="X87">
            <v>10.81</v>
          </cell>
          <cell r="Y87" t="str">
            <v>No</v>
          </cell>
          <cell r="AA87">
            <v>398.9</v>
          </cell>
          <cell r="AB87">
            <v>0.84890402213236904</v>
          </cell>
          <cell r="AC87">
            <v>80.67</v>
          </cell>
          <cell r="AD87" t="str">
            <v>No</v>
          </cell>
          <cell r="AF87">
            <v>417.2</v>
          </cell>
          <cell r="AG87">
            <v>0.88784847839965997</v>
          </cell>
          <cell r="AH87">
            <v>100.4</v>
          </cell>
          <cell r="AI87" t="str">
            <v>No</v>
          </cell>
        </row>
        <row r="88">
          <cell r="A88" t="str">
            <v>P25C3</v>
          </cell>
          <cell r="B88">
            <v>363.3</v>
          </cell>
          <cell r="C88">
            <v>0.77314322196212004</v>
          </cell>
          <cell r="D88">
            <v>7.702</v>
          </cell>
          <cell r="E88" t="str">
            <v>No</v>
          </cell>
          <cell r="G88">
            <v>341.8</v>
          </cell>
          <cell r="H88">
            <v>0.72738880612896395</v>
          </cell>
          <cell r="I88">
            <v>4.7080000000000002</v>
          </cell>
          <cell r="J88" t="str">
            <v>No</v>
          </cell>
          <cell r="L88">
            <v>359.1</v>
          </cell>
          <cell r="M88">
            <v>0.76420515003192202</v>
          </cell>
          <cell r="N88">
            <v>10.39</v>
          </cell>
          <cell r="O88" t="str">
            <v>No</v>
          </cell>
          <cell r="Q88">
            <v>367.1</v>
          </cell>
          <cell r="R88">
            <v>0.78123004894658399</v>
          </cell>
          <cell r="S88">
            <v>11.81</v>
          </cell>
          <cell r="T88" t="str">
            <v>No</v>
          </cell>
          <cell r="V88">
            <v>321.3</v>
          </cell>
          <cell r="W88">
            <v>0.68376250266014005</v>
          </cell>
          <cell r="X88">
            <v>2.3929999999999998</v>
          </cell>
          <cell r="Y88" t="str">
            <v>Yes</v>
          </cell>
          <cell r="AA88">
            <v>395.4</v>
          </cell>
          <cell r="AB88">
            <v>0.84145562885720404</v>
          </cell>
          <cell r="AC88">
            <v>122.5</v>
          </cell>
          <cell r="AD88" t="str">
            <v>No</v>
          </cell>
          <cell r="AF88">
            <v>389.9</v>
          </cell>
          <cell r="AG88">
            <v>0.82975101085337299</v>
          </cell>
          <cell r="AH88">
            <v>100.4</v>
          </cell>
          <cell r="AI88" t="str">
            <v>No</v>
          </cell>
        </row>
        <row r="89">
          <cell r="A89" t="str">
            <v>P25C4</v>
          </cell>
          <cell r="B89">
            <v>333.9</v>
          </cell>
          <cell r="C89">
            <v>0.710576718450734</v>
          </cell>
          <cell r="D89">
            <v>3.1829999999999998</v>
          </cell>
          <cell r="E89" t="str">
            <v>No</v>
          </cell>
          <cell r="G89">
            <v>364.2</v>
          </cell>
          <cell r="H89">
            <v>0.77505852309001899</v>
          </cell>
          <cell r="I89">
            <v>7.7210000000000001</v>
          </cell>
          <cell r="J89" t="str">
            <v>No</v>
          </cell>
          <cell r="L89">
            <v>348.7</v>
          </cell>
          <cell r="M89">
            <v>0.74207278144286004</v>
          </cell>
          <cell r="N89">
            <v>7.2859999999999996</v>
          </cell>
          <cell r="O89" t="str">
            <v>No</v>
          </cell>
          <cell r="Q89">
            <v>323.2</v>
          </cell>
          <cell r="R89">
            <v>0.68780591615237296</v>
          </cell>
          <cell r="S89">
            <v>2.1160000000000001</v>
          </cell>
          <cell r="T89" t="str">
            <v>Yes</v>
          </cell>
          <cell r="V89">
            <v>325.5</v>
          </cell>
          <cell r="W89">
            <v>0.69270057459033796</v>
          </cell>
          <cell r="X89">
            <v>3.7759999999999998</v>
          </cell>
          <cell r="Y89" t="str">
            <v>No</v>
          </cell>
          <cell r="AA89">
            <v>418.6</v>
          </cell>
          <cell r="AB89">
            <v>0.89082783570972601</v>
          </cell>
          <cell r="AC89">
            <v>176</v>
          </cell>
          <cell r="AD89" t="str">
            <v>No</v>
          </cell>
          <cell r="AF89">
            <v>409.4</v>
          </cell>
          <cell r="AG89">
            <v>0.87124920195786304</v>
          </cell>
          <cell r="AH89">
            <v>177.5</v>
          </cell>
          <cell r="AI89" t="str">
            <v>No</v>
          </cell>
        </row>
        <row r="90">
          <cell r="A90" t="str">
            <v>P25C5</v>
          </cell>
          <cell r="B90">
            <v>349.2</v>
          </cell>
          <cell r="C90">
            <v>0.74313683762502702</v>
          </cell>
          <cell r="D90">
            <v>7.742</v>
          </cell>
          <cell r="E90" t="str">
            <v>No</v>
          </cell>
          <cell r="G90">
            <v>361.8</v>
          </cell>
          <cell r="H90">
            <v>0.76995105341561998</v>
          </cell>
          <cell r="I90">
            <v>9.2200000000000006</v>
          </cell>
          <cell r="J90" t="str">
            <v>No</v>
          </cell>
          <cell r="L90">
            <v>349.5</v>
          </cell>
          <cell r="M90">
            <v>0.74377527133432697</v>
          </cell>
          <cell r="N90">
            <v>9.02</v>
          </cell>
          <cell r="O90" t="str">
            <v>No</v>
          </cell>
          <cell r="Q90">
            <v>390.8</v>
          </cell>
          <cell r="R90">
            <v>0.83166631198127305</v>
          </cell>
          <cell r="S90">
            <v>16.28</v>
          </cell>
          <cell r="T90" t="str">
            <v>No</v>
          </cell>
          <cell r="V90">
            <v>304.60000000000002</v>
          </cell>
          <cell r="W90">
            <v>0.64822302617578198</v>
          </cell>
          <cell r="X90">
            <v>1.335</v>
          </cell>
          <cell r="Y90" t="str">
            <v>Yes</v>
          </cell>
          <cell r="AA90">
            <v>423.8</v>
          </cell>
          <cell r="AB90">
            <v>0.901894020004256</v>
          </cell>
          <cell r="AC90">
            <v>132.30000000000001</v>
          </cell>
          <cell r="AD90" t="str">
            <v>No</v>
          </cell>
          <cell r="AF90">
            <v>363.1</v>
          </cell>
          <cell r="AG90">
            <v>0.772717599489253</v>
          </cell>
          <cell r="AH90">
            <v>10.59</v>
          </cell>
          <cell r="AI90" t="str">
            <v>No</v>
          </cell>
        </row>
        <row r="91">
          <cell r="A91" t="str">
            <v>P26C1</v>
          </cell>
          <cell r="B91">
            <v>353.7</v>
          </cell>
          <cell r="C91">
            <v>0.75271334326452399</v>
          </cell>
          <cell r="D91">
            <v>5.1950000000000003</v>
          </cell>
          <cell r="E91" t="str">
            <v>No</v>
          </cell>
          <cell r="G91">
            <v>316.60000000000002</v>
          </cell>
          <cell r="H91">
            <v>0.67376037454777604</v>
          </cell>
          <cell r="I91">
            <v>1.6890000000000001</v>
          </cell>
          <cell r="J91" t="str">
            <v>Yes</v>
          </cell>
          <cell r="L91">
            <v>332.3</v>
          </cell>
          <cell r="M91">
            <v>0.70717173866780203</v>
          </cell>
          <cell r="N91">
            <v>5.266</v>
          </cell>
          <cell r="O91" t="str">
            <v>No</v>
          </cell>
          <cell r="Q91">
            <v>367.1</v>
          </cell>
          <cell r="R91">
            <v>0.78123004894658399</v>
          </cell>
          <cell r="S91">
            <v>6.6520000000000001</v>
          </cell>
          <cell r="T91" t="str">
            <v>No</v>
          </cell>
          <cell r="V91">
            <v>409.2</v>
          </cell>
          <cell r="W91">
            <v>0.870823579484997</v>
          </cell>
          <cell r="X91">
            <v>24.76</v>
          </cell>
          <cell r="Y91" t="str">
            <v>No</v>
          </cell>
          <cell r="AA91">
            <v>409.1</v>
          </cell>
          <cell r="AB91">
            <v>0.87061076824856398</v>
          </cell>
          <cell r="AC91">
            <v>94.93</v>
          </cell>
          <cell r="AD91" t="str">
            <v>No</v>
          </cell>
          <cell r="AF91">
            <v>465.7</v>
          </cell>
          <cell r="AG91">
            <v>0.99106192806980198</v>
          </cell>
          <cell r="AH91">
            <v>265.8</v>
          </cell>
          <cell r="AI91" t="str">
            <v>No</v>
          </cell>
        </row>
        <row r="92">
          <cell r="A92" t="str">
            <v>P26C2</v>
          </cell>
          <cell r="B92">
            <v>336.8</v>
          </cell>
          <cell r="C92">
            <v>0.716748244307299</v>
          </cell>
          <cell r="D92">
            <v>4.6479999999999997</v>
          </cell>
          <cell r="E92" t="str">
            <v>No</v>
          </cell>
          <cell r="G92">
            <v>324.7</v>
          </cell>
          <cell r="H92">
            <v>0.69099808469887203</v>
          </cell>
          <cell r="I92">
            <v>2.214</v>
          </cell>
          <cell r="J92" t="str">
            <v>Yes</v>
          </cell>
          <cell r="L92">
            <v>346.5</v>
          </cell>
          <cell r="M92">
            <v>0.73739093424132796</v>
          </cell>
          <cell r="N92">
            <v>8.3320000000000007</v>
          </cell>
          <cell r="O92" t="str">
            <v>No</v>
          </cell>
          <cell r="Q92">
            <v>382.6</v>
          </cell>
          <cell r="R92">
            <v>0.81421579059374305</v>
          </cell>
          <cell r="S92">
            <v>15.34</v>
          </cell>
          <cell r="T92" t="str">
            <v>No</v>
          </cell>
          <cell r="V92">
            <v>342.7</v>
          </cell>
          <cell r="W92">
            <v>0.72930410725686301</v>
          </cell>
          <cell r="X92">
            <v>5.7969999999999997</v>
          </cell>
          <cell r="Y92" t="str">
            <v>No</v>
          </cell>
          <cell r="AA92">
            <v>445.4</v>
          </cell>
          <cell r="AB92">
            <v>0.947861247073845</v>
          </cell>
          <cell r="AC92">
            <v>192.2</v>
          </cell>
          <cell r="AD92" t="str">
            <v>No</v>
          </cell>
          <cell r="AF92">
            <v>425.4</v>
          </cell>
          <cell r="AG92">
            <v>0.90529899978718897</v>
          </cell>
          <cell r="AH92">
            <v>289.10000000000002</v>
          </cell>
          <cell r="AI92" t="str">
            <v>No</v>
          </cell>
        </row>
        <row r="93">
          <cell r="A93" t="str">
            <v>P26C3</v>
          </cell>
          <cell r="B93">
            <v>287.10000000000002</v>
          </cell>
          <cell r="C93">
            <v>0.61098105979995798</v>
          </cell>
          <cell r="D93">
            <v>0.80969999999999998</v>
          </cell>
          <cell r="E93" t="str">
            <v>Yes</v>
          </cell>
          <cell r="G93">
            <v>315.5</v>
          </cell>
          <cell r="H93">
            <v>0.67141945094701005</v>
          </cell>
          <cell r="I93">
            <v>1.532</v>
          </cell>
          <cell r="J93" t="str">
            <v>Yes</v>
          </cell>
          <cell r="L93">
            <v>336.4</v>
          </cell>
          <cell r="M93">
            <v>0.71589699936156603</v>
          </cell>
          <cell r="N93">
            <v>2.6379999999999999</v>
          </cell>
          <cell r="O93" t="str">
            <v>No</v>
          </cell>
          <cell r="Q93">
            <v>285</v>
          </cell>
          <cell r="R93">
            <v>0.60651202383485803</v>
          </cell>
          <cell r="S93">
            <v>1.1140000000000001</v>
          </cell>
          <cell r="T93" t="str">
            <v>Yes</v>
          </cell>
          <cell r="V93">
            <v>339</v>
          </cell>
          <cell r="W93">
            <v>0.72143009150883197</v>
          </cell>
          <cell r="X93">
            <v>4.7859999999999996</v>
          </cell>
          <cell r="Y93" t="str">
            <v>No</v>
          </cell>
          <cell r="AA93">
            <v>396.8</v>
          </cell>
          <cell r="AB93">
            <v>0.84443498616726997</v>
          </cell>
          <cell r="AC93">
            <v>112.6</v>
          </cell>
          <cell r="AD93" t="str">
            <v>No</v>
          </cell>
          <cell r="AF93">
            <v>387.1</v>
          </cell>
          <cell r="AG93">
            <v>0.82379229623324102</v>
          </cell>
          <cell r="AH93">
            <v>59.07</v>
          </cell>
          <cell r="AI93" t="str">
            <v>No</v>
          </cell>
        </row>
        <row r="94">
          <cell r="A94" t="str">
            <v>P26C4</v>
          </cell>
          <cell r="B94">
            <v>358.1</v>
          </cell>
          <cell r="C94">
            <v>0.76207703766758905</v>
          </cell>
          <cell r="D94">
            <v>8.2159999999999993</v>
          </cell>
          <cell r="E94" t="str">
            <v>No</v>
          </cell>
          <cell r="G94">
            <v>317.60000000000002</v>
          </cell>
          <cell r="H94">
            <v>0.67588848691210901</v>
          </cell>
          <cell r="I94">
            <v>1.8640000000000001</v>
          </cell>
          <cell r="J94" t="str">
            <v>Yes</v>
          </cell>
          <cell r="L94">
            <v>335.6</v>
          </cell>
          <cell r="M94">
            <v>0.71419450947009999</v>
          </cell>
          <cell r="N94">
            <v>4.1449999999999996</v>
          </cell>
          <cell r="O94" t="str">
            <v>No</v>
          </cell>
          <cell r="Q94">
            <v>313.3</v>
          </cell>
          <cell r="R94">
            <v>0.66673760374547797</v>
          </cell>
          <cell r="S94">
            <v>1.855</v>
          </cell>
          <cell r="T94" t="str">
            <v>Yes</v>
          </cell>
          <cell r="V94">
            <v>331.2</v>
          </cell>
          <cell r="W94">
            <v>0.70483081506703604</v>
          </cell>
          <cell r="X94">
            <v>2.6789999999999998</v>
          </cell>
          <cell r="Y94" t="str">
            <v>No</v>
          </cell>
          <cell r="AA94">
            <v>436.1</v>
          </cell>
          <cell r="AB94">
            <v>0.92806980208555001</v>
          </cell>
          <cell r="AC94">
            <v>273.89999999999998</v>
          </cell>
          <cell r="AD94" t="str">
            <v>No</v>
          </cell>
          <cell r="AF94">
            <v>422.7</v>
          </cell>
          <cell r="AG94">
            <v>0.89955309640349002</v>
          </cell>
          <cell r="AH94">
            <v>164.7</v>
          </cell>
          <cell r="AI94" t="str">
            <v>No</v>
          </cell>
        </row>
        <row r="95">
          <cell r="A95" t="str">
            <v>P26C5</v>
          </cell>
          <cell r="B95">
            <v>329.2</v>
          </cell>
          <cell r="C95">
            <v>0.70057459033837</v>
          </cell>
          <cell r="D95">
            <v>4.1929999999999996</v>
          </cell>
          <cell r="E95" t="str">
            <v>Yes</v>
          </cell>
          <cell r="G95">
            <v>324.7</v>
          </cell>
          <cell r="H95">
            <v>0.69099808469887203</v>
          </cell>
          <cell r="I95">
            <v>2.206</v>
          </cell>
          <cell r="J95" t="str">
            <v>Yes</v>
          </cell>
          <cell r="L95">
            <v>368.7</v>
          </cell>
          <cell r="M95">
            <v>0.78463502872951696</v>
          </cell>
          <cell r="N95">
            <v>9.5579999999999998</v>
          </cell>
          <cell r="O95" t="str">
            <v>No</v>
          </cell>
          <cell r="Q95">
            <v>383.1</v>
          </cell>
          <cell r="R95">
            <v>0.81527984677591003</v>
          </cell>
          <cell r="S95">
            <v>14.55</v>
          </cell>
          <cell r="T95" t="str">
            <v>No</v>
          </cell>
          <cell r="V95">
            <v>337.4</v>
          </cell>
          <cell r="W95">
            <v>0.718025111725899</v>
          </cell>
          <cell r="X95">
            <v>4.8949999999999996</v>
          </cell>
          <cell r="Y95" t="str">
            <v>No</v>
          </cell>
          <cell r="AA95">
            <v>412.8</v>
          </cell>
          <cell r="AB95">
            <v>0.87848478399659502</v>
          </cell>
          <cell r="AC95">
            <v>121</v>
          </cell>
          <cell r="AD95" t="str">
            <v>No</v>
          </cell>
          <cell r="AF95">
            <v>397.2</v>
          </cell>
          <cell r="AG95">
            <v>0.84528623111300305</v>
          </cell>
          <cell r="AH95">
            <v>128.1</v>
          </cell>
          <cell r="AI95" t="str">
            <v>No</v>
          </cell>
        </row>
        <row r="96">
          <cell r="A96" t="str">
            <v>P27C1</v>
          </cell>
          <cell r="B96">
            <v>295.39999999999998</v>
          </cell>
          <cell r="C96">
            <v>0.62864439242392001</v>
          </cell>
          <cell r="D96">
            <v>0.94779999999999998</v>
          </cell>
          <cell r="E96" t="str">
            <v>Yes</v>
          </cell>
          <cell r="G96">
            <v>309.60000000000002</v>
          </cell>
          <cell r="H96">
            <v>0.65886358799744604</v>
          </cell>
          <cell r="I96">
            <v>1.409</v>
          </cell>
          <cell r="J96" t="str">
            <v>Yes</v>
          </cell>
          <cell r="L96">
            <v>317.89999999999998</v>
          </cell>
          <cell r="M96">
            <v>0.67652692062140896</v>
          </cell>
          <cell r="N96">
            <v>2.0950000000000002</v>
          </cell>
          <cell r="O96" t="str">
            <v>Yes</v>
          </cell>
          <cell r="Q96">
            <v>307.5</v>
          </cell>
          <cell r="R96">
            <v>0.65439455203234698</v>
          </cell>
          <cell r="S96">
            <v>1.954</v>
          </cell>
          <cell r="T96" t="str">
            <v>Yes</v>
          </cell>
          <cell r="V96">
            <v>342.1</v>
          </cell>
          <cell r="W96">
            <v>0.72802723983826401</v>
          </cell>
          <cell r="X96">
            <v>3.024</v>
          </cell>
          <cell r="Y96" t="str">
            <v>No</v>
          </cell>
          <cell r="AA96">
            <v>421</v>
          </cell>
          <cell r="AB96">
            <v>0.89593530538412403</v>
          </cell>
          <cell r="AC96">
            <v>154.1</v>
          </cell>
          <cell r="AD96" t="str">
            <v>No</v>
          </cell>
          <cell r="AF96">
            <v>448.4</v>
          </cell>
          <cell r="AG96">
            <v>0.95424558416684402</v>
          </cell>
          <cell r="AH96">
            <v>207.1</v>
          </cell>
          <cell r="AI96" t="str">
            <v>No</v>
          </cell>
        </row>
        <row r="97">
          <cell r="A97" t="str">
            <v>P27C2</v>
          </cell>
          <cell r="B97">
            <v>275.2</v>
          </cell>
          <cell r="C97">
            <v>0.58565652266439705</v>
          </cell>
          <cell r="D97">
            <v>0.57289999999999996</v>
          </cell>
          <cell r="E97" t="str">
            <v>Yes</v>
          </cell>
          <cell r="G97">
            <v>298.3</v>
          </cell>
          <cell r="H97">
            <v>0.634815918280485</v>
          </cell>
          <cell r="I97">
            <v>1.0309999999999999</v>
          </cell>
          <cell r="J97" t="str">
            <v>Yes</v>
          </cell>
          <cell r="L97">
            <v>322.7</v>
          </cell>
          <cell r="M97">
            <v>0.68674185997020598</v>
          </cell>
          <cell r="N97">
            <v>2.1110000000000002</v>
          </cell>
          <cell r="O97" t="str">
            <v>Yes</v>
          </cell>
          <cell r="Q97">
            <v>297.10000000000002</v>
          </cell>
          <cell r="R97">
            <v>0.632262183443286</v>
          </cell>
          <cell r="S97">
            <v>1.2230000000000001</v>
          </cell>
          <cell r="T97" t="str">
            <v>Yes</v>
          </cell>
          <cell r="V97">
            <v>335</v>
          </cell>
          <cell r="W97">
            <v>0.71291764205149999</v>
          </cell>
          <cell r="X97">
            <v>3.4550000000000001</v>
          </cell>
          <cell r="Y97" t="str">
            <v>No</v>
          </cell>
          <cell r="AA97">
            <v>410.1</v>
          </cell>
          <cell r="AB97">
            <v>0.87273888061289695</v>
          </cell>
          <cell r="AC97">
            <v>187.5</v>
          </cell>
          <cell r="AD97" t="str">
            <v>No</v>
          </cell>
          <cell r="AF97">
            <v>399.4</v>
          </cell>
          <cell r="AG97">
            <v>0.84996807831453502</v>
          </cell>
          <cell r="AH97">
            <v>171.8</v>
          </cell>
          <cell r="AI97" t="str">
            <v>No</v>
          </cell>
        </row>
        <row r="98">
          <cell r="A98" t="str">
            <v>P27C3</v>
          </cell>
          <cell r="B98">
            <v>297.39999999999998</v>
          </cell>
          <cell r="C98">
            <v>0.63290061715258605</v>
          </cell>
          <cell r="D98">
            <v>1.21</v>
          </cell>
          <cell r="E98" t="str">
            <v>Yes</v>
          </cell>
          <cell r="G98">
            <v>319.5</v>
          </cell>
          <cell r="H98">
            <v>0.67993190040434104</v>
          </cell>
          <cell r="I98">
            <v>1.706</v>
          </cell>
          <cell r="J98" t="str">
            <v>Yes</v>
          </cell>
          <cell r="L98">
            <v>321.60000000000002</v>
          </cell>
          <cell r="M98">
            <v>0.68440093636943999</v>
          </cell>
          <cell r="N98">
            <v>1.9750000000000001</v>
          </cell>
          <cell r="O98" t="str">
            <v>Yes</v>
          </cell>
          <cell r="Q98">
            <v>319.5</v>
          </cell>
          <cell r="R98">
            <v>0.67993190040434104</v>
          </cell>
          <cell r="S98">
            <v>3.056</v>
          </cell>
          <cell r="T98" t="str">
            <v>Yes</v>
          </cell>
          <cell r="V98">
            <v>352.7</v>
          </cell>
          <cell r="W98">
            <v>0.75058523090019202</v>
          </cell>
          <cell r="X98">
            <v>6.8369999999999997</v>
          </cell>
          <cell r="Y98" t="str">
            <v>No</v>
          </cell>
          <cell r="AA98">
            <v>428.1</v>
          </cell>
          <cell r="AB98">
            <v>0.91104490317088704</v>
          </cell>
          <cell r="AC98">
            <v>164.7</v>
          </cell>
          <cell r="AD98" t="str">
            <v>No</v>
          </cell>
          <cell r="AF98">
            <v>391.4</v>
          </cell>
          <cell r="AG98">
            <v>0.83294317939987195</v>
          </cell>
          <cell r="AH98">
            <v>117.1</v>
          </cell>
          <cell r="AI98" t="str">
            <v>No</v>
          </cell>
        </row>
        <row r="99">
          <cell r="A99" t="str">
            <v>P28C1</v>
          </cell>
          <cell r="B99">
            <v>352.6</v>
          </cell>
          <cell r="C99">
            <v>0.75037241966375801</v>
          </cell>
          <cell r="D99">
            <v>7.8170000000000002</v>
          </cell>
          <cell r="E99" t="str">
            <v>No</v>
          </cell>
          <cell r="G99">
            <v>397.6</v>
          </cell>
          <cell r="H99">
            <v>0.84613747605873602</v>
          </cell>
          <cell r="I99">
            <v>29.4</v>
          </cell>
          <cell r="J99" t="str">
            <v>No</v>
          </cell>
          <cell r="L99">
            <v>369.5</v>
          </cell>
          <cell r="M99">
            <v>0.786337518620983</v>
          </cell>
          <cell r="N99">
            <v>8.3190000000000008</v>
          </cell>
          <cell r="O99" t="str">
            <v>No</v>
          </cell>
          <cell r="Q99">
            <v>381.8</v>
          </cell>
          <cell r="R99">
            <v>0.81251330070227701</v>
          </cell>
          <cell r="S99">
            <v>28.23</v>
          </cell>
          <cell r="T99" t="str">
            <v>No</v>
          </cell>
          <cell r="V99">
            <v>424.4</v>
          </cell>
          <cell r="W99">
            <v>0.90317088742285601</v>
          </cell>
          <cell r="X99">
            <v>39.56</v>
          </cell>
          <cell r="Y99" t="str">
            <v>No</v>
          </cell>
          <cell r="AA99">
            <v>413</v>
          </cell>
          <cell r="AB99">
            <v>0.87891040646946195</v>
          </cell>
          <cell r="AC99">
            <v>23.53</v>
          </cell>
          <cell r="AD99" t="str">
            <v>No</v>
          </cell>
          <cell r="AF99">
            <v>391.6</v>
          </cell>
          <cell r="AG99">
            <v>0.83336880187273898</v>
          </cell>
          <cell r="AH99">
            <v>13.98</v>
          </cell>
          <cell r="AI99" t="str">
            <v>No</v>
          </cell>
        </row>
        <row r="100">
          <cell r="A100" t="str">
            <v>P28C2</v>
          </cell>
          <cell r="B100">
            <v>344.3</v>
          </cell>
          <cell r="C100">
            <v>0.73270908703979598</v>
          </cell>
          <cell r="D100">
            <v>5.3570000000000002</v>
          </cell>
          <cell r="E100" t="str">
            <v>No</v>
          </cell>
          <cell r="G100">
            <v>365.8</v>
          </cell>
          <cell r="H100">
            <v>0.77846350287295196</v>
          </cell>
          <cell r="I100">
            <v>7.1790000000000003</v>
          </cell>
          <cell r="J100" t="str">
            <v>No</v>
          </cell>
          <cell r="L100">
            <v>314.8</v>
          </cell>
          <cell r="M100">
            <v>0.66992977229197703</v>
          </cell>
          <cell r="N100">
            <v>1.8169999999999999</v>
          </cell>
          <cell r="O100" t="str">
            <v>Yes</v>
          </cell>
          <cell r="Q100">
            <v>386.6</v>
          </cell>
          <cell r="R100">
            <v>0.82272824005107503</v>
          </cell>
          <cell r="S100">
            <v>20.77</v>
          </cell>
          <cell r="T100" t="str">
            <v>No</v>
          </cell>
          <cell r="V100">
            <v>348.6</v>
          </cell>
          <cell r="W100">
            <v>0.74185997020642702</v>
          </cell>
          <cell r="X100">
            <v>7.1840000000000002</v>
          </cell>
          <cell r="Y100" t="str">
            <v>No</v>
          </cell>
          <cell r="AA100">
            <v>344.3</v>
          </cell>
          <cell r="AB100">
            <v>0.73270908703979598</v>
          </cell>
          <cell r="AC100">
            <v>10.49</v>
          </cell>
          <cell r="AD100" t="str">
            <v>No</v>
          </cell>
          <cell r="AF100">
            <v>389.3</v>
          </cell>
          <cell r="AG100">
            <v>0.82847414343477299</v>
          </cell>
          <cell r="AH100">
            <v>21.55</v>
          </cell>
          <cell r="AI100" t="str">
            <v>No</v>
          </cell>
        </row>
        <row r="101">
          <cell r="A101" t="str">
            <v>P28C3</v>
          </cell>
          <cell r="B101">
            <v>319.8</v>
          </cell>
          <cell r="C101">
            <v>0.68057033411364098</v>
          </cell>
          <cell r="D101">
            <v>2.5750000000000002</v>
          </cell>
          <cell r="E101" t="str">
            <v>Yes</v>
          </cell>
          <cell r="G101">
            <v>385.6</v>
          </cell>
          <cell r="H101">
            <v>0.82060012768674195</v>
          </cell>
          <cell r="I101">
            <v>11.77</v>
          </cell>
          <cell r="J101" t="str">
            <v>No</v>
          </cell>
          <cell r="L101">
            <v>380.7</v>
          </cell>
          <cell r="M101">
            <v>0.81017237710151102</v>
          </cell>
          <cell r="N101">
            <v>9.5960000000000001</v>
          </cell>
          <cell r="O101" t="str">
            <v>No</v>
          </cell>
          <cell r="Q101">
            <v>354.6</v>
          </cell>
          <cell r="R101">
            <v>0.75462864439242405</v>
          </cell>
          <cell r="S101">
            <v>11.18</v>
          </cell>
          <cell r="T101" t="str">
            <v>No</v>
          </cell>
          <cell r="V101">
            <v>347.9</v>
          </cell>
          <cell r="W101">
            <v>0.740370291551394</v>
          </cell>
          <cell r="X101">
            <v>4.9710000000000001</v>
          </cell>
          <cell r="Y101" t="str">
            <v>No</v>
          </cell>
          <cell r="AA101">
            <v>400.5</v>
          </cell>
          <cell r="AB101">
            <v>0.85230900191530101</v>
          </cell>
          <cell r="AC101">
            <v>17.989999999999998</v>
          </cell>
          <cell r="AD101" t="str">
            <v>No</v>
          </cell>
          <cell r="AF101">
            <v>295.3</v>
          </cell>
          <cell r="AG101">
            <v>0.62843158118748699</v>
          </cell>
          <cell r="AH101">
            <v>0.93910000000000005</v>
          </cell>
          <cell r="AI101" t="str">
            <v>Yes</v>
          </cell>
        </row>
        <row r="102">
          <cell r="A102" t="str">
            <v>P28C4</v>
          </cell>
          <cell r="B102">
            <v>272.10000000000002</v>
          </cell>
          <cell r="C102">
            <v>0.57905937433496502</v>
          </cell>
          <cell r="D102">
            <v>0.59750000000000003</v>
          </cell>
          <cell r="E102" t="str">
            <v>Yes</v>
          </cell>
          <cell r="G102">
            <v>392.6</v>
          </cell>
          <cell r="H102">
            <v>0.83549691423707195</v>
          </cell>
          <cell r="I102">
            <v>22.52</v>
          </cell>
          <cell r="J102" t="str">
            <v>No</v>
          </cell>
          <cell r="L102">
            <v>305.89999999999998</v>
          </cell>
          <cell r="M102">
            <v>0.650989572249415</v>
          </cell>
          <cell r="N102">
            <v>1.5109999999999999</v>
          </cell>
          <cell r="O102" t="str">
            <v>Yes</v>
          </cell>
          <cell r="Q102">
            <v>389.9</v>
          </cell>
          <cell r="R102">
            <v>0.82975101085337299</v>
          </cell>
          <cell r="S102">
            <v>24.34</v>
          </cell>
          <cell r="T102" t="str">
            <v>No</v>
          </cell>
          <cell r="V102">
            <v>326.5</v>
          </cell>
          <cell r="W102">
            <v>0.69482868695467104</v>
          </cell>
          <cell r="X102">
            <v>3.2759999999999998</v>
          </cell>
          <cell r="Y102" t="str">
            <v>No</v>
          </cell>
          <cell r="AA102">
            <v>338</v>
          </cell>
          <cell r="AB102">
            <v>0.719301979144499</v>
          </cell>
          <cell r="AC102">
            <v>5.782</v>
          </cell>
          <cell r="AD102" t="str">
            <v>No</v>
          </cell>
          <cell r="AF102">
            <v>350.9</v>
          </cell>
          <cell r="AG102">
            <v>0.74675462864439202</v>
          </cell>
          <cell r="AH102">
            <v>9.984</v>
          </cell>
          <cell r="AI102" t="str">
            <v>No</v>
          </cell>
        </row>
        <row r="103">
          <cell r="A103" t="str">
            <v>P29C1</v>
          </cell>
          <cell r="B103">
            <v>314.89999999999998</v>
          </cell>
          <cell r="C103">
            <v>0.67014258352841005</v>
          </cell>
          <cell r="D103">
            <v>1.4019999999999999</v>
          </cell>
          <cell r="E103" t="str">
            <v>Yes</v>
          </cell>
          <cell r="G103">
            <v>314.5</v>
          </cell>
          <cell r="H103">
            <v>0.66929133858267698</v>
          </cell>
          <cell r="I103">
            <v>1.99</v>
          </cell>
          <cell r="J103" t="str">
            <v>Yes</v>
          </cell>
          <cell r="L103">
            <v>393.1</v>
          </cell>
          <cell r="M103">
            <v>0.83656097041923805</v>
          </cell>
          <cell r="N103">
            <v>20.440000000000001</v>
          </cell>
          <cell r="O103" t="str">
            <v>No</v>
          </cell>
          <cell r="Q103">
            <v>316.8</v>
          </cell>
          <cell r="R103">
            <v>0.67418599702064297</v>
          </cell>
          <cell r="S103">
            <v>1.456</v>
          </cell>
          <cell r="T103" t="str">
            <v>Yes</v>
          </cell>
          <cell r="V103">
            <v>396</v>
          </cell>
          <cell r="W103">
            <v>0.84273249627580304</v>
          </cell>
          <cell r="X103">
            <v>20.03</v>
          </cell>
          <cell r="Y103" t="str">
            <v>No</v>
          </cell>
          <cell r="AA103">
            <v>411.7</v>
          </cell>
          <cell r="AB103">
            <v>0.87614386039582903</v>
          </cell>
          <cell r="AC103">
            <v>46.63</v>
          </cell>
          <cell r="AD103" t="str">
            <v>No</v>
          </cell>
          <cell r="AF103">
            <v>413.9</v>
          </cell>
          <cell r="AG103">
            <v>0.88082570759736101</v>
          </cell>
          <cell r="AH103">
            <v>26.56</v>
          </cell>
          <cell r="AI103" t="str">
            <v>No</v>
          </cell>
        </row>
        <row r="104">
          <cell r="A104" t="str">
            <v>P29C2</v>
          </cell>
          <cell r="B104">
            <v>291.8</v>
          </cell>
          <cell r="C104">
            <v>0.62098318791232199</v>
          </cell>
          <cell r="D104">
            <v>0.83260000000000001</v>
          </cell>
          <cell r="E104" t="str">
            <v>Yes</v>
          </cell>
          <cell r="G104">
            <v>273.7</v>
          </cell>
          <cell r="H104">
            <v>0.58246435411789699</v>
          </cell>
          <cell r="I104">
            <v>0.55689999999999995</v>
          </cell>
          <cell r="J104" t="str">
            <v>Yes</v>
          </cell>
          <cell r="L104">
            <v>370</v>
          </cell>
          <cell r="M104">
            <v>0.78740157480314998</v>
          </cell>
          <cell r="N104">
            <v>19.57</v>
          </cell>
          <cell r="O104" t="str">
            <v>No</v>
          </cell>
          <cell r="Q104">
            <v>383.7</v>
          </cell>
          <cell r="R104">
            <v>0.81655671419450904</v>
          </cell>
          <cell r="S104">
            <v>17.100000000000001</v>
          </cell>
          <cell r="T104" t="str">
            <v>No</v>
          </cell>
          <cell r="V104">
            <v>368.5</v>
          </cell>
          <cell r="W104">
            <v>0.78420940625665003</v>
          </cell>
          <cell r="X104">
            <v>12.35</v>
          </cell>
          <cell r="Y104" t="str">
            <v>No</v>
          </cell>
          <cell r="AA104">
            <v>407</v>
          </cell>
          <cell r="AB104">
            <v>0.86614173228346503</v>
          </cell>
          <cell r="AC104">
            <v>25.8</v>
          </cell>
          <cell r="AD104" t="str">
            <v>No</v>
          </cell>
          <cell r="AF104">
            <v>371.1</v>
          </cell>
          <cell r="AG104">
            <v>0.78974249840391597</v>
          </cell>
          <cell r="AH104">
            <v>9.4770000000000003</v>
          </cell>
          <cell r="AI104" t="str">
            <v>No</v>
          </cell>
        </row>
        <row r="105">
          <cell r="A105" t="str">
            <v>P29C3</v>
          </cell>
          <cell r="B105">
            <v>327.9</v>
          </cell>
          <cell r="C105">
            <v>0.69780804426473697</v>
          </cell>
          <cell r="D105">
            <v>1.5820000000000001</v>
          </cell>
          <cell r="E105" t="str">
            <v>Yes</v>
          </cell>
          <cell r="G105">
            <v>338.5</v>
          </cell>
          <cell r="H105">
            <v>0.72036603532666499</v>
          </cell>
          <cell r="I105">
            <v>2.2080000000000002</v>
          </cell>
          <cell r="J105" t="str">
            <v>No</v>
          </cell>
          <cell r="L105">
            <v>379.7</v>
          </cell>
          <cell r="M105">
            <v>0.80804426473717805</v>
          </cell>
          <cell r="N105">
            <v>7.7930000000000001</v>
          </cell>
          <cell r="O105" t="str">
            <v>No</v>
          </cell>
          <cell r="Q105">
            <v>383.4</v>
          </cell>
          <cell r="R105">
            <v>0.81591828048520998</v>
          </cell>
          <cell r="S105">
            <v>15.93</v>
          </cell>
          <cell r="T105" t="str">
            <v>No</v>
          </cell>
          <cell r="V105">
            <v>415.2</v>
          </cell>
          <cell r="W105">
            <v>0.88359225367099403</v>
          </cell>
          <cell r="X105">
            <v>28.96</v>
          </cell>
          <cell r="Y105" t="str">
            <v>No</v>
          </cell>
          <cell r="AA105">
            <v>437.6</v>
          </cell>
          <cell r="AB105">
            <v>0.93126197063204996</v>
          </cell>
          <cell r="AC105">
            <v>70.27</v>
          </cell>
          <cell r="AD105" t="str">
            <v>No</v>
          </cell>
          <cell r="AF105">
            <v>437.3</v>
          </cell>
          <cell r="AG105">
            <v>0.93062353692275002</v>
          </cell>
          <cell r="AH105">
            <v>68.95</v>
          </cell>
          <cell r="AI105" t="str">
            <v>No</v>
          </cell>
        </row>
        <row r="106">
          <cell r="A106" t="str">
            <v>P29C4</v>
          </cell>
          <cell r="B106">
            <v>356.3</v>
          </cell>
          <cell r="C106">
            <v>0.75824643541179004</v>
          </cell>
          <cell r="D106">
            <v>5.6120000000000001</v>
          </cell>
          <cell r="E106" t="str">
            <v>No</v>
          </cell>
          <cell r="G106">
            <v>318.60000000000002</v>
          </cell>
          <cell r="H106">
            <v>0.67801659927644198</v>
          </cell>
          <cell r="I106">
            <v>1.599</v>
          </cell>
          <cell r="J106" t="str">
            <v>Yes</v>
          </cell>
          <cell r="L106">
            <v>336.9</v>
          </cell>
          <cell r="M106">
            <v>0.71696105554373302</v>
          </cell>
          <cell r="N106">
            <v>2.4489999999999998</v>
          </cell>
          <cell r="O106" t="str">
            <v>No</v>
          </cell>
          <cell r="Q106">
            <v>332.4</v>
          </cell>
          <cell r="R106">
            <v>0.70738454990423505</v>
          </cell>
          <cell r="S106">
            <v>3.0569999999999999</v>
          </cell>
          <cell r="T106" t="str">
            <v>No</v>
          </cell>
          <cell r="V106">
            <v>419.3</v>
          </cell>
          <cell r="W106">
            <v>0.89231751436475804</v>
          </cell>
          <cell r="X106">
            <v>31.41</v>
          </cell>
          <cell r="Y106" t="str">
            <v>No</v>
          </cell>
          <cell r="AA106">
            <v>457.8</v>
          </cell>
          <cell r="AB106">
            <v>0.97424984039157303</v>
          </cell>
          <cell r="AC106">
            <v>185.4</v>
          </cell>
          <cell r="AD106" t="str">
            <v>No</v>
          </cell>
          <cell r="AF106">
            <v>443.7</v>
          </cell>
          <cell r="AG106">
            <v>0.94424345605448001</v>
          </cell>
          <cell r="AH106">
            <v>108.7</v>
          </cell>
          <cell r="AI106" t="str">
            <v>No</v>
          </cell>
        </row>
        <row r="107">
          <cell r="A107" t="str">
            <v>P30C1</v>
          </cell>
          <cell r="B107">
            <v>343.7</v>
          </cell>
          <cell r="C107">
            <v>0.73143221962119598</v>
          </cell>
          <cell r="D107">
            <v>10.99</v>
          </cell>
          <cell r="E107" t="str">
            <v>No</v>
          </cell>
          <cell r="G107">
            <v>359.8</v>
          </cell>
          <cell r="H107">
            <v>0.76569482868695504</v>
          </cell>
          <cell r="I107">
            <v>5.742</v>
          </cell>
          <cell r="J107" t="str">
            <v>No</v>
          </cell>
          <cell r="L107">
            <v>398.2</v>
          </cell>
          <cell r="M107">
            <v>0.84741434347733602</v>
          </cell>
          <cell r="N107">
            <v>26.81</v>
          </cell>
          <cell r="O107" t="str">
            <v>No</v>
          </cell>
          <cell r="Q107">
            <v>407.2</v>
          </cell>
          <cell r="R107">
            <v>0.86656735475633095</v>
          </cell>
          <cell r="S107">
            <v>28.32</v>
          </cell>
          <cell r="T107" t="str">
            <v>No</v>
          </cell>
          <cell r="V107">
            <v>369.6</v>
          </cell>
          <cell r="W107">
            <v>0.78655032985741702</v>
          </cell>
          <cell r="X107">
            <v>12.5</v>
          </cell>
          <cell r="Y107" t="str">
            <v>No</v>
          </cell>
          <cell r="AA107">
            <v>329.9</v>
          </cell>
          <cell r="AB107">
            <v>0.70206426899340302</v>
          </cell>
          <cell r="AC107">
            <v>2.7829999999999999</v>
          </cell>
          <cell r="AD107" t="str">
            <v>No</v>
          </cell>
          <cell r="AF107">
            <v>381.4</v>
          </cell>
          <cell r="AG107">
            <v>0.81166205575654404</v>
          </cell>
          <cell r="AH107">
            <v>12.01</v>
          </cell>
          <cell r="AI107" t="str">
            <v>No</v>
          </cell>
        </row>
        <row r="108">
          <cell r="A108" t="str">
            <v>P30C2</v>
          </cell>
          <cell r="B108">
            <v>334.6</v>
          </cell>
          <cell r="C108">
            <v>0.71206639710576702</v>
          </cell>
          <cell r="D108">
            <v>4.9290000000000003</v>
          </cell>
          <cell r="E108" t="str">
            <v>No</v>
          </cell>
          <cell r="G108">
            <v>361.4</v>
          </cell>
          <cell r="H108">
            <v>0.76909980846988701</v>
          </cell>
          <cell r="I108">
            <v>7.8209999999999997</v>
          </cell>
          <cell r="J108" t="str">
            <v>No</v>
          </cell>
          <cell r="L108">
            <v>351.5</v>
          </cell>
          <cell r="M108">
            <v>0.74803149606299202</v>
          </cell>
          <cell r="N108">
            <v>7.2729999999999997</v>
          </cell>
          <cell r="O108" t="str">
            <v>No</v>
          </cell>
          <cell r="Q108">
            <v>413.1</v>
          </cell>
          <cell r="R108">
            <v>0.87912321770589497</v>
          </cell>
          <cell r="S108">
            <v>26.38</v>
          </cell>
          <cell r="T108" t="str">
            <v>No</v>
          </cell>
          <cell r="V108">
            <v>345.7</v>
          </cell>
          <cell r="W108">
            <v>0.73568844434986203</v>
          </cell>
          <cell r="X108">
            <v>7.633</v>
          </cell>
          <cell r="Y108" t="str">
            <v>No</v>
          </cell>
          <cell r="AA108">
            <v>371.4</v>
          </cell>
          <cell r="AB108">
            <v>0.79038093211321603</v>
          </cell>
          <cell r="AC108">
            <v>18.55</v>
          </cell>
          <cell r="AD108" t="str">
            <v>No</v>
          </cell>
          <cell r="AF108">
            <v>361</v>
          </cell>
          <cell r="AG108">
            <v>0.76824856352415405</v>
          </cell>
          <cell r="AH108">
            <v>21.68</v>
          </cell>
          <cell r="AI108" t="str">
            <v>No</v>
          </cell>
        </row>
        <row r="109">
          <cell r="A109" t="str">
            <v>P30C3</v>
          </cell>
          <cell r="B109">
            <v>295.8</v>
          </cell>
          <cell r="C109">
            <v>0.62949563736965297</v>
          </cell>
          <cell r="D109">
            <v>0.97250000000000003</v>
          </cell>
          <cell r="E109" t="str">
            <v>Yes</v>
          </cell>
          <cell r="G109">
            <v>290.5</v>
          </cell>
          <cell r="H109">
            <v>0.61821664183868896</v>
          </cell>
          <cell r="I109">
            <v>0.8024</v>
          </cell>
          <cell r="J109" t="str">
            <v>Yes</v>
          </cell>
          <cell r="L109">
            <v>337</v>
          </cell>
          <cell r="M109">
            <v>0.71717386678016604</v>
          </cell>
          <cell r="N109">
            <v>3.9039999999999999</v>
          </cell>
          <cell r="O109" t="str">
            <v>No</v>
          </cell>
          <cell r="Q109">
            <v>391.2</v>
          </cell>
          <cell r="R109">
            <v>0.83251755692700602</v>
          </cell>
          <cell r="S109">
            <v>16.579999999999998</v>
          </cell>
          <cell r="T109" t="str">
            <v>No</v>
          </cell>
          <cell r="V109">
            <v>367.2</v>
          </cell>
          <cell r="W109">
            <v>0.78144286018301801</v>
          </cell>
          <cell r="X109">
            <v>8.6120000000000001</v>
          </cell>
          <cell r="Y109" t="str">
            <v>No</v>
          </cell>
          <cell r="AA109">
            <v>377.4</v>
          </cell>
          <cell r="AB109">
            <v>0.80314960629921295</v>
          </cell>
          <cell r="AC109">
            <v>12.63</v>
          </cell>
          <cell r="AD109" t="str">
            <v>No</v>
          </cell>
          <cell r="AF109">
            <v>383.9</v>
          </cell>
          <cell r="AG109">
            <v>0.81698233666737596</v>
          </cell>
          <cell r="AH109">
            <v>21.41</v>
          </cell>
          <cell r="AI109" t="str">
            <v>No</v>
          </cell>
        </row>
        <row r="110">
          <cell r="A110" t="str">
            <v>P30C4</v>
          </cell>
          <cell r="B110">
            <v>299.7</v>
          </cell>
          <cell r="C110">
            <v>0.63779527559055105</v>
          </cell>
          <cell r="D110">
            <v>0.999</v>
          </cell>
          <cell r="E110" t="str">
            <v>Yes</v>
          </cell>
          <cell r="G110">
            <v>280.89999999999998</v>
          </cell>
          <cell r="H110">
            <v>0.59778676314109402</v>
          </cell>
          <cell r="I110">
            <v>0.71250000000000002</v>
          </cell>
          <cell r="J110" t="str">
            <v>Yes</v>
          </cell>
          <cell r="L110">
            <v>314.8</v>
          </cell>
          <cell r="M110">
            <v>0.66992977229197703</v>
          </cell>
          <cell r="N110">
            <v>1.673</v>
          </cell>
          <cell r="O110" t="str">
            <v>Yes</v>
          </cell>
          <cell r="Q110">
            <v>393.7</v>
          </cell>
          <cell r="R110">
            <v>0.83783783783783805</v>
          </cell>
          <cell r="S110">
            <v>24.96</v>
          </cell>
          <cell r="T110" t="str">
            <v>No</v>
          </cell>
          <cell r="V110">
            <v>383.9</v>
          </cell>
          <cell r="W110">
            <v>0.81698233666737596</v>
          </cell>
          <cell r="X110">
            <v>15.66</v>
          </cell>
          <cell r="Y110" t="str">
            <v>No</v>
          </cell>
          <cell r="AA110">
            <v>291</v>
          </cell>
          <cell r="AB110">
            <v>0.61928069802085595</v>
          </cell>
          <cell r="AC110">
            <v>0.93240000000000001</v>
          </cell>
          <cell r="AD110" t="str">
            <v>Yes</v>
          </cell>
          <cell r="AF110">
            <v>322.89999999999998</v>
          </cell>
          <cell r="AG110">
            <v>0.68716748244307302</v>
          </cell>
          <cell r="AH110">
            <v>3.8809999999999998</v>
          </cell>
          <cell r="AI110" t="str">
            <v>No</v>
          </cell>
        </row>
        <row r="111">
          <cell r="A111" t="str">
            <v>P31C1</v>
          </cell>
          <cell r="B111">
            <v>416.5</v>
          </cell>
          <cell r="C111">
            <v>0.88635879974462695</v>
          </cell>
          <cell r="D111">
            <v>63.21</v>
          </cell>
          <cell r="E111" t="str">
            <v>No</v>
          </cell>
          <cell r="G111">
            <v>362.5</v>
          </cell>
          <cell r="H111">
            <v>0.771440732070653</v>
          </cell>
          <cell r="I111">
            <v>9.7430000000000003</v>
          </cell>
          <cell r="J111" t="str">
            <v>No</v>
          </cell>
          <cell r="L111">
            <v>417.4</v>
          </cell>
          <cell r="M111">
            <v>0.88827410087252601</v>
          </cell>
          <cell r="N111">
            <v>41.53</v>
          </cell>
          <cell r="O111" t="str">
            <v>No</v>
          </cell>
          <cell r="Q111">
            <v>435</v>
          </cell>
          <cell r="R111">
            <v>0.92572887848478402</v>
          </cell>
          <cell r="S111">
            <v>75.87</v>
          </cell>
          <cell r="T111" t="str">
            <v>No</v>
          </cell>
          <cell r="V111">
            <v>439.9</v>
          </cell>
          <cell r="W111">
            <v>0.93615662907001496</v>
          </cell>
          <cell r="X111">
            <v>299.39999999999998</v>
          </cell>
          <cell r="Y111" t="str">
            <v>No</v>
          </cell>
          <cell r="AA111">
            <v>397.2</v>
          </cell>
          <cell r="AB111">
            <v>0.84528623111300305</v>
          </cell>
          <cell r="AC111">
            <v>14.61</v>
          </cell>
          <cell r="AD111" t="str">
            <v>No</v>
          </cell>
          <cell r="AF111">
            <v>406.5</v>
          </cell>
          <cell r="AG111">
            <v>0.86507767610129804</v>
          </cell>
          <cell r="AH111">
            <v>22.8</v>
          </cell>
          <cell r="AI111" t="str">
            <v>No</v>
          </cell>
        </row>
        <row r="112">
          <cell r="A112" t="str">
            <v>P31C2</v>
          </cell>
          <cell r="B112">
            <v>422.9</v>
          </cell>
          <cell r="C112">
            <v>0.89997871887635705</v>
          </cell>
          <cell r="D112">
            <v>32.96</v>
          </cell>
          <cell r="E112" t="str">
            <v>No</v>
          </cell>
          <cell r="G112">
            <v>385.1</v>
          </cell>
          <cell r="H112">
            <v>0.81953607150457597</v>
          </cell>
          <cell r="I112">
            <v>12.86</v>
          </cell>
          <cell r="J112" t="str">
            <v>No</v>
          </cell>
          <cell r="L112">
            <v>357.5</v>
          </cell>
          <cell r="M112">
            <v>0.76080017024898905</v>
          </cell>
          <cell r="N112">
            <v>6.5679999999999996</v>
          </cell>
          <cell r="O112" t="str">
            <v>No</v>
          </cell>
          <cell r="Q112">
            <v>322.89999999999998</v>
          </cell>
          <cell r="R112">
            <v>0.68716748244307302</v>
          </cell>
          <cell r="S112">
            <v>2.044</v>
          </cell>
          <cell r="T112" t="str">
            <v>Yes</v>
          </cell>
          <cell r="V112">
            <v>418.2</v>
          </cell>
          <cell r="W112">
            <v>0.88997659076399205</v>
          </cell>
          <cell r="X112">
            <v>42.38</v>
          </cell>
          <cell r="Y112" t="str">
            <v>No</v>
          </cell>
          <cell r="AA112">
            <v>358.8</v>
          </cell>
          <cell r="AB112">
            <v>0.76356671632262196</v>
          </cell>
          <cell r="AC112">
            <v>4.5780000000000003</v>
          </cell>
          <cell r="AD112" t="str">
            <v>No</v>
          </cell>
          <cell r="AF112">
            <v>404.8</v>
          </cell>
          <cell r="AG112">
            <v>0.86145988508193205</v>
          </cell>
          <cell r="AH112">
            <v>18.440000000000001</v>
          </cell>
          <cell r="AI112" t="str">
            <v>No</v>
          </cell>
        </row>
        <row r="113">
          <cell r="A113" t="str">
            <v>P31C3</v>
          </cell>
          <cell r="B113">
            <v>420.3</v>
          </cell>
          <cell r="C113">
            <v>0.894445626729091</v>
          </cell>
          <cell r="D113">
            <v>33.51</v>
          </cell>
          <cell r="E113" t="str">
            <v>No</v>
          </cell>
          <cell r="G113">
            <v>378.2</v>
          </cell>
          <cell r="H113">
            <v>0.80485209619067899</v>
          </cell>
          <cell r="I113">
            <v>6.9240000000000004</v>
          </cell>
          <cell r="J113" t="str">
            <v>No</v>
          </cell>
          <cell r="L113">
            <v>366.6</v>
          </cell>
          <cell r="M113">
            <v>0.780165992764418</v>
          </cell>
          <cell r="N113">
            <v>4.9219999999999997</v>
          </cell>
          <cell r="O113" t="str">
            <v>No</v>
          </cell>
          <cell r="Q113">
            <v>372.3</v>
          </cell>
          <cell r="R113">
            <v>0.79229623324111498</v>
          </cell>
          <cell r="S113">
            <v>9.82</v>
          </cell>
          <cell r="T113" t="str">
            <v>No</v>
          </cell>
          <cell r="V113">
            <v>451.5</v>
          </cell>
          <cell r="W113">
            <v>0.96084273249627605</v>
          </cell>
          <cell r="X113">
            <v>91.87</v>
          </cell>
          <cell r="Y113" t="str">
            <v>No</v>
          </cell>
          <cell r="AA113">
            <v>454.3</v>
          </cell>
          <cell r="AB113">
            <v>0.96680144711640803</v>
          </cell>
          <cell r="AC113">
            <v>131.69999999999999</v>
          </cell>
          <cell r="AD113" t="str">
            <v>No</v>
          </cell>
          <cell r="AF113">
            <v>324.89999999999998</v>
          </cell>
          <cell r="AG113">
            <v>0.69142370717173895</v>
          </cell>
          <cell r="AH113">
            <v>2.161</v>
          </cell>
          <cell r="AI113" t="str">
            <v>No</v>
          </cell>
        </row>
        <row r="114">
          <cell r="A114" t="str">
            <v>P32C1</v>
          </cell>
          <cell r="B114">
            <v>351.7</v>
          </cell>
          <cell r="C114">
            <v>0.74845711853585895</v>
          </cell>
          <cell r="D114">
            <v>7.6639999999999997</v>
          </cell>
          <cell r="E114" t="str">
            <v>No</v>
          </cell>
          <cell r="G114">
            <v>406.3</v>
          </cell>
          <cell r="H114">
            <v>0.864652053628432</v>
          </cell>
          <cell r="I114">
            <v>62.69</v>
          </cell>
          <cell r="J114" t="str">
            <v>No</v>
          </cell>
          <cell r="L114">
            <v>390.8</v>
          </cell>
          <cell r="M114">
            <v>0.83166631198127305</v>
          </cell>
          <cell r="N114">
            <v>28.37</v>
          </cell>
          <cell r="O114" t="str">
            <v>No</v>
          </cell>
          <cell r="Q114">
            <v>375.5</v>
          </cell>
          <cell r="R114">
            <v>0.79910619280698003</v>
          </cell>
          <cell r="S114">
            <v>13.58</v>
          </cell>
          <cell r="T114" t="str">
            <v>No</v>
          </cell>
          <cell r="V114">
            <v>362.5</v>
          </cell>
          <cell r="W114">
            <v>0.771440732070653</v>
          </cell>
          <cell r="X114">
            <v>18.61</v>
          </cell>
          <cell r="Y114" t="str">
            <v>No</v>
          </cell>
          <cell r="AA114">
            <v>417.3</v>
          </cell>
          <cell r="AB114">
            <v>0.88806128963609299</v>
          </cell>
          <cell r="AC114">
            <v>58.75</v>
          </cell>
          <cell r="AD114" t="str">
            <v>No</v>
          </cell>
          <cell r="AF114">
            <v>398.3</v>
          </cell>
          <cell r="AG114">
            <v>0.84762715471376904</v>
          </cell>
          <cell r="AH114">
            <v>131.1</v>
          </cell>
          <cell r="AI114" t="str">
            <v>No</v>
          </cell>
        </row>
        <row r="115">
          <cell r="A115" t="str">
            <v>P32C2</v>
          </cell>
          <cell r="B115">
            <v>306.5</v>
          </cell>
          <cell r="C115">
            <v>0.65226643966801401</v>
          </cell>
          <cell r="D115">
            <v>1.339</v>
          </cell>
          <cell r="E115" t="str">
            <v>Yes</v>
          </cell>
          <cell r="G115">
            <v>395.4</v>
          </cell>
          <cell r="H115">
            <v>0.84145562885720404</v>
          </cell>
          <cell r="I115">
            <v>33.08</v>
          </cell>
          <cell r="J115" t="str">
            <v>No</v>
          </cell>
          <cell r="L115">
            <v>367.2</v>
          </cell>
          <cell r="M115">
            <v>0.78144286018301801</v>
          </cell>
          <cell r="N115">
            <v>14.68</v>
          </cell>
          <cell r="O115" t="str">
            <v>No</v>
          </cell>
          <cell r="Q115">
            <v>397.1</v>
          </cell>
          <cell r="R115">
            <v>0.84507341987657003</v>
          </cell>
          <cell r="S115">
            <v>21.54</v>
          </cell>
          <cell r="T115" t="str">
            <v>No</v>
          </cell>
          <cell r="V115">
            <v>351.8</v>
          </cell>
          <cell r="W115">
            <v>0.74866992977229196</v>
          </cell>
          <cell r="X115">
            <v>6.0659999999999998</v>
          </cell>
          <cell r="Y115" t="str">
            <v>No</v>
          </cell>
          <cell r="AA115">
            <v>376.9</v>
          </cell>
          <cell r="AB115">
            <v>0.80208555011704596</v>
          </cell>
          <cell r="AC115">
            <v>13.09</v>
          </cell>
          <cell r="AD115" t="str">
            <v>No</v>
          </cell>
          <cell r="AF115">
            <v>400</v>
          </cell>
          <cell r="AG115">
            <v>0.85124494573313503</v>
          </cell>
          <cell r="AH115">
            <v>82.86</v>
          </cell>
          <cell r="AI115" t="str">
            <v>No</v>
          </cell>
        </row>
        <row r="116">
          <cell r="A116" t="str">
            <v>P32C3</v>
          </cell>
          <cell r="B116">
            <v>344.9</v>
          </cell>
          <cell r="C116">
            <v>0.73398595445839498</v>
          </cell>
          <cell r="D116">
            <v>3.181</v>
          </cell>
          <cell r="E116" t="str">
            <v>No</v>
          </cell>
          <cell r="G116">
            <v>383.6</v>
          </cell>
          <cell r="H116">
            <v>0.81634390295807602</v>
          </cell>
          <cell r="I116">
            <v>8.4030000000000005</v>
          </cell>
          <cell r="J116" t="str">
            <v>No</v>
          </cell>
          <cell r="L116">
            <v>372.7</v>
          </cell>
          <cell r="M116">
            <v>0.79314747818684805</v>
          </cell>
          <cell r="N116">
            <v>5.6840000000000002</v>
          </cell>
          <cell r="O116" t="str">
            <v>No</v>
          </cell>
          <cell r="Q116">
            <v>331</v>
          </cell>
          <cell r="R116">
            <v>0.70440519259416901</v>
          </cell>
          <cell r="S116">
            <v>2.9239999999999999</v>
          </cell>
          <cell r="T116" t="str">
            <v>No</v>
          </cell>
          <cell r="V116">
            <v>418.2</v>
          </cell>
          <cell r="W116">
            <v>0.88997659076399205</v>
          </cell>
          <cell r="X116">
            <v>27.72</v>
          </cell>
          <cell r="Y116" t="str">
            <v>No</v>
          </cell>
          <cell r="AA116">
            <v>327</v>
          </cell>
          <cell r="AB116">
            <v>0.69589274313683802</v>
          </cell>
          <cell r="AC116">
            <v>2.4910000000000001</v>
          </cell>
          <cell r="AD116" t="str">
            <v>No</v>
          </cell>
          <cell r="AF116">
            <v>449.7</v>
          </cell>
          <cell r="AG116">
            <v>0.95701213024047704</v>
          </cell>
          <cell r="AH116">
            <v>132.80000000000001</v>
          </cell>
          <cell r="AI116" t="str">
            <v>No</v>
          </cell>
        </row>
        <row r="117">
          <cell r="A117" t="str">
            <v>P33C1</v>
          </cell>
          <cell r="B117">
            <v>276.5</v>
          </cell>
          <cell r="C117">
            <v>0.58842306873802896</v>
          </cell>
          <cell r="D117">
            <v>0.75770000000000004</v>
          </cell>
          <cell r="E117" t="str">
            <v>Yes</v>
          </cell>
          <cell r="G117">
            <v>390.5</v>
          </cell>
          <cell r="H117">
            <v>0.831027878271973</v>
          </cell>
          <cell r="I117">
            <v>21.43</v>
          </cell>
          <cell r="J117" t="str">
            <v>No</v>
          </cell>
          <cell r="L117">
            <v>382.4</v>
          </cell>
          <cell r="M117">
            <v>0.81379016812087701</v>
          </cell>
          <cell r="N117">
            <v>13.99</v>
          </cell>
          <cell r="O117" t="str">
            <v>No</v>
          </cell>
          <cell r="Q117">
            <v>401.6</v>
          </cell>
          <cell r="R117">
            <v>0.854649925516067</v>
          </cell>
          <cell r="S117">
            <v>35.43</v>
          </cell>
          <cell r="T117" t="str">
            <v>No</v>
          </cell>
          <cell r="V117">
            <v>340.8</v>
          </cell>
          <cell r="W117">
            <v>0.72526069376463098</v>
          </cell>
          <cell r="X117">
            <v>8.0120000000000005</v>
          </cell>
          <cell r="Y117" t="str">
            <v>No</v>
          </cell>
          <cell r="AA117">
            <v>423.9</v>
          </cell>
          <cell r="AB117">
            <v>0.90210683124068902</v>
          </cell>
          <cell r="AC117">
            <v>87.84</v>
          </cell>
          <cell r="AD117" t="str">
            <v>No</v>
          </cell>
          <cell r="AF117">
            <v>381.5</v>
          </cell>
          <cell r="AG117">
            <v>0.81187486699297695</v>
          </cell>
          <cell r="AH117">
            <v>38.76</v>
          </cell>
          <cell r="AI117" t="str">
            <v>No</v>
          </cell>
        </row>
        <row r="118">
          <cell r="A118" t="str">
            <v>P33C2</v>
          </cell>
          <cell r="B118">
            <v>262.3</v>
          </cell>
          <cell r="C118">
            <v>0.55820387316450304</v>
          </cell>
          <cell r="D118">
            <v>0.56269999999999998</v>
          </cell>
          <cell r="E118" t="str">
            <v>Yes</v>
          </cell>
          <cell r="G118">
            <v>406.6</v>
          </cell>
          <cell r="H118">
            <v>0.86529048733773195</v>
          </cell>
          <cell r="I118">
            <v>34.869999999999997</v>
          </cell>
          <cell r="J118" t="str">
            <v>No</v>
          </cell>
          <cell r="L118">
            <v>321.39999999999998</v>
          </cell>
          <cell r="M118">
            <v>0.68397531389657396</v>
          </cell>
          <cell r="N118">
            <v>2.4630000000000001</v>
          </cell>
          <cell r="O118" t="str">
            <v>Yes</v>
          </cell>
          <cell r="Q118">
            <v>390.5</v>
          </cell>
          <cell r="R118">
            <v>0.831027878271973</v>
          </cell>
          <cell r="S118">
            <v>20.55</v>
          </cell>
          <cell r="T118" t="str">
            <v>No</v>
          </cell>
          <cell r="V118">
            <v>359.8</v>
          </cell>
          <cell r="W118">
            <v>0.76569482868695504</v>
          </cell>
          <cell r="X118">
            <v>9.4489999999999998</v>
          </cell>
          <cell r="Y118" t="str">
            <v>No</v>
          </cell>
          <cell r="AA118">
            <v>393.8</v>
          </cell>
          <cell r="AB118">
            <v>0.83805064907427096</v>
          </cell>
          <cell r="AC118">
            <v>22.88</v>
          </cell>
          <cell r="AD118" t="str">
            <v>No</v>
          </cell>
          <cell r="AF118">
            <v>373.9</v>
          </cell>
          <cell r="AG118">
            <v>0.79570121302404795</v>
          </cell>
          <cell r="AH118">
            <v>64.62</v>
          </cell>
          <cell r="AI118" t="str">
            <v>No</v>
          </cell>
        </row>
        <row r="119">
          <cell r="A119" t="str">
            <v>P33C3</v>
          </cell>
          <cell r="B119">
            <v>331.7</v>
          </cell>
          <cell r="C119">
            <v>0.70589487124920203</v>
          </cell>
          <cell r="D119">
            <v>2.3919999999999999</v>
          </cell>
          <cell r="E119" t="str">
            <v>Yes</v>
          </cell>
          <cell r="G119">
            <v>391.7</v>
          </cell>
          <cell r="H119">
            <v>0.833581613109172</v>
          </cell>
          <cell r="I119">
            <v>19.29</v>
          </cell>
          <cell r="J119" t="str">
            <v>No</v>
          </cell>
          <cell r="L119">
            <v>335.4</v>
          </cell>
          <cell r="M119">
            <v>0.71376888699723295</v>
          </cell>
          <cell r="N119">
            <v>2.6869999999999998</v>
          </cell>
          <cell r="O119" t="str">
            <v>No</v>
          </cell>
          <cell r="Q119">
            <v>361.7</v>
          </cell>
          <cell r="R119">
            <v>0.76973824217918696</v>
          </cell>
          <cell r="S119">
            <v>11.52</v>
          </cell>
          <cell r="T119" t="str">
            <v>No</v>
          </cell>
          <cell r="V119">
            <v>349</v>
          </cell>
          <cell r="W119">
            <v>0.74271121515215999</v>
          </cell>
          <cell r="X119">
            <v>5.3159999999999998</v>
          </cell>
          <cell r="Y119" t="str">
            <v>No</v>
          </cell>
          <cell r="AA119">
            <v>377.3</v>
          </cell>
          <cell r="AB119">
            <v>0.80293679506277904</v>
          </cell>
          <cell r="AC119">
            <v>13.66</v>
          </cell>
          <cell r="AD119" t="str">
            <v>No</v>
          </cell>
          <cell r="AF119">
            <v>425.1</v>
          </cell>
          <cell r="AG119">
            <v>0.90466056607788903</v>
          </cell>
          <cell r="AH119">
            <v>102.3</v>
          </cell>
          <cell r="AI119" t="str">
            <v>No</v>
          </cell>
        </row>
        <row r="120">
          <cell r="A120" t="str">
            <v>P34C1</v>
          </cell>
          <cell r="B120">
            <v>356.7</v>
          </cell>
          <cell r="C120">
            <v>0.75909768035752301</v>
          </cell>
          <cell r="D120">
            <v>5.79</v>
          </cell>
          <cell r="E120" t="str">
            <v>No</v>
          </cell>
          <cell r="G120">
            <v>408.8</v>
          </cell>
          <cell r="H120">
            <v>0.86997233453926404</v>
          </cell>
          <cell r="I120">
            <v>40.1</v>
          </cell>
          <cell r="J120" t="str">
            <v>No</v>
          </cell>
          <cell r="L120">
            <v>423.9</v>
          </cell>
          <cell r="M120">
            <v>0.90210683124068902</v>
          </cell>
          <cell r="N120">
            <v>34.82</v>
          </cell>
          <cell r="O120" t="str">
            <v>No</v>
          </cell>
          <cell r="Q120">
            <v>408.2</v>
          </cell>
          <cell r="R120">
            <v>0.86869546712066403</v>
          </cell>
          <cell r="S120">
            <v>26.44</v>
          </cell>
          <cell r="T120" t="str">
            <v>No</v>
          </cell>
          <cell r="V120">
            <v>393.8</v>
          </cell>
          <cell r="W120">
            <v>0.83805064907427096</v>
          </cell>
          <cell r="X120">
            <v>22.98</v>
          </cell>
          <cell r="Y120" t="str">
            <v>No</v>
          </cell>
          <cell r="AA120">
            <v>425.9</v>
          </cell>
          <cell r="AB120">
            <v>0.90636305596935496</v>
          </cell>
          <cell r="AC120">
            <v>91.47</v>
          </cell>
          <cell r="AD120" t="str">
            <v>No</v>
          </cell>
          <cell r="AF120">
            <v>439.5</v>
          </cell>
          <cell r="AG120">
            <v>0.93530538412428199</v>
          </cell>
          <cell r="AH120">
            <v>230.7</v>
          </cell>
          <cell r="AI120" t="str">
            <v>No</v>
          </cell>
        </row>
        <row r="121">
          <cell r="A121" t="str">
            <v>P34C2</v>
          </cell>
          <cell r="B121">
            <v>370.8</v>
          </cell>
          <cell r="C121">
            <v>0.78910406469461603</v>
          </cell>
          <cell r="D121">
            <v>10.35</v>
          </cell>
          <cell r="E121" t="str">
            <v>No</v>
          </cell>
          <cell r="G121">
            <v>414.6</v>
          </cell>
          <cell r="H121">
            <v>0.88231538625239403</v>
          </cell>
          <cell r="I121">
            <v>57.39</v>
          </cell>
          <cell r="J121" t="str">
            <v>No</v>
          </cell>
          <cell r="L121">
            <v>409.6</v>
          </cell>
          <cell r="M121">
            <v>0.87167482443072997</v>
          </cell>
          <cell r="N121">
            <v>27.69</v>
          </cell>
          <cell r="O121" t="str">
            <v>No</v>
          </cell>
          <cell r="Q121">
            <v>377.6</v>
          </cell>
          <cell r="R121">
            <v>0.80357522877207899</v>
          </cell>
          <cell r="S121">
            <v>15.59</v>
          </cell>
          <cell r="T121" t="str">
            <v>No</v>
          </cell>
          <cell r="V121">
            <v>382.5</v>
          </cell>
          <cell r="W121">
            <v>0.81400297935731003</v>
          </cell>
          <cell r="X121">
            <v>14.86</v>
          </cell>
          <cell r="Y121" t="str">
            <v>No</v>
          </cell>
          <cell r="AA121">
            <v>424.5</v>
          </cell>
          <cell r="AB121">
            <v>0.90338369865928903</v>
          </cell>
          <cell r="AC121">
            <v>81.72</v>
          </cell>
          <cell r="AD121" t="str">
            <v>No</v>
          </cell>
          <cell r="AF121">
            <v>323.60000000000002</v>
          </cell>
          <cell r="AG121">
            <v>0.68865716109810604</v>
          </cell>
          <cell r="AH121">
            <v>2.29</v>
          </cell>
          <cell r="AI121" t="str">
            <v>No</v>
          </cell>
        </row>
        <row r="122">
          <cell r="A122" t="str">
            <v>P34C3</v>
          </cell>
          <cell r="B122">
            <v>398.2</v>
          </cell>
          <cell r="C122">
            <v>0.84741434347733602</v>
          </cell>
          <cell r="D122">
            <v>19.34</v>
          </cell>
          <cell r="E122" t="str">
            <v>No</v>
          </cell>
          <cell r="G122">
            <v>418.3</v>
          </cell>
          <cell r="H122">
            <v>0.89018940200042596</v>
          </cell>
          <cell r="I122">
            <v>68.099999999999994</v>
          </cell>
          <cell r="J122" t="str">
            <v>No</v>
          </cell>
          <cell r="L122">
            <v>381.1</v>
          </cell>
          <cell r="M122">
            <v>0.81102362204724399</v>
          </cell>
          <cell r="N122">
            <v>15.65</v>
          </cell>
          <cell r="O122" t="str">
            <v>No</v>
          </cell>
          <cell r="Q122">
            <v>392.2</v>
          </cell>
          <cell r="R122">
            <v>0.83464566929133899</v>
          </cell>
          <cell r="S122">
            <v>19.29</v>
          </cell>
          <cell r="T122" t="str">
            <v>No</v>
          </cell>
          <cell r="V122">
            <v>391</v>
          </cell>
          <cell r="W122">
            <v>0.83209193445413898</v>
          </cell>
          <cell r="X122">
            <v>18.09</v>
          </cell>
          <cell r="Y122" t="str">
            <v>No</v>
          </cell>
          <cell r="AA122">
            <v>427.2</v>
          </cell>
          <cell r="AB122">
            <v>0.90912960204298798</v>
          </cell>
          <cell r="AC122">
            <v>132.19999999999999</v>
          </cell>
          <cell r="AD122" t="str">
            <v>No</v>
          </cell>
          <cell r="AF122">
            <v>329</v>
          </cell>
          <cell r="AG122">
            <v>0.70014896786550296</v>
          </cell>
          <cell r="AH122">
            <v>2.1739999999999999</v>
          </cell>
          <cell r="AI122" t="str">
            <v>No</v>
          </cell>
        </row>
        <row r="123">
          <cell r="A123" t="str">
            <v>P35C1</v>
          </cell>
          <cell r="B123">
            <v>418</v>
          </cell>
          <cell r="C123">
            <v>0.88955096829112601</v>
          </cell>
          <cell r="D123">
            <v>84.48</v>
          </cell>
          <cell r="E123" t="str">
            <v>No</v>
          </cell>
          <cell r="G123">
            <v>389.6</v>
          </cell>
          <cell r="H123">
            <v>0.82911257714407305</v>
          </cell>
          <cell r="I123">
            <v>16.940000000000001</v>
          </cell>
          <cell r="J123" t="str">
            <v>No</v>
          </cell>
          <cell r="L123">
            <v>387.4</v>
          </cell>
          <cell r="M123">
            <v>0.82443072994254096</v>
          </cell>
          <cell r="N123">
            <v>18.96</v>
          </cell>
          <cell r="O123" t="str">
            <v>No</v>
          </cell>
          <cell r="Q123">
            <v>409.4</v>
          </cell>
          <cell r="R123">
            <v>0.87124920195786304</v>
          </cell>
          <cell r="S123">
            <v>51.78</v>
          </cell>
          <cell r="T123" t="str">
            <v>No</v>
          </cell>
          <cell r="V123">
            <v>390.8</v>
          </cell>
          <cell r="W123">
            <v>0.83166631198127305</v>
          </cell>
          <cell r="X123">
            <v>15.81</v>
          </cell>
          <cell r="Y123" t="str">
            <v>No</v>
          </cell>
          <cell r="AA123">
            <v>438.7</v>
          </cell>
          <cell r="AB123">
            <v>0.93360289423281595</v>
          </cell>
          <cell r="AC123">
            <v>154.6</v>
          </cell>
          <cell r="AD123" t="str">
            <v>No</v>
          </cell>
          <cell r="AF123">
            <v>421</v>
          </cell>
          <cell r="AG123">
            <v>0.89593530538412403</v>
          </cell>
          <cell r="AH123">
            <v>129.69999999999999</v>
          </cell>
          <cell r="AI123" t="str">
            <v>No</v>
          </cell>
        </row>
        <row r="124">
          <cell r="A124" t="str">
            <v>P35C2</v>
          </cell>
          <cell r="B124">
            <v>346</v>
          </cell>
          <cell r="C124">
            <v>0.73632687805916197</v>
          </cell>
          <cell r="D124">
            <v>8.5069999999999997</v>
          </cell>
          <cell r="E124" t="str">
            <v>No</v>
          </cell>
          <cell r="G124">
            <v>385.9</v>
          </cell>
          <cell r="H124">
            <v>0.82123856139604201</v>
          </cell>
          <cell r="I124">
            <v>12.4</v>
          </cell>
          <cell r="J124" t="str">
            <v>No</v>
          </cell>
          <cell r="L124">
            <v>399</v>
          </cell>
          <cell r="M124">
            <v>0.84911683336880195</v>
          </cell>
          <cell r="N124">
            <v>22.53</v>
          </cell>
          <cell r="O124" t="str">
            <v>No</v>
          </cell>
          <cell r="Q124">
            <v>405.9</v>
          </cell>
          <cell r="R124">
            <v>0.86380080868269804</v>
          </cell>
          <cell r="S124">
            <v>24.86</v>
          </cell>
          <cell r="T124" t="str">
            <v>No</v>
          </cell>
          <cell r="V124">
            <v>331.6</v>
          </cell>
          <cell r="W124">
            <v>0.70568206001276901</v>
          </cell>
          <cell r="X124">
            <v>3.331</v>
          </cell>
          <cell r="Y124" t="str">
            <v>No</v>
          </cell>
          <cell r="AA124">
            <v>441.4</v>
          </cell>
          <cell r="AB124">
            <v>0.93934879761651402</v>
          </cell>
          <cell r="AC124">
            <v>181.9</v>
          </cell>
          <cell r="AD124" t="str">
            <v>No</v>
          </cell>
          <cell r="AF124">
            <v>390.2</v>
          </cell>
          <cell r="AG124">
            <v>0.83038944456267305</v>
          </cell>
          <cell r="AH124">
            <v>62.33</v>
          </cell>
          <cell r="AI124" t="str">
            <v>No</v>
          </cell>
        </row>
        <row r="125">
          <cell r="A125" t="str">
            <v>P35C3</v>
          </cell>
          <cell r="B125">
            <v>393.3</v>
          </cell>
          <cell r="C125">
            <v>0.83698659289210497</v>
          </cell>
          <cell r="D125">
            <v>16.63</v>
          </cell>
          <cell r="E125" t="str">
            <v>No</v>
          </cell>
          <cell r="G125">
            <v>398.6</v>
          </cell>
          <cell r="H125">
            <v>0.84826558842306898</v>
          </cell>
          <cell r="I125">
            <v>12.41</v>
          </cell>
          <cell r="J125" t="str">
            <v>No</v>
          </cell>
          <cell r="L125">
            <v>415.6</v>
          </cell>
          <cell r="M125">
            <v>0.884443498616727</v>
          </cell>
          <cell r="N125">
            <v>24.93</v>
          </cell>
          <cell r="O125" t="str">
            <v>No</v>
          </cell>
          <cell r="Q125">
            <v>394.3</v>
          </cell>
          <cell r="R125">
            <v>0.83911470525643805</v>
          </cell>
          <cell r="S125">
            <v>18.440000000000001</v>
          </cell>
          <cell r="T125" t="str">
            <v>No</v>
          </cell>
          <cell r="V125">
            <v>455.6</v>
          </cell>
          <cell r="W125">
            <v>0.96956799319003995</v>
          </cell>
          <cell r="X125">
            <v>304.60000000000002</v>
          </cell>
          <cell r="Y125" t="str">
            <v>No</v>
          </cell>
          <cell r="AA125">
            <v>414.4</v>
          </cell>
          <cell r="AB125">
            <v>0.88188976377952799</v>
          </cell>
          <cell r="AC125">
            <v>22.15</v>
          </cell>
          <cell r="AD125" t="str">
            <v>No</v>
          </cell>
          <cell r="AF125">
            <v>408.2</v>
          </cell>
          <cell r="AG125">
            <v>0.86869546712066403</v>
          </cell>
          <cell r="AH125">
            <v>26.58</v>
          </cell>
          <cell r="AI125" t="str">
            <v>No</v>
          </cell>
        </row>
        <row r="126">
          <cell r="A126" t="str">
            <v>P36C1</v>
          </cell>
          <cell r="B126">
            <v>423.2</v>
          </cell>
          <cell r="C126">
            <v>0.900617152585657</v>
          </cell>
          <cell r="D126">
            <v>87.62</v>
          </cell>
          <cell r="E126" t="str">
            <v>No</v>
          </cell>
          <cell r="G126">
            <v>409.3</v>
          </cell>
          <cell r="H126">
            <v>0.87103639072143002</v>
          </cell>
          <cell r="I126">
            <v>52.62</v>
          </cell>
          <cell r="J126" t="str">
            <v>No</v>
          </cell>
          <cell r="L126">
            <v>359.4</v>
          </cell>
          <cell r="M126">
            <v>0.76484358374122197</v>
          </cell>
          <cell r="N126">
            <v>11.05</v>
          </cell>
          <cell r="O126" t="str">
            <v>No</v>
          </cell>
          <cell r="Q126">
            <v>283.3</v>
          </cell>
          <cell r="R126">
            <v>0.60289423281549304</v>
          </cell>
          <cell r="S126">
            <v>0.68420000000000003</v>
          </cell>
          <cell r="T126" t="str">
            <v>Yes</v>
          </cell>
          <cell r="V126">
            <v>391.8</v>
          </cell>
          <cell r="W126">
            <v>0.83379442434560502</v>
          </cell>
          <cell r="X126">
            <v>37.85</v>
          </cell>
          <cell r="Y126" t="str">
            <v>No</v>
          </cell>
          <cell r="AA126">
            <v>414.6</v>
          </cell>
          <cell r="AB126">
            <v>0.88231538625239403</v>
          </cell>
          <cell r="AC126">
            <v>78.05</v>
          </cell>
          <cell r="AD126" t="str">
            <v>No</v>
          </cell>
          <cell r="AF126">
            <v>419.7</v>
          </cell>
          <cell r="AG126">
            <v>0.893168759310492</v>
          </cell>
          <cell r="AH126">
            <v>110.3</v>
          </cell>
          <cell r="AI126" t="str">
            <v>No</v>
          </cell>
        </row>
        <row r="127">
          <cell r="A127" t="str">
            <v>P36C2</v>
          </cell>
          <cell r="B127">
            <v>372.7</v>
          </cell>
          <cell r="C127">
            <v>0.79314747818684805</v>
          </cell>
          <cell r="D127">
            <v>11.15</v>
          </cell>
          <cell r="E127" t="str">
            <v>No</v>
          </cell>
          <cell r="G127">
            <v>325.2</v>
          </cell>
          <cell r="H127">
            <v>0.69206214088103901</v>
          </cell>
          <cell r="I127">
            <v>1.905</v>
          </cell>
          <cell r="J127" t="str">
            <v>Yes</v>
          </cell>
          <cell r="L127">
            <v>381.2</v>
          </cell>
          <cell r="M127">
            <v>0.81123643328367701</v>
          </cell>
          <cell r="N127">
            <v>20.5</v>
          </cell>
          <cell r="O127" t="str">
            <v>No</v>
          </cell>
          <cell r="Q127">
            <v>388.3</v>
          </cell>
          <cell r="R127">
            <v>0.82634603107044102</v>
          </cell>
          <cell r="S127">
            <v>17.82</v>
          </cell>
          <cell r="T127" t="str">
            <v>No</v>
          </cell>
          <cell r="V127">
            <v>418</v>
          </cell>
          <cell r="W127">
            <v>0.88955096829112601</v>
          </cell>
          <cell r="X127">
            <v>52.82</v>
          </cell>
          <cell r="Y127" t="str">
            <v>No</v>
          </cell>
          <cell r="AA127">
            <v>389.9</v>
          </cell>
          <cell r="AB127">
            <v>0.82975101085337299</v>
          </cell>
          <cell r="AC127">
            <v>20.61</v>
          </cell>
          <cell r="AD127" t="str">
            <v>No</v>
          </cell>
          <cell r="AF127">
            <v>425.5</v>
          </cell>
          <cell r="AG127">
            <v>0.90551181102362199</v>
          </cell>
          <cell r="AH127">
            <v>110.3</v>
          </cell>
          <cell r="AI127" t="str">
            <v>No</v>
          </cell>
        </row>
        <row r="128">
          <cell r="A128" t="str">
            <v>P36C3</v>
          </cell>
          <cell r="B128">
            <v>411.5</v>
          </cell>
          <cell r="C128">
            <v>0.875718237922962</v>
          </cell>
          <cell r="D128">
            <v>39.28</v>
          </cell>
          <cell r="E128" t="str">
            <v>No</v>
          </cell>
          <cell r="G128">
            <v>395.2</v>
          </cell>
          <cell r="H128">
            <v>0.841030006384337</v>
          </cell>
          <cell r="I128">
            <v>39</v>
          </cell>
          <cell r="J128" t="str">
            <v>No</v>
          </cell>
          <cell r="L128">
            <v>414.9</v>
          </cell>
          <cell r="M128">
            <v>0.88295381996169398</v>
          </cell>
          <cell r="N128">
            <v>22.5</v>
          </cell>
          <cell r="O128" t="str">
            <v>No</v>
          </cell>
          <cell r="Q128">
            <v>290.5</v>
          </cell>
          <cell r="R128">
            <v>0.61821664183868896</v>
          </cell>
          <cell r="S128">
            <v>0.96150000000000002</v>
          </cell>
          <cell r="T128" t="str">
            <v>Yes</v>
          </cell>
          <cell r="V128">
            <v>405.7</v>
          </cell>
          <cell r="W128">
            <v>0.863375186209832</v>
          </cell>
          <cell r="X128">
            <v>20.16</v>
          </cell>
          <cell r="Y128" t="str">
            <v>No</v>
          </cell>
          <cell r="AA128">
            <v>390.2</v>
          </cell>
          <cell r="AB128">
            <v>0.83038944456267305</v>
          </cell>
          <cell r="AC128">
            <v>42.01</v>
          </cell>
          <cell r="AD128" t="str">
            <v>No</v>
          </cell>
          <cell r="AF128">
            <v>419.8</v>
          </cell>
          <cell r="AG128">
            <v>0.89338157054692502</v>
          </cell>
          <cell r="AH128">
            <v>84.3</v>
          </cell>
          <cell r="AI128" t="str">
            <v>No</v>
          </cell>
        </row>
        <row r="129">
          <cell r="A129" t="str">
            <v>P36C4</v>
          </cell>
          <cell r="B129">
            <v>354.6</v>
          </cell>
          <cell r="C129">
            <v>0.75462864439242405</v>
          </cell>
          <cell r="D129">
            <v>7.16</v>
          </cell>
          <cell r="E129" t="str">
            <v>No</v>
          </cell>
          <cell r="G129">
            <v>343.4</v>
          </cell>
          <cell r="H129">
            <v>0.73079378591189603</v>
          </cell>
          <cell r="I129">
            <v>4.1210000000000004</v>
          </cell>
          <cell r="J129" t="str">
            <v>No</v>
          </cell>
          <cell r="L129">
            <v>376</v>
          </cell>
          <cell r="M129">
            <v>0.80017024898914701</v>
          </cell>
          <cell r="N129">
            <v>19.8</v>
          </cell>
          <cell r="O129" t="str">
            <v>No</v>
          </cell>
          <cell r="Q129">
            <v>357.9</v>
          </cell>
          <cell r="R129">
            <v>0.76165141519472201</v>
          </cell>
          <cell r="S129">
            <v>11.92</v>
          </cell>
          <cell r="T129" t="str">
            <v>No</v>
          </cell>
          <cell r="V129">
            <v>408.3</v>
          </cell>
          <cell r="W129">
            <v>0.86890827835709705</v>
          </cell>
          <cell r="X129">
            <v>39.479999999999997</v>
          </cell>
          <cell r="Y129" t="str">
            <v>No</v>
          </cell>
          <cell r="AA129">
            <v>421</v>
          </cell>
          <cell r="AB129">
            <v>0.89593530538412403</v>
          </cell>
          <cell r="AC129">
            <v>34.520000000000003</v>
          </cell>
          <cell r="AD129" t="str">
            <v>No</v>
          </cell>
          <cell r="AF129">
            <v>443.9</v>
          </cell>
          <cell r="AG129">
            <v>0.94466907852734605</v>
          </cell>
          <cell r="AH129">
            <v>120.6</v>
          </cell>
          <cell r="AI129" t="str">
            <v>No</v>
          </cell>
        </row>
        <row r="130">
          <cell r="A130" t="str">
            <v>P37C1</v>
          </cell>
          <cell r="B130">
            <v>368.3</v>
          </cell>
          <cell r="C130">
            <v>0.78378378378378399</v>
          </cell>
          <cell r="D130">
            <v>8.0359999999999996</v>
          </cell>
          <cell r="E130" t="str">
            <v>No</v>
          </cell>
          <cell r="G130">
            <v>327.39999999999998</v>
          </cell>
          <cell r="H130">
            <v>0.69674398808257099</v>
          </cell>
          <cell r="I130">
            <v>2.343</v>
          </cell>
          <cell r="J130" t="str">
            <v>Yes</v>
          </cell>
          <cell r="L130">
            <v>346.4</v>
          </cell>
          <cell r="M130">
            <v>0.73717812300489505</v>
          </cell>
          <cell r="N130">
            <v>4.2910000000000004</v>
          </cell>
          <cell r="O130" t="str">
            <v>No</v>
          </cell>
          <cell r="Q130">
            <v>319.60000000000002</v>
          </cell>
          <cell r="R130">
            <v>0.68014471164077495</v>
          </cell>
          <cell r="S130">
            <v>1.69</v>
          </cell>
          <cell r="T130" t="str">
            <v>Yes</v>
          </cell>
          <cell r="V130">
            <v>363.1</v>
          </cell>
          <cell r="W130">
            <v>0.772717599489253</v>
          </cell>
          <cell r="X130">
            <v>9.9139999999999997</v>
          </cell>
          <cell r="Y130" t="str">
            <v>No</v>
          </cell>
          <cell r="AA130">
            <v>382.4</v>
          </cell>
          <cell r="AB130">
            <v>0.81379016812087701</v>
          </cell>
          <cell r="AC130">
            <v>24.39</v>
          </cell>
          <cell r="AD130" t="str">
            <v>No</v>
          </cell>
          <cell r="AF130">
            <v>403.9</v>
          </cell>
          <cell r="AG130">
            <v>0.85954458395403299</v>
          </cell>
          <cell r="AH130">
            <v>30.48</v>
          </cell>
          <cell r="AI130" t="str">
            <v>No</v>
          </cell>
        </row>
        <row r="131">
          <cell r="A131" t="str">
            <v>P37C2</v>
          </cell>
          <cell r="B131">
            <v>365.9</v>
          </cell>
          <cell r="C131">
            <v>0.77867631410938498</v>
          </cell>
          <cell r="D131">
            <v>6.9909999999999997</v>
          </cell>
          <cell r="E131" t="str">
            <v>No</v>
          </cell>
          <cell r="G131">
            <v>320.3</v>
          </cell>
          <cell r="H131">
            <v>0.68163439029580797</v>
          </cell>
          <cell r="I131">
            <v>2.1560000000000001</v>
          </cell>
          <cell r="J131" t="str">
            <v>Yes</v>
          </cell>
          <cell r="L131">
            <v>386.9</v>
          </cell>
          <cell r="M131">
            <v>0.82336667376037498</v>
          </cell>
          <cell r="N131">
            <v>15.66</v>
          </cell>
          <cell r="O131" t="str">
            <v>No</v>
          </cell>
          <cell r="Q131">
            <v>375.1</v>
          </cell>
          <cell r="R131">
            <v>0.79825494786124696</v>
          </cell>
          <cell r="S131">
            <v>14.76</v>
          </cell>
          <cell r="T131" t="str">
            <v>No</v>
          </cell>
          <cell r="V131">
            <v>420.2</v>
          </cell>
          <cell r="W131">
            <v>0.89423281549265798</v>
          </cell>
          <cell r="X131">
            <v>27.46</v>
          </cell>
          <cell r="Y131" t="str">
            <v>No</v>
          </cell>
          <cell r="AA131">
            <v>381.7</v>
          </cell>
          <cell r="AB131">
            <v>0.81230048946584399</v>
          </cell>
          <cell r="AC131">
            <v>17.21</v>
          </cell>
          <cell r="AD131" t="str">
            <v>No</v>
          </cell>
          <cell r="AF131">
            <v>427.9</v>
          </cell>
          <cell r="AG131">
            <v>0.91061928069802101</v>
          </cell>
          <cell r="AH131">
            <v>40.26</v>
          </cell>
          <cell r="AI131" t="str">
            <v>No</v>
          </cell>
        </row>
        <row r="132">
          <cell r="A132" t="str">
            <v>P37C3</v>
          </cell>
          <cell r="B132">
            <v>369.1</v>
          </cell>
          <cell r="C132">
            <v>0.78548627367525004</v>
          </cell>
          <cell r="D132">
            <v>9.2609999999999992</v>
          </cell>
          <cell r="E132" t="str">
            <v>No</v>
          </cell>
          <cell r="G132">
            <v>357.3</v>
          </cell>
          <cell r="H132">
            <v>0.76037454777612301</v>
          </cell>
          <cell r="I132">
            <v>6.54</v>
          </cell>
          <cell r="J132" t="str">
            <v>No</v>
          </cell>
          <cell r="L132">
            <v>352.1</v>
          </cell>
          <cell r="M132">
            <v>0.74930836348159202</v>
          </cell>
          <cell r="N132">
            <v>5.3129999999999997</v>
          </cell>
          <cell r="O132" t="str">
            <v>No</v>
          </cell>
          <cell r="Q132">
            <v>375.8</v>
          </cell>
          <cell r="R132">
            <v>0.79974462651627998</v>
          </cell>
          <cell r="S132">
            <v>12.23</v>
          </cell>
          <cell r="T132" t="str">
            <v>No</v>
          </cell>
          <cell r="V132">
            <v>372.6</v>
          </cell>
          <cell r="W132">
            <v>0.79293466695041503</v>
          </cell>
          <cell r="X132">
            <v>10.82</v>
          </cell>
          <cell r="Y132" t="str">
            <v>No</v>
          </cell>
          <cell r="AA132">
            <v>401.7</v>
          </cell>
          <cell r="AB132">
            <v>0.85486273675250102</v>
          </cell>
          <cell r="AC132">
            <v>35.06</v>
          </cell>
          <cell r="AD132" t="str">
            <v>No</v>
          </cell>
          <cell r="AF132">
            <v>400.8</v>
          </cell>
          <cell r="AG132">
            <v>0.85294743562460096</v>
          </cell>
          <cell r="AH132">
            <v>33.44</v>
          </cell>
          <cell r="AI132" t="str">
            <v>No</v>
          </cell>
        </row>
        <row r="133">
          <cell r="A133" t="str">
            <v>P38C1</v>
          </cell>
          <cell r="B133">
            <v>309</v>
          </cell>
          <cell r="C133">
            <v>0.65758672057884704</v>
          </cell>
          <cell r="D133">
            <v>1.633</v>
          </cell>
          <cell r="E133" t="str">
            <v>Yes</v>
          </cell>
          <cell r="G133">
            <v>326.60000000000002</v>
          </cell>
          <cell r="H133">
            <v>0.69504149819110495</v>
          </cell>
          <cell r="I133">
            <v>2.3519999999999999</v>
          </cell>
          <cell r="J133" t="str">
            <v>Yes</v>
          </cell>
          <cell r="L133">
            <v>325.89999999999998</v>
          </cell>
          <cell r="M133">
            <v>0.69355181953607103</v>
          </cell>
          <cell r="N133">
            <v>2.3210000000000002</v>
          </cell>
          <cell r="O133" t="str">
            <v>Yes</v>
          </cell>
          <cell r="Q133">
            <v>320.8</v>
          </cell>
          <cell r="R133">
            <v>0.68269844647797395</v>
          </cell>
          <cell r="S133">
            <v>1.909</v>
          </cell>
          <cell r="T133" t="str">
            <v>Yes</v>
          </cell>
          <cell r="V133">
            <v>375.2</v>
          </cell>
          <cell r="W133">
            <v>0.79846775909767997</v>
          </cell>
          <cell r="X133">
            <v>10.99</v>
          </cell>
          <cell r="Y133" t="str">
            <v>No</v>
          </cell>
          <cell r="AA133">
            <v>382.1</v>
          </cell>
          <cell r="AB133">
            <v>0.81315173441157695</v>
          </cell>
          <cell r="AC133">
            <v>13.24</v>
          </cell>
          <cell r="AD133" t="str">
            <v>No</v>
          </cell>
          <cell r="AF133">
            <v>392.3</v>
          </cell>
          <cell r="AG133">
            <v>0.83485848052777201</v>
          </cell>
          <cell r="AH133">
            <v>18.88</v>
          </cell>
          <cell r="AI133" t="str">
            <v>No</v>
          </cell>
        </row>
        <row r="134">
          <cell r="A134" t="str">
            <v>P38C2</v>
          </cell>
          <cell r="B134">
            <v>272.8</v>
          </cell>
          <cell r="C134">
            <v>0.58054905298999804</v>
          </cell>
          <cell r="D134">
            <v>0.54969999999999997</v>
          </cell>
          <cell r="E134" t="str">
            <v>Yes</v>
          </cell>
          <cell r="G134">
            <v>297.39999999999998</v>
          </cell>
          <cell r="H134">
            <v>0.63290061715258605</v>
          </cell>
          <cell r="I134">
            <v>1.1060000000000001</v>
          </cell>
          <cell r="J134" t="str">
            <v>Yes</v>
          </cell>
          <cell r="L134">
            <v>328.3</v>
          </cell>
          <cell r="M134">
            <v>0.69865928921047005</v>
          </cell>
          <cell r="N134">
            <v>2.294</v>
          </cell>
          <cell r="O134" t="str">
            <v>Yes</v>
          </cell>
          <cell r="Q134">
            <v>330.5</v>
          </cell>
          <cell r="R134">
            <v>0.70334113641200302</v>
          </cell>
          <cell r="S134">
            <v>2.899</v>
          </cell>
          <cell r="T134" t="str">
            <v>No</v>
          </cell>
          <cell r="V134">
            <v>395.3</v>
          </cell>
          <cell r="W134">
            <v>0.84124281762077002</v>
          </cell>
          <cell r="X134">
            <v>22.03</v>
          </cell>
          <cell r="Y134" t="str">
            <v>No</v>
          </cell>
          <cell r="AA134">
            <v>417.7</v>
          </cell>
          <cell r="AB134">
            <v>0.88891253458182595</v>
          </cell>
          <cell r="AC134">
            <v>169.9</v>
          </cell>
          <cell r="AD134" t="str">
            <v>No</v>
          </cell>
          <cell r="AF134">
            <v>399.4</v>
          </cell>
          <cell r="AG134">
            <v>0.84996807831453502</v>
          </cell>
          <cell r="AH134">
            <v>92.8</v>
          </cell>
          <cell r="AI134" t="str">
            <v>No</v>
          </cell>
        </row>
        <row r="135">
          <cell r="A135" t="str">
            <v>P38C3</v>
          </cell>
          <cell r="B135">
            <v>312.89999999999998</v>
          </cell>
          <cell r="C135">
            <v>0.665886358799745</v>
          </cell>
          <cell r="D135">
            <v>1.2769999999999999</v>
          </cell>
          <cell r="E135" t="str">
            <v>Yes</v>
          </cell>
          <cell r="G135">
            <v>318.10000000000002</v>
          </cell>
          <cell r="H135">
            <v>0.67695254309427499</v>
          </cell>
          <cell r="I135">
            <v>1.1659999999999999</v>
          </cell>
          <cell r="J135" t="str">
            <v>Yes</v>
          </cell>
          <cell r="L135">
            <v>317.10000000000002</v>
          </cell>
          <cell r="M135">
            <v>0.67482443072994303</v>
          </cell>
          <cell r="N135">
            <v>1.0960000000000001</v>
          </cell>
          <cell r="O135" t="str">
            <v>Yes</v>
          </cell>
          <cell r="Q135">
            <v>316.3</v>
          </cell>
          <cell r="R135">
            <v>0.67312194083847599</v>
          </cell>
          <cell r="S135">
            <v>2.7970000000000002</v>
          </cell>
          <cell r="T135" t="str">
            <v>Yes</v>
          </cell>
          <cell r="V135">
            <v>409.1</v>
          </cell>
          <cell r="W135">
            <v>0.87061076824856398</v>
          </cell>
          <cell r="X135">
            <v>42.41</v>
          </cell>
          <cell r="Y135" t="str">
            <v>No</v>
          </cell>
          <cell r="AA135">
            <v>443.6</v>
          </cell>
          <cell r="AB135">
            <v>0.94403064481804599</v>
          </cell>
          <cell r="AC135">
            <v>144.9</v>
          </cell>
          <cell r="AD135" t="str">
            <v>No</v>
          </cell>
          <cell r="AF135">
            <v>440.6</v>
          </cell>
          <cell r="AG135">
            <v>0.93764630772504798</v>
          </cell>
          <cell r="AH135">
            <v>195.4</v>
          </cell>
          <cell r="AI135" t="str">
            <v>No</v>
          </cell>
        </row>
        <row r="136">
          <cell r="A136" t="str">
            <v>P39C1</v>
          </cell>
          <cell r="B136">
            <v>318.60000000000002</v>
          </cell>
          <cell r="C136">
            <v>0.67801659927644198</v>
          </cell>
          <cell r="D136">
            <v>1.4279999999999999</v>
          </cell>
          <cell r="E136" t="str">
            <v>Yes</v>
          </cell>
          <cell r="G136">
            <v>327.8</v>
          </cell>
          <cell r="H136">
            <v>0.69759523302830395</v>
          </cell>
          <cell r="I136">
            <v>2.35</v>
          </cell>
          <cell r="J136" t="str">
            <v>Yes</v>
          </cell>
          <cell r="L136">
            <v>328.2</v>
          </cell>
          <cell r="M136">
            <v>0.69844647797403703</v>
          </cell>
          <cell r="N136">
            <v>2.4409999999999998</v>
          </cell>
          <cell r="O136" t="str">
            <v>Yes</v>
          </cell>
          <cell r="Q136">
            <v>317.7</v>
          </cell>
          <cell r="R136">
            <v>0.67610129814854203</v>
          </cell>
          <cell r="S136">
            <v>1.5289999999999999</v>
          </cell>
          <cell r="T136" t="str">
            <v>Yes</v>
          </cell>
          <cell r="V136">
            <v>319.89999999999998</v>
          </cell>
          <cell r="W136">
            <v>0.680783145350074</v>
          </cell>
          <cell r="X136">
            <v>1.97</v>
          </cell>
          <cell r="Y136" t="str">
            <v>Yes</v>
          </cell>
          <cell r="AA136">
            <v>418.5</v>
          </cell>
          <cell r="AB136">
            <v>0.89061502447329199</v>
          </cell>
          <cell r="AC136">
            <v>63.77</v>
          </cell>
          <cell r="AD136" t="str">
            <v>No</v>
          </cell>
          <cell r="AF136">
            <v>415.5</v>
          </cell>
          <cell r="AG136">
            <v>0.88423068738029398</v>
          </cell>
          <cell r="AH136">
            <v>52.31</v>
          </cell>
          <cell r="AI136" t="str">
            <v>No</v>
          </cell>
        </row>
        <row r="137">
          <cell r="A137" t="str">
            <v>P39C2</v>
          </cell>
          <cell r="B137">
            <v>331.8</v>
          </cell>
          <cell r="C137">
            <v>0.70610768248563505</v>
          </cell>
          <cell r="D137">
            <v>2.2730000000000001</v>
          </cell>
          <cell r="E137" t="str">
            <v>No</v>
          </cell>
          <cell r="G137">
            <v>317</v>
          </cell>
          <cell r="H137">
            <v>0.67461161949350901</v>
          </cell>
          <cell r="I137">
            <v>1.621</v>
          </cell>
          <cell r="J137" t="str">
            <v>Yes</v>
          </cell>
          <cell r="L137">
            <v>343.1</v>
          </cell>
          <cell r="M137">
            <v>0.73015535220259598</v>
          </cell>
          <cell r="N137">
            <v>5.81</v>
          </cell>
          <cell r="O137" t="str">
            <v>No</v>
          </cell>
          <cell r="Q137">
            <v>389</v>
          </cell>
          <cell r="R137">
            <v>0.82783570972547305</v>
          </cell>
          <cell r="S137">
            <v>18.350000000000001</v>
          </cell>
          <cell r="T137" t="str">
            <v>No</v>
          </cell>
          <cell r="V137">
            <v>435.7</v>
          </cell>
          <cell r="W137">
            <v>0.92721855713981705</v>
          </cell>
          <cell r="X137">
            <v>61.58</v>
          </cell>
          <cell r="Y137" t="str">
            <v>No</v>
          </cell>
          <cell r="AA137">
            <v>396.8</v>
          </cell>
          <cell r="AB137">
            <v>0.84443498616726997</v>
          </cell>
          <cell r="AC137">
            <v>110.1</v>
          </cell>
          <cell r="AD137" t="str">
            <v>No</v>
          </cell>
          <cell r="AF137">
            <v>420.8</v>
          </cell>
          <cell r="AG137">
            <v>0.89550968291125799</v>
          </cell>
          <cell r="AH137">
            <v>110.6</v>
          </cell>
          <cell r="AI137" t="str">
            <v>No</v>
          </cell>
        </row>
        <row r="138">
          <cell r="A138" t="str">
            <v>P39C3</v>
          </cell>
          <cell r="B138">
            <v>375.6</v>
          </cell>
          <cell r="C138">
            <v>0.79931900404341405</v>
          </cell>
          <cell r="D138">
            <v>15.77</v>
          </cell>
          <cell r="E138" t="str">
            <v>No</v>
          </cell>
          <cell r="G138">
            <v>322</v>
          </cell>
          <cell r="H138">
            <v>0.68525218131517396</v>
          </cell>
          <cell r="I138">
            <v>2.286</v>
          </cell>
          <cell r="J138" t="str">
            <v>Yes</v>
          </cell>
          <cell r="L138">
            <v>308.10000000000002</v>
          </cell>
          <cell r="M138">
            <v>0.65567141945094698</v>
          </cell>
          <cell r="N138">
            <v>1.718</v>
          </cell>
          <cell r="O138" t="str">
            <v>Yes</v>
          </cell>
          <cell r="Q138">
            <v>376</v>
          </cell>
          <cell r="R138">
            <v>0.80017024898914701</v>
          </cell>
          <cell r="S138">
            <v>12.03</v>
          </cell>
          <cell r="T138" t="str">
            <v>No</v>
          </cell>
          <cell r="V138">
            <v>422.3</v>
          </cell>
          <cell r="W138">
            <v>0.89870185145775705</v>
          </cell>
          <cell r="X138">
            <v>106</v>
          </cell>
          <cell r="Y138" t="str">
            <v>No</v>
          </cell>
          <cell r="AA138">
            <v>400.2</v>
          </cell>
          <cell r="AB138">
            <v>0.85167056820600096</v>
          </cell>
          <cell r="AC138">
            <v>44.32</v>
          </cell>
          <cell r="AD138" t="str">
            <v>No</v>
          </cell>
          <cell r="AF138">
            <v>426.9</v>
          </cell>
          <cell r="AG138">
            <v>0.90849116833368804</v>
          </cell>
          <cell r="AH138">
            <v>109.4</v>
          </cell>
          <cell r="AI138" t="str">
            <v>No</v>
          </cell>
        </row>
        <row r="139">
          <cell r="A139" t="str">
            <v>P40C1</v>
          </cell>
          <cell r="B139">
            <v>368.7</v>
          </cell>
          <cell r="C139">
            <v>0.78463502872951696</v>
          </cell>
          <cell r="D139">
            <v>7.2679999999999998</v>
          </cell>
          <cell r="E139" t="str">
            <v>No</v>
          </cell>
          <cell r="G139">
            <v>388.3</v>
          </cell>
          <cell r="H139">
            <v>0.82634603107044102</v>
          </cell>
          <cell r="I139">
            <v>20.36</v>
          </cell>
          <cell r="J139" t="str">
            <v>No</v>
          </cell>
          <cell r="L139">
            <v>387.8</v>
          </cell>
          <cell r="M139">
            <v>0.82528197488827404</v>
          </cell>
          <cell r="N139">
            <v>12.3</v>
          </cell>
          <cell r="O139" t="str">
            <v>No</v>
          </cell>
          <cell r="Q139">
            <v>318.10000000000002</v>
          </cell>
          <cell r="R139">
            <v>0.67695254309427499</v>
          </cell>
          <cell r="S139">
            <v>1.702</v>
          </cell>
          <cell r="T139" t="str">
            <v>Yes</v>
          </cell>
          <cell r="V139">
            <v>387.6</v>
          </cell>
          <cell r="W139">
            <v>0.824856352415408</v>
          </cell>
          <cell r="X139">
            <v>13.28</v>
          </cell>
          <cell r="Y139" t="str">
            <v>No</v>
          </cell>
          <cell r="AA139">
            <v>373.8</v>
          </cell>
          <cell r="AB139">
            <v>0.79548840178761404</v>
          </cell>
          <cell r="AC139">
            <v>12.39</v>
          </cell>
          <cell r="AD139" t="str">
            <v>No</v>
          </cell>
          <cell r="AF139">
            <v>387.2</v>
          </cell>
          <cell r="AG139">
            <v>0.82400510746967404</v>
          </cell>
          <cell r="AH139">
            <v>12.75</v>
          </cell>
          <cell r="AI139" t="str">
            <v>No</v>
          </cell>
        </row>
        <row r="140">
          <cell r="A140" t="str">
            <v>P40C2</v>
          </cell>
          <cell r="B140">
            <v>391</v>
          </cell>
          <cell r="C140">
            <v>0.83209193445413898</v>
          </cell>
          <cell r="D140">
            <v>11.24</v>
          </cell>
          <cell r="E140" t="str">
            <v>No</v>
          </cell>
          <cell r="G140">
            <v>403.2</v>
          </cell>
          <cell r="H140">
            <v>0.85805490529899997</v>
          </cell>
          <cell r="I140">
            <v>29.62</v>
          </cell>
          <cell r="J140" t="str">
            <v>No</v>
          </cell>
          <cell r="L140">
            <v>385.4</v>
          </cell>
          <cell r="M140">
            <v>0.82017450521387503</v>
          </cell>
          <cell r="N140">
            <v>15.13</v>
          </cell>
          <cell r="O140" t="str">
            <v>No</v>
          </cell>
          <cell r="Q140">
            <v>313.7</v>
          </cell>
          <cell r="R140">
            <v>0.66758884869121105</v>
          </cell>
          <cell r="S140">
            <v>2.181</v>
          </cell>
          <cell r="T140" t="str">
            <v>Yes</v>
          </cell>
          <cell r="V140">
            <v>390.4</v>
          </cell>
          <cell r="W140">
            <v>0.83081506703553898</v>
          </cell>
          <cell r="X140">
            <v>12.95</v>
          </cell>
          <cell r="Y140" t="str">
            <v>No</v>
          </cell>
          <cell r="AA140">
            <v>404.6</v>
          </cell>
          <cell r="AB140">
            <v>0.86103426260906601</v>
          </cell>
          <cell r="AC140">
            <v>25.68</v>
          </cell>
          <cell r="AD140" t="str">
            <v>No</v>
          </cell>
          <cell r="AF140">
            <v>394</v>
          </cell>
          <cell r="AG140">
            <v>0.838476271547138</v>
          </cell>
          <cell r="AH140">
            <v>17.73</v>
          </cell>
          <cell r="AI140" t="str">
            <v>No</v>
          </cell>
        </row>
        <row r="141">
          <cell r="A141" t="str">
            <v>P40C3</v>
          </cell>
          <cell r="B141">
            <v>367.3</v>
          </cell>
          <cell r="C141">
            <v>0.78165567141945103</v>
          </cell>
          <cell r="D141">
            <v>9.3219999999999992</v>
          </cell>
          <cell r="E141" t="str">
            <v>No</v>
          </cell>
          <cell r="G141">
            <v>362.4</v>
          </cell>
          <cell r="H141">
            <v>0.77122792083421998</v>
          </cell>
          <cell r="I141">
            <v>6.5030000000000001</v>
          </cell>
          <cell r="J141" t="str">
            <v>No</v>
          </cell>
          <cell r="L141">
            <v>372.8</v>
          </cell>
          <cell r="M141">
            <v>0.79336028942328196</v>
          </cell>
          <cell r="N141">
            <v>10.89</v>
          </cell>
          <cell r="O141" t="str">
            <v>No</v>
          </cell>
          <cell r="Q141">
            <v>338.4</v>
          </cell>
          <cell r="R141">
            <v>0.72015322409023197</v>
          </cell>
          <cell r="S141">
            <v>3.83</v>
          </cell>
          <cell r="T141" t="str">
            <v>No</v>
          </cell>
          <cell r="V141">
            <v>383.8</v>
          </cell>
          <cell r="W141">
            <v>0.81676952543094306</v>
          </cell>
          <cell r="X141">
            <v>9.843</v>
          </cell>
          <cell r="Y141" t="str">
            <v>No</v>
          </cell>
          <cell r="AA141">
            <v>370.8</v>
          </cell>
          <cell r="AB141">
            <v>0.78910406469461603</v>
          </cell>
          <cell r="AC141">
            <v>12.17</v>
          </cell>
          <cell r="AD141" t="str">
            <v>No</v>
          </cell>
          <cell r="AF141">
            <v>413.1</v>
          </cell>
          <cell r="AG141">
            <v>0.87912321770589497</v>
          </cell>
          <cell r="AH141">
            <v>39.700000000000003</v>
          </cell>
          <cell r="AI141" t="str">
            <v>No</v>
          </cell>
        </row>
        <row r="142">
          <cell r="A142" t="str">
            <v>P41C1</v>
          </cell>
          <cell r="B142">
            <v>316.10000000000002</v>
          </cell>
          <cell r="C142">
            <v>0.67269631836560995</v>
          </cell>
          <cell r="D142">
            <v>1.583</v>
          </cell>
          <cell r="E142" t="str">
            <v>Yes</v>
          </cell>
          <cell r="G142">
            <v>369.7</v>
          </cell>
          <cell r="H142">
            <v>0.78676314109385004</v>
          </cell>
          <cell r="I142">
            <v>9.0250000000000004</v>
          </cell>
          <cell r="J142" t="str">
            <v>No</v>
          </cell>
          <cell r="L142">
            <v>313.3</v>
          </cell>
          <cell r="M142">
            <v>0.66673760374547797</v>
          </cell>
          <cell r="N142">
            <v>5.2670000000000003</v>
          </cell>
          <cell r="O142" t="str">
            <v>Yes</v>
          </cell>
          <cell r="Q142">
            <v>382</v>
          </cell>
          <cell r="R142">
            <v>0.81293892317514405</v>
          </cell>
          <cell r="S142">
            <v>13.88</v>
          </cell>
          <cell r="T142" t="str">
            <v>No</v>
          </cell>
          <cell r="V142">
            <v>329.2</v>
          </cell>
          <cell r="W142">
            <v>0.70057459033837</v>
          </cell>
          <cell r="X142">
            <v>2.8879999999999999</v>
          </cell>
          <cell r="Y142" t="str">
            <v>No</v>
          </cell>
          <cell r="AA142">
            <v>423.6</v>
          </cell>
          <cell r="AB142">
            <v>0.90146839753138996</v>
          </cell>
          <cell r="AC142">
            <v>114.9</v>
          </cell>
          <cell r="AD142" t="str">
            <v>No</v>
          </cell>
          <cell r="AF142">
            <v>385.5</v>
          </cell>
          <cell r="AG142">
            <v>0.82038731645030905</v>
          </cell>
          <cell r="AH142">
            <v>16.920000000000002</v>
          </cell>
          <cell r="AI142" t="str">
            <v>No</v>
          </cell>
        </row>
        <row r="143">
          <cell r="A143" t="str">
            <v>P41C2</v>
          </cell>
          <cell r="B143">
            <v>252.7</v>
          </cell>
          <cell r="C143">
            <v>0.53777399446690799</v>
          </cell>
          <cell r="D143">
            <v>0.24049999999999999</v>
          </cell>
          <cell r="E143" t="str">
            <v>Yes</v>
          </cell>
          <cell r="G143">
            <v>361.8</v>
          </cell>
          <cell r="H143">
            <v>0.76995105341561998</v>
          </cell>
          <cell r="I143">
            <v>7.7450000000000001</v>
          </cell>
          <cell r="J143" t="str">
            <v>No</v>
          </cell>
          <cell r="L143">
            <v>354.5</v>
          </cell>
          <cell r="M143">
            <v>0.75441583315599103</v>
          </cell>
          <cell r="N143">
            <v>12.7</v>
          </cell>
          <cell r="O143" t="str">
            <v>No</v>
          </cell>
          <cell r="Q143">
            <v>357.5</v>
          </cell>
          <cell r="R143">
            <v>0.76080017024898905</v>
          </cell>
          <cell r="S143">
            <v>5.085</v>
          </cell>
          <cell r="T143" t="str">
            <v>No</v>
          </cell>
          <cell r="V143">
            <v>318</v>
          </cell>
          <cell r="W143">
            <v>0.67673973185784198</v>
          </cell>
          <cell r="X143">
            <v>1.825</v>
          </cell>
          <cell r="Y143" t="str">
            <v>Yes</v>
          </cell>
          <cell r="AA143">
            <v>397.6</v>
          </cell>
          <cell r="AB143">
            <v>0.84613747605873602</v>
          </cell>
          <cell r="AC143">
            <v>51.63</v>
          </cell>
          <cell r="AD143" t="str">
            <v>No</v>
          </cell>
          <cell r="AF143">
            <v>354.5</v>
          </cell>
          <cell r="AG143">
            <v>0.75441583315599103</v>
          </cell>
          <cell r="AH143">
            <v>46.6</v>
          </cell>
          <cell r="AI143" t="str">
            <v>No</v>
          </cell>
        </row>
        <row r="144">
          <cell r="A144" t="str">
            <v>P41C3</v>
          </cell>
          <cell r="B144">
            <v>335.7</v>
          </cell>
          <cell r="C144">
            <v>0.71440732070653301</v>
          </cell>
          <cell r="D144">
            <v>2.669</v>
          </cell>
          <cell r="E144" t="str">
            <v>No</v>
          </cell>
          <cell r="G144">
            <v>397.2</v>
          </cell>
          <cell r="H144">
            <v>0.84528623111300305</v>
          </cell>
          <cell r="I144">
            <v>26.16</v>
          </cell>
          <cell r="J144" t="str">
            <v>No</v>
          </cell>
          <cell r="L144">
            <v>329.9</v>
          </cell>
          <cell r="M144">
            <v>0.70206426899340302</v>
          </cell>
          <cell r="N144">
            <v>3.0539999999999998</v>
          </cell>
          <cell r="O144" t="str">
            <v>No</v>
          </cell>
          <cell r="Q144">
            <v>386.3</v>
          </cell>
          <cell r="R144">
            <v>0.82208980634177498</v>
          </cell>
          <cell r="S144">
            <v>11.55</v>
          </cell>
          <cell r="T144" t="str">
            <v>No</v>
          </cell>
          <cell r="V144">
            <v>397.5</v>
          </cell>
          <cell r="W144">
            <v>0.845924664822303</v>
          </cell>
          <cell r="X144">
            <v>23.62</v>
          </cell>
          <cell r="Y144" t="str">
            <v>No</v>
          </cell>
          <cell r="AA144">
            <v>430.8</v>
          </cell>
          <cell r="AB144">
            <v>0.916790806554586</v>
          </cell>
          <cell r="AC144">
            <v>115.2</v>
          </cell>
          <cell r="AD144" t="str">
            <v>No</v>
          </cell>
          <cell r="AF144">
            <v>427.5</v>
          </cell>
          <cell r="AG144">
            <v>0.90976803575228804</v>
          </cell>
          <cell r="AH144">
            <v>159.9</v>
          </cell>
          <cell r="AI144" t="str">
            <v>No</v>
          </cell>
        </row>
        <row r="145">
          <cell r="A145" t="str">
            <v>P42C1</v>
          </cell>
          <cell r="B145">
            <v>281.10000000000002</v>
          </cell>
          <cell r="C145">
            <v>0.59821238561396095</v>
          </cell>
          <cell r="D145">
            <v>0.63690000000000002</v>
          </cell>
          <cell r="E145" t="str">
            <v>Yes</v>
          </cell>
          <cell r="G145">
            <v>282.2</v>
          </cell>
          <cell r="H145">
            <v>0.60055330921472605</v>
          </cell>
          <cell r="I145">
            <v>0.84440000000000004</v>
          </cell>
          <cell r="J145" t="str">
            <v>Yes</v>
          </cell>
          <cell r="L145">
            <v>289.3</v>
          </cell>
          <cell r="M145">
            <v>0.61566290700148996</v>
          </cell>
          <cell r="N145">
            <v>0.67879999999999996</v>
          </cell>
          <cell r="O145" t="str">
            <v>Yes</v>
          </cell>
          <cell r="Q145">
            <v>310.10000000000002</v>
          </cell>
          <cell r="R145">
            <v>0.65992764417961303</v>
          </cell>
          <cell r="S145">
            <v>1.5069999999999999</v>
          </cell>
          <cell r="T145" t="str">
            <v>Yes</v>
          </cell>
          <cell r="V145">
            <v>305.39999999999998</v>
          </cell>
          <cell r="W145">
            <v>0.64992551606724802</v>
          </cell>
          <cell r="X145">
            <v>1.2450000000000001</v>
          </cell>
          <cell r="Y145" t="str">
            <v>Yes</v>
          </cell>
          <cell r="AA145">
            <v>388.2</v>
          </cell>
          <cell r="AB145">
            <v>0.826133219834007</v>
          </cell>
          <cell r="AC145">
            <v>49.89</v>
          </cell>
          <cell r="AD145" t="str">
            <v>No</v>
          </cell>
          <cell r="AF145">
            <v>449.2</v>
          </cell>
          <cell r="AG145">
            <v>0.95594807405830995</v>
          </cell>
          <cell r="AH145">
            <v>125.1</v>
          </cell>
          <cell r="AI145" t="str">
            <v>No</v>
          </cell>
        </row>
        <row r="146">
          <cell r="A146" t="str">
            <v>P42C2</v>
          </cell>
          <cell r="B146">
            <v>336.4</v>
          </cell>
          <cell r="C146">
            <v>0.71589699936156603</v>
          </cell>
          <cell r="D146">
            <v>2.8969999999999998</v>
          </cell>
          <cell r="E146" t="str">
            <v>No</v>
          </cell>
          <cell r="G146">
            <v>329.9</v>
          </cell>
          <cell r="H146">
            <v>0.70206426899340302</v>
          </cell>
          <cell r="I146">
            <v>2.0939999999999999</v>
          </cell>
          <cell r="J146" t="str">
            <v>No</v>
          </cell>
          <cell r="L146">
            <v>329.3</v>
          </cell>
          <cell r="M146">
            <v>0.70078740157480301</v>
          </cell>
          <cell r="N146">
            <v>2.2250000000000001</v>
          </cell>
          <cell r="O146" t="str">
            <v>Yes</v>
          </cell>
          <cell r="Q146">
            <v>342.7</v>
          </cell>
          <cell r="R146">
            <v>0.72930410725686301</v>
          </cell>
          <cell r="S146">
            <v>5.694</v>
          </cell>
          <cell r="T146" t="str">
            <v>No</v>
          </cell>
          <cell r="V146">
            <v>330</v>
          </cell>
          <cell r="W146">
            <v>0.70227708022983604</v>
          </cell>
          <cell r="X146">
            <v>4.0309999999999997</v>
          </cell>
          <cell r="Y146" t="str">
            <v>No</v>
          </cell>
          <cell r="AA146">
            <v>469.2</v>
          </cell>
          <cell r="AB146">
            <v>0.99851032134496698</v>
          </cell>
          <cell r="AC146">
            <v>330.9</v>
          </cell>
          <cell r="AD146" t="str">
            <v>No</v>
          </cell>
          <cell r="AF146">
            <v>444.4</v>
          </cell>
          <cell r="AG146">
            <v>0.94573313470951303</v>
          </cell>
          <cell r="AH146">
            <v>283.8</v>
          </cell>
          <cell r="AI146" t="str">
            <v>No</v>
          </cell>
        </row>
        <row r="147">
          <cell r="A147" t="str">
            <v>P42C3</v>
          </cell>
          <cell r="B147">
            <v>278.39999999999998</v>
          </cell>
          <cell r="C147">
            <v>0.59246648223026199</v>
          </cell>
          <cell r="D147">
            <v>0.66659999999999997</v>
          </cell>
          <cell r="E147" t="str">
            <v>Yes</v>
          </cell>
          <cell r="G147">
            <v>335.3</v>
          </cell>
          <cell r="H147">
            <v>0.71355607576080005</v>
          </cell>
          <cell r="I147">
            <v>3.827</v>
          </cell>
          <cell r="J147" t="str">
            <v>No</v>
          </cell>
          <cell r="L147">
            <v>307.2</v>
          </cell>
          <cell r="M147">
            <v>0.65375611832304703</v>
          </cell>
          <cell r="N147">
            <v>1.179</v>
          </cell>
          <cell r="O147" t="str">
            <v>Yes</v>
          </cell>
          <cell r="Q147">
            <v>323.89999999999998</v>
          </cell>
          <cell r="R147">
            <v>0.68929559480740599</v>
          </cell>
          <cell r="S147">
            <v>2.0619999999999998</v>
          </cell>
          <cell r="T147" t="str">
            <v>Yes</v>
          </cell>
          <cell r="V147">
            <v>324.89999999999998</v>
          </cell>
          <cell r="W147">
            <v>0.69142370717173895</v>
          </cell>
          <cell r="X147">
            <v>3.6480000000000001</v>
          </cell>
          <cell r="Y147" t="str">
            <v>No</v>
          </cell>
          <cell r="AA147">
            <v>428.2</v>
          </cell>
          <cell r="AB147">
            <v>0.91125771440732095</v>
          </cell>
          <cell r="AC147">
            <v>138.9</v>
          </cell>
          <cell r="AD147" t="str">
            <v>No</v>
          </cell>
          <cell r="AF147">
            <v>393.7</v>
          </cell>
          <cell r="AG147">
            <v>0.83783783783783805</v>
          </cell>
          <cell r="AH147">
            <v>99.46</v>
          </cell>
          <cell r="AI147" t="str">
            <v>No</v>
          </cell>
        </row>
        <row r="148">
          <cell r="A148" t="str">
            <v>P43C1</v>
          </cell>
          <cell r="B148">
            <v>330.9</v>
          </cell>
          <cell r="C148">
            <v>0.70419238135773599</v>
          </cell>
          <cell r="D148">
            <v>2.379</v>
          </cell>
          <cell r="E148" t="str">
            <v>Yes</v>
          </cell>
          <cell r="G148">
            <v>408.2</v>
          </cell>
          <cell r="H148">
            <v>0.86869546712066403</v>
          </cell>
          <cell r="I148">
            <v>44.73</v>
          </cell>
          <cell r="J148" t="str">
            <v>No</v>
          </cell>
          <cell r="L148">
            <v>401.4</v>
          </cell>
          <cell r="M148">
            <v>0.85422430304320096</v>
          </cell>
          <cell r="N148">
            <v>29.31</v>
          </cell>
          <cell r="O148" t="str">
            <v>No</v>
          </cell>
          <cell r="Q148">
            <v>391.7</v>
          </cell>
          <cell r="R148">
            <v>0.833581613109172</v>
          </cell>
          <cell r="S148">
            <v>19.97</v>
          </cell>
          <cell r="T148" t="str">
            <v>No</v>
          </cell>
          <cell r="V148">
            <v>394</v>
          </cell>
          <cell r="W148">
            <v>0.838476271547138</v>
          </cell>
          <cell r="X148">
            <v>22.7</v>
          </cell>
          <cell r="Y148" t="str">
            <v>No</v>
          </cell>
          <cell r="AA148">
            <v>339.4</v>
          </cell>
          <cell r="AB148">
            <v>0.72228133645456505</v>
          </cell>
          <cell r="AC148">
            <v>3.7</v>
          </cell>
          <cell r="AD148" t="str">
            <v>No</v>
          </cell>
          <cell r="AF148">
            <v>349.3</v>
          </cell>
          <cell r="AG148">
            <v>0.74334964886146004</v>
          </cell>
          <cell r="AH148">
            <v>4.6130000000000004</v>
          </cell>
          <cell r="AI148" t="str">
            <v>No</v>
          </cell>
        </row>
        <row r="149">
          <cell r="A149" t="str">
            <v>P43C2</v>
          </cell>
          <cell r="B149">
            <v>328.4</v>
          </cell>
          <cell r="C149">
            <v>0.69887210044690395</v>
          </cell>
          <cell r="D149">
            <v>2.4769999999999999</v>
          </cell>
          <cell r="E149" t="str">
            <v>Yes</v>
          </cell>
          <cell r="G149">
            <v>408.8</v>
          </cell>
          <cell r="H149">
            <v>0.86997233453926404</v>
          </cell>
          <cell r="I149">
            <v>64.739999999999995</v>
          </cell>
          <cell r="J149" t="str">
            <v>No</v>
          </cell>
          <cell r="L149">
            <v>420.3</v>
          </cell>
          <cell r="M149">
            <v>0.894445626729091</v>
          </cell>
          <cell r="N149">
            <v>47.8</v>
          </cell>
          <cell r="O149" t="str">
            <v>No</v>
          </cell>
          <cell r="Q149">
            <v>392.7</v>
          </cell>
          <cell r="R149">
            <v>0.83570972547350497</v>
          </cell>
          <cell r="S149">
            <v>14.59</v>
          </cell>
          <cell r="T149" t="str">
            <v>No</v>
          </cell>
          <cell r="V149">
            <v>371.9</v>
          </cell>
          <cell r="W149">
            <v>0.79144498829538201</v>
          </cell>
          <cell r="X149">
            <v>21.28</v>
          </cell>
          <cell r="Y149" t="str">
            <v>No</v>
          </cell>
          <cell r="AA149">
            <v>317.39999999999998</v>
          </cell>
          <cell r="AB149">
            <v>0.67546286443924197</v>
          </cell>
          <cell r="AC149">
            <v>2.4710000000000001</v>
          </cell>
          <cell r="AD149" t="str">
            <v>No</v>
          </cell>
          <cell r="AF149">
            <v>311.5</v>
          </cell>
          <cell r="AG149">
            <v>0.66290700148967896</v>
          </cell>
          <cell r="AH149">
            <v>1.597</v>
          </cell>
          <cell r="AI149" t="str">
            <v>Yes</v>
          </cell>
        </row>
        <row r="150">
          <cell r="A150" t="str">
            <v>P44C1</v>
          </cell>
          <cell r="B150">
            <v>338.7</v>
          </cell>
          <cell r="C150">
            <v>0.72079165779953203</v>
          </cell>
          <cell r="D150">
            <v>4.516</v>
          </cell>
          <cell r="E150" t="str">
            <v>No</v>
          </cell>
          <cell r="G150">
            <v>350.7</v>
          </cell>
          <cell r="H150">
            <v>0.74632900617152598</v>
          </cell>
          <cell r="I150">
            <v>5.7450000000000001</v>
          </cell>
          <cell r="J150" t="str">
            <v>No</v>
          </cell>
          <cell r="L150">
            <v>349.9</v>
          </cell>
          <cell r="M150">
            <v>0.74462651628006005</v>
          </cell>
          <cell r="N150">
            <v>4.3550000000000004</v>
          </cell>
          <cell r="O150" t="str">
            <v>No</v>
          </cell>
          <cell r="Q150">
            <v>379.5</v>
          </cell>
          <cell r="R150">
            <v>0.80761864226431201</v>
          </cell>
          <cell r="S150">
            <v>12.91</v>
          </cell>
          <cell r="T150" t="str">
            <v>No</v>
          </cell>
          <cell r="V150">
            <v>372.9</v>
          </cell>
          <cell r="W150">
            <v>0.79357310065971498</v>
          </cell>
          <cell r="X150">
            <v>19.86</v>
          </cell>
          <cell r="Y150" t="str">
            <v>No</v>
          </cell>
          <cell r="AA150">
            <v>332.2</v>
          </cell>
          <cell r="AB150">
            <v>0.70695892743136801</v>
          </cell>
          <cell r="AC150">
            <v>2.9079999999999999</v>
          </cell>
          <cell r="AD150" t="str">
            <v>No</v>
          </cell>
          <cell r="AF150">
            <v>325.7</v>
          </cell>
          <cell r="AG150">
            <v>0.693126197063205</v>
          </cell>
          <cell r="AH150">
            <v>2.2970000000000002</v>
          </cell>
          <cell r="AI150" t="str">
            <v>No</v>
          </cell>
        </row>
        <row r="151">
          <cell r="A151" t="str">
            <v>P44C2</v>
          </cell>
          <cell r="B151">
            <v>299.10000000000002</v>
          </cell>
          <cell r="C151">
            <v>0.63651840817195204</v>
          </cell>
          <cell r="D151">
            <v>1.4750000000000001</v>
          </cell>
          <cell r="E151" t="str">
            <v>Yes</v>
          </cell>
          <cell r="G151">
            <v>317.60000000000002</v>
          </cell>
          <cell r="H151">
            <v>0.67588848691210901</v>
          </cell>
          <cell r="I151">
            <v>2.0059999999999998</v>
          </cell>
          <cell r="J151" t="str">
            <v>Yes</v>
          </cell>
          <cell r="L151">
            <v>329</v>
          </cell>
          <cell r="M151">
            <v>0.70014896786550296</v>
          </cell>
          <cell r="N151">
            <v>2.7730000000000001</v>
          </cell>
          <cell r="O151" t="str">
            <v>Yes</v>
          </cell>
          <cell r="Q151">
            <v>341.9</v>
          </cell>
          <cell r="R151">
            <v>0.72760161736539697</v>
          </cell>
          <cell r="S151">
            <v>4.875</v>
          </cell>
          <cell r="T151" t="str">
            <v>No</v>
          </cell>
          <cell r="V151">
            <v>370.4</v>
          </cell>
          <cell r="W151">
            <v>0.78825281974888295</v>
          </cell>
          <cell r="X151">
            <v>13.76</v>
          </cell>
          <cell r="Y151" t="str">
            <v>No</v>
          </cell>
          <cell r="AA151">
            <v>304</v>
          </cell>
          <cell r="AB151">
            <v>0.64694615875718198</v>
          </cell>
          <cell r="AC151">
            <v>1.4390000000000001</v>
          </cell>
          <cell r="AD151" t="str">
            <v>Yes</v>
          </cell>
          <cell r="AF151">
            <v>383.6</v>
          </cell>
          <cell r="AG151">
            <v>0.81634390295807602</v>
          </cell>
          <cell r="AH151">
            <v>24.2</v>
          </cell>
          <cell r="AI151" t="str">
            <v>No</v>
          </cell>
        </row>
        <row r="152">
          <cell r="A152" t="str">
            <v>P44C3</v>
          </cell>
          <cell r="B152">
            <v>232</v>
          </cell>
          <cell r="C152">
            <v>0.49372206852521799</v>
          </cell>
          <cell r="D152">
            <v>0.1638</v>
          </cell>
          <cell r="E152" t="str">
            <v>Yes</v>
          </cell>
          <cell r="G152">
            <v>290.10000000000002</v>
          </cell>
          <cell r="H152">
            <v>0.617365396892956</v>
          </cell>
          <cell r="I152">
            <v>0.93300000000000005</v>
          </cell>
          <cell r="J152" t="str">
            <v>Yes</v>
          </cell>
          <cell r="L152">
            <v>285.60000000000002</v>
          </cell>
          <cell r="M152">
            <v>0.60778889125345803</v>
          </cell>
          <cell r="N152">
            <v>0.85360000000000003</v>
          </cell>
          <cell r="O152" t="str">
            <v>Yes</v>
          </cell>
          <cell r="Q152">
            <v>332.8</v>
          </cell>
          <cell r="R152">
            <v>0.70823579484996801</v>
          </cell>
          <cell r="S152">
            <v>2.9790000000000001</v>
          </cell>
          <cell r="T152" t="str">
            <v>No</v>
          </cell>
          <cell r="V152">
            <v>345.2</v>
          </cell>
          <cell r="W152">
            <v>0.73462438816769504</v>
          </cell>
          <cell r="X152">
            <v>6.2640000000000002</v>
          </cell>
          <cell r="Y152" t="str">
            <v>No</v>
          </cell>
          <cell r="AA152">
            <v>383.2</v>
          </cell>
          <cell r="AB152">
            <v>0.81549265801234305</v>
          </cell>
          <cell r="AC152">
            <v>14.9</v>
          </cell>
          <cell r="AD152" t="str">
            <v>No</v>
          </cell>
          <cell r="AF152">
            <v>378</v>
          </cell>
          <cell r="AG152">
            <v>0.80442647371781195</v>
          </cell>
          <cell r="AH152">
            <v>21.69</v>
          </cell>
          <cell r="AI152" t="str">
            <v>No</v>
          </cell>
        </row>
        <row r="153">
          <cell r="A153" t="str">
            <v>P44C4</v>
          </cell>
          <cell r="B153">
            <v>287.39999999999998</v>
          </cell>
          <cell r="C153">
            <v>0.61161949350925704</v>
          </cell>
          <cell r="D153">
            <v>0.81369999999999998</v>
          </cell>
          <cell r="E153" t="str">
            <v>Yes</v>
          </cell>
          <cell r="G153">
            <v>307.8</v>
          </cell>
          <cell r="H153">
            <v>0.65503298574164703</v>
          </cell>
          <cell r="I153">
            <v>2.0590000000000002</v>
          </cell>
          <cell r="J153" t="str">
            <v>Yes</v>
          </cell>
          <cell r="L153">
            <v>310.39999999999998</v>
          </cell>
          <cell r="M153">
            <v>0.66056607788891297</v>
          </cell>
          <cell r="N153">
            <v>0.86699999999999999</v>
          </cell>
          <cell r="O153" t="str">
            <v>Yes</v>
          </cell>
          <cell r="Q153">
            <v>356.6</v>
          </cell>
          <cell r="R153">
            <v>0.75888486912108999</v>
          </cell>
          <cell r="S153">
            <v>6.4989999999999997</v>
          </cell>
          <cell r="T153" t="str">
            <v>No</v>
          </cell>
          <cell r="V153">
            <v>308</v>
          </cell>
          <cell r="W153">
            <v>0.65545860821451396</v>
          </cell>
          <cell r="X153">
            <v>1.25</v>
          </cell>
          <cell r="Y153" t="str">
            <v>Yes</v>
          </cell>
          <cell r="AA153">
            <v>330.1</v>
          </cell>
          <cell r="AB153">
            <v>0.70248989146626994</v>
          </cell>
          <cell r="AC153">
            <v>3.1070000000000002</v>
          </cell>
          <cell r="AD153" t="str">
            <v>No</v>
          </cell>
          <cell r="AF153">
            <v>369.5</v>
          </cell>
          <cell r="AG153">
            <v>0.786337518620983</v>
          </cell>
          <cell r="AH153">
            <v>19.84</v>
          </cell>
          <cell r="AI153" t="str">
            <v>No</v>
          </cell>
        </row>
        <row r="154">
          <cell r="A154" t="str">
            <v>P45C1</v>
          </cell>
          <cell r="B154">
            <v>320.3</v>
          </cell>
          <cell r="C154">
            <v>0.68163439029580797</v>
          </cell>
          <cell r="D154">
            <v>1.841</v>
          </cell>
          <cell r="E154" t="str">
            <v>Yes</v>
          </cell>
          <cell r="G154">
            <v>320</v>
          </cell>
          <cell r="H154">
            <v>0.68099595658650802</v>
          </cell>
          <cell r="I154">
            <v>1.9390000000000001</v>
          </cell>
          <cell r="J154" t="str">
            <v>Yes</v>
          </cell>
          <cell r="L154">
            <v>346.9</v>
          </cell>
          <cell r="M154">
            <v>0.73824217918706103</v>
          </cell>
          <cell r="N154">
            <v>8.375</v>
          </cell>
          <cell r="O154" t="str">
            <v>No</v>
          </cell>
          <cell r="Q154">
            <v>342.7</v>
          </cell>
          <cell r="R154">
            <v>0.72930410725686301</v>
          </cell>
          <cell r="S154">
            <v>4.1399999999999997</v>
          </cell>
          <cell r="T154" t="str">
            <v>No</v>
          </cell>
          <cell r="V154">
            <v>313.10000000000002</v>
          </cell>
          <cell r="W154">
            <v>0.66631198127261104</v>
          </cell>
          <cell r="X154">
            <v>2.669</v>
          </cell>
          <cell r="Y154" t="str">
            <v>Yes</v>
          </cell>
          <cell r="AA154">
            <v>404.7</v>
          </cell>
          <cell r="AB154">
            <v>0.86124707384549903</v>
          </cell>
          <cell r="AC154">
            <v>86.81</v>
          </cell>
          <cell r="AD154" t="str">
            <v>No</v>
          </cell>
          <cell r="AF154">
            <v>361.2</v>
          </cell>
          <cell r="AG154">
            <v>0.76867418599702098</v>
          </cell>
          <cell r="AH154">
            <v>8.5180000000000007</v>
          </cell>
          <cell r="AI154" t="str">
            <v>No</v>
          </cell>
        </row>
        <row r="155">
          <cell r="A155" t="str">
            <v>P45C2</v>
          </cell>
          <cell r="B155">
            <v>344.1</v>
          </cell>
          <cell r="C155">
            <v>0.73228346456692905</v>
          </cell>
          <cell r="D155">
            <v>6.7949999999999999</v>
          </cell>
          <cell r="E155" t="str">
            <v>No</v>
          </cell>
          <cell r="G155">
            <v>397.1</v>
          </cell>
          <cell r="H155">
            <v>0.84507341987657003</v>
          </cell>
          <cell r="I155">
            <v>12.44</v>
          </cell>
          <cell r="J155" t="str">
            <v>No</v>
          </cell>
          <cell r="L155">
            <v>407.7</v>
          </cell>
          <cell r="M155">
            <v>0.86763141093849805</v>
          </cell>
          <cell r="N155">
            <v>31.08</v>
          </cell>
          <cell r="O155" t="str">
            <v>No</v>
          </cell>
          <cell r="Q155">
            <v>379.2</v>
          </cell>
          <cell r="R155">
            <v>0.80698020855501196</v>
          </cell>
          <cell r="S155">
            <v>11.85</v>
          </cell>
          <cell r="T155" t="str">
            <v>No</v>
          </cell>
          <cell r="V155">
            <v>343.9</v>
          </cell>
          <cell r="W155">
            <v>0.73185784209406302</v>
          </cell>
          <cell r="X155">
            <v>9.6470000000000002</v>
          </cell>
          <cell r="Y155" t="str">
            <v>No</v>
          </cell>
          <cell r="AA155">
            <v>438.5</v>
          </cell>
          <cell r="AB155">
            <v>0.93317727175994902</v>
          </cell>
          <cell r="AC155">
            <v>812.1</v>
          </cell>
          <cell r="AD155" t="str">
            <v>No</v>
          </cell>
          <cell r="AF155">
            <v>391.5</v>
          </cell>
          <cell r="AG155">
            <v>0.83315599063630597</v>
          </cell>
          <cell r="AH155">
            <v>120.8</v>
          </cell>
          <cell r="AI155" t="str">
            <v>No</v>
          </cell>
        </row>
        <row r="156">
          <cell r="A156" t="str">
            <v>P45C3</v>
          </cell>
          <cell r="B156">
            <v>394.5</v>
          </cell>
          <cell r="C156">
            <v>0.83954032772930398</v>
          </cell>
          <cell r="D156">
            <v>18.739999999999998</v>
          </cell>
          <cell r="E156" t="str">
            <v>No</v>
          </cell>
          <cell r="G156">
            <v>371.1</v>
          </cell>
          <cell r="H156">
            <v>0.78974249840391597</v>
          </cell>
          <cell r="I156">
            <v>9.4730000000000008</v>
          </cell>
          <cell r="J156" t="str">
            <v>No</v>
          </cell>
          <cell r="L156">
            <v>352.5</v>
          </cell>
          <cell r="M156">
            <v>0.75015960842732499</v>
          </cell>
          <cell r="N156">
            <v>5.9420000000000002</v>
          </cell>
          <cell r="O156" t="str">
            <v>No</v>
          </cell>
          <cell r="Q156">
            <v>343.3</v>
          </cell>
          <cell r="R156">
            <v>0.73058097467546301</v>
          </cell>
          <cell r="S156">
            <v>5.6840000000000002</v>
          </cell>
          <cell r="T156" t="str">
            <v>No</v>
          </cell>
          <cell r="V156">
            <v>376</v>
          </cell>
          <cell r="W156">
            <v>0.80017024898914701</v>
          </cell>
          <cell r="X156">
            <v>18.72</v>
          </cell>
          <cell r="Y156" t="str">
            <v>No</v>
          </cell>
          <cell r="AA156">
            <v>471.3</v>
          </cell>
          <cell r="AB156">
            <v>1.00297935731007</v>
          </cell>
          <cell r="AC156">
            <v>472.9</v>
          </cell>
          <cell r="AD156" t="str">
            <v>No</v>
          </cell>
          <cell r="AF156">
            <v>449.2</v>
          </cell>
          <cell r="AG156">
            <v>0.95594807405830995</v>
          </cell>
          <cell r="AH156">
            <v>167.3</v>
          </cell>
          <cell r="AI156" t="str">
            <v>No</v>
          </cell>
        </row>
        <row r="157">
          <cell r="A157" t="str">
            <v>P45C4</v>
          </cell>
          <cell r="B157">
            <v>328.9</v>
          </cell>
          <cell r="C157">
            <v>0.69993615662907005</v>
          </cell>
          <cell r="D157">
            <v>2.4380000000000002</v>
          </cell>
          <cell r="E157" t="str">
            <v>Yes</v>
          </cell>
          <cell r="G157">
            <v>322.89999999999998</v>
          </cell>
          <cell r="H157">
            <v>0.68716748244307302</v>
          </cell>
          <cell r="I157">
            <v>2.145</v>
          </cell>
          <cell r="J157" t="str">
            <v>Yes</v>
          </cell>
          <cell r="L157">
            <v>353.4</v>
          </cell>
          <cell r="M157">
            <v>0.75207490955522405</v>
          </cell>
          <cell r="N157">
            <v>5.7969999999999997</v>
          </cell>
          <cell r="O157" t="str">
            <v>No</v>
          </cell>
          <cell r="Q157">
            <v>326.39999999999998</v>
          </cell>
          <cell r="R157">
            <v>0.69461587571823802</v>
          </cell>
          <cell r="S157">
            <v>2.0350000000000001</v>
          </cell>
          <cell r="T157" t="str">
            <v>Yes</v>
          </cell>
          <cell r="V157">
            <v>344.2</v>
          </cell>
          <cell r="W157">
            <v>0.73249627580336196</v>
          </cell>
          <cell r="X157">
            <v>5.7370000000000001</v>
          </cell>
          <cell r="Y157" t="str">
            <v>No</v>
          </cell>
          <cell r="AA157">
            <v>458.3</v>
          </cell>
          <cell r="AB157">
            <v>0.97531389657373901</v>
          </cell>
          <cell r="AC157">
            <v>330.4</v>
          </cell>
          <cell r="AD157" t="str">
            <v>No</v>
          </cell>
          <cell r="AF157">
            <v>408.8</v>
          </cell>
          <cell r="AG157">
            <v>0.86997233453926404</v>
          </cell>
          <cell r="AH157">
            <v>98.43</v>
          </cell>
          <cell r="AI157" t="str">
            <v>No</v>
          </cell>
        </row>
        <row r="158">
          <cell r="A158" t="str">
            <v>P45C5</v>
          </cell>
          <cell r="B158">
            <v>359.5</v>
          </cell>
          <cell r="C158">
            <v>0.76505639497765499</v>
          </cell>
          <cell r="D158">
            <v>7.7549999999999999</v>
          </cell>
          <cell r="E158" t="str">
            <v>No</v>
          </cell>
          <cell r="G158">
            <v>384.5</v>
          </cell>
          <cell r="H158">
            <v>0.81825920408597597</v>
          </cell>
          <cell r="I158">
            <v>9.468</v>
          </cell>
          <cell r="J158" t="str">
            <v>No</v>
          </cell>
          <cell r="L158">
            <v>330</v>
          </cell>
          <cell r="M158">
            <v>0.70227708022983604</v>
          </cell>
          <cell r="N158">
            <v>2.4630000000000001</v>
          </cell>
          <cell r="O158" t="str">
            <v>No</v>
          </cell>
          <cell r="Q158">
            <v>339.6</v>
          </cell>
          <cell r="R158">
            <v>0.72270695892743098</v>
          </cell>
          <cell r="S158">
            <v>3.6509999999999998</v>
          </cell>
          <cell r="T158" t="str">
            <v>No</v>
          </cell>
          <cell r="V158">
            <v>381.4</v>
          </cell>
          <cell r="W158">
            <v>0.81166205575654404</v>
          </cell>
          <cell r="X158">
            <v>15.15</v>
          </cell>
          <cell r="Y158" t="str">
            <v>No</v>
          </cell>
          <cell r="AA158">
            <v>457.4</v>
          </cell>
          <cell r="AB158">
            <v>0.97339859544583995</v>
          </cell>
          <cell r="AC158">
            <v>332.7</v>
          </cell>
          <cell r="AD158" t="str">
            <v>No</v>
          </cell>
          <cell r="AF158">
            <v>419</v>
          </cell>
          <cell r="AG158">
            <v>0.89167908065545898</v>
          </cell>
          <cell r="AH158">
            <v>116.6</v>
          </cell>
          <cell r="AI158" t="str">
            <v>No</v>
          </cell>
        </row>
        <row r="159">
          <cell r="A159" t="str">
            <v>P46C1</v>
          </cell>
          <cell r="B159">
            <v>272.2</v>
          </cell>
          <cell r="C159">
            <v>0.57927218557139804</v>
          </cell>
          <cell r="D159">
            <v>0.52159999999999995</v>
          </cell>
          <cell r="E159" t="str">
            <v>Yes</v>
          </cell>
          <cell r="G159">
            <v>296.5</v>
          </cell>
          <cell r="H159">
            <v>0.63098531602468599</v>
          </cell>
          <cell r="I159">
            <v>0.83919999999999995</v>
          </cell>
          <cell r="J159" t="str">
            <v>Yes</v>
          </cell>
          <cell r="L159">
            <v>289.60000000000002</v>
          </cell>
          <cell r="M159">
            <v>0.61630134071079001</v>
          </cell>
          <cell r="N159">
            <v>0.88629999999999998</v>
          </cell>
          <cell r="O159" t="str">
            <v>Yes</v>
          </cell>
          <cell r="Q159">
            <v>293.60000000000002</v>
          </cell>
          <cell r="R159">
            <v>0.624813790168121</v>
          </cell>
          <cell r="S159">
            <v>1.157</v>
          </cell>
          <cell r="T159" t="str">
            <v>Yes</v>
          </cell>
          <cell r="V159">
            <v>336.6</v>
          </cell>
          <cell r="W159">
            <v>0.71632262183443296</v>
          </cell>
          <cell r="X159">
            <v>3.4710000000000001</v>
          </cell>
          <cell r="Y159" t="str">
            <v>No</v>
          </cell>
          <cell r="AA159">
            <v>426.8</v>
          </cell>
          <cell r="AB159">
            <v>0.90827835709725502</v>
          </cell>
          <cell r="AC159">
            <v>178.4</v>
          </cell>
          <cell r="AD159" t="str">
            <v>No</v>
          </cell>
          <cell r="AF159">
            <v>415.5</v>
          </cell>
          <cell r="AG159">
            <v>0.88423068738029398</v>
          </cell>
          <cell r="AH159">
            <v>80.290000000000006</v>
          </cell>
          <cell r="AI159" t="str">
            <v>No</v>
          </cell>
        </row>
        <row r="160">
          <cell r="A160" t="str">
            <v>P46C2</v>
          </cell>
          <cell r="B160">
            <v>254.7</v>
          </cell>
          <cell r="C160">
            <v>0.54203021919557304</v>
          </cell>
          <cell r="D160">
            <v>0.34150000000000003</v>
          </cell>
          <cell r="E160" t="str">
            <v>Yes</v>
          </cell>
          <cell r="G160">
            <v>319.5</v>
          </cell>
          <cell r="H160">
            <v>0.67993190040434104</v>
          </cell>
          <cell r="I160">
            <v>1.29</v>
          </cell>
          <cell r="J160" t="str">
            <v>Yes</v>
          </cell>
          <cell r="L160">
            <v>297.8</v>
          </cell>
          <cell r="M160">
            <v>0.63375186209831902</v>
          </cell>
          <cell r="N160">
            <v>1.181</v>
          </cell>
          <cell r="O160" t="str">
            <v>Yes</v>
          </cell>
          <cell r="Q160">
            <v>320.10000000000002</v>
          </cell>
          <cell r="R160">
            <v>0.68120876782294104</v>
          </cell>
          <cell r="S160">
            <v>1.724</v>
          </cell>
          <cell r="T160" t="str">
            <v>Yes</v>
          </cell>
          <cell r="V160">
            <v>298.5</v>
          </cell>
          <cell r="W160">
            <v>0.63524154075335204</v>
          </cell>
          <cell r="X160">
            <v>1.61</v>
          </cell>
          <cell r="Y160" t="str">
            <v>Yes</v>
          </cell>
          <cell r="AA160">
            <v>450.2</v>
          </cell>
          <cell r="AB160">
            <v>0.95807618642264303</v>
          </cell>
          <cell r="AC160">
            <v>172.9</v>
          </cell>
          <cell r="AD160" t="str">
            <v>No</v>
          </cell>
          <cell r="AF160">
            <v>377.9</v>
          </cell>
          <cell r="AG160">
            <v>0.80421366248137904</v>
          </cell>
          <cell r="AH160">
            <v>56.93</v>
          </cell>
          <cell r="AI160" t="str">
            <v>No</v>
          </cell>
        </row>
        <row r="161">
          <cell r="A161" t="str">
            <v>P46C3</v>
          </cell>
          <cell r="B161">
            <v>318.10000000000002</v>
          </cell>
          <cell r="C161">
            <v>0.67695254309427499</v>
          </cell>
          <cell r="D161">
            <v>1.1850000000000001</v>
          </cell>
          <cell r="E161" t="str">
            <v>Yes</v>
          </cell>
          <cell r="G161">
            <v>310</v>
          </cell>
          <cell r="H161">
            <v>0.65971483294317901</v>
          </cell>
          <cell r="I161">
            <v>1.1659999999999999</v>
          </cell>
          <cell r="J161" t="str">
            <v>Yes</v>
          </cell>
          <cell r="L161">
            <v>311.5</v>
          </cell>
          <cell r="M161">
            <v>0.66290700148967896</v>
          </cell>
          <cell r="N161">
            <v>1.3220000000000001</v>
          </cell>
          <cell r="O161" t="str">
            <v>Yes</v>
          </cell>
          <cell r="Q161">
            <v>307.39999999999998</v>
          </cell>
          <cell r="R161">
            <v>0.65418174079591396</v>
          </cell>
          <cell r="S161">
            <v>1.891</v>
          </cell>
          <cell r="T161" t="str">
            <v>Yes</v>
          </cell>
          <cell r="V161">
            <v>388.3</v>
          </cell>
          <cell r="W161">
            <v>0.82634603107044102</v>
          </cell>
          <cell r="X161">
            <v>11.58</v>
          </cell>
          <cell r="Y161" t="str">
            <v>No</v>
          </cell>
          <cell r="AA161">
            <v>452.5</v>
          </cell>
          <cell r="AB161">
            <v>0.96297084486060902</v>
          </cell>
          <cell r="AC161">
            <v>124.6</v>
          </cell>
          <cell r="AD161" t="str">
            <v>No</v>
          </cell>
          <cell r="AF161">
            <v>442.7</v>
          </cell>
          <cell r="AG161">
            <v>0.94211534369014704</v>
          </cell>
          <cell r="AH161">
            <v>94.59</v>
          </cell>
          <cell r="AI161" t="str">
            <v>No</v>
          </cell>
        </row>
        <row r="162">
          <cell r="A162" t="str">
            <v>P47C1</v>
          </cell>
          <cell r="B162">
            <v>306.60000000000002</v>
          </cell>
          <cell r="C162">
            <v>0.65247925090444803</v>
          </cell>
          <cell r="D162">
            <v>1.298</v>
          </cell>
          <cell r="E162" t="str">
            <v>Yes</v>
          </cell>
          <cell r="G162">
            <v>364.3</v>
          </cell>
          <cell r="H162">
            <v>0.77527133432645201</v>
          </cell>
          <cell r="I162">
            <v>7.601</v>
          </cell>
          <cell r="J162" t="str">
            <v>No</v>
          </cell>
          <cell r="L162">
            <v>304.89999999999998</v>
          </cell>
          <cell r="M162">
            <v>0.64886145988508204</v>
          </cell>
          <cell r="N162">
            <v>1.27</v>
          </cell>
          <cell r="O162" t="str">
            <v>Yes</v>
          </cell>
          <cell r="Q162">
            <v>357.8</v>
          </cell>
          <cell r="R162">
            <v>0.761438603958289</v>
          </cell>
          <cell r="S162">
            <v>7.0949999999999998</v>
          </cell>
          <cell r="T162" t="str">
            <v>No</v>
          </cell>
          <cell r="V162">
            <v>347.1</v>
          </cell>
          <cell r="W162">
            <v>0.73866780165992796</v>
          </cell>
          <cell r="X162">
            <v>4.57</v>
          </cell>
          <cell r="Y162" t="str">
            <v>No</v>
          </cell>
          <cell r="AA162">
            <v>442.6</v>
          </cell>
          <cell r="AB162">
            <v>0.94190253245371403</v>
          </cell>
          <cell r="AC162">
            <v>208.7</v>
          </cell>
          <cell r="AD162" t="str">
            <v>No</v>
          </cell>
          <cell r="AF162">
            <v>444.3</v>
          </cell>
          <cell r="AG162">
            <v>0.94552032347307902</v>
          </cell>
          <cell r="AH162">
            <v>250.7</v>
          </cell>
          <cell r="AI162" t="str">
            <v>No</v>
          </cell>
        </row>
        <row r="163">
          <cell r="A163" t="str">
            <v>P47C2</v>
          </cell>
          <cell r="B163">
            <v>327.7</v>
          </cell>
          <cell r="C163">
            <v>0.69738242179187104</v>
          </cell>
          <cell r="D163">
            <v>2.3580000000000001</v>
          </cell>
          <cell r="E163" t="str">
            <v>Yes</v>
          </cell>
          <cell r="G163">
            <v>303.3</v>
          </cell>
          <cell r="H163">
            <v>0.64545648010214896</v>
          </cell>
          <cell r="I163">
            <v>1.1919999999999999</v>
          </cell>
          <cell r="J163" t="str">
            <v>Yes</v>
          </cell>
          <cell r="L163">
            <v>325.3</v>
          </cell>
          <cell r="M163">
            <v>0.69227495211747203</v>
          </cell>
          <cell r="N163">
            <v>1.8320000000000001</v>
          </cell>
          <cell r="O163" t="str">
            <v>Yes</v>
          </cell>
          <cell r="Q163">
            <v>328.1</v>
          </cell>
          <cell r="R163">
            <v>0.69823366673760401</v>
          </cell>
          <cell r="S163">
            <v>2.6739999999999999</v>
          </cell>
          <cell r="T163" t="str">
            <v>No</v>
          </cell>
          <cell r="V163">
            <v>342.6</v>
          </cell>
          <cell r="W163">
            <v>0.72909129602042999</v>
          </cell>
          <cell r="X163">
            <v>3.948</v>
          </cell>
          <cell r="Y163" t="str">
            <v>No</v>
          </cell>
          <cell r="AA163">
            <v>444.3</v>
          </cell>
          <cell r="AB163">
            <v>0.94552032347307902</v>
          </cell>
          <cell r="AC163">
            <v>154.80000000000001</v>
          </cell>
          <cell r="AD163" t="str">
            <v>No</v>
          </cell>
          <cell r="AF163">
            <v>475.6</v>
          </cell>
          <cell r="AG163">
            <v>1.0121302404767001</v>
          </cell>
          <cell r="AH163">
            <v>501.3</v>
          </cell>
          <cell r="AI163" t="str">
            <v>No</v>
          </cell>
        </row>
        <row r="164">
          <cell r="A164" t="str">
            <v>P47C3</v>
          </cell>
          <cell r="B164">
            <v>323.2</v>
          </cell>
          <cell r="C164">
            <v>0.68780591615237296</v>
          </cell>
          <cell r="D164">
            <v>1.4850000000000001</v>
          </cell>
          <cell r="E164" t="str">
            <v>Yes</v>
          </cell>
          <cell r="G164">
            <v>328</v>
          </cell>
          <cell r="H164">
            <v>0.69802085550117099</v>
          </cell>
          <cell r="I164">
            <v>1.6879999999999999</v>
          </cell>
          <cell r="J164" t="str">
            <v>No</v>
          </cell>
          <cell r="L164">
            <v>319.5</v>
          </cell>
          <cell r="M164">
            <v>0.67993190040434104</v>
          </cell>
          <cell r="N164">
            <v>1.4750000000000001</v>
          </cell>
          <cell r="O164" t="str">
            <v>Yes</v>
          </cell>
          <cell r="Q164">
            <v>308.8</v>
          </cell>
          <cell r="R164">
            <v>0.65716109810598</v>
          </cell>
          <cell r="S164">
            <v>1.8340000000000001</v>
          </cell>
          <cell r="T164" t="str">
            <v>Yes</v>
          </cell>
          <cell r="V164">
            <v>399.2</v>
          </cell>
          <cell r="W164">
            <v>0.84954245584166799</v>
          </cell>
          <cell r="X164">
            <v>14.11</v>
          </cell>
          <cell r="Y164" t="str">
            <v>No</v>
          </cell>
          <cell r="AA164">
            <v>454.6</v>
          </cell>
          <cell r="AB164">
            <v>0.96743988082570798</v>
          </cell>
          <cell r="AC164">
            <v>202.1</v>
          </cell>
          <cell r="AD164" t="str">
            <v>No</v>
          </cell>
          <cell r="AF164">
            <v>461.3</v>
          </cell>
          <cell r="AG164">
            <v>0.98169823366673803</v>
          </cell>
          <cell r="AH164">
            <v>320.2</v>
          </cell>
          <cell r="AI164" t="str">
            <v>No</v>
          </cell>
        </row>
        <row r="165">
          <cell r="A165" t="str">
            <v>P48C1</v>
          </cell>
          <cell r="B165">
            <v>347.9</v>
          </cell>
          <cell r="C165">
            <v>0.740370291551394</v>
          </cell>
          <cell r="D165">
            <v>4.282</v>
          </cell>
          <cell r="E165" t="str">
            <v>No</v>
          </cell>
          <cell r="G165">
            <v>331.1</v>
          </cell>
          <cell r="H165">
            <v>0.70461800383060202</v>
          </cell>
          <cell r="I165">
            <v>2.8290000000000002</v>
          </cell>
          <cell r="J165" t="str">
            <v>No</v>
          </cell>
          <cell r="L165">
            <v>393.8</v>
          </cell>
          <cell r="M165">
            <v>0.83805064907427096</v>
          </cell>
          <cell r="N165">
            <v>12.03</v>
          </cell>
          <cell r="O165" t="str">
            <v>No</v>
          </cell>
          <cell r="Q165">
            <v>386.7</v>
          </cell>
          <cell r="R165">
            <v>0.82294105128750805</v>
          </cell>
          <cell r="S165">
            <v>19.420000000000002</v>
          </cell>
          <cell r="T165" t="str">
            <v>No</v>
          </cell>
          <cell r="V165">
            <v>325.3</v>
          </cell>
          <cell r="W165">
            <v>0.69227495211747203</v>
          </cell>
          <cell r="X165">
            <v>2.2749999999999999</v>
          </cell>
          <cell r="Y165" t="str">
            <v>No</v>
          </cell>
          <cell r="AA165">
            <v>416.1</v>
          </cell>
          <cell r="AB165">
            <v>0.88550755479889298</v>
          </cell>
          <cell r="AC165">
            <v>38.71</v>
          </cell>
          <cell r="AD165" t="str">
            <v>No</v>
          </cell>
          <cell r="AF165">
            <v>409</v>
          </cell>
          <cell r="AG165">
            <v>0.87039795701212996</v>
          </cell>
          <cell r="AH165">
            <v>36.29</v>
          </cell>
          <cell r="AI165" t="str">
            <v>No</v>
          </cell>
        </row>
        <row r="166">
          <cell r="A166" t="str">
            <v>P48C2</v>
          </cell>
          <cell r="B166">
            <v>319.60000000000002</v>
          </cell>
          <cell r="C166">
            <v>0.68014471164077495</v>
          </cell>
          <cell r="D166">
            <v>2.0590000000000002</v>
          </cell>
          <cell r="E166" t="str">
            <v>Yes</v>
          </cell>
          <cell r="G166">
            <v>317.3</v>
          </cell>
          <cell r="H166">
            <v>0.67525005320280895</v>
          </cell>
          <cell r="I166">
            <v>1.7370000000000001</v>
          </cell>
          <cell r="J166" t="str">
            <v>Yes</v>
          </cell>
          <cell r="L166">
            <v>332.9</v>
          </cell>
          <cell r="M166">
            <v>0.70844860608640103</v>
          </cell>
          <cell r="N166">
            <v>2.823</v>
          </cell>
          <cell r="O166" t="str">
            <v>No</v>
          </cell>
          <cell r="Q166">
            <v>334.8</v>
          </cell>
          <cell r="R166">
            <v>0.71249201957863395</v>
          </cell>
          <cell r="S166">
            <v>4.444</v>
          </cell>
          <cell r="T166" t="str">
            <v>No</v>
          </cell>
          <cell r="V166">
            <v>389</v>
          </cell>
          <cell r="W166">
            <v>0.82783570972547305</v>
          </cell>
          <cell r="X166">
            <v>20.100000000000001</v>
          </cell>
          <cell r="Y166" t="str">
            <v>No</v>
          </cell>
          <cell r="AA166">
            <v>407.6</v>
          </cell>
          <cell r="AB166">
            <v>0.86741859970206403</v>
          </cell>
          <cell r="AC166">
            <v>50.13</v>
          </cell>
          <cell r="AD166" t="str">
            <v>No</v>
          </cell>
          <cell r="AF166">
            <v>413.1</v>
          </cell>
          <cell r="AG166">
            <v>0.87912321770589497</v>
          </cell>
          <cell r="AH166">
            <v>68.69</v>
          </cell>
          <cell r="AI166" t="str">
            <v>No</v>
          </cell>
        </row>
        <row r="167">
          <cell r="A167" t="str">
            <v>P48C3</v>
          </cell>
          <cell r="B167">
            <v>370.1</v>
          </cell>
          <cell r="C167">
            <v>0.787614386039583</v>
          </cell>
          <cell r="D167">
            <v>9.8079999999999998</v>
          </cell>
          <cell r="E167" t="str">
            <v>No</v>
          </cell>
          <cell r="G167">
            <v>278.7</v>
          </cell>
          <cell r="H167">
            <v>0.59310491593956205</v>
          </cell>
          <cell r="I167">
            <v>0.61980000000000002</v>
          </cell>
          <cell r="J167" t="str">
            <v>Yes</v>
          </cell>
          <cell r="L167">
            <v>338</v>
          </cell>
          <cell r="M167">
            <v>0.719301979144499</v>
          </cell>
          <cell r="N167">
            <v>2.758</v>
          </cell>
          <cell r="O167" t="str">
            <v>No</v>
          </cell>
          <cell r="Q167">
            <v>327.60000000000002</v>
          </cell>
          <cell r="R167">
            <v>0.69716961055543702</v>
          </cell>
          <cell r="S167">
            <v>3.1349999999999998</v>
          </cell>
          <cell r="T167" t="str">
            <v>No</v>
          </cell>
          <cell r="V167">
            <v>360.8</v>
          </cell>
          <cell r="W167">
            <v>0.76782294105128801</v>
          </cell>
          <cell r="X167">
            <v>6.9240000000000004</v>
          </cell>
          <cell r="Y167" t="str">
            <v>No</v>
          </cell>
          <cell r="AA167">
            <v>405.6</v>
          </cell>
          <cell r="AB167">
            <v>0.86316237497339898</v>
          </cell>
          <cell r="AC167">
            <v>31.38</v>
          </cell>
          <cell r="AD167" t="str">
            <v>No</v>
          </cell>
          <cell r="AF167">
            <v>434</v>
          </cell>
          <cell r="AG167">
            <v>0.92360076612045106</v>
          </cell>
          <cell r="AH167">
            <v>90.35</v>
          </cell>
          <cell r="AI167" t="str">
            <v>No</v>
          </cell>
        </row>
        <row r="168">
          <cell r="A168" t="str">
            <v>P48C4</v>
          </cell>
          <cell r="B168">
            <v>336.8</v>
          </cell>
          <cell r="C168">
            <v>0.716748244307299</v>
          </cell>
          <cell r="D168">
            <v>2.9830000000000001</v>
          </cell>
          <cell r="E168" t="str">
            <v>No</v>
          </cell>
          <cell r="G168">
            <v>377</v>
          </cell>
          <cell r="H168">
            <v>0.80229836135347998</v>
          </cell>
          <cell r="I168">
            <v>8.9290000000000003</v>
          </cell>
          <cell r="J168" t="str">
            <v>No</v>
          </cell>
          <cell r="L168">
            <v>325.10000000000002</v>
          </cell>
          <cell r="M168">
            <v>0.69184932964460499</v>
          </cell>
          <cell r="N168">
            <v>5.2939999999999996</v>
          </cell>
          <cell r="O168" t="str">
            <v>Yes</v>
          </cell>
          <cell r="Q168">
            <v>318.3</v>
          </cell>
          <cell r="R168">
            <v>0.67737816556714203</v>
          </cell>
          <cell r="S168">
            <v>2.1190000000000002</v>
          </cell>
          <cell r="T168" t="str">
            <v>Yes</v>
          </cell>
          <cell r="V168">
            <v>344</v>
          </cell>
          <cell r="W168">
            <v>0.73207065333049604</v>
          </cell>
          <cell r="X168">
            <v>4.8120000000000003</v>
          </cell>
          <cell r="Y168" t="str">
            <v>No</v>
          </cell>
          <cell r="AA168">
            <v>418.7</v>
          </cell>
          <cell r="AB168">
            <v>0.89104064694615903</v>
          </cell>
          <cell r="AC168">
            <v>46.56</v>
          </cell>
          <cell r="AD168" t="str">
            <v>No</v>
          </cell>
          <cell r="AF168">
            <v>446.3</v>
          </cell>
          <cell r="AG168">
            <v>0.94977654820174495</v>
          </cell>
          <cell r="AH168">
            <v>121.1</v>
          </cell>
          <cell r="AI168" t="str">
            <v>No</v>
          </cell>
        </row>
        <row r="169">
          <cell r="A169" t="str">
            <v>P49C1</v>
          </cell>
          <cell r="B169">
            <v>367.1</v>
          </cell>
          <cell r="C169">
            <v>0.78123004894658399</v>
          </cell>
          <cell r="D169">
            <v>8.1240000000000006</v>
          </cell>
          <cell r="E169" t="str">
            <v>No</v>
          </cell>
          <cell r="G169">
            <v>376.8</v>
          </cell>
          <cell r="H169">
            <v>0.80187273888061295</v>
          </cell>
          <cell r="I169">
            <v>13.6</v>
          </cell>
          <cell r="J169" t="str">
            <v>No</v>
          </cell>
          <cell r="L169">
            <v>369.2</v>
          </cell>
          <cell r="M169">
            <v>0.78569908491168305</v>
          </cell>
          <cell r="N169">
            <v>13.48</v>
          </cell>
          <cell r="O169" t="str">
            <v>No</v>
          </cell>
          <cell r="Q169">
            <v>373.6</v>
          </cell>
          <cell r="R169">
            <v>0.795062779314748</v>
          </cell>
          <cell r="S169">
            <v>9.91</v>
          </cell>
          <cell r="T169" t="str">
            <v>No</v>
          </cell>
          <cell r="V169">
            <v>390.9</v>
          </cell>
          <cell r="W169">
            <v>0.83187912321770596</v>
          </cell>
          <cell r="X169">
            <v>21.48</v>
          </cell>
          <cell r="Y169" t="str">
            <v>No</v>
          </cell>
          <cell r="AA169">
            <v>368.1</v>
          </cell>
          <cell r="AB169">
            <v>0.78335816131091696</v>
          </cell>
          <cell r="AC169">
            <v>23.27</v>
          </cell>
          <cell r="AD169" t="str">
            <v>No</v>
          </cell>
          <cell r="AF169">
            <v>326.5</v>
          </cell>
          <cell r="AG169">
            <v>0.69482868695467104</v>
          </cell>
          <cell r="AH169">
            <v>6.06</v>
          </cell>
          <cell r="AI169" t="str">
            <v>No</v>
          </cell>
        </row>
        <row r="170">
          <cell r="A170" t="str">
            <v>P49C2</v>
          </cell>
          <cell r="B170">
            <v>307.89999999999998</v>
          </cell>
          <cell r="C170">
            <v>0.65524579697808005</v>
          </cell>
          <cell r="D170">
            <v>1.4319999999999999</v>
          </cell>
          <cell r="E170" t="str">
            <v>Yes</v>
          </cell>
          <cell r="G170">
            <v>396.3</v>
          </cell>
          <cell r="H170">
            <v>0.84337092998510299</v>
          </cell>
          <cell r="I170">
            <v>18.64</v>
          </cell>
          <cell r="J170" t="str">
            <v>No</v>
          </cell>
          <cell r="L170">
            <v>350.3</v>
          </cell>
          <cell r="M170">
            <v>0.74547776122579301</v>
          </cell>
          <cell r="N170">
            <v>7.3369999999999997</v>
          </cell>
          <cell r="O170" t="str">
            <v>No</v>
          </cell>
          <cell r="Q170">
            <v>365.2</v>
          </cell>
          <cell r="R170">
            <v>0.77718663545435196</v>
          </cell>
          <cell r="S170">
            <v>7.32</v>
          </cell>
          <cell r="T170" t="str">
            <v>No</v>
          </cell>
          <cell r="V170">
            <v>451.8</v>
          </cell>
          <cell r="W170">
            <v>0.961481166205576</v>
          </cell>
          <cell r="X170">
            <v>40.29</v>
          </cell>
          <cell r="Y170" t="str">
            <v>No</v>
          </cell>
          <cell r="AA170">
            <v>347.2</v>
          </cell>
          <cell r="AB170">
            <v>0.73888061289636098</v>
          </cell>
          <cell r="AC170">
            <v>11.14</v>
          </cell>
          <cell r="AD170" t="str">
            <v>No</v>
          </cell>
          <cell r="AF170">
            <v>421.1</v>
          </cell>
          <cell r="AG170">
            <v>0.89614811662055804</v>
          </cell>
          <cell r="AH170">
            <v>17.96</v>
          </cell>
          <cell r="AI170" t="str">
            <v>No</v>
          </cell>
        </row>
        <row r="171">
          <cell r="A171" t="str">
            <v>P49C3</v>
          </cell>
          <cell r="B171">
            <v>333.9</v>
          </cell>
          <cell r="C171">
            <v>0.710576718450734</v>
          </cell>
          <cell r="D171">
            <v>3.19</v>
          </cell>
          <cell r="E171" t="str">
            <v>No</v>
          </cell>
          <cell r="G171">
            <v>325.39999999999998</v>
          </cell>
          <cell r="H171">
            <v>0.69248776335390505</v>
          </cell>
          <cell r="I171">
            <v>2.2839999999999998</v>
          </cell>
          <cell r="J171" t="str">
            <v>Yes</v>
          </cell>
          <cell r="L171">
            <v>326.10000000000002</v>
          </cell>
          <cell r="M171">
            <v>0.69397744200893796</v>
          </cell>
          <cell r="N171">
            <v>2.3220000000000001</v>
          </cell>
          <cell r="O171" t="str">
            <v>Yes</v>
          </cell>
          <cell r="Q171">
            <v>334.7</v>
          </cell>
          <cell r="R171">
            <v>0.71227920834220004</v>
          </cell>
          <cell r="S171">
            <v>3.9020000000000001</v>
          </cell>
          <cell r="T171" t="str">
            <v>No</v>
          </cell>
          <cell r="V171">
            <v>324.2</v>
          </cell>
          <cell r="W171">
            <v>0.68993402851670604</v>
          </cell>
          <cell r="X171">
            <v>2.782</v>
          </cell>
          <cell r="Y171" t="str">
            <v>Yes</v>
          </cell>
          <cell r="AA171">
            <v>349</v>
          </cell>
          <cell r="AB171">
            <v>0.74271121515215999</v>
          </cell>
          <cell r="AC171">
            <v>6.1989999999999998</v>
          </cell>
          <cell r="AD171" t="str">
            <v>No</v>
          </cell>
          <cell r="AF171">
            <v>359</v>
          </cell>
          <cell r="AG171">
            <v>0.763992338795488</v>
          </cell>
          <cell r="AH171">
            <v>9.7349999999999994</v>
          </cell>
          <cell r="AI171" t="str">
            <v>No</v>
          </cell>
        </row>
        <row r="172">
          <cell r="A172" t="str">
            <v>P49C4</v>
          </cell>
          <cell r="B172">
            <v>360.9</v>
          </cell>
          <cell r="C172">
            <v>0.76803575228772103</v>
          </cell>
          <cell r="D172">
            <v>7.8369999999999997</v>
          </cell>
          <cell r="E172" t="str">
            <v>No</v>
          </cell>
          <cell r="G172">
            <v>313.39999999999998</v>
          </cell>
          <cell r="H172">
            <v>0.66695041498191099</v>
          </cell>
          <cell r="I172">
            <v>1.089</v>
          </cell>
          <cell r="J172" t="str">
            <v>Yes</v>
          </cell>
          <cell r="L172">
            <v>363.9</v>
          </cell>
          <cell r="M172">
            <v>0.77442008938071905</v>
          </cell>
          <cell r="N172">
            <v>8.6590000000000007</v>
          </cell>
          <cell r="O172" t="str">
            <v>No</v>
          </cell>
          <cell r="Q172">
            <v>345.1</v>
          </cell>
          <cell r="R172">
            <v>0.73441157693126202</v>
          </cell>
          <cell r="S172">
            <v>4.5209999999999999</v>
          </cell>
          <cell r="T172" t="str">
            <v>No</v>
          </cell>
          <cell r="V172">
            <v>401.7</v>
          </cell>
          <cell r="W172">
            <v>0.85486273675250102</v>
          </cell>
          <cell r="X172">
            <v>31.94</v>
          </cell>
          <cell r="Y172" t="str">
            <v>No</v>
          </cell>
          <cell r="AA172">
            <v>394.5</v>
          </cell>
          <cell r="AB172">
            <v>0.83954032772930398</v>
          </cell>
          <cell r="AC172">
            <v>22.52</v>
          </cell>
          <cell r="AD172" t="str">
            <v>No</v>
          </cell>
          <cell r="AF172">
            <v>391.1</v>
          </cell>
          <cell r="AG172">
            <v>0.832304745690573</v>
          </cell>
          <cell r="AH172">
            <v>18.78</v>
          </cell>
          <cell r="AI172" t="str">
            <v>No</v>
          </cell>
        </row>
        <row r="173">
          <cell r="A173" t="str">
            <v>P50C1</v>
          </cell>
          <cell r="B173">
            <v>337.7</v>
          </cell>
          <cell r="C173">
            <v>0.71866354543519895</v>
          </cell>
          <cell r="D173">
            <v>5.3639999999999999</v>
          </cell>
          <cell r="E173" t="str">
            <v>No</v>
          </cell>
          <cell r="G173">
            <v>307.8</v>
          </cell>
          <cell r="H173">
            <v>0.65503298574164703</v>
          </cell>
          <cell r="I173">
            <v>1.6240000000000001</v>
          </cell>
          <cell r="J173" t="str">
            <v>Yes</v>
          </cell>
          <cell r="L173">
            <v>319.3</v>
          </cell>
          <cell r="M173">
            <v>0.679506277931475</v>
          </cell>
          <cell r="N173">
            <v>2.3340000000000001</v>
          </cell>
          <cell r="O173" t="str">
            <v>Yes</v>
          </cell>
          <cell r="Q173">
            <v>317</v>
          </cell>
          <cell r="R173">
            <v>0.67461161949350901</v>
          </cell>
          <cell r="S173">
            <v>2.16</v>
          </cell>
          <cell r="T173" t="str">
            <v>Yes</v>
          </cell>
          <cell r="V173">
            <v>347.5</v>
          </cell>
          <cell r="W173">
            <v>0.73951904660566103</v>
          </cell>
          <cell r="X173">
            <v>11.58</v>
          </cell>
          <cell r="Y173" t="str">
            <v>No</v>
          </cell>
          <cell r="AA173">
            <v>394.8</v>
          </cell>
          <cell r="AB173">
            <v>0.84017876143860404</v>
          </cell>
          <cell r="AC173">
            <v>62.75</v>
          </cell>
          <cell r="AD173" t="str">
            <v>No</v>
          </cell>
          <cell r="AF173">
            <v>374.7</v>
          </cell>
          <cell r="AG173">
            <v>0.79740370291551399</v>
          </cell>
          <cell r="AH173">
            <v>61.16</v>
          </cell>
          <cell r="AI173" t="str">
            <v>No</v>
          </cell>
        </row>
        <row r="174">
          <cell r="A174" t="str">
            <v>P50C2</v>
          </cell>
          <cell r="B174">
            <v>342.6</v>
          </cell>
          <cell r="C174">
            <v>0.72909129602042999</v>
          </cell>
          <cell r="D174">
            <v>4.57</v>
          </cell>
          <cell r="E174" t="str">
            <v>No</v>
          </cell>
          <cell r="G174">
            <v>350.9</v>
          </cell>
          <cell r="H174">
            <v>0.74675462864439202</v>
          </cell>
          <cell r="I174">
            <v>7.0529999999999999</v>
          </cell>
          <cell r="J174" t="str">
            <v>No</v>
          </cell>
          <cell r="L174">
            <v>338.4</v>
          </cell>
          <cell r="M174">
            <v>0.72015322409023197</v>
          </cell>
          <cell r="N174">
            <v>5.0389999999999997</v>
          </cell>
          <cell r="O174" t="str">
            <v>No</v>
          </cell>
          <cell r="Q174">
            <v>360.2</v>
          </cell>
          <cell r="R174">
            <v>0.76654607363268801</v>
          </cell>
          <cell r="S174">
            <v>8.7690000000000001</v>
          </cell>
          <cell r="T174" t="str">
            <v>No</v>
          </cell>
          <cell r="V174">
            <v>409.1</v>
          </cell>
          <cell r="W174">
            <v>0.87061076824856398</v>
          </cell>
          <cell r="X174">
            <v>30.5</v>
          </cell>
          <cell r="Y174" t="str">
            <v>No</v>
          </cell>
          <cell r="AA174">
            <v>386.8</v>
          </cell>
          <cell r="AB174">
            <v>0.82315386252394096</v>
          </cell>
          <cell r="AC174">
            <v>62.92</v>
          </cell>
          <cell r="AD174" t="str">
            <v>No</v>
          </cell>
          <cell r="AF174">
            <v>414.4</v>
          </cell>
          <cell r="AG174">
            <v>0.88188976377952799</v>
          </cell>
          <cell r="AH174">
            <v>118.3</v>
          </cell>
          <cell r="AI174" t="str">
            <v>No</v>
          </cell>
        </row>
        <row r="175">
          <cell r="A175" t="str">
            <v>P50C3</v>
          </cell>
          <cell r="B175">
            <v>376.9</v>
          </cell>
          <cell r="C175">
            <v>0.80208555011704596</v>
          </cell>
          <cell r="D175">
            <v>14.86</v>
          </cell>
          <cell r="E175" t="str">
            <v>No</v>
          </cell>
          <cell r="G175">
            <v>355.3</v>
          </cell>
          <cell r="H175">
            <v>0.75611832304745696</v>
          </cell>
          <cell r="I175">
            <v>8.7149999999999999</v>
          </cell>
          <cell r="J175" t="str">
            <v>No</v>
          </cell>
          <cell r="L175">
            <v>334.8</v>
          </cell>
          <cell r="M175">
            <v>0.71249201957863395</v>
          </cell>
          <cell r="N175">
            <v>3.923</v>
          </cell>
          <cell r="O175" t="str">
            <v>No</v>
          </cell>
          <cell r="Q175">
            <v>380.6</v>
          </cell>
          <cell r="R175">
            <v>0.809959565865078</v>
          </cell>
          <cell r="S175">
            <v>15.73</v>
          </cell>
          <cell r="T175" t="str">
            <v>No</v>
          </cell>
          <cell r="V175">
            <v>353.8</v>
          </cell>
          <cell r="W175">
            <v>0.75292615450095801</v>
          </cell>
          <cell r="X175">
            <v>5.633</v>
          </cell>
          <cell r="Y175" t="str">
            <v>No</v>
          </cell>
          <cell r="AA175">
            <v>404</v>
          </cell>
          <cell r="AB175">
            <v>0.85975739519046601</v>
          </cell>
          <cell r="AC175">
            <v>151.69999999999999</v>
          </cell>
          <cell r="AD175" t="str">
            <v>No</v>
          </cell>
          <cell r="AF175">
            <v>389.9</v>
          </cell>
          <cell r="AG175">
            <v>0.82975101085337299</v>
          </cell>
          <cell r="AH175">
            <v>142.19999999999999</v>
          </cell>
          <cell r="AI175" t="str">
            <v>No</v>
          </cell>
        </row>
        <row r="176">
          <cell r="A176" t="str">
            <v>P51C1</v>
          </cell>
          <cell r="B176">
            <v>291.7</v>
          </cell>
          <cell r="C176">
            <v>0.62077037667588897</v>
          </cell>
          <cell r="D176">
            <v>1.1060000000000001</v>
          </cell>
          <cell r="E176" t="str">
            <v>Yes</v>
          </cell>
          <cell r="G176">
            <v>339.6</v>
          </cell>
          <cell r="H176">
            <v>0.72270695892743098</v>
          </cell>
          <cell r="I176">
            <v>3.57</v>
          </cell>
          <cell r="J176" t="str">
            <v>No</v>
          </cell>
          <cell r="L176">
            <v>313.8</v>
          </cell>
          <cell r="M176">
            <v>0.66780165992764395</v>
          </cell>
          <cell r="N176">
            <v>2.589</v>
          </cell>
          <cell r="O176" t="str">
            <v>Yes</v>
          </cell>
          <cell r="Q176">
            <v>389.4</v>
          </cell>
          <cell r="R176">
            <v>0.82868695467120701</v>
          </cell>
          <cell r="S176">
            <v>17.96</v>
          </cell>
          <cell r="T176" t="str">
            <v>No</v>
          </cell>
          <cell r="V176">
            <v>365.1</v>
          </cell>
          <cell r="W176">
            <v>0.77697382421791905</v>
          </cell>
          <cell r="X176">
            <v>17.54</v>
          </cell>
          <cell r="Y176" t="str">
            <v>No</v>
          </cell>
          <cell r="AA176">
            <v>418.7</v>
          </cell>
          <cell r="AB176">
            <v>0.89104064694615903</v>
          </cell>
          <cell r="AC176">
            <v>133</v>
          </cell>
          <cell r="AD176" t="str">
            <v>No</v>
          </cell>
          <cell r="AF176">
            <v>389.7</v>
          </cell>
          <cell r="AG176">
            <v>0.82932538838050696</v>
          </cell>
          <cell r="AH176">
            <v>82.79</v>
          </cell>
          <cell r="AI176" t="str">
            <v>No</v>
          </cell>
        </row>
        <row r="177">
          <cell r="A177" t="str">
            <v>P51C2</v>
          </cell>
          <cell r="B177">
            <v>312.3</v>
          </cell>
          <cell r="C177">
            <v>0.664609491381145</v>
          </cell>
          <cell r="D177">
            <v>1.7070000000000001</v>
          </cell>
          <cell r="E177" t="str">
            <v>Yes</v>
          </cell>
          <cell r="G177">
            <v>314.10000000000002</v>
          </cell>
          <cell r="H177">
            <v>0.66844009363694401</v>
          </cell>
          <cell r="I177">
            <v>1.4279999999999999</v>
          </cell>
          <cell r="J177" t="str">
            <v>Yes</v>
          </cell>
          <cell r="L177">
            <v>326.2</v>
          </cell>
          <cell r="M177">
            <v>0.69419025324537098</v>
          </cell>
          <cell r="N177">
            <v>2.431</v>
          </cell>
          <cell r="O177" t="str">
            <v>Yes</v>
          </cell>
          <cell r="Q177">
            <v>329.9</v>
          </cell>
          <cell r="R177">
            <v>0.70206426899340302</v>
          </cell>
          <cell r="S177">
            <v>2.8370000000000002</v>
          </cell>
          <cell r="T177" t="str">
            <v>No</v>
          </cell>
          <cell r="V177">
            <v>398.7</v>
          </cell>
          <cell r="W177">
            <v>0.848478399659502</v>
          </cell>
          <cell r="X177">
            <v>23.91</v>
          </cell>
          <cell r="Y177" t="str">
            <v>No</v>
          </cell>
          <cell r="AA177">
            <v>419.8</v>
          </cell>
          <cell r="AB177">
            <v>0.89338157054692502</v>
          </cell>
          <cell r="AC177">
            <v>65.72</v>
          </cell>
          <cell r="AD177" t="str">
            <v>No</v>
          </cell>
          <cell r="AF177">
            <v>453.5</v>
          </cell>
          <cell r="AG177">
            <v>0.96509895722494199</v>
          </cell>
          <cell r="AH177">
            <v>763.2</v>
          </cell>
          <cell r="AI177" t="str">
            <v>No</v>
          </cell>
        </row>
        <row r="178">
          <cell r="A178" t="str">
            <v>P51C3</v>
          </cell>
          <cell r="B178">
            <v>308</v>
          </cell>
          <cell r="C178">
            <v>0.65545860821451396</v>
          </cell>
          <cell r="D178">
            <v>1.0960000000000001</v>
          </cell>
          <cell r="E178" t="str">
            <v>Yes</v>
          </cell>
          <cell r="G178">
            <v>257.89999999999998</v>
          </cell>
          <cell r="H178">
            <v>0.54884017876143898</v>
          </cell>
          <cell r="I178">
            <v>0.32790000000000002</v>
          </cell>
          <cell r="J178" t="str">
            <v>Yes</v>
          </cell>
          <cell r="L178">
            <v>296.3</v>
          </cell>
          <cell r="M178">
            <v>0.63055969355181996</v>
          </cell>
          <cell r="N178">
            <v>0.97719999999999996</v>
          </cell>
          <cell r="O178" t="str">
            <v>Yes</v>
          </cell>
          <cell r="Q178">
            <v>310.7</v>
          </cell>
          <cell r="R178">
            <v>0.66120451159821203</v>
          </cell>
          <cell r="S178">
            <v>1.2549999999999999</v>
          </cell>
          <cell r="T178" t="str">
            <v>Yes</v>
          </cell>
          <cell r="V178">
            <v>334.1</v>
          </cell>
          <cell r="W178">
            <v>0.71100234092360104</v>
          </cell>
          <cell r="X178">
            <v>3.2919999999999998</v>
          </cell>
          <cell r="Y178" t="str">
            <v>No</v>
          </cell>
          <cell r="AA178">
            <v>431.8</v>
          </cell>
          <cell r="AB178">
            <v>0.91891891891891897</v>
          </cell>
          <cell r="AC178">
            <v>162.1</v>
          </cell>
          <cell r="AD178" t="str">
            <v>No</v>
          </cell>
          <cell r="AF178">
            <v>418.6</v>
          </cell>
          <cell r="AG178">
            <v>0.89082783570972601</v>
          </cell>
          <cell r="AH178">
            <v>120</v>
          </cell>
          <cell r="AI178" t="str">
            <v>No</v>
          </cell>
        </row>
        <row r="179">
          <cell r="A179" t="str">
            <v>P52C1</v>
          </cell>
          <cell r="B179">
            <v>389.5</v>
          </cell>
          <cell r="C179">
            <v>0.82889976590764003</v>
          </cell>
          <cell r="D179">
            <v>18.37</v>
          </cell>
          <cell r="E179" t="str">
            <v>No</v>
          </cell>
          <cell r="G179">
            <v>384.2</v>
          </cell>
          <cell r="H179">
            <v>0.81762077037667602</v>
          </cell>
          <cell r="I179">
            <v>12.12</v>
          </cell>
          <cell r="J179" t="str">
            <v>No</v>
          </cell>
          <cell r="L179">
            <v>400.7</v>
          </cell>
          <cell r="M179">
            <v>0.85273462438816805</v>
          </cell>
          <cell r="N179">
            <v>41.6</v>
          </cell>
          <cell r="O179" t="str">
            <v>No</v>
          </cell>
          <cell r="Q179">
            <v>402.4</v>
          </cell>
          <cell r="R179">
            <v>0.85635241540753304</v>
          </cell>
          <cell r="S179">
            <v>27.36</v>
          </cell>
          <cell r="T179" t="str">
            <v>No</v>
          </cell>
          <cell r="V179">
            <v>338.9</v>
          </cell>
          <cell r="W179">
            <v>0.72121728027239795</v>
          </cell>
          <cell r="X179">
            <v>8.3810000000000002</v>
          </cell>
          <cell r="Y179" t="str">
            <v>No</v>
          </cell>
          <cell r="AA179">
            <v>450.8</v>
          </cell>
          <cell r="AB179">
            <v>0.95935305384124303</v>
          </cell>
          <cell r="AC179">
            <v>286.8</v>
          </cell>
          <cell r="AD179" t="str">
            <v>No</v>
          </cell>
          <cell r="AF179">
            <v>434.1</v>
          </cell>
          <cell r="AG179">
            <v>0.92381357735688496</v>
          </cell>
          <cell r="AH179">
            <v>118.8</v>
          </cell>
          <cell r="AI179" t="str">
            <v>No</v>
          </cell>
        </row>
        <row r="180">
          <cell r="A180" t="str">
            <v>P52C2</v>
          </cell>
          <cell r="B180">
            <v>300.3</v>
          </cell>
          <cell r="C180">
            <v>0.63907214300915105</v>
          </cell>
          <cell r="D180">
            <v>1.177</v>
          </cell>
          <cell r="E180" t="str">
            <v>Yes</v>
          </cell>
          <cell r="G180">
            <v>327.10000000000002</v>
          </cell>
          <cell r="H180">
            <v>0.69610555437327104</v>
          </cell>
          <cell r="I180">
            <v>2.5289999999999999</v>
          </cell>
          <cell r="J180" t="str">
            <v>Yes</v>
          </cell>
          <cell r="L180">
            <v>390</v>
          </cell>
          <cell r="M180">
            <v>0.82996382208980601</v>
          </cell>
          <cell r="N180">
            <v>22.99</v>
          </cell>
          <cell r="O180" t="str">
            <v>No</v>
          </cell>
          <cell r="Q180">
            <v>350.4</v>
          </cell>
          <cell r="R180">
            <v>0.74569057246222603</v>
          </cell>
          <cell r="S180">
            <v>5.6120000000000001</v>
          </cell>
          <cell r="T180" t="str">
            <v>No</v>
          </cell>
          <cell r="V180">
            <v>329.1</v>
          </cell>
          <cell r="W180">
            <v>0.70036177910193698</v>
          </cell>
          <cell r="X180">
            <v>3.5510000000000002</v>
          </cell>
          <cell r="Y180" t="str">
            <v>No</v>
          </cell>
          <cell r="AA180">
            <v>412.2</v>
          </cell>
          <cell r="AB180">
            <v>0.87720791657799502</v>
          </cell>
          <cell r="AC180">
            <v>75.569999999999993</v>
          </cell>
          <cell r="AD180" t="str">
            <v>No</v>
          </cell>
          <cell r="AF180">
            <v>396.1</v>
          </cell>
          <cell r="AG180">
            <v>0.84294530751223695</v>
          </cell>
          <cell r="AH180">
            <v>54.96</v>
          </cell>
          <cell r="AI180" t="str">
            <v>No</v>
          </cell>
        </row>
        <row r="181">
          <cell r="A181" t="str">
            <v>P52C3</v>
          </cell>
          <cell r="B181">
            <v>356.1</v>
          </cell>
          <cell r="C181">
            <v>0.75782081293892301</v>
          </cell>
          <cell r="D181">
            <v>6.1840000000000002</v>
          </cell>
          <cell r="E181" t="str">
            <v>No</v>
          </cell>
          <cell r="G181">
            <v>402.3</v>
          </cell>
          <cell r="H181">
            <v>0.85613960417110002</v>
          </cell>
          <cell r="I181">
            <v>20.260000000000002</v>
          </cell>
          <cell r="J181" t="str">
            <v>No</v>
          </cell>
          <cell r="L181">
            <v>425.8</v>
          </cell>
          <cell r="M181">
            <v>0.90615024473292205</v>
          </cell>
          <cell r="N181">
            <v>39.83</v>
          </cell>
          <cell r="O181" t="str">
            <v>No</v>
          </cell>
          <cell r="Q181">
            <v>408</v>
          </cell>
          <cell r="R181">
            <v>0.868269844647797</v>
          </cell>
          <cell r="S181">
            <v>35.06</v>
          </cell>
          <cell r="T181" t="str">
            <v>No</v>
          </cell>
          <cell r="V181">
            <v>417.8</v>
          </cell>
          <cell r="W181">
            <v>0.88912534581825897</v>
          </cell>
          <cell r="X181">
            <v>46.49</v>
          </cell>
          <cell r="Y181" t="str">
            <v>No</v>
          </cell>
          <cell r="AA181">
            <v>438.6</v>
          </cell>
          <cell r="AB181">
            <v>0.93339008299638204</v>
          </cell>
          <cell r="AC181">
            <v>224.1</v>
          </cell>
          <cell r="AD181" t="str">
            <v>No</v>
          </cell>
          <cell r="AF181">
            <v>454.7</v>
          </cell>
          <cell r="AG181">
            <v>0.967652692062141</v>
          </cell>
          <cell r="AH181">
            <v>192.8</v>
          </cell>
          <cell r="AI181" t="str">
            <v>No</v>
          </cell>
        </row>
        <row r="182">
          <cell r="A182" t="str">
            <v>P53C1</v>
          </cell>
          <cell r="B182">
            <v>320.7</v>
          </cell>
          <cell r="C182">
            <v>0.68248563524154104</v>
          </cell>
          <cell r="D182">
            <v>2.028</v>
          </cell>
          <cell r="E182" t="str">
            <v>Yes</v>
          </cell>
          <cell r="G182">
            <v>288.8</v>
          </cell>
          <cell r="H182">
            <v>0.61459885081932297</v>
          </cell>
          <cell r="I182">
            <v>0.9597</v>
          </cell>
          <cell r="J182" t="str">
            <v>Yes</v>
          </cell>
          <cell r="L182">
            <v>343.1</v>
          </cell>
          <cell r="M182">
            <v>0.73015535220259598</v>
          </cell>
          <cell r="N182">
            <v>4.6159999999999997</v>
          </cell>
          <cell r="O182" t="str">
            <v>No</v>
          </cell>
          <cell r="Q182">
            <v>307.60000000000002</v>
          </cell>
          <cell r="R182">
            <v>0.654607363268781</v>
          </cell>
          <cell r="S182">
            <v>1.833</v>
          </cell>
          <cell r="T182" t="str">
            <v>Yes</v>
          </cell>
          <cell r="V182">
            <v>363.8</v>
          </cell>
          <cell r="W182">
            <v>0.77420727814428603</v>
          </cell>
          <cell r="X182">
            <v>10.82</v>
          </cell>
          <cell r="Y182" t="str">
            <v>No</v>
          </cell>
          <cell r="AA182">
            <v>415.8</v>
          </cell>
          <cell r="AB182">
            <v>0.88486912108959404</v>
          </cell>
          <cell r="AC182">
            <v>54.32</v>
          </cell>
          <cell r="AD182" t="str">
            <v>No</v>
          </cell>
          <cell r="AF182">
            <v>438.1</v>
          </cell>
          <cell r="AG182">
            <v>0.93232602681421595</v>
          </cell>
          <cell r="AH182">
            <v>217.4</v>
          </cell>
          <cell r="AI182" t="str">
            <v>No</v>
          </cell>
        </row>
        <row r="183">
          <cell r="A183" t="str">
            <v>P53C2</v>
          </cell>
          <cell r="B183">
            <v>301.60000000000002</v>
          </cell>
          <cell r="C183">
            <v>0.64183868908278396</v>
          </cell>
          <cell r="D183">
            <v>1.119</v>
          </cell>
          <cell r="E183" t="str">
            <v>Yes</v>
          </cell>
          <cell r="G183">
            <v>367.6</v>
          </cell>
          <cell r="H183">
            <v>0.78229410512875097</v>
          </cell>
          <cell r="I183">
            <v>8.4749999999999996</v>
          </cell>
          <cell r="J183" t="str">
            <v>No</v>
          </cell>
          <cell r="L183">
            <v>288.2</v>
          </cell>
          <cell r="M183">
            <v>0.61332198340072397</v>
          </cell>
          <cell r="N183">
            <v>0.70340000000000003</v>
          </cell>
          <cell r="O183" t="str">
            <v>Yes</v>
          </cell>
          <cell r="Q183">
            <v>309.8</v>
          </cell>
          <cell r="R183">
            <v>0.65928921047031297</v>
          </cell>
          <cell r="S183">
            <v>1.524</v>
          </cell>
          <cell r="T183" t="str">
            <v>Yes</v>
          </cell>
          <cell r="V183">
            <v>402.8</v>
          </cell>
          <cell r="W183">
            <v>0.85720366035326701</v>
          </cell>
          <cell r="X183">
            <v>31.21</v>
          </cell>
          <cell r="Y183" t="str">
            <v>No</v>
          </cell>
          <cell r="AA183">
            <v>421.9</v>
          </cell>
          <cell r="AB183">
            <v>0.89785060651202397</v>
          </cell>
          <cell r="AC183">
            <v>60.4</v>
          </cell>
          <cell r="AD183" t="str">
            <v>No</v>
          </cell>
          <cell r="AF183">
            <v>424.3</v>
          </cell>
          <cell r="AG183">
            <v>0.90295807618642299</v>
          </cell>
          <cell r="AH183">
            <v>123.2</v>
          </cell>
          <cell r="AI183" t="str">
            <v>No</v>
          </cell>
        </row>
        <row r="184">
          <cell r="A184" t="str">
            <v>P53C3</v>
          </cell>
          <cell r="B184">
            <v>251.3</v>
          </cell>
          <cell r="C184">
            <v>0.53479463715684195</v>
          </cell>
          <cell r="D184">
            <v>0.39539999999999997</v>
          </cell>
          <cell r="E184" t="str">
            <v>Yes</v>
          </cell>
          <cell r="G184">
            <v>340</v>
          </cell>
          <cell r="H184">
            <v>0.72355820387316405</v>
          </cell>
          <cell r="I184">
            <v>3.254</v>
          </cell>
          <cell r="J184" t="str">
            <v>No</v>
          </cell>
          <cell r="L184">
            <v>298.10000000000002</v>
          </cell>
          <cell r="M184">
            <v>0.63439029580761896</v>
          </cell>
          <cell r="N184">
            <v>1.3109999999999999</v>
          </cell>
          <cell r="O184" t="str">
            <v>Yes</v>
          </cell>
          <cell r="Q184">
            <v>307</v>
          </cell>
          <cell r="R184">
            <v>0.65333049585018099</v>
          </cell>
          <cell r="S184">
            <v>1.21</v>
          </cell>
          <cell r="T184" t="str">
            <v>Yes</v>
          </cell>
          <cell r="V184">
            <v>401.7</v>
          </cell>
          <cell r="W184">
            <v>0.85486273675250102</v>
          </cell>
          <cell r="X184">
            <v>29.74</v>
          </cell>
          <cell r="Y184" t="str">
            <v>No</v>
          </cell>
          <cell r="AA184">
            <v>421.2</v>
          </cell>
          <cell r="AB184">
            <v>0.89636092785699095</v>
          </cell>
          <cell r="AC184">
            <v>95.55</v>
          </cell>
          <cell r="AD184" t="str">
            <v>No</v>
          </cell>
          <cell r="AF184">
            <v>416.6</v>
          </cell>
          <cell r="AG184">
            <v>0.88657161098105997</v>
          </cell>
          <cell r="AH184">
            <v>201.2</v>
          </cell>
          <cell r="AI184" t="str">
            <v>No</v>
          </cell>
        </row>
        <row r="185">
          <cell r="A185" t="str">
            <v>P53C4</v>
          </cell>
          <cell r="B185">
            <v>312.10000000000002</v>
          </cell>
          <cell r="C185">
            <v>0.66418386890827796</v>
          </cell>
          <cell r="D185">
            <v>1.7030000000000001</v>
          </cell>
          <cell r="E185" t="str">
            <v>Yes</v>
          </cell>
          <cell r="G185">
            <v>293.5</v>
          </cell>
          <cell r="H185">
            <v>0.62460097893168798</v>
          </cell>
          <cell r="I185">
            <v>0.96650000000000003</v>
          </cell>
          <cell r="J185" t="str">
            <v>Yes</v>
          </cell>
          <cell r="L185">
            <v>283.39999999999998</v>
          </cell>
          <cell r="M185">
            <v>0.60310704405192594</v>
          </cell>
          <cell r="N185">
            <v>0.72589999999999999</v>
          </cell>
          <cell r="O185" t="str">
            <v>Yes</v>
          </cell>
          <cell r="Q185">
            <v>322.3</v>
          </cell>
          <cell r="R185">
            <v>0.68589061502447302</v>
          </cell>
          <cell r="S185">
            <v>1.5840000000000001</v>
          </cell>
          <cell r="T185" t="str">
            <v>Yes</v>
          </cell>
          <cell r="V185">
            <v>391</v>
          </cell>
          <cell r="W185">
            <v>0.83209193445413898</v>
          </cell>
          <cell r="X185">
            <v>18.8</v>
          </cell>
          <cell r="Y185" t="str">
            <v>No</v>
          </cell>
          <cell r="AA185">
            <v>399.4</v>
          </cell>
          <cell r="AB185">
            <v>0.84996807831453502</v>
          </cell>
          <cell r="AC185">
            <v>116.1</v>
          </cell>
          <cell r="AD185" t="str">
            <v>No</v>
          </cell>
          <cell r="AF185">
            <v>415.9</v>
          </cell>
          <cell r="AG185">
            <v>0.88508193232602705</v>
          </cell>
          <cell r="AH185">
            <v>221.8</v>
          </cell>
          <cell r="AI185" t="str">
            <v>No</v>
          </cell>
        </row>
        <row r="186">
          <cell r="A186" t="str">
            <v>P54C1</v>
          </cell>
          <cell r="B186">
            <v>308.7</v>
          </cell>
          <cell r="C186">
            <v>0.65694828686954698</v>
          </cell>
          <cell r="D186">
            <v>1.4079999999999999</v>
          </cell>
          <cell r="E186" t="str">
            <v>Yes</v>
          </cell>
          <cell r="G186">
            <v>335.7</v>
          </cell>
          <cell r="H186">
            <v>0.71440732070653301</v>
          </cell>
          <cell r="I186">
            <v>3.4540000000000002</v>
          </cell>
          <cell r="J186" t="str">
            <v>No</v>
          </cell>
          <cell r="L186">
            <v>327.60000000000002</v>
          </cell>
          <cell r="M186">
            <v>0.69716961055543702</v>
          </cell>
          <cell r="N186">
            <v>2.2490000000000001</v>
          </cell>
          <cell r="O186" t="str">
            <v>Yes</v>
          </cell>
          <cell r="Q186">
            <v>324.2</v>
          </cell>
          <cell r="R186">
            <v>0.68993402851670604</v>
          </cell>
          <cell r="S186">
            <v>2.1110000000000002</v>
          </cell>
          <cell r="T186" t="str">
            <v>Yes</v>
          </cell>
          <cell r="V186">
            <v>368.7</v>
          </cell>
          <cell r="W186">
            <v>0.78463502872951696</v>
          </cell>
          <cell r="X186">
            <v>10.44</v>
          </cell>
          <cell r="Y186" t="str">
            <v>No</v>
          </cell>
          <cell r="AA186">
            <v>414</v>
          </cell>
          <cell r="AB186">
            <v>0.88103851883379403</v>
          </cell>
          <cell r="AC186">
            <v>58.85</v>
          </cell>
          <cell r="AD186" t="str">
            <v>No</v>
          </cell>
          <cell r="AF186">
            <v>419.1</v>
          </cell>
          <cell r="AG186">
            <v>0.891891891891892</v>
          </cell>
          <cell r="AH186">
            <v>57.42</v>
          </cell>
          <cell r="AI186" t="str">
            <v>No</v>
          </cell>
        </row>
        <row r="187">
          <cell r="A187" t="str">
            <v>P54C2</v>
          </cell>
          <cell r="B187">
            <v>329.2</v>
          </cell>
          <cell r="C187">
            <v>0.70057459033837</v>
          </cell>
          <cell r="D187">
            <v>4.2949999999999999</v>
          </cell>
          <cell r="E187" t="str">
            <v>Yes</v>
          </cell>
          <cell r="G187">
            <v>363.5</v>
          </cell>
          <cell r="H187">
            <v>0.77356884443498597</v>
          </cell>
          <cell r="I187">
            <v>8.6660000000000004</v>
          </cell>
          <cell r="J187" t="str">
            <v>No</v>
          </cell>
          <cell r="L187">
            <v>362.4</v>
          </cell>
          <cell r="M187">
            <v>0.77122792083421998</v>
          </cell>
          <cell r="N187">
            <v>7.8319999999999999</v>
          </cell>
          <cell r="O187" t="str">
            <v>No</v>
          </cell>
          <cell r="Q187">
            <v>344.8</v>
          </cell>
          <cell r="R187">
            <v>0.73377314322196197</v>
          </cell>
          <cell r="S187">
            <v>4.3499999999999996</v>
          </cell>
          <cell r="T187" t="str">
            <v>No</v>
          </cell>
          <cell r="V187">
            <v>385.6</v>
          </cell>
          <cell r="W187">
            <v>0.82060012768674195</v>
          </cell>
          <cell r="X187">
            <v>16.86</v>
          </cell>
          <cell r="Y187" t="str">
            <v>No</v>
          </cell>
          <cell r="AA187">
            <v>420.3</v>
          </cell>
          <cell r="AB187">
            <v>0.894445626729091</v>
          </cell>
          <cell r="AC187">
            <v>73.41</v>
          </cell>
          <cell r="AD187" t="str">
            <v>No</v>
          </cell>
          <cell r="AF187">
            <v>413.6</v>
          </cell>
          <cell r="AG187">
            <v>0.88018727388806095</v>
          </cell>
          <cell r="AH187">
            <v>44.17</v>
          </cell>
          <cell r="AI187" t="str">
            <v>No</v>
          </cell>
        </row>
        <row r="188">
          <cell r="A188" t="str">
            <v>P54C3</v>
          </cell>
          <cell r="B188">
            <v>335.2</v>
          </cell>
          <cell r="C188">
            <v>0.71334326452436703</v>
          </cell>
          <cell r="D188">
            <v>2.3620000000000001</v>
          </cell>
          <cell r="E188" t="str">
            <v>No</v>
          </cell>
          <cell r="G188">
            <v>343.6</v>
          </cell>
          <cell r="H188">
            <v>0.73121940838476296</v>
          </cell>
          <cell r="I188">
            <v>4.3289999999999997</v>
          </cell>
          <cell r="J188" t="str">
            <v>No</v>
          </cell>
          <cell r="L188">
            <v>308.3</v>
          </cell>
          <cell r="M188">
            <v>0.65609704192381402</v>
          </cell>
          <cell r="N188">
            <v>1.18</v>
          </cell>
          <cell r="O188" t="str">
            <v>Yes</v>
          </cell>
          <cell r="Q188">
            <v>321.89999999999998</v>
          </cell>
          <cell r="R188">
            <v>0.68503937007874005</v>
          </cell>
          <cell r="S188">
            <v>1.829</v>
          </cell>
          <cell r="T188" t="str">
            <v>Yes</v>
          </cell>
          <cell r="V188">
            <v>419.4</v>
          </cell>
          <cell r="W188">
            <v>0.89253032560119205</v>
          </cell>
          <cell r="X188">
            <v>57.32</v>
          </cell>
          <cell r="Y188" t="str">
            <v>No</v>
          </cell>
          <cell r="AA188">
            <v>430.8</v>
          </cell>
          <cell r="AB188">
            <v>0.916790806554586</v>
          </cell>
          <cell r="AC188">
            <v>102.6</v>
          </cell>
          <cell r="AD188" t="str">
            <v>No</v>
          </cell>
          <cell r="AF188">
            <v>389.9</v>
          </cell>
          <cell r="AG188">
            <v>0.82975101085337299</v>
          </cell>
          <cell r="AH188">
            <v>21.31</v>
          </cell>
          <cell r="AI188" t="str">
            <v>No</v>
          </cell>
        </row>
        <row r="189">
          <cell r="A189" t="str">
            <v>P54C4</v>
          </cell>
          <cell r="B189">
            <v>330.1</v>
          </cell>
          <cell r="C189">
            <v>0.70248989146626994</v>
          </cell>
          <cell r="D189">
            <v>5.9770000000000003</v>
          </cell>
          <cell r="E189" t="str">
            <v>Yes</v>
          </cell>
          <cell r="G189">
            <v>362.7</v>
          </cell>
          <cell r="H189">
            <v>0.77186635454352004</v>
          </cell>
          <cell r="I189">
            <v>7.891</v>
          </cell>
          <cell r="J189" t="str">
            <v>No</v>
          </cell>
          <cell r="L189">
            <v>367.1</v>
          </cell>
          <cell r="M189">
            <v>0.78123004894658399</v>
          </cell>
          <cell r="N189">
            <v>8.3390000000000004</v>
          </cell>
          <cell r="O189" t="str">
            <v>No</v>
          </cell>
          <cell r="Q189">
            <v>365.9</v>
          </cell>
          <cell r="R189">
            <v>0.77867631410938498</v>
          </cell>
          <cell r="S189">
            <v>9.3569999999999993</v>
          </cell>
          <cell r="T189" t="str">
            <v>No</v>
          </cell>
          <cell r="V189">
            <v>394.8</v>
          </cell>
          <cell r="W189">
            <v>0.84017876143860404</v>
          </cell>
          <cell r="X189">
            <v>22.25</v>
          </cell>
          <cell r="Y189" t="str">
            <v>No</v>
          </cell>
          <cell r="AA189">
            <v>412.2</v>
          </cell>
          <cell r="AB189">
            <v>0.87720791657799502</v>
          </cell>
          <cell r="AC189">
            <v>53.22</v>
          </cell>
          <cell r="AD189" t="str">
            <v>No</v>
          </cell>
          <cell r="AF189">
            <v>386.2</v>
          </cell>
          <cell r="AG189">
            <v>0.82187699510534196</v>
          </cell>
          <cell r="AH189">
            <v>15.56</v>
          </cell>
          <cell r="AI189" t="str">
            <v>No</v>
          </cell>
        </row>
        <row r="190">
          <cell r="A190" t="str">
            <v>P55C1</v>
          </cell>
          <cell r="B190">
            <v>321</v>
          </cell>
          <cell r="C190">
            <v>0.68312406895084099</v>
          </cell>
          <cell r="D190">
            <v>2.1920000000000002</v>
          </cell>
          <cell r="E190" t="str">
            <v>Yes</v>
          </cell>
          <cell r="G190">
            <v>338.3</v>
          </cell>
          <cell r="H190">
            <v>0.71994041285379895</v>
          </cell>
          <cell r="I190">
            <v>3.4489999999999998</v>
          </cell>
          <cell r="J190" t="str">
            <v>No</v>
          </cell>
          <cell r="L190">
            <v>323.5</v>
          </cell>
          <cell r="M190">
            <v>0.68844434986167302</v>
          </cell>
          <cell r="N190">
            <v>2.11</v>
          </cell>
          <cell r="O190" t="str">
            <v>Yes</v>
          </cell>
          <cell r="Q190">
            <v>381.8</v>
          </cell>
          <cell r="R190">
            <v>0.81251330070227701</v>
          </cell>
          <cell r="S190">
            <v>14.56</v>
          </cell>
          <cell r="T190" t="str">
            <v>No</v>
          </cell>
          <cell r="V190">
            <v>386.5</v>
          </cell>
          <cell r="W190">
            <v>0.82251542881464101</v>
          </cell>
          <cell r="X190">
            <v>16.940000000000001</v>
          </cell>
          <cell r="Y190" t="str">
            <v>No</v>
          </cell>
          <cell r="AA190">
            <v>413</v>
          </cell>
          <cell r="AB190">
            <v>0.87891040646946195</v>
          </cell>
          <cell r="AC190">
            <v>42.14</v>
          </cell>
          <cell r="AD190" t="str">
            <v>No</v>
          </cell>
          <cell r="AF190">
            <v>425.2</v>
          </cell>
          <cell r="AG190">
            <v>0.90487337731432205</v>
          </cell>
          <cell r="AH190">
            <v>74.790000000000006</v>
          </cell>
          <cell r="AI190" t="str">
            <v>No</v>
          </cell>
        </row>
        <row r="191">
          <cell r="A191" t="str">
            <v>P55C2</v>
          </cell>
          <cell r="B191">
            <v>390.5</v>
          </cell>
          <cell r="C191">
            <v>0.831027878271973</v>
          </cell>
          <cell r="D191">
            <v>19.13</v>
          </cell>
          <cell r="E191" t="str">
            <v>No</v>
          </cell>
          <cell r="G191">
            <v>345.2</v>
          </cell>
          <cell r="H191">
            <v>0.73462438816769504</v>
          </cell>
          <cell r="I191">
            <v>4.2210000000000001</v>
          </cell>
          <cell r="J191" t="str">
            <v>No</v>
          </cell>
          <cell r="L191">
            <v>323.89999999999998</v>
          </cell>
          <cell r="M191">
            <v>0.68929559480740599</v>
          </cell>
          <cell r="N191">
            <v>2.3290000000000002</v>
          </cell>
          <cell r="O191" t="str">
            <v>Yes</v>
          </cell>
          <cell r="Q191">
            <v>388</v>
          </cell>
          <cell r="R191">
            <v>0.82570759736114097</v>
          </cell>
          <cell r="S191">
            <v>18.22</v>
          </cell>
          <cell r="T191" t="str">
            <v>No</v>
          </cell>
          <cell r="V191">
            <v>403.7</v>
          </cell>
          <cell r="W191">
            <v>0.85911896148116595</v>
          </cell>
          <cell r="X191">
            <v>26.39</v>
          </cell>
          <cell r="Y191" t="str">
            <v>No</v>
          </cell>
          <cell r="AA191">
            <v>371.5</v>
          </cell>
          <cell r="AB191">
            <v>0.79059374334964905</v>
          </cell>
          <cell r="AC191">
            <v>10.35</v>
          </cell>
          <cell r="AD191" t="str">
            <v>No</v>
          </cell>
          <cell r="AF191">
            <v>419.7</v>
          </cell>
          <cell r="AG191">
            <v>0.893168759310492</v>
          </cell>
          <cell r="AH191">
            <v>64.22</v>
          </cell>
          <cell r="AI191" t="str">
            <v>No</v>
          </cell>
        </row>
        <row r="192">
          <cell r="A192" t="str">
            <v>P55C3</v>
          </cell>
          <cell r="B192">
            <v>298.60000000000002</v>
          </cell>
          <cell r="C192">
            <v>0.63545435198978495</v>
          </cell>
          <cell r="D192">
            <v>1.9490000000000001</v>
          </cell>
          <cell r="E192" t="str">
            <v>Yes</v>
          </cell>
          <cell r="G192">
            <v>328.7</v>
          </cell>
          <cell r="H192">
            <v>0.69951053415620301</v>
          </cell>
          <cell r="I192">
            <v>2.5270000000000001</v>
          </cell>
          <cell r="J192" t="str">
            <v>No</v>
          </cell>
          <cell r="L192">
            <v>313.2</v>
          </cell>
          <cell r="M192">
            <v>0.66652479250904495</v>
          </cell>
          <cell r="N192">
            <v>1.212</v>
          </cell>
          <cell r="O192" t="str">
            <v>Yes</v>
          </cell>
          <cell r="Q192">
            <v>325.39999999999998</v>
          </cell>
          <cell r="R192">
            <v>0.69248776335390505</v>
          </cell>
          <cell r="S192">
            <v>2.1819999999999999</v>
          </cell>
          <cell r="T192" t="str">
            <v>Yes</v>
          </cell>
          <cell r="V192">
            <v>413.6</v>
          </cell>
          <cell r="W192">
            <v>0.88018727388806095</v>
          </cell>
          <cell r="X192">
            <v>57.26</v>
          </cell>
          <cell r="Y192" t="str">
            <v>No</v>
          </cell>
          <cell r="AA192">
            <v>344.2</v>
          </cell>
          <cell r="AB192">
            <v>0.73249627580336196</v>
          </cell>
          <cell r="AC192">
            <v>4.3499999999999996</v>
          </cell>
          <cell r="AD192" t="str">
            <v>No</v>
          </cell>
          <cell r="AF192">
            <v>417.5</v>
          </cell>
          <cell r="AG192">
            <v>0.88848691210895903</v>
          </cell>
          <cell r="AH192">
            <v>58.92</v>
          </cell>
          <cell r="AI192" t="str">
            <v>No</v>
          </cell>
        </row>
        <row r="193">
          <cell r="A193" t="str">
            <v>P55C4</v>
          </cell>
          <cell r="B193">
            <v>325</v>
          </cell>
          <cell r="C193">
            <v>0.69163651840817197</v>
          </cell>
          <cell r="D193">
            <v>2.3439999999999999</v>
          </cell>
          <cell r="E193" t="str">
            <v>Yes</v>
          </cell>
          <cell r="G193">
            <v>324.39999999999998</v>
          </cell>
          <cell r="H193">
            <v>0.69035965098957197</v>
          </cell>
          <cell r="I193">
            <v>2.161</v>
          </cell>
          <cell r="J193" t="str">
            <v>Yes</v>
          </cell>
          <cell r="L193">
            <v>319.5</v>
          </cell>
          <cell r="M193">
            <v>0.67993190040434104</v>
          </cell>
          <cell r="N193">
            <v>1.75</v>
          </cell>
          <cell r="O193" t="str">
            <v>Yes</v>
          </cell>
          <cell r="Q193">
            <v>336.7</v>
          </cell>
          <cell r="R193">
            <v>0.71653543307086598</v>
          </cell>
          <cell r="S193">
            <v>3.4529999999999998</v>
          </cell>
          <cell r="T193" t="str">
            <v>No</v>
          </cell>
          <cell r="V193">
            <v>396.3</v>
          </cell>
          <cell r="W193">
            <v>0.84337092998510299</v>
          </cell>
          <cell r="X193">
            <v>22.43</v>
          </cell>
          <cell r="Y193" t="str">
            <v>No</v>
          </cell>
          <cell r="AA193">
            <v>331.4</v>
          </cell>
          <cell r="AB193">
            <v>0.70525643753990197</v>
          </cell>
          <cell r="AC193">
            <v>2.86</v>
          </cell>
          <cell r="AD193" t="str">
            <v>No</v>
          </cell>
          <cell r="AF193">
            <v>425.7</v>
          </cell>
          <cell r="AG193">
            <v>0.90593743349648903</v>
          </cell>
          <cell r="AH193">
            <v>103.4</v>
          </cell>
          <cell r="AI193" t="str">
            <v>No</v>
          </cell>
        </row>
        <row r="194">
          <cell r="A194" t="str">
            <v>P55C5</v>
          </cell>
          <cell r="B194">
            <v>352.9</v>
          </cell>
          <cell r="C194">
            <v>0.75101085337305795</v>
          </cell>
          <cell r="D194">
            <v>8.4380000000000006</v>
          </cell>
          <cell r="E194" t="str">
            <v>No</v>
          </cell>
          <cell r="G194">
            <v>325.3</v>
          </cell>
          <cell r="H194">
            <v>0.69227495211747203</v>
          </cell>
          <cell r="I194">
            <v>2.4809999999999999</v>
          </cell>
          <cell r="J194" t="str">
            <v>Yes</v>
          </cell>
          <cell r="L194">
            <v>301.60000000000002</v>
          </cell>
          <cell r="M194">
            <v>0.64183868908278396</v>
          </cell>
          <cell r="N194">
            <v>0.69020000000000004</v>
          </cell>
          <cell r="O194" t="str">
            <v>Yes</v>
          </cell>
          <cell r="Q194">
            <v>362.7</v>
          </cell>
          <cell r="R194">
            <v>0.77186635454352004</v>
          </cell>
          <cell r="S194">
            <v>7.9390000000000001</v>
          </cell>
          <cell r="T194" t="str">
            <v>No</v>
          </cell>
          <cell r="V194">
            <v>386.7</v>
          </cell>
          <cell r="W194">
            <v>0.82294105128750805</v>
          </cell>
          <cell r="X194">
            <v>15.33</v>
          </cell>
          <cell r="Y194" t="str">
            <v>No</v>
          </cell>
          <cell r="AA194">
            <v>396.6</v>
          </cell>
          <cell r="AB194">
            <v>0.84400936369440305</v>
          </cell>
          <cell r="AC194">
            <v>19.78</v>
          </cell>
          <cell r="AD194" t="str">
            <v>No</v>
          </cell>
          <cell r="AF194">
            <v>400.9</v>
          </cell>
          <cell r="AG194">
            <v>0.85316024686103398</v>
          </cell>
          <cell r="AH194">
            <v>34.28</v>
          </cell>
          <cell r="AI194" t="str">
            <v>No</v>
          </cell>
        </row>
        <row r="195">
          <cell r="A195" t="str">
            <v>P56C1</v>
          </cell>
          <cell r="B195">
            <v>308.89999999999998</v>
          </cell>
          <cell r="C195">
            <v>0.65737390934241302</v>
          </cell>
          <cell r="D195">
            <v>2</v>
          </cell>
          <cell r="E195" t="str">
            <v>Yes</v>
          </cell>
          <cell r="G195">
            <v>400.9</v>
          </cell>
          <cell r="H195">
            <v>0.85316024686103398</v>
          </cell>
          <cell r="I195">
            <v>24.56</v>
          </cell>
          <cell r="J195" t="str">
            <v>No</v>
          </cell>
          <cell r="L195">
            <v>358.3</v>
          </cell>
          <cell r="M195">
            <v>0.76250266014045498</v>
          </cell>
          <cell r="N195">
            <v>6.83</v>
          </cell>
          <cell r="O195" t="str">
            <v>No</v>
          </cell>
          <cell r="Q195">
            <v>374.9</v>
          </cell>
          <cell r="R195">
            <v>0.79782932538838003</v>
          </cell>
          <cell r="S195">
            <v>10.39</v>
          </cell>
          <cell r="T195" t="str">
            <v>No</v>
          </cell>
          <cell r="V195">
            <v>394.9</v>
          </cell>
          <cell r="W195">
            <v>0.84039157267503695</v>
          </cell>
          <cell r="X195">
            <v>23.45</v>
          </cell>
          <cell r="Y195" t="str">
            <v>No</v>
          </cell>
          <cell r="AA195">
            <v>405.5</v>
          </cell>
          <cell r="AB195">
            <v>0.86294956373696496</v>
          </cell>
          <cell r="AC195">
            <v>34.19</v>
          </cell>
          <cell r="AD195" t="str">
            <v>No</v>
          </cell>
          <cell r="AF195">
            <v>421.7</v>
          </cell>
          <cell r="AG195">
            <v>0.89742498403915705</v>
          </cell>
          <cell r="AH195">
            <v>77.56</v>
          </cell>
          <cell r="AI195" t="str">
            <v>No</v>
          </cell>
        </row>
        <row r="196">
          <cell r="A196" t="str">
            <v>P56C2</v>
          </cell>
          <cell r="B196">
            <v>312.39999999999998</v>
          </cell>
          <cell r="C196">
            <v>0.66482230261757802</v>
          </cell>
          <cell r="D196">
            <v>2.238</v>
          </cell>
          <cell r="E196" t="str">
            <v>Yes</v>
          </cell>
          <cell r="G196">
            <v>384.4</v>
          </cell>
          <cell r="H196">
            <v>0.81804639284954195</v>
          </cell>
          <cell r="I196">
            <v>16.940000000000001</v>
          </cell>
          <cell r="J196" t="str">
            <v>No</v>
          </cell>
          <cell r="L196">
            <v>371.3</v>
          </cell>
          <cell r="M196">
            <v>0.79016812087678201</v>
          </cell>
          <cell r="N196">
            <v>10.39</v>
          </cell>
          <cell r="O196" t="str">
            <v>No</v>
          </cell>
          <cell r="Q196">
            <v>392.2</v>
          </cell>
          <cell r="R196">
            <v>0.83464566929133899</v>
          </cell>
          <cell r="S196">
            <v>17.89</v>
          </cell>
          <cell r="T196" t="str">
            <v>No</v>
          </cell>
          <cell r="V196">
            <v>418.2</v>
          </cell>
          <cell r="W196">
            <v>0.88997659076399205</v>
          </cell>
          <cell r="X196">
            <v>56.22</v>
          </cell>
          <cell r="Y196" t="str">
            <v>No</v>
          </cell>
          <cell r="AA196">
            <v>389.4</v>
          </cell>
          <cell r="AB196">
            <v>0.82868695467120701</v>
          </cell>
          <cell r="AC196">
            <v>17.79</v>
          </cell>
          <cell r="AD196" t="str">
            <v>No</v>
          </cell>
          <cell r="AF196">
            <v>409.2</v>
          </cell>
          <cell r="AG196">
            <v>0.870823579484997</v>
          </cell>
          <cell r="AH196">
            <v>45.52</v>
          </cell>
          <cell r="AI196" t="str">
            <v>No</v>
          </cell>
        </row>
        <row r="197">
          <cell r="A197" t="str">
            <v>P56C3</v>
          </cell>
          <cell r="B197">
            <v>303.8</v>
          </cell>
          <cell r="C197">
            <v>0.64652053628431605</v>
          </cell>
          <cell r="D197">
            <v>1.016</v>
          </cell>
          <cell r="E197" t="str">
            <v>Yes</v>
          </cell>
          <cell r="G197">
            <v>396.5</v>
          </cell>
          <cell r="H197">
            <v>0.84379655245797003</v>
          </cell>
          <cell r="I197">
            <v>28.54</v>
          </cell>
          <cell r="J197" t="str">
            <v>No</v>
          </cell>
          <cell r="L197">
            <v>392.1</v>
          </cell>
          <cell r="M197">
            <v>0.83443285805490497</v>
          </cell>
          <cell r="N197">
            <v>20.49</v>
          </cell>
          <cell r="O197" t="str">
            <v>No</v>
          </cell>
          <cell r="Q197">
            <v>385.7</v>
          </cell>
          <cell r="R197">
            <v>0.82081293892317497</v>
          </cell>
          <cell r="S197">
            <v>16.2</v>
          </cell>
          <cell r="T197" t="str">
            <v>No</v>
          </cell>
          <cell r="V197">
            <v>406.9</v>
          </cell>
          <cell r="W197">
            <v>0.86592892104703101</v>
          </cell>
          <cell r="X197">
            <v>34.659999999999997</v>
          </cell>
          <cell r="Y197" t="str">
            <v>No</v>
          </cell>
          <cell r="AA197">
            <v>394.8</v>
          </cell>
          <cell r="AB197">
            <v>0.84017876143860404</v>
          </cell>
          <cell r="AC197">
            <v>23.64</v>
          </cell>
          <cell r="AD197" t="str">
            <v>No</v>
          </cell>
          <cell r="AF197">
            <v>398.2</v>
          </cell>
          <cell r="AG197">
            <v>0.84741434347733602</v>
          </cell>
          <cell r="AH197">
            <v>29.95</v>
          </cell>
          <cell r="AI197" t="str">
            <v>No</v>
          </cell>
        </row>
        <row r="198">
          <cell r="A198" t="str">
            <v>P56C4</v>
          </cell>
          <cell r="B198">
            <v>321.89999999999998</v>
          </cell>
          <cell r="C198">
            <v>0.68503937007874005</v>
          </cell>
          <cell r="D198">
            <v>2.3140000000000001</v>
          </cell>
          <cell r="E198" t="str">
            <v>Yes</v>
          </cell>
          <cell r="G198">
            <v>345.4</v>
          </cell>
          <cell r="H198">
            <v>0.73505001064056197</v>
          </cell>
          <cell r="I198">
            <v>4.8769999999999998</v>
          </cell>
          <cell r="J198" t="str">
            <v>No</v>
          </cell>
          <cell r="L198">
            <v>331</v>
          </cell>
          <cell r="M198">
            <v>0.70440519259416901</v>
          </cell>
          <cell r="N198">
            <v>2.98</v>
          </cell>
          <cell r="O198" t="str">
            <v>No</v>
          </cell>
          <cell r="Q198">
            <v>324.2</v>
          </cell>
          <cell r="R198">
            <v>0.68993402851670604</v>
          </cell>
          <cell r="S198">
            <v>2.1520000000000001</v>
          </cell>
          <cell r="T198" t="str">
            <v>Yes</v>
          </cell>
          <cell r="V198">
            <v>392.4</v>
          </cell>
          <cell r="W198">
            <v>0.83507129176420503</v>
          </cell>
          <cell r="X198">
            <v>22.9</v>
          </cell>
          <cell r="Y198" t="str">
            <v>No</v>
          </cell>
          <cell r="AA198">
            <v>395.3</v>
          </cell>
          <cell r="AB198">
            <v>0.84124281762077002</v>
          </cell>
          <cell r="AC198">
            <v>25.68</v>
          </cell>
          <cell r="AD198" t="str">
            <v>No</v>
          </cell>
          <cell r="AF198">
            <v>417.4</v>
          </cell>
          <cell r="AG198">
            <v>0.88827410087252601</v>
          </cell>
          <cell r="AH198">
            <v>78.84</v>
          </cell>
          <cell r="AI198" t="str">
            <v>No</v>
          </cell>
        </row>
        <row r="199">
          <cell r="A199" t="str">
            <v>P56C5</v>
          </cell>
          <cell r="B199">
            <v>306.5</v>
          </cell>
          <cell r="C199">
            <v>0.65226643966801401</v>
          </cell>
          <cell r="D199">
            <v>1.3939999999999999</v>
          </cell>
          <cell r="E199" t="str">
            <v>Yes</v>
          </cell>
          <cell r="G199">
            <v>315.60000000000002</v>
          </cell>
          <cell r="H199">
            <v>0.67163226218344296</v>
          </cell>
          <cell r="I199">
            <v>1.774</v>
          </cell>
          <cell r="J199" t="str">
            <v>Yes</v>
          </cell>
          <cell r="L199">
            <v>317</v>
          </cell>
          <cell r="M199">
            <v>0.67461161949350901</v>
          </cell>
          <cell r="N199">
            <v>1.4510000000000001</v>
          </cell>
          <cell r="O199" t="str">
            <v>Yes</v>
          </cell>
          <cell r="Q199">
            <v>317.39999999999998</v>
          </cell>
          <cell r="R199">
            <v>0.67546286443924197</v>
          </cell>
          <cell r="S199">
            <v>1.57</v>
          </cell>
          <cell r="T199" t="str">
            <v>Yes</v>
          </cell>
          <cell r="V199">
            <v>370.4</v>
          </cell>
          <cell r="W199">
            <v>0.78825281974888295</v>
          </cell>
          <cell r="X199">
            <v>10.53</v>
          </cell>
          <cell r="Y199" t="str">
            <v>No</v>
          </cell>
          <cell r="AA199">
            <v>420.2</v>
          </cell>
          <cell r="AB199">
            <v>0.89423281549265798</v>
          </cell>
          <cell r="AC199">
            <v>68.930000000000007</v>
          </cell>
          <cell r="AD199" t="str">
            <v>No</v>
          </cell>
          <cell r="AF199">
            <v>411.2</v>
          </cell>
          <cell r="AG199">
            <v>0.87507980421366205</v>
          </cell>
          <cell r="AH199">
            <v>40.9</v>
          </cell>
          <cell r="AI199" t="str">
            <v>No</v>
          </cell>
        </row>
        <row r="200">
          <cell r="A200" t="str">
            <v>P57C1</v>
          </cell>
          <cell r="B200">
            <v>401</v>
          </cell>
          <cell r="C200">
            <v>0.853373058097468</v>
          </cell>
          <cell r="D200">
            <v>28.92</v>
          </cell>
          <cell r="E200" t="str">
            <v>No</v>
          </cell>
          <cell r="G200">
            <v>322.5</v>
          </cell>
          <cell r="H200">
            <v>0.68631623749734005</v>
          </cell>
          <cell r="I200">
            <v>2.2200000000000002</v>
          </cell>
          <cell r="J200" t="str">
            <v>Yes</v>
          </cell>
          <cell r="L200">
            <v>386.4</v>
          </cell>
          <cell r="M200">
            <v>0.82230261757820799</v>
          </cell>
          <cell r="N200">
            <v>16.32</v>
          </cell>
          <cell r="O200" t="str">
            <v>No</v>
          </cell>
          <cell r="Q200">
            <v>314.8</v>
          </cell>
          <cell r="R200">
            <v>0.66992977229197703</v>
          </cell>
          <cell r="S200">
            <v>1.57</v>
          </cell>
          <cell r="T200" t="str">
            <v>Yes</v>
          </cell>
          <cell r="V200">
            <v>404.1</v>
          </cell>
          <cell r="W200">
            <v>0.85997020642689903</v>
          </cell>
          <cell r="X200">
            <v>38.22</v>
          </cell>
          <cell r="Y200" t="str">
            <v>No</v>
          </cell>
          <cell r="AA200">
            <v>420.6</v>
          </cell>
          <cell r="AB200">
            <v>0.89508406043839095</v>
          </cell>
          <cell r="AC200">
            <v>57.76</v>
          </cell>
          <cell r="AD200" t="str">
            <v>No</v>
          </cell>
          <cell r="AF200">
            <v>395.3</v>
          </cell>
          <cell r="AG200">
            <v>0.84124281762077002</v>
          </cell>
          <cell r="AH200">
            <v>22.52</v>
          </cell>
          <cell r="AI200" t="str">
            <v>No</v>
          </cell>
        </row>
        <row r="201">
          <cell r="A201" t="str">
            <v>P57C2</v>
          </cell>
          <cell r="B201">
            <v>321.3</v>
          </cell>
          <cell r="C201">
            <v>0.68376250266014005</v>
          </cell>
          <cell r="D201">
            <v>1.9370000000000001</v>
          </cell>
          <cell r="E201" t="str">
            <v>Yes</v>
          </cell>
          <cell r="G201">
            <v>327.3</v>
          </cell>
          <cell r="H201">
            <v>0.69653117684613797</v>
          </cell>
          <cell r="I201">
            <v>2.34</v>
          </cell>
          <cell r="J201" t="str">
            <v>Yes</v>
          </cell>
          <cell r="L201">
            <v>317.7</v>
          </cell>
          <cell r="M201">
            <v>0.67610129814854203</v>
          </cell>
          <cell r="N201">
            <v>1.55</v>
          </cell>
          <cell r="O201" t="str">
            <v>Yes</v>
          </cell>
          <cell r="Q201">
            <v>387.5</v>
          </cell>
          <cell r="R201">
            <v>0.82464354117897398</v>
          </cell>
          <cell r="S201">
            <v>15.59</v>
          </cell>
          <cell r="T201" t="str">
            <v>No</v>
          </cell>
          <cell r="V201">
            <v>375.9</v>
          </cell>
          <cell r="W201">
            <v>0.799957437752713</v>
          </cell>
          <cell r="X201">
            <v>12.5</v>
          </cell>
          <cell r="Y201" t="str">
            <v>No</v>
          </cell>
          <cell r="AA201">
            <v>401.1</v>
          </cell>
          <cell r="AB201">
            <v>0.85358586933390102</v>
          </cell>
          <cell r="AC201">
            <v>28.83</v>
          </cell>
          <cell r="AD201" t="str">
            <v>No</v>
          </cell>
          <cell r="AF201">
            <v>406.7</v>
          </cell>
          <cell r="AG201">
            <v>0.86550329857416497</v>
          </cell>
          <cell r="AH201">
            <v>35.659999999999997</v>
          </cell>
          <cell r="AI201" t="str">
            <v>No</v>
          </cell>
        </row>
        <row r="202">
          <cell r="A202" t="str">
            <v>P57C3</v>
          </cell>
          <cell r="B202">
            <v>339.2</v>
          </cell>
          <cell r="C202">
            <v>0.72185571398169801</v>
          </cell>
          <cell r="D202">
            <v>4.2160000000000002</v>
          </cell>
          <cell r="E202" t="str">
            <v>No</v>
          </cell>
          <cell r="G202">
            <v>380.6</v>
          </cell>
          <cell r="H202">
            <v>0.809959565865078</v>
          </cell>
          <cell r="I202">
            <v>15.66</v>
          </cell>
          <cell r="J202" t="str">
            <v>No</v>
          </cell>
          <cell r="L202">
            <v>372.4</v>
          </cell>
          <cell r="M202">
            <v>0.792509044477548</v>
          </cell>
          <cell r="N202">
            <v>10.98</v>
          </cell>
          <cell r="O202" t="str">
            <v>No</v>
          </cell>
          <cell r="Q202">
            <v>325.7</v>
          </cell>
          <cell r="R202">
            <v>0.693126197063205</v>
          </cell>
          <cell r="S202">
            <v>2.2999999999999998</v>
          </cell>
          <cell r="T202" t="str">
            <v>Yes</v>
          </cell>
          <cell r="V202">
            <v>383.1</v>
          </cell>
          <cell r="W202">
            <v>0.81527984677591003</v>
          </cell>
          <cell r="X202">
            <v>16.64</v>
          </cell>
          <cell r="Y202" t="str">
            <v>No</v>
          </cell>
          <cell r="AA202">
            <v>414.5</v>
          </cell>
          <cell r="AB202">
            <v>0.88210257501596101</v>
          </cell>
          <cell r="AC202">
            <v>46.56</v>
          </cell>
          <cell r="AD202" t="str">
            <v>No</v>
          </cell>
          <cell r="AF202">
            <v>415.4</v>
          </cell>
          <cell r="AG202">
            <v>0.88401787614385996</v>
          </cell>
          <cell r="AH202">
            <v>50.78</v>
          </cell>
          <cell r="AI202" t="str">
            <v>No</v>
          </cell>
        </row>
        <row r="203">
          <cell r="A203" t="str">
            <v>P57C4</v>
          </cell>
          <cell r="B203">
            <v>334</v>
          </cell>
          <cell r="C203">
            <v>0.71078952968716702</v>
          </cell>
          <cell r="D203">
            <v>3.18</v>
          </cell>
          <cell r="E203" t="str">
            <v>No</v>
          </cell>
          <cell r="G203">
            <v>335.3</v>
          </cell>
          <cell r="H203">
            <v>0.71355607576080005</v>
          </cell>
          <cell r="I203">
            <v>3.35</v>
          </cell>
          <cell r="J203" t="str">
            <v>No</v>
          </cell>
          <cell r="L203">
            <v>309.2</v>
          </cell>
          <cell r="M203">
            <v>0.65801234305171297</v>
          </cell>
          <cell r="N203">
            <v>1.069</v>
          </cell>
          <cell r="O203" t="str">
            <v>Yes</v>
          </cell>
          <cell r="Q203">
            <v>358.8</v>
          </cell>
          <cell r="R203">
            <v>0.76356671632262196</v>
          </cell>
          <cell r="S203">
            <v>7.11</v>
          </cell>
          <cell r="T203" t="str">
            <v>No</v>
          </cell>
          <cell r="V203">
            <v>398.8</v>
          </cell>
          <cell r="W203">
            <v>0.84869121089593502</v>
          </cell>
          <cell r="X203">
            <v>27.79</v>
          </cell>
          <cell r="Y203" t="str">
            <v>No</v>
          </cell>
          <cell r="AA203">
            <v>379.9</v>
          </cell>
          <cell r="AB203">
            <v>0.80846988721004498</v>
          </cell>
          <cell r="AC203">
            <v>12.87</v>
          </cell>
          <cell r="AD203" t="str">
            <v>No</v>
          </cell>
          <cell r="AF203">
            <v>409.5</v>
          </cell>
          <cell r="AG203">
            <v>0.87146201319429695</v>
          </cell>
          <cell r="AH203">
            <v>43.38</v>
          </cell>
          <cell r="AI203" t="str">
            <v>No</v>
          </cell>
        </row>
        <row r="204">
          <cell r="A204" t="str">
            <v>P58C1</v>
          </cell>
          <cell r="B204">
            <v>374.6</v>
          </cell>
          <cell r="C204">
            <v>0.79719089167908097</v>
          </cell>
          <cell r="D204">
            <v>10.89</v>
          </cell>
          <cell r="E204" t="str">
            <v>No</v>
          </cell>
          <cell r="G204">
            <v>368.5</v>
          </cell>
          <cell r="H204">
            <v>0.78420940625665003</v>
          </cell>
          <cell r="I204">
            <v>8.8249999999999993</v>
          </cell>
          <cell r="J204" t="str">
            <v>No</v>
          </cell>
          <cell r="L204">
            <v>357.6</v>
          </cell>
          <cell r="M204">
            <v>0.76101298148542296</v>
          </cell>
          <cell r="N204">
            <v>6.9690000000000003</v>
          </cell>
          <cell r="O204" t="str">
            <v>No</v>
          </cell>
          <cell r="Q204">
            <v>403.6</v>
          </cell>
          <cell r="R204">
            <v>0.85890615024473305</v>
          </cell>
          <cell r="S204">
            <v>29.89</v>
          </cell>
          <cell r="T204" t="str">
            <v>No</v>
          </cell>
          <cell r="V204">
            <v>395.6</v>
          </cell>
          <cell r="W204">
            <v>0.84188125133006997</v>
          </cell>
          <cell r="X204">
            <v>24.33</v>
          </cell>
          <cell r="Y204" t="str">
            <v>No</v>
          </cell>
          <cell r="AA204">
            <v>422.3</v>
          </cell>
          <cell r="AB204">
            <v>0.89870185145775705</v>
          </cell>
          <cell r="AC204">
            <v>69.98</v>
          </cell>
          <cell r="AD204" t="str">
            <v>No</v>
          </cell>
          <cell r="AF204">
            <v>417.4</v>
          </cell>
          <cell r="AG204">
            <v>0.88827410087252601</v>
          </cell>
          <cell r="AH204">
            <v>56.45</v>
          </cell>
          <cell r="AI204" t="str">
            <v>No</v>
          </cell>
        </row>
        <row r="205">
          <cell r="A205" t="str">
            <v>P58C2</v>
          </cell>
          <cell r="B205">
            <v>349.6</v>
          </cell>
          <cell r="C205">
            <v>0.74398808257075999</v>
          </cell>
          <cell r="D205">
            <v>5.3310000000000004</v>
          </cell>
          <cell r="E205" t="str">
            <v>No</v>
          </cell>
          <cell r="G205">
            <v>327.10000000000002</v>
          </cell>
          <cell r="H205">
            <v>0.69610555437327104</v>
          </cell>
          <cell r="I205">
            <v>2.3759999999999999</v>
          </cell>
          <cell r="J205" t="str">
            <v>Yes</v>
          </cell>
          <cell r="L205">
            <v>313.60000000000002</v>
          </cell>
          <cell r="M205">
            <v>0.66737603745477803</v>
          </cell>
          <cell r="N205">
            <v>1.109</v>
          </cell>
          <cell r="O205" t="str">
            <v>Yes</v>
          </cell>
          <cell r="Q205">
            <v>322.39999999999998</v>
          </cell>
          <cell r="R205">
            <v>0.68610342626090703</v>
          </cell>
          <cell r="S205">
            <v>2.34</v>
          </cell>
          <cell r="T205" t="str">
            <v>Yes</v>
          </cell>
          <cell r="V205">
            <v>375.6</v>
          </cell>
          <cell r="W205">
            <v>0.79931900404341405</v>
          </cell>
          <cell r="X205">
            <v>11.28</v>
          </cell>
          <cell r="Y205" t="str">
            <v>No</v>
          </cell>
          <cell r="AA205">
            <v>422.9</v>
          </cell>
          <cell r="AB205">
            <v>0.89997871887635705</v>
          </cell>
          <cell r="AC205">
            <v>80.510000000000005</v>
          </cell>
          <cell r="AD205" t="str">
            <v>No</v>
          </cell>
          <cell r="AF205">
            <v>428.2</v>
          </cell>
          <cell r="AG205">
            <v>0.91125771440732095</v>
          </cell>
          <cell r="AH205">
            <v>89.64</v>
          </cell>
          <cell r="AI205" t="str">
            <v>No</v>
          </cell>
        </row>
        <row r="206">
          <cell r="A206" t="str">
            <v>P58C3</v>
          </cell>
          <cell r="B206">
            <v>366.2</v>
          </cell>
          <cell r="C206">
            <v>0.77931474781868504</v>
          </cell>
          <cell r="D206">
            <v>8.3659999999999997</v>
          </cell>
          <cell r="E206" t="str">
            <v>No</v>
          </cell>
          <cell r="G206">
            <v>353.5</v>
          </cell>
          <cell r="H206">
            <v>0.75228772079165795</v>
          </cell>
          <cell r="I206">
            <v>5.8410000000000002</v>
          </cell>
          <cell r="J206" t="str">
            <v>No</v>
          </cell>
          <cell r="L206">
            <v>347.2</v>
          </cell>
          <cell r="M206">
            <v>0.73888061289636098</v>
          </cell>
          <cell r="N206">
            <v>4.8899999999999997</v>
          </cell>
          <cell r="O206" t="str">
            <v>No</v>
          </cell>
          <cell r="Q206">
            <v>336</v>
          </cell>
          <cell r="R206">
            <v>0.71504575441583296</v>
          </cell>
          <cell r="S206">
            <v>3.17</v>
          </cell>
          <cell r="T206" t="str">
            <v>No</v>
          </cell>
          <cell r="V206">
            <v>412.3</v>
          </cell>
          <cell r="W206">
            <v>0.87742072781442904</v>
          </cell>
          <cell r="X206">
            <v>50.36</v>
          </cell>
          <cell r="Y206" t="str">
            <v>No</v>
          </cell>
          <cell r="AA206">
            <v>417.6</v>
          </cell>
          <cell r="AB206">
            <v>0.88869972334539304</v>
          </cell>
          <cell r="AC206">
            <v>57.74</v>
          </cell>
          <cell r="AD206" t="str">
            <v>No</v>
          </cell>
          <cell r="AF206">
            <v>403.5</v>
          </cell>
          <cell r="AG206">
            <v>0.85869333900830003</v>
          </cell>
          <cell r="AH206">
            <v>34.409999999999997</v>
          </cell>
          <cell r="AI206" t="str">
            <v>No</v>
          </cell>
        </row>
        <row r="207">
          <cell r="A207" t="str">
            <v>P58C4</v>
          </cell>
          <cell r="B207">
            <v>372.2</v>
          </cell>
          <cell r="C207">
            <v>0.79208342200468196</v>
          </cell>
          <cell r="D207">
            <v>10.25</v>
          </cell>
          <cell r="E207" t="str">
            <v>No</v>
          </cell>
          <cell r="G207">
            <v>329.7</v>
          </cell>
          <cell r="H207">
            <v>0.70163864652053598</v>
          </cell>
          <cell r="I207">
            <v>2.8660000000000001</v>
          </cell>
          <cell r="J207" t="str">
            <v>No</v>
          </cell>
          <cell r="L207">
            <v>316.89999999999998</v>
          </cell>
          <cell r="M207">
            <v>0.67439880825707599</v>
          </cell>
          <cell r="N207">
            <v>1.587</v>
          </cell>
          <cell r="O207" t="str">
            <v>Yes</v>
          </cell>
          <cell r="Q207">
            <v>342.5</v>
          </cell>
          <cell r="R207">
            <v>0.72887848478399697</v>
          </cell>
          <cell r="S207">
            <v>4.55</v>
          </cell>
          <cell r="T207" t="str">
            <v>No</v>
          </cell>
          <cell r="V207">
            <v>391.3</v>
          </cell>
          <cell r="W207">
            <v>0.83273036816343904</v>
          </cell>
          <cell r="X207">
            <v>18.940000000000001</v>
          </cell>
          <cell r="Y207" t="str">
            <v>No</v>
          </cell>
          <cell r="AA207">
            <v>407.4</v>
          </cell>
          <cell r="AB207">
            <v>0.86699297722919799</v>
          </cell>
          <cell r="AC207">
            <v>36.68</v>
          </cell>
          <cell r="AD207" t="str">
            <v>No</v>
          </cell>
          <cell r="AF207">
            <v>423</v>
          </cell>
          <cell r="AG207">
            <v>0.90019153011278996</v>
          </cell>
          <cell r="AH207">
            <v>91.01</v>
          </cell>
          <cell r="AI207" t="str">
            <v>No</v>
          </cell>
        </row>
        <row r="208">
          <cell r="A208" t="str">
            <v>P58C5</v>
          </cell>
          <cell r="B208">
            <v>363.1</v>
          </cell>
          <cell r="C208">
            <v>0.772717599489253</v>
          </cell>
          <cell r="D208">
            <v>7.3680000000000003</v>
          </cell>
          <cell r="E208" t="str">
            <v>No</v>
          </cell>
          <cell r="G208">
            <v>362</v>
          </cell>
          <cell r="H208">
            <v>0.77037667588848702</v>
          </cell>
          <cell r="I208">
            <v>6.98</v>
          </cell>
          <cell r="J208" t="str">
            <v>No</v>
          </cell>
          <cell r="L208">
            <v>374.3</v>
          </cell>
          <cell r="M208">
            <v>0.79655245796978102</v>
          </cell>
          <cell r="N208">
            <v>10.94</v>
          </cell>
          <cell r="O208" t="str">
            <v>No</v>
          </cell>
          <cell r="Q208">
            <v>311.60000000000002</v>
          </cell>
          <cell r="R208">
            <v>0.66311981272611198</v>
          </cell>
          <cell r="S208">
            <v>1.111</v>
          </cell>
          <cell r="T208" t="str">
            <v>Yes</v>
          </cell>
          <cell r="V208">
            <v>419.8</v>
          </cell>
          <cell r="W208">
            <v>0.89338157054692502</v>
          </cell>
          <cell r="X208">
            <v>73.34</v>
          </cell>
          <cell r="Y208" t="str">
            <v>No</v>
          </cell>
          <cell r="AA208">
            <v>392.2</v>
          </cell>
          <cell r="AB208">
            <v>0.83464566929133899</v>
          </cell>
          <cell r="AC208">
            <v>21.99</v>
          </cell>
          <cell r="AD208" t="str">
            <v>No</v>
          </cell>
          <cell r="AF208">
            <v>416.9</v>
          </cell>
          <cell r="AG208">
            <v>0.88721004469036002</v>
          </cell>
          <cell r="AH208">
            <v>66.25</v>
          </cell>
          <cell r="AI208" t="str">
            <v>No</v>
          </cell>
        </row>
        <row r="209">
          <cell r="A209" t="str">
            <v>P59C1</v>
          </cell>
          <cell r="B209">
            <v>333.7</v>
          </cell>
          <cell r="C209">
            <v>0.71015109597786796</v>
          </cell>
          <cell r="D209">
            <v>3.056</v>
          </cell>
          <cell r="E209" t="str">
            <v>No</v>
          </cell>
          <cell r="G209">
            <v>371.2</v>
          </cell>
          <cell r="H209">
            <v>0.78995530964034899</v>
          </cell>
          <cell r="I209">
            <v>10.32</v>
          </cell>
          <cell r="J209" t="str">
            <v>No</v>
          </cell>
          <cell r="L209">
            <v>389.2</v>
          </cell>
          <cell r="M209">
            <v>0.82826133219833997</v>
          </cell>
          <cell r="N209">
            <v>15.66</v>
          </cell>
          <cell r="O209" t="str">
            <v>No</v>
          </cell>
          <cell r="Q209">
            <v>395.4</v>
          </cell>
          <cell r="R209">
            <v>0.84145562885720404</v>
          </cell>
          <cell r="S209">
            <v>21.11</v>
          </cell>
          <cell r="T209" t="str">
            <v>No</v>
          </cell>
          <cell r="V209">
            <v>409.8</v>
          </cell>
          <cell r="W209">
            <v>0.872100446903597</v>
          </cell>
          <cell r="X209">
            <v>44.21</v>
          </cell>
          <cell r="Y209" t="str">
            <v>No</v>
          </cell>
          <cell r="AA209">
            <v>422.2</v>
          </cell>
          <cell r="AB209">
            <v>0.89848904022132403</v>
          </cell>
          <cell r="AC209">
            <v>102.3</v>
          </cell>
          <cell r="AD209" t="str">
            <v>No</v>
          </cell>
          <cell r="AF209">
            <v>404.8</v>
          </cell>
          <cell r="AG209">
            <v>0.86145988508193205</v>
          </cell>
          <cell r="AH209">
            <v>34.520000000000003</v>
          </cell>
          <cell r="AI209" t="str">
            <v>No</v>
          </cell>
        </row>
        <row r="210">
          <cell r="A210" t="str">
            <v>P59C2</v>
          </cell>
          <cell r="B210">
            <v>338.7</v>
          </cell>
          <cell r="C210">
            <v>0.72079165779953203</v>
          </cell>
          <cell r="D210">
            <v>4.04</v>
          </cell>
          <cell r="E210" t="str">
            <v>No</v>
          </cell>
          <cell r="G210">
            <v>374.4</v>
          </cell>
          <cell r="H210">
            <v>0.79676526920621404</v>
          </cell>
          <cell r="I210">
            <v>11.21</v>
          </cell>
          <cell r="J210" t="str">
            <v>No</v>
          </cell>
          <cell r="L210">
            <v>368</v>
          </cell>
          <cell r="M210">
            <v>0.78314535007448405</v>
          </cell>
          <cell r="N210">
            <v>10.33</v>
          </cell>
          <cell r="O210" t="str">
            <v>No</v>
          </cell>
          <cell r="Q210">
            <v>415.5</v>
          </cell>
          <cell r="R210">
            <v>0.88423068738029398</v>
          </cell>
          <cell r="S210">
            <v>59.23</v>
          </cell>
          <cell r="T210" t="str">
            <v>No</v>
          </cell>
          <cell r="V210">
            <v>424.5</v>
          </cell>
          <cell r="W210">
            <v>0.90338369865928903</v>
          </cell>
          <cell r="X210">
            <v>76.22</v>
          </cell>
          <cell r="Y210" t="str">
            <v>No</v>
          </cell>
          <cell r="AA210">
            <v>424.7</v>
          </cell>
          <cell r="AB210">
            <v>0.90380932113215595</v>
          </cell>
          <cell r="AC210">
            <v>87.67</v>
          </cell>
          <cell r="AD210" t="str">
            <v>No</v>
          </cell>
          <cell r="AF210">
            <v>409.8</v>
          </cell>
          <cell r="AG210">
            <v>0.872100446903597</v>
          </cell>
          <cell r="AH210">
            <v>36.700000000000003</v>
          </cell>
          <cell r="AI210" t="str">
            <v>No</v>
          </cell>
        </row>
        <row r="211">
          <cell r="A211" t="str">
            <v>P59C3</v>
          </cell>
          <cell r="B211">
            <v>322.2</v>
          </cell>
          <cell r="C211">
            <v>0.68567780378804</v>
          </cell>
          <cell r="D211">
            <v>2.0880000000000001</v>
          </cell>
          <cell r="E211" t="str">
            <v>Yes</v>
          </cell>
          <cell r="G211">
            <v>325</v>
          </cell>
          <cell r="H211">
            <v>0.69163651840817197</v>
          </cell>
          <cell r="I211">
            <v>2.4510000000000001</v>
          </cell>
          <cell r="J211" t="str">
            <v>Yes</v>
          </cell>
          <cell r="L211">
            <v>349</v>
          </cell>
          <cell r="M211">
            <v>0.74271121515215999</v>
          </cell>
          <cell r="N211">
            <v>4.984</v>
          </cell>
          <cell r="O211" t="str">
            <v>No</v>
          </cell>
          <cell r="Q211">
            <v>381.5</v>
          </cell>
          <cell r="R211">
            <v>0.81187486699297695</v>
          </cell>
          <cell r="S211">
            <v>13.24</v>
          </cell>
          <cell r="T211" t="str">
            <v>No</v>
          </cell>
          <cell r="V211">
            <v>402</v>
          </cell>
          <cell r="W211">
            <v>0.85550117046179996</v>
          </cell>
          <cell r="X211">
            <v>31.92</v>
          </cell>
          <cell r="Y211" t="str">
            <v>No</v>
          </cell>
          <cell r="AA211">
            <v>413</v>
          </cell>
          <cell r="AB211">
            <v>0.87891040646946195</v>
          </cell>
          <cell r="AC211">
            <v>55.5</v>
          </cell>
          <cell r="AD211" t="str">
            <v>No</v>
          </cell>
          <cell r="AF211">
            <v>405.7</v>
          </cell>
          <cell r="AG211">
            <v>0.863375186209832</v>
          </cell>
          <cell r="AH211">
            <v>33.44</v>
          </cell>
          <cell r="AI211" t="str">
            <v>No</v>
          </cell>
        </row>
        <row r="212">
          <cell r="A212" t="str">
            <v>P59C4</v>
          </cell>
          <cell r="B212">
            <v>327.5</v>
          </cell>
          <cell r="C212">
            <v>0.69695679931900401</v>
          </cell>
          <cell r="D212">
            <v>2.34</v>
          </cell>
          <cell r="E212" t="str">
            <v>Yes</v>
          </cell>
          <cell r="G212">
            <v>326.8</v>
          </cell>
          <cell r="H212">
            <v>0.69546712066397098</v>
          </cell>
          <cell r="I212">
            <v>2.4590000000000001</v>
          </cell>
          <cell r="J212" t="str">
            <v>Yes</v>
          </cell>
          <cell r="L212">
            <v>329.5</v>
          </cell>
          <cell r="M212">
            <v>0.70121302404767005</v>
          </cell>
          <cell r="N212">
            <v>2.448</v>
          </cell>
          <cell r="O212" t="str">
            <v>No</v>
          </cell>
          <cell r="Q212">
            <v>342.3</v>
          </cell>
          <cell r="R212">
            <v>0.72845286231113004</v>
          </cell>
          <cell r="S212">
            <v>3.8290000000000002</v>
          </cell>
          <cell r="T212" t="str">
            <v>No</v>
          </cell>
          <cell r="V212">
            <v>392.3</v>
          </cell>
          <cell r="W212">
            <v>0.83485848052777201</v>
          </cell>
          <cell r="X212">
            <v>20.9</v>
          </cell>
          <cell r="Y212" t="str">
            <v>No</v>
          </cell>
          <cell r="AA212">
            <v>422.5</v>
          </cell>
          <cell r="AB212">
            <v>0.89912747393062398</v>
          </cell>
          <cell r="AC212">
            <v>69.23</v>
          </cell>
          <cell r="AD212" t="str">
            <v>No</v>
          </cell>
          <cell r="AF212">
            <v>392.2</v>
          </cell>
          <cell r="AG212">
            <v>0.83464566929133899</v>
          </cell>
          <cell r="AH212">
            <v>20.52</v>
          </cell>
          <cell r="AI212" t="str">
            <v>No</v>
          </cell>
        </row>
        <row r="213">
          <cell r="A213" t="str">
            <v>P59C5</v>
          </cell>
          <cell r="B213">
            <v>316.2</v>
          </cell>
          <cell r="C213">
            <v>0.67290912960204297</v>
          </cell>
          <cell r="D213">
            <v>1.502</v>
          </cell>
          <cell r="E213" t="str">
            <v>Yes</v>
          </cell>
          <cell r="G213">
            <v>325.5</v>
          </cell>
          <cell r="H213">
            <v>0.69270057459033796</v>
          </cell>
          <cell r="I213">
            <v>2.1379999999999999</v>
          </cell>
          <cell r="J213" t="str">
            <v>Yes</v>
          </cell>
          <cell r="L213">
            <v>322.89999999999998</v>
          </cell>
          <cell r="M213">
            <v>0.68716748244307302</v>
          </cell>
          <cell r="N213">
            <v>2.0099999999999998</v>
          </cell>
          <cell r="O213" t="str">
            <v>Yes</v>
          </cell>
          <cell r="Q213">
            <v>332.1</v>
          </cell>
          <cell r="R213">
            <v>0.70674611619493499</v>
          </cell>
          <cell r="S213">
            <v>3.109</v>
          </cell>
          <cell r="T213" t="str">
            <v>No</v>
          </cell>
          <cell r="V213">
            <v>383.4</v>
          </cell>
          <cell r="W213">
            <v>0.81591828048520998</v>
          </cell>
          <cell r="X213">
            <v>13.21</v>
          </cell>
          <cell r="Y213" t="str">
            <v>No</v>
          </cell>
          <cell r="AA213">
            <v>425.2</v>
          </cell>
          <cell r="AB213">
            <v>0.90487337731432205</v>
          </cell>
          <cell r="AC213">
            <v>103.5</v>
          </cell>
          <cell r="AD213" t="str">
            <v>No</v>
          </cell>
          <cell r="AF213">
            <v>409.3</v>
          </cell>
          <cell r="AG213">
            <v>0.87103639072143002</v>
          </cell>
          <cell r="AH213">
            <v>45.37</v>
          </cell>
          <cell r="AI213" t="str">
            <v>No</v>
          </cell>
        </row>
        <row r="214">
          <cell r="A214" t="str">
            <v>P60C1</v>
          </cell>
          <cell r="B214">
            <v>394.9</v>
          </cell>
          <cell r="C214">
            <v>0.84039157267503695</v>
          </cell>
          <cell r="D214">
            <v>23.49</v>
          </cell>
          <cell r="E214" t="str">
            <v>No</v>
          </cell>
          <cell r="G214">
            <v>389.3</v>
          </cell>
          <cell r="H214">
            <v>0.82847414343477299</v>
          </cell>
          <cell r="I214">
            <v>20.88</v>
          </cell>
          <cell r="J214" t="str">
            <v>No</v>
          </cell>
          <cell r="L214">
            <v>368.9</v>
          </cell>
          <cell r="M214">
            <v>0.785060651202383</v>
          </cell>
          <cell r="N214">
            <v>9.7319999999999993</v>
          </cell>
          <cell r="O214" t="str">
            <v>No</v>
          </cell>
          <cell r="Q214">
            <v>386.5</v>
          </cell>
          <cell r="R214">
            <v>0.82251542881464101</v>
          </cell>
          <cell r="S214">
            <v>15.33</v>
          </cell>
          <cell r="T214" t="str">
            <v>No</v>
          </cell>
          <cell r="V214">
            <v>389.1</v>
          </cell>
          <cell r="W214">
            <v>0.82804852096190695</v>
          </cell>
          <cell r="X214">
            <v>20.56</v>
          </cell>
          <cell r="Y214" t="str">
            <v>No</v>
          </cell>
          <cell r="AA214">
            <v>425</v>
          </cell>
          <cell r="AB214">
            <v>0.90444775484145601</v>
          </cell>
          <cell r="AC214">
            <v>87.41</v>
          </cell>
          <cell r="AD214" t="str">
            <v>No</v>
          </cell>
          <cell r="AF214">
            <v>400.2</v>
          </cell>
          <cell r="AG214">
            <v>0.85167056820600096</v>
          </cell>
          <cell r="AH214">
            <v>28.81</v>
          </cell>
          <cell r="AI214" t="str">
            <v>No</v>
          </cell>
        </row>
        <row r="215">
          <cell r="A215" t="str">
            <v>P60C2</v>
          </cell>
          <cell r="B215">
            <v>395.6</v>
          </cell>
          <cell r="C215">
            <v>0.84188125133006997</v>
          </cell>
          <cell r="D215">
            <v>19.91</v>
          </cell>
          <cell r="E215" t="str">
            <v>No</v>
          </cell>
          <cell r="G215">
            <v>324.7</v>
          </cell>
          <cell r="H215">
            <v>0.69099808469887203</v>
          </cell>
          <cell r="I215">
            <v>2.109</v>
          </cell>
          <cell r="J215" t="str">
            <v>Yes</v>
          </cell>
          <cell r="L215">
            <v>326.60000000000002</v>
          </cell>
          <cell r="M215">
            <v>0.69504149819110495</v>
          </cell>
          <cell r="N215">
            <v>2.3380000000000001</v>
          </cell>
          <cell r="O215" t="str">
            <v>Yes</v>
          </cell>
          <cell r="Q215">
            <v>321.5</v>
          </cell>
          <cell r="R215">
            <v>0.68418812513300697</v>
          </cell>
          <cell r="S215">
            <v>1.81</v>
          </cell>
          <cell r="T215" t="str">
            <v>Yes</v>
          </cell>
          <cell r="V215">
            <v>404.9</v>
          </cell>
          <cell r="W215">
            <v>0.86167269631836596</v>
          </cell>
          <cell r="X215">
            <v>36.71</v>
          </cell>
          <cell r="Y215" t="str">
            <v>No</v>
          </cell>
          <cell r="AA215">
            <v>413.1</v>
          </cell>
          <cell r="AB215">
            <v>0.87912321770589497</v>
          </cell>
          <cell r="AC215">
            <v>58.85</v>
          </cell>
          <cell r="AD215" t="str">
            <v>No</v>
          </cell>
          <cell r="AF215">
            <v>411.3</v>
          </cell>
          <cell r="AG215">
            <v>0.87529261545009596</v>
          </cell>
          <cell r="AH215">
            <v>45.32</v>
          </cell>
          <cell r="AI215" t="str">
            <v>No</v>
          </cell>
        </row>
        <row r="216">
          <cell r="A216" t="str">
            <v>P60C3</v>
          </cell>
          <cell r="B216">
            <v>397</v>
          </cell>
          <cell r="C216">
            <v>0.84486060864013601</v>
          </cell>
          <cell r="D216">
            <v>23.04</v>
          </cell>
          <cell r="E216" t="str">
            <v>No</v>
          </cell>
          <cell r="G216">
            <v>393.4</v>
          </cell>
          <cell r="H216">
            <v>0.83719940412853799</v>
          </cell>
          <cell r="I216">
            <v>20.97</v>
          </cell>
          <cell r="J216" t="str">
            <v>No</v>
          </cell>
          <cell r="L216">
            <v>388.3</v>
          </cell>
          <cell r="M216">
            <v>0.82634603107044102</v>
          </cell>
          <cell r="N216">
            <v>15.9</v>
          </cell>
          <cell r="O216" t="str">
            <v>No</v>
          </cell>
          <cell r="Q216">
            <v>379.9</v>
          </cell>
          <cell r="R216">
            <v>0.80846988721004498</v>
          </cell>
          <cell r="S216">
            <v>14.56</v>
          </cell>
          <cell r="T216" t="str">
            <v>No</v>
          </cell>
          <cell r="V216">
            <v>411</v>
          </cell>
          <cell r="W216">
            <v>0.87465418174079601</v>
          </cell>
          <cell r="X216">
            <v>49.34</v>
          </cell>
          <cell r="Y216" t="str">
            <v>No</v>
          </cell>
          <cell r="AA216">
            <v>417.5</v>
          </cell>
          <cell r="AB216">
            <v>0.88848691210895903</v>
          </cell>
          <cell r="AC216">
            <v>63.33</v>
          </cell>
          <cell r="AD216" t="str">
            <v>No</v>
          </cell>
          <cell r="AF216">
            <v>385.4</v>
          </cell>
          <cell r="AG216">
            <v>0.82017450521387503</v>
          </cell>
          <cell r="AH216">
            <v>17.11</v>
          </cell>
          <cell r="AI216" t="str">
            <v>No</v>
          </cell>
        </row>
        <row r="217">
          <cell r="A217" t="str">
            <v>P61C1</v>
          </cell>
          <cell r="B217">
            <v>324.10000000000002</v>
          </cell>
          <cell r="C217">
            <v>0.68972121728027203</v>
          </cell>
          <cell r="D217">
            <v>2.2109999999999999</v>
          </cell>
          <cell r="E217" t="str">
            <v>Yes</v>
          </cell>
          <cell r="G217">
            <v>330.3</v>
          </cell>
          <cell r="H217">
            <v>0.70291551393913598</v>
          </cell>
          <cell r="I217">
            <v>2.59</v>
          </cell>
          <cell r="J217" t="str">
            <v>No</v>
          </cell>
          <cell r="L217">
            <v>337.5</v>
          </cell>
          <cell r="M217">
            <v>0.71823792296233202</v>
          </cell>
          <cell r="N217">
            <v>3.2290000000000001</v>
          </cell>
          <cell r="O217" t="str">
            <v>No</v>
          </cell>
          <cell r="Q217">
            <v>324.10000000000002</v>
          </cell>
          <cell r="R217">
            <v>0.68972121728027203</v>
          </cell>
          <cell r="S217">
            <v>2.17</v>
          </cell>
          <cell r="T217" t="str">
            <v>Yes</v>
          </cell>
          <cell r="V217">
            <v>407.9</v>
          </cell>
          <cell r="W217">
            <v>0.86805703341136398</v>
          </cell>
          <cell r="X217">
            <v>37.89</v>
          </cell>
          <cell r="Y217" t="str">
            <v>No</v>
          </cell>
          <cell r="AA217">
            <v>418.4</v>
          </cell>
          <cell r="AB217">
            <v>0.89040221323685897</v>
          </cell>
          <cell r="AC217">
            <v>57.49</v>
          </cell>
          <cell r="AD217" t="str">
            <v>No</v>
          </cell>
          <cell r="AF217">
            <v>373.7</v>
          </cell>
          <cell r="AG217">
            <v>0.79527559055118102</v>
          </cell>
          <cell r="AH217">
            <v>11.09</v>
          </cell>
          <cell r="AI217" t="str">
            <v>No</v>
          </cell>
        </row>
        <row r="218">
          <cell r="A218" t="str">
            <v>P61C2</v>
          </cell>
          <cell r="B218">
            <v>336.7</v>
          </cell>
          <cell r="C218">
            <v>0.71653543307086598</v>
          </cell>
          <cell r="D218">
            <v>3.569</v>
          </cell>
          <cell r="E218" t="str">
            <v>No</v>
          </cell>
          <cell r="G218">
            <v>325.3</v>
          </cell>
          <cell r="H218">
            <v>0.69227495211747203</v>
          </cell>
          <cell r="I218">
            <v>2.2200000000000002</v>
          </cell>
          <cell r="J218" t="str">
            <v>Yes</v>
          </cell>
          <cell r="L218">
            <v>312.60000000000002</v>
          </cell>
          <cell r="M218">
            <v>0.66524792509044495</v>
          </cell>
          <cell r="N218">
            <v>1.341</v>
          </cell>
          <cell r="O218" t="str">
            <v>Yes</v>
          </cell>
          <cell r="Q218">
            <v>387</v>
          </cell>
          <cell r="R218">
            <v>0.823579484996808</v>
          </cell>
          <cell r="S218">
            <v>16.329999999999998</v>
          </cell>
          <cell r="T218" t="str">
            <v>No</v>
          </cell>
          <cell r="V218">
            <v>396.1</v>
          </cell>
          <cell r="W218">
            <v>0.84294530751223695</v>
          </cell>
          <cell r="X218">
            <v>22.54</v>
          </cell>
          <cell r="Y218" t="str">
            <v>No</v>
          </cell>
          <cell r="AA218">
            <v>396.5</v>
          </cell>
          <cell r="AB218">
            <v>0.84379655245797003</v>
          </cell>
          <cell r="AC218">
            <v>22.48</v>
          </cell>
          <cell r="AD218" t="str">
            <v>No</v>
          </cell>
          <cell r="AF218">
            <v>401</v>
          </cell>
          <cell r="AG218">
            <v>0.853373058097468</v>
          </cell>
          <cell r="AH218">
            <v>28.55</v>
          </cell>
          <cell r="AI218" t="str">
            <v>No</v>
          </cell>
        </row>
        <row r="219">
          <cell r="A219" t="str">
            <v>P61C3</v>
          </cell>
          <cell r="B219">
            <v>398.5</v>
          </cell>
          <cell r="C219">
            <v>0.84805277718663596</v>
          </cell>
          <cell r="D219">
            <v>24.52</v>
          </cell>
          <cell r="E219" t="str">
            <v>No</v>
          </cell>
          <cell r="G219">
            <v>361.9</v>
          </cell>
          <cell r="H219">
            <v>0.770163864652054</v>
          </cell>
          <cell r="I219">
            <v>7.8929999999999998</v>
          </cell>
          <cell r="J219" t="str">
            <v>No</v>
          </cell>
          <cell r="L219">
            <v>397.2</v>
          </cell>
          <cell r="M219">
            <v>0.84528623111300305</v>
          </cell>
          <cell r="N219">
            <v>26.74</v>
          </cell>
          <cell r="O219" t="str">
            <v>No</v>
          </cell>
          <cell r="Q219">
            <v>397.4</v>
          </cell>
          <cell r="R219">
            <v>0.84571185358586898</v>
          </cell>
          <cell r="S219">
            <v>25.13</v>
          </cell>
          <cell r="T219" t="str">
            <v>No</v>
          </cell>
          <cell r="V219">
            <v>383.7</v>
          </cell>
          <cell r="W219">
            <v>0.81655671419450904</v>
          </cell>
          <cell r="X219">
            <v>15.65</v>
          </cell>
          <cell r="Y219" t="str">
            <v>No</v>
          </cell>
          <cell r="AA219">
            <v>405.1</v>
          </cell>
          <cell r="AB219">
            <v>0.862098318791232</v>
          </cell>
          <cell r="AC219">
            <v>37.85</v>
          </cell>
          <cell r="AD219" t="str">
            <v>No</v>
          </cell>
          <cell r="AF219">
            <v>390.2</v>
          </cell>
          <cell r="AG219">
            <v>0.83038944456267305</v>
          </cell>
          <cell r="AH219">
            <v>17.93</v>
          </cell>
          <cell r="AI219" t="str">
            <v>No</v>
          </cell>
        </row>
        <row r="220">
          <cell r="A220" t="str">
            <v>P62C1</v>
          </cell>
          <cell r="B220">
            <v>320</v>
          </cell>
          <cell r="C220">
            <v>0.68099595658650802</v>
          </cell>
          <cell r="D220">
            <v>1.978</v>
          </cell>
          <cell r="E220" t="str">
            <v>Yes</v>
          </cell>
          <cell r="G220">
            <v>326.10000000000002</v>
          </cell>
          <cell r="H220">
            <v>0.69397744200893796</v>
          </cell>
          <cell r="I220">
            <v>2.258</v>
          </cell>
          <cell r="J220" t="str">
            <v>Yes</v>
          </cell>
          <cell r="L220">
            <v>318.5</v>
          </cell>
          <cell r="M220">
            <v>0.67780378804000896</v>
          </cell>
          <cell r="N220">
            <v>1.98</v>
          </cell>
          <cell r="O220" t="str">
            <v>Yes</v>
          </cell>
          <cell r="Q220">
            <v>329.1</v>
          </cell>
          <cell r="R220">
            <v>0.70036177910193698</v>
          </cell>
          <cell r="S220">
            <v>2.4580000000000002</v>
          </cell>
          <cell r="T220" t="str">
            <v>No</v>
          </cell>
          <cell r="V220">
            <v>313.3</v>
          </cell>
          <cell r="W220">
            <v>0.66673760374547797</v>
          </cell>
          <cell r="X220">
            <v>1.2490000000000001</v>
          </cell>
          <cell r="Y220" t="str">
            <v>Yes</v>
          </cell>
          <cell r="AA220">
            <v>412.2</v>
          </cell>
          <cell r="AB220">
            <v>0.87720791657799502</v>
          </cell>
          <cell r="AC220">
            <v>45.6</v>
          </cell>
          <cell r="AD220" t="str">
            <v>No</v>
          </cell>
          <cell r="AF220">
            <v>416.7</v>
          </cell>
          <cell r="AG220">
            <v>0.88678442221749298</v>
          </cell>
          <cell r="AH220">
            <v>65.23</v>
          </cell>
          <cell r="AI220" t="str">
            <v>No</v>
          </cell>
        </row>
        <row r="221">
          <cell r="A221" t="str">
            <v>P62C2</v>
          </cell>
          <cell r="B221">
            <v>312</v>
          </cell>
          <cell r="C221">
            <v>0.66397105767184506</v>
          </cell>
          <cell r="D221">
            <v>0.95269999999999999</v>
          </cell>
          <cell r="E221" t="str">
            <v>Yes</v>
          </cell>
          <cell r="G221">
            <v>320.7</v>
          </cell>
          <cell r="H221">
            <v>0.68248563524154104</v>
          </cell>
          <cell r="I221">
            <v>1.9079999999999999</v>
          </cell>
          <cell r="J221" t="str">
            <v>Yes</v>
          </cell>
          <cell r="L221">
            <v>331.2</v>
          </cell>
          <cell r="M221">
            <v>0.70483081506703604</v>
          </cell>
          <cell r="N221">
            <v>2.87</v>
          </cell>
          <cell r="O221" t="str">
            <v>No</v>
          </cell>
          <cell r="Q221">
            <v>316.2</v>
          </cell>
          <cell r="R221">
            <v>0.67290912960204297</v>
          </cell>
          <cell r="S221">
            <v>1.5589999999999999</v>
          </cell>
          <cell r="T221" t="str">
            <v>Yes</v>
          </cell>
          <cell r="V221">
            <v>315</v>
          </cell>
          <cell r="W221">
            <v>0.67035539476484396</v>
          </cell>
          <cell r="X221">
            <v>1.5529999999999999</v>
          </cell>
          <cell r="Y221" t="str">
            <v>Yes</v>
          </cell>
          <cell r="AA221">
            <v>394.3</v>
          </cell>
          <cell r="AB221">
            <v>0.83911470525643805</v>
          </cell>
          <cell r="AC221">
            <v>22.35</v>
          </cell>
          <cell r="AD221" t="str">
            <v>No</v>
          </cell>
          <cell r="AF221">
            <v>412.8</v>
          </cell>
          <cell r="AG221">
            <v>0.87848478399659502</v>
          </cell>
          <cell r="AH221">
            <v>49.42</v>
          </cell>
          <cell r="AI221" t="str">
            <v>No</v>
          </cell>
        </row>
        <row r="222">
          <cell r="A222" t="str">
            <v>P62C3</v>
          </cell>
          <cell r="B222">
            <v>322.10000000000002</v>
          </cell>
          <cell r="C222">
            <v>0.68546499255160698</v>
          </cell>
          <cell r="D222">
            <v>1.83</v>
          </cell>
          <cell r="E222" t="str">
            <v>Yes</v>
          </cell>
          <cell r="G222">
            <v>344.5</v>
          </cell>
          <cell r="H222">
            <v>0.73313470951266202</v>
          </cell>
          <cell r="I222">
            <v>4.5609999999999999</v>
          </cell>
          <cell r="J222" t="str">
            <v>No</v>
          </cell>
          <cell r="L222">
            <v>360.1</v>
          </cell>
          <cell r="M222">
            <v>0.76633326239625499</v>
          </cell>
          <cell r="N222">
            <v>6.8220000000000001</v>
          </cell>
          <cell r="O222" t="str">
            <v>No</v>
          </cell>
          <cell r="Q222">
            <v>326.89999999999998</v>
          </cell>
          <cell r="R222">
            <v>0.695679931900404</v>
          </cell>
          <cell r="S222">
            <v>2.2120000000000002</v>
          </cell>
          <cell r="T222" t="str">
            <v>No</v>
          </cell>
          <cell r="V222">
            <v>324.8</v>
          </cell>
          <cell r="W222">
            <v>0.69121089593530505</v>
          </cell>
          <cell r="X222">
            <v>2.2450000000000001</v>
          </cell>
          <cell r="Y222" t="str">
            <v>No</v>
          </cell>
          <cell r="AA222">
            <v>403.9</v>
          </cell>
          <cell r="AB222">
            <v>0.85954458395403299</v>
          </cell>
          <cell r="AC222">
            <v>31.56</v>
          </cell>
          <cell r="AD222" t="str">
            <v>No</v>
          </cell>
          <cell r="AF222">
            <v>411.4</v>
          </cell>
          <cell r="AG222">
            <v>0.87550542668652898</v>
          </cell>
          <cell r="AH222">
            <v>41.32</v>
          </cell>
          <cell r="AI222" t="str">
            <v>No</v>
          </cell>
        </row>
        <row r="223">
          <cell r="A223" t="str">
            <v>P63C1</v>
          </cell>
          <cell r="B223">
            <v>338.3</v>
          </cell>
          <cell r="C223">
            <v>0.71994041285379895</v>
          </cell>
          <cell r="D223">
            <v>3.4020000000000001</v>
          </cell>
          <cell r="E223" t="str">
            <v>No</v>
          </cell>
          <cell r="G223">
            <v>353.6</v>
          </cell>
          <cell r="H223">
            <v>0.75250053202809097</v>
          </cell>
          <cell r="I223">
            <v>5.5609999999999999</v>
          </cell>
          <cell r="J223" t="str">
            <v>No</v>
          </cell>
          <cell r="L223">
            <v>320.5</v>
          </cell>
          <cell r="M223">
            <v>0.68206001276867401</v>
          </cell>
          <cell r="N223">
            <v>1.75</v>
          </cell>
          <cell r="O223" t="str">
            <v>Yes</v>
          </cell>
          <cell r="Q223">
            <v>391.9</v>
          </cell>
          <cell r="R223">
            <v>0.83400723558203904</v>
          </cell>
          <cell r="S223">
            <v>18.12</v>
          </cell>
          <cell r="T223" t="str">
            <v>No</v>
          </cell>
          <cell r="V223">
            <v>400.7</v>
          </cell>
          <cell r="W223">
            <v>0.85273462438816805</v>
          </cell>
          <cell r="X223">
            <v>29.54</v>
          </cell>
          <cell r="Y223" t="str">
            <v>No</v>
          </cell>
          <cell r="AA223">
            <v>344.4</v>
          </cell>
          <cell r="AB223">
            <v>0.732921898276229</v>
          </cell>
          <cell r="AC223">
            <v>4.5529999999999999</v>
          </cell>
          <cell r="AD223" t="str">
            <v>No</v>
          </cell>
          <cell r="AF223">
            <v>389.2</v>
          </cell>
          <cell r="AG223">
            <v>0.82826133219833997</v>
          </cell>
          <cell r="AH223">
            <v>19.559999999999999</v>
          </cell>
          <cell r="AI223" t="str">
            <v>No</v>
          </cell>
        </row>
        <row r="224">
          <cell r="A224" t="str">
            <v>P63C2</v>
          </cell>
          <cell r="B224">
            <v>348.1</v>
          </cell>
          <cell r="C224">
            <v>0.74079591402426104</v>
          </cell>
          <cell r="D224">
            <v>4.8739999999999997</v>
          </cell>
          <cell r="E224" t="str">
            <v>No</v>
          </cell>
          <cell r="G224">
            <v>366.6</v>
          </cell>
          <cell r="H224">
            <v>0.780165992764418</v>
          </cell>
          <cell r="I224">
            <v>8.4429999999999996</v>
          </cell>
          <cell r="J224" t="str">
            <v>No</v>
          </cell>
          <cell r="L224">
            <v>372.2</v>
          </cell>
          <cell r="M224">
            <v>0.79208342200468196</v>
          </cell>
          <cell r="N224">
            <v>10.57</v>
          </cell>
          <cell r="O224" t="str">
            <v>No</v>
          </cell>
          <cell r="Q224">
            <v>387.5</v>
          </cell>
          <cell r="R224">
            <v>0.82464354117897398</v>
          </cell>
          <cell r="S224">
            <v>19.21</v>
          </cell>
          <cell r="T224" t="str">
            <v>No</v>
          </cell>
          <cell r="V224">
            <v>403.1</v>
          </cell>
          <cell r="W224">
            <v>0.85784209406256695</v>
          </cell>
          <cell r="X224">
            <v>31.4</v>
          </cell>
          <cell r="Y224" t="str">
            <v>No</v>
          </cell>
          <cell r="AA224">
            <v>390.7</v>
          </cell>
          <cell r="AB224">
            <v>0.83145350074483904</v>
          </cell>
          <cell r="AC224">
            <v>18.53</v>
          </cell>
          <cell r="AD224" t="str">
            <v>No</v>
          </cell>
          <cell r="AF224">
            <v>402.8</v>
          </cell>
          <cell r="AG224">
            <v>0.85720366035326701</v>
          </cell>
          <cell r="AH224">
            <v>26.65</v>
          </cell>
          <cell r="AI224" t="str">
            <v>No</v>
          </cell>
        </row>
        <row r="225">
          <cell r="A225" t="str">
            <v>P63C3</v>
          </cell>
          <cell r="B225">
            <v>333</v>
          </cell>
          <cell r="C225">
            <v>0.70866141732283505</v>
          </cell>
          <cell r="D225">
            <v>2.85</v>
          </cell>
          <cell r="E225" t="str">
            <v>No</v>
          </cell>
          <cell r="G225">
            <v>354.2</v>
          </cell>
          <cell r="H225">
            <v>0.75377739944669098</v>
          </cell>
          <cell r="I225">
            <v>6.3150000000000004</v>
          </cell>
          <cell r="J225" t="str">
            <v>No</v>
          </cell>
          <cell r="L225">
            <v>335.5</v>
          </cell>
          <cell r="M225">
            <v>0.71398169823366697</v>
          </cell>
          <cell r="N225">
            <v>3.33</v>
          </cell>
          <cell r="O225" t="str">
            <v>No</v>
          </cell>
          <cell r="Q225">
            <v>381.4</v>
          </cell>
          <cell r="R225">
            <v>0.81166205575654404</v>
          </cell>
          <cell r="S225">
            <v>13.47</v>
          </cell>
          <cell r="T225" t="str">
            <v>No</v>
          </cell>
          <cell r="V225">
            <v>389.1</v>
          </cell>
          <cell r="W225">
            <v>0.82804852096190695</v>
          </cell>
          <cell r="X225">
            <v>17.72</v>
          </cell>
          <cell r="Y225" t="str">
            <v>No</v>
          </cell>
          <cell r="AA225">
            <v>396.4</v>
          </cell>
          <cell r="AB225">
            <v>0.84358374122153601</v>
          </cell>
          <cell r="AC225">
            <v>22.79</v>
          </cell>
          <cell r="AD225" t="str">
            <v>No</v>
          </cell>
          <cell r="AF225">
            <v>408</v>
          </cell>
          <cell r="AG225">
            <v>0.868269844647797</v>
          </cell>
          <cell r="AH225">
            <v>33.71</v>
          </cell>
          <cell r="AI225" t="str">
            <v>No</v>
          </cell>
        </row>
        <row r="226">
          <cell r="A226" t="str">
            <v>P64C1</v>
          </cell>
          <cell r="B226">
            <v>312.2</v>
          </cell>
          <cell r="C226">
            <v>0.66439668014471198</v>
          </cell>
          <cell r="D226">
            <v>1.1739999999999999</v>
          </cell>
          <cell r="E226" t="str">
            <v>Yes</v>
          </cell>
          <cell r="G226">
            <v>348.1</v>
          </cell>
          <cell r="H226">
            <v>0.74079591402426104</v>
          </cell>
          <cell r="I226">
            <v>5.3319999999999999</v>
          </cell>
          <cell r="J226" t="str">
            <v>No</v>
          </cell>
          <cell r="L226">
            <v>354.8</v>
          </cell>
          <cell r="M226">
            <v>0.75505426686529098</v>
          </cell>
          <cell r="N226">
            <v>6.4240000000000004</v>
          </cell>
          <cell r="O226" t="str">
            <v>No</v>
          </cell>
          <cell r="Q226">
            <v>378.3</v>
          </cell>
          <cell r="R226">
            <v>0.80506490742711201</v>
          </cell>
          <cell r="S226">
            <v>13.11</v>
          </cell>
          <cell r="T226" t="str">
            <v>No</v>
          </cell>
          <cell r="V226">
            <v>415</v>
          </cell>
          <cell r="W226">
            <v>0.88316663119812699</v>
          </cell>
          <cell r="X226">
            <v>47.84</v>
          </cell>
          <cell r="Y226" t="str">
            <v>No</v>
          </cell>
          <cell r="AA226">
            <v>406.7</v>
          </cell>
          <cell r="AB226">
            <v>0.86550329857416497</v>
          </cell>
          <cell r="AC226">
            <v>33.54</v>
          </cell>
          <cell r="AD226" t="str">
            <v>No</v>
          </cell>
          <cell r="AF226">
            <v>381.5</v>
          </cell>
          <cell r="AG226">
            <v>0.81187486699297695</v>
          </cell>
          <cell r="AH226">
            <v>16.5</v>
          </cell>
          <cell r="AI226" t="str">
            <v>No</v>
          </cell>
        </row>
        <row r="227">
          <cell r="A227" t="str">
            <v>P64C2</v>
          </cell>
          <cell r="B227">
            <v>309.39999999999998</v>
          </cell>
          <cell r="C227">
            <v>0.65843796552458</v>
          </cell>
          <cell r="D227">
            <v>1.0720000000000001</v>
          </cell>
          <cell r="E227" t="str">
            <v>Yes</v>
          </cell>
          <cell r="G227">
            <v>329.8</v>
          </cell>
          <cell r="H227">
            <v>0.70185145775697</v>
          </cell>
          <cell r="I227">
            <v>2.66</v>
          </cell>
          <cell r="J227" t="str">
            <v>No</v>
          </cell>
          <cell r="L227">
            <v>316.5</v>
          </cell>
          <cell r="M227">
            <v>0.67354756331134302</v>
          </cell>
          <cell r="N227">
            <v>1.629</v>
          </cell>
          <cell r="O227" t="str">
            <v>Yes</v>
          </cell>
          <cell r="Q227">
            <v>326.10000000000002</v>
          </cell>
          <cell r="R227">
            <v>0.69397744200893796</v>
          </cell>
          <cell r="S227">
            <v>2.2799999999999998</v>
          </cell>
          <cell r="T227" t="str">
            <v>Yes</v>
          </cell>
          <cell r="V227">
            <v>397.7</v>
          </cell>
          <cell r="W227">
            <v>0.84635028729516903</v>
          </cell>
          <cell r="X227">
            <v>25.31</v>
          </cell>
          <cell r="Y227" t="str">
            <v>No</v>
          </cell>
          <cell r="AA227">
            <v>405.9</v>
          </cell>
          <cell r="AB227">
            <v>0.86380080868269804</v>
          </cell>
          <cell r="AC227">
            <v>31.11</v>
          </cell>
          <cell r="AD227" t="str">
            <v>No</v>
          </cell>
          <cell r="AF227">
            <v>361.7</v>
          </cell>
          <cell r="AG227">
            <v>0.76973824217918696</v>
          </cell>
          <cell r="AH227">
            <v>7.8449999999999998</v>
          </cell>
          <cell r="AI227" t="str">
            <v>No</v>
          </cell>
        </row>
        <row r="228">
          <cell r="A228" t="str">
            <v>P64C3</v>
          </cell>
          <cell r="B228">
            <v>314.10000000000002</v>
          </cell>
          <cell r="C228">
            <v>0.66844009363694401</v>
          </cell>
          <cell r="D228">
            <v>1.1819999999999999</v>
          </cell>
          <cell r="E228" t="str">
            <v>Yes</v>
          </cell>
          <cell r="G228">
            <v>338.2</v>
          </cell>
          <cell r="H228">
            <v>0.71972760161736504</v>
          </cell>
          <cell r="I228">
            <v>3.57</v>
          </cell>
          <cell r="J228" t="str">
            <v>No</v>
          </cell>
          <cell r="L228">
            <v>308.7</v>
          </cell>
          <cell r="M228">
            <v>0.65694828686954698</v>
          </cell>
          <cell r="N228">
            <v>1.1100000000000001</v>
          </cell>
          <cell r="O228" t="str">
            <v>Yes</v>
          </cell>
          <cell r="Q228">
            <v>344.7</v>
          </cell>
          <cell r="R228">
            <v>0.73356033198552895</v>
          </cell>
          <cell r="S228">
            <v>4.5419999999999998</v>
          </cell>
          <cell r="T228" t="str">
            <v>No</v>
          </cell>
          <cell r="V228">
            <v>399.8</v>
          </cell>
          <cell r="W228">
            <v>0.85081932326026799</v>
          </cell>
          <cell r="X228">
            <v>28.96</v>
          </cell>
          <cell r="Y228" t="str">
            <v>No</v>
          </cell>
          <cell r="AA228">
            <v>387.7</v>
          </cell>
          <cell r="AB228">
            <v>0.82506916365184102</v>
          </cell>
          <cell r="AC228">
            <v>15.58</v>
          </cell>
          <cell r="AD228" t="str">
            <v>No</v>
          </cell>
          <cell r="AF228">
            <v>408.4</v>
          </cell>
          <cell r="AG228">
            <v>0.86912108959353096</v>
          </cell>
          <cell r="AH228">
            <v>38.42</v>
          </cell>
          <cell r="AI228" t="str">
            <v>No</v>
          </cell>
        </row>
        <row r="229">
          <cell r="A229" t="str">
            <v>P65C1</v>
          </cell>
          <cell r="B229">
            <v>379.3</v>
          </cell>
          <cell r="C229">
            <v>0.80719301979144498</v>
          </cell>
          <cell r="D229">
            <v>13.15</v>
          </cell>
          <cell r="E229" t="str">
            <v>No</v>
          </cell>
          <cell r="G229">
            <v>400.4</v>
          </cell>
          <cell r="H229">
            <v>0.85209619067886799</v>
          </cell>
          <cell r="I229">
            <v>28.42</v>
          </cell>
          <cell r="J229" t="str">
            <v>No</v>
          </cell>
          <cell r="L229">
            <v>408.9</v>
          </cell>
          <cell r="M229">
            <v>0.87018514577569706</v>
          </cell>
          <cell r="N229">
            <v>33.5</v>
          </cell>
          <cell r="O229" t="str">
            <v>No</v>
          </cell>
          <cell r="Q229">
            <v>376.9</v>
          </cell>
          <cell r="R229">
            <v>0.80208555011704596</v>
          </cell>
          <cell r="S229">
            <v>12.58</v>
          </cell>
          <cell r="T229" t="str">
            <v>No</v>
          </cell>
          <cell r="V229">
            <v>388.6</v>
          </cell>
          <cell r="W229">
            <v>0.82698446477973997</v>
          </cell>
          <cell r="X229">
            <v>18.55</v>
          </cell>
          <cell r="Y229" t="str">
            <v>No</v>
          </cell>
          <cell r="AA229">
            <v>392.5</v>
          </cell>
          <cell r="AB229">
            <v>0.83528410300063805</v>
          </cell>
          <cell r="AC229">
            <v>21.55</v>
          </cell>
          <cell r="AD229" t="str">
            <v>No</v>
          </cell>
          <cell r="AF229">
            <v>399.2</v>
          </cell>
          <cell r="AG229">
            <v>0.84954245584166799</v>
          </cell>
          <cell r="AH229">
            <v>33.76</v>
          </cell>
          <cell r="AI229" t="str">
            <v>No</v>
          </cell>
        </row>
        <row r="230">
          <cell r="A230" t="str">
            <v>P65C2</v>
          </cell>
          <cell r="B230">
            <v>400.1</v>
          </cell>
          <cell r="C230">
            <v>0.85145775696956805</v>
          </cell>
          <cell r="D230">
            <v>36.54</v>
          </cell>
          <cell r="E230" t="str">
            <v>No</v>
          </cell>
          <cell r="G230">
            <v>326</v>
          </cell>
          <cell r="H230">
            <v>0.69376463077250505</v>
          </cell>
          <cell r="I230">
            <v>2.3290000000000002</v>
          </cell>
          <cell r="J230" t="str">
            <v>Yes</v>
          </cell>
          <cell r="L230">
            <v>317.39999999999998</v>
          </cell>
          <cell r="M230">
            <v>0.67546286443924197</v>
          </cell>
          <cell r="N230">
            <v>1.839</v>
          </cell>
          <cell r="O230" t="str">
            <v>Yes</v>
          </cell>
          <cell r="Q230">
            <v>358.3</v>
          </cell>
          <cell r="R230">
            <v>0.76250266014045498</v>
          </cell>
          <cell r="S230">
            <v>6.5090000000000003</v>
          </cell>
          <cell r="T230" t="str">
            <v>No</v>
          </cell>
          <cell r="V230">
            <v>348.4</v>
          </cell>
          <cell r="W230">
            <v>0.74143434773355998</v>
          </cell>
          <cell r="X230">
            <v>4.57</v>
          </cell>
          <cell r="Y230" t="str">
            <v>No</v>
          </cell>
          <cell r="AA230">
            <v>335.8</v>
          </cell>
          <cell r="AB230">
            <v>0.71462013194296703</v>
          </cell>
          <cell r="AC230">
            <v>3.3319999999999999</v>
          </cell>
          <cell r="AD230" t="str">
            <v>No</v>
          </cell>
          <cell r="AF230">
            <v>412.4</v>
          </cell>
          <cell r="AG230">
            <v>0.87763353905086205</v>
          </cell>
          <cell r="AH230">
            <v>40.11</v>
          </cell>
          <cell r="AI230" t="str">
            <v>No</v>
          </cell>
        </row>
        <row r="231">
          <cell r="A231" t="str">
            <v>P65C3</v>
          </cell>
          <cell r="B231">
            <v>390</v>
          </cell>
          <cell r="C231">
            <v>0.82996382208980601</v>
          </cell>
          <cell r="D231">
            <v>17.14</v>
          </cell>
          <cell r="E231" t="str">
            <v>No</v>
          </cell>
          <cell r="G231">
            <v>343</v>
          </cell>
          <cell r="H231">
            <v>0.72994254096616296</v>
          </cell>
          <cell r="I231">
            <v>4.25</v>
          </cell>
          <cell r="J231" t="str">
            <v>No</v>
          </cell>
          <cell r="L231">
            <v>372.3</v>
          </cell>
          <cell r="M231">
            <v>0.79229623324111498</v>
          </cell>
          <cell r="N231">
            <v>10.3</v>
          </cell>
          <cell r="O231" t="str">
            <v>No</v>
          </cell>
          <cell r="Q231">
            <v>359</v>
          </cell>
          <cell r="R231">
            <v>0.763992338795488</v>
          </cell>
          <cell r="S231">
            <v>6.7709999999999999</v>
          </cell>
          <cell r="T231" t="str">
            <v>No</v>
          </cell>
          <cell r="V231">
            <v>414.5</v>
          </cell>
          <cell r="W231">
            <v>0.88210257501596101</v>
          </cell>
          <cell r="X231">
            <v>57.1</v>
          </cell>
          <cell r="Y231" t="str">
            <v>No</v>
          </cell>
          <cell r="AA231">
            <v>390</v>
          </cell>
          <cell r="AB231">
            <v>0.82996382208980601</v>
          </cell>
          <cell r="AC231">
            <v>19.41</v>
          </cell>
          <cell r="AD231" t="str">
            <v>No</v>
          </cell>
          <cell r="AF231">
            <v>399.6</v>
          </cell>
          <cell r="AG231">
            <v>0.85039370078740195</v>
          </cell>
          <cell r="AH231">
            <v>26.66</v>
          </cell>
          <cell r="AI231" t="str">
            <v>No</v>
          </cell>
        </row>
        <row r="232">
          <cell r="A232" t="str">
            <v>P66C1</v>
          </cell>
          <cell r="B232">
            <v>354</v>
          </cell>
          <cell r="C232">
            <v>0.75335177697382405</v>
          </cell>
          <cell r="D232">
            <v>5.6849999999999996</v>
          </cell>
          <cell r="E232" t="str">
            <v>No</v>
          </cell>
          <cell r="G232">
            <v>404.5</v>
          </cell>
          <cell r="H232">
            <v>0.860821451372633</v>
          </cell>
          <cell r="I232">
            <v>34.31</v>
          </cell>
          <cell r="J232" t="str">
            <v>No</v>
          </cell>
          <cell r="L232">
            <v>336.7</v>
          </cell>
          <cell r="M232">
            <v>0.71653543307086598</v>
          </cell>
          <cell r="N232">
            <v>3.2090000000000001</v>
          </cell>
          <cell r="O232" t="str">
            <v>No</v>
          </cell>
          <cell r="Q232">
            <v>337</v>
          </cell>
          <cell r="R232">
            <v>0.71717386678016604</v>
          </cell>
          <cell r="S232">
            <v>3.581</v>
          </cell>
          <cell r="T232" t="str">
            <v>No</v>
          </cell>
          <cell r="V232">
            <v>406.7</v>
          </cell>
          <cell r="W232">
            <v>0.86550329857416497</v>
          </cell>
          <cell r="X232">
            <v>35.590000000000003</v>
          </cell>
          <cell r="Y232" t="str">
            <v>No</v>
          </cell>
          <cell r="AA232">
            <v>406</v>
          </cell>
          <cell r="AB232">
            <v>0.86401361991913195</v>
          </cell>
          <cell r="AC232">
            <v>35.159999999999997</v>
          </cell>
          <cell r="AD232" t="str">
            <v>No</v>
          </cell>
          <cell r="AF232">
            <v>395.1</v>
          </cell>
          <cell r="AG232">
            <v>0.84081719514790398</v>
          </cell>
          <cell r="AH232">
            <v>25.01</v>
          </cell>
          <cell r="AI232" t="str">
            <v>No</v>
          </cell>
        </row>
        <row r="233">
          <cell r="A233" t="str">
            <v>P66C2</v>
          </cell>
          <cell r="B233">
            <v>338</v>
          </cell>
          <cell r="C233">
            <v>0.719301979144499</v>
          </cell>
          <cell r="D233">
            <v>3.6880000000000002</v>
          </cell>
          <cell r="E233" t="str">
            <v>No</v>
          </cell>
          <cell r="G233">
            <v>400.8</v>
          </cell>
          <cell r="H233">
            <v>0.85294743562460096</v>
          </cell>
          <cell r="I233">
            <v>32.46</v>
          </cell>
          <cell r="J233" t="str">
            <v>No</v>
          </cell>
          <cell r="L233">
            <v>314.8</v>
          </cell>
          <cell r="M233">
            <v>0.66992977229197703</v>
          </cell>
          <cell r="N233">
            <v>1.69</v>
          </cell>
          <cell r="O233" t="str">
            <v>Yes</v>
          </cell>
          <cell r="Q233">
            <v>377.6</v>
          </cell>
          <cell r="R233">
            <v>0.80357522877207899</v>
          </cell>
          <cell r="S233">
            <v>12.17</v>
          </cell>
          <cell r="T233" t="str">
            <v>No</v>
          </cell>
          <cell r="V233">
            <v>395.6</v>
          </cell>
          <cell r="W233">
            <v>0.84188125133006997</v>
          </cell>
          <cell r="X233">
            <v>25.05</v>
          </cell>
          <cell r="Y233" t="str">
            <v>No</v>
          </cell>
          <cell r="AA233">
            <v>420.5</v>
          </cell>
          <cell r="AB233">
            <v>0.89487124920195804</v>
          </cell>
          <cell r="AC233">
            <v>63.93</v>
          </cell>
          <cell r="AD233" t="str">
            <v>No</v>
          </cell>
          <cell r="AF233">
            <v>400.6</v>
          </cell>
          <cell r="AG233">
            <v>0.85252181315173403</v>
          </cell>
          <cell r="AH233">
            <v>27.04</v>
          </cell>
          <cell r="AI233" t="str">
            <v>No</v>
          </cell>
        </row>
        <row r="234">
          <cell r="A234" t="str">
            <v>P66C3</v>
          </cell>
          <cell r="B234">
            <v>394.9</v>
          </cell>
          <cell r="C234">
            <v>0.84039157267503695</v>
          </cell>
          <cell r="D234">
            <v>25.17</v>
          </cell>
          <cell r="E234" t="str">
            <v>No</v>
          </cell>
          <cell r="G234">
            <v>407.9</v>
          </cell>
          <cell r="H234">
            <v>0.86805703341136398</v>
          </cell>
          <cell r="I234">
            <v>42.59</v>
          </cell>
          <cell r="J234" t="str">
            <v>No</v>
          </cell>
          <cell r="L234">
            <v>378.8</v>
          </cell>
          <cell r="M234">
            <v>0.80612896360927899</v>
          </cell>
          <cell r="N234">
            <v>12.3</v>
          </cell>
          <cell r="O234" t="str">
            <v>No</v>
          </cell>
          <cell r="Q234">
            <v>352</v>
          </cell>
          <cell r="R234">
            <v>0.749095552245159</v>
          </cell>
          <cell r="S234">
            <v>5.9779999999999998</v>
          </cell>
          <cell r="T234" t="str">
            <v>No</v>
          </cell>
          <cell r="V234">
            <v>377.1</v>
          </cell>
          <cell r="W234">
            <v>0.802511172589913</v>
          </cell>
          <cell r="X234">
            <v>11.72</v>
          </cell>
          <cell r="Y234" t="str">
            <v>No</v>
          </cell>
          <cell r="AA234">
            <v>410.6</v>
          </cell>
          <cell r="AB234">
            <v>0.87380293679506305</v>
          </cell>
          <cell r="AC234">
            <v>50.77</v>
          </cell>
          <cell r="AD234" t="str">
            <v>No</v>
          </cell>
          <cell r="AF234">
            <v>338.9</v>
          </cell>
          <cell r="AG234">
            <v>0.72121728027239795</v>
          </cell>
          <cell r="AH234">
            <v>3.4740000000000002</v>
          </cell>
          <cell r="AI234" t="str">
            <v>No</v>
          </cell>
        </row>
        <row r="235">
          <cell r="A235" t="str">
            <v>P67C1</v>
          </cell>
          <cell r="B235">
            <v>394.5</v>
          </cell>
          <cell r="C235">
            <v>0.83954032772930398</v>
          </cell>
          <cell r="D235">
            <v>21.38</v>
          </cell>
          <cell r="E235" t="str">
            <v>No</v>
          </cell>
          <cell r="G235">
            <v>333.7</v>
          </cell>
          <cell r="H235">
            <v>0.71015109597786796</v>
          </cell>
          <cell r="I235">
            <v>3.1989999999999998</v>
          </cell>
          <cell r="J235" t="str">
            <v>No</v>
          </cell>
          <cell r="L235">
            <v>328.1</v>
          </cell>
          <cell r="M235">
            <v>0.69823366673760401</v>
          </cell>
          <cell r="N235">
            <v>2.399</v>
          </cell>
          <cell r="O235" t="str">
            <v>Yes</v>
          </cell>
          <cell r="Q235">
            <v>387.7</v>
          </cell>
          <cell r="R235">
            <v>0.82506916365184102</v>
          </cell>
          <cell r="S235">
            <v>19.32</v>
          </cell>
          <cell r="T235" t="str">
            <v>No</v>
          </cell>
          <cell r="V235">
            <v>335.1</v>
          </cell>
          <cell r="W235">
            <v>0.71313045328793401</v>
          </cell>
          <cell r="X235">
            <v>3.4079999999999999</v>
          </cell>
          <cell r="Y235" t="str">
            <v>No</v>
          </cell>
          <cell r="AA235">
            <v>413.4</v>
          </cell>
          <cell r="AB235">
            <v>0.87976165141519502</v>
          </cell>
          <cell r="AC235">
            <v>44.06</v>
          </cell>
          <cell r="AD235" t="str">
            <v>No</v>
          </cell>
          <cell r="AF235">
            <v>416.9</v>
          </cell>
          <cell r="AG235">
            <v>0.88721004469036002</v>
          </cell>
          <cell r="AH235">
            <v>55.32</v>
          </cell>
          <cell r="AI235" t="str">
            <v>No</v>
          </cell>
        </row>
        <row r="236">
          <cell r="A236" t="str">
            <v>P67C2</v>
          </cell>
          <cell r="B236">
            <v>397.9</v>
          </cell>
          <cell r="C236">
            <v>0.84677590976803596</v>
          </cell>
          <cell r="D236">
            <v>23.81</v>
          </cell>
          <cell r="E236" t="str">
            <v>No</v>
          </cell>
          <cell r="G236">
            <v>346.2</v>
          </cell>
          <cell r="H236">
            <v>0.73675250053202801</v>
          </cell>
          <cell r="I236">
            <v>4.4729999999999999</v>
          </cell>
          <cell r="J236" t="str">
            <v>No</v>
          </cell>
          <cell r="L236">
            <v>320.89999999999998</v>
          </cell>
          <cell r="M236">
            <v>0.68291125771440697</v>
          </cell>
          <cell r="N236">
            <v>1.929</v>
          </cell>
          <cell r="O236" t="str">
            <v>Yes</v>
          </cell>
          <cell r="Q236">
            <v>365.5</v>
          </cell>
          <cell r="R236">
            <v>0.77782506916365202</v>
          </cell>
          <cell r="S236">
            <v>8.218</v>
          </cell>
          <cell r="T236" t="str">
            <v>No</v>
          </cell>
          <cell r="V236">
            <v>390.5</v>
          </cell>
          <cell r="W236">
            <v>0.831027878271973</v>
          </cell>
          <cell r="X236">
            <v>18.95</v>
          </cell>
          <cell r="Y236" t="str">
            <v>No</v>
          </cell>
          <cell r="AA236">
            <v>390.2</v>
          </cell>
          <cell r="AB236">
            <v>0.83038944456267305</v>
          </cell>
          <cell r="AC236">
            <v>21.58</v>
          </cell>
          <cell r="AD236" t="str">
            <v>No</v>
          </cell>
          <cell r="AF236">
            <v>404.4</v>
          </cell>
          <cell r="AG236">
            <v>0.86060864013619898</v>
          </cell>
          <cell r="AH236">
            <v>31.96</v>
          </cell>
          <cell r="AI236" t="str">
            <v>No</v>
          </cell>
        </row>
        <row r="237">
          <cell r="A237" t="str">
            <v>P67C3</v>
          </cell>
          <cell r="B237">
            <v>407.4</v>
          </cell>
          <cell r="C237">
            <v>0.86699297722919799</v>
          </cell>
          <cell r="D237">
            <v>30.37</v>
          </cell>
          <cell r="E237" t="str">
            <v>No</v>
          </cell>
          <cell r="G237">
            <v>348.2</v>
          </cell>
          <cell r="H237">
            <v>0.74100872526069395</v>
          </cell>
          <cell r="I237">
            <v>4.8620000000000001</v>
          </cell>
          <cell r="J237" t="str">
            <v>No</v>
          </cell>
          <cell r="L237">
            <v>317.39999999999998</v>
          </cell>
          <cell r="M237">
            <v>0.67546286443924197</v>
          </cell>
          <cell r="N237">
            <v>1.65</v>
          </cell>
          <cell r="O237" t="str">
            <v>Yes</v>
          </cell>
          <cell r="Q237">
            <v>401.6</v>
          </cell>
          <cell r="R237">
            <v>0.854649925516067</v>
          </cell>
          <cell r="S237">
            <v>27.94</v>
          </cell>
          <cell r="T237" t="str">
            <v>No</v>
          </cell>
          <cell r="V237">
            <v>405.1</v>
          </cell>
          <cell r="W237">
            <v>0.862098318791232</v>
          </cell>
          <cell r="X237">
            <v>34.61</v>
          </cell>
          <cell r="Y237" t="str">
            <v>No</v>
          </cell>
          <cell r="AA237">
            <v>406.6</v>
          </cell>
          <cell r="AB237">
            <v>0.86529048733773195</v>
          </cell>
          <cell r="AC237">
            <v>36.200000000000003</v>
          </cell>
          <cell r="AD237" t="str">
            <v>No</v>
          </cell>
          <cell r="AF237">
            <v>403.3</v>
          </cell>
          <cell r="AG237">
            <v>0.85826771653543299</v>
          </cell>
          <cell r="AH237">
            <v>26.56</v>
          </cell>
          <cell r="AI237" t="str">
            <v>No</v>
          </cell>
        </row>
        <row r="238">
          <cell r="A238" t="str">
            <v>P68C1</v>
          </cell>
          <cell r="B238">
            <v>396.1</v>
          </cell>
          <cell r="C238">
            <v>0.84294530751223695</v>
          </cell>
          <cell r="D238">
            <v>22.75</v>
          </cell>
          <cell r="E238" t="str">
            <v>No</v>
          </cell>
          <cell r="G238">
            <v>423</v>
          </cell>
          <cell r="H238">
            <v>0.90019153011278996</v>
          </cell>
          <cell r="I238">
            <v>88.33</v>
          </cell>
          <cell r="J238" t="str">
            <v>No</v>
          </cell>
          <cell r="L238">
            <v>416.9</v>
          </cell>
          <cell r="M238">
            <v>0.88721004469036002</v>
          </cell>
          <cell r="N238">
            <v>62.46</v>
          </cell>
          <cell r="O238" t="str">
            <v>No</v>
          </cell>
          <cell r="Q238">
            <v>415.6</v>
          </cell>
          <cell r="R238">
            <v>0.884443498616727</v>
          </cell>
          <cell r="S238">
            <v>53.99</v>
          </cell>
          <cell r="T238" t="str">
            <v>No</v>
          </cell>
          <cell r="V238">
            <v>419.3</v>
          </cell>
          <cell r="W238">
            <v>0.89231751436475804</v>
          </cell>
          <cell r="X238">
            <v>76.28</v>
          </cell>
          <cell r="Y238" t="str">
            <v>No</v>
          </cell>
          <cell r="AA238">
            <v>399.5</v>
          </cell>
          <cell r="AB238">
            <v>0.85018088955096804</v>
          </cell>
          <cell r="AC238">
            <v>26.65</v>
          </cell>
          <cell r="AD238" t="str">
            <v>No</v>
          </cell>
          <cell r="AF238">
            <v>419.4</v>
          </cell>
          <cell r="AG238">
            <v>0.89253032560119205</v>
          </cell>
          <cell r="AH238">
            <v>53.5</v>
          </cell>
          <cell r="AI238" t="str">
            <v>No</v>
          </cell>
        </row>
        <row r="239">
          <cell r="A239" t="str">
            <v>P68C2</v>
          </cell>
          <cell r="B239">
            <v>386.9</v>
          </cell>
          <cell r="C239">
            <v>0.82336667376037498</v>
          </cell>
          <cell r="D239">
            <v>16.41</v>
          </cell>
          <cell r="E239" t="str">
            <v>No</v>
          </cell>
          <cell r="G239">
            <v>409.6</v>
          </cell>
          <cell r="H239">
            <v>0.87167482443072997</v>
          </cell>
          <cell r="I239">
            <v>54.14</v>
          </cell>
          <cell r="J239" t="str">
            <v>No</v>
          </cell>
          <cell r="L239">
            <v>401</v>
          </cell>
          <cell r="M239">
            <v>0.853373058097468</v>
          </cell>
          <cell r="N239">
            <v>31.19</v>
          </cell>
          <cell r="O239" t="str">
            <v>No</v>
          </cell>
          <cell r="Q239">
            <v>409.9</v>
          </cell>
          <cell r="R239">
            <v>0.87231325814003002</v>
          </cell>
          <cell r="S239">
            <v>46.61</v>
          </cell>
          <cell r="T239" t="str">
            <v>No</v>
          </cell>
          <cell r="V239">
            <v>415.3</v>
          </cell>
          <cell r="W239">
            <v>0.88380506490742705</v>
          </cell>
          <cell r="X239">
            <v>51.17</v>
          </cell>
          <cell r="Y239" t="str">
            <v>No</v>
          </cell>
          <cell r="AA239">
            <v>417.8</v>
          </cell>
          <cell r="AB239">
            <v>0.88912534581825897</v>
          </cell>
          <cell r="AC239">
            <v>69.349999999999994</v>
          </cell>
          <cell r="AD239" t="str">
            <v>No</v>
          </cell>
          <cell r="AF239">
            <v>411.9</v>
          </cell>
          <cell r="AG239">
            <v>0.87656948286869596</v>
          </cell>
          <cell r="AH239">
            <v>46.12</v>
          </cell>
          <cell r="AI239" t="str">
            <v>No</v>
          </cell>
        </row>
        <row r="240">
          <cell r="A240" t="str">
            <v>P68C3</v>
          </cell>
          <cell r="B240">
            <v>391.6</v>
          </cell>
          <cell r="C240">
            <v>0.83336880187273898</v>
          </cell>
          <cell r="D240">
            <v>17.97</v>
          </cell>
          <cell r="E240" t="str">
            <v>No</v>
          </cell>
          <cell r="G240">
            <v>402.2</v>
          </cell>
          <cell r="H240">
            <v>0.855926792934667</v>
          </cell>
          <cell r="I240">
            <v>33.28</v>
          </cell>
          <cell r="J240" t="str">
            <v>No</v>
          </cell>
          <cell r="L240">
            <v>396.6</v>
          </cell>
          <cell r="M240">
            <v>0.84400936369440305</v>
          </cell>
          <cell r="N240">
            <v>22.47</v>
          </cell>
          <cell r="O240" t="str">
            <v>No</v>
          </cell>
          <cell r="Q240">
            <v>386.3</v>
          </cell>
          <cell r="R240">
            <v>0.82208980634177498</v>
          </cell>
          <cell r="S240">
            <v>17.11</v>
          </cell>
          <cell r="T240" t="str">
            <v>No</v>
          </cell>
          <cell r="V240">
            <v>412.1</v>
          </cell>
          <cell r="W240">
            <v>0.876995105341562</v>
          </cell>
          <cell r="X240">
            <v>48.87</v>
          </cell>
          <cell r="Y240" t="str">
            <v>No</v>
          </cell>
          <cell r="AA240">
            <v>395.5</v>
          </cell>
          <cell r="AB240">
            <v>0.84166844009363695</v>
          </cell>
          <cell r="AC240">
            <v>24.32</v>
          </cell>
          <cell r="AD240" t="str">
            <v>No</v>
          </cell>
          <cell r="AF240">
            <v>407</v>
          </cell>
          <cell r="AG240">
            <v>0.86614173228346503</v>
          </cell>
          <cell r="AH240">
            <v>36.69</v>
          </cell>
          <cell r="AI240" t="str">
            <v>No</v>
          </cell>
        </row>
        <row r="241">
          <cell r="A241" t="str">
            <v>P69C1</v>
          </cell>
          <cell r="B241">
            <v>378.1</v>
          </cell>
          <cell r="C241">
            <v>0.80463928495424597</v>
          </cell>
          <cell r="D241">
            <v>12.6</v>
          </cell>
          <cell r="E241" t="str">
            <v>No</v>
          </cell>
          <cell r="G241">
            <v>324.7</v>
          </cell>
          <cell r="H241">
            <v>0.69099808469887203</v>
          </cell>
          <cell r="I241">
            <v>2.34</v>
          </cell>
          <cell r="J241" t="str">
            <v>Yes</v>
          </cell>
          <cell r="L241">
            <v>321.39999999999998</v>
          </cell>
          <cell r="M241">
            <v>0.68397531389657396</v>
          </cell>
          <cell r="N241">
            <v>2.11</v>
          </cell>
          <cell r="O241" t="str">
            <v>Yes</v>
          </cell>
          <cell r="Q241">
            <v>385.9</v>
          </cell>
          <cell r="R241">
            <v>0.82123856139604201</v>
          </cell>
          <cell r="S241">
            <v>16.47</v>
          </cell>
          <cell r="T241" t="str">
            <v>No</v>
          </cell>
          <cell r="V241">
            <v>372.3</v>
          </cell>
          <cell r="W241">
            <v>0.79229623324111498</v>
          </cell>
          <cell r="X241">
            <v>9.8390000000000004</v>
          </cell>
          <cell r="Y241" t="str">
            <v>No</v>
          </cell>
          <cell r="AA241">
            <v>387.3</v>
          </cell>
          <cell r="AB241">
            <v>0.82421791870610805</v>
          </cell>
          <cell r="AC241">
            <v>19.3</v>
          </cell>
          <cell r="AD241" t="str">
            <v>No</v>
          </cell>
          <cell r="AF241">
            <v>408</v>
          </cell>
          <cell r="AG241">
            <v>0.868269844647797</v>
          </cell>
          <cell r="AH241">
            <v>34.229999999999997</v>
          </cell>
          <cell r="AI241" t="str">
            <v>No</v>
          </cell>
        </row>
        <row r="242">
          <cell r="A242" t="str">
            <v>P69C2</v>
          </cell>
          <cell r="B242">
            <v>326.10000000000002</v>
          </cell>
          <cell r="C242">
            <v>0.69397744200893796</v>
          </cell>
          <cell r="D242">
            <v>2.1080000000000001</v>
          </cell>
          <cell r="E242" t="str">
            <v>Yes</v>
          </cell>
          <cell r="G242">
            <v>361.1</v>
          </cell>
          <cell r="H242">
            <v>0.76846137476058696</v>
          </cell>
          <cell r="I242">
            <v>8.3330000000000002</v>
          </cell>
          <cell r="J242" t="str">
            <v>No</v>
          </cell>
          <cell r="L242">
            <v>327.10000000000002</v>
          </cell>
          <cell r="M242">
            <v>0.69610555437327104</v>
          </cell>
          <cell r="N242">
            <v>2.4260000000000002</v>
          </cell>
          <cell r="O242" t="str">
            <v>Yes</v>
          </cell>
          <cell r="Q242">
            <v>379.3</v>
          </cell>
          <cell r="R242">
            <v>0.80719301979144498</v>
          </cell>
          <cell r="S242">
            <v>12.51</v>
          </cell>
          <cell r="T242" t="str">
            <v>No</v>
          </cell>
          <cell r="V242">
            <v>380.5</v>
          </cell>
          <cell r="W242">
            <v>0.80974675462864398</v>
          </cell>
          <cell r="X242">
            <v>13.23</v>
          </cell>
          <cell r="Y242" t="str">
            <v>No</v>
          </cell>
          <cell r="AA242">
            <v>385.2</v>
          </cell>
          <cell r="AB242">
            <v>0.81974888274100899</v>
          </cell>
          <cell r="AC242">
            <v>15.34</v>
          </cell>
          <cell r="AD242" t="str">
            <v>No</v>
          </cell>
          <cell r="AF242">
            <v>401.8</v>
          </cell>
          <cell r="AG242">
            <v>0.85507554798893404</v>
          </cell>
          <cell r="AH242">
            <v>27.62</v>
          </cell>
          <cell r="AI242" t="str">
            <v>No</v>
          </cell>
        </row>
        <row r="243">
          <cell r="A243" t="str">
            <v>P69C3</v>
          </cell>
          <cell r="B243">
            <v>325.7</v>
          </cell>
          <cell r="C243">
            <v>0.693126197063205</v>
          </cell>
          <cell r="D243">
            <v>2.347</v>
          </cell>
          <cell r="E243" t="str">
            <v>Yes</v>
          </cell>
          <cell r="G243">
            <v>351.5</v>
          </cell>
          <cell r="H243">
            <v>0.74803149606299202</v>
          </cell>
          <cell r="I243">
            <v>5.6680000000000001</v>
          </cell>
          <cell r="J243" t="str">
            <v>No</v>
          </cell>
          <cell r="L243">
            <v>389.6</v>
          </cell>
          <cell r="M243">
            <v>0.82911257714407305</v>
          </cell>
          <cell r="N243">
            <v>18.45</v>
          </cell>
          <cell r="O243" t="str">
            <v>No</v>
          </cell>
          <cell r="Q243">
            <v>334.7</v>
          </cell>
          <cell r="R243">
            <v>0.71227920834220004</v>
          </cell>
          <cell r="S243">
            <v>3.2109999999999999</v>
          </cell>
          <cell r="T243" t="str">
            <v>No</v>
          </cell>
          <cell r="V243">
            <v>326.5</v>
          </cell>
          <cell r="W243">
            <v>0.69482868695467104</v>
          </cell>
          <cell r="X243">
            <v>2.29</v>
          </cell>
          <cell r="Y243" t="str">
            <v>No</v>
          </cell>
          <cell r="AA243">
            <v>393.7</v>
          </cell>
          <cell r="AB243">
            <v>0.83783783783783805</v>
          </cell>
          <cell r="AC243">
            <v>22.6</v>
          </cell>
          <cell r="AD243" t="str">
            <v>No</v>
          </cell>
          <cell r="AF243">
            <v>391.6</v>
          </cell>
          <cell r="AG243">
            <v>0.83336880187273898</v>
          </cell>
          <cell r="AH243">
            <v>18.27</v>
          </cell>
          <cell r="AI243" t="str">
            <v>No</v>
          </cell>
        </row>
        <row r="244">
          <cell r="A244" t="str">
            <v>P70C1</v>
          </cell>
          <cell r="B244">
            <v>318.5</v>
          </cell>
          <cell r="C244">
            <v>0.67780378804000896</v>
          </cell>
          <cell r="D244">
            <v>1.5149999999999999</v>
          </cell>
          <cell r="E244" t="str">
            <v>Yes</v>
          </cell>
          <cell r="G244">
            <v>325.3</v>
          </cell>
          <cell r="H244">
            <v>0.69227495211747203</v>
          </cell>
          <cell r="I244">
            <v>2.4350000000000001</v>
          </cell>
          <cell r="J244" t="str">
            <v>Yes</v>
          </cell>
          <cell r="L244">
            <v>319.5</v>
          </cell>
          <cell r="M244">
            <v>0.67993190040434104</v>
          </cell>
          <cell r="N244">
            <v>1.65</v>
          </cell>
          <cell r="O244" t="str">
            <v>Yes</v>
          </cell>
          <cell r="Q244">
            <v>370.6</v>
          </cell>
          <cell r="R244">
            <v>0.78867844222174899</v>
          </cell>
          <cell r="S244">
            <v>9.8789999999999996</v>
          </cell>
          <cell r="T244" t="str">
            <v>No</v>
          </cell>
          <cell r="V244">
            <v>398.3</v>
          </cell>
          <cell r="W244">
            <v>0.84762715471376904</v>
          </cell>
          <cell r="X244">
            <v>29.33</v>
          </cell>
          <cell r="Y244" t="str">
            <v>No</v>
          </cell>
          <cell r="AA244">
            <v>380.9</v>
          </cell>
          <cell r="AB244">
            <v>0.81059799957437795</v>
          </cell>
          <cell r="AC244">
            <v>14.52</v>
          </cell>
          <cell r="AD244" t="str">
            <v>No</v>
          </cell>
          <cell r="AF244">
            <v>367.7</v>
          </cell>
          <cell r="AG244">
            <v>0.78250691636518399</v>
          </cell>
          <cell r="AH244">
            <v>9.875</v>
          </cell>
          <cell r="AI244" t="str">
            <v>No</v>
          </cell>
        </row>
        <row r="245">
          <cell r="A245" t="str">
            <v>P70C2</v>
          </cell>
          <cell r="B245">
            <v>332.6</v>
          </cell>
          <cell r="C245">
            <v>0.70781017237710198</v>
          </cell>
          <cell r="D245">
            <v>2.9750000000000001</v>
          </cell>
          <cell r="E245" t="str">
            <v>No</v>
          </cell>
          <cell r="G245">
            <v>348.1</v>
          </cell>
          <cell r="H245">
            <v>0.74079591402426104</v>
          </cell>
          <cell r="I245">
            <v>5.3689999999999998</v>
          </cell>
          <cell r="J245" t="str">
            <v>No</v>
          </cell>
          <cell r="L245">
            <v>381.4</v>
          </cell>
          <cell r="M245">
            <v>0.81166205575654404</v>
          </cell>
          <cell r="N245">
            <v>16.29</v>
          </cell>
          <cell r="O245" t="str">
            <v>No</v>
          </cell>
          <cell r="Q245">
            <v>325.8</v>
          </cell>
          <cell r="R245">
            <v>0.69333900829963802</v>
          </cell>
          <cell r="S245">
            <v>2.202</v>
          </cell>
          <cell r="T245" t="str">
            <v>Yes</v>
          </cell>
          <cell r="V245">
            <v>416</v>
          </cell>
          <cell r="W245">
            <v>0.88529474356245996</v>
          </cell>
          <cell r="X245">
            <v>53.05</v>
          </cell>
          <cell r="Y245" t="str">
            <v>No</v>
          </cell>
          <cell r="AA245">
            <v>350</v>
          </cell>
          <cell r="AB245">
            <v>0.74483932751649296</v>
          </cell>
          <cell r="AC245">
            <v>5.39</v>
          </cell>
          <cell r="AD245" t="str">
            <v>No</v>
          </cell>
          <cell r="AF245">
            <v>397.3</v>
          </cell>
          <cell r="AG245">
            <v>0.84549904234943596</v>
          </cell>
          <cell r="AH245">
            <v>24.77</v>
          </cell>
          <cell r="AI245" t="str">
            <v>No</v>
          </cell>
        </row>
        <row r="246">
          <cell r="A246" t="str">
            <v>P70C3</v>
          </cell>
          <cell r="B246">
            <v>323.60000000000002</v>
          </cell>
          <cell r="C246">
            <v>0.68865716109810604</v>
          </cell>
          <cell r="D246">
            <v>2.0779999999999998</v>
          </cell>
          <cell r="E246" t="str">
            <v>Yes</v>
          </cell>
          <cell r="G246">
            <v>362.6</v>
          </cell>
          <cell r="H246">
            <v>0.77165354330708702</v>
          </cell>
          <cell r="I246">
            <v>8.5749999999999993</v>
          </cell>
          <cell r="J246" t="str">
            <v>No</v>
          </cell>
          <cell r="L246">
            <v>379.8</v>
          </cell>
          <cell r="M246">
            <v>0.80825707597361196</v>
          </cell>
          <cell r="N246">
            <v>14.45</v>
          </cell>
          <cell r="O246" t="str">
            <v>No</v>
          </cell>
          <cell r="Q246">
            <v>379.4</v>
          </cell>
          <cell r="R246">
            <v>0.807405831027878</v>
          </cell>
          <cell r="S246">
            <v>13.11</v>
          </cell>
          <cell r="T246" t="str">
            <v>No</v>
          </cell>
          <cell r="V246">
            <v>408.1</v>
          </cell>
          <cell r="W246">
            <v>0.86848265588423101</v>
          </cell>
          <cell r="X246">
            <v>38.43</v>
          </cell>
          <cell r="Y246" t="str">
            <v>No</v>
          </cell>
          <cell r="AA246">
            <v>413.4</v>
          </cell>
          <cell r="AB246">
            <v>0.87976165141519502</v>
          </cell>
          <cell r="AC246">
            <v>42.86</v>
          </cell>
          <cell r="AD246" t="str">
            <v>No</v>
          </cell>
          <cell r="AF246">
            <v>407.6</v>
          </cell>
          <cell r="AG246">
            <v>0.86741859970206403</v>
          </cell>
          <cell r="AH246">
            <v>34.51</v>
          </cell>
          <cell r="AI246" t="str">
            <v>No</v>
          </cell>
        </row>
        <row r="247">
          <cell r="A247" t="str">
            <v>P71C1</v>
          </cell>
          <cell r="B247">
            <v>353</v>
          </cell>
          <cell r="C247">
            <v>0.75122366460949097</v>
          </cell>
          <cell r="D247">
            <v>5.8159999999999998</v>
          </cell>
          <cell r="E247" t="str">
            <v>No</v>
          </cell>
          <cell r="G247">
            <v>367.7</v>
          </cell>
          <cell r="H247">
            <v>0.78250691636518399</v>
          </cell>
          <cell r="I247">
            <v>10.17</v>
          </cell>
          <cell r="J247" t="str">
            <v>No</v>
          </cell>
          <cell r="L247">
            <v>347.1</v>
          </cell>
          <cell r="M247">
            <v>0.73866780165992796</v>
          </cell>
          <cell r="N247">
            <v>4.6689999999999996</v>
          </cell>
          <cell r="O247" t="str">
            <v>No</v>
          </cell>
          <cell r="Q247">
            <v>325.5</v>
          </cell>
          <cell r="R247">
            <v>0.69270057459033796</v>
          </cell>
          <cell r="S247">
            <v>2.3109999999999999</v>
          </cell>
          <cell r="T247" t="str">
            <v>Yes</v>
          </cell>
          <cell r="V247">
            <v>397.2</v>
          </cell>
          <cell r="W247">
            <v>0.84528623111300305</v>
          </cell>
          <cell r="X247">
            <v>23.45</v>
          </cell>
          <cell r="Y247" t="str">
            <v>No</v>
          </cell>
          <cell r="AA247">
            <v>402.8</v>
          </cell>
          <cell r="AB247">
            <v>0.85720366035326701</v>
          </cell>
          <cell r="AC247">
            <v>30</v>
          </cell>
          <cell r="AD247" t="str">
            <v>No</v>
          </cell>
          <cell r="AF247">
            <v>397.9</v>
          </cell>
          <cell r="AG247">
            <v>0.84677590976803596</v>
          </cell>
          <cell r="AH247">
            <v>24.49</v>
          </cell>
          <cell r="AI247" t="str">
            <v>No</v>
          </cell>
        </row>
        <row r="248">
          <cell r="A248" t="str">
            <v>P71C2</v>
          </cell>
          <cell r="B248">
            <v>375.7</v>
          </cell>
          <cell r="C248">
            <v>0.79953181527984696</v>
          </cell>
          <cell r="D248">
            <v>11.01</v>
          </cell>
          <cell r="E248" t="str">
            <v>No</v>
          </cell>
          <cell r="G248">
            <v>345.4</v>
          </cell>
          <cell r="H248">
            <v>0.73505001064056197</v>
          </cell>
          <cell r="I248">
            <v>4.6589999999999998</v>
          </cell>
          <cell r="J248" t="str">
            <v>No</v>
          </cell>
          <cell r="L248">
            <v>320.10000000000002</v>
          </cell>
          <cell r="M248">
            <v>0.68120876782294104</v>
          </cell>
          <cell r="N248">
            <v>1.982</v>
          </cell>
          <cell r="O248" t="str">
            <v>Yes</v>
          </cell>
          <cell r="Q248">
            <v>314.60000000000002</v>
          </cell>
          <cell r="R248">
            <v>0.66950414981911099</v>
          </cell>
          <cell r="S248">
            <v>1.5429999999999999</v>
          </cell>
          <cell r="T248" t="str">
            <v>Yes</v>
          </cell>
          <cell r="V248">
            <v>384</v>
          </cell>
          <cell r="W248">
            <v>0.81719514790380898</v>
          </cell>
          <cell r="X248">
            <v>14.36</v>
          </cell>
          <cell r="Y248" t="str">
            <v>No</v>
          </cell>
          <cell r="AA248">
            <v>388</v>
          </cell>
          <cell r="AB248">
            <v>0.82570759736114097</v>
          </cell>
          <cell r="AC248">
            <v>17.79</v>
          </cell>
          <cell r="AD248" t="str">
            <v>No</v>
          </cell>
          <cell r="AF248">
            <v>392.3</v>
          </cell>
          <cell r="AG248">
            <v>0.83485848052777201</v>
          </cell>
          <cell r="AH248">
            <v>20.37</v>
          </cell>
          <cell r="AI248" t="str">
            <v>No</v>
          </cell>
        </row>
        <row r="249">
          <cell r="A249" t="str">
            <v>P71C3</v>
          </cell>
          <cell r="B249">
            <v>375.7</v>
          </cell>
          <cell r="C249">
            <v>0.79953181527984696</v>
          </cell>
          <cell r="D249">
            <v>11.98</v>
          </cell>
          <cell r="E249" t="str">
            <v>No</v>
          </cell>
          <cell r="G249">
            <v>382.7</v>
          </cell>
          <cell r="H249">
            <v>0.81442860183017696</v>
          </cell>
          <cell r="I249">
            <v>15.82</v>
          </cell>
          <cell r="J249" t="str">
            <v>No</v>
          </cell>
          <cell r="L249">
            <v>367.4</v>
          </cell>
          <cell r="M249">
            <v>0.78186848265588405</v>
          </cell>
          <cell r="N249">
            <v>9.2680000000000007</v>
          </cell>
          <cell r="O249" t="str">
            <v>No</v>
          </cell>
          <cell r="Q249">
            <v>382.7</v>
          </cell>
          <cell r="R249">
            <v>0.81442860183017696</v>
          </cell>
          <cell r="S249">
            <v>15.66</v>
          </cell>
          <cell r="T249" t="str">
            <v>No</v>
          </cell>
          <cell r="V249">
            <v>371.8</v>
          </cell>
          <cell r="W249">
            <v>0.79123217705894899</v>
          </cell>
          <cell r="X249">
            <v>10.95</v>
          </cell>
          <cell r="Y249" t="str">
            <v>No</v>
          </cell>
          <cell r="AA249">
            <v>397.9</v>
          </cell>
          <cell r="AB249">
            <v>0.84677590976803596</v>
          </cell>
          <cell r="AC249">
            <v>25.33</v>
          </cell>
          <cell r="AD249" t="str">
            <v>No</v>
          </cell>
          <cell r="AF249">
            <v>406.8</v>
          </cell>
          <cell r="AG249">
            <v>0.86571610981059799</v>
          </cell>
          <cell r="AH249">
            <v>41.15</v>
          </cell>
          <cell r="AI249" t="str">
            <v>No</v>
          </cell>
        </row>
        <row r="250">
          <cell r="A250" t="str">
            <v>P72C1</v>
          </cell>
          <cell r="B250">
            <v>331.8</v>
          </cell>
          <cell r="C250">
            <v>0.70610768248563505</v>
          </cell>
          <cell r="D250">
            <v>2.782</v>
          </cell>
          <cell r="E250" t="str">
            <v>No</v>
          </cell>
          <cell r="G250">
            <v>340.7</v>
          </cell>
          <cell r="H250">
            <v>0.72504788252819796</v>
          </cell>
          <cell r="I250">
            <v>4.4219999999999997</v>
          </cell>
          <cell r="J250" t="str">
            <v>No</v>
          </cell>
          <cell r="L250">
            <v>397.9</v>
          </cell>
          <cell r="M250">
            <v>0.84677590976803596</v>
          </cell>
          <cell r="N250">
            <v>23.13</v>
          </cell>
          <cell r="O250" t="str">
            <v>No</v>
          </cell>
          <cell r="Q250">
            <v>397.5</v>
          </cell>
          <cell r="R250">
            <v>0.845924664822303</v>
          </cell>
          <cell r="S250">
            <v>21.51</v>
          </cell>
          <cell r="T250" t="str">
            <v>No</v>
          </cell>
          <cell r="V250">
            <v>411.3</v>
          </cell>
          <cell r="W250">
            <v>0.87529261545009596</v>
          </cell>
          <cell r="X250">
            <v>46.09</v>
          </cell>
          <cell r="Y250" t="str">
            <v>No</v>
          </cell>
          <cell r="AA250">
            <v>320.8</v>
          </cell>
          <cell r="AB250">
            <v>0.68269844647797395</v>
          </cell>
          <cell r="AC250">
            <v>2.089</v>
          </cell>
          <cell r="AD250" t="str">
            <v>No</v>
          </cell>
          <cell r="AF250">
            <v>325.2</v>
          </cell>
          <cell r="AG250">
            <v>0.69206214088103901</v>
          </cell>
          <cell r="AH250">
            <v>2.2490000000000001</v>
          </cell>
          <cell r="AI250" t="str">
            <v>No</v>
          </cell>
        </row>
        <row r="251">
          <cell r="A251" t="str">
            <v>P72C2</v>
          </cell>
          <cell r="B251">
            <v>418.2</v>
          </cell>
          <cell r="C251">
            <v>0.88997659076399205</v>
          </cell>
          <cell r="D251">
            <v>58.93</v>
          </cell>
          <cell r="E251" t="str">
            <v>No</v>
          </cell>
          <cell r="G251">
            <v>418.6</v>
          </cell>
          <cell r="H251">
            <v>0.89082783570972601</v>
          </cell>
          <cell r="I251">
            <v>56.38</v>
          </cell>
          <cell r="J251" t="str">
            <v>No</v>
          </cell>
          <cell r="L251">
            <v>397.9</v>
          </cell>
          <cell r="M251">
            <v>0.84677590976803596</v>
          </cell>
          <cell r="N251">
            <v>34.68</v>
          </cell>
          <cell r="O251" t="str">
            <v>No</v>
          </cell>
          <cell r="Q251">
            <v>406.6</v>
          </cell>
          <cell r="R251">
            <v>0.86529048733773195</v>
          </cell>
          <cell r="S251">
            <v>43.31</v>
          </cell>
          <cell r="T251" t="str">
            <v>No</v>
          </cell>
          <cell r="V251">
            <v>417.7</v>
          </cell>
          <cell r="W251">
            <v>0.88891253458182595</v>
          </cell>
          <cell r="X251">
            <v>59.33</v>
          </cell>
          <cell r="Y251" t="str">
            <v>No</v>
          </cell>
          <cell r="AA251">
            <v>352.1</v>
          </cell>
          <cell r="AB251">
            <v>0.74930836348159202</v>
          </cell>
          <cell r="AC251">
            <v>5.673</v>
          </cell>
          <cell r="AD251" t="str">
            <v>No</v>
          </cell>
          <cell r="AF251">
            <v>311.60000000000002</v>
          </cell>
          <cell r="AG251">
            <v>0.66311981272611198</v>
          </cell>
          <cell r="AH251">
            <v>1.0389999999999999</v>
          </cell>
          <cell r="AI251" t="str">
            <v>Yes</v>
          </cell>
        </row>
        <row r="252">
          <cell r="A252" t="str">
            <v>P72C3</v>
          </cell>
          <cell r="B252">
            <v>373.9</v>
          </cell>
          <cell r="C252">
            <v>0.79570121302404795</v>
          </cell>
          <cell r="D252">
            <v>11.12</v>
          </cell>
          <cell r="E252" t="str">
            <v>No</v>
          </cell>
          <cell r="G252">
            <v>388.4</v>
          </cell>
          <cell r="H252">
            <v>0.82655884230687404</v>
          </cell>
          <cell r="I252">
            <v>18.89</v>
          </cell>
          <cell r="J252" t="str">
            <v>No</v>
          </cell>
          <cell r="L252">
            <v>396.9</v>
          </cell>
          <cell r="M252">
            <v>0.84464779740370299</v>
          </cell>
          <cell r="N252">
            <v>21.22</v>
          </cell>
          <cell r="O252" t="str">
            <v>No</v>
          </cell>
          <cell r="Q252">
            <v>378.5</v>
          </cell>
          <cell r="R252">
            <v>0.80549052989997905</v>
          </cell>
          <cell r="S252">
            <v>12.47</v>
          </cell>
          <cell r="T252" t="str">
            <v>No</v>
          </cell>
          <cell r="V252">
            <v>375</v>
          </cell>
          <cell r="W252">
            <v>0.79804213662481405</v>
          </cell>
          <cell r="X252">
            <v>12.46</v>
          </cell>
          <cell r="Y252" t="str">
            <v>No</v>
          </cell>
          <cell r="AA252">
            <v>390.1</v>
          </cell>
          <cell r="AB252">
            <v>0.83017663332624003</v>
          </cell>
          <cell r="AC252">
            <v>17.89</v>
          </cell>
          <cell r="AD252" t="str">
            <v>No</v>
          </cell>
          <cell r="AF252">
            <v>319.7</v>
          </cell>
          <cell r="AG252">
            <v>0.68035752287720797</v>
          </cell>
          <cell r="AH252">
            <v>1.831</v>
          </cell>
          <cell r="AI252" t="str">
            <v>No</v>
          </cell>
        </row>
        <row r="253">
          <cell r="A253" t="str">
            <v>P73C1</v>
          </cell>
          <cell r="B253">
            <v>313.39999999999998</v>
          </cell>
          <cell r="C253">
            <v>0.66695041498191099</v>
          </cell>
          <cell r="D253">
            <v>1.5049999999999999</v>
          </cell>
          <cell r="E253" t="str">
            <v>Yes</v>
          </cell>
          <cell r="G253">
            <v>359.9</v>
          </cell>
          <cell r="H253">
            <v>0.76590763992338795</v>
          </cell>
          <cell r="I253">
            <v>7.1849999999999996</v>
          </cell>
          <cell r="J253" t="str">
            <v>No</v>
          </cell>
          <cell r="L253">
            <v>321.89999999999998</v>
          </cell>
          <cell r="M253">
            <v>0.68503937007874005</v>
          </cell>
          <cell r="N253">
            <v>2.17</v>
          </cell>
          <cell r="O253" t="str">
            <v>Yes</v>
          </cell>
          <cell r="Q253">
            <v>382</v>
          </cell>
          <cell r="R253">
            <v>0.81293892317514405</v>
          </cell>
          <cell r="S253">
            <v>13.2</v>
          </cell>
          <cell r="T253" t="str">
            <v>No</v>
          </cell>
          <cell r="V253">
            <v>327</v>
          </cell>
          <cell r="W253">
            <v>0.69589274313683802</v>
          </cell>
          <cell r="X253">
            <v>2.5579999999999998</v>
          </cell>
          <cell r="Y253" t="str">
            <v>No</v>
          </cell>
          <cell r="AA253">
            <v>393.8</v>
          </cell>
          <cell r="AB253">
            <v>0.83805064907427096</v>
          </cell>
          <cell r="AC253">
            <v>23.43</v>
          </cell>
          <cell r="AD253" t="str">
            <v>No</v>
          </cell>
          <cell r="AF253">
            <v>383.9</v>
          </cell>
          <cell r="AG253">
            <v>0.81698233666737596</v>
          </cell>
          <cell r="AH253">
            <v>17.57</v>
          </cell>
          <cell r="AI253" t="str">
            <v>No</v>
          </cell>
        </row>
        <row r="254">
          <cell r="A254" t="str">
            <v>P73C2</v>
          </cell>
          <cell r="B254">
            <v>319.3</v>
          </cell>
          <cell r="C254">
            <v>0.679506277931475</v>
          </cell>
          <cell r="D254">
            <v>1.7809999999999999</v>
          </cell>
          <cell r="E254" t="str">
            <v>Yes</v>
          </cell>
          <cell r="G254">
            <v>362</v>
          </cell>
          <cell r="H254">
            <v>0.77037667588848702</v>
          </cell>
          <cell r="I254">
            <v>8.2210000000000001</v>
          </cell>
          <cell r="J254" t="str">
            <v>No</v>
          </cell>
          <cell r="L254">
            <v>350.3</v>
          </cell>
          <cell r="M254">
            <v>0.74547776122579301</v>
          </cell>
          <cell r="N254">
            <v>5.68</v>
          </cell>
          <cell r="O254" t="str">
            <v>No</v>
          </cell>
          <cell r="Q254">
            <v>327</v>
          </cell>
          <cell r="R254">
            <v>0.69589274313683802</v>
          </cell>
          <cell r="S254">
            <v>2.31</v>
          </cell>
          <cell r="T254" t="str">
            <v>No</v>
          </cell>
          <cell r="V254">
            <v>391.7</v>
          </cell>
          <cell r="W254">
            <v>0.833581613109172</v>
          </cell>
          <cell r="X254">
            <v>19.97</v>
          </cell>
          <cell r="Y254" t="str">
            <v>No</v>
          </cell>
          <cell r="AA254">
            <v>406</v>
          </cell>
          <cell r="AB254">
            <v>0.86401361991913195</v>
          </cell>
          <cell r="AC254">
            <v>33.47</v>
          </cell>
          <cell r="AD254" t="str">
            <v>No</v>
          </cell>
          <cell r="AF254">
            <v>375.2</v>
          </cell>
          <cell r="AG254">
            <v>0.79846775909767997</v>
          </cell>
          <cell r="AH254">
            <v>11.35</v>
          </cell>
          <cell r="AI254" t="str">
            <v>No</v>
          </cell>
        </row>
        <row r="255">
          <cell r="A255" t="str">
            <v>P73C3</v>
          </cell>
          <cell r="B255">
            <v>320.10000000000002</v>
          </cell>
          <cell r="C255">
            <v>0.68120876782294104</v>
          </cell>
          <cell r="D255">
            <v>1.792</v>
          </cell>
          <cell r="E255" t="str">
            <v>Yes</v>
          </cell>
          <cell r="G255">
            <v>327.10000000000002</v>
          </cell>
          <cell r="H255">
            <v>0.69610555437327104</v>
          </cell>
          <cell r="I255">
            <v>2.331</v>
          </cell>
          <cell r="J255" t="str">
            <v>Yes</v>
          </cell>
          <cell r="L255">
            <v>367.6</v>
          </cell>
          <cell r="M255">
            <v>0.78229410512875097</v>
          </cell>
          <cell r="N255">
            <v>9.3940000000000001</v>
          </cell>
          <cell r="O255" t="str">
            <v>No</v>
          </cell>
          <cell r="Q255">
            <v>321.10000000000002</v>
          </cell>
          <cell r="R255">
            <v>0.68333688018727401</v>
          </cell>
          <cell r="S255">
            <v>1.79</v>
          </cell>
          <cell r="T255" t="str">
            <v>Yes</v>
          </cell>
          <cell r="V255">
            <v>402.1</v>
          </cell>
          <cell r="W255">
            <v>0.85571398169823398</v>
          </cell>
          <cell r="X255">
            <v>32.18</v>
          </cell>
          <cell r="Y255" t="str">
            <v>No</v>
          </cell>
          <cell r="AA255">
            <v>367.5</v>
          </cell>
          <cell r="AB255">
            <v>0.78208129389231795</v>
          </cell>
          <cell r="AC255">
            <v>8.8780000000000001</v>
          </cell>
          <cell r="AD255" t="str">
            <v>No</v>
          </cell>
          <cell r="AF255">
            <v>389.3</v>
          </cell>
          <cell r="AG255">
            <v>0.82847414343477299</v>
          </cell>
          <cell r="AH255">
            <v>19.190000000000001</v>
          </cell>
          <cell r="AI255" t="str">
            <v>No</v>
          </cell>
        </row>
        <row r="256">
          <cell r="A256" t="str">
            <v>P74C1</v>
          </cell>
          <cell r="B256">
            <v>328.3</v>
          </cell>
          <cell r="C256">
            <v>0.69865928921047005</v>
          </cell>
          <cell r="D256">
            <v>2.3839999999999999</v>
          </cell>
          <cell r="E256" t="str">
            <v>Yes</v>
          </cell>
          <cell r="G256">
            <v>320.60000000000002</v>
          </cell>
          <cell r="H256">
            <v>0.68227282400510803</v>
          </cell>
          <cell r="I256">
            <v>1.68</v>
          </cell>
          <cell r="J256" t="str">
            <v>Yes</v>
          </cell>
          <cell r="L256">
            <v>324.10000000000002</v>
          </cell>
          <cell r="M256">
            <v>0.68972121728027203</v>
          </cell>
          <cell r="N256">
            <v>2.4609999999999999</v>
          </cell>
          <cell r="O256" t="str">
            <v>Yes</v>
          </cell>
          <cell r="Q256">
            <v>335.6</v>
          </cell>
          <cell r="R256">
            <v>0.71419450947009999</v>
          </cell>
          <cell r="S256">
            <v>3.1989999999999998</v>
          </cell>
          <cell r="T256" t="str">
            <v>No</v>
          </cell>
          <cell r="V256">
            <v>410.7</v>
          </cell>
          <cell r="W256">
            <v>0.87401574803149595</v>
          </cell>
          <cell r="X256">
            <v>45.18</v>
          </cell>
          <cell r="Y256" t="str">
            <v>No</v>
          </cell>
          <cell r="AA256">
            <v>404.5</v>
          </cell>
          <cell r="AB256">
            <v>0.860821451372633</v>
          </cell>
          <cell r="AC256">
            <v>38.409999999999997</v>
          </cell>
          <cell r="AD256" t="str">
            <v>No</v>
          </cell>
          <cell r="AF256">
            <v>414</v>
          </cell>
          <cell r="AG256">
            <v>0.88103851883379403</v>
          </cell>
          <cell r="AH256">
            <v>54.29</v>
          </cell>
          <cell r="AI256" t="str">
            <v>No</v>
          </cell>
        </row>
        <row r="257">
          <cell r="A257" t="str">
            <v>P74C2</v>
          </cell>
          <cell r="B257">
            <v>324.8</v>
          </cell>
          <cell r="C257">
            <v>0.69121089593530505</v>
          </cell>
          <cell r="D257">
            <v>2.2349999999999999</v>
          </cell>
          <cell r="E257" t="str">
            <v>Yes</v>
          </cell>
          <cell r="G257">
            <v>321.89999999999998</v>
          </cell>
          <cell r="H257">
            <v>0.68503937007874005</v>
          </cell>
          <cell r="I257">
            <v>1.91</v>
          </cell>
          <cell r="J257" t="str">
            <v>Yes</v>
          </cell>
          <cell r="L257">
            <v>329.4</v>
          </cell>
          <cell r="M257">
            <v>0.70100021281123603</v>
          </cell>
          <cell r="N257">
            <v>2.5510000000000002</v>
          </cell>
          <cell r="O257" t="str">
            <v>No</v>
          </cell>
          <cell r="Q257">
            <v>311.5</v>
          </cell>
          <cell r="R257">
            <v>0.66290700148967896</v>
          </cell>
          <cell r="S257">
            <v>1.1679999999999999</v>
          </cell>
          <cell r="T257" t="str">
            <v>Yes</v>
          </cell>
          <cell r="V257">
            <v>370.1</v>
          </cell>
          <cell r="W257">
            <v>0.787614386039583</v>
          </cell>
          <cell r="X257">
            <v>10.4</v>
          </cell>
          <cell r="Y257" t="str">
            <v>No</v>
          </cell>
          <cell r="AA257">
            <v>395.4</v>
          </cell>
          <cell r="AB257">
            <v>0.84145562885720404</v>
          </cell>
          <cell r="AC257">
            <v>22.98</v>
          </cell>
          <cell r="AD257" t="str">
            <v>No</v>
          </cell>
          <cell r="AF257">
            <v>415.9</v>
          </cell>
          <cell r="AG257">
            <v>0.88508193232602705</v>
          </cell>
          <cell r="AH257">
            <v>65.19</v>
          </cell>
          <cell r="AI257" t="str">
            <v>No</v>
          </cell>
        </row>
        <row r="258">
          <cell r="A258" t="str">
            <v>P74C3</v>
          </cell>
          <cell r="B258">
            <v>353.1</v>
          </cell>
          <cell r="C258">
            <v>0.75143647584592499</v>
          </cell>
          <cell r="D258">
            <v>6.13</v>
          </cell>
          <cell r="E258" t="str">
            <v>No</v>
          </cell>
          <cell r="G258">
            <v>352.1</v>
          </cell>
          <cell r="H258">
            <v>0.74930836348159202</v>
          </cell>
          <cell r="I258">
            <v>5.86</v>
          </cell>
          <cell r="J258" t="str">
            <v>No</v>
          </cell>
          <cell r="L258">
            <v>380.2</v>
          </cell>
          <cell r="M258">
            <v>0.80910832091934504</v>
          </cell>
          <cell r="N258">
            <v>14.39</v>
          </cell>
          <cell r="O258" t="str">
            <v>No</v>
          </cell>
          <cell r="Q258">
            <v>379.4</v>
          </cell>
          <cell r="R258">
            <v>0.807405831027878</v>
          </cell>
          <cell r="S258">
            <v>12.83</v>
          </cell>
          <cell r="T258" t="str">
            <v>No</v>
          </cell>
          <cell r="V258">
            <v>399.2</v>
          </cell>
          <cell r="W258">
            <v>0.84954245584166799</v>
          </cell>
          <cell r="X258">
            <v>29.84</v>
          </cell>
          <cell r="Y258" t="str">
            <v>No</v>
          </cell>
          <cell r="AA258">
            <v>411.8</v>
          </cell>
          <cell r="AB258">
            <v>0.87635667163226205</v>
          </cell>
          <cell r="AC258">
            <v>43.58</v>
          </cell>
          <cell r="AD258" t="str">
            <v>No</v>
          </cell>
          <cell r="AF258">
            <v>396.8</v>
          </cell>
          <cell r="AG258">
            <v>0.84443498616726997</v>
          </cell>
          <cell r="AH258">
            <v>21.5</v>
          </cell>
          <cell r="AI258" t="str">
            <v>No</v>
          </cell>
        </row>
        <row r="259">
          <cell r="A259" t="str">
            <v>P75C1</v>
          </cell>
          <cell r="B259">
            <v>357.8</v>
          </cell>
          <cell r="C259">
            <v>0.761438603958289</v>
          </cell>
          <cell r="D259">
            <v>6.7919999999999998</v>
          </cell>
          <cell r="E259" t="str">
            <v>No</v>
          </cell>
          <cell r="G259">
            <v>370.2</v>
          </cell>
          <cell r="H259">
            <v>0.78782719727601602</v>
          </cell>
          <cell r="I259">
            <v>10.31</v>
          </cell>
          <cell r="J259" t="str">
            <v>No</v>
          </cell>
          <cell r="L259">
            <v>352</v>
          </cell>
          <cell r="M259">
            <v>0.749095552245159</v>
          </cell>
          <cell r="N259">
            <v>5.9009999999999998</v>
          </cell>
          <cell r="O259" t="str">
            <v>No</v>
          </cell>
          <cell r="Q259">
            <v>318.8</v>
          </cell>
          <cell r="R259">
            <v>0.67844222174930802</v>
          </cell>
          <cell r="S259">
            <v>1.7989999999999999</v>
          </cell>
          <cell r="T259" t="str">
            <v>Yes</v>
          </cell>
          <cell r="V259">
            <v>328.1</v>
          </cell>
          <cell r="W259">
            <v>0.69823366673760401</v>
          </cell>
          <cell r="X259">
            <v>2.552</v>
          </cell>
          <cell r="Y259" t="str">
            <v>No</v>
          </cell>
          <cell r="AA259">
            <v>367.5</v>
          </cell>
          <cell r="AB259">
            <v>0.78208129389231795</v>
          </cell>
          <cell r="AC259">
            <v>8.8219999999999992</v>
          </cell>
          <cell r="AD259" t="str">
            <v>No</v>
          </cell>
          <cell r="AF259">
            <v>417.7</v>
          </cell>
          <cell r="AG259">
            <v>0.88891253458182595</v>
          </cell>
          <cell r="AH259">
            <v>54.28</v>
          </cell>
          <cell r="AI259" t="str">
            <v>No</v>
          </cell>
        </row>
        <row r="260">
          <cell r="A260" t="str">
            <v>P75C2</v>
          </cell>
          <cell r="B260">
            <v>368.3</v>
          </cell>
          <cell r="C260">
            <v>0.78378378378378399</v>
          </cell>
          <cell r="D260">
            <v>9.5289999999999999</v>
          </cell>
          <cell r="E260" t="str">
            <v>No</v>
          </cell>
          <cell r="G260">
            <v>376.4</v>
          </cell>
          <cell r="H260">
            <v>0.80102149393487998</v>
          </cell>
          <cell r="I260">
            <v>13.22</v>
          </cell>
          <cell r="J260" t="str">
            <v>No</v>
          </cell>
          <cell r="L260">
            <v>389.9</v>
          </cell>
          <cell r="M260">
            <v>0.82975101085337299</v>
          </cell>
          <cell r="N260">
            <v>17.64</v>
          </cell>
          <cell r="O260" t="str">
            <v>No</v>
          </cell>
          <cell r="Q260">
            <v>379.9</v>
          </cell>
          <cell r="R260">
            <v>0.80846988721004498</v>
          </cell>
          <cell r="S260">
            <v>13.1</v>
          </cell>
          <cell r="T260" t="str">
            <v>No</v>
          </cell>
          <cell r="V260">
            <v>327.9</v>
          </cell>
          <cell r="W260">
            <v>0.69780804426473697</v>
          </cell>
          <cell r="X260">
            <v>2.4980000000000002</v>
          </cell>
          <cell r="Y260" t="str">
            <v>No</v>
          </cell>
          <cell r="AA260">
            <v>399.3</v>
          </cell>
          <cell r="AB260">
            <v>0.84975526707810201</v>
          </cell>
          <cell r="AC260">
            <v>27.7</v>
          </cell>
          <cell r="AD260" t="str">
            <v>No</v>
          </cell>
          <cell r="AF260">
            <v>397.9</v>
          </cell>
          <cell r="AG260">
            <v>0.84677590976803596</v>
          </cell>
          <cell r="AH260">
            <v>23.59</v>
          </cell>
          <cell r="AI260" t="str">
            <v>No</v>
          </cell>
        </row>
        <row r="261">
          <cell r="A261" t="str">
            <v>P75C3</v>
          </cell>
          <cell r="B261">
            <v>309.3</v>
          </cell>
          <cell r="C261">
            <v>0.65822515428814599</v>
          </cell>
          <cell r="D261">
            <v>1.1879999999999999</v>
          </cell>
          <cell r="E261" t="str">
            <v>Yes</v>
          </cell>
          <cell r="G261">
            <v>377.4</v>
          </cell>
          <cell r="H261">
            <v>0.80314960629921295</v>
          </cell>
          <cell r="I261">
            <v>12.21</v>
          </cell>
          <cell r="J261" t="str">
            <v>No</v>
          </cell>
          <cell r="L261">
            <v>322.39999999999998</v>
          </cell>
          <cell r="M261">
            <v>0.68610342626090703</v>
          </cell>
          <cell r="N261">
            <v>2.09</v>
          </cell>
          <cell r="O261" t="str">
            <v>Yes</v>
          </cell>
          <cell r="Q261">
            <v>312.7</v>
          </cell>
          <cell r="R261">
            <v>0.66546073632687797</v>
          </cell>
          <cell r="S261">
            <v>1.45</v>
          </cell>
          <cell r="T261" t="str">
            <v>Yes</v>
          </cell>
          <cell r="V261">
            <v>393</v>
          </cell>
          <cell r="W261">
            <v>0.83634815918280503</v>
          </cell>
          <cell r="X261">
            <v>19.72</v>
          </cell>
          <cell r="Y261" t="str">
            <v>No</v>
          </cell>
          <cell r="AA261">
            <v>407.6</v>
          </cell>
          <cell r="AB261">
            <v>0.86741859970206403</v>
          </cell>
          <cell r="AC261">
            <v>38.19</v>
          </cell>
          <cell r="AD261" t="str">
            <v>No</v>
          </cell>
          <cell r="AF261">
            <v>408</v>
          </cell>
          <cell r="AG261">
            <v>0.868269844647797</v>
          </cell>
          <cell r="AH261">
            <v>44.94</v>
          </cell>
          <cell r="AI261" t="str">
            <v>No</v>
          </cell>
        </row>
        <row r="262">
          <cell r="A262" t="str">
            <v>P76C1</v>
          </cell>
          <cell r="B262">
            <v>329.1</v>
          </cell>
          <cell r="C262">
            <v>0.70036177910193698</v>
          </cell>
          <cell r="D262">
            <v>2.7349999999999999</v>
          </cell>
          <cell r="E262" t="str">
            <v>Yes</v>
          </cell>
          <cell r="G262">
            <v>360.4</v>
          </cell>
          <cell r="H262">
            <v>0.76697169610555405</v>
          </cell>
          <cell r="I262">
            <v>7.4630000000000001</v>
          </cell>
          <cell r="J262" t="str">
            <v>No</v>
          </cell>
          <cell r="L262">
            <v>343.2</v>
          </cell>
          <cell r="M262">
            <v>0.73036816343902999</v>
          </cell>
          <cell r="N262">
            <v>4.3209999999999997</v>
          </cell>
          <cell r="O262" t="str">
            <v>No</v>
          </cell>
          <cell r="Q262">
            <v>363.5</v>
          </cell>
          <cell r="R262">
            <v>0.77356884443498597</v>
          </cell>
          <cell r="S262">
            <v>7.6609999999999996</v>
          </cell>
          <cell r="T262" t="str">
            <v>No</v>
          </cell>
          <cell r="V262">
            <v>415.2</v>
          </cell>
          <cell r="W262">
            <v>0.88359225367099403</v>
          </cell>
          <cell r="X262">
            <v>67.25</v>
          </cell>
          <cell r="Y262" t="str">
            <v>No</v>
          </cell>
          <cell r="AA262">
            <v>385</v>
          </cell>
          <cell r="AB262">
            <v>0.81932326026814195</v>
          </cell>
          <cell r="AC262">
            <v>18.91</v>
          </cell>
          <cell r="AD262" t="str">
            <v>No</v>
          </cell>
          <cell r="AF262">
            <v>410.9</v>
          </cell>
          <cell r="AG262">
            <v>0.87444137050436299</v>
          </cell>
          <cell r="AH262">
            <v>47.37</v>
          </cell>
          <cell r="AI262" t="str">
            <v>No</v>
          </cell>
        </row>
        <row r="263">
          <cell r="A263" t="str">
            <v>P76C2</v>
          </cell>
          <cell r="B263">
            <v>347.5</v>
          </cell>
          <cell r="C263">
            <v>0.73951904660566103</v>
          </cell>
          <cell r="D263">
            <v>4.9109999999999996</v>
          </cell>
          <cell r="E263" t="str">
            <v>No</v>
          </cell>
          <cell r="G263">
            <v>341.8</v>
          </cell>
          <cell r="H263">
            <v>0.72738880612896395</v>
          </cell>
          <cell r="I263">
            <v>3.91</v>
          </cell>
          <cell r="J263" t="str">
            <v>No</v>
          </cell>
          <cell r="L263">
            <v>322.7</v>
          </cell>
          <cell r="M263">
            <v>0.68674185997020598</v>
          </cell>
          <cell r="N263">
            <v>1.9810000000000001</v>
          </cell>
          <cell r="O263" t="str">
            <v>Yes</v>
          </cell>
          <cell r="Q263">
            <v>322.60000000000002</v>
          </cell>
          <cell r="R263">
            <v>0.68652904873377296</v>
          </cell>
          <cell r="S263">
            <v>2.21</v>
          </cell>
          <cell r="T263" t="str">
            <v>Yes</v>
          </cell>
          <cell r="V263">
            <v>427.5</v>
          </cell>
          <cell r="W263">
            <v>0.90976803575228804</v>
          </cell>
          <cell r="X263">
            <v>98.19</v>
          </cell>
          <cell r="Y263" t="str">
            <v>No</v>
          </cell>
          <cell r="AA263">
            <v>425.2</v>
          </cell>
          <cell r="AB263">
            <v>0.90487337731432205</v>
          </cell>
          <cell r="AC263">
            <v>72.319999999999993</v>
          </cell>
          <cell r="AD263" t="str">
            <v>No</v>
          </cell>
          <cell r="AF263">
            <v>419.7</v>
          </cell>
          <cell r="AG263">
            <v>0.893168759310492</v>
          </cell>
          <cell r="AH263">
            <v>67.319999999999993</v>
          </cell>
          <cell r="AI263" t="str">
            <v>No</v>
          </cell>
        </row>
        <row r="264">
          <cell r="A264" t="str">
            <v>P76C3</v>
          </cell>
          <cell r="B264">
            <v>392.6</v>
          </cell>
          <cell r="C264">
            <v>0.83549691423707195</v>
          </cell>
          <cell r="D264">
            <v>20.11</v>
          </cell>
          <cell r="E264" t="str">
            <v>No</v>
          </cell>
          <cell r="G264">
            <v>396.6</v>
          </cell>
          <cell r="H264">
            <v>0.84400936369440305</v>
          </cell>
          <cell r="I264">
            <v>22.54</v>
          </cell>
          <cell r="J264" t="str">
            <v>No</v>
          </cell>
          <cell r="L264">
            <v>370.1</v>
          </cell>
          <cell r="M264">
            <v>0.787614386039583</v>
          </cell>
          <cell r="N264">
            <v>9.7349999999999994</v>
          </cell>
          <cell r="O264" t="str">
            <v>No</v>
          </cell>
          <cell r="Q264">
            <v>385.8</v>
          </cell>
          <cell r="R264">
            <v>0.82102575015960799</v>
          </cell>
          <cell r="S264">
            <v>15.57</v>
          </cell>
          <cell r="T264" t="str">
            <v>No</v>
          </cell>
          <cell r="V264">
            <v>418.4</v>
          </cell>
          <cell r="W264">
            <v>0.89040221323685897</v>
          </cell>
          <cell r="X264">
            <v>76.62</v>
          </cell>
          <cell r="Y264" t="str">
            <v>No</v>
          </cell>
          <cell r="AA264">
            <v>397.2</v>
          </cell>
          <cell r="AB264">
            <v>0.84528623111300305</v>
          </cell>
          <cell r="AC264">
            <v>23.43</v>
          </cell>
          <cell r="AD264" t="str">
            <v>No</v>
          </cell>
          <cell r="AF264">
            <v>392.5</v>
          </cell>
          <cell r="AG264">
            <v>0.83528410300063805</v>
          </cell>
          <cell r="AH264">
            <v>18.809999999999999</v>
          </cell>
          <cell r="AI264" t="str">
            <v>No</v>
          </cell>
        </row>
        <row r="265">
          <cell r="A265" t="str">
            <v>P77C1</v>
          </cell>
          <cell r="B265">
            <v>332.1</v>
          </cell>
          <cell r="C265">
            <v>0.70674611619493499</v>
          </cell>
          <cell r="D265">
            <v>2.7829999999999999</v>
          </cell>
          <cell r="E265" t="str">
            <v>No</v>
          </cell>
          <cell r="G265">
            <v>314.2</v>
          </cell>
          <cell r="H265">
            <v>0.66865290487337703</v>
          </cell>
          <cell r="I265">
            <v>1.4</v>
          </cell>
          <cell r="J265" t="str">
            <v>Yes</v>
          </cell>
          <cell r="L265">
            <v>358.5</v>
          </cell>
          <cell r="M265">
            <v>0.76292828261332202</v>
          </cell>
          <cell r="N265">
            <v>6.7990000000000004</v>
          </cell>
          <cell r="O265" t="str">
            <v>No</v>
          </cell>
          <cell r="Q265">
            <v>396.6</v>
          </cell>
          <cell r="R265">
            <v>0.84400936369440305</v>
          </cell>
          <cell r="S265">
            <v>21.11</v>
          </cell>
          <cell r="T265" t="str">
            <v>No</v>
          </cell>
          <cell r="V265">
            <v>385.6</v>
          </cell>
          <cell r="W265">
            <v>0.82060012768674195</v>
          </cell>
          <cell r="X265">
            <v>15.64</v>
          </cell>
          <cell r="Y265" t="str">
            <v>No</v>
          </cell>
          <cell r="AA265">
            <v>368.1</v>
          </cell>
          <cell r="AB265">
            <v>0.78335816131091696</v>
          </cell>
          <cell r="AC265">
            <v>8.9749999999999996</v>
          </cell>
          <cell r="AD265" t="str">
            <v>No</v>
          </cell>
          <cell r="AF265">
            <v>385.3</v>
          </cell>
          <cell r="AG265">
            <v>0.81996169397744201</v>
          </cell>
          <cell r="AH265">
            <v>16.95</v>
          </cell>
          <cell r="AI265" t="str">
            <v>No</v>
          </cell>
        </row>
        <row r="266">
          <cell r="A266" t="str">
            <v>P77C2</v>
          </cell>
          <cell r="B266">
            <v>338.7</v>
          </cell>
          <cell r="C266">
            <v>0.72079165779953203</v>
          </cell>
          <cell r="D266">
            <v>3.5609999999999999</v>
          </cell>
          <cell r="E266" t="str">
            <v>No</v>
          </cell>
          <cell r="G266">
            <v>347.9</v>
          </cell>
          <cell r="H266">
            <v>0.740370291551394</v>
          </cell>
          <cell r="I266">
            <v>4.8310000000000004</v>
          </cell>
          <cell r="J266" t="str">
            <v>No</v>
          </cell>
          <cell r="L266">
            <v>322</v>
          </cell>
          <cell r="M266">
            <v>0.68525218131517396</v>
          </cell>
          <cell r="N266">
            <v>2.16</v>
          </cell>
          <cell r="O266" t="str">
            <v>Yes</v>
          </cell>
          <cell r="Q266">
            <v>324.39999999999998</v>
          </cell>
          <cell r="R266">
            <v>0.69035965098957197</v>
          </cell>
          <cell r="S266">
            <v>2.2509999999999999</v>
          </cell>
          <cell r="T266" t="str">
            <v>Yes</v>
          </cell>
          <cell r="V266">
            <v>407.5</v>
          </cell>
          <cell r="W266">
            <v>0.86720578846563101</v>
          </cell>
          <cell r="X266">
            <v>39.82</v>
          </cell>
          <cell r="Y266" t="str">
            <v>No</v>
          </cell>
          <cell r="AA266">
            <v>367.7</v>
          </cell>
          <cell r="AB266">
            <v>0.78250691636518399</v>
          </cell>
          <cell r="AC266">
            <v>10.32</v>
          </cell>
          <cell r="AD266" t="str">
            <v>No</v>
          </cell>
          <cell r="AF266">
            <v>403.8</v>
          </cell>
          <cell r="AG266">
            <v>0.85933177271759997</v>
          </cell>
          <cell r="AH266">
            <v>30</v>
          </cell>
          <cell r="AI266" t="str">
            <v>No</v>
          </cell>
        </row>
        <row r="267">
          <cell r="A267" t="str">
            <v>P77C3</v>
          </cell>
          <cell r="B267">
            <v>417.4</v>
          </cell>
          <cell r="C267">
            <v>0.88827410087252601</v>
          </cell>
          <cell r="D267">
            <v>73.28</v>
          </cell>
          <cell r="E267" t="str">
            <v>No</v>
          </cell>
          <cell r="G267">
            <v>380.2</v>
          </cell>
          <cell r="H267">
            <v>0.80910832091934504</v>
          </cell>
          <cell r="I267">
            <v>14.2</v>
          </cell>
          <cell r="J267" t="str">
            <v>No</v>
          </cell>
          <cell r="L267">
            <v>391.7</v>
          </cell>
          <cell r="M267">
            <v>0.833581613109172</v>
          </cell>
          <cell r="N267">
            <v>19.09</v>
          </cell>
          <cell r="O267" t="str">
            <v>No</v>
          </cell>
          <cell r="Q267">
            <v>352.7</v>
          </cell>
          <cell r="R267">
            <v>0.75058523090019202</v>
          </cell>
          <cell r="S267">
            <v>6.0330000000000004</v>
          </cell>
          <cell r="T267" t="str">
            <v>No</v>
          </cell>
          <cell r="V267">
            <v>413.1</v>
          </cell>
          <cell r="W267">
            <v>0.87912321770589497</v>
          </cell>
          <cell r="X267">
            <v>42.95</v>
          </cell>
          <cell r="Y267" t="str">
            <v>No</v>
          </cell>
          <cell r="AA267">
            <v>323.7</v>
          </cell>
          <cell r="AB267">
            <v>0.68886997233453895</v>
          </cell>
          <cell r="AC267">
            <v>2.19</v>
          </cell>
          <cell r="AD267" t="str">
            <v>No</v>
          </cell>
          <cell r="AF267">
            <v>405.4</v>
          </cell>
          <cell r="AG267">
            <v>0.86273675250053194</v>
          </cell>
          <cell r="AH267">
            <v>33.46</v>
          </cell>
          <cell r="AI267" t="str">
            <v>No</v>
          </cell>
        </row>
        <row r="268">
          <cell r="A268" t="str">
            <v>P78C1</v>
          </cell>
          <cell r="B268">
            <v>327.3</v>
          </cell>
          <cell r="C268">
            <v>0.69653117684613797</v>
          </cell>
          <cell r="D268">
            <v>2.472</v>
          </cell>
          <cell r="E268" t="str">
            <v>Yes</v>
          </cell>
          <cell r="G268">
            <v>328.2</v>
          </cell>
          <cell r="H268">
            <v>0.69844647797403703</v>
          </cell>
          <cell r="I268">
            <v>2.4809999999999999</v>
          </cell>
          <cell r="J268" t="str">
            <v>No</v>
          </cell>
          <cell r="L268">
            <v>367.4</v>
          </cell>
          <cell r="M268">
            <v>0.78186848265588405</v>
          </cell>
          <cell r="N268">
            <v>8.8979999999999997</v>
          </cell>
          <cell r="O268" t="str">
            <v>No</v>
          </cell>
          <cell r="Q268">
            <v>353.3</v>
          </cell>
          <cell r="R268">
            <v>0.75186209831879103</v>
          </cell>
          <cell r="S268">
            <v>5.798</v>
          </cell>
          <cell r="T268" t="str">
            <v>No</v>
          </cell>
          <cell r="V268">
            <v>412.7</v>
          </cell>
          <cell r="W268">
            <v>0.878271972760162</v>
          </cell>
          <cell r="X268">
            <v>47.96</v>
          </cell>
          <cell r="Y268" t="str">
            <v>No</v>
          </cell>
          <cell r="AA268">
            <v>395</v>
          </cell>
          <cell r="AB268">
            <v>0.84060438391147096</v>
          </cell>
          <cell r="AC268">
            <v>25.14</v>
          </cell>
          <cell r="AD268" t="str">
            <v>No</v>
          </cell>
          <cell r="AF268">
            <v>410.7</v>
          </cell>
          <cell r="AG268">
            <v>0.87401574803149595</v>
          </cell>
          <cell r="AH268">
            <v>47.6</v>
          </cell>
          <cell r="AI268" t="str">
            <v>No</v>
          </cell>
        </row>
        <row r="269">
          <cell r="A269" t="str">
            <v>P78C2</v>
          </cell>
          <cell r="B269">
            <v>325.10000000000002</v>
          </cell>
          <cell r="C269">
            <v>0.69184932964460499</v>
          </cell>
          <cell r="D269">
            <v>2.13</v>
          </cell>
          <cell r="E269" t="str">
            <v>Yes</v>
          </cell>
          <cell r="G269">
            <v>342.5</v>
          </cell>
          <cell r="H269">
            <v>0.72887848478399697</v>
          </cell>
          <cell r="I269">
            <v>3.7749999999999999</v>
          </cell>
          <cell r="J269" t="str">
            <v>No</v>
          </cell>
          <cell r="L269">
            <v>379.5</v>
          </cell>
          <cell r="M269">
            <v>0.80761864226431201</v>
          </cell>
          <cell r="N269">
            <v>14.3</v>
          </cell>
          <cell r="O269" t="str">
            <v>No</v>
          </cell>
          <cell r="Q269">
            <v>376.2</v>
          </cell>
          <cell r="R269">
            <v>0.80059587146201305</v>
          </cell>
          <cell r="S269">
            <v>12.72</v>
          </cell>
          <cell r="T269" t="str">
            <v>No</v>
          </cell>
          <cell r="V269">
            <v>405.2</v>
          </cell>
          <cell r="W269">
            <v>0.86231113002766502</v>
          </cell>
          <cell r="X269">
            <v>32.520000000000003</v>
          </cell>
          <cell r="Y269" t="str">
            <v>No</v>
          </cell>
          <cell r="AA269">
            <v>409.6</v>
          </cell>
          <cell r="AB269">
            <v>0.87167482443072997</v>
          </cell>
          <cell r="AC269">
            <v>43.82</v>
          </cell>
          <cell r="AD269" t="str">
            <v>No</v>
          </cell>
          <cell r="AF269">
            <v>398.4</v>
          </cell>
          <cell r="AG269">
            <v>0.84783996595020195</v>
          </cell>
          <cell r="AH269">
            <v>26.19</v>
          </cell>
          <cell r="AI269" t="str">
            <v>No</v>
          </cell>
        </row>
        <row r="270">
          <cell r="A270" t="str">
            <v>P78C3</v>
          </cell>
          <cell r="B270">
            <v>323</v>
          </cell>
          <cell r="C270">
            <v>0.68738029367950604</v>
          </cell>
          <cell r="D270">
            <v>2.16</v>
          </cell>
          <cell r="E270" t="str">
            <v>Yes</v>
          </cell>
          <cell r="G270">
            <v>361.5</v>
          </cell>
          <cell r="H270">
            <v>0.76931261970632003</v>
          </cell>
          <cell r="I270">
            <v>7.4470000000000001</v>
          </cell>
          <cell r="J270" t="str">
            <v>No</v>
          </cell>
          <cell r="L270">
            <v>380.3</v>
          </cell>
          <cell r="M270">
            <v>0.80932113215577794</v>
          </cell>
          <cell r="N270">
            <v>15.09</v>
          </cell>
          <cell r="O270" t="str">
            <v>No</v>
          </cell>
          <cell r="Q270">
            <v>379.7</v>
          </cell>
          <cell r="R270">
            <v>0.80804426473717805</v>
          </cell>
          <cell r="S270">
            <v>15.35</v>
          </cell>
          <cell r="T270" t="str">
            <v>No</v>
          </cell>
          <cell r="V270">
            <v>416.8</v>
          </cell>
          <cell r="W270">
            <v>0.886997233453926</v>
          </cell>
          <cell r="X270">
            <v>55.27</v>
          </cell>
          <cell r="Y270" t="str">
            <v>No</v>
          </cell>
          <cell r="AA270">
            <v>417.4</v>
          </cell>
          <cell r="AB270">
            <v>0.88827410087252601</v>
          </cell>
          <cell r="AC270">
            <v>56.08</v>
          </cell>
          <cell r="AD270" t="str">
            <v>No</v>
          </cell>
          <cell r="AF270">
            <v>409.6</v>
          </cell>
          <cell r="AG270">
            <v>0.87167482443072997</v>
          </cell>
          <cell r="AH270">
            <v>51.14</v>
          </cell>
          <cell r="AI270" t="str">
            <v>No</v>
          </cell>
        </row>
        <row r="271">
          <cell r="A271" t="str">
            <v>P79C1</v>
          </cell>
          <cell r="B271">
            <v>327.39999999999998</v>
          </cell>
          <cell r="C271">
            <v>0.69674398808257099</v>
          </cell>
          <cell r="D271">
            <v>2.42</v>
          </cell>
          <cell r="E271" t="str">
            <v>Yes</v>
          </cell>
          <cell r="G271">
            <v>383.6</v>
          </cell>
          <cell r="H271">
            <v>0.81634390295807602</v>
          </cell>
          <cell r="I271">
            <v>15.88</v>
          </cell>
          <cell r="J271" t="str">
            <v>No</v>
          </cell>
          <cell r="L271">
            <v>387.6</v>
          </cell>
          <cell r="M271">
            <v>0.824856352415408</v>
          </cell>
          <cell r="N271">
            <v>18.89</v>
          </cell>
          <cell r="O271" t="str">
            <v>No</v>
          </cell>
          <cell r="Q271">
            <v>398.3</v>
          </cell>
          <cell r="R271">
            <v>0.84762715471376904</v>
          </cell>
          <cell r="S271">
            <v>25.42</v>
          </cell>
          <cell r="T271" t="str">
            <v>No</v>
          </cell>
          <cell r="V271">
            <v>408</v>
          </cell>
          <cell r="W271">
            <v>0.868269844647797</v>
          </cell>
          <cell r="X271">
            <v>33.53</v>
          </cell>
          <cell r="Y271" t="str">
            <v>No</v>
          </cell>
          <cell r="AA271">
            <v>409.1</v>
          </cell>
          <cell r="AB271">
            <v>0.87061076824856398</v>
          </cell>
          <cell r="AC271">
            <v>47.86</v>
          </cell>
          <cell r="AD271" t="str">
            <v>No</v>
          </cell>
          <cell r="AF271">
            <v>415.4</v>
          </cell>
          <cell r="AG271">
            <v>0.88401787614385996</v>
          </cell>
          <cell r="AH271">
            <v>55.38</v>
          </cell>
          <cell r="AI271" t="str">
            <v>No</v>
          </cell>
        </row>
        <row r="272">
          <cell r="A272" t="str">
            <v>P79C2</v>
          </cell>
          <cell r="B272">
            <v>326.89999999999998</v>
          </cell>
          <cell r="C272">
            <v>0.695679931900404</v>
          </cell>
          <cell r="D272">
            <v>2.3679999999999999</v>
          </cell>
          <cell r="E272" t="str">
            <v>Yes</v>
          </cell>
          <cell r="G272">
            <v>385.8</v>
          </cell>
          <cell r="H272">
            <v>0.82102575015960799</v>
          </cell>
          <cell r="I272">
            <v>14.98</v>
          </cell>
          <cell r="J272" t="str">
            <v>No</v>
          </cell>
          <cell r="L272">
            <v>383.1</v>
          </cell>
          <cell r="M272">
            <v>0.81527984677591003</v>
          </cell>
          <cell r="N272">
            <v>16.350000000000001</v>
          </cell>
          <cell r="O272" t="str">
            <v>No</v>
          </cell>
          <cell r="Q272">
            <v>384</v>
          </cell>
          <cell r="R272">
            <v>0.81719514790380898</v>
          </cell>
          <cell r="S272">
            <v>15.14</v>
          </cell>
          <cell r="T272" t="str">
            <v>No</v>
          </cell>
          <cell r="V272">
            <v>399.8</v>
          </cell>
          <cell r="W272">
            <v>0.85081932326026799</v>
          </cell>
          <cell r="X272">
            <v>24.67</v>
          </cell>
          <cell r="Y272" t="str">
            <v>No</v>
          </cell>
          <cell r="AA272">
            <v>405</v>
          </cell>
          <cell r="AB272">
            <v>0.86188550755479898</v>
          </cell>
          <cell r="AC272">
            <v>34.520000000000003</v>
          </cell>
          <cell r="AD272" t="str">
            <v>No</v>
          </cell>
          <cell r="AF272">
            <v>410.3</v>
          </cell>
          <cell r="AG272">
            <v>0.87316450308576299</v>
          </cell>
          <cell r="AH272">
            <v>41.07</v>
          </cell>
          <cell r="AI272" t="str">
            <v>No</v>
          </cell>
        </row>
        <row r="273">
          <cell r="A273" t="str">
            <v>P79C3</v>
          </cell>
          <cell r="B273">
            <v>313</v>
          </cell>
          <cell r="C273">
            <v>0.66609917003617802</v>
          </cell>
          <cell r="D273">
            <v>1.28</v>
          </cell>
          <cell r="E273" t="str">
            <v>Yes</v>
          </cell>
          <cell r="G273">
            <v>374.4</v>
          </cell>
          <cell r="H273">
            <v>0.79676526920621404</v>
          </cell>
          <cell r="I273">
            <v>10.220000000000001</v>
          </cell>
          <cell r="J273" t="str">
            <v>No</v>
          </cell>
          <cell r="L273">
            <v>373.1</v>
          </cell>
          <cell r="M273">
            <v>0.79399872313258102</v>
          </cell>
          <cell r="N273">
            <v>11.44</v>
          </cell>
          <cell r="O273" t="str">
            <v>No</v>
          </cell>
          <cell r="Q273">
            <v>386.7</v>
          </cell>
          <cell r="R273">
            <v>0.82294105128750805</v>
          </cell>
          <cell r="S273">
            <v>17.89</v>
          </cell>
          <cell r="T273" t="str">
            <v>No</v>
          </cell>
          <cell r="V273">
            <v>391.1</v>
          </cell>
          <cell r="W273">
            <v>0.832304745690573</v>
          </cell>
          <cell r="X273">
            <v>21.59</v>
          </cell>
          <cell r="Y273" t="str">
            <v>No</v>
          </cell>
          <cell r="AA273">
            <v>408.4</v>
          </cell>
          <cell r="AB273">
            <v>0.86912108959353096</v>
          </cell>
          <cell r="AC273">
            <v>38.31</v>
          </cell>
          <cell r="AD273" t="str">
            <v>No</v>
          </cell>
          <cell r="AF273">
            <v>418.1</v>
          </cell>
          <cell r="AG273">
            <v>0.88976377952755903</v>
          </cell>
          <cell r="AH273">
            <v>69.650000000000006</v>
          </cell>
          <cell r="AI273" t="str">
            <v>No</v>
          </cell>
        </row>
        <row r="274">
          <cell r="A274" t="str">
            <v>P80C1</v>
          </cell>
          <cell r="B274">
            <v>315.8</v>
          </cell>
          <cell r="C274">
            <v>0.67205788465631</v>
          </cell>
          <cell r="D274">
            <v>1.331</v>
          </cell>
          <cell r="E274" t="str">
            <v>Yes</v>
          </cell>
          <cell r="G274">
            <v>341.7</v>
          </cell>
          <cell r="H274">
            <v>0.72717599489253004</v>
          </cell>
          <cell r="I274">
            <v>4.3310000000000004</v>
          </cell>
          <cell r="J274" t="str">
            <v>No</v>
          </cell>
          <cell r="L274">
            <v>323.7</v>
          </cell>
          <cell r="M274">
            <v>0.68886997233453895</v>
          </cell>
          <cell r="N274">
            <v>2.1890000000000001</v>
          </cell>
          <cell r="O274" t="str">
            <v>Yes</v>
          </cell>
          <cell r="Q274">
            <v>371.6</v>
          </cell>
          <cell r="R274">
            <v>0.79080655458608196</v>
          </cell>
          <cell r="S274">
            <v>10.31</v>
          </cell>
          <cell r="T274" t="str">
            <v>No</v>
          </cell>
          <cell r="V274">
            <v>406.7</v>
          </cell>
          <cell r="W274">
            <v>0.86550329857416497</v>
          </cell>
          <cell r="X274">
            <v>35.39</v>
          </cell>
          <cell r="Y274" t="str">
            <v>No</v>
          </cell>
          <cell r="AA274">
            <v>411.2</v>
          </cell>
          <cell r="AB274">
            <v>0.87507980421366205</v>
          </cell>
          <cell r="AC274">
            <v>45.65</v>
          </cell>
          <cell r="AD274" t="str">
            <v>No</v>
          </cell>
          <cell r="AF274">
            <v>418.5</v>
          </cell>
          <cell r="AG274">
            <v>0.89061502447329199</v>
          </cell>
          <cell r="AH274">
            <v>53.61</v>
          </cell>
          <cell r="AI274" t="str">
            <v>No</v>
          </cell>
        </row>
        <row r="275">
          <cell r="A275" t="str">
            <v>P80C2</v>
          </cell>
          <cell r="B275">
            <v>318.10000000000002</v>
          </cell>
          <cell r="C275">
            <v>0.67695254309427499</v>
          </cell>
          <cell r="D275">
            <v>1.6819999999999999</v>
          </cell>
          <cell r="E275" t="str">
            <v>Yes</v>
          </cell>
          <cell r="G275">
            <v>335</v>
          </cell>
          <cell r="H275">
            <v>0.71291764205149999</v>
          </cell>
          <cell r="I275">
            <v>3.15</v>
          </cell>
          <cell r="J275" t="str">
            <v>No</v>
          </cell>
          <cell r="L275">
            <v>328.9</v>
          </cell>
          <cell r="M275">
            <v>0.69993615662907005</v>
          </cell>
          <cell r="N275">
            <v>2.3809999999999998</v>
          </cell>
          <cell r="O275" t="str">
            <v>Yes</v>
          </cell>
          <cell r="Q275">
            <v>358.1</v>
          </cell>
          <cell r="R275">
            <v>0.76207703766758905</v>
          </cell>
          <cell r="S275">
            <v>6.7309999999999999</v>
          </cell>
          <cell r="T275" t="str">
            <v>No</v>
          </cell>
          <cell r="V275">
            <v>392.7</v>
          </cell>
          <cell r="W275">
            <v>0.83570972547350497</v>
          </cell>
          <cell r="X275">
            <v>21.16</v>
          </cell>
          <cell r="Y275" t="str">
            <v>No</v>
          </cell>
          <cell r="AA275">
            <v>404.7</v>
          </cell>
          <cell r="AB275">
            <v>0.86124707384549903</v>
          </cell>
          <cell r="AC275">
            <v>37.53</v>
          </cell>
          <cell r="AD275" t="str">
            <v>No</v>
          </cell>
          <cell r="AF275">
            <v>407.9</v>
          </cell>
          <cell r="AG275">
            <v>0.86805703341136398</v>
          </cell>
          <cell r="AH275">
            <v>49.08</v>
          </cell>
          <cell r="AI275" t="str">
            <v>No</v>
          </cell>
        </row>
        <row r="276">
          <cell r="A276" t="str">
            <v>P80C3</v>
          </cell>
          <cell r="B276">
            <v>317.89999999999998</v>
          </cell>
          <cell r="C276">
            <v>0.67652692062140896</v>
          </cell>
          <cell r="D276">
            <v>1.5389999999999999</v>
          </cell>
          <cell r="E276" t="str">
            <v>Yes</v>
          </cell>
          <cell r="G276">
            <v>353.4</v>
          </cell>
          <cell r="H276">
            <v>0.75207490955522405</v>
          </cell>
          <cell r="I276">
            <v>5.7809999999999997</v>
          </cell>
          <cell r="J276" t="str">
            <v>No</v>
          </cell>
          <cell r="L276">
            <v>328.6</v>
          </cell>
          <cell r="M276">
            <v>0.69929772291976999</v>
          </cell>
          <cell r="N276">
            <v>2.4380000000000002</v>
          </cell>
          <cell r="O276" t="str">
            <v>Yes</v>
          </cell>
          <cell r="Q276">
            <v>379.9</v>
          </cell>
          <cell r="R276">
            <v>0.80846988721004498</v>
          </cell>
          <cell r="S276">
            <v>12.57</v>
          </cell>
          <cell r="T276" t="str">
            <v>No</v>
          </cell>
          <cell r="V276">
            <v>391.9</v>
          </cell>
          <cell r="W276">
            <v>0.83400723558203904</v>
          </cell>
          <cell r="X276">
            <v>22.03</v>
          </cell>
          <cell r="Y276" t="str">
            <v>No</v>
          </cell>
          <cell r="AA276">
            <v>408.5</v>
          </cell>
          <cell r="AB276">
            <v>0.86933390082996398</v>
          </cell>
          <cell r="AC276">
            <v>42.13</v>
          </cell>
          <cell r="AD276" t="str">
            <v>No</v>
          </cell>
          <cell r="AF276">
            <v>410.3</v>
          </cell>
          <cell r="AG276">
            <v>0.87316450308576299</v>
          </cell>
          <cell r="AH276">
            <v>48.22</v>
          </cell>
          <cell r="AI276" t="str">
            <v>No</v>
          </cell>
        </row>
        <row r="277">
          <cell r="A277" t="str">
            <v>P81C1</v>
          </cell>
          <cell r="B277">
            <v>329.2</v>
          </cell>
          <cell r="C277">
            <v>0.70057459033837</v>
          </cell>
          <cell r="D277">
            <v>2.4620000000000002</v>
          </cell>
          <cell r="E277" t="str">
            <v>Yes</v>
          </cell>
          <cell r="G277">
            <v>360.8</v>
          </cell>
          <cell r="H277">
            <v>0.76782294105128801</v>
          </cell>
          <cell r="I277">
            <v>6.5529999999999999</v>
          </cell>
          <cell r="J277" t="str">
            <v>No</v>
          </cell>
          <cell r="L277">
            <v>324.5</v>
          </cell>
          <cell r="M277">
            <v>0.69057246222600599</v>
          </cell>
          <cell r="N277">
            <v>2.0990000000000002</v>
          </cell>
          <cell r="O277" t="str">
            <v>Yes</v>
          </cell>
          <cell r="Q277">
            <v>325.8</v>
          </cell>
          <cell r="R277">
            <v>0.69333900829963802</v>
          </cell>
          <cell r="S277">
            <v>2.34</v>
          </cell>
          <cell r="T277" t="str">
            <v>Yes</v>
          </cell>
          <cell r="V277">
            <v>399</v>
          </cell>
          <cell r="W277">
            <v>0.84911683336880195</v>
          </cell>
          <cell r="X277">
            <v>25.38</v>
          </cell>
          <cell r="Y277" t="str">
            <v>No</v>
          </cell>
          <cell r="AA277">
            <v>413.9</v>
          </cell>
          <cell r="AB277">
            <v>0.88082570759736101</v>
          </cell>
          <cell r="AC277">
            <v>55.23</v>
          </cell>
          <cell r="AD277" t="str">
            <v>No</v>
          </cell>
          <cell r="AF277">
            <v>394.8</v>
          </cell>
          <cell r="AG277">
            <v>0.84017876143860404</v>
          </cell>
          <cell r="AH277">
            <v>21.79</v>
          </cell>
          <cell r="AI277" t="str">
            <v>No</v>
          </cell>
        </row>
        <row r="278">
          <cell r="A278" t="str">
            <v>P81C2</v>
          </cell>
          <cell r="B278">
            <v>320.8</v>
          </cell>
          <cell r="C278">
            <v>0.68269844647797395</v>
          </cell>
          <cell r="D278">
            <v>1.879</v>
          </cell>
          <cell r="E278" t="str">
            <v>Yes</v>
          </cell>
          <cell r="G278">
            <v>365.2</v>
          </cell>
          <cell r="H278">
            <v>0.77718663545435196</v>
          </cell>
          <cell r="I278">
            <v>7.84</v>
          </cell>
          <cell r="J278" t="str">
            <v>No</v>
          </cell>
          <cell r="L278">
            <v>325.2</v>
          </cell>
          <cell r="M278">
            <v>0.69206214088103901</v>
          </cell>
          <cell r="N278">
            <v>2.4500000000000002</v>
          </cell>
          <cell r="O278" t="str">
            <v>Yes</v>
          </cell>
          <cell r="Q278">
            <v>307.8</v>
          </cell>
          <cell r="R278">
            <v>0.65503298574164703</v>
          </cell>
          <cell r="S278">
            <v>1.099</v>
          </cell>
          <cell r="T278" t="str">
            <v>Yes</v>
          </cell>
          <cell r="V278">
            <v>406.8</v>
          </cell>
          <cell r="W278">
            <v>0.86571610981059799</v>
          </cell>
          <cell r="X278">
            <v>34.119999999999997</v>
          </cell>
          <cell r="Y278" t="str">
            <v>No</v>
          </cell>
          <cell r="AA278">
            <v>406.6</v>
          </cell>
          <cell r="AB278">
            <v>0.86529048733773195</v>
          </cell>
          <cell r="AC278">
            <v>37</v>
          </cell>
          <cell r="AD278" t="str">
            <v>No</v>
          </cell>
          <cell r="AF278">
            <v>408.5</v>
          </cell>
          <cell r="AG278">
            <v>0.86933390082996398</v>
          </cell>
          <cell r="AH278">
            <v>39.53</v>
          </cell>
          <cell r="AI278" t="str">
            <v>No</v>
          </cell>
        </row>
        <row r="279">
          <cell r="A279" t="str">
            <v>P81C3</v>
          </cell>
          <cell r="B279">
            <v>326.7</v>
          </cell>
          <cell r="C279">
            <v>0.69525430942753796</v>
          </cell>
          <cell r="D279">
            <v>2.39</v>
          </cell>
          <cell r="E279" t="str">
            <v>Yes</v>
          </cell>
          <cell r="G279">
            <v>373</v>
          </cell>
          <cell r="H279">
            <v>0.793785911896148</v>
          </cell>
          <cell r="I279">
            <v>10.1</v>
          </cell>
          <cell r="J279" t="str">
            <v>No</v>
          </cell>
          <cell r="L279">
            <v>324.5</v>
          </cell>
          <cell r="M279">
            <v>0.69057246222600599</v>
          </cell>
          <cell r="N279">
            <v>2.37</v>
          </cell>
          <cell r="O279" t="str">
            <v>Yes</v>
          </cell>
          <cell r="Q279">
            <v>325.10000000000002</v>
          </cell>
          <cell r="R279">
            <v>0.69184932964460499</v>
          </cell>
          <cell r="S279">
            <v>2.1800000000000002</v>
          </cell>
          <cell r="T279" t="str">
            <v>Yes</v>
          </cell>
          <cell r="V279">
            <v>412.9</v>
          </cell>
          <cell r="W279">
            <v>0.87869759523302804</v>
          </cell>
          <cell r="X279">
            <v>45.79</v>
          </cell>
          <cell r="Y279" t="str">
            <v>No</v>
          </cell>
          <cell r="AA279">
            <v>413</v>
          </cell>
          <cell r="AB279">
            <v>0.87891040646946195</v>
          </cell>
          <cell r="AC279">
            <v>43.72</v>
          </cell>
          <cell r="AD279" t="str">
            <v>No</v>
          </cell>
          <cell r="AF279">
            <v>415.5</v>
          </cell>
          <cell r="AG279">
            <v>0.88423068738029398</v>
          </cell>
          <cell r="AH279">
            <v>49.08</v>
          </cell>
          <cell r="AI279" t="str">
            <v>No</v>
          </cell>
        </row>
        <row r="280">
          <cell r="A280" t="str">
            <v>P82C1</v>
          </cell>
          <cell r="B280">
            <v>368.9</v>
          </cell>
          <cell r="C280">
            <v>0.785060651202383</v>
          </cell>
          <cell r="D280">
            <v>10.220000000000001</v>
          </cell>
          <cell r="E280" t="str">
            <v>No</v>
          </cell>
          <cell r="G280">
            <v>368.2</v>
          </cell>
          <cell r="H280">
            <v>0.78357097254735097</v>
          </cell>
          <cell r="I280">
            <v>9.1649999999999991</v>
          </cell>
          <cell r="J280" t="str">
            <v>No</v>
          </cell>
          <cell r="L280">
            <v>364.9</v>
          </cell>
          <cell r="M280">
            <v>0.77654820174505201</v>
          </cell>
          <cell r="N280">
            <v>8.4410000000000007</v>
          </cell>
          <cell r="O280" t="str">
            <v>No</v>
          </cell>
          <cell r="Q280">
            <v>371.6</v>
          </cell>
          <cell r="R280">
            <v>0.79080655458608196</v>
          </cell>
          <cell r="S280">
            <v>10.210000000000001</v>
          </cell>
          <cell r="T280" t="str">
            <v>No</v>
          </cell>
          <cell r="V280">
            <v>402.8</v>
          </cell>
          <cell r="W280">
            <v>0.85720366035326701</v>
          </cell>
          <cell r="X280">
            <v>29.55</v>
          </cell>
          <cell r="Y280" t="str">
            <v>No</v>
          </cell>
          <cell r="AA280">
            <v>418.4</v>
          </cell>
          <cell r="AB280">
            <v>0.89040221323685897</v>
          </cell>
          <cell r="AC280">
            <v>54.08</v>
          </cell>
          <cell r="AD280" t="str">
            <v>No</v>
          </cell>
          <cell r="AF280">
            <v>390.6</v>
          </cell>
          <cell r="AG280">
            <v>0.83124068950840602</v>
          </cell>
          <cell r="AH280">
            <v>22.69</v>
          </cell>
          <cell r="AI280" t="str">
            <v>No</v>
          </cell>
        </row>
        <row r="281">
          <cell r="A281" t="str">
            <v>P82C2</v>
          </cell>
          <cell r="B281">
            <v>382.4</v>
          </cell>
          <cell r="C281">
            <v>0.81379016812087701</v>
          </cell>
          <cell r="D281">
            <v>15.3</v>
          </cell>
          <cell r="E281" t="str">
            <v>No</v>
          </cell>
          <cell r="G281">
            <v>364.6</v>
          </cell>
          <cell r="H281">
            <v>0.77590976803575196</v>
          </cell>
          <cell r="I281">
            <v>8.8369999999999997</v>
          </cell>
          <cell r="J281" t="str">
            <v>No</v>
          </cell>
          <cell r="L281">
            <v>357.6</v>
          </cell>
          <cell r="M281">
            <v>0.76101298148542296</v>
          </cell>
          <cell r="N281">
            <v>7.2030000000000003</v>
          </cell>
          <cell r="O281" t="str">
            <v>No</v>
          </cell>
          <cell r="Q281">
            <v>359.2</v>
          </cell>
          <cell r="R281">
            <v>0.76441796126835504</v>
          </cell>
          <cell r="S281">
            <v>6.46</v>
          </cell>
          <cell r="T281" t="str">
            <v>No</v>
          </cell>
          <cell r="V281">
            <v>394.2</v>
          </cell>
          <cell r="W281">
            <v>0.83890189402000404</v>
          </cell>
          <cell r="X281">
            <v>24.7</v>
          </cell>
          <cell r="Y281" t="str">
            <v>No</v>
          </cell>
          <cell r="AA281">
            <v>409.8</v>
          </cell>
          <cell r="AB281">
            <v>0.872100446903597</v>
          </cell>
          <cell r="AC281">
            <v>44.2</v>
          </cell>
          <cell r="AD281" t="str">
            <v>No</v>
          </cell>
          <cell r="AF281">
            <v>410.9</v>
          </cell>
          <cell r="AG281">
            <v>0.87444137050436299</v>
          </cell>
          <cell r="AH281">
            <v>46.3</v>
          </cell>
          <cell r="AI281" t="str">
            <v>No</v>
          </cell>
        </row>
        <row r="282">
          <cell r="A282" t="str">
            <v>P82C3</v>
          </cell>
          <cell r="B282">
            <v>389</v>
          </cell>
          <cell r="C282">
            <v>0.82783570972547305</v>
          </cell>
          <cell r="D282">
            <v>16.79</v>
          </cell>
          <cell r="E282" t="str">
            <v>No</v>
          </cell>
          <cell r="G282">
            <v>377.7</v>
          </cell>
          <cell r="H282">
            <v>0.80378804000851201</v>
          </cell>
          <cell r="I282">
            <v>11.5</v>
          </cell>
          <cell r="J282" t="str">
            <v>No</v>
          </cell>
          <cell r="L282">
            <v>367.4</v>
          </cell>
          <cell r="M282">
            <v>0.78186848265588405</v>
          </cell>
          <cell r="N282">
            <v>9.3510000000000009</v>
          </cell>
          <cell r="O282" t="str">
            <v>No</v>
          </cell>
          <cell r="Q282">
            <v>378.5</v>
          </cell>
          <cell r="R282">
            <v>0.80549052989997905</v>
          </cell>
          <cell r="S282">
            <v>11.9</v>
          </cell>
          <cell r="T282" t="str">
            <v>No</v>
          </cell>
          <cell r="V282">
            <v>405.9</v>
          </cell>
          <cell r="W282">
            <v>0.86380080868269804</v>
          </cell>
          <cell r="X282">
            <v>33.049999999999997</v>
          </cell>
          <cell r="Y282" t="str">
            <v>No</v>
          </cell>
          <cell r="AA282">
            <v>419.6</v>
          </cell>
          <cell r="AB282">
            <v>0.89295594807405798</v>
          </cell>
          <cell r="AC282">
            <v>70.930000000000007</v>
          </cell>
          <cell r="AD282" t="str">
            <v>No</v>
          </cell>
          <cell r="AF282">
            <v>407.8</v>
          </cell>
          <cell r="AG282">
            <v>0.86784422217493096</v>
          </cell>
          <cell r="AH282">
            <v>38.51</v>
          </cell>
          <cell r="AI282" t="str">
            <v>No</v>
          </cell>
        </row>
        <row r="283">
          <cell r="A283" t="str">
            <v>P83C1</v>
          </cell>
          <cell r="B283">
            <v>366.9</v>
          </cell>
          <cell r="C283">
            <v>0.78080442647371795</v>
          </cell>
          <cell r="D283">
            <v>9.7989999999999995</v>
          </cell>
          <cell r="E283" t="str">
            <v>No</v>
          </cell>
          <cell r="G283">
            <v>363.2</v>
          </cell>
          <cell r="H283">
            <v>0.77293041072568602</v>
          </cell>
          <cell r="I283">
            <v>7.3310000000000004</v>
          </cell>
          <cell r="J283" t="str">
            <v>No</v>
          </cell>
          <cell r="L283">
            <v>351.1</v>
          </cell>
          <cell r="M283">
            <v>0.74718025111725905</v>
          </cell>
          <cell r="N283">
            <v>5.6710000000000003</v>
          </cell>
          <cell r="O283" t="str">
            <v>No</v>
          </cell>
          <cell r="Q283">
            <v>353.8</v>
          </cell>
          <cell r="R283">
            <v>0.75292615450095801</v>
          </cell>
          <cell r="S283">
            <v>6.28</v>
          </cell>
          <cell r="T283" t="str">
            <v>No</v>
          </cell>
          <cell r="V283">
            <v>375.7</v>
          </cell>
          <cell r="W283">
            <v>0.79953181527984696</v>
          </cell>
          <cell r="X283">
            <v>10.53</v>
          </cell>
          <cell r="Y283" t="str">
            <v>No</v>
          </cell>
          <cell r="AA283">
            <v>417.7</v>
          </cell>
          <cell r="AB283">
            <v>0.88891253458182595</v>
          </cell>
          <cell r="AC283">
            <v>56.34</v>
          </cell>
          <cell r="AD283" t="str">
            <v>No</v>
          </cell>
          <cell r="AF283">
            <v>413.4</v>
          </cell>
          <cell r="AG283">
            <v>0.87976165141519502</v>
          </cell>
          <cell r="AH283">
            <v>56.43</v>
          </cell>
          <cell r="AI283" t="str">
            <v>No</v>
          </cell>
        </row>
        <row r="284">
          <cell r="A284" t="str">
            <v>P83C2</v>
          </cell>
          <cell r="B284">
            <v>362.6</v>
          </cell>
          <cell r="C284">
            <v>0.77165354330708702</v>
          </cell>
          <cell r="D284">
            <v>7.609</v>
          </cell>
          <cell r="E284" t="str">
            <v>No</v>
          </cell>
          <cell r="G284">
            <v>329</v>
          </cell>
          <cell r="H284">
            <v>0.70014896786550296</v>
          </cell>
          <cell r="I284">
            <v>2.48</v>
          </cell>
          <cell r="J284" t="str">
            <v>No</v>
          </cell>
          <cell r="L284">
            <v>324.3</v>
          </cell>
          <cell r="M284">
            <v>0.69014683975313895</v>
          </cell>
          <cell r="N284">
            <v>2.1110000000000002</v>
          </cell>
          <cell r="O284" t="str">
            <v>Yes</v>
          </cell>
          <cell r="Q284">
            <v>334.4</v>
          </cell>
          <cell r="R284">
            <v>0.71164077463290099</v>
          </cell>
          <cell r="S284">
            <v>3.3479999999999999</v>
          </cell>
          <cell r="T284" t="str">
            <v>No</v>
          </cell>
          <cell r="V284">
            <v>398.2</v>
          </cell>
          <cell r="W284">
            <v>0.84741434347733602</v>
          </cell>
          <cell r="X284">
            <v>27.35</v>
          </cell>
          <cell r="Y284" t="str">
            <v>No</v>
          </cell>
          <cell r="AA284">
            <v>407.8</v>
          </cell>
          <cell r="AB284">
            <v>0.86784422217493096</v>
          </cell>
          <cell r="AC284">
            <v>44.02</v>
          </cell>
          <cell r="AD284" t="str">
            <v>No</v>
          </cell>
          <cell r="AF284">
            <v>393.9</v>
          </cell>
          <cell r="AG284">
            <v>0.83826346031070398</v>
          </cell>
          <cell r="AH284">
            <v>22.11</v>
          </cell>
          <cell r="AI284" t="str">
            <v>No</v>
          </cell>
        </row>
        <row r="285">
          <cell r="A285" t="str">
            <v>P83C3</v>
          </cell>
          <cell r="B285">
            <v>383.4</v>
          </cell>
          <cell r="C285">
            <v>0.81591828048520998</v>
          </cell>
          <cell r="D285">
            <v>14.2</v>
          </cell>
          <cell r="E285" t="str">
            <v>No</v>
          </cell>
          <cell r="G285">
            <v>338.4</v>
          </cell>
          <cell r="H285">
            <v>0.72015322409023197</v>
          </cell>
          <cell r="I285">
            <v>3.5110000000000001</v>
          </cell>
          <cell r="J285" t="str">
            <v>No</v>
          </cell>
          <cell r="L285">
            <v>341.8</v>
          </cell>
          <cell r="M285">
            <v>0.72738880612896395</v>
          </cell>
          <cell r="N285">
            <v>4.2</v>
          </cell>
          <cell r="O285" t="str">
            <v>No</v>
          </cell>
          <cell r="Q285">
            <v>354.1</v>
          </cell>
          <cell r="R285">
            <v>0.75356458821025796</v>
          </cell>
          <cell r="S285">
            <v>5.9809999999999999</v>
          </cell>
          <cell r="T285" t="str">
            <v>No</v>
          </cell>
          <cell r="V285">
            <v>408.1</v>
          </cell>
          <cell r="W285">
            <v>0.86848265588423101</v>
          </cell>
          <cell r="X285">
            <v>35.74</v>
          </cell>
          <cell r="Y285" t="str">
            <v>No</v>
          </cell>
          <cell r="AA285">
            <v>403.9</v>
          </cell>
          <cell r="AB285">
            <v>0.85954458395403299</v>
          </cell>
          <cell r="AC285">
            <v>30.1</v>
          </cell>
          <cell r="AD285" t="str">
            <v>No</v>
          </cell>
          <cell r="AF285">
            <v>404.3</v>
          </cell>
          <cell r="AG285">
            <v>0.86039582889976596</v>
          </cell>
          <cell r="AH285">
            <v>31.56</v>
          </cell>
          <cell r="AI285" t="str">
            <v>No</v>
          </cell>
        </row>
        <row r="286">
          <cell r="A286" t="str">
            <v>P84C1</v>
          </cell>
          <cell r="B286">
            <v>315.2</v>
          </cell>
          <cell r="C286">
            <v>0.67078101723771</v>
          </cell>
          <cell r="D286">
            <v>1.2909999999999999</v>
          </cell>
          <cell r="E286" t="str">
            <v>Yes</v>
          </cell>
          <cell r="G286">
            <v>348.6</v>
          </cell>
          <cell r="H286">
            <v>0.74185997020642702</v>
          </cell>
          <cell r="I286">
            <v>4.92</v>
          </cell>
          <cell r="J286" t="str">
            <v>No</v>
          </cell>
          <cell r="L286">
            <v>359.3</v>
          </cell>
          <cell r="M286">
            <v>0.76463077250478795</v>
          </cell>
          <cell r="N286">
            <v>6.88</v>
          </cell>
          <cell r="O286" t="str">
            <v>No</v>
          </cell>
          <cell r="Q286">
            <v>339.4</v>
          </cell>
          <cell r="R286">
            <v>0.72228133645456505</v>
          </cell>
          <cell r="S286">
            <v>3.7309999999999999</v>
          </cell>
          <cell r="T286" t="str">
            <v>No</v>
          </cell>
          <cell r="V286">
            <v>395</v>
          </cell>
          <cell r="W286">
            <v>0.84060438391147096</v>
          </cell>
          <cell r="X286">
            <v>22.05</v>
          </cell>
          <cell r="Y286" t="str">
            <v>No</v>
          </cell>
          <cell r="AA286">
            <v>403.9</v>
          </cell>
          <cell r="AB286">
            <v>0.85954458395403299</v>
          </cell>
          <cell r="AC286">
            <v>33.770000000000003</v>
          </cell>
          <cell r="AD286" t="str">
            <v>No</v>
          </cell>
          <cell r="AF286">
            <v>413.8</v>
          </cell>
          <cell r="AG286">
            <v>0.88061289636092799</v>
          </cell>
          <cell r="AH286">
            <v>48.54</v>
          </cell>
          <cell r="AI286" t="str">
            <v>No</v>
          </cell>
        </row>
        <row r="287">
          <cell r="A287" t="str">
            <v>P84C2</v>
          </cell>
          <cell r="B287">
            <v>361.9</v>
          </cell>
          <cell r="C287">
            <v>0.770163864652054</v>
          </cell>
          <cell r="D287">
            <v>6.9260000000000002</v>
          </cell>
          <cell r="E287" t="str">
            <v>No</v>
          </cell>
          <cell r="G287">
            <v>382.8</v>
          </cell>
          <cell r="H287">
            <v>0.81464141306660998</v>
          </cell>
          <cell r="I287">
            <v>14.97</v>
          </cell>
          <cell r="J287" t="str">
            <v>No</v>
          </cell>
          <cell r="L287">
            <v>386.2</v>
          </cell>
          <cell r="M287">
            <v>0.82187699510534196</v>
          </cell>
          <cell r="N287">
            <v>16.71</v>
          </cell>
          <cell r="O287" t="str">
            <v>No</v>
          </cell>
          <cell r="Q287">
            <v>362.6</v>
          </cell>
          <cell r="R287">
            <v>0.77165354330708702</v>
          </cell>
          <cell r="S287">
            <v>7.5529999999999999</v>
          </cell>
          <cell r="T287" t="str">
            <v>No</v>
          </cell>
          <cell r="V287">
            <v>400.1</v>
          </cell>
          <cell r="W287">
            <v>0.85145775696956805</v>
          </cell>
          <cell r="X287">
            <v>31.5</v>
          </cell>
          <cell r="Y287" t="str">
            <v>No</v>
          </cell>
          <cell r="AA287">
            <v>412.7</v>
          </cell>
          <cell r="AB287">
            <v>0.878271972760162</v>
          </cell>
          <cell r="AC287">
            <v>46.73</v>
          </cell>
          <cell r="AD287" t="str">
            <v>No</v>
          </cell>
          <cell r="AF287">
            <v>422.7</v>
          </cell>
          <cell r="AG287">
            <v>0.89955309640349002</v>
          </cell>
          <cell r="AH287">
            <v>77.38</v>
          </cell>
          <cell r="AI287" t="str">
            <v>No</v>
          </cell>
        </row>
        <row r="288">
          <cell r="A288" t="str">
            <v>P84C3</v>
          </cell>
          <cell r="B288">
            <v>325.89999999999998</v>
          </cell>
          <cell r="C288">
            <v>0.69355181953607103</v>
          </cell>
          <cell r="D288">
            <v>2.2799999999999998</v>
          </cell>
          <cell r="E288" t="str">
            <v>Yes</v>
          </cell>
          <cell r="G288">
            <v>379.9</v>
          </cell>
          <cell r="H288">
            <v>0.80846988721004498</v>
          </cell>
          <cell r="I288">
            <v>12.71</v>
          </cell>
          <cell r="J288" t="str">
            <v>No</v>
          </cell>
          <cell r="L288">
            <v>383.2</v>
          </cell>
          <cell r="M288">
            <v>0.81549265801234305</v>
          </cell>
          <cell r="N288">
            <v>13.39</v>
          </cell>
          <cell r="O288" t="str">
            <v>No</v>
          </cell>
          <cell r="Q288">
            <v>360.4</v>
          </cell>
          <cell r="R288">
            <v>0.76697169610555405</v>
          </cell>
          <cell r="S288">
            <v>6.9420000000000002</v>
          </cell>
          <cell r="T288" t="str">
            <v>No</v>
          </cell>
          <cell r="V288">
            <v>410.3</v>
          </cell>
          <cell r="W288">
            <v>0.87316450308576299</v>
          </cell>
          <cell r="X288">
            <v>38.65</v>
          </cell>
          <cell r="Y288" t="str">
            <v>No</v>
          </cell>
          <cell r="AA288">
            <v>414.2</v>
          </cell>
          <cell r="AB288">
            <v>0.88146414130666095</v>
          </cell>
          <cell r="AC288">
            <v>49.13</v>
          </cell>
          <cell r="AD288" t="str">
            <v>No</v>
          </cell>
          <cell r="AF288">
            <v>423.4</v>
          </cell>
          <cell r="AG288">
            <v>0.90104277505852304</v>
          </cell>
          <cell r="AH288">
            <v>89.2</v>
          </cell>
          <cell r="AI288" t="str">
            <v>No</v>
          </cell>
        </row>
        <row r="289">
          <cell r="A289" t="str">
            <v>P85C1</v>
          </cell>
          <cell r="B289">
            <v>325</v>
          </cell>
          <cell r="C289">
            <v>0.69163651840817197</v>
          </cell>
          <cell r="D289">
            <v>2.3159999999999998</v>
          </cell>
          <cell r="E289" t="str">
            <v>Yes</v>
          </cell>
          <cell r="G289">
            <v>323.5</v>
          </cell>
          <cell r="H289">
            <v>0.68844434986167302</v>
          </cell>
          <cell r="I289">
            <v>2.133</v>
          </cell>
          <cell r="J289" t="str">
            <v>Yes</v>
          </cell>
          <cell r="L289">
            <v>341.6</v>
          </cell>
          <cell r="M289">
            <v>0.72696318365609702</v>
          </cell>
          <cell r="N289">
            <v>5.2990000000000004</v>
          </cell>
          <cell r="O289" t="str">
            <v>No</v>
          </cell>
          <cell r="Q289">
            <v>326.60000000000002</v>
          </cell>
          <cell r="R289">
            <v>0.69504149819110495</v>
          </cell>
          <cell r="S289">
            <v>2.3660000000000001</v>
          </cell>
          <cell r="T289" t="str">
            <v>No</v>
          </cell>
          <cell r="V289">
            <v>368</v>
          </cell>
          <cell r="W289">
            <v>0.78314535007448405</v>
          </cell>
          <cell r="X289">
            <v>20.9</v>
          </cell>
          <cell r="Y289" t="str">
            <v>No</v>
          </cell>
          <cell r="AA289">
            <v>400.4</v>
          </cell>
          <cell r="AB289">
            <v>0.85209619067886799</v>
          </cell>
          <cell r="AC289">
            <v>78.099999999999994</v>
          </cell>
          <cell r="AD289" t="str">
            <v>No</v>
          </cell>
          <cell r="AF289">
            <v>372.8</v>
          </cell>
          <cell r="AG289">
            <v>0.79336028942328196</v>
          </cell>
          <cell r="AH289">
            <v>68.849999999999994</v>
          </cell>
          <cell r="AI289" t="str">
            <v>No</v>
          </cell>
        </row>
        <row r="290">
          <cell r="A290" t="str">
            <v>P85C2</v>
          </cell>
          <cell r="B290">
            <v>318</v>
          </cell>
          <cell r="C290">
            <v>0.67673973185784198</v>
          </cell>
          <cell r="D290">
            <v>3.665</v>
          </cell>
          <cell r="E290" t="str">
            <v>Yes</v>
          </cell>
          <cell r="G290">
            <v>298.10000000000002</v>
          </cell>
          <cell r="H290">
            <v>0.63439029580761896</v>
          </cell>
          <cell r="I290">
            <v>1.2410000000000001</v>
          </cell>
          <cell r="J290" t="str">
            <v>Yes</v>
          </cell>
          <cell r="L290">
            <v>299.39999999999998</v>
          </cell>
          <cell r="M290">
            <v>0.63715684188125099</v>
          </cell>
          <cell r="N290">
            <v>1.8720000000000001</v>
          </cell>
          <cell r="O290" t="str">
            <v>Yes</v>
          </cell>
          <cell r="Q290">
            <v>295.8</v>
          </cell>
          <cell r="R290">
            <v>0.62949563736965297</v>
          </cell>
          <cell r="S290">
            <v>1.7450000000000001</v>
          </cell>
          <cell r="T290" t="str">
            <v>Yes</v>
          </cell>
          <cell r="V290">
            <v>328.6</v>
          </cell>
          <cell r="W290">
            <v>0.69929772291976999</v>
          </cell>
          <cell r="X290">
            <v>3.6419999999999999</v>
          </cell>
          <cell r="Y290" t="str">
            <v>No</v>
          </cell>
          <cell r="AA290">
            <v>324</v>
          </cell>
          <cell r="AB290">
            <v>0.68950840604383901</v>
          </cell>
          <cell r="AC290">
            <v>6.3689999999999998</v>
          </cell>
          <cell r="AD290" t="str">
            <v>No</v>
          </cell>
          <cell r="AF290">
            <v>306.5</v>
          </cell>
          <cell r="AG290">
            <v>0.65226643966801401</v>
          </cell>
          <cell r="AH290">
            <v>1.425</v>
          </cell>
          <cell r="AI290" t="str">
            <v>Yes</v>
          </cell>
        </row>
        <row r="291">
          <cell r="A291" t="str">
            <v>P85C3</v>
          </cell>
          <cell r="B291">
            <v>354</v>
          </cell>
          <cell r="C291">
            <v>0.75335177697382405</v>
          </cell>
          <cell r="D291">
            <v>5.41</v>
          </cell>
          <cell r="E291" t="str">
            <v>No</v>
          </cell>
          <cell r="G291">
            <v>357.4</v>
          </cell>
          <cell r="H291">
            <v>0.76058735901255603</v>
          </cell>
          <cell r="I291">
            <v>5.0869999999999997</v>
          </cell>
          <cell r="J291" t="str">
            <v>No</v>
          </cell>
          <cell r="L291">
            <v>358.3</v>
          </cell>
          <cell r="M291">
            <v>0.76250266014045498</v>
          </cell>
          <cell r="N291">
            <v>5.782</v>
          </cell>
          <cell r="O291" t="str">
            <v>No</v>
          </cell>
          <cell r="Q291">
            <v>314.7</v>
          </cell>
          <cell r="R291">
            <v>0.66971696105554401</v>
          </cell>
          <cell r="S291">
            <v>1.33</v>
          </cell>
          <cell r="T291" t="str">
            <v>Yes</v>
          </cell>
          <cell r="V291">
            <v>387.7</v>
          </cell>
          <cell r="W291">
            <v>0.82506916365184102</v>
          </cell>
          <cell r="X291">
            <v>16.79</v>
          </cell>
          <cell r="Y291" t="str">
            <v>No</v>
          </cell>
          <cell r="AA291">
            <v>360.5</v>
          </cell>
          <cell r="AB291">
            <v>0.76718450734198795</v>
          </cell>
          <cell r="AC291">
            <v>7.4450000000000003</v>
          </cell>
          <cell r="AD291" t="str">
            <v>No</v>
          </cell>
          <cell r="AF291">
            <v>354.5</v>
          </cell>
          <cell r="AG291">
            <v>0.75441583315599103</v>
          </cell>
          <cell r="AH291">
            <v>6.5540000000000003</v>
          </cell>
          <cell r="AI291" t="str">
            <v>No</v>
          </cell>
        </row>
        <row r="292">
          <cell r="A292" t="str">
            <v>P86C1</v>
          </cell>
          <cell r="B292">
            <v>347.5</v>
          </cell>
          <cell r="C292">
            <v>0.73951904660566103</v>
          </cell>
          <cell r="D292">
            <v>4.5789999999999997</v>
          </cell>
          <cell r="E292" t="str">
            <v>No</v>
          </cell>
          <cell r="G292">
            <v>361.6</v>
          </cell>
          <cell r="H292">
            <v>0.76952543094275405</v>
          </cell>
          <cell r="I292">
            <v>7.819</v>
          </cell>
          <cell r="J292" t="str">
            <v>No</v>
          </cell>
          <cell r="L292">
            <v>369.3</v>
          </cell>
          <cell r="M292">
            <v>0.78591189614811696</v>
          </cell>
          <cell r="N292">
            <v>8.8550000000000004</v>
          </cell>
          <cell r="O292" t="str">
            <v>No</v>
          </cell>
          <cell r="Q292">
            <v>357.4</v>
          </cell>
          <cell r="R292">
            <v>0.76058735901255603</v>
          </cell>
          <cell r="S292">
            <v>10.98</v>
          </cell>
          <cell r="T292" t="str">
            <v>No</v>
          </cell>
          <cell r="V292">
            <v>321.89999999999998</v>
          </cell>
          <cell r="W292">
            <v>0.68503937007874005</v>
          </cell>
          <cell r="X292">
            <v>2.573</v>
          </cell>
          <cell r="Y292" t="str">
            <v>Yes</v>
          </cell>
          <cell r="AA292">
            <v>290.10000000000002</v>
          </cell>
          <cell r="AB292">
            <v>0.617365396892956</v>
          </cell>
          <cell r="AC292">
            <v>0.88500000000000001</v>
          </cell>
          <cell r="AD292" t="str">
            <v>Yes</v>
          </cell>
          <cell r="AF292">
            <v>313</v>
          </cell>
          <cell r="AG292">
            <v>0.66609917003617802</v>
          </cell>
          <cell r="AH292">
            <v>2.8</v>
          </cell>
          <cell r="AI292" t="str">
            <v>Yes</v>
          </cell>
        </row>
        <row r="293">
          <cell r="A293" t="str">
            <v>P86C2</v>
          </cell>
          <cell r="B293">
            <v>340.4</v>
          </cell>
          <cell r="C293">
            <v>0.72440944881889802</v>
          </cell>
          <cell r="D293">
            <v>3.5049999999999999</v>
          </cell>
          <cell r="E293" t="str">
            <v>No</v>
          </cell>
          <cell r="G293">
            <v>329</v>
          </cell>
          <cell r="H293">
            <v>0.70014896786550296</v>
          </cell>
          <cell r="I293">
            <v>2.7730000000000001</v>
          </cell>
          <cell r="J293" t="str">
            <v>No</v>
          </cell>
          <cell r="L293">
            <v>330.2</v>
          </cell>
          <cell r="M293">
            <v>0.70270270270270296</v>
          </cell>
          <cell r="N293">
            <v>2.4049999999999998</v>
          </cell>
          <cell r="O293" t="str">
            <v>No</v>
          </cell>
          <cell r="Q293">
            <v>333.3</v>
          </cell>
          <cell r="R293">
            <v>0.709299851032135</v>
          </cell>
          <cell r="S293">
            <v>6.7030000000000003</v>
          </cell>
          <cell r="T293" t="str">
            <v>No</v>
          </cell>
          <cell r="V293">
            <v>385.2</v>
          </cell>
          <cell r="W293">
            <v>0.81974888274100899</v>
          </cell>
          <cell r="X293">
            <v>14.22</v>
          </cell>
          <cell r="Y293" t="str">
            <v>No</v>
          </cell>
          <cell r="AA293">
            <v>304.3</v>
          </cell>
          <cell r="AB293">
            <v>0.64758459246648203</v>
          </cell>
          <cell r="AC293">
            <v>1.139</v>
          </cell>
          <cell r="AD293" t="str">
            <v>Yes</v>
          </cell>
          <cell r="AF293">
            <v>282.2</v>
          </cell>
          <cell r="AG293">
            <v>0.60055330921472605</v>
          </cell>
          <cell r="AH293">
            <v>0.78659999999999997</v>
          </cell>
          <cell r="AI293" t="str">
            <v>Yes</v>
          </cell>
        </row>
        <row r="294">
          <cell r="A294" t="str">
            <v>P87C2</v>
          </cell>
          <cell r="B294">
            <v>417.2</v>
          </cell>
          <cell r="C294">
            <v>0.88784847839965997</v>
          </cell>
          <cell r="D294">
            <v>94.55</v>
          </cell>
          <cell r="E294" t="str">
            <v>No</v>
          </cell>
          <cell r="G294">
            <v>403.9</v>
          </cell>
          <cell r="H294">
            <v>0.85954458395403299</v>
          </cell>
          <cell r="I294">
            <v>44.05</v>
          </cell>
          <cell r="J294" t="str">
            <v>No</v>
          </cell>
          <cell r="L294">
            <v>412.8</v>
          </cell>
          <cell r="M294">
            <v>0.87848478399659502</v>
          </cell>
          <cell r="N294">
            <v>82.28</v>
          </cell>
          <cell r="O294" t="str">
            <v>No</v>
          </cell>
          <cell r="Q294">
            <v>366.6</v>
          </cell>
          <cell r="R294">
            <v>0.780165992764418</v>
          </cell>
          <cell r="S294">
            <v>21.72</v>
          </cell>
          <cell r="T294" t="str">
            <v>No</v>
          </cell>
          <cell r="V294">
            <v>386.8</v>
          </cell>
          <cell r="W294">
            <v>0.82315386252394096</v>
          </cell>
          <cell r="X294">
            <v>19.350000000000001</v>
          </cell>
          <cell r="Y294" t="str">
            <v>No</v>
          </cell>
          <cell r="AA294">
            <v>337.5</v>
          </cell>
          <cell r="AB294">
            <v>0.71823792296233202</v>
          </cell>
          <cell r="AC294">
            <v>3.6320000000000001</v>
          </cell>
          <cell r="AD294" t="str">
            <v>No</v>
          </cell>
          <cell r="AF294">
            <v>346.7</v>
          </cell>
          <cell r="AG294">
            <v>0.73781655671419499</v>
          </cell>
          <cell r="AH294">
            <v>4.9720000000000004</v>
          </cell>
          <cell r="AI294" t="str">
            <v>No</v>
          </cell>
        </row>
        <row r="295">
          <cell r="A295" t="str">
            <v>P88C1</v>
          </cell>
          <cell r="B295">
            <v>371.1</v>
          </cell>
          <cell r="C295">
            <v>0.78974249840391597</v>
          </cell>
          <cell r="D295">
            <v>6.9729999999999999</v>
          </cell>
          <cell r="E295" t="str">
            <v>No</v>
          </cell>
          <cell r="G295">
            <v>323.7</v>
          </cell>
          <cell r="H295">
            <v>0.68886997233453895</v>
          </cell>
          <cell r="I295">
            <v>2.3769999999999998</v>
          </cell>
          <cell r="J295" t="str">
            <v>Yes</v>
          </cell>
          <cell r="L295">
            <v>345.1</v>
          </cell>
          <cell r="M295">
            <v>0.73441157693126202</v>
          </cell>
          <cell r="N295">
            <v>4.6070000000000002</v>
          </cell>
          <cell r="O295" t="str">
            <v>No</v>
          </cell>
          <cell r="Q295">
            <v>345.8</v>
          </cell>
          <cell r="R295">
            <v>0.73590125558629504</v>
          </cell>
          <cell r="S295">
            <v>3.8490000000000002</v>
          </cell>
          <cell r="T295" t="str">
            <v>No</v>
          </cell>
          <cell r="V295">
            <v>372.9</v>
          </cell>
          <cell r="W295">
            <v>0.79357310065971498</v>
          </cell>
          <cell r="X295">
            <v>13.38</v>
          </cell>
          <cell r="Y295" t="str">
            <v>No</v>
          </cell>
          <cell r="AA295">
            <v>413.8</v>
          </cell>
          <cell r="AB295">
            <v>0.88061289636092799</v>
          </cell>
          <cell r="AC295">
            <v>48.61</v>
          </cell>
          <cell r="AD295" t="str">
            <v>No</v>
          </cell>
          <cell r="AF295">
            <v>404.6</v>
          </cell>
          <cell r="AG295">
            <v>0.86103426260906601</v>
          </cell>
          <cell r="AH295">
            <v>41.96</v>
          </cell>
          <cell r="AI295" t="str">
            <v>No</v>
          </cell>
        </row>
        <row r="296">
          <cell r="A296" t="str">
            <v>P88C2</v>
          </cell>
          <cell r="B296">
            <v>396.6</v>
          </cell>
          <cell r="C296">
            <v>0.84400936369440305</v>
          </cell>
          <cell r="D296">
            <v>19.77</v>
          </cell>
          <cell r="E296" t="str">
            <v>No</v>
          </cell>
          <cell r="G296">
            <v>343.3</v>
          </cell>
          <cell r="H296">
            <v>0.73058097467546301</v>
          </cell>
          <cell r="I296">
            <v>4.8070000000000004</v>
          </cell>
          <cell r="J296" t="str">
            <v>No</v>
          </cell>
          <cell r="L296">
            <v>341.2</v>
          </cell>
          <cell r="M296">
            <v>0.72611193871036395</v>
          </cell>
          <cell r="N296">
            <v>5.702</v>
          </cell>
          <cell r="O296" t="str">
            <v>No</v>
          </cell>
          <cell r="Q296">
            <v>314.7</v>
          </cell>
          <cell r="R296">
            <v>0.66971696105554401</v>
          </cell>
          <cell r="S296">
            <v>1.8660000000000001</v>
          </cell>
          <cell r="T296" t="str">
            <v>Yes</v>
          </cell>
          <cell r="V296">
            <v>401.2</v>
          </cell>
          <cell r="W296">
            <v>0.85379868057033403</v>
          </cell>
          <cell r="X296">
            <v>29.09</v>
          </cell>
          <cell r="Y296" t="str">
            <v>No</v>
          </cell>
          <cell r="AA296">
            <v>401.5</v>
          </cell>
          <cell r="AB296">
            <v>0.85443711427963398</v>
          </cell>
          <cell r="AC296">
            <v>43.83</v>
          </cell>
          <cell r="AD296" t="str">
            <v>No</v>
          </cell>
          <cell r="AF296">
            <v>430.8</v>
          </cell>
          <cell r="AG296">
            <v>0.916790806554586</v>
          </cell>
          <cell r="AH296">
            <v>87.59</v>
          </cell>
          <cell r="AI296" t="str">
            <v>No</v>
          </cell>
        </row>
        <row r="297">
          <cell r="A297" t="str">
            <v>P88C3</v>
          </cell>
          <cell r="B297">
            <v>382.8</v>
          </cell>
          <cell r="C297">
            <v>0.81464141306660998</v>
          </cell>
          <cell r="D297">
            <v>10.25</v>
          </cell>
          <cell r="E297" t="str">
            <v>No</v>
          </cell>
          <cell r="G297">
            <v>354.3</v>
          </cell>
          <cell r="H297">
            <v>0.753990210683124</v>
          </cell>
          <cell r="I297">
            <v>5.71</v>
          </cell>
          <cell r="J297" t="str">
            <v>No</v>
          </cell>
          <cell r="L297">
            <v>320.2</v>
          </cell>
          <cell r="M297">
            <v>0.68142157905937395</v>
          </cell>
          <cell r="N297">
            <v>2.601</v>
          </cell>
          <cell r="O297" t="str">
            <v>Yes</v>
          </cell>
          <cell r="Q297">
            <v>327.9</v>
          </cell>
          <cell r="R297">
            <v>0.69780804426473697</v>
          </cell>
          <cell r="S297">
            <v>2.2330000000000001</v>
          </cell>
          <cell r="T297" t="str">
            <v>No</v>
          </cell>
          <cell r="V297">
            <v>376.2</v>
          </cell>
          <cell r="W297">
            <v>0.80059587146201305</v>
          </cell>
          <cell r="X297">
            <v>9.109</v>
          </cell>
          <cell r="Y297" t="str">
            <v>No</v>
          </cell>
          <cell r="AA297">
            <v>402.3</v>
          </cell>
          <cell r="AB297">
            <v>0.85613960417110002</v>
          </cell>
          <cell r="AC297">
            <v>63.26</v>
          </cell>
          <cell r="AD297" t="str">
            <v>No</v>
          </cell>
          <cell r="AF297">
            <v>434.8</v>
          </cell>
          <cell r="AG297">
            <v>0.92530325601191799</v>
          </cell>
          <cell r="AH297">
            <v>104.8</v>
          </cell>
          <cell r="AI297" t="str">
            <v>No</v>
          </cell>
        </row>
        <row r="298">
          <cell r="A298" t="str">
            <v>P88C4</v>
          </cell>
          <cell r="B298">
            <v>338.3</v>
          </cell>
          <cell r="C298">
            <v>0.71994041285379895</v>
          </cell>
          <cell r="D298">
            <v>3.6230000000000002</v>
          </cell>
          <cell r="E298" t="str">
            <v>No</v>
          </cell>
          <cell r="G298">
            <v>383.8</v>
          </cell>
          <cell r="H298">
            <v>0.81676952543094306</v>
          </cell>
          <cell r="I298">
            <v>11.38</v>
          </cell>
          <cell r="J298" t="str">
            <v>No</v>
          </cell>
          <cell r="L298">
            <v>382</v>
          </cell>
          <cell r="M298">
            <v>0.81293892317514405</v>
          </cell>
          <cell r="N298">
            <v>9.3379999999999992</v>
          </cell>
          <cell r="O298" t="str">
            <v>No</v>
          </cell>
          <cell r="Q298">
            <v>317.60000000000002</v>
          </cell>
          <cell r="R298">
            <v>0.67588848691210901</v>
          </cell>
          <cell r="S298">
            <v>1.454</v>
          </cell>
          <cell r="T298" t="str">
            <v>Yes</v>
          </cell>
          <cell r="V298">
            <v>393</v>
          </cell>
          <cell r="W298">
            <v>0.83634815918280503</v>
          </cell>
          <cell r="X298">
            <v>22.28</v>
          </cell>
          <cell r="Y298" t="str">
            <v>No</v>
          </cell>
          <cell r="AA298">
            <v>408.6</v>
          </cell>
          <cell r="AB298">
            <v>0.869546712066397</v>
          </cell>
          <cell r="AC298">
            <v>101.2</v>
          </cell>
          <cell r="AD298" t="str">
            <v>No</v>
          </cell>
          <cell r="AF298">
            <v>415.2</v>
          </cell>
          <cell r="AG298">
            <v>0.88359225367099403</v>
          </cell>
          <cell r="AH298">
            <v>74.09</v>
          </cell>
          <cell r="AI298" t="str">
            <v>No</v>
          </cell>
        </row>
        <row r="299">
          <cell r="A299" t="str">
            <v>P89C1</v>
          </cell>
          <cell r="B299">
            <v>347.4</v>
          </cell>
          <cell r="C299">
            <v>0.73930623536922702</v>
          </cell>
          <cell r="D299">
            <v>4.8490000000000002</v>
          </cell>
          <cell r="E299" t="str">
            <v>No</v>
          </cell>
          <cell r="G299">
            <v>354.8</v>
          </cell>
          <cell r="H299">
            <v>0.75505426686529098</v>
          </cell>
          <cell r="I299">
            <v>6.5359999999999996</v>
          </cell>
          <cell r="J299" t="str">
            <v>No</v>
          </cell>
          <cell r="L299">
            <v>366.6</v>
          </cell>
          <cell r="M299">
            <v>0.780165992764418</v>
          </cell>
          <cell r="N299">
            <v>8.9209999999999994</v>
          </cell>
          <cell r="O299" t="str">
            <v>No</v>
          </cell>
          <cell r="Q299">
            <v>350.2</v>
          </cell>
          <cell r="R299">
            <v>0.74526494998935899</v>
          </cell>
          <cell r="S299">
            <v>5.532</v>
          </cell>
          <cell r="T299" t="str">
            <v>No</v>
          </cell>
          <cell r="V299">
            <v>390.3</v>
          </cell>
          <cell r="W299">
            <v>0.83060225579910596</v>
          </cell>
          <cell r="X299">
            <v>20.170000000000002</v>
          </cell>
          <cell r="Y299" t="str">
            <v>No</v>
          </cell>
          <cell r="AA299">
            <v>395.9</v>
          </cell>
          <cell r="AB299">
            <v>0.84251968503937003</v>
          </cell>
          <cell r="AC299">
            <v>23.55</v>
          </cell>
          <cell r="AD299" t="str">
            <v>No</v>
          </cell>
          <cell r="AF299">
            <v>409</v>
          </cell>
          <cell r="AG299">
            <v>0.87039795701212996</v>
          </cell>
          <cell r="AH299">
            <v>41.59</v>
          </cell>
          <cell r="AI299" t="str">
            <v>No</v>
          </cell>
        </row>
        <row r="300">
          <cell r="A300" t="str">
            <v>P89C2</v>
          </cell>
          <cell r="B300">
            <v>380.1</v>
          </cell>
          <cell r="C300">
            <v>0.80889550968291102</v>
          </cell>
          <cell r="D300">
            <v>13.46</v>
          </cell>
          <cell r="E300" t="str">
            <v>No</v>
          </cell>
          <cell r="G300">
            <v>379.5</v>
          </cell>
          <cell r="H300">
            <v>0.80761864226431201</v>
          </cell>
          <cell r="I300">
            <v>8.8249999999999993</v>
          </cell>
          <cell r="J300" t="str">
            <v>No</v>
          </cell>
          <cell r="L300">
            <v>394.5</v>
          </cell>
          <cell r="M300">
            <v>0.83954032772930398</v>
          </cell>
          <cell r="N300">
            <v>19.98</v>
          </cell>
          <cell r="O300" t="str">
            <v>No</v>
          </cell>
          <cell r="Q300">
            <v>373.3</v>
          </cell>
          <cell r="R300">
            <v>0.79442434560544795</v>
          </cell>
          <cell r="S300">
            <v>12.13</v>
          </cell>
          <cell r="T300" t="str">
            <v>No</v>
          </cell>
          <cell r="V300">
            <v>413.5</v>
          </cell>
          <cell r="W300">
            <v>0.87997446265162804</v>
          </cell>
          <cell r="X300">
            <v>28.67</v>
          </cell>
          <cell r="Y300" t="str">
            <v>No</v>
          </cell>
          <cell r="AA300">
            <v>424.7</v>
          </cell>
          <cell r="AB300">
            <v>0.90380932113215595</v>
          </cell>
          <cell r="AC300">
            <v>37.479999999999997</v>
          </cell>
          <cell r="AD300" t="str">
            <v>No</v>
          </cell>
          <cell r="AF300">
            <v>421.9</v>
          </cell>
          <cell r="AG300">
            <v>0.89785060651202397</v>
          </cell>
          <cell r="AH300">
            <v>41.52</v>
          </cell>
          <cell r="AI300" t="str">
            <v>No</v>
          </cell>
        </row>
        <row r="301">
          <cell r="A301" t="str">
            <v>P89C3</v>
          </cell>
          <cell r="B301">
            <v>358.5</v>
          </cell>
          <cell r="C301">
            <v>0.76292828261332202</v>
          </cell>
          <cell r="D301">
            <v>7.1449999999999996</v>
          </cell>
          <cell r="E301" t="str">
            <v>No</v>
          </cell>
          <cell r="G301">
            <v>373.9</v>
          </cell>
          <cell r="H301">
            <v>0.79570121302404795</v>
          </cell>
          <cell r="I301">
            <v>10.36</v>
          </cell>
          <cell r="J301" t="str">
            <v>No</v>
          </cell>
          <cell r="L301">
            <v>346.3</v>
          </cell>
          <cell r="M301">
            <v>0.73696531176846103</v>
          </cell>
          <cell r="N301">
            <v>5.907</v>
          </cell>
          <cell r="O301" t="str">
            <v>No</v>
          </cell>
          <cell r="Q301">
            <v>327.2</v>
          </cell>
          <cell r="R301">
            <v>0.69631836560970395</v>
          </cell>
          <cell r="S301">
            <v>2.52</v>
          </cell>
          <cell r="T301" t="str">
            <v>No</v>
          </cell>
          <cell r="V301">
            <v>382.4</v>
          </cell>
          <cell r="W301">
            <v>0.81379016812087701</v>
          </cell>
          <cell r="X301">
            <v>15.83</v>
          </cell>
          <cell r="Y301" t="str">
            <v>No</v>
          </cell>
          <cell r="AA301">
            <v>385.9</v>
          </cell>
          <cell r="AB301">
            <v>0.82123856139604201</v>
          </cell>
          <cell r="AC301">
            <v>17.059999999999999</v>
          </cell>
          <cell r="AD301" t="str">
            <v>No</v>
          </cell>
          <cell r="AF301">
            <v>415.8</v>
          </cell>
          <cell r="AG301">
            <v>0.88486912108959404</v>
          </cell>
          <cell r="AH301">
            <v>37.549999999999997</v>
          </cell>
          <cell r="AI301" t="str">
            <v>No</v>
          </cell>
        </row>
        <row r="302">
          <cell r="A302" t="str">
            <v>P89C4</v>
          </cell>
          <cell r="B302">
            <v>359.2</v>
          </cell>
          <cell r="C302">
            <v>0.76441796126835504</v>
          </cell>
          <cell r="D302">
            <v>6.7089999999999996</v>
          </cell>
          <cell r="E302" t="str">
            <v>No</v>
          </cell>
          <cell r="G302">
            <v>352</v>
          </cell>
          <cell r="H302">
            <v>0.749095552245159</v>
          </cell>
          <cell r="I302">
            <v>5.58</v>
          </cell>
          <cell r="J302" t="str">
            <v>No</v>
          </cell>
          <cell r="L302">
            <v>346.7</v>
          </cell>
          <cell r="M302">
            <v>0.73781655671419499</v>
          </cell>
          <cell r="N302">
            <v>4.7089999999999996</v>
          </cell>
          <cell r="O302" t="str">
            <v>No</v>
          </cell>
          <cell r="Q302">
            <v>321.7</v>
          </cell>
          <cell r="R302">
            <v>0.68461374760587401</v>
          </cell>
          <cell r="S302">
            <v>1.87</v>
          </cell>
          <cell r="T302" t="str">
            <v>Yes</v>
          </cell>
          <cell r="V302">
            <v>373.7</v>
          </cell>
          <cell r="W302">
            <v>0.79527559055118102</v>
          </cell>
          <cell r="X302">
            <v>10.210000000000001</v>
          </cell>
          <cell r="Y302" t="str">
            <v>No</v>
          </cell>
          <cell r="AA302">
            <v>373.6</v>
          </cell>
          <cell r="AB302">
            <v>0.795062779314748</v>
          </cell>
          <cell r="AC302">
            <v>11.4</v>
          </cell>
          <cell r="AD302" t="str">
            <v>No</v>
          </cell>
          <cell r="AF302">
            <v>393.7</v>
          </cell>
          <cell r="AG302">
            <v>0.83783783783783805</v>
          </cell>
          <cell r="AH302">
            <v>20.93</v>
          </cell>
          <cell r="AI302" t="str">
            <v>No</v>
          </cell>
        </row>
        <row r="303">
          <cell r="A303" t="str">
            <v>P90C1</v>
          </cell>
          <cell r="B303">
            <v>353.5</v>
          </cell>
          <cell r="C303">
            <v>0.75228772079165795</v>
          </cell>
          <cell r="D303">
            <v>5.702</v>
          </cell>
          <cell r="E303" t="str">
            <v>No</v>
          </cell>
          <cell r="G303">
            <v>378.6</v>
          </cell>
          <cell r="H303">
            <v>0.80570334113641195</v>
          </cell>
          <cell r="I303">
            <v>9.8680000000000003</v>
          </cell>
          <cell r="J303" t="str">
            <v>No</v>
          </cell>
          <cell r="L303">
            <v>346.5</v>
          </cell>
          <cell r="M303">
            <v>0.73739093424132796</v>
          </cell>
          <cell r="N303">
            <v>4.2539999999999996</v>
          </cell>
          <cell r="O303" t="str">
            <v>No</v>
          </cell>
          <cell r="Q303">
            <v>355.2</v>
          </cell>
          <cell r="R303">
            <v>0.75590551181102394</v>
          </cell>
          <cell r="S303">
            <v>6.4610000000000003</v>
          </cell>
          <cell r="T303" t="str">
            <v>No</v>
          </cell>
          <cell r="V303">
            <v>349.2</v>
          </cell>
          <cell r="W303">
            <v>0.74313683762502702</v>
          </cell>
          <cell r="X303">
            <v>9.3819999999999997</v>
          </cell>
          <cell r="Y303" t="str">
            <v>No</v>
          </cell>
          <cell r="AA303">
            <v>398.4</v>
          </cell>
          <cell r="AB303">
            <v>0.84783996595020195</v>
          </cell>
          <cell r="AC303">
            <v>42.85</v>
          </cell>
          <cell r="AD303" t="str">
            <v>No</v>
          </cell>
          <cell r="AF303">
            <v>451.8</v>
          </cell>
          <cell r="AG303">
            <v>0.961481166205576</v>
          </cell>
          <cell r="AH303">
            <v>407.4</v>
          </cell>
          <cell r="AI303" t="str">
            <v>No</v>
          </cell>
        </row>
        <row r="304">
          <cell r="A304" t="str">
            <v>P90C2</v>
          </cell>
          <cell r="B304">
            <v>407</v>
          </cell>
          <cell r="C304">
            <v>0.86614173228346503</v>
          </cell>
          <cell r="D304">
            <v>25.73</v>
          </cell>
          <cell r="E304" t="str">
            <v>No</v>
          </cell>
          <cell r="G304">
            <v>369.1</v>
          </cell>
          <cell r="H304">
            <v>0.78548627367525004</v>
          </cell>
          <cell r="I304">
            <v>12.35</v>
          </cell>
          <cell r="J304" t="str">
            <v>No</v>
          </cell>
          <cell r="L304">
            <v>377.8</v>
          </cell>
          <cell r="M304">
            <v>0.80400085124494602</v>
          </cell>
          <cell r="N304">
            <v>13.65</v>
          </cell>
          <cell r="O304" t="str">
            <v>No</v>
          </cell>
          <cell r="Q304">
            <v>390.5</v>
          </cell>
          <cell r="R304">
            <v>0.831027878271973</v>
          </cell>
          <cell r="S304">
            <v>18.649999999999999</v>
          </cell>
          <cell r="T304" t="str">
            <v>No</v>
          </cell>
          <cell r="V304">
            <v>372.3</v>
          </cell>
          <cell r="W304">
            <v>0.79229623324111498</v>
          </cell>
          <cell r="X304">
            <v>16.82</v>
          </cell>
          <cell r="Y304" t="str">
            <v>No</v>
          </cell>
          <cell r="AA304">
            <v>371.6</v>
          </cell>
          <cell r="AB304">
            <v>0.79080655458608196</v>
          </cell>
          <cell r="AC304">
            <v>19.149999999999999</v>
          </cell>
          <cell r="AD304" t="str">
            <v>No</v>
          </cell>
          <cell r="AF304">
            <v>444.1</v>
          </cell>
          <cell r="AG304">
            <v>0.94509470100021298</v>
          </cell>
          <cell r="AH304">
            <v>307.7</v>
          </cell>
          <cell r="AI304" t="str">
            <v>No</v>
          </cell>
        </row>
        <row r="305">
          <cell r="A305" t="str">
            <v>P90C3</v>
          </cell>
          <cell r="B305">
            <v>313.2</v>
          </cell>
          <cell r="C305">
            <v>0.66652479250904495</v>
          </cell>
          <cell r="D305">
            <v>1.5129999999999999</v>
          </cell>
          <cell r="E305" t="str">
            <v>Yes</v>
          </cell>
          <cell r="G305">
            <v>355</v>
          </cell>
          <cell r="H305">
            <v>0.75547988933815702</v>
          </cell>
          <cell r="I305">
            <v>5.2779999999999996</v>
          </cell>
          <cell r="J305" t="str">
            <v>No</v>
          </cell>
          <cell r="L305">
            <v>313</v>
          </cell>
          <cell r="M305">
            <v>0.66609917003617802</v>
          </cell>
          <cell r="N305">
            <v>1.82</v>
          </cell>
          <cell r="O305" t="str">
            <v>Yes</v>
          </cell>
          <cell r="Q305">
            <v>358.9</v>
          </cell>
          <cell r="R305">
            <v>0.76377952755905498</v>
          </cell>
          <cell r="S305">
            <v>4.9969999999999999</v>
          </cell>
          <cell r="T305" t="str">
            <v>No</v>
          </cell>
          <cell r="V305">
            <v>301.89999999999998</v>
          </cell>
          <cell r="W305">
            <v>0.64247712279208302</v>
          </cell>
          <cell r="X305">
            <v>1.3580000000000001</v>
          </cell>
          <cell r="Y305" t="str">
            <v>Yes</v>
          </cell>
          <cell r="AA305">
            <v>382</v>
          </cell>
          <cell r="AB305">
            <v>0.81293892317514405</v>
          </cell>
          <cell r="AC305">
            <v>17.79</v>
          </cell>
          <cell r="AD305" t="str">
            <v>No</v>
          </cell>
          <cell r="AF305">
            <v>413.8</v>
          </cell>
          <cell r="AG305">
            <v>0.88061289636092799</v>
          </cell>
          <cell r="AH305">
            <v>151</v>
          </cell>
          <cell r="AI305" t="str">
            <v>No</v>
          </cell>
        </row>
        <row r="306">
          <cell r="A306" t="str">
            <v>P90C4</v>
          </cell>
          <cell r="B306">
            <v>356.7</v>
          </cell>
          <cell r="C306">
            <v>0.75909768035752301</v>
          </cell>
          <cell r="D306">
            <v>6.2530000000000001</v>
          </cell>
          <cell r="E306" t="str">
            <v>No</v>
          </cell>
          <cell r="G306">
            <v>352</v>
          </cell>
          <cell r="H306">
            <v>0.749095552245159</v>
          </cell>
          <cell r="I306">
            <v>6.1639999999999997</v>
          </cell>
          <cell r="J306" t="str">
            <v>No</v>
          </cell>
          <cell r="L306">
            <v>311.39999999999998</v>
          </cell>
          <cell r="M306">
            <v>0.66269419025324505</v>
          </cell>
          <cell r="N306">
            <v>1.109</v>
          </cell>
          <cell r="O306" t="str">
            <v>Yes</v>
          </cell>
          <cell r="Q306">
            <v>351.6</v>
          </cell>
          <cell r="R306">
            <v>0.74824430729942504</v>
          </cell>
          <cell r="S306">
            <v>5.5890000000000004</v>
          </cell>
          <cell r="T306" t="str">
            <v>No</v>
          </cell>
          <cell r="V306">
            <v>326.8</v>
          </cell>
          <cell r="W306">
            <v>0.69546712066397098</v>
          </cell>
          <cell r="X306">
            <v>2.5579999999999998</v>
          </cell>
          <cell r="Y306" t="str">
            <v>No</v>
          </cell>
          <cell r="AA306">
            <v>397.6</v>
          </cell>
          <cell r="AB306">
            <v>0.84613747605873602</v>
          </cell>
          <cell r="AC306">
            <v>25.67</v>
          </cell>
          <cell r="AD306" t="str">
            <v>No</v>
          </cell>
          <cell r="AF306">
            <v>427.9</v>
          </cell>
          <cell r="AG306">
            <v>0.91061928069802101</v>
          </cell>
          <cell r="AH306">
            <v>145.30000000000001</v>
          </cell>
          <cell r="AI306" t="str">
            <v>No</v>
          </cell>
        </row>
        <row r="307">
          <cell r="A307" t="str">
            <v>P91C1</v>
          </cell>
          <cell r="B307">
            <v>397.5</v>
          </cell>
          <cell r="C307">
            <v>0.845924664822303</v>
          </cell>
          <cell r="D307">
            <v>25.93</v>
          </cell>
          <cell r="E307" t="str">
            <v>No</v>
          </cell>
          <cell r="G307">
            <v>383.4</v>
          </cell>
          <cell r="H307">
            <v>0.81591828048520998</v>
          </cell>
          <cell r="I307">
            <v>13.24</v>
          </cell>
          <cell r="J307" t="str">
            <v>No</v>
          </cell>
          <cell r="L307">
            <v>359.5</v>
          </cell>
          <cell r="M307">
            <v>0.76505639497765499</v>
          </cell>
          <cell r="N307">
            <v>11.08</v>
          </cell>
          <cell r="O307" t="str">
            <v>No</v>
          </cell>
          <cell r="Q307">
            <v>384.3</v>
          </cell>
          <cell r="R307">
            <v>0.81783358161310904</v>
          </cell>
          <cell r="S307">
            <v>17.75</v>
          </cell>
          <cell r="T307" t="str">
            <v>No</v>
          </cell>
          <cell r="V307">
            <v>377.3</v>
          </cell>
          <cell r="W307">
            <v>0.80293679506277904</v>
          </cell>
          <cell r="X307">
            <v>22.83</v>
          </cell>
          <cell r="Y307" t="str">
            <v>No</v>
          </cell>
          <cell r="AA307">
            <v>398.8</v>
          </cell>
          <cell r="AB307">
            <v>0.84869121089593502</v>
          </cell>
          <cell r="AC307">
            <v>124.1</v>
          </cell>
          <cell r="AD307" t="str">
            <v>No</v>
          </cell>
          <cell r="AF307">
            <v>390.4</v>
          </cell>
          <cell r="AG307">
            <v>0.83081506703553898</v>
          </cell>
          <cell r="AH307">
            <v>99.6</v>
          </cell>
          <cell r="AI307" t="str">
            <v>No</v>
          </cell>
        </row>
        <row r="308">
          <cell r="A308" t="str">
            <v>P91C2</v>
          </cell>
          <cell r="B308">
            <v>289.8</v>
          </cell>
          <cell r="C308">
            <v>0.61672696318365605</v>
          </cell>
          <cell r="D308">
            <v>1.157</v>
          </cell>
          <cell r="E308" t="str">
            <v>Yes</v>
          </cell>
          <cell r="G308">
            <v>385.3</v>
          </cell>
          <cell r="H308">
            <v>0.81996169397744201</v>
          </cell>
          <cell r="I308">
            <v>12.95</v>
          </cell>
          <cell r="J308" t="str">
            <v>No</v>
          </cell>
          <cell r="L308">
            <v>359.7</v>
          </cell>
          <cell r="M308">
            <v>0.76548201745052102</v>
          </cell>
          <cell r="N308">
            <v>9.2590000000000003</v>
          </cell>
          <cell r="O308" t="str">
            <v>No</v>
          </cell>
          <cell r="Q308">
            <v>325.7</v>
          </cell>
          <cell r="R308">
            <v>0.693126197063205</v>
          </cell>
          <cell r="S308">
            <v>2.4609999999999999</v>
          </cell>
          <cell r="T308" t="str">
            <v>Yes</v>
          </cell>
          <cell r="V308">
            <v>346.1</v>
          </cell>
          <cell r="W308">
            <v>0.73653968929559499</v>
          </cell>
          <cell r="X308">
            <v>4.5620000000000003</v>
          </cell>
          <cell r="Y308" t="str">
            <v>No</v>
          </cell>
          <cell r="AA308">
            <v>427.6</v>
          </cell>
          <cell r="AB308">
            <v>0.90998084698872095</v>
          </cell>
          <cell r="AC308">
            <v>211.8</v>
          </cell>
          <cell r="AD308" t="str">
            <v>No</v>
          </cell>
          <cell r="AF308">
            <v>397.6</v>
          </cell>
          <cell r="AG308">
            <v>0.84613747605873602</v>
          </cell>
          <cell r="AH308">
            <v>91.43</v>
          </cell>
          <cell r="AI308" t="str">
            <v>No</v>
          </cell>
        </row>
        <row r="309">
          <cell r="A309" t="str">
            <v>P91C3</v>
          </cell>
          <cell r="B309">
            <v>403.1</v>
          </cell>
          <cell r="C309">
            <v>0.85784209406256695</v>
          </cell>
          <cell r="D309">
            <v>17.260000000000002</v>
          </cell>
          <cell r="E309" t="str">
            <v>No</v>
          </cell>
          <cell r="G309">
            <v>389.2</v>
          </cell>
          <cell r="H309">
            <v>0.82826133219833997</v>
          </cell>
          <cell r="I309">
            <v>9.5749999999999993</v>
          </cell>
          <cell r="J309" t="str">
            <v>No</v>
          </cell>
          <cell r="L309">
            <v>322</v>
          </cell>
          <cell r="M309">
            <v>0.68525218131517396</v>
          </cell>
          <cell r="N309">
            <v>2.1120000000000001</v>
          </cell>
          <cell r="O309" t="str">
            <v>Yes</v>
          </cell>
          <cell r="Q309">
            <v>326</v>
          </cell>
          <cell r="R309">
            <v>0.69376463077250505</v>
          </cell>
          <cell r="S309">
            <v>2.2759999999999998</v>
          </cell>
          <cell r="T309" t="str">
            <v>Yes</v>
          </cell>
          <cell r="V309">
            <v>392.2</v>
          </cell>
          <cell r="W309">
            <v>0.83464566929133899</v>
          </cell>
          <cell r="X309">
            <v>17.850000000000001</v>
          </cell>
          <cell r="Y309" t="str">
            <v>No</v>
          </cell>
          <cell r="AA309">
            <v>426.9</v>
          </cell>
          <cell r="AB309">
            <v>0.90849116833368804</v>
          </cell>
          <cell r="AC309">
            <v>31.95</v>
          </cell>
          <cell r="AD309" t="str">
            <v>No</v>
          </cell>
          <cell r="AF309">
            <v>456.3</v>
          </cell>
          <cell r="AG309">
            <v>0.97105767184507397</v>
          </cell>
          <cell r="AH309">
            <v>133.9</v>
          </cell>
          <cell r="AI309" t="str">
            <v>No</v>
          </cell>
        </row>
        <row r="310">
          <cell r="A310" t="str">
            <v>P92C1</v>
          </cell>
          <cell r="B310">
            <v>382.5</v>
          </cell>
          <cell r="C310">
            <v>0.81400297935731003</v>
          </cell>
          <cell r="D310">
            <v>10.32</v>
          </cell>
          <cell r="E310" t="str">
            <v>No</v>
          </cell>
          <cell r="G310">
            <v>378.7</v>
          </cell>
          <cell r="H310">
            <v>0.80591615237284497</v>
          </cell>
          <cell r="I310">
            <v>7.1669999999999998</v>
          </cell>
          <cell r="J310" t="str">
            <v>No</v>
          </cell>
          <cell r="L310">
            <v>338.2</v>
          </cell>
          <cell r="M310">
            <v>0.71972760161736504</v>
          </cell>
          <cell r="N310">
            <v>4.3369999999999997</v>
          </cell>
          <cell r="O310" t="str">
            <v>No</v>
          </cell>
          <cell r="Q310">
            <v>364.9</v>
          </cell>
          <cell r="R310">
            <v>0.77654820174505201</v>
          </cell>
          <cell r="S310">
            <v>8.9700000000000006</v>
          </cell>
          <cell r="T310" t="str">
            <v>No</v>
          </cell>
          <cell r="V310">
            <v>372.3</v>
          </cell>
          <cell r="W310">
            <v>0.79229623324111498</v>
          </cell>
          <cell r="X310">
            <v>10.62</v>
          </cell>
          <cell r="Y310" t="str">
            <v>No</v>
          </cell>
          <cell r="AA310">
            <v>384.5</v>
          </cell>
          <cell r="AB310">
            <v>0.81825920408597597</v>
          </cell>
          <cell r="AC310">
            <v>9.3510000000000009</v>
          </cell>
          <cell r="AD310" t="str">
            <v>No</v>
          </cell>
          <cell r="AF310">
            <v>375.1</v>
          </cell>
          <cell r="AG310">
            <v>0.79825494786124696</v>
          </cell>
          <cell r="AH310">
            <v>8.0960000000000001</v>
          </cell>
          <cell r="AI310" t="str">
            <v>No</v>
          </cell>
        </row>
        <row r="311">
          <cell r="A311" t="str">
            <v>P92C2</v>
          </cell>
          <cell r="B311">
            <v>359.4</v>
          </cell>
          <cell r="C311">
            <v>0.76484358374122197</v>
          </cell>
          <cell r="D311">
            <v>6.9829999999999997</v>
          </cell>
          <cell r="E311" t="str">
            <v>No</v>
          </cell>
          <cell r="G311">
            <v>364</v>
          </cell>
          <cell r="H311">
            <v>0.77463290061715295</v>
          </cell>
          <cell r="I311">
            <v>6.8979999999999997</v>
          </cell>
          <cell r="J311" t="str">
            <v>No</v>
          </cell>
          <cell r="L311">
            <v>350.2</v>
          </cell>
          <cell r="M311">
            <v>0.74526494998935899</v>
          </cell>
          <cell r="N311">
            <v>5.6139999999999999</v>
          </cell>
          <cell r="O311" t="str">
            <v>No</v>
          </cell>
          <cell r="Q311">
            <v>326.10000000000002</v>
          </cell>
          <cell r="R311">
            <v>0.69397744200893796</v>
          </cell>
          <cell r="S311">
            <v>2.3580000000000001</v>
          </cell>
          <cell r="T311" t="str">
            <v>Yes</v>
          </cell>
          <cell r="V311">
            <v>403.9</v>
          </cell>
          <cell r="W311">
            <v>0.85954458395403299</v>
          </cell>
          <cell r="X311">
            <v>16.43</v>
          </cell>
          <cell r="Y311" t="str">
            <v>No</v>
          </cell>
          <cell r="AA311">
            <v>408.7</v>
          </cell>
          <cell r="AB311">
            <v>0.86975952330283002</v>
          </cell>
          <cell r="AC311">
            <v>116</v>
          </cell>
          <cell r="AD311" t="str">
            <v>No</v>
          </cell>
          <cell r="AF311">
            <v>424.3</v>
          </cell>
          <cell r="AG311">
            <v>0.90295807618642299</v>
          </cell>
          <cell r="AH311">
            <v>163.4</v>
          </cell>
          <cell r="AI311" t="str">
            <v>No</v>
          </cell>
        </row>
        <row r="312">
          <cell r="A312" t="str">
            <v>P92C3</v>
          </cell>
          <cell r="B312">
            <v>345.5</v>
          </cell>
          <cell r="C312">
            <v>0.73526282187699499</v>
          </cell>
          <cell r="D312">
            <v>7.5060000000000002</v>
          </cell>
          <cell r="E312" t="str">
            <v>No</v>
          </cell>
          <cell r="G312">
            <v>388</v>
          </cell>
          <cell r="H312">
            <v>0.82570759736114097</v>
          </cell>
          <cell r="I312">
            <v>7.0460000000000003</v>
          </cell>
          <cell r="J312" t="str">
            <v>No</v>
          </cell>
          <cell r="L312">
            <v>388.5</v>
          </cell>
          <cell r="M312">
            <v>0.82677165354330695</v>
          </cell>
          <cell r="N312">
            <v>14.95</v>
          </cell>
          <cell r="O312" t="str">
            <v>No</v>
          </cell>
          <cell r="Q312">
            <v>369</v>
          </cell>
          <cell r="R312">
            <v>0.78527346243881702</v>
          </cell>
          <cell r="S312">
            <v>11.05</v>
          </cell>
          <cell r="T312" t="str">
            <v>No</v>
          </cell>
          <cell r="V312">
            <v>366.8</v>
          </cell>
          <cell r="W312">
            <v>0.78059161523728504</v>
          </cell>
          <cell r="X312">
            <v>9.423</v>
          </cell>
          <cell r="Y312" t="str">
            <v>No</v>
          </cell>
          <cell r="AA312">
            <v>377.1</v>
          </cell>
          <cell r="AB312">
            <v>0.802511172589913</v>
          </cell>
          <cell r="AC312">
            <v>16.29</v>
          </cell>
          <cell r="AD312" t="str">
            <v>No</v>
          </cell>
          <cell r="AF312">
            <v>386.6</v>
          </cell>
          <cell r="AG312">
            <v>0.82272824005107503</v>
          </cell>
          <cell r="AH312">
            <v>17.05</v>
          </cell>
          <cell r="AI312" t="str">
            <v>No</v>
          </cell>
        </row>
        <row r="313">
          <cell r="A313" t="str">
            <v>P93C1</v>
          </cell>
          <cell r="B313">
            <v>302.60000000000002</v>
          </cell>
          <cell r="C313">
            <v>0.64396680144711604</v>
          </cell>
          <cell r="D313">
            <v>1.3919999999999999</v>
          </cell>
          <cell r="E313" t="str">
            <v>Yes</v>
          </cell>
          <cell r="G313">
            <v>311.3</v>
          </cell>
          <cell r="H313">
            <v>0.66248137901681203</v>
          </cell>
          <cell r="I313">
            <v>1.06</v>
          </cell>
          <cell r="J313" t="str">
            <v>Yes</v>
          </cell>
          <cell r="L313">
            <v>347.7</v>
          </cell>
          <cell r="M313">
            <v>0.73994466907852696</v>
          </cell>
          <cell r="N313">
            <v>4.9790000000000001</v>
          </cell>
          <cell r="O313" t="str">
            <v>No</v>
          </cell>
          <cell r="Q313">
            <v>353.1</v>
          </cell>
          <cell r="R313">
            <v>0.75143647584592499</v>
          </cell>
          <cell r="S313">
            <v>6.3559999999999999</v>
          </cell>
          <cell r="T313" t="str">
            <v>No</v>
          </cell>
          <cell r="V313">
            <v>353.5</v>
          </cell>
          <cell r="W313">
            <v>0.75228772079165795</v>
          </cell>
          <cell r="X313">
            <v>8.6950000000000003</v>
          </cell>
          <cell r="Y313" t="str">
            <v>No</v>
          </cell>
          <cell r="AA313">
            <v>430.7</v>
          </cell>
          <cell r="AB313">
            <v>0.91657799531815298</v>
          </cell>
          <cell r="AC313">
            <v>171.6</v>
          </cell>
          <cell r="AD313" t="str">
            <v>No</v>
          </cell>
          <cell r="AF313">
            <v>391</v>
          </cell>
          <cell r="AG313">
            <v>0.83209193445413898</v>
          </cell>
          <cell r="AH313">
            <v>57.03</v>
          </cell>
          <cell r="AI313" t="str">
            <v>No</v>
          </cell>
        </row>
        <row r="314">
          <cell r="A314" t="str">
            <v>P93C2</v>
          </cell>
          <cell r="B314">
            <v>283.3</v>
          </cell>
          <cell r="C314">
            <v>0.60289423281549304</v>
          </cell>
          <cell r="D314">
            <v>0.81789999999999996</v>
          </cell>
          <cell r="E314" t="str">
            <v>Yes</v>
          </cell>
          <cell r="G314">
            <v>359.8</v>
          </cell>
          <cell r="H314">
            <v>0.76569482868695504</v>
          </cell>
          <cell r="I314">
            <v>8.8179999999999996</v>
          </cell>
          <cell r="J314" t="str">
            <v>No</v>
          </cell>
          <cell r="L314">
            <v>341.7</v>
          </cell>
          <cell r="M314">
            <v>0.72717599489253004</v>
          </cell>
          <cell r="N314">
            <v>14.15</v>
          </cell>
          <cell r="O314" t="str">
            <v>No</v>
          </cell>
          <cell r="Q314">
            <v>373.1</v>
          </cell>
          <cell r="R314">
            <v>0.79399872313258102</v>
          </cell>
          <cell r="S314">
            <v>8.9990000000000006</v>
          </cell>
          <cell r="T314" t="str">
            <v>No</v>
          </cell>
          <cell r="V314">
            <v>356.5</v>
          </cell>
          <cell r="W314">
            <v>0.75867205788465597</v>
          </cell>
          <cell r="X314">
            <v>10.74</v>
          </cell>
          <cell r="Y314" t="str">
            <v>No</v>
          </cell>
          <cell r="AA314">
            <v>400.5</v>
          </cell>
          <cell r="AB314">
            <v>0.85230900191530101</v>
          </cell>
          <cell r="AC314">
            <v>83.53</v>
          </cell>
          <cell r="AD314" t="str">
            <v>No</v>
          </cell>
          <cell r="AF314">
            <v>405.1</v>
          </cell>
          <cell r="AG314">
            <v>0.862098318791232</v>
          </cell>
          <cell r="AH314">
            <v>80.11</v>
          </cell>
          <cell r="AI314" t="str">
            <v>No</v>
          </cell>
        </row>
        <row r="315">
          <cell r="A315" t="str">
            <v>P93C3</v>
          </cell>
          <cell r="B315">
            <v>312.3</v>
          </cell>
          <cell r="C315">
            <v>0.664609491381145</v>
          </cell>
          <cell r="D315">
            <v>1.865</v>
          </cell>
          <cell r="E315" t="str">
            <v>Yes</v>
          </cell>
          <cell r="G315">
            <v>387.9</v>
          </cell>
          <cell r="H315">
            <v>0.82549478612470695</v>
          </cell>
          <cell r="I315">
            <v>13.32</v>
          </cell>
          <cell r="J315" t="str">
            <v>No</v>
          </cell>
          <cell r="L315">
            <v>383.5</v>
          </cell>
          <cell r="M315">
            <v>0.816131091721643</v>
          </cell>
          <cell r="N315">
            <v>22.36</v>
          </cell>
          <cell r="O315" t="str">
            <v>No</v>
          </cell>
          <cell r="Q315">
            <v>301.10000000000002</v>
          </cell>
          <cell r="R315">
            <v>0.64077463290061698</v>
          </cell>
          <cell r="S315">
            <v>1.163</v>
          </cell>
          <cell r="T315" t="str">
            <v>Yes</v>
          </cell>
          <cell r="V315">
            <v>321.5</v>
          </cell>
          <cell r="W315">
            <v>0.68418812513300697</v>
          </cell>
          <cell r="X315">
            <v>3.2749999999999999</v>
          </cell>
          <cell r="Y315" t="str">
            <v>Yes</v>
          </cell>
          <cell r="AA315">
            <v>404.2</v>
          </cell>
          <cell r="AB315">
            <v>0.86018301766333305</v>
          </cell>
          <cell r="AC315">
            <v>122.1</v>
          </cell>
          <cell r="AD315" t="str">
            <v>No</v>
          </cell>
          <cell r="AF315">
            <v>391</v>
          </cell>
          <cell r="AG315">
            <v>0.83209193445413898</v>
          </cell>
          <cell r="AH315">
            <v>39.74</v>
          </cell>
          <cell r="AI315" t="str">
            <v>No</v>
          </cell>
        </row>
        <row r="316">
          <cell r="A316" t="str">
            <v>P94C1</v>
          </cell>
          <cell r="B316">
            <v>314.8</v>
          </cell>
          <cell r="C316">
            <v>0.66992977229197703</v>
          </cell>
          <cell r="D316">
            <v>1.827</v>
          </cell>
          <cell r="E316" t="str">
            <v>Yes</v>
          </cell>
          <cell r="G316">
            <v>324.8</v>
          </cell>
          <cell r="H316">
            <v>0.69121089593530505</v>
          </cell>
          <cell r="I316">
            <v>2.2349999999999999</v>
          </cell>
          <cell r="J316" t="str">
            <v>Yes</v>
          </cell>
          <cell r="L316">
            <v>351.5</v>
          </cell>
          <cell r="M316">
            <v>0.74803149606299202</v>
          </cell>
          <cell r="N316">
            <v>5.673</v>
          </cell>
          <cell r="O316" t="str">
            <v>No</v>
          </cell>
          <cell r="Q316">
            <v>324.7</v>
          </cell>
          <cell r="R316">
            <v>0.69099808469887203</v>
          </cell>
          <cell r="S316">
            <v>2.11</v>
          </cell>
          <cell r="T316" t="str">
            <v>Yes</v>
          </cell>
          <cell r="V316">
            <v>408</v>
          </cell>
          <cell r="W316">
            <v>0.868269844647797</v>
          </cell>
          <cell r="X316">
            <v>46.77</v>
          </cell>
          <cell r="Y316" t="str">
            <v>No</v>
          </cell>
          <cell r="AA316">
            <v>396.4</v>
          </cell>
          <cell r="AB316">
            <v>0.84358374122153601</v>
          </cell>
          <cell r="AC316">
            <v>22.45</v>
          </cell>
          <cell r="AD316" t="str">
            <v>No</v>
          </cell>
          <cell r="AF316">
            <v>400</v>
          </cell>
          <cell r="AG316">
            <v>0.85124494573313503</v>
          </cell>
          <cell r="AH316">
            <v>24.47</v>
          </cell>
          <cell r="AI316" t="str">
            <v>No</v>
          </cell>
        </row>
        <row r="317">
          <cell r="A317" t="str">
            <v>P94C2</v>
          </cell>
          <cell r="B317">
            <v>360.7</v>
          </cell>
          <cell r="C317">
            <v>0.76761012981485399</v>
          </cell>
          <cell r="D317">
            <v>7.6379999999999999</v>
          </cell>
          <cell r="E317" t="str">
            <v>No</v>
          </cell>
          <cell r="G317">
            <v>336.9</v>
          </cell>
          <cell r="H317">
            <v>0.71696105554373302</v>
          </cell>
          <cell r="I317">
            <v>3.343</v>
          </cell>
          <cell r="J317" t="str">
            <v>No</v>
          </cell>
          <cell r="L317">
            <v>368.2</v>
          </cell>
          <cell r="M317">
            <v>0.78357097254735097</v>
          </cell>
          <cell r="N317">
            <v>8.5909999999999993</v>
          </cell>
          <cell r="O317" t="str">
            <v>No</v>
          </cell>
          <cell r="Q317">
            <v>318.3</v>
          </cell>
          <cell r="R317">
            <v>0.67737816556714203</v>
          </cell>
          <cell r="S317">
            <v>1.97</v>
          </cell>
          <cell r="T317" t="str">
            <v>Yes</v>
          </cell>
          <cell r="V317">
            <v>391.6</v>
          </cell>
          <cell r="W317">
            <v>0.83336880187273898</v>
          </cell>
          <cell r="X317">
            <v>22.35</v>
          </cell>
          <cell r="Y317" t="str">
            <v>No</v>
          </cell>
          <cell r="AA317">
            <v>404.1</v>
          </cell>
          <cell r="AB317">
            <v>0.85997020642689903</v>
          </cell>
          <cell r="AC317">
            <v>33.61</v>
          </cell>
          <cell r="AD317" t="str">
            <v>No</v>
          </cell>
          <cell r="AF317">
            <v>385.5</v>
          </cell>
          <cell r="AG317">
            <v>0.82038731645030905</v>
          </cell>
          <cell r="AH317">
            <v>16.68</v>
          </cell>
          <cell r="AI317" t="str">
            <v>No</v>
          </cell>
        </row>
        <row r="318">
          <cell r="A318" t="str">
            <v>P95C1</v>
          </cell>
          <cell r="B318">
            <v>335.9</v>
          </cell>
          <cell r="C318">
            <v>0.71483294317940005</v>
          </cell>
          <cell r="D318">
            <v>3.45</v>
          </cell>
          <cell r="E318" t="str">
            <v>No</v>
          </cell>
          <cell r="G318">
            <v>354.3</v>
          </cell>
          <cell r="H318">
            <v>0.753990210683124</v>
          </cell>
          <cell r="I318">
            <v>6.1710000000000003</v>
          </cell>
          <cell r="J318" t="str">
            <v>No</v>
          </cell>
          <cell r="L318">
            <v>359.5</v>
          </cell>
          <cell r="M318">
            <v>0.76505639497765499</v>
          </cell>
          <cell r="N318">
            <v>7.3490000000000002</v>
          </cell>
          <cell r="O318" t="str">
            <v>No</v>
          </cell>
          <cell r="Q318">
            <v>358.2</v>
          </cell>
          <cell r="R318">
            <v>0.76228984890402196</v>
          </cell>
          <cell r="S318">
            <v>6.4390000000000001</v>
          </cell>
          <cell r="T318" t="str">
            <v>No</v>
          </cell>
          <cell r="V318">
            <v>406.6</v>
          </cell>
          <cell r="W318">
            <v>0.86529048733773195</v>
          </cell>
          <cell r="X318">
            <v>39.200000000000003</v>
          </cell>
          <cell r="Y318" t="str">
            <v>No</v>
          </cell>
          <cell r="AA318">
            <v>388.4</v>
          </cell>
          <cell r="AB318">
            <v>0.82655884230687404</v>
          </cell>
          <cell r="AC318">
            <v>21.03</v>
          </cell>
          <cell r="AD318" t="str">
            <v>No</v>
          </cell>
          <cell r="AF318">
            <v>410.8</v>
          </cell>
          <cell r="AG318">
            <v>0.87422855926792897</v>
          </cell>
          <cell r="AH318">
            <v>44.48</v>
          </cell>
          <cell r="AI318" t="str">
            <v>No</v>
          </cell>
        </row>
        <row r="319">
          <cell r="A319" t="str">
            <v>P96C</v>
          </cell>
          <cell r="B319">
            <v>320.39999999999998</v>
          </cell>
          <cell r="C319">
            <v>0.68184720153224099</v>
          </cell>
          <cell r="D319">
            <v>2.298</v>
          </cell>
          <cell r="E319" t="str">
            <v>Yes</v>
          </cell>
          <cell r="G319">
            <v>394.9</v>
          </cell>
          <cell r="H319">
            <v>0.84039157267503695</v>
          </cell>
          <cell r="I319">
            <v>26.53</v>
          </cell>
          <cell r="J319" t="str">
            <v>No</v>
          </cell>
          <cell r="L319">
            <v>312.7</v>
          </cell>
          <cell r="M319">
            <v>0.66546073632687797</v>
          </cell>
          <cell r="N319">
            <v>1.3819999999999999</v>
          </cell>
          <cell r="O319" t="str">
            <v>Yes</v>
          </cell>
          <cell r="Q319">
            <v>343.5</v>
          </cell>
          <cell r="R319">
            <v>0.73100659714832905</v>
          </cell>
          <cell r="S319">
            <v>4.758</v>
          </cell>
          <cell r="T319" t="str">
            <v>No</v>
          </cell>
          <cell r="V319">
            <v>337.2</v>
          </cell>
          <cell r="W319">
            <v>0.71759948925303296</v>
          </cell>
          <cell r="X319">
            <v>2.6960000000000002</v>
          </cell>
          <cell r="Y319" t="str">
            <v>No</v>
          </cell>
          <cell r="AA319">
            <v>386.3</v>
          </cell>
          <cell r="AB319">
            <v>0.82208980634177498</v>
          </cell>
          <cell r="AC319">
            <v>39.85</v>
          </cell>
          <cell r="AD319" t="str">
            <v>No</v>
          </cell>
          <cell r="AF319">
            <v>406.4</v>
          </cell>
          <cell r="AG319">
            <v>0.86486486486486502</v>
          </cell>
          <cell r="AH319">
            <v>81.37</v>
          </cell>
          <cell r="AI319" t="str">
            <v>No</v>
          </cell>
        </row>
        <row r="320">
          <cell r="A320" t="str">
            <v>P97C1</v>
          </cell>
          <cell r="B320">
            <v>413.3</v>
          </cell>
          <cell r="C320">
            <v>0.879548840178762</v>
          </cell>
          <cell r="D320">
            <v>42.79</v>
          </cell>
          <cell r="E320" t="str">
            <v>No</v>
          </cell>
          <cell r="G320">
            <v>358.8</v>
          </cell>
          <cell r="H320">
            <v>0.76356671632262196</v>
          </cell>
          <cell r="I320">
            <v>4.62</v>
          </cell>
          <cell r="J320" t="str">
            <v>No</v>
          </cell>
          <cell r="L320">
            <v>357.3</v>
          </cell>
          <cell r="M320">
            <v>0.76037454777612301</v>
          </cell>
          <cell r="N320">
            <v>4.5780000000000003</v>
          </cell>
          <cell r="O320" t="str">
            <v>No</v>
          </cell>
          <cell r="Q320">
            <v>409.6</v>
          </cell>
          <cell r="R320">
            <v>0.87167482443072997</v>
          </cell>
          <cell r="S320">
            <v>47.84</v>
          </cell>
          <cell r="T320" t="str">
            <v>No</v>
          </cell>
          <cell r="V320">
            <v>380.5</v>
          </cell>
          <cell r="W320">
            <v>0.80974675462864398</v>
          </cell>
          <cell r="X320">
            <v>10.57</v>
          </cell>
          <cell r="Y320" t="str">
            <v>No</v>
          </cell>
          <cell r="AA320">
            <v>407.5</v>
          </cell>
          <cell r="AB320">
            <v>0.86720578846563101</v>
          </cell>
          <cell r="AC320">
            <v>42.68</v>
          </cell>
          <cell r="AD320" t="str">
            <v>No</v>
          </cell>
          <cell r="AF320">
            <v>409.8</v>
          </cell>
          <cell r="AG320">
            <v>0.872100446903597</v>
          </cell>
          <cell r="AH320">
            <v>50.62</v>
          </cell>
          <cell r="AI320" t="str">
            <v>No</v>
          </cell>
        </row>
        <row r="321">
          <cell r="A321" t="str">
            <v>P97C2</v>
          </cell>
          <cell r="B321">
            <v>350.4</v>
          </cell>
          <cell r="C321">
            <v>0.74569057246222603</v>
          </cell>
          <cell r="D321">
            <v>7.407</v>
          </cell>
          <cell r="E321" t="str">
            <v>No</v>
          </cell>
          <cell r="G321">
            <v>347.1</v>
          </cell>
          <cell r="H321">
            <v>0.73866780165992796</v>
          </cell>
          <cell r="I321">
            <v>3.6339999999999999</v>
          </cell>
          <cell r="J321" t="str">
            <v>No</v>
          </cell>
          <cell r="L321">
            <v>360.5</v>
          </cell>
          <cell r="M321">
            <v>0.76718450734198795</v>
          </cell>
          <cell r="N321">
            <v>5.8979999999999997</v>
          </cell>
          <cell r="O321" t="str">
            <v>No</v>
          </cell>
          <cell r="Q321">
            <v>374.3</v>
          </cell>
          <cell r="R321">
            <v>0.79655245796978102</v>
          </cell>
          <cell r="S321">
            <v>11.25</v>
          </cell>
          <cell r="T321" t="str">
            <v>No</v>
          </cell>
          <cell r="V321">
            <v>374.2</v>
          </cell>
          <cell r="W321">
            <v>0.79633964673334801</v>
          </cell>
          <cell r="X321">
            <v>10.76</v>
          </cell>
          <cell r="Y321" t="str">
            <v>No</v>
          </cell>
          <cell r="AA321">
            <v>412.8</v>
          </cell>
          <cell r="AB321">
            <v>0.87848478399659502</v>
          </cell>
          <cell r="AC321">
            <v>43.08</v>
          </cell>
          <cell r="AD321" t="str">
            <v>No</v>
          </cell>
          <cell r="AF321">
            <v>418.4</v>
          </cell>
          <cell r="AG321">
            <v>0.89040221323685897</v>
          </cell>
          <cell r="AH321">
            <v>60.61</v>
          </cell>
          <cell r="AI321" t="str">
            <v>No</v>
          </cell>
        </row>
        <row r="322">
          <cell r="A322" t="str">
            <v>P97C3</v>
          </cell>
          <cell r="B322">
            <v>361.6</v>
          </cell>
          <cell r="C322">
            <v>0.76952543094275405</v>
          </cell>
          <cell r="D322">
            <v>11.6</v>
          </cell>
          <cell r="E322" t="str">
            <v>No</v>
          </cell>
          <cell r="G322">
            <v>361.8</v>
          </cell>
          <cell r="H322">
            <v>0.76995105341561998</v>
          </cell>
          <cell r="I322">
            <v>8.7490000000000006</v>
          </cell>
          <cell r="J322" t="str">
            <v>No</v>
          </cell>
          <cell r="L322">
            <v>356.6</v>
          </cell>
          <cell r="M322">
            <v>0.75888486912108999</v>
          </cell>
          <cell r="N322">
            <v>7.4379999999999997</v>
          </cell>
          <cell r="O322" t="str">
            <v>No</v>
          </cell>
          <cell r="Q322">
            <v>355</v>
          </cell>
          <cell r="R322">
            <v>0.75547988933815702</v>
          </cell>
          <cell r="S322">
            <v>7.5910000000000002</v>
          </cell>
          <cell r="T322" t="str">
            <v>No</v>
          </cell>
          <cell r="V322">
            <v>381.2</v>
          </cell>
          <cell r="W322">
            <v>0.81123643328367701</v>
          </cell>
          <cell r="X322">
            <v>17.8</v>
          </cell>
          <cell r="Y322" t="str">
            <v>No</v>
          </cell>
          <cell r="AA322">
            <v>404.8</v>
          </cell>
          <cell r="AB322">
            <v>0.86145988508193205</v>
          </cell>
          <cell r="AC322">
            <v>69.87</v>
          </cell>
          <cell r="AD322" t="str">
            <v>No</v>
          </cell>
          <cell r="AF322">
            <v>370</v>
          </cell>
          <cell r="AG322">
            <v>0.78740157480314998</v>
          </cell>
          <cell r="AH322">
            <v>113.6</v>
          </cell>
          <cell r="AI322" t="str">
            <v>No</v>
          </cell>
        </row>
        <row r="323">
          <cell r="A323" t="str">
            <v>P97C4</v>
          </cell>
          <cell r="B323">
            <v>333.6</v>
          </cell>
          <cell r="C323">
            <v>0.70993828474143394</v>
          </cell>
          <cell r="D323">
            <v>5.2370000000000001</v>
          </cell>
          <cell r="E323" t="str">
            <v>No</v>
          </cell>
          <cell r="G323">
            <v>349.2</v>
          </cell>
          <cell r="H323">
            <v>0.74313683762502702</v>
          </cell>
          <cell r="I323">
            <v>6.7869999999999999</v>
          </cell>
          <cell r="J323" t="str">
            <v>No</v>
          </cell>
          <cell r="L323">
            <v>352.1</v>
          </cell>
          <cell r="M323">
            <v>0.74930836348159202</v>
          </cell>
          <cell r="N323">
            <v>5.49</v>
          </cell>
          <cell r="O323" t="str">
            <v>No</v>
          </cell>
          <cell r="Q323">
            <v>389.8</v>
          </cell>
          <cell r="R323">
            <v>0.82953819961693998</v>
          </cell>
          <cell r="S323">
            <v>23.61</v>
          </cell>
          <cell r="T323" t="str">
            <v>No</v>
          </cell>
          <cell r="V323">
            <v>364.5</v>
          </cell>
          <cell r="W323">
            <v>0.77569695679931905</v>
          </cell>
          <cell r="X323">
            <v>9.5609999999999999</v>
          </cell>
          <cell r="Y323" t="str">
            <v>No</v>
          </cell>
          <cell r="AA323">
            <v>389.8</v>
          </cell>
          <cell r="AB323">
            <v>0.82953819961693998</v>
          </cell>
          <cell r="AC323">
            <v>125.9</v>
          </cell>
          <cell r="AD323" t="str">
            <v>No</v>
          </cell>
          <cell r="AF323">
            <v>406.1</v>
          </cell>
          <cell r="AG323">
            <v>0.86422643115556497</v>
          </cell>
          <cell r="AH323">
            <v>92.4</v>
          </cell>
          <cell r="AI323" t="str">
            <v>No</v>
          </cell>
        </row>
        <row r="324">
          <cell r="A324" t="str">
            <v>P98C1</v>
          </cell>
          <cell r="B324">
            <v>361.1</v>
          </cell>
          <cell r="C324">
            <v>0.76846137476058696</v>
          </cell>
          <cell r="D324">
            <v>6.5890000000000004</v>
          </cell>
          <cell r="E324" t="str">
            <v>No</v>
          </cell>
          <cell r="G324">
            <v>378</v>
          </cell>
          <cell r="H324">
            <v>0.80442647371781195</v>
          </cell>
          <cell r="I324">
            <v>10.85</v>
          </cell>
          <cell r="J324" t="str">
            <v>No</v>
          </cell>
          <cell r="L324">
            <v>364.8</v>
          </cell>
          <cell r="M324">
            <v>0.77633539050861899</v>
          </cell>
          <cell r="N324">
            <v>19.239999999999998</v>
          </cell>
          <cell r="O324" t="str">
            <v>No</v>
          </cell>
          <cell r="Q324">
            <v>386.1</v>
          </cell>
          <cell r="R324">
            <v>0.82166418386890805</v>
          </cell>
          <cell r="S324">
            <v>23.14</v>
          </cell>
          <cell r="T324" t="str">
            <v>No</v>
          </cell>
          <cell r="V324">
            <v>360.5</v>
          </cell>
          <cell r="W324">
            <v>0.76718450734198795</v>
          </cell>
          <cell r="X324">
            <v>10.52</v>
          </cell>
          <cell r="Y324" t="str">
            <v>No</v>
          </cell>
          <cell r="AA324">
            <v>378</v>
          </cell>
          <cell r="AB324">
            <v>0.80442647371781195</v>
          </cell>
          <cell r="AC324">
            <v>20.75</v>
          </cell>
          <cell r="AD324" t="str">
            <v>No</v>
          </cell>
          <cell r="AF324">
            <v>386.5</v>
          </cell>
          <cell r="AG324">
            <v>0.82251542881464101</v>
          </cell>
          <cell r="AH324">
            <v>37.32</v>
          </cell>
          <cell r="AI324" t="str">
            <v>No</v>
          </cell>
        </row>
        <row r="325">
          <cell r="A325" t="str">
            <v>P98C2</v>
          </cell>
          <cell r="B325">
            <v>385</v>
          </cell>
          <cell r="C325">
            <v>0.81932326026814195</v>
          </cell>
          <cell r="D325">
            <v>19.440000000000001</v>
          </cell>
          <cell r="E325" t="str">
            <v>No</v>
          </cell>
          <cell r="G325">
            <v>365.5</v>
          </cell>
          <cell r="H325">
            <v>0.77782506916365202</v>
          </cell>
          <cell r="I325">
            <v>11.23</v>
          </cell>
          <cell r="J325" t="str">
            <v>No</v>
          </cell>
          <cell r="L325">
            <v>361.4</v>
          </cell>
          <cell r="M325">
            <v>0.76909980846988701</v>
          </cell>
          <cell r="N325">
            <v>15.18</v>
          </cell>
          <cell r="O325" t="str">
            <v>No</v>
          </cell>
          <cell r="Q325">
            <v>381.7</v>
          </cell>
          <cell r="R325">
            <v>0.81230048946584399</v>
          </cell>
          <cell r="S325">
            <v>15.54</v>
          </cell>
          <cell r="T325" t="str">
            <v>No</v>
          </cell>
          <cell r="V325">
            <v>361.4</v>
          </cell>
          <cell r="W325">
            <v>0.76909980846988701</v>
          </cell>
          <cell r="X325">
            <v>12.35</v>
          </cell>
          <cell r="Y325" t="str">
            <v>No</v>
          </cell>
          <cell r="AA325">
            <v>282.5</v>
          </cell>
          <cell r="AB325">
            <v>0.601191742924026</v>
          </cell>
          <cell r="AC325">
            <v>0.81069999999999998</v>
          </cell>
          <cell r="AD325" t="str">
            <v>Yes</v>
          </cell>
          <cell r="AF325">
            <v>376.2</v>
          </cell>
          <cell r="AG325">
            <v>0.80059587146201305</v>
          </cell>
          <cell r="AH325">
            <v>58.97</v>
          </cell>
          <cell r="AI325" t="str">
            <v>No</v>
          </cell>
        </row>
        <row r="326">
          <cell r="A326" t="str">
            <v>P98C3</v>
          </cell>
          <cell r="B326">
            <v>297.7</v>
          </cell>
          <cell r="C326">
            <v>0.633539050861886</v>
          </cell>
          <cell r="D326">
            <v>1.0780000000000001</v>
          </cell>
          <cell r="E326" t="str">
            <v>Yes</v>
          </cell>
          <cell r="G326">
            <v>359.6</v>
          </cell>
          <cell r="H326">
            <v>0.765269206214088</v>
          </cell>
          <cell r="I326">
            <v>8.2810000000000006</v>
          </cell>
          <cell r="J326" t="str">
            <v>No</v>
          </cell>
          <cell r="L326">
            <v>352.8</v>
          </cell>
          <cell r="M326">
            <v>0.75079804213662504</v>
          </cell>
          <cell r="N326">
            <v>10.64</v>
          </cell>
          <cell r="O326" t="str">
            <v>No</v>
          </cell>
          <cell r="Q326">
            <v>342.7</v>
          </cell>
          <cell r="R326">
            <v>0.72930410725686301</v>
          </cell>
          <cell r="S326">
            <v>5.0330000000000004</v>
          </cell>
          <cell r="T326" t="str">
            <v>No</v>
          </cell>
          <cell r="V326">
            <v>346.5</v>
          </cell>
          <cell r="W326">
            <v>0.73739093424132796</v>
          </cell>
          <cell r="X326">
            <v>10.15</v>
          </cell>
          <cell r="Y326" t="str">
            <v>No</v>
          </cell>
          <cell r="AA326">
            <v>246.3</v>
          </cell>
          <cell r="AB326">
            <v>0.52415407533517799</v>
          </cell>
          <cell r="AC326">
            <v>0.23680000000000001</v>
          </cell>
          <cell r="AD326" t="str">
            <v>Yes</v>
          </cell>
          <cell r="AF326">
            <v>373.7</v>
          </cell>
          <cell r="AG326">
            <v>0.79527559055118102</v>
          </cell>
          <cell r="AH326">
            <v>15.29</v>
          </cell>
          <cell r="AI326" t="str">
            <v>No</v>
          </cell>
        </row>
        <row r="327">
          <cell r="A327" t="str">
            <v>P98C4</v>
          </cell>
          <cell r="B327">
            <v>389.5</v>
          </cell>
          <cell r="C327">
            <v>0.82889976590764003</v>
          </cell>
          <cell r="D327">
            <v>9.9139999999999997</v>
          </cell>
          <cell r="E327" t="str">
            <v>No</v>
          </cell>
          <cell r="G327">
            <v>414</v>
          </cell>
          <cell r="H327">
            <v>0.88103851883379403</v>
          </cell>
          <cell r="I327">
            <v>23.75</v>
          </cell>
          <cell r="J327" t="str">
            <v>No</v>
          </cell>
          <cell r="L327">
            <v>383.3</v>
          </cell>
          <cell r="M327">
            <v>0.81570546924877596</v>
          </cell>
          <cell r="N327">
            <v>8.3439999999999994</v>
          </cell>
          <cell r="O327" t="str">
            <v>No</v>
          </cell>
          <cell r="Q327">
            <v>393.7</v>
          </cell>
          <cell r="R327">
            <v>0.83783783783783805</v>
          </cell>
          <cell r="S327">
            <v>24.93</v>
          </cell>
          <cell r="T327" t="str">
            <v>No</v>
          </cell>
          <cell r="V327">
            <v>436.3</v>
          </cell>
          <cell r="W327">
            <v>0.92849542455841705</v>
          </cell>
          <cell r="X327">
            <v>67.34</v>
          </cell>
          <cell r="Y327" t="str">
            <v>No</v>
          </cell>
          <cell r="AA327">
            <v>437.2</v>
          </cell>
          <cell r="AB327">
            <v>0.930410725686316</v>
          </cell>
          <cell r="AC327">
            <v>65.05</v>
          </cell>
          <cell r="AD327" t="str">
            <v>No</v>
          </cell>
          <cell r="AF327">
            <v>424.4</v>
          </cell>
          <cell r="AG327">
            <v>0.90317088742285601</v>
          </cell>
          <cell r="AH327">
            <v>36.06</v>
          </cell>
          <cell r="AI327" t="str">
            <v>No</v>
          </cell>
        </row>
        <row r="328">
          <cell r="A328" t="str">
            <v>P99C1</v>
          </cell>
          <cell r="B328">
            <v>384.4</v>
          </cell>
          <cell r="C328">
            <v>0.81804639284954195</v>
          </cell>
          <cell r="D328">
            <v>8.67</v>
          </cell>
          <cell r="E328" t="str">
            <v>No</v>
          </cell>
          <cell r="G328">
            <v>364.3</v>
          </cell>
          <cell r="H328">
            <v>0.77527133432645201</v>
          </cell>
          <cell r="I328">
            <v>10.35</v>
          </cell>
          <cell r="J328" t="str">
            <v>No</v>
          </cell>
          <cell r="L328">
            <v>363.3</v>
          </cell>
          <cell r="M328">
            <v>0.77314322196212004</v>
          </cell>
          <cell r="N328">
            <v>7.0750000000000002</v>
          </cell>
          <cell r="O328" t="str">
            <v>No</v>
          </cell>
          <cell r="Q328">
            <v>375.9</v>
          </cell>
          <cell r="R328">
            <v>0.799957437752713</v>
          </cell>
          <cell r="S328">
            <v>7.6890000000000001</v>
          </cell>
          <cell r="T328" t="str">
            <v>No</v>
          </cell>
          <cell r="V328">
            <v>350.4</v>
          </cell>
          <cell r="W328">
            <v>0.74569057246222603</v>
          </cell>
          <cell r="X328">
            <v>3.8889999999999998</v>
          </cell>
          <cell r="Y328" t="str">
            <v>No</v>
          </cell>
          <cell r="AA328">
            <v>387.2</v>
          </cell>
          <cell r="AB328">
            <v>0.82400510746967404</v>
          </cell>
          <cell r="AC328">
            <v>47.09</v>
          </cell>
          <cell r="AD328" t="str">
            <v>No</v>
          </cell>
          <cell r="AF328">
            <v>419.4</v>
          </cell>
          <cell r="AG328">
            <v>0.89253032560119205</v>
          </cell>
          <cell r="AH328">
            <v>81.239999999999995</v>
          </cell>
          <cell r="AI328" t="str">
            <v>No</v>
          </cell>
        </row>
        <row r="329">
          <cell r="A329" t="str">
            <v>P99C2</v>
          </cell>
          <cell r="B329">
            <v>355.6</v>
          </cell>
          <cell r="C329">
            <v>0.75675675675675702</v>
          </cell>
          <cell r="D329">
            <v>5.93</v>
          </cell>
          <cell r="E329" t="str">
            <v>No</v>
          </cell>
          <cell r="G329">
            <v>366.4</v>
          </cell>
          <cell r="H329">
            <v>0.77974037029155097</v>
          </cell>
          <cell r="I329">
            <v>6.6079999999999997</v>
          </cell>
          <cell r="J329" t="str">
            <v>No</v>
          </cell>
          <cell r="L329">
            <v>389.4</v>
          </cell>
          <cell r="M329">
            <v>0.82868695467120701</v>
          </cell>
          <cell r="N329">
            <v>13.71</v>
          </cell>
          <cell r="O329" t="str">
            <v>No</v>
          </cell>
          <cell r="Q329">
            <v>345.8</v>
          </cell>
          <cell r="R329">
            <v>0.73590125558629504</v>
          </cell>
          <cell r="S329">
            <v>3.036</v>
          </cell>
          <cell r="T329" t="str">
            <v>No</v>
          </cell>
          <cell r="V329">
            <v>366.3</v>
          </cell>
          <cell r="W329">
            <v>0.77952755905511795</v>
          </cell>
          <cell r="X329">
            <v>9.0060000000000002</v>
          </cell>
          <cell r="Y329" t="str">
            <v>No</v>
          </cell>
          <cell r="AA329">
            <v>401.8</v>
          </cell>
          <cell r="AB329">
            <v>0.85507554798893404</v>
          </cell>
          <cell r="AC329">
            <v>55.21</v>
          </cell>
          <cell r="AD329" t="str">
            <v>No</v>
          </cell>
          <cell r="AF329">
            <v>416.2</v>
          </cell>
          <cell r="AG329">
            <v>0.885720366035327</v>
          </cell>
          <cell r="AH329">
            <v>72.47</v>
          </cell>
          <cell r="AI329" t="str">
            <v>No</v>
          </cell>
        </row>
        <row r="330">
          <cell r="A330" t="str">
            <v>P99C3</v>
          </cell>
          <cell r="B330">
            <v>409.7</v>
          </cell>
          <cell r="C330">
            <v>0.87188763566716299</v>
          </cell>
          <cell r="D330">
            <v>20.29</v>
          </cell>
          <cell r="E330" t="str">
            <v>No</v>
          </cell>
          <cell r="G330">
            <v>354.8</v>
          </cell>
          <cell r="H330">
            <v>0.75505426686529098</v>
          </cell>
          <cell r="I330">
            <v>8.1890000000000001</v>
          </cell>
          <cell r="J330" t="str">
            <v>No</v>
          </cell>
          <cell r="L330">
            <v>336.2</v>
          </cell>
          <cell r="M330">
            <v>0.71547137688869999</v>
          </cell>
          <cell r="N330">
            <v>3.2949999999999999</v>
          </cell>
          <cell r="O330" t="str">
            <v>No</v>
          </cell>
          <cell r="Q330">
            <v>315.7</v>
          </cell>
          <cell r="R330">
            <v>0.67184507341987698</v>
          </cell>
          <cell r="S330">
            <v>2.3439999999999999</v>
          </cell>
          <cell r="T330" t="str">
            <v>Yes</v>
          </cell>
          <cell r="V330">
            <v>401.7</v>
          </cell>
          <cell r="W330">
            <v>0.85486273675250102</v>
          </cell>
          <cell r="X330">
            <v>28.94</v>
          </cell>
          <cell r="Y330" t="str">
            <v>No</v>
          </cell>
          <cell r="AA330">
            <v>398</v>
          </cell>
          <cell r="AB330">
            <v>0.84698872100446898</v>
          </cell>
          <cell r="AC330">
            <v>41.52</v>
          </cell>
          <cell r="AD330" t="str">
            <v>No</v>
          </cell>
          <cell r="AF330">
            <v>424.6</v>
          </cell>
          <cell r="AG330">
            <v>0.90359650989572304</v>
          </cell>
          <cell r="AH330">
            <v>103.3</v>
          </cell>
          <cell r="AI330" t="str">
            <v>No</v>
          </cell>
        </row>
        <row r="331">
          <cell r="A331" t="str">
            <v>P100C</v>
          </cell>
          <cell r="B331">
            <v>336.9</v>
          </cell>
          <cell r="C331">
            <v>0.71696105554373302</v>
          </cell>
          <cell r="D331">
            <v>4.8899999999999997</v>
          </cell>
          <cell r="E331" t="str">
            <v>No</v>
          </cell>
          <cell r="G331">
            <v>340.6</v>
          </cell>
          <cell r="H331">
            <v>0.72483507129176405</v>
          </cell>
          <cell r="I331">
            <v>3.8580000000000001</v>
          </cell>
          <cell r="J331" t="str">
            <v>No</v>
          </cell>
          <cell r="L331">
            <v>405</v>
          </cell>
          <cell r="M331">
            <v>0.86188550755479898</v>
          </cell>
          <cell r="N331">
            <v>33.4</v>
          </cell>
          <cell r="O331" t="str">
            <v>No</v>
          </cell>
          <cell r="Q331">
            <v>360.6</v>
          </cell>
          <cell r="R331">
            <v>0.76739731857842097</v>
          </cell>
          <cell r="S331">
            <v>12.71</v>
          </cell>
          <cell r="T331" t="str">
            <v>No</v>
          </cell>
          <cell r="V331">
            <v>391.6</v>
          </cell>
          <cell r="W331">
            <v>0.83336880187273898</v>
          </cell>
          <cell r="X331">
            <v>29.49</v>
          </cell>
          <cell r="Y331" t="str">
            <v>No</v>
          </cell>
          <cell r="AA331">
            <v>375.4</v>
          </cell>
          <cell r="AB331">
            <v>0.79889338157054701</v>
          </cell>
          <cell r="AC331">
            <v>44.2</v>
          </cell>
          <cell r="AD331" t="str">
            <v>No</v>
          </cell>
          <cell r="AF331">
            <v>371.4</v>
          </cell>
          <cell r="AG331">
            <v>0.79038093211321603</v>
          </cell>
          <cell r="AH331">
            <v>17.010000000000002</v>
          </cell>
          <cell r="AI331" t="str">
            <v>No</v>
          </cell>
        </row>
        <row r="332">
          <cell r="A332" t="str">
            <v>P101C2</v>
          </cell>
          <cell r="B332">
            <v>359.1</v>
          </cell>
          <cell r="C332">
            <v>0.76420515003192202</v>
          </cell>
          <cell r="D332">
            <v>7.8289999999999997</v>
          </cell>
          <cell r="E332" t="str">
            <v>No</v>
          </cell>
          <cell r="G332">
            <v>349.8</v>
          </cell>
          <cell r="H332">
            <v>0.74441370504362603</v>
          </cell>
          <cell r="I332">
            <v>5.5170000000000003</v>
          </cell>
          <cell r="J332" t="str">
            <v>No</v>
          </cell>
          <cell r="L332">
            <v>422.5</v>
          </cell>
          <cell r="M332">
            <v>0.89912747393062398</v>
          </cell>
          <cell r="N332">
            <v>24.49</v>
          </cell>
          <cell r="O332" t="str">
            <v>No</v>
          </cell>
          <cell r="Q332">
            <v>337.6</v>
          </cell>
          <cell r="R332">
            <v>0.71845073419876604</v>
          </cell>
          <cell r="S332">
            <v>5.1909999999999998</v>
          </cell>
          <cell r="T332" t="str">
            <v>No</v>
          </cell>
          <cell r="V332">
            <v>324.8</v>
          </cell>
          <cell r="W332">
            <v>0.69121089593530505</v>
          </cell>
          <cell r="X332">
            <v>2.3530000000000002</v>
          </cell>
          <cell r="Y332" t="str">
            <v>No</v>
          </cell>
          <cell r="AA332">
            <v>418.8</v>
          </cell>
          <cell r="AB332">
            <v>0.89125345818259205</v>
          </cell>
          <cell r="AC332">
            <v>46.58</v>
          </cell>
          <cell r="AD332" t="str">
            <v>No</v>
          </cell>
          <cell r="AF332">
            <v>393.8</v>
          </cell>
          <cell r="AG332">
            <v>0.83805064907427096</v>
          </cell>
          <cell r="AH332">
            <v>36.76</v>
          </cell>
          <cell r="AI332" t="str">
            <v>No</v>
          </cell>
        </row>
        <row r="333">
          <cell r="A333" t="str">
            <v>P101C3</v>
          </cell>
          <cell r="B333">
            <v>420.2</v>
          </cell>
          <cell r="C333">
            <v>0.89423281549265798</v>
          </cell>
          <cell r="D333">
            <v>32.61</v>
          </cell>
          <cell r="E333" t="str">
            <v>No</v>
          </cell>
          <cell r="G333">
            <v>385</v>
          </cell>
          <cell r="H333">
            <v>0.81932326026814195</v>
          </cell>
          <cell r="I333">
            <v>8.8309999999999995</v>
          </cell>
          <cell r="J333" t="str">
            <v>No</v>
          </cell>
          <cell r="L333">
            <v>402.2</v>
          </cell>
          <cell r="M333">
            <v>0.855926792934667</v>
          </cell>
          <cell r="N333">
            <v>15.92</v>
          </cell>
          <cell r="O333" t="str">
            <v>No</v>
          </cell>
          <cell r="Q333">
            <v>376.7</v>
          </cell>
          <cell r="R333">
            <v>0.80165992764418004</v>
          </cell>
          <cell r="S333">
            <v>15.98</v>
          </cell>
          <cell r="T333" t="str">
            <v>No</v>
          </cell>
          <cell r="V333">
            <v>424.4</v>
          </cell>
          <cell r="W333">
            <v>0.90317088742285601</v>
          </cell>
          <cell r="X333">
            <v>46.35</v>
          </cell>
          <cell r="Y333" t="str">
            <v>No</v>
          </cell>
          <cell r="AA333">
            <v>458.6</v>
          </cell>
          <cell r="AB333">
            <v>0.97595233028303896</v>
          </cell>
          <cell r="AC333">
            <v>158.30000000000001</v>
          </cell>
          <cell r="AD333" t="str">
            <v>No</v>
          </cell>
          <cell r="AF333">
            <v>455.8</v>
          </cell>
          <cell r="AG333">
            <v>0.96999361566290698</v>
          </cell>
          <cell r="AH333">
            <v>135.6</v>
          </cell>
          <cell r="AI333" t="str">
            <v>No</v>
          </cell>
        </row>
        <row r="334">
          <cell r="A334" t="str">
            <v>P102C1</v>
          </cell>
          <cell r="B334">
            <v>414.2</v>
          </cell>
          <cell r="C334">
            <v>0.88146414130666095</v>
          </cell>
          <cell r="D334">
            <v>61.65</v>
          </cell>
          <cell r="E334" t="str">
            <v>No</v>
          </cell>
          <cell r="G334">
            <v>358.5</v>
          </cell>
          <cell r="H334">
            <v>0.76292828261332202</v>
          </cell>
          <cell r="I334">
            <v>13.46</v>
          </cell>
          <cell r="J334" t="str">
            <v>No</v>
          </cell>
          <cell r="L334">
            <v>402.3</v>
          </cell>
          <cell r="M334">
            <v>0.85613960417110002</v>
          </cell>
          <cell r="N334">
            <v>30.79</v>
          </cell>
          <cell r="O334" t="str">
            <v>No</v>
          </cell>
          <cell r="Q334">
            <v>412.1</v>
          </cell>
          <cell r="R334">
            <v>0.876995105341562</v>
          </cell>
          <cell r="S334">
            <v>42.29</v>
          </cell>
          <cell r="T334" t="str">
            <v>No</v>
          </cell>
          <cell r="V334">
            <v>366.4</v>
          </cell>
          <cell r="W334">
            <v>0.77974037029155097</v>
          </cell>
          <cell r="X334">
            <v>8.9890000000000008</v>
          </cell>
          <cell r="Y334" t="str">
            <v>No</v>
          </cell>
          <cell r="AA334">
            <v>364.4</v>
          </cell>
          <cell r="AB334">
            <v>0.77548414556288603</v>
          </cell>
          <cell r="AC334">
            <v>21.24</v>
          </cell>
          <cell r="AD334" t="str">
            <v>No</v>
          </cell>
          <cell r="AF334">
            <v>406.5</v>
          </cell>
          <cell r="AG334">
            <v>0.86507767610129804</v>
          </cell>
          <cell r="AH334">
            <v>42.18</v>
          </cell>
          <cell r="AI334" t="str">
            <v>No</v>
          </cell>
        </row>
        <row r="335">
          <cell r="A335" t="str">
            <v>P102C2</v>
          </cell>
          <cell r="B335">
            <v>392.6</v>
          </cell>
          <cell r="C335">
            <v>0.83549691423707195</v>
          </cell>
          <cell r="D335">
            <v>18.71</v>
          </cell>
          <cell r="E335" t="str">
            <v>No</v>
          </cell>
          <cell r="G335">
            <v>326.8</v>
          </cell>
          <cell r="H335">
            <v>0.69546712066397098</v>
          </cell>
          <cell r="I335">
            <v>1.9159999999999999</v>
          </cell>
          <cell r="J335" t="str">
            <v>Yes</v>
          </cell>
          <cell r="L335">
            <v>376.3</v>
          </cell>
          <cell r="M335">
            <v>0.80080868269844696</v>
          </cell>
          <cell r="N335">
            <v>12.87</v>
          </cell>
          <cell r="O335" t="str">
            <v>No</v>
          </cell>
          <cell r="Q335">
            <v>379.1</v>
          </cell>
          <cell r="R335">
            <v>0.80676739731857805</v>
          </cell>
          <cell r="S335">
            <v>13.43</v>
          </cell>
          <cell r="T335" t="str">
            <v>No</v>
          </cell>
          <cell r="V335">
            <v>327.39999999999998</v>
          </cell>
          <cell r="W335">
            <v>0.69674398808257099</v>
          </cell>
          <cell r="X335">
            <v>2.1890000000000001</v>
          </cell>
          <cell r="Y335" t="str">
            <v>No</v>
          </cell>
          <cell r="AA335">
            <v>364.2</v>
          </cell>
          <cell r="AB335">
            <v>0.77505852309001899</v>
          </cell>
          <cell r="AC335">
            <v>21.95</v>
          </cell>
          <cell r="AD335" t="str">
            <v>No</v>
          </cell>
          <cell r="AF335">
            <v>413</v>
          </cell>
          <cell r="AG335">
            <v>0.87891040646946195</v>
          </cell>
          <cell r="AH335">
            <v>78.72</v>
          </cell>
          <cell r="AI335" t="str">
            <v>No</v>
          </cell>
        </row>
        <row r="336">
          <cell r="A336" t="str">
            <v>P102C3</v>
          </cell>
          <cell r="B336">
            <v>363.3</v>
          </cell>
          <cell r="C336">
            <v>0.77314322196212004</v>
          </cell>
          <cell r="D336">
            <v>8.7759999999999998</v>
          </cell>
          <cell r="E336" t="str">
            <v>No</v>
          </cell>
          <cell r="G336">
            <v>351.2</v>
          </cell>
          <cell r="H336">
            <v>0.74739306235369196</v>
          </cell>
          <cell r="I336">
            <v>9.6460000000000008</v>
          </cell>
          <cell r="J336" t="str">
            <v>No</v>
          </cell>
          <cell r="L336">
            <v>356.9</v>
          </cell>
          <cell r="M336">
            <v>0.75952330283038905</v>
          </cell>
          <cell r="N336">
            <v>8.4890000000000008</v>
          </cell>
          <cell r="O336" t="str">
            <v>No</v>
          </cell>
          <cell r="Q336">
            <v>398.3</v>
          </cell>
          <cell r="R336">
            <v>0.84762715471376904</v>
          </cell>
          <cell r="S336">
            <v>23.44</v>
          </cell>
          <cell r="T336" t="str">
            <v>No</v>
          </cell>
          <cell r="V336">
            <v>361.5</v>
          </cell>
          <cell r="W336">
            <v>0.76931261970632003</v>
          </cell>
          <cell r="X336">
            <v>6.5949999999999998</v>
          </cell>
          <cell r="Y336" t="str">
            <v>No</v>
          </cell>
          <cell r="AA336">
            <v>390.2</v>
          </cell>
          <cell r="AB336">
            <v>0.83038944456267305</v>
          </cell>
          <cell r="AC336">
            <v>38.36</v>
          </cell>
          <cell r="AD336" t="str">
            <v>No</v>
          </cell>
          <cell r="AF336">
            <v>421.9</v>
          </cell>
          <cell r="AG336">
            <v>0.89785060651202397</v>
          </cell>
          <cell r="AH336">
            <v>90.16</v>
          </cell>
          <cell r="AI336" t="str">
            <v>No</v>
          </cell>
        </row>
        <row r="337">
          <cell r="A337" t="str">
            <v>P103C1</v>
          </cell>
          <cell r="B337">
            <v>326.39999999999998</v>
          </cell>
          <cell r="C337">
            <v>0.69461587571823802</v>
          </cell>
          <cell r="D337">
            <v>1.819</v>
          </cell>
          <cell r="E337" t="str">
            <v>Yes</v>
          </cell>
          <cell r="G337">
            <v>353.5</v>
          </cell>
          <cell r="H337">
            <v>0.75228772079165795</v>
          </cell>
          <cell r="I337">
            <v>5.524</v>
          </cell>
          <cell r="J337" t="str">
            <v>No</v>
          </cell>
          <cell r="L337">
            <v>348.8</v>
          </cell>
          <cell r="M337">
            <v>0.74228559267929395</v>
          </cell>
          <cell r="N337">
            <v>5.0460000000000003</v>
          </cell>
          <cell r="O337" t="str">
            <v>No</v>
          </cell>
          <cell r="Q337">
            <v>352.4</v>
          </cell>
          <cell r="R337">
            <v>0.74994679719089197</v>
          </cell>
          <cell r="S337">
            <v>6.0380000000000003</v>
          </cell>
          <cell r="T337" t="str">
            <v>No</v>
          </cell>
          <cell r="V337">
            <v>341.9</v>
          </cell>
          <cell r="W337">
            <v>0.72760161736539697</v>
          </cell>
          <cell r="X337">
            <v>3.3420000000000001</v>
          </cell>
          <cell r="Y337" t="str">
            <v>No</v>
          </cell>
          <cell r="AA337">
            <v>422.5</v>
          </cell>
          <cell r="AB337">
            <v>0.89912747393062398</v>
          </cell>
          <cell r="AC337">
            <v>82.7</v>
          </cell>
          <cell r="AD337" t="str">
            <v>No</v>
          </cell>
          <cell r="AF337">
            <v>443.7</v>
          </cell>
          <cell r="AG337">
            <v>0.94424345605448001</v>
          </cell>
          <cell r="AH337">
            <v>373.6</v>
          </cell>
          <cell r="AI337" t="str">
            <v>No</v>
          </cell>
        </row>
        <row r="338">
          <cell r="A338" t="str">
            <v>P103C2</v>
          </cell>
          <cell r="B338">
            <v>359.6</v>
          </cell>
          <cell r="C338">
            <v>0.765269206214088</v>
          </cell>
          <cell r="D338">
            <v>6.2859999999999996</v>
          </cell>
          <cell r="E338" t="str">
            <v>No</v>
          </cell>
          <cell r="G338">
            <v>354.2</v>
          </cell>
          <cell r="H338">
            <v>0.75377739944669098</v>
          </cell>
          <cell r="I338">
            <v>6.992</v>
          </cell>
          <cell r="J338" t="str">
            <v>No</v>
          </cell>
          <cell r="L338">
            <v>381.7</v>
          </cell>
          <cell r="M338">
            <v>0.81230048946584399</v>
          </cell>
          <cell r="N338">
            <v>8.7309999999999999</v>
          </cell>
          <cell r="O338" t="str">
            <v>No</v>
          </cell>
          <cell r="Q338">
            <v>395.2</v>
          </cell>
          <cell r="R338">
            <v>0.841030006384337</v>
          </cell>
          <cell r="S338">
            <v>24.62</v>
          </cell>
          <cell r="T338" t="str">
            <v>No</v>
          </cell>
          <cell r="V338">
            <v>383</v>
          </cell>
          <cell r="W338">
            <v>0.81506703553947701</v>
          </cell>
          <cell r="X338">
            <v>14.69</v>
          </cell>
          <cell r="Y338" t="str">
            <v>No</v>
          </cell>
          <cell r="AA338">
            <v>422.6</v>
          </cell>
          <cell r="AB338">
            <v>0.899340285167057</v>
          </cell>
          <cell r="AC338">
            <v>90.72</v>
          </cell>
          <cell r="AD338" t="str">
            <v>No</v>
          </cell>
          <cell r="AF338">
            <v>433.8</v>
          </cell>
          <cell r="AG338">
            <v>0.92317514364758502</v>
          </cell>
          <cell r="AH338">
            <v>110.2</v>
          </cell>
          <cell r="AI338" t="str">
            <v>No</v>
          </cell>
        </row>
        <row r="339">
          <cell r="A339" t="str">
            <v>P103C3</v>
          </cell>
          <cell r="B339">
            <v>291.8</v>
          </cell>
          <cell r="C339">
            <v>0.62098318791232199</v>
          </cell>
          <cell r="D339">
            <v>0.91739999999999999</v>
          </cell>
          <cell r="E339" t="str">
            <v>Yes</v>
          </cell>
          <cell r="G339">
            <v>310.5</v>
          </cell>
          <cell r="H339">
            <v>0.66077888912534599</v>
          </cell>
          <cell r="I339">
            <v>1.833</v>
          </cell>
          <cell r="J339" t="str">
            <v>Yes</v>
          </cell>
          <cell r="L339">
            <v>311.2</v>
          </cell>
          <cell r="M339">
            <v>0.66226856778037901</v>
          </cell>
          <cell r="N339">
            <v>1.75</v>
          </cell>
          <cell r="O339" t="str">
            <v>Yes</v>
          </cell>
          <cell r="Q339">
            <v>383.3</v>
          </cell>
          <cell r="R339">
            <v>0.81570546924877596</v>
          </cell>
          <cell r="S339">
            <v>14.43</v>
          </cell>
          <cell r="T339" t="str">
            <v>No</v>
          </cell>
          <cell r="V339">
            <v>302.2</v>
          </cell>
          <cell r="W339">
            <v>0.64311555650138297</v>
          </cell>
          <cell r="X339">
            <v>1.4750000000000001</v>
          </cell>
          <cell r="Y339" t="str">
            <v>Yes</v>
          </cell>
          <cell r="AA339">
            <v>374.4</v>
          </cell>
          <cell r="AB339">
            <v>0.79676526920621404</v>
          </cell>
          <cell r="AC339">
            <v>24.11</v>
          </cell>
          <cell r="AD339" t="str">
            <v>No</v>
          </cell>
          <cell r="AF339">
            <v>383.4</v>
          </cell>
          <cell r="AG339">
            <v>0.81591828048520998</v>
          </cell>
          <cell r="AH339">
            <v>35.409999999999997</v>
          </cell>
          <cell r="AI339" t="str">
            <v>No</v>
          </cell>
        </row>
        <row r="340">
          <cell r="A340" t="str">
            <v>P104C1</v>
          </cell>
          <cell r="B340">
            <v>343.9</v>
          </cell>
          <cell r="C340">
            <v>0.73185784209406302</v>
          </cell>
          <cell r="D340">
            <v>5.0590000000000002</v>
          </cell>
          <cell r="E340" t="str">
            <v>No</v>
          </cell>
          <cell r="G340">
            <v>371.6</v>
          </cell>
          <cell r="H340">
            <v>0.79080655458608196</v>
          </cell>
          <cell r="I340">
            <v>9.4969999999999999</v>
          </cell>
          <cell r="J340" t="str">
            <v>No</v>
          </cell>
          <cell r="L340">
            <v>377.1</v>
          </cell>
          <cell r="M340">
            <v>0.802511172589913</v>
          </cell>
          <cell r="N340">
            <v>9.8949999999999996</v>
          </cell>
          <cell r="O340" t="str">
            <v>No</v>
          </cell>
          <cell r="Q340">
            <v>322.8</v>
          </cell>
          <cell r="R340">
            <v>0.68695467120664</v>
          </cell>
          <cell r="S340">
            <v>2.02</v>
          </cell>
          <cell r="T340" t="str">
            <v>Yes</v>
          </cell>
          <cell r="V340">
            <v>424.4</v>
          </cell>
          <cell r="W340">
            <v>0.90317088742285601</v>
          </cell>
          <cell r="X340">
            <v>80.87</v>
          </cell>
          <cell r="Y340" t="str">
            <v>No</v>
          </cell>
          <cell r="AA340">
            <v>394.3</v>
          </cell>
          <cell r="AB340">
            <v>0.83911470525643805</v>
          </cell>
          <cell r="AC340">
            <v>22.54</v>
          </cell>
          <cell r="AD340" t="str">
            <v>No</v>
          </cell>
          <cell r="AF340">
            <v>408</v>
          </cell>
          <cell r="AG340">
            <v>0.868269844647797</v>
          </cell>
          <cell r="AH340">
            <v>50.68</v>
          </cell>
          <cell r="AI340" t="str">
            <v>No</v>
          </cell>
        </row>
        <row r="341">
          <cell r="A341" t="str">
            <v>P104C2</v>
          </cell>
          <cell r="B341">
            <v>368.1</v>
          </cell>
          <cell r="C341">
            <v>0.78335816131091696</v>
          </cell>
          <cell r="D341">
            <v>9.1579999999999995</v>
          </cell>
          <cell r="E341" t="str">
            <v>No</v>
          </cell>
          <cell r="G341">
            <v>400.6</v>
          </cell>
          <cell r="H341">
            <v>0.85252181315173403</v>
          </cell>
          <cell r="I341">
            <v>19.71</v>
          </cell>
          <cell r="J341" t="str">
            <v>No</v>
          </cell>
          <cell r="L341">
            <v>389.9</v>
          </cell>
          <cell r="M341">
            <v>0.82975101085337299</v>
          </cell>
          <cell r="N341">
            <v>14.89</v>
          </cell>
          <cell r="O341" t="str">
            <v>No</v>
          </cell>
          <cell r="Q341">
            <v>375.4</v>
          </cell>
          <cell r="R341">
            <v>0.79889338157054701</v>
          </cell>
          <cell r="S341">
            <v>11.47</v>
          </cell>
          <cell r="T341" t="str">
            <v>No</v>
          </cell>
          <cell r="V341">
            <v>410.5</v>
          </cell>
          <cell r="W341">
            <v>0.87359012555863003</v>
          </cell>
          <cell r="X341">
            <v>31.01</v>
          </cell>
          <cell r="Y341" t="str">
            <v>No</v>
          </cell>
          <cell r="AA341">
            <v>402</v>
          </cell>
          <cell r="AB341">
            <v>0.85550117046179996</v>
          </cell>
          <cell r="AC341">
            <v>26.38</v>
          </cell>
          <cell r="AD341" t="str">
            <v>No</v>
          </cell>
          <cell r="AF341">
            <v>409.1</v>
          </cell>
          <cell r="AG341">
            <v>0.87061076824856398</v>
          </cell>
          <cell r="AH341">
            <v>44.2</v>
          </cell>
          <cell r="AI341" t="str">
            <v>No</v>
          </cell>
        </row>
        <row r="342">
          <cell r="A342" t="str">
            <v>P104C3</v>
          </cell>
          <cell r="B342">
            <v>396.1</v>
          </cell>
          <cell r="C342">
            <v>0.84294530751223695</v>
          </cell>
          <cell r="D342">
            <v>12.76</v>
          </cell>
          <cell r="E342" t="str">
            <v>No</v>
          </cell>
          <cell r="G342">
            <v>388.5</v>
          </cell>
          <cell r="H342">
            <v>0.82677165354330695</v>
          </cell>
          <cell r="I342">
            <v>9.9060000000000006</v>
          </cell>
          <cell r="J342" t="str">
            <v>No</v>
          </cell>
          <cell r="L342">
            <v>374.5</v>
          </cell>
          <cell r="M342">
            <v>0.79697808044264695</v>
          </cell>
          <cell r="N342">
            <v>6.0010000000000003</v>
          </cell>
          <cell r="O342" t="str">
            <v>No</v>
          </cell>
          <cell r="Q342">
            <v>342.5</v>
          </cell>
          <cell r="R342">
            <v>0.72887848478399697</v>
          </cell>
          <cell r="S342">
            <v>6.2149999999999999</v>
          </cell>
          <cell r="T342" t="str">
            <v>No</v>
          </cell>
          <cell r="V342">
            <v>434.2</v>
          </cell>
          <cell r="W342">
            <v>0.92402638859331798</v>
          </cell>
          <cell r="X342">
            <v>74.569999999999993</v>
          </cell>
          <cell r="Y342" t="str">
            <v>No</v>
          </cell>
          <cell r="AA342">
            <v>453.8</v>
          </cell>
          <cell r="AB342">
            <v>0.96573739093424105</v>
          </cell>
          <cell r="AC342">
            <v>101.6</v>
          </cell>
          <cell r="AD342" t="str">
            <v>No</v>
          </cell>
          <cell r="AF342">
            <v>454.8</v>
          </cell>
          <cell r="AG342">
            <v>0.96786550329857401</v>
          </cell>
          <cell r="AH342">
            <v>120.5</v>
          </cell>
          <cell r="AI342" t="str">
            <v>No</v>
          </cell>
        </row>
        <row r="343">
          <cell r="A343" t="str">
            <v>P105C1</v>
          </cell>
          <cell r="B343">
            <v>313.2</v>
          </cell>
          <cell r="C343">
            <v>0.66652479250904495</v>
          </cell>
          <cell r="D343">
            <v>1.7849999999999999</v>
          </cell>
          <cell r="E343" t="str">
            <v>Yes</v>
          </cell>
          <cell r="G343">
            <v>356.6</v>
          </cell>
          <cell r="H343">
            <v>0.75888486912108999</v>
          </cell>
          <cell r="I343">
            <v>7.1580000000000004</v>
          </cell>
          <cell r="J343" t="str">
            <v>No</v>
          </cell>
          <cell r="L343">
            <v>352.1</v>
          </cell>
          <cell r="M343">
            <v>0.74930836348159202</v>
          </cell>
          <cell r="N343">
            <v>7.4160000000000004</v>
          </cell>
          <cell r="O343" t="str">
            <v>No</v>
          </cell>
          <cell r="Q343">
            <v>404.1</v>
          </cell>
          <cell r="R343">
            <v>0.85997020642689903</v>
          </cell>
          <cell r="S343">
            <v>19.43</v>
          </cell>
          <cell r="T343" t="str">
            <v>No</v>
          </cell>
          <cell r="V343">
            <v>401.7</v>
          </cell>
          <cell r="W343">
            <v>0.85486273675250102</v>
          </cell>
          <cell r="X343">
            <v>29.24</v>
          </cell>
          <cell r="Y343" t="str">
            <v>No</v>
          </cell>
          <cell r="AA343">
            <v>423.8</v>
          </cell>
          <cell r="AB343">
            <v>0.901894020004256</v>
          </cell>
          <cell r="AC343">
            <v>180.2</v>
          </cell>
          <cell r="AD343" t="str">
            <v>No</v>
          </cell>
          <cell r="AF343">
            <v>412.4</v>
          </cell>
          <cell r="AG343">
            <v>0.87763353905086205</v>
          </cell>
          <cell r="AH343">
            <v>91.73</v>
          </cell>
          <cell r="AI343" t="str">
            <v>No</v>
          </cell>
        </row>
        <row r="344">
          <cell r="A344" t="str">
            <v>P105C2</v>
          </cell>
          <cell r="B344">
            <v>283.89999999999998</v>
          </cell>
          <cell r="C344">
            <v>0.60417110023409204</v>
          </cell>
          <cell r="D344">
            <v>0.91200000000000003</v>
          </cell>
          <cell r="E344" t="str">
            <v>Yes</v>
          </cell>
          <cell r="G344">
            <v>357.9</v>
          </cell>
          <cell r="H344">
            <v>0.76165141519472201</v>
          </cell>
          <cell r="I344">
            <v>12.38</v>
          </cell>
          <cell r="J344" t="str">
            <v>No</v>
          </cell>
          <cell r="L344">
            <v>346.9</v>
          </cell>
          <cell r="M344">
            <v>0.73824217918706103</v>
          </cell>
          <cell r="N344">
            <v>6.9539999999999997</v>
          </cell>
          <cell r="O344" t="str">
            <v>No</v>
          </cell>
          <cell r="Q344">
            <v>394.8</v>
          </cell>
          <cell r="R344">
            <v>0.84017876143860404</v>
          </cell>
          <cell r="S344">
            <v>15.24</v>
          </cell>
          <cell r="T344" t="str">
            <v>No</v>
          </cell>
          <cell r="V344">
            <v>387.7</v>
          </cell>
          <cell r="W344">
            <v>0.82506916365184102</v>
          </cell>
          <cell r="X344">
            <v>16.48</v>
          </cell>
          <cell r="Y344" t="str">
            <v>No</v>
          </cell>
          <cell r="AA344">
            <v>404.9</v>
          </cell>
          <cell r="AB344">
            <v>0.86167269631836596</v>
          </cell>
          <cell r="AC344">
            <v>186.8</v>
          </cell>
          <cell r="AD344" t="str">
            <v>No</v>
          </cell>
          <cell r="AF344">
            <v>394.7</v>
          </cell>
          <cell r="AG344">
            <v>0.83996595020217102</v>
          </cell>
          <cell r="AH344">
            <v>99.79</v>
          </cell>
          <cell r="AI344" t="str">
            <v>No</v>
          </cell>
        </row>
        <row r="345">
          <cell r="A345" t="str">
            <v>P105C3</v>
          </cell>
          <cell r="B345">
            <v>377.7</v>
          </cell>
          <cell r="C345">
            <v>0.80378804000851201</v>
          </cell>
          <cell r="D345">
            <v>13.99</v>
          </cell>
          <cell r="E345" t="str">
            <v>No</v>
          </cell>
          <cell r="G345">
            <v>305.7</v>
          </cell>
          <cell r="H345">
            <v>0.65056394977654797</v>
          </cell>
          <cell r="I345">
            <v>1.6759999999999999</v>
          </cell>
          <cell r="J345" t="str">
            <v>Yes</v>
          </cell>
          <cell r="L345">
            <v>309.7</v>
          </cell>
          <cell r="M345">
            <v>0.65907639923387995</v>
          </cell>
          <cell r="N345">
            <v>1.8879999999999999</v>
          </cell>
          <cell r="O345" t="str">
            <v>Yes</v>
          </cell>
          <cell r="Q345">
            <v>349.1</v>
          </cell>
          <cell r="R345">
            <v>0.74292402638859301</v>
          </cell>
          <cell r="S345">
            <v>6.0549999999999997</v>
          </cell>
          <cell r="T345" t="str">
            <v>No</v>
          </cell>
          <cell r="V345">
            <v>358.8</v>
          </cell>
          <cell r="W345">
            <v>0.76356671632262196</v>
          </cell>
          <cell r="X345">
            <v>7.2670000000000003</v>
          </cell>
          <cell r="Y345" t="str">
            <v>No</v>
          </cell>
          <cell r="AA345">
            <v>405.6</v>
          </cell>
          <cell r="AB345">
            <v>0.86316237497339898</v>
          </cell>
          <cell r="AC345">
            <v>69.150000000000006</v>
          </cell>
          <cell r="AD345" t="str">
            <v>No</v>
          </cell>
          <cell r="AF345">
            <v>428.3</v>
          </cell>
          <cell r="AG345">
            <v>0.91147052564375397</v>
          </cell>
          <cell r="AH345">
            <v>105.2</v>
          </cell>
          <cell r="AI345" t="str">
            <v>No</v>
          </cell>
        </row>
        <row r="346">
          <cell r="A346" t="str">
            <v>P106C1</v>
          </cell>
          <cell r="B346">
            <v>332.5</v>
          </cell>
          <cell r="C346">
            <v>0.70759736114066796</v>
          </cell>
          <cell r="D346">
            <v>2.9729999999999999</v>
          </cell>
          <cell r="E346" t="str">
            <v>No</v>
          </cell>
          <cell r="G346">
            <v>303.7</v>
          </cell>
          <cell r="H346">
            <v>0.64630772504788303</v>
          </cell>
          <cell r="I346">
            <v>1.0940000000000001</v>
          </cell>
          <cell r="J346" t="str">
            <v>Yes</v>
          </cell>
          <cell r="L346">
            <v>294.10000000000002</v>
          </cell>
          <cell r="M346">
            <v>0.62587784635028698</v>
          </cell>
          <cell r="N346">
            <v>1.0229999999999999</v>
          </cell>
          <cell r="O346" t="str">
            <v>Yes</v>
          </cell>
          <cell r="Q346">
            <v>311.2</v>
          </cell>
          <cell r="R346">
            <v>0.66226856778037901</v>
          </cell>
          <cell r="S346">
            <v>1.387</v>
          </cell>
          <cell r="T346" t="str">
            <v>Yes</v>
          </cell>
          <cell r="V346">
            <v>303.60000000000002</v>
          </cell>
          <cell r="W346">
            <v>0.64609491381144901</v>
          </cell>
          <cell r="X346">
            <v>1.4950000000000001</v>
          </cell>
          <cell r="Y346" t="str">
            <v>Yes</v>
          </cell>
          <cell r="AA346">
            <v>416.7</v>
          </cell>
          <cell r="AB346">
            <v>0.88678442221749298</v>
          </cell>
          <cell r="AC346">
            <v>171</v>
          </cell>
          <cell r="AD346" t="str">
            <v>No</v>
          </cell>
          <cell r="AF346">
            <v>407.9</v>
          </cell>
          <cell r="AG346">
            <v>0.86805703341136398</v>
          </cell>
          <cell r="AH346">
            <v>167.6</v>
          </cell>
          <cell r="AI346" t="str">
            <v>No</v>
          </cell>
        </row>
        <row r="347">
          <cell r="A347" t="str">
            <v>P106C2</v>
          </cell>
          <cell r="B347">
            <v>338</v>
          </cell>
          <cell r="C347">
            <v>0.719301979144499</v>
          </cell>
          <cell r="D347">
            <v>4.5190000000000001</v>
          </cell>
          <cell r="E347" t="str">
            <v>No</v>
          </cell>
          <cell r="G347">
            <v>307.5</v>
          </cell>
          <cell r="H347">
            <v>0.65439455203234698</v>
          </cell>
          <cell r="I347">
            <v>1.18</v>
          </cell>
          <cell r="J347" t="str">
            <v>Yes</v>
          </cell>
          <cell r="L347">
            <v>283.7</v>
          </cell>
          <cell r="M347">
            <v>0.603745477761226</v>
          </cell>
          <cell r="N347">
            <v>0.74650000000000005</v>
          </cell>
          <cell r="O347" t="str">
            <v>Yes</v>
          </cell>
          <cell r="Q347">
            <v>307.10000000000002</v>
          </cell>
          <cell r="R347">
            <v>0.65354330708661401</v>
          </cell>
          <cell r="S347">
            <v>1.298</v>
          </cell>
          <cell r="T347" t="str">
            <v>Yes</v>
          </cell>
          <cell r="V347">
            <v>289.7</v>
          </cell>
          <cell r="W347">
            <v>0.61651415194722303</v>
          </cell>
          <cell r="X347">
            <v>1.0649999999999999</v>
          </cell>
          <cell r="Y347" t="str">
            <v>Yes</v>
          </cell>
          <cell r="AA347">
            <v>375.7</v>
          </cell>
          <cell r="AB347">
            <v>0.79953181527984696</v>
          </cell>
          <cell r="AC347">
            <v>35.770000000000003</v>
          </cell>
          <cell r="AD347" t="str">
            <v>No</v>
          </cell>
          <cell r="AF347">
            <v>394.2</v>
          </cell>
          <cell r="AG347">
            <v>0.83890189402000404</v>
          </cell>
          <cell r="AH347">
            <v>78.760000000000005</v>
          </cell>
          <cell r="AI347" t="str">
            <v>No</v>
          </cell>
        </row>
        <row r="348">
          <cell r="A348" t="str">
            <v>P106C3</v>
          </cell>
          <cell r="B348">
            <v>342</v>
          </cell>
          <cell r="C348">
            <v>0.72781442860182999</v>
          </cell>
          <cell r="D348">
            <v>7.9829999999999997</v>
          </cell>
          <cell r="E348" t="str">
            <v>No</v>
          </cell>
          <cell r="G348">
            <v>287</v>
          </cell>
          <cell r="H348">
            <v>0.61076824856352396</v>
          </cell>
          <cell r="I348">
            <v>0.65749999999999997</v>
          </cell>
          <cell r="J348" t="str">
            <v>Yes</v>
          </cell>
          <cell r="L348">
            <v>292.10000000000002</v>
          </cell>
          <cell r="M348">
            <v>0.62162162162162204</v>
          </cell>
          <cell r="N348">
            <v>0.8921</v>
          </cell>
          <cell r="O348" t="str">
            <v>Yes</v>
          </cell>
          <cell r="Q348">
            <v>294.10000000000002</v>
          </cell>
          <cell r="R348">
            <v>0.62587784635028698</v>
          </cell>
          <cell r="S348">
            <v>1.1319999999999999</v>
          </cell>
          <cell r="T348" t="str">
            <v>Yes</v>
          </cell>
          <cell r="V348">
            <v>281.8</v>
          </cell>
          <cell r="W348">
            <v>0.59970206426899297</v>
          </cell>
          <cell r="X348">
            <v>0.84799999999999998</v>
          </cell>
          <cell r="Y348" t="str">
            <v>Yes</v>
          </cell>
          <cell r="AA348">
            <v>414.9</v>
          </cell>
          <cell r="AB348">
            <v>0.88295381996169398</v>
          </cell>
          <cell r="AC348">
            <v>98.53</v>
          </cell>
          <cell r="AD348" t="str">
            <v>No</v>
          </cell>
          <cell r="AF348">
            <v>386.3</v>
          </cell>
          <cell r="AG348">
            <v>0.82208980634177498</v>
          </cell>
          <cell r="AH348">
            <v>59.45</v>
          </cell>
          <cell r="AI348" t="str">
            <v>No</v>
          </cell>
        </row>
        <row r="349">
          <cell r="A349" t="str">
            <v>P107C1</v>
          </cell>
          <cell r="B349">
            <v>385.8</v>
          </cell>
          <cell r="C349">
            <v>0.82102575015960799</v>
          </cell>
          <cell r="D349">
            <v>18.989999999999998</v>
          </cell>
          <cell r="E349" t="str">
            <v>No</v>
          </cell>
          <cell r="G349">
            <v>406.3</v>
          </cell>
          <cell r="H349">
            <v>0.864652053628432</v>
          </cell>
          <cell r="I349">
            <v>47.73</v>
          </cell>
          <cell r="J349" t="str">
            <v>No</v>
          </cell>
          <cell r="L349">
            <v>402.9</v>
          </cell>
          <cell r="M349">
            <v>0.85741647158970002</v>
          </cell>
          <cell r="N349">
            <v>43.52</v>
          </cell>
          <cell r="O349" t="str">
            <v>No</v>
          </cell>
          <cell r="Q349">
            <v>394</v>
          </cell>
          <cell r="R349">
            <v>0.838476271547138</v>
          </cell>
          <cell r="S349">
            <v>24.66</v>
          </cell>
          <cell r="T349" t="str">
            <v>No</v>
          </cell>
          <cell r="V349">
            <v>398.6</v>
          </cell>
          <cell r="W349">
            <v>0.84826558842306898</v>
          </cell>
          <cell r="X349">
            <v>60.57</v>
          </cell>
          <cell r="Y349" t="str">
            <v>No</v>
          </cell>
          <cell r="AA349">
            <v>426.3</v>
          </cell>
          <cell r="AB349">
            <v>0.90721430091508803</v>
          </cell>
          <cell r="AC349">
            <v>134.4</v>
          </cell>
          <cell r="AD349" t="str">
            <v>No</v>
          </cell>
          <cell r="AF349">
            <v>380</v>
          </cell>
          <cell r="AG349">
            <v>0.808682698446478</v>
          </cell>
          <cell r="AH349">
            <v>98.19</v>
          </cell>
          <cell r="AI349" t="str">
            <v>No</v>
          </cell>
        </row>
        <row r="350">
          <cell r="A350" t="str">
            <v>P107C2</v>
          </cell>
          <cell r="B350">
            <v>369.4</v>
          </cell>
          <cell r="C350">
            <v>0.78612470738454998</v>
          </cell>
          <cell r="D350">
            <v>11.46</v>
          </cell>
          <cell r="E350" t="str">
            <v>No</v>
          </cell>
          <cell r="G350">
            <v>364.6</v>
          </cell>
          <cell r="H350">
            <v>0.77590976803575196</v>
          </cell>
          <cell r="I350">
            <v>11.69</v>
          </cell>
          <cell r="J350" t="str">
            <v>No</v>
          </cell>
          <cell r="L350">
            <v>390.3</v>
          </cell>
          <cell r="M350">
            <v>0.83060225579910596</v>
          </cell>
          <cell r="N350">
            <v>18.57</v>
          </cell>
          <cell r="O350" t="str">
            <v>No</v>
          </cell>
          <cell r="Q350">
            <v>382.6</v>
          </cell>
          <cell r="R350">
            <v>0.81421579059374305</v>
          </cell>
          <cell r="S350">
            <v>15.62</v>
          </cell>
          <cell r="T350" t="str">
            <v>No</v>
          </cell>
          <cell r="V350">
            <v>386.5</v>
          </cell>
          <cell r="W350">
            <v>0.82251542881464101</v>
          </cell>
          <cell r="X350">
            <v>42.77</v>
          </cell>
          <cell r="Y350" t="str">
            <v>No</v>
          </cell>
          <cell r="AA350">
            <v>427.5</v>
          </cell>
          <cell r="AB350">
            <v>0.90976803575228804</v>
          </cell>
          <cell r="AC350">
            <v>113.2</v>
          </cell>
          <cell r="AD350" t="str">
            <v>No</v>
          </cell>
          <cell r="AF350">
            <v>402.6</v>
          </cell>
          <cell r="AG350">
            <v>0.85677803788039997</v>
          </cell>
          <cell r="AH350">
            <v>64.489999999999995</v>
          </cell>
          <cell r="AI350" t="str">
            <v>No</v>
          </cell>
        </row>
        <row r="351">
          <cell r="A351" t="str">
            <v>P107C3</v>
          </cell>
          <cell r="B351">
            <v>361.2</v>
          </cell>
          <cell r="C351">
            <v>0.76867418599702098</v>
          </cell>
          <cell r="D351">
            <v>9.6630000000000003</v>
          </cell>
          <cell r="E351" t="str">
            <v>No</v>
          </cell>
          <cell r="G351">
            <v>294.8</v>
          </cell>
          <cell r="H351">
            <v>0.62736752500532</v>
          </cell>
          <cell r="I351">
            <v>0.97519999999999996</v>
          </cell>
          <cell r="J351" t="str">
            <v>Yes</v>
          </cell>
          <cell r="L351">
            <v>278.5</v>
          </cell>
          <cell r="M351">
            <v>0.59267929346669501</v>
          </cell>
          <cell r="N351">
            <v>0.70469999999999999</v>
          </cell>
          <cell r="O351" t="str">
            <v>Yes</v>
          </cell>
          <cell r="Q351">
            <v>347.6</v>
          </cell>
          <cell r="R351">
            <v>0.73973185784209405</v>
          </cell>
          <cell r="S351">
            <v>5.4610000000000003</v>
          </cell>
          <cell r="T351" t="str">
            <v>No</v>
          </cell>
          <cell r="V351">
            <v>341.7</v>
          </cell>
          <cell r="W351">
            <v>0.72717599489253004</v>
          </cell>
          <cell r="X351">
            <v>5.149</v>
          </cell>
          <cell r="Y351" t="str">
            <v>No</v>
          </cell>
          <cell r="AA351">
            <v>404.5</v>
          </cell>
          <cell r="AB351">
            <v>0.860821451372633</v>
          </cell>
          <cell r="AC351">
            <v>30.72</v>
          </cell>
          <cell r="AD351" t="str">
            <v>No</v>
          </cell>
          <cell r="AF351">
            <v>416.8</v>
          </cell>
          <cell r="AG351">
            <v>0.886997233453926</v>
          </cell>
          <cell r="AH351">
            <v>115.4</v>
          </cell>
          <cell r="AI351" t="str">
            <v>No</v>
          </cell>
        </row>
        <row r="352">
          <cell r="A352" t="str">
            <v>P108C1</v>
          </cell>
          <cell r="B352">
            <v>381.7</v>
          </cell>
          <cell r="C352">
            <v>0.81230048946584399</v>
          </cell>
          <cell r="D352">
            <v>23.63</v>
          </cell>
          <cell r="E352" t="str">
            <v>No</v>
          </cell>
          <cell r="G352">
            <v>330.9</v>
          </cell>
          <cell r="H352">
            <v>0.70419238135773599</v>
          </cell>
          <cell r="I352">
            <v>2.516</v>
          </cell>
          <cell r="J352" t="str">
            <v>No</v>
          </cell>
          <cell r="L352">
            <v>328</v>
          </cell>
          <cell r="M352">
            <v>0.69802085550117099</v>
          </cell>
          <cell r="N352">
            <v>2.194</v>
          </cell>
          <cell r="O352" t="str">
            <v>Yes</v>
          </cell>
          <cell r="Q352">
            <v>316.8</v>
          </cell>
          <cell r="R352">
            <v>0.67418599702064297</v>
          </cell>
          <cell r="S352">
            <v>2.1120000000000001</v>
          </cell>
          <cell r="T352" t="str">
            <v>Yes</v>
          </cell>
          <cell r="V352">
            <v>365.5</v>
          </cell>
          <cell r="W352">
            <v>0.77782506916365202</v>
          </cell>
          <cell r="X352">
            <v>8.4789999999999992</v>
          </cell>
          <cell r="Y352" t="str">
            <v>No</v>
          </cell>
          <cell r="AA352">
            <v>432.5</v>
          </cell>
          <cell r="AB352">
            <v>0.92040859757395199</v>
          </cell>
          <cell r="AC352">
            <v>188</v>
          </cell>
          <cell r="AD352" t="str">
            <v>No</v>
          </cell>
          <cell r="AF352">
            <v>422.8</v>
          </cell>
          <cell r="AG352">
            <v>0.89976590763992303</v>
          </cell>
          <cell r="AH352">
            <v>242.7</v>
          </cell>
          <cell r="AI352" t="str">
            <v>No</v>
          </cell>
        </row>
        <row r="353">
          <cell r="A353" t="str">
            <v>P108C2</v>
          </cell>
          <cell r="B353">
            <v>326.10000000000002</v>
          </cell>
          <cell r="C353">
            <v>0.69397744200893796</v>
          </cell>
          <cell r="D353">
            <v>1.913</v>
          </cell>
          <cell r="E353" t="str">
            <v>Yes</v>
          </cell>
          <cell r="G353">
            <v>333.8</v>
          </cell>
          <cell r="H353">
            <v>0.71036390721430098</v>
          </cell>
          <cell r="I353">
            <v>3.5089999999999999</v>
          </cell>
          <cell r="J353" t="str">
            <v>No</v>
          </cell>
          <cell r="L353">
            <v>326.5</v>
          </cell>
          <cell r="M353">
            <v>0.69482868695467104</v>
          </cell>
          <cell r="N353">
            <v>2.2589999999999999</v>
          </cell>
          <cell r="O353" t="str">
            <v>Yes</v>
          </cell>
          <cell r="Q353">
            <v>323.39999999999998</v>
          </cell>
          <cell r="R353">
            <v>0.688231538625239</v>
          </cell>
          <cell r="S353">
            <v>2.2480000000000002</v>
          </cell>
          <cell r="T353" t="str">
            <v>Yes</v>
          </cell>
          <cell r="V353">
            <v>376.7</v>
          </cell>
          <cell r="W353">
            <v>0.80165992764418004</v>
          </cell>
          <cell r="X353">
            <v>20.95</v>
          </cell>
          <cell r="Y353" t="str">
            <v>No</v>
          </cell>
          <cell r="AA353">
            <v>444.4</v>
          </cell>
          <cell r="AB353">
            <v>0.94573313470951303</v>
          </cell>
          <cell r="AC353">
            <v>821.5</v>
          </cell>
          <cell r="AD353" t="str">
            <v>No</v>
          </cell>
          <cell r="AF353">
            <v>418</v>
          </cell>
          <cell r="AG353">
            <v>0.88955096829112601</v>
          </cell>
          <cell r="AH353">
            <v>121.7</v>
          </cell>
          <cell r="AI353" t="str">
            <v>No</v>
          </cell>
        </row>
        <row r="354">
          <cell r="A354" t="str">
            <v>P108C3</v>
          </cell>
          <cell r="B354">
            <v>359.6</v>
          </cell>
          <cell r="C354">
            <v>0.765269206214088</v>
          </cell>
          <cell r="D354">
            <v>6.891</v>
          </cell>
          <cell r="E354" t="str">
            <v>No</v>
          </cell>
          <cell r="G354">
            <v>325</v>
          </cell>
          <cell r="H354">
            <v>0.69163651840817197</v>
          </cell>
          <cell r="I354">
            <v>2.323</v>
          </cell>
          <cell r="J354" t="str">
            <v>Yes</v>
          </cell>
          <cell r="L354">
            <v>333.5</v>
          </cell>
          <cell r="M354">
            <v>0.70972547350500104</v>
          </cell>
          <cell r="N354">
            <v>2.331</v>
          </cell>
          <cell r="O354" t="str">
            <v>No</v>
          </cell>
          <cell r="Q354">
            <v>341.1</v>
          </cell>
          <cell r="R354">
            <v>0.72589912747393104</v>
          </cell>
          <cell r="S354">
            <v>4.9269999999999996</v>
          </cell>
          <cell r="T354" t="str">
            <v>No</v>
          </cell>
          <cell r="V354">
            <v>445.9</v>
          </cell>
          <cell r="W354">
            <v>0.94892530325601199</v>
          </cell>
          <cell r="X354">
            <v>77.040000000000006</v>
          </cell>
          <cell r="Y354" t="str">
            <v>No</v>
          </cell>
          <cell r="AA354">
            <v>429.5</v>
          </cell>
          <cell r="AB354">
            <v>0.91402426048095298</v>
          </cell>
          <cell r="AC354">
            <v>69.400000000000006</v>
          </cell>
          <cell r="AD354" t="str">
            <v>No</v>
          </cell>
          <cell r="AF354">
            <v>425.6</v>
          </cell>
          <cell r="AG354">
            <v>0.90572462226005501</v>
          </cell>
          <cell r="AH354">
            <v>160.30000000000001</v>
          </cell>
          <cell r="AI354" t="str">
            <v>No</v>
          </cell>
        </row>
        <row r="355">
          <cell r="A355" t="str">
            <v>P109C1</v>
          </cell>
          <cell r="B355">
            <v>286.2</v>
          </cell>
          <cell r="C355">
            <v>0.60906575867205803</v>
          </cell>
          <cell r="D355">
            <v>0.87190000000000001</v>
          </cell>
          <cell r="E355" t="str">
            <v>Yes</v>
          </cell>
          <cell r="G355">
            <v>326.8</v>
          </cell>
          <cell r="H355">
            <v>0.69546712066397098</v>
          </cell>
          <cell r="I355">
            <v>2.52</v>
          </cell>
          <cell r="J355" t="str">
            <v>Yes</v>
          </cell>
          <cell r="L355">
            <v>338.7</v>
          </cell>
          <cell r="M355">
            <v>0.72079165779953203</v>
          </cell>
          <cell r="N355">
            <v>6.423</v>
          </cell>
          <cell r="O355" t="str">
            <v>No</v>
          </cell>
          <cell r="Q355">
            <v>329.2</v>
          </cell>
          <cell r="R355">
            <v>0.70057459033837</v>
          </cell>
          <cell r="S355">
            <v>3.2450000000000001</v>
          </cell>
          <cell r="T355" t="str">
            <v>No</v>
          </cell>
          <cell r="V355">
            <v>350</v>
          </cell>
          <cell r="W355">
            <v>0.74483932751649296</v>
          </cell>
          <cell r="X355">
            <v>10.6</v>
          </cell>
          <cell r="Y355" t="str">
            <v>No</v>
          </cell>
          <cell r="AA355">
            <v>368.6</v>
          </cell>
          <cell r="AB355">
            <v>0.78442221749308405</v>
          </cell>
          <cell r="AC355">
            <v>20.239999999999998</v>
          </cell>
          <cell r="AD355" t="str">
            <v>No</v>
          </cell>
          <cell r="AF355">
            <v>406.8</v>
          </cell>
          <cell r="AG355">
            <v>0.86571610981059799</v>
          </cell>
          <cell r="AH355">
            <v>33.56</v>
          </cell>
          <cell r="AI355" t="str">
            <v>No</v>
          </cell>
        </row>
        <row r="356">
          <cell r="A356" t="str">
            <v>P109C2</v>
          </cell>
          <cell r="B356">
            <v>301</v>
          </cell>
          <cell r="C356">
            <v>0.64056182166418396</v>
          </cell>
          <cell r="D356">
            <v>1.163</v>
          </cell>
          <cell r="E356" t="str">
            <v>Yes</v>
          </cell>
          <cell r="G356">
            <v>354.1</v>
          </cell>
          <cell r="H356">
            <v>0.75356458821025796</v>
          </cell>
          <cell r="I356">
            <v>6.6639999999999997</v>
          </cell>
          <cell r="J356" t="str">
            <v>No</v>
          </cell>
          <cell r="L356">
            <v>367.3</v>
          </cell>
          <cell r="M356">
            <v>0.78165567141945103</v>
          </cell>
          <cell r="N356">
            <v>8.7629999999999999</v>
          </cell>
          <cell r="O356" t="str">
            <v>No</v>
          </cell>
          <cell r="Q356">
            <v>353.4</v>
          </cell>
          <cell r="R356">
            <v>0.75207490955522405</v>
          </cell>
          <cell r="S356">
            <v>6.5839999999999996</v>
          </cell>
          <cell r="T356" t="str">
            <v>No</v>
          </cell>
          <cell r="V356">
            <v>401.9</v>
          </cell>
          <cell r="W356">
            <v>0.85528835922536695</v>
          </cell>
          <cell r="X356">
            <v>64.23</v>
          </cell>
          <cell r="Y356" t="str">
            <v>No</v>
          </cell>
          <cell r="AA356">
            <v>399.7</v>
          </cell>
          <cell r="AB356">
            <v>0.85060651202383497</v>
          </cell>
          <cell r="AC356">
            <v>44.6</v>
          </cell>
          <cell r="AD356" t="str">
            <v>No</v>
          </cell>
          <cell r="AF356">
            <v>368.6</v>
          </cell>
          <cell r="AG356">
            <v>0.78442221749308405</v>
          </cell>
          <cell r="AH356">
            <v>54.9</v>
          </cell>
          <cell r="AI356" t="str">
            <v>No</v>
          </cell>
        </row>
        <row r="357">
          <cell r="A357" t="str">
            <v>P109C3</v>
          </cell>
          <cell r="B357">
            <v>275.60000000000002</v>
          </cell>
          <cell r="C357">
            <v>0.58650776761013002</v>
          </cell>
          <cell r="D357">
            <v>0.61990000000000001</v>
          </cell>
          <cell r="E357" t="str">
            <v>Yes</v>
          </cell>
          <cell r="G357">
            <v>324.3</v>
          </cell>
          <cell r="H357">
            <v>0.69014683975313895</v>
          </cell>
          <cell r="I357">
            <v>4.7770000000000001</v>
          </cell>
          <cell r="J357" t="str">
            <v>Yes</v>
          </cell>
          <cell r="L357">
            <v>332.4</v>
          </cell>
          <cell r="M357">
            <v>0.70738454990423505</v>
          </cell>
          <cell r="N357">
            <v>3.6829999999999998</v>
          </cell>
          <cell r="O357" t="str">
            <v>No</v>
          </cell>
          <cell r="Q357">
            <v>380</v>
          </cell>
          <cell r="R357">
            <v>0.808682698446478</v>
          </cell>
          <cell r="S357">
            <v>8.3879999999999999</v>
          </cell>
          <cell r="T357" t="str">
            <v>No</v>
          </cell>
          <cell r="V357">
            <v>381</v>
          </cell>
          <cell r="W357">
            <v>0.81081081081081097</v>
          </cell>
          <cell r="X357">
            <v>28.28</v>
          </cell>
          <cell r="Y357" t="str">
            <v>No</v>
          </cell>
          <cell r="AA357">
            <v>395.5</v>
          </cell>
          <cell r="AB357">
            <v>0.84166844009363695</v>
          </cell>
          <cell r="AC357">
            <v>99.8</v>
          </cell>
          <cell r="AD357" t="str">
            <v>No</v>
          </cell>
          <cell r="AF357">
            <v>369.5</v>
          </cell>
          <cell r="AG357">
            <v>0.786337518620983</v>
          </cell>
          <cell r="AH357">
            <v>45.53</v>
          </cell>
          <cell r="AI357" t="str">
            <v>No</v>
          </cell>
        </row>
        <row r="358">
          <cell r="A358" t="str">
            <v>P110C1</v>
          </cell>
          <cell r="B358">
            <v>295.60000000000002</v>
          </cell>
          <cell r="C358">
            <v>0.62907001489678704</v>
          </cell>
          <cell r="D358">
            <v>1.4339999999999999</v>
          </cell>
          <cell r="E358" t="str">
            <v>Yes</v>
          </cell>
          <cell r="G358">
            <v>294.3</v>
          </cell>
          <cell r="H358">
            <v>0.62630346882315402</v>
          </cell>
          <cell r="I358">
            <v>0.91210000000000002</v>
          </cell>
          <cell r="J358" t="str">
            <v>Yes</v>
          </cell>
          <cell r="L358">
            <v>369</v>
          </cell>
          <cell r="M358">
            <v>0.78527346243881702</v>
          </cell>
          <cell r="N358">
            <v>7.0910000000000002</v>
          </cell>
          <cell r="O358" t="str">
            <v>No</v>
          </cell>
          <cell r="Q358">
            <v>356.6</v>
          </cell>
          <cell r="R358">
            <v>0.75888486912108999</v>
          </cell>
          <cell r="S358">
            <v>5.806</v>
          </cell>
          <cell r="T358" t="str">
            <v>No</v>
          </cell>
          <cell r="V358">
            <v>343.4</v>
          </cell>
          <cell r="W358">
            <v>0.73079378591189603</v>
          </cell>
          <cell r="X358">
            <v>5.09</v>
          </cell>
          <cell r="Y358" t="str">
            <v>No</v>
          </cell>
          <cell r="AA358">
            <v>385.1</v>
          </cell>
          <cell r="AB358">
            <v>0.81953607150457597</v>
          </cell>
          <cell r="AC358">
            <v>39.82</v>
          </cell>
          <cell r="AD358" t="str">
            <v>No</v>
          </cell>
          <cell r="AF358">
            <v>376.6</v>
          </cell>
          <cell r="AG358">
            <v>0.80144711640774602</v>
          </cell>
          <cell r="AH358">
            <v>21.02</v>
          </cell>
          <cell r="AI358" t="str">
            <v>No</v>
          </cell>
        </row>
        <row r="359">
          <cell r="A359" t="str">
            <v>P110C2</v>
          </cell>
          <cell r="B359">
            <v>309.8</v>
          </cell>
          <cell r="C359">
            <v>0.65928921047031297</v>
          </cell>
          <cell r="D359">
            <v>1.226</v>
          </cell>
          <cell r="E359" t="str">
            <v>Yes</v>
          </cell>
          <cell r="G359">
            <v>294.2</v>
          </cell>
          <cell r="H359">
            <v>0.626090657586721</v>
          </cell>
          <cell r="I359">
            <v>0.93100000000000005</v>
          </cell>
          <cell r="J359" t="str">
            <v>Yes</v>
          </cell>
          <cell r="L359">
            <v>322.8</v>
          </cell>
          <cell r="M359">
            <v>0.68695467120664</v>
          </cell>
          <cell r="N359">
            <v>2.2170000000000001</v>
          </cell>
          <cell r="O359" t="str">
            <v>Yes</v>
          </cell>
          <cell r="Q359">
            <v>301.60000000000002</v>
          </cell>
          <cell r="R359">
            <v>0.64183868908278396</v>
          </cell>
          <cell r="S359">
            <v>1.548</v>
          </cell>
          <cell r="T359" t="str">
            <v>Yes</v>
          </cell>
          <cell r="V359">
            <v>375.9</v>
          </cell>
          <cell r="W359">
            <v>0.799957437752713</v>
          </cell>
          <cell r="X359">
            <v>12.5</v>
          </cell>
          <cell r="Y359" t="str">
            <v>No</v>
          </cell>
          <cell r="AA359">
            <v>411.2</v>
          </cell>
          <cell r="AB359">
            <v>0.87507980421366205</v>
          </cell>
          <cell r="AC359">
            <v>119.6</v>
          </cell>
          <cell r="AD359" t="str">
            <v>No</v>
          </cell>
          <cell r="AF359">
            <v>332.6</v>
          </cell>
          <cell r="AG359">
            <v>0.70781017237710198</v>
          </cell>
          <cell r="AH359">
            <v>8.5079999999999991</v>
          </cell>
          <cell r="AI359" t="str">
            <v>No</v>
          </cell>
        </row>
        <row r="360">
          <cell r="A360" t="str">
            <v>P110C3</v>
          </cell>
          <cell r="B360">
            <v>312.10000000000002</v>
          </cell>
          <cell r="C360">
            <v>0.66418386890827796</v>
          </cell>
          <cell r="D360">
            <v>1.4430000000000001</v>
          </cell>
          <cell r="E360" t="str">
            <v>Yes</v>
          </cell>
          <cell r="G360">
            <v>300.3</v>
          </cell>
          <cell r="H360">
            <v>0.63907214300915105</v>
          </cell>
          <cell r="I360">
            <v>1.115</v>
          </cell>
          <cell r="J360" t="str">
            <v>Yes</v>
          </cell>
          <cell r="L360">
            <v>342.5</v>
          </cell>
          <cell r="M360">
            <v>0.72887848478399697</v>
          </cell>
          <cell r="N360">
            <v>4.03</v>
          </cell>
          <cell r="O360" t="str">
            <v>No</v>
          </cell>
          <cell r="Q360">
            <v>338.4</v>
          </cell>
          <cell r="R360">
            <v>0.72015322409023197</v>
          </cell>
          <cell r="S360">
            <v>6.173</v>
          </cell>
          <cell r="T360" t="str">
            <v>No</v>
          </cell>
          <cell r="V360">
            <v>326.60000000000002</v>
          </cell>
          <cell r="W360">
            <v>0.69504149819110495</v>
          </cell>
          <cell r="X360">
            <v>2.2989999999999999</v>
          </cell>
          <cell r="Y360" t="str">
            <v>No</v>
          </cell>
          <cell r="AA360">
            <v>328.4</v>
          </cell>
          <cell r="AB360">
            <v>0.69887210044690395</v>
          </cell>
          <cell r="AC360">
            <v>4.4320000000000004</v>
          </cell>
          <cell r="AD360" t="str">
            <v>No</v>
          </cell>
          <cell r="AF360">
            <v>355.9</v>
          </cell>
          <cell r="AG360">
            <v>0.75739519046605697</v>
          </cell>
          <cell r="AH360">
            <v>11.27</v>
          </cell>
          <cell r="AI360" t="str">
            <v>No</v>
          </cell>
        </row>
        <row r="361">
          <cell r="A361" t="str">
            <v>P111C1</v>
          </cell>
          <cell r="B361">
            <v>349.4</v>
          </cell>
          <cell r="C361">
            <v>0.74356246009789295</v>
          </cell>
          <cell r="D361">
            <v>4.8209999999999997</v>
          </cell>
          <cell r="E361" t="str">
            <v>No</v>
          </cell>
          <cell r="G361">
            <v>398.5</v>
          </cell>
          <cell r="H361">
            <v>0.84805277718663596</v>
          </cell>
          <cell r="I361">
            <v>11.92</v>
          </cell>
          <cell r="J361" t="str">
            <v>No</v>
          </cell>
          <cell r="L361">
            <v>387.3</v>
          </cell>
          <cell r="M361">
            <v>0.82421791870610805</v>
          </cell>
          <cell r="N361">
            <v>11.71</v>
          </cell>
          <cell r="O361" t="str">
            <v>No</v>
          </cell>
          <cell r="Q361">
            <v>398.5</v>
          </cell>
          <cell r="R361">
            <v>0.84805277718663596</v>
          </cell>
          <cell r="S361">
            <v>23.35</v>
          </cell>
          <cell r="T361" t="str">
            <v>No</v>
          </cell>
          <cell r="V361">
            <v>372.2</v>
          </cell>
          <cell r="W361">
            <v>0.79208342200468196</v>
          </cell>
          <cell r="X361">
            <v>11.35</v>
          </cell>
          <cell r="Y361" t="str">
            <v>No</v>
          </cell>
          <cell r="AA361">
            <v>367.2</v>
          </cell>
          <cell r="AB361">
            <v>0.78144286018301801</v>
          </cell>
          <cell r="AC361">
            <v>10.31</v>
          </cell>
          <cell r="AD361" t="str">
            <v>No</v>
          </cell>
          <cell r="AF361">
            <v>389.6</v>
          </cell>
          <cell r="AG361">
            <v>0.82911257714407305</v>
          </cell>
          <cell r="AH361">
            <v>18.41</v>
          </cell>
          <cell r="AI361" t="str">
            <v>No</v>
          </cell>
        </row>
        <row r="362">
          <cell r="A362" t="str">
            <v>P111C2</v>
          </cell>
          <cell r="B362">
            <v>279.39999999999998</v>
          </cell>
          <cell r="C362">
            <v>0.59459459459459496</v>
          </cell>
          <cell r="D362">
            <v>0.61629999999999996</v>
          </cell>
          <cell r="E362" t="str">
            <v>Yes</v>
          </cell>
          <cell r="G362">
            <v>352.1</v>
          </cell>
          <cell r="H362">
            <v>0.74930836348159202</v>
          </cell>
          <cell r="I362">
            <v>8.2430000000000003</v>
          </cell>
          <cell r="J362" t="str">
            <v>No</v>
          </cell>
          <cell r="L362">
            <v>380.6</v>
          </cell>
          <cell r="M362">
            <v>0.809959565865078</v>
          </cell>
          <cell r="N362">
            <v>18.399999999999999</v>
          </cell>
          <cell r="O362" t="str">
            <v>No</v>
          </cell>
          <cell r="Q362">
            <v>379.5</v>
          </cell>
          <cell r="R362">
            <v>0.80761864226431201</v>
          </cell>
          <cell r="S362">
            <v>12.39</v>
          </cell>
          <cell r="T362" t="str">
            <v>No</v>
          </cell>
          <cell r="V362">
            <v>335.2</v>
          </cell>
          <cell r="W362">
            <v>0.71334326452436703</v>
          </cell>
          <cell r="X362">
            <v>4.3929999999999998</v>
          </cell>
          <cell r="Y362" t="str">
            <v>No</v>
          </cell>
          <cell r="AA362">
            <v>376.1</v>
          </cell>
          <cell r="AB362">
            <v>0.80038306022558003</v>
          </cell>
          <cell r="AC362">
            <v>80.05</v>
          </cell>
          <cell r="AD362" t="str">
            <v>No</v>
          </cell>
          <cell r="AF362">
            <v>359.5</v>
          </cell>
          <cell r="AG362">
            <v>0.76505639497765499</v>
          </cell>
          <cell r="AH362">
            <v>20.86</v>
          </cell>
          <cell r="AI362" t="str">
            <v>No</v>
          </cell>
        </row>
        <row r="363">
          <cell r="A363" t="str">
            <v>P111C3</v>
          </cell>
          <cell r="B363">
            <v>319.2</v>
          </cell>
          <cell r="C363">
            <v>0.67929346669504198</v>
          </cell>
          <cell r="D363">
            <v>1.2410000000000001</v>
          </cell>
          <cell r="E363" t="str">
            <v>Yes</v>
          </cell>
          <cell r="G363">
            <v>361.2</v>
          </cell>
          <cell r="H363">
            <v>0.76867418599702098</v>
          </cell>
          <cell r="I363">
            <v>13.41</v>
          </cell>
          <cell r="J363" t="str">
            <v>No</v>
          </cell>
          <cell r="L363">
            <v>370.2</v>
          </cell>
          <cell r="M363">
            <v>0.78782719727601602</v>
          </cell>
          <cell r="N363">
            <v>21.15</v>
          </cell>
          <cell r="O363" t="str">
            <v>No</v>
          </cell>
          <cell r="Q363">
            <v>340.7</v>
          </cell>
          <cell r="R363">
            <v>0.72504788252819796</v>
          </cell>
          <cell r="S363">
            <v>3.1230000000000002</v>
          </cell>
          <cell r="T363" t="str">
            <v>No</v>
          </cell>
          <cell r="V363">
            <v>291.39999999999998</v>
          </cell>
          <cell r="W363">
            <v>0.62013194296658902</v>
          </cell>
          <cell r="X363">
            <v>1.256</v>
          </cell>
          <cell r="Y363" t="str">
            <v>Yes</v>
          </cell>
          <cell r="AA363">
            <v>382.4</v>
          </cell>
          <cell r="AB363">
            <v>0.81379016812087701</v>
          </cell>
          <cell r="AC363">
            <v>56.97</v>
          </cell>
          <cell r="AD363" t="str">
            <v>No</v>
          </cell>
          <cell r="AF363">
            <v>366.5</v>
          </cell>
          <cell r="AG363">
            <v>0.77995318152798498</v>
          </cell>
          <cell r="AH363">
            <v>20.5</v>
          </cell>
          <cell r="AI363" t="str">
            <v>No</v>
          </cell>
        </row>
        <row r="364">
          <cell r="A364" t="str">
            <v>P112C1</v>
          </cell>
          <cell r="B364">
            <v>300.39999999999998</v>
          </cell>
          <cell r="C364">
            <v>0.63928495424558396</v>
          </cell>
          <cell r="D364">
            <v>1.232</v>
          </cell>
          <cell r="E364" t="str">
            <v>Yes</v>
          </cell>
          <cell r="G364">
            <v>358.6</v>
          </cell>
          <cell r="H364">
            <v>0.76314109384975504</v>
          </cell>
          <cell r="I364">
            <v>6.681</v>
          </cell>
          <cell r="J364" t="str">
            <v>No</v>
          </cell>
          <cell r="L364">
            <v>385.1</v>
          </cell>
          <cell r="M364">
            <v>0.81953607150457597</v>
          </cell>
          <cell r="N364">
            <v>19.27</v>
          </cell>
          <cell r="O364" t="str">
            <v>No</v>
          </cell>
          <cell r="Q364">
            <v>336.5</v>
          </cell>
          <cell r="R364">
            <v>0.71610981059800005</v>
          </cell>
          <cell r="S364">
            <v>3.3420000000000001</v>
          </cell>
          <cell r="T364" t="str">
            <v>No</v>
          </cell>
          <cell r="V364">
            <v>344.9</v>
          </cell>
          <cell r="W364">
            <v>0.73398595445839498</v>
          </cell>
          <cell r="X364">
            <v>8.5500000000000007</v>
          </cell>
          <cell r="Y364" t="str">
            <v>No</v>
          </cell>
          <cell r="AA364">
            <v>385.9</v>
          </cell>
          <cell r="AB364">
            <v>0.82123856139604201</v>
          </cell>
          <cell r="AC364">
            <v>81.790000000000006</v>
          </cell>
          <cell r="AD364" t="str">
            <v>No</v>
          </cell>
          <cell r="AF364">
            <v>390.6</v>
          </cell>
          <cell r="AG364">
            <v>0.83124068950840602</v>
          </cell>
          <cell r="AH364">
            <v>52.3</v>
          </cell>
          <cell r="AI364" t="str">
            <v>No</v>
          </cell>
        </row>
        <row r="365">
          <cell r="A365" t="str">
            <v>P112C2</v>
          </cell>
          <cell r="B365">
            <v>262.8</v>
          </cell>
          <cell r="C365">
            <v>0.55926792934667002</v>
          </cell>
          <cell r="D365">
            <v>0.48899999999999999</v>
          </cell>
          <cell r="E365" t="str">
            <v>Yes</v>
          </cell>
          <cell r="G365">
            <v>367.9</v>
          </cell>
          <cell r="H365">
            <v>0.78293253883805103</v>
          </cell>
          <cell r="I365">
            <v>7.9089999999999998</v>
          </cell>
          <cell r="J365" t="str">
            <v>No</v>
          </cell>
          <cell r="L365">
            <v>380.9</v>
          </cell>
          <cell r="M365">
            <v>0.81059799957437795</v>
          </cell>
          <cell r="N365">
            <v>13.11</v>
          </cell>
          <cell r="O365" t="str">
            <v>No</v>
          </cell>
          <cell r="Q365">
            <v>311.10000000000002</v>
          </cell>
          <cell r="R365">
            <v>0.66205575654394599</v>
          </cell>
          <cell r="S365">
            <v>1.5449999999999999</v>
          </cell>
          <cell r="T365" t="str">
            <v>Yes</v>
          </cell>
          <cell r="V365">
            <v>343</v>
          </cell>
          <cell r="W365">
            <v>0.72994254096616296</v>
          </cell>
          <cell r="X365">
            <v>9.3889999999999993</v>
          </cell>
          <cell r="Y365" t="str">
            <v>No</v>
          </cell>
          <cell r="AA365">
            <v>412.5</v>
          </cell>
          <cell r="AB365">
            <v>0.87784635028729496</v>
          </cell>
          <cell r="AC365">
            <v>133.4</v>
          </cell>
          <cell r="AD365" t="str">
            <v>No</v>
          </cell>
          <cell r="AF365">
            <v>387.4</v>
          </cell>
          <cell r="AG365">
            <v>0.82443072994254096</v>
          </cell>
          <cell r="AH365">
            <v>34.200000000000003</v>
          </cell>
          <cell r="AI365" t="str">
            <v>No</v>
          </cell>
        </row>
        <row r="366">
          <cell r="A366" t="str">
            <v>P112C3</v>
          </cell>
          <cell r="B366">
            <v>304.7</v>
          </cell>
          <cell r="C366">
            <v>0.648435837412215</v>
          </cell>
          <cell r="D366">
            <v>1.391</v>
          </cell>
          <cell r="E366" t="str">
            <v>Yes</v>
          </cell>
          <cell r="G366">
            <v>376.1</v>
          </cell>
          <cell r="H366">
            <v>0.80038306022558003</v>
          </cell>
          <cell r="I366">
            <v>9.4450000000000003</v>
          </cell>
          <cell r="J366" t="str">
            <v>No</v>
          </cell>
          <cell r="L366">
            <v>381.8</v>
          </cell>
          <cell r="M366">
            <v>0.81251330070227701</v>
          </cell>
          <cell r="N366">
            <v>21.34</v>
          </cell>
          <cell r="O366" t="str">
            <v>No</v>
          </cell>
          <cell r="Q366">
            <v>347.4</v>
          </cell>
          <cell r="R366">
            <v>0.73930623536922702</v>
          </cell>
          <cell r="S366">
            <v>5.1680000000000001</v>
          </cell>
          <cell r="T366" t="str">
            <v>No</v>
          </cell>
          <cell r="V366">
            <v>344.2</v>
          </cell>
          <cell r="W366">
            <v>0.73249627580336196</v>
          </cell>
          <cell r="X366">
            <v>9.0860000000000003</v>
          </cell>
          <cell r="Y366" t="str">
            <v>No</v>
          </cell>
          <cell r="AA366">
            <v>406.1</v>
          </cell>
          <cell r="AB366">
            <v>0.86422643115556497</v>
          </cell>
          <cell r="AC366">
            <v>103.1</v>
          </cell>
          <cell r="AD366" t="str">
            <v>No</v>
          </cell>
          <cell r="AF366">
            <v>384.7</v>
          </cell>
          <cell r="AG366">
            <v>0.818684826558842</v>
          </cell>
          <cell r="AH366">
            <v>47.68</v>
          </cell>
          <cell r="AI366" t="str">
            <v>No</v>
          </cell>
        </row>
        <row r="367">
          <cell r="A367" t="str">
            <v>P113C1</v>
          </cell>
          <cell r="B367">
            <v>315.89999999999998</v>
          </cell>
          <cell r="C367">
            <v>0.67227069589274302</v>
          </cell>
          <cell r="D367">
            <v>2.7309999999999999</v>
          </cell>
          <cell r="E367" t="str">
            <v>Yes</v>
          </cell>
          <cell r="G367">
            <v>328.5</v>
          </cell>
          <cell r="H367">
            <v>0.69908491168333697</v>
          </cell>
          <cell r="I367">
            <v>2.7949999999999999</v>
          </cell>
          <cell r="J367" t="str">
            <v>No</v>
          </cell>
          <cell r="L367">
            <v>358.1</v>
          </cell>
          <cell r="M367">
            <v>0.76207703766758905</v>
          </cell>
          <cell r="N367">
            <v>5.8789999999999996</v>
          </cell>
          <cell r="O367" t="str">
            <v>No</v>
          </cell>
          <cell r="Q367">
            <v>347.6</v>
          </cell>
          <cell r="R367">
            <v>0.73973185784209405</v>
          </cell>
          <cell r="S367">
            <v>4.5999999999999996</v>
          </cell>
          <cell r="T367" t="str">
            <v>No</v>
          </cell>
          <cell r="V367">
            <v>365.9</v>
          </cell>
          <cell r="W367">
            <v>0.77867631410938498</v>
          </cell>
          <cell r="X367">
            <v>12.4</v>
          </cell>
          <cell r="Y367" t="str">
            <v>No</v>
          </cell>
          <cell r="AA367">
            <v>389</v>
          </cell>
          <cell r="AB367">
            <v>0.82783570972547305</v>
          </cell>
          <cell r="AC367">
            <v>18.02</v>
          </cell>
          <cell r="AD367" t="str">
            <v>No</v>
          </cell>
          <cell r="AF367">
            <v>410.6</v>
          </cell>
          <cell r="AG367">
            <v>0.87380293679506305</v>
          </cell>
          <cell r="AH367">
            <v>21.91</v>
          </cell>
          <cell r="AI367" t="str">
            <v>No</v>
          </cell>
        </row>
        <row r="368">
          <cell r="A368" t="str">
            <v>P113C2</v>
          </cell>
          <cell r="B368">
            <v>300.7</v>
          </cell>
          <cell r="C368">
            <v>0.63992338795488402</v>
          </cell>
          <cell r="D368">
            <v>1.395</v>
          </cell>
          <cell r="E368" t="str">
            <v>Yes</v>
          </cell>
          <cell r="G368">
            <v>418.8</v>
          </cell>
          <cell r="H368">
            <v>0.89125345818259205</v>
          </cell>
          <cell r="I368">
            <v>19.5</v>
          </cell>
          <cell r="J368" t="str">
            <v>No</v>
          </cell>
          <cell r="L368">
            <v>303.8</v>
          </cell>
          <cell r="M368">
            <v>0.64652053628431605</v>
          </cell>
          <cell r="N368">
            <v>0.90949999999999998</v>
          </cell>
          <cell r="O368" t="str">
            <v>Yes</v>
          </cell>
          <cell r="Q368">
            <v>325.60000000000002</v>
          </cell>
          <cell r="R368">
            <v>0.69291338582677198</v>
          </cell>
          <cell r="S368">
            <v>1.7330000000000001</v>
          </cell>
          <cell r="T368" t="str">
            <v>Yes</v>
          </cell>
          <cell r="V368">
            <v>371.1</v>
          </cell>
          <cell r="W368">
            <v>0.78974249840391597</v>
          </cell>
          <cell r="X368">
            <v>16.02</v>
          </cell>
          <cell r="Y368" t="str">
            <v>No</v>
          </cell>
          <cell r="AA368">
            <v>311</v>
          </cell>
          <cell r="AB368">
            <v>0.66184294530751198</v>
          </cell>
          <cell r="AC368">
            <v>2.0529999999999999</v>
          </cell>
          <cell r="AD368" t="str">
            <v>No</v>
          </cell>
          <cell r="AF368">
            <v>301.5</v>
          </cell>
          <cell r="AG368">
            <v>0.64162587784634995</v>
          </cell>
          <cell r="AH368">
            <v>1.5149999999999999</v>
          </cell>
          <cell r="AI368" t="str">
            <v>Yes</v>
          </cell>
        </row>
        <row r="369">
          <cell r="A369" t="str">
            <v>P113C3</v>
          </cell>
          <cell r="B369">
            <v>355</v>
          </cell>
          <cell r="C369">
            <v>0.75547988933815702</v>
          </cell>
          <cell r="D369">
            <v>9.4469999999999992</v>
          </cell>
          <cell r="E369" t="str">
            <v>No</v>
          </cell>
          <cell r="G369">
            <v>327.10000000000002</v>
          </cell>
          <cell r="H369">
            <v>0.69610555437327104</v>
          </cell>
          <cell r="I369">
            <v>4.5149999999999997</v>
          </cell>
          <cell r="J369" t="str">
            <v>Yes</v>
          </cell>
          <cell r="L369">
            <v>316.5</v>
          </cell>
          <cell r="M369">
            <v>0.67354756331134302</v>
          </cell>
          <cell r="N369">
            <v>1.8939999999999999</v>
          </cell>
          <cell r="O369" t="str">
            <v>Yes</v>
          </cell>
          <cell r="Q369">
            <v>321.89999999999998</v>
          </cell>
          <cell r="R369">
            <v>0.68503937007874005</v>
          </cell>
          <cell r="S369">
            <v>3.7789999999999999</v>
          </cell>
          <cell r="T369" t="str">
            <v>Yes</v>
          </cell>
          <cell r="V369">
            <v>377.3</v>
          </cell>
          <cell r="W369">
            <v>0.80293679506277904</v>
          </cell>
          <cell r="X369">
            <v>16.899999999999999</v>
          </cell>
          <cell r="Y369" t="str">
            <v>No</v>
          </cell>
          <cell r="AA369">
            <v>406.4</v>
          </cell>
          <cell r="AB369">
            <v>0.86486486486486502</v>
          </cell>
          <cell r="AC369">
            <v>42.9</v>
          </cell>
          <cell r="AD369" t="str">
            <v>No</v>
          </cell>
          <cell r="AF369">
            <v>409.2</v>
          </cell>
          <cell r="AG369">
            <v>0.870823579484997</v>
          </cell>
          <cell r="AH369">
            <v>30.89</v>
          </cell>
          <cell r="AI369" t="str">
            <v>No</v>
          </cell>
        </row>
        <row r="370">
          <cell r="A370" t="str">
            <v>P114C1</v>
          </cell>
          <cell r="B370">
            <v>263.5</v>
          </cell>
          <cell r="C370">
            <v>0.56075760800170205</v>
          </cell>
          <cell r="D370">
            <v>0.35349999999999998</v>
          </cell>
          <cell r="E370" t="str">
            <v>Yes</v>
          </cell>
          <cell r="G370">
            <v>323.2</v>
          </cell>
          <cell r="H370">
            <v>0.68780591615237296</v>
          </cell>
          <cell r="I370">
            <v>1.75</v>
          </cell>
          <cell r="J370" t="str">
            <v>Yes</v>
          </cell>
          <cell r="L370">
            <v>390.6</v>
          </cell>
          <cell r="M370">
            <v>0.83124068950840602</v>
          </cell>
          <cell r="N370">
            <v>17.989999999999998</v>
          </cell>
          <cell r="O370" t="str">
            <v>No</v>
          </cell>
          <cell r="Q370">
            <v>310.5</v>
          </cell>
          <cell r="R370">
            <v>0.66077888912534599</v>
          </cell>
          <cell r="S370">
            <v>1.2709999999999999</v>
          </cell>
          <cell r="T370" t="str">
            <v>Yes</v>
          </cell>
          <cell r="V370">
            <v>296.10000000000002</v>
          </cell>
          <cell r="W370">
            <v>0.63013407107895303</v>
          </cell>
          <cell r="X370">
            <v>1.0920000000000001</v>
          </cell>
          <cell r="Y370" t="str">
            <v>Yes</v>
          </cell>
          <cell r="AA370">
            <v>455.2</v>
          </cell>
          <cell r="AB370">
            <v>0.96871674824430698</v>
          </cell>
          <cell r="AC370">
            <v>452.3</v>
          </cell>
          <cell r="AD370" t="str">
            <v>No</v>
          </cell>
          <cell r="AF370">
            <v>411.1</v>
          </cell>
          <cell r="AG370">
            <v>0.87486699297722903</v>
          </cell>
          <cell r="AH370">
            <v>74.72</v>
          </cell>
          <cell r="AI370" t="str">
            <v>No</v>
          </cell>
        </row>
        <row r="371">
          <cell r="A371" t="str">
            <v>P114C2</v>
          </cell>
          <cell r="B371">
            <v>244</v>
          </cell>
          <cell r="C371">
            <v>0.519259416897212</v>
          </cell>
          <cell r="D371">
            <v>0.2651</v>
          </cell>
          <cell r="E371" t="str">
            <v>Yes</v>
          </cell>
          <cell r="G371">
            <v>399.3</v>
          </cell>
          <cell r="H371">
            <v>0.84975526707810201</v>
          </cell>
          <cell r="I371">
            <v>20.46</v>
          </cell>
          <cell r="J371" t="str">
            <v>No</v>
          </cell>
          <cell r="L371">
            <v>348.2</v>
          </cell>
          <cell r="M371">
            <v>0.74100872526069395</v>
          </cell>
          <cell r="N371">
            <v>8.4320000000000004</v>
          </cell>
          <cell r="O371" t="str">
            <v>No</v>
          </cell>
          <cell r="Q371">
            <v>308.5</v>
          </cell>
          <cell r="R371">
            <v>0.65652266439667994</v>
          </cell>
          <cell r="S371">
            <v>1.31</v>
          </cell>
          <cell r="T371" t="str">
            <v>Yes</v>
          </cell>
          <cell r="V371">
            <v>300.3</v>
          </cell>
          <cell r="W371">
            <v>0.63907214300915105</v>
          </cell>
          <cell r="X371">
            <v>1.2170000000000001</v>
          </cell>
          <cell r="Y371" t="str">
            <v>Yes</v>
          </cell>
          <cell r="AA371">
            <v>437.6</v>
          </cell>
          <cell r="AB371">
            <v>0.93126197063204996</v>
          </cell>
          <cell r="AC371">
            <v>445.1</v>
          </cell>
          <cell r="AD371" t="str">
            <v>No</v>
          </cell>
          <cell r="AF371">
            <v>391.5</v>
          </cell>
          <cell r="AG371">
            <v>0.83315599063630597</v>
          </cell>
          <cell r="AH371">
            <v>147.19999999999999</v>
          </cell>
          <cell r="AI371" t="str">
            <v>No</v>
          </cell>
        </row>
        <row r="372">
          <cell r="A372" t="str">
            <v>P114C3</v>
          </cell>
          <cell r="B372">
            <v>271.5</v>
          </cell>
          <cell r="C372">
            <v>0.57778250691636501</v>
          </cell>
          <cell r="D372">
            <v>0.54420000000000002</v>
          </cell>
          <cell r="E372" t="str">
            <v>Yes</v>
          </cell>
          <cell r="G372">
            <v>378.8</v>
          </cell>
          <cell r="H372">
            <v>0.80612896360927899</v>
          </cell>
          <cell r="I372">
            <v>11.85</v>
          </cell>
          <cell r="J372" t="str">
            <v>No</v>
          </cell>
          <cell r="L372">
            <v>314.10000000000002</v>
          </cell>
          <cell r="M372">
            <v>0.66844009363694401</v>
          </cell>
          <cell r="N372">
            <v>2.4300000000000002</v>
          </cell>
          <cell r="O372" t="str">
            <v>Yes</v>
          </cell>
          <cell r="Q372">
            <v>324.10000000000002</v>
          </cell>
          <cell r="R372">
            <v>0.68972121728027203</v>
          </cell>
          <cell r="S372">
            <v>2.194</v>
          </cell>
          <cell r="T372" t="str">
            <v>Yes</v>
          </cell>
          <cell r="V372">
            <v>290.8</v>
          </cell>
          <cell r="W372">
            <v>0.61885507554798902</v>
          </cell>
          <cell r="X372">
            <v>1.238</v>
          </cell>
          <cell r="Y372" t="str">
            <v>Yes</v>
          </cell>
          <cell r="AA372">
            <v>417.6</v>
          </cell>
          <cell r="AB372">
            <v>0.88869972334539304</v>
          </cell>
          <cell r="AC372">
            <v>152</v>
          </cell>
          <cell r="AD372" t="str">
            <v>No</v>
          </cell>
          <cell r="AF372">
            <v>413.2</v>
          </cell>
          <cell r="AG372">
            <v>0.87933602894232799</v>
          </cell>
          <cell r="AH372">
            <v>51.78</v>
          </cell>
          <cell r="AI372" t="str">
            <v>No</v>
          </cell>
        </row>
        <row r="373">
          <cell r="A373" t="str">
            <v>P115C1</v>
          </cell>
          <cell r="B373">
            <v>348.5</v>
          </cell>
          <cell r="C373">
            <v>0.741647158969994</v>
          </cell>
          <cell r="D373">
            <v>3.556</v>
          </cell>
          <cell r="E373" t="str">
            <v>No</v>
          </cell>
          <cell r="G373">
            <v>325</v>
          </cell>
          <cell r="H373">
            <v>0.69163651840817197</v>
          </cell>
          <cell r="I373">
            <v>2.4809999999999999</v>
          </cell>
          <cell r="J373" t="str">
            <v>Yes</v>
          </cell>
          <cell r="L373">
            <v>333.6</v>
          </cell>
          <cell r="M373">
            <v>0.70993828474143394</v>
          </cell>
          <cell r="N373">
            <v>2.62</v>
          </cell>
          <cell r="O373" t="str">
            <v>No</v>
          </cell>
          <cell r="Q373">
            <v>304.39999999999998</v>
          </cell>
          <cell r="R373">
            <v>0.64779740370291505</v>
          </cell>
          <cell r="S373">
            <v>1.381</v>
          </cell>
          <cell r="T373" t="str">
            <v>Yes</v>
          </cell>
          <cell r="V373">
            <v>369.1</v>
          </cell>
          <cell r="W373">
            <v>0.78548627367525004</v>
          </cell>
          <cell r="X373">
            <v>10.31</v>
          </cell>
          <cell r="Y373" t="str">
            <v>No</v>
          </cell>
          <cell r="AA373">
            <v>345.4</v>
          </cell>
          <cell r="AB373">
            <v>0.73505001064056197</v>
          </cell>
          <cell r="AC373">
            <v>6.9770000000000003</v>
          </cell>
          <cell r="AD373" t="str">
            <v>No</v>
          </cell>
          <cell r="AF373">
            <v>339.8</v>
          </cell>
          <cell r="AG373">
            <v>0.72313258140029801</v>
          </cell>
          <cell r="AH373">
            <v>8.6189999999999998</v>
          </cell>
          <cell r="AI373" t="str">
            <v>No</v>
          </cell>
        </row>
        <row r="374">
          <cell r="A374" t="str">
            <v>P115C2</v>
          </cell>
          <cell r="B374">
            <v>367.3</v>
          </cell>
          <cell r="C374">
            <v>0.78165567141945103</v>
          </cell>
          <cell r="D374">
            <v>8.0169999999999995</v>
          </cell>
          <cell r="E374" t="str">
            <v>No</v>
          </cell>
          <cell r="G374">
            <v>307.60000000000002</v>
          </cell>
          <cell r="H374">
            <v>0.654607363268781</v>
          </cell>
          <cell r="I374">
            <v>1.4379999999999999</v>
          </cell>
          <cell r="J374" t="str">
            <v>Yes</v>
          </cell>
          <cell r="L374">
            <v>345.2</v>
          </cell>
          <cell r="M374">
            <v>0.73462438816769504</v>
          </cell>
          <cell r="N374">
            <v>2.835</v>
          </cell>
          <cell r="O374" t="str">
            <v>No</v>
          </cell>
          <cell r="Q374">
            <v>322.39999999999998</v>
          </cell>
          <cell r="R374">
            <v>0.68610342626090703</v>
          </cell>
          <cell r="S374">
            <v>2.4489999999999998</v>
          </cell>
          <cell r="T374" t="str">
            <v>Yes</v>
          </cell>
          <cell r="V374">
            <v>359.1</v>
          </cell>
          <cell r="W374">
            <v>0.76420515003192202</v>
          </cell>
          <cell r="X374">
            <v>4.2300000000000004</v>
          </cell>
          <cell r="Y374" t="str">
            <v>No</v>
          </cell>
          <cell r="AA374">
            <v>403.7</v>
          </cell>
          <cell r="AB374">
            <v>0.85911896148116595</v>
          </cell>
          <cell r="AC374">
            <v>43.85</v>
          </cell>
          <cell r="AD374" t="str">
            <v>No</v>
          </cell>
          <cell r="AF374">
            <v>415.6</v>
          </cell>
          <cell r="AG374">
            <v>0.884443498616727</v>
          </cell>
          <cell r="AH374">
            <v>48.28</v>
          </cell>
          <cell r="AI374" t="str">
            <v>No</v>
          </cell>
        </row>
        <row r="375">
          <cell r="A375" t="str">
            <v>P115C3</v>
          </cell>
          <cell r="B375">
            <v>289.3</v>
          </cell>
          <cell r="C375">
            <v>0.61566290700148996</v>
          </cell>
          <cell r="D375">
            <v>0.87919999999999998</v>
          </cell>
          <cell r="E375" t="str">
            <v>Yes</v>
          </cell>
          <cell r="G375">
            <v>276.7</v>
          </cell>
          <cell r="H375">
            <v>0.588848691210896</v>
          </cell>
          <cell r="I375">
            <v>0.86140000000000005</v>
          </cell>
          <cell r="J375" t="str">
            <v>Yes</v>
          </cell>
          <cell r="L375">
            <v>262.39999999999998</v>
          </cell>
          <cell r="M375">
            <v>0.55841668440093595</v>
          </cell>
          <cell r="N375">
            <v>0.43819999999999998</v>
          </cell>
          <cell r="O375" t="str">
            <v>Yes</v>
          </cell>
          <cell r="Q375">
            <v>327.8</v>
          </cell>
          <cell r="R375">
            <v>0.69759523302830395</v>
          </cell>
          <cell r="S375">
            <v>2.3839999999999999</v>
          </cell>
          <cell r="T375" t="str">
            <v>No</v>
          </cell>
          <cell r="V375">
            <v>319.7</v>
          </cell>
          <cell r="W375">
            <v>0.68035752287720797</v>
          </cell>
          <cell r="X375">
            <v>1.8149999999999999</v>
          </cell>
          <cell r="Y375" t="str">
            <v>Yes</v>
          </cell>
          <cell r="AA375">
            <v>368.9</v>
          </cell>
          <cell r="AB375">
            <v>0.785060651202383</v>
          </cell>
          <cell r="AC375">
            <v>17.07</v>
          </cell>
          <cell r="AD375" t="str">
            <v>No</v>
          </cell>
          <cell r="AF375">
            <v>364</v>
          </cell>
          <cell r="AG375">
            <v>0.77463290061715295</v>
          </cell>
          <cell r="AH375">
            <v>15.7</v>
          </cell>
          <cell r="AI375" t="str">
            <v>No</v>
          </cell>
        </row>
        <row r="376">
          <cell r="A376" t="str">
            <v>P116C1</v>
          </cell>
          <cell r="B376">
            <v>360.7</v>
          </cell>
          <cell r="C376">
            <v>0.76761012981485399</v>
          </cell>
          <cell r="D376">
            <v>7.0369999999999999</v>
          </cell>
          <cell r="E376" t="str">
            <v>No</v>
          </cell>
          <cell r="G376">
            <v>376.4</v>
          </cell>
          <cell r="H376">
            <v>0.80102149393487998</v>
          </cell>
          <cell r="I376">
            <v>12.55</v>
          </cell>
          <cell r="J376" t="str">
            <v>No</v>
          </cell>
          <cell r="L376">
            <v>393.3</v>
          </cell>
          <cell r="M376">
            <v>0.83698659289210497</v>
          </cell>
          <cell r="N376">
            <v>22.5</v>
          </cell>
          <cell r="O376" t="str">
            <v>No</v>
          </cell>
          <cell r="Q376">
            <v>381.1</v>
          </cell>
          <cell r="R376">
            <v>0.81102362204724399</v>
          </cell>
          <cell r="S376">
            <v>15.46</v>
          </cell>
          <cell r="T376" t="str">
            <v>No</v>
          </cell>
          <cell r="V376">
            <v>375.3</v>
          </cell>
          <cell r="W376">
            <v>0.79868057033411399</v>
          </cell>
          <cell r="X376">
            <v>12.12</v>
          </cell>
          <cell r="Y376" t="str">
            <v>No</v>
          </cell>
          <cell r="AA376">
            <v>399.7</v>
          </cell>
          <cell r="AB376">
            <v>0.85060651202383497</v>
          </cell>
          <cell r="AC376">
            <v>26.62</v>
          </cell>
          <cell r="AD376" t="str">
            <v>No</v>
          </cell>
          <cell r="AF376">
            <v>385.4</v>
          </cell>
          <cell r="AG376">
            <v>0.82017450521387503</v>
          </cell>
          <cell r="AH376">
            <v>15.34</v>
          </cell>
          <cell r="AI376" t="str">
            <v>No</v>
          </cell>
        </row>
        <row r="377">
          <cell r="A377" t="str">
            <v>P116C2</v>
          </cell>
          <cell r="B377">
            <v>380.4</v>
          </cell>
          <cell r="C377">
            <v>0.80953394339221096</v>
          </cell>
          <cell r="D377">
            <v>13.23</v>
          </cell>
          <cell r="E377" t="str">
            <v>No</v>
          </cell>
          <cell r="G377">
            <v>386.5</v>
          </cell>
          <cell r="H377">
            <v>0.82251542881464101</v>
          </cell>
          <cell r="I377">
            <v>17.57</v>
          </cell>
          <cell r="J377" t="str">
            <v>No</v>
          </cell>
          <cell r="L377">
            <v>387.3</v>
          </cell>
          <cell r="M377">
            <v>0.82421791870610805</v>
          </cell>
          <cell r="N377">
            <v>16.399999999999999</v>
          </cell>
          <cell r="O377" t="str">
            <v>No</v>
          </cell>
          <cell r="Q377">
            <v>394.4</v>
          </cell>
          <cell r="R377">
            <v>0.83932751649287096</v>
          </cell>
          <cell r="S377">
            <v>24.22</v>
          </cell>
          <cell r="T377" t="str">
            <v>No</v>
          </cell>
          <cell r="V377">
            <v>402.5</v>
          </cell>
          <cell r="W377">
            <v>0.85656522664396695</v>
          </cell>
          <cell r="X377">
            <v>34.35</v>
          </cell>
          <cell r="Y377" t="str">
            <v>No</v>
          </cell>
          <cell r="AA377">
            <v>412.5</v>
          </cell>
          <cell r="AB377">
            <v>0.87784635028729496</v>
          </cell>
          <cell r="AC377">
            <v>43.36</v>
          </cell>
          <cell r="AD377" t="str">
            <v>No</v>
          </cell>
          <cell r="AF377">
            <v>414.6</v>
          </cell>
          <cell r="AG377">
            <v>0.88231538625239403</v>
          </cell>
          <cell r="AH377">
            <v>44.67</v>
          </cell>
          <cell r="AI377" t="str">
            <v>No</v>
          </cell>
        </row>
        <row r="378">
          <cell r="A378" t="str">
            <v>P116C3</v>
          </cell>
          <cell r="B378">
            <v>379.5</v>
          </cell>
          <cell r="C378">
            <v>0.80761864226431201</v>
          </cell>
          <cell r="D378">
            <v>14.16</v>
          </cell>
          <cell r="E378" t="str">
            <v>No</v>
          </cell>
          <cell r="G378">
            <v>358.7</v>
          </cell>
          <cell r="H378">
            <v>0.76335390508618906</v>
          </cell>
          <cell r="I378">
            <v>7.3079999999999998</v>
          </cell>
          <cell r="J378" t="str">
            <v>No</v>
          </cell>
          <cell r="L378">
            <v>392.4</v>
          </cell>
          <cell r="M378">
            <v>0.83507129176420503</v>
          </cell>
          <cell r="N378">
            <v>26.63</v>
          </cell>
          <cell r="O378" t="str">
            <v>No</v>
          </cell>
          <cell r="Q378">
            <v>368.9</v>
          </cell>
          <cell r="R378">
            <v>0.785060651202383</v>
          </cell>
          <cell r="S378">
            <v>9.5419999999999998</v>
          </cell>
          <cell r="T378" t="str">
            <v>No</v>
          </cell>
          <cell r="V378">
            <v>397.6</v>
          </cell>
          <cell r="W378">
            <v>0.84613747605873602</v>
          </cell>
          <cell r="X378">
            <v>22.34</v>
          </cell>
          <cell r="Y378" t="str">
            <v>No</v>
          </cell>
          <cell r="AA378">
            <v>406.1</v>
          </cell>
          <cell r="AB378">
            <v>0.86422643115556497</v>
          </cell>
          <cell r="AC378">
            <v>34.22</v>
          </cell>
          <cell r="AD378" t="str">
            <v>No</v>
          </cell>
          <cell r="AF378">
            <v>387.9</v>
          </cell>
          <cell r="AG378">
            <v>0.82549478612470695</v>
          </cell>
          <cell r="AH378">
            <v>17.84</v>
          </cell>
          <cell r="AI378" t="str">
            <v>No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S5"/>
    </sheetNames>
    <sheetDataSet>
      <sheetData sheetId="0">
        <row r="1">
          <cell r="A1" t="str">
            <v>Case.ID</v>
          </cell>
          <cell r="B1" t="str">
            <v>Mutation.no.</v>
          </cell>
          <cell r="C1" t="str">
            <v>Trunk.mutation.no.</v>
          </cell>
          <cell r="D1" t="str">
            <v>Histology</v>
          </cell>
          <cell r="E1" t="str">
            <v>Trunk.ratio</v>
          </cell>
          <cell r="F1" t="str">
            <v>CNA-ITH</v>
          </cell>
          <cell r="G1" t="str">
            <v>Mutation-ITH</v>
          </cell>
          <cell r="H1" t="str">
            <v>Lenvatinib</v>
          </cell>
          <cell r="I1" t="str">
            <v>Sorafenib</v>
          </cell>
          <cell r="J1" t="str">
            <v>Regorafenib</v>
          </cell>
          <cell r="K1" t="str">
            <v>Apatinib</v>
          </cell>
        </row>
        <row r="2">
          <cell r="A2" t="str">
            <v>P1</v>
          </cell>
          <cell r="B2">
            <v>551</v>
          </cell>
          <cell r="C2">
            <v>0</v>
          </cell>
          <cell r="D2" t="str">
            <v>HCC</v>
          </cell>
          <cell r="E2">
            <v>0</v>
          </cell>
          <cell r="F2">
            <v>0.69565217391304301</v>
          </cell>
          <cell r="G2">
            <v>1</v>
          </cell>
          <cell r="H2" t="str">
            <v>Resistant</v>
          </cell>
          <cell r="I2" t="str">
            <v>Resistant</v>
          </cell>
          <cell r="J2" t="str">
            <v>Resistant</v>
          </cell>
          <cell r="K2" t="str">
            <v>Resistant</v>
          </cell>
        </row>
        <row r="3">
          <cell r="A3" t="str">
            <v>P2</v>
          </cell>
          <cell r="B3">
            <v>119</v>
          </cell>
          <cell r="C3">
            <v>58</v>
          </cell>
          <cell r="D3" t="str">
            <v>HCC</v>
          </cell>
          <cell r="E3">
            <v>0.95081967213114704</v>
          </cell>
          <cell r="F3">
            <v>0.36666666666666697</v>
          </cell>
          <cell r="G3">
            <v>0.51260504201680701</v>
          </cell>
          <cell r="H3" t="str">
            <v>Resistant</v>
          </cell>
          <cell r="I3" t="str">
            <v>Resistant</v>
          </cell>
          <cell r="J3" t="str">
            <v>Resistant</v>
          </cell>
          <cell r="K3" t="str">
            <v>Resistant</v>
          </cell>
        </row>
        <row r="4">
          <cell r="A4" t="str">
            <v>P3</v>
          </cell>
          <cell r="B4">
            <v>189</v>
          </cell>
          <cell r="C4">
            <v>52</v>
          </cell>
          <cell r="D4" t="str">
            <v>HCC</v>
          </cell>
          <cell r="E4">
            <v>0.37956204379561997</v>
          </cell>
          <cell r="F4">
            <v>0.65789473684210498</v>
          </cell>
          <cell r="G4">
            <v>0.72486772486772499</v>
          </cell>
          <cell r="H4" t="str">
            <v>Resistant</v>
          </cell>
          <cell r="I4" t="str">
            <v>Resistant</v>
          </cell>
          <cell r="J4" t="str">
            <v>Sensitive</v>
          </cell>
          <cell r="K4" t="str">
            <v>Resistant</v>
          </cell>
        </row>
        <row r="5">
          <cell r="A5" t="str">
            <v>P4</v>
          </cell>
          <cell r="B5">
            <v>82</v>
          </cell>
          <cell r="C5">
            <v>29</v>
          </cell>
          <cell r="D5" t="str">
            <v>HCC</v>
          </cell>
          <cell r="E5">
            <v>0.54716981132075504</v>
          </cell>
          <cell r="F5">
            <v>0.3</v>
          </cell>
          <cell r="G5">
            <v>0.64634146341463405</v>
          </cell>
          <cell r="H5" t="str">
            <v>Resistant</v>
          </cell>
          <cell r="I5" t="str">
            <v>Resistant</v>
          </cell>
          <cell r="J5" t="str">
            <v>Resistant</v>
          </cell>
          <cell r="K5" t="str">
            <v>Resistant</v>
          </cell>
        </row>
        <row r="6">
          <cell r="A6" t="str">
            <v>P5</v>
          </cell>
          <cell r="B6">
            <v>96</v>
          </cell>
          <cell r="C6">
            <v>54</v>
          </cell>
          <cell r="D6" t="str">
            <v>HCC</v>
          </cell>
          <cell r="E6">
            <v>1.28571428571429</v>
          </cell>
          <cell r="F6">
            <v>0.25</v>
          </cell>
          <cell r="G6">
            <v>0.4375</v>
          </cell>
          <cell r="H6" t="str">
            <v>Sensitive</v>
          </cell>
          <cell r="I6" t="str">
            <v>Resistant</v>
          </cell>
          <cell r="J6" t="str">
            <v>Resistant</v>
          </cell>
          <cell r="K6" t="str">
            <v>Sensitive</v>
          </cell>
        </row>
        <row r="7">
          <cell r="A7" t="str">
            <v>P6</v>
          </cell>
          <cell r="B7">
            <v>150</v>
          </cell>
          <cell r="C7">
            <v>73</v>
          </cell>
          <cell r="D7" t="str">
            <v>HCC</v>
          </cell>
          <cell r="E7">
            <v>0.94805194805194803</v>
          </cell>
          <cell r="F7">
            <v>0.71818181818181803</v>
          </cell>
          <cell r="G7">
            <v>0.51333333333333298</v>
          </cell>
          <cell r="H7" t="str">
            <v>Resistant</v>
          </cell>
          <cell r="I7" t="str">
            <v>Resistant</v>
          </cell>
          <cell r="J7" t="str">
            <v>Resistant</v>
          </cell>
          <cell r="K7" t="str">
            <v>Resistant</v>
          </cell>
        </row>
        <row r="8">
          <cell r="A8" t="str">
            <v>P8</v>
          </cell>
          <cell r="B8">
            <v>161</v>
          </cell>
          <cell r="C8">
            <v>106</v>
          </cell>
          <cell r="D8" t="str">
            <v>HCC</v>
          </cell>
          <cell r="E8">
            <v>1.9272727272727299</v>
          </cell>
          <cell r="F8">
            <v>0.42528735632183901</v>
          </cell>
          <cell r="G8">
            <v>0.341614906832298</v>
          </cell>
          <cell r="H8" t="str">
            <v>Resistant</v>
          </cell>
          <cell r="I8" t="str">
            <v>Resistant</v>
          </cell>
          <cell r="J8" t="str">
            <v>Resistant</v>
          </cell>
          <cell r="K8" t="str">
            <v>Resistant</v>
          </cell>
        </row>
        <row r="9">
          <cell r="A9" t="str">
            <v>P9</v>
          </cell>
          <cell r="B9">
            <v>75</v>
          </cell>
          <cell r="C9">
            <v>47</v>
          </cell>
          <cell r="D9" t="str">
            <v>HCC</v>
          </cell>
          <cell r="E9">
            <v>1.6785714285714299</v>
          </cell>
          <cell r="F9">
            <v>0.48863636363636398</v>
          </cell>
          <cell r="G9">
            <v>0.37333333333333302</v>
          </cell>
          <cell r="H9" t="str">
            <v>Resistant</v>
          </cell>
          <cell r="I9" t="str">
            <v>Sensitive</v>
          </cell>
          <cell r="J9" t="str">
            <v>Resistant</v>
          </cell>
          <cell r="K9" t="str">
            <v>Resistant</v>
          </cell>
        </row>
        <row r="10">
          <cell r="A10" t="str">
            <v>P10</v>
          </cell>
          <cell r="B10">
            <v>94</v>
          </cell>
          <cell r="C10">
            <v>54</v>
          </cell>
          <cell r="D10" t="str">
            <v>HCC</v>
          </cell>
          <cell r="E10">
            <v>1.35</v>
          </cell>
          <cell r="F10">
            <v>0.34905660377358499</v>
          </cell>
          <cell r="G10">
            <v>0.42553191489361702</v>
          </cell>
          <cell r="H10" t="str">
            <v>Resistant</v>
          </cell>
          <cell r="I10" t="str">
            <v>Resistant</v>
          </cell>
          <cell r="J10" t="str">
            <v>Resistant</v>
          </cell>
          <cell r="K10" t="str">
            <v>Resistant</v>
          </cell>
        </row>
        <row r="11">
          <cell r="A11" t="str">
            <v>P11</v>
          </cell>
          <cell r="B11">
            <v>112</v>
          </cell>
          <cell r="C11">
            <v>72</v>
          </cell>
          <cell r="D11" t="str">
            <v>HCC</v>
          </cell>
          <cell r="E11">
            <v>1.8</v>
          </cell>
          <cell r="F11">
            <v>0.65</v>
          </cell>
          <cell r="G11">
            <v>0.35714285714285698</v>
          </cell>
          <cell r="H11" t="str">
            <v>Resistant</v>
          </cell>
          <cell r="I11" t="str">
            <v>Resistant</v>
          </cell>
          <cell r="J11" t="str">
            <v>Resistant</v>
          </cell>
          <cell r="K11" t="str">
            <v>Resistant</v>
          </cell>
        </row>
        <row r="12">
          <cell r="A12" t="str">
            <v>P12</v>
          </cell>
          <cell r="B12">
            <v>137</v>
          </cell>
          <cell r="C12">
            <v>116</v>
          </cell>
          <cell r="D12" t="str">
            <v>HCC</v>
          </cell>
          <cell r="E12">
            <v>5.5238095238095202</v>
          </cell>
          <cell r="F12">
            <v>0.38554216867469898</v>
          </cell>
          <cell r="G12">
            <v>0.153284671532847</v>
          </cell>
          <cell r="H12" t="str">
            <v>Resistant</v>
          </cell>
          <cell r="I12" t="str">
            <v>Resistant</v>
          </cell>
          <cell r="J12" t="str">
            <v>Resistant</v>
          </cell>
          <cell r="K12" t="str">
            <v>Resistant</v>
          </cell>
        </row>
        <row r="13">
          <cell r="A13" t="str">
            <v>P13</v>
          </cell>
          <cell r="B13">
            <v>164</v>
          </cell>
          <cell r="C13">
            <v>91</v>
          </cell>
          <cell r="D13" t="str">
            <v>HCC</v>
          </cell>
          <cell r="E13">
            <v>1.24657534246575</v>
          </cell>
          <cell r="F13">
            <v>0.18181818181818199</v>
          </cell>
          <cell r="G13">
            <v>0.44512195121951198</v>
          </cell>
          <cell r="H13" t="str">
            <v>Sensitive</v>
          </cell>
          <cell r="I13" t="str">
            <v>Resistant</v>
          </cell>
          <cell r="J13" t="str">
            <v>Resistant</v>
          </cell>
          <cell r="K13" t="str">
            <v>Sensitive</v>
          </cell>
        </row>
        <row r="14">
          <cell r="A14" t="str">
            <v>P14</v>
          </cell>
          <cell r="B14">
            <v>130</v>
          </cell>
          <cell r="C14">
            <v>39</v>
          </cell>
          <cell r="D14" t="str">
            <v>HCC</v>
          </cell>
          <cell r="E14">
            <v>0.42857142857142899</v>
          </cell>
          <cell r="F14">
            <v>0.30851063829787201</v>
          </cell>
          <cell r="G14">
            <v>0.7</v>
          </cell>
          <cell r="H14" t="str">
            <v>Resistant</v>
          </cell>
          <cell r="I14" t="str">
            <v>Resistant</v>
          </cell>
          <cell r="J14" t="str">
            <v>Resistant</v>
          </cell>
          <cell r="K14" t="str">
            <v>Resistant</v>
          </cell>
        </row>
        <row r="15">
          <cell r="A15" t="str">
            <v>P16</v>
          </cell>
          <cell r="B15">
            <v>94</v>
          </cell>
          <cell r="C15">
            <v>33</v>
          </cell>
          <cell r="D15" t="str">
            <v>HCC</v>
          </cell>
          <cell r="E15">
            <v>0.54098360655737698</v>
          </cell>
          <cell r="F15">
            <v>0.48214285714285698</v>
          </cell>
          <cell r="G15">
            <v>0.64893617021276595</v>
          </cell>
          <cell r="H15" t="str">
            <v>Resistant</v>
          </cell>
          <cell r="I15" t="str">
            <v>Resistant</v>
          </cell>
          <cell r="J15" t="str">
            <v>Resistant</v>
          </cell>
          <cell r="K15" t="str">
            <v>Resistant</v>
          </cell>
        </row>
        <row r="16">
          <cell r="A16" t="str">
            <v>P17</v>
          </cell>
          <cell r="B16">
            <v>92</v>
          </cell>
          <cell r="C16">
            <v>51</v>
          </cell>
          <cell r="D16" t="str">
            <v>HCC</v>
          </cell>
          <cell r="E16">
            <v>1.24390243902439</v>
          </cell>
          <cell r="F16">
            <v>0.14444444444444399</v>
          </cell>
          <cell r="G16">
            <v>0.44565217391304301</v>
          </cell>
          <cell r="H16" t="str">
            <v>Resistant</v>
          </cell>
          <cell r="I16" t="str">
            <v>Resistant</v>
          </cell>
          <cell r="J16" t="str">
            <v>Resistant</v>
          </cell>
          <cell r="K16" t="str">
            <v>Sensitive</v>
          </cell>
        </row>
        <row r="17">
          <cell r="A17" t="str">
            <v>P18</v>
          </cell>
          <cell r="B17">
            <v>124</v>
          </cell>
          <cell r="C17">
            <v>91</v>
          </cell>
          <cell r="D17" t="str">
            <v>HCC</v>
          </cell>
          <cell r="E17">
            <v>2.75757575757576</v>
          </cell>
          <cell r="F17">
            <v>0.139240506329114</v>
          </cell>
          <cell r="G17">
            <v>0.266129032258065</v>
          </cell>
          <cell r="H17" t="str">
            <v>Sensitive</v>
          </cell>
          <cell r="I17" t="str">
            <v>Resistant</v>
          </cell>
          <cell r="J17" t="str">
            <v>Resistant</v>
          </cell>
          <cell r="K17" t="str">
            <v>Resistant</v>
          </cell>
        </row>
        <row r="18">
          <cell r="A18" t="str">
            <v>P19</v>
          </cell>
          <cell r="B18">
            <v>88</v>
          </cell>
          <cell r="C18">
            <v>60</v>
          </cell>
          <cell r="D18" t="str">
            <v>HCC</v>
          </cell>
          <cell r="E18">
            <v>2.1428571428571401</v>
          </cell>
          <cell r="F18">
            <v>0.41489361702127697</v>
          </cell>
          <cell r="G18">
            <v>0.31818181818181801</v>
          </cell>
          <cell r="H18" t="str">
            <v>Resistant</v>
          </cell>
          <cell r="I18" t="str">
            <v>Sensitive</v>
          </cell>
          <cell r="J18" t="str">
            <v>Resistant</v>
          </cell>
          <cell r="K18" t="str">
            <v>Resistant</v>
          </cell>
        </row>
        <row r="19">
          <cell r="A19" t="str">
            <v>P20</v>
          </cell>
          <cell r="B19">
            <v>181</v>
          </cell>
          <cell r="C19">
            <v>63</v>
          </cell>
          <cell r="D19" t="str">
            <v>HCC</v>
          </cell>
          <cell r="E19">
            <v>0.53389830508474601</v>
          </cell>
          <cell r="F19">
            <v>0.45882352941176502</v>
          </cell>
          <cell r="G19">
            <v>0.65193370165745901</v>
          </cell>
          <cell r="H19" t="str">
            <v>Resistant</v>
          </cell>
          <cell r="I19" t="str">
            <v>Resistant</v>
          </cell>
          <cell r="J19" t="str">
            <v>Resistant</v>
          </cell>
          <cell r="K19" t="str">
            <v>Resistant</v>
          </cell>
        </row>
        <row r="20">
          <cell r="A20" t="str">
            <v>P21</v>
          </cell>
          <cell r="B20">
            <v>142</v>
          </cell>
          <cell r="C20">
            <v>41</v>
          </cell>
          <cell r="D20" t="str">
            <v>HCC</v>
          </cell>
          <cell r="E20">
            <v>0.40594059405940602</v>
          </cell>
          <cell r="F20">
            <v>0.31395348837209303</v>
          </cell>
          <cell r="G20">
            <v>0.71126760563380298</v>
          </cell>
          <cell r="H20" t="str">
            <v>Resistant</v>
          </cell>
          <cell r="I20" t="str">
            <v>Resistant</v>
          </cell>
          <cell r="J20" t="str">
            <v>Resistant</v>
          </cell>
          <cell r="K20" t="str">
            <v>Resistant</v>
          </cell>
        </row>
        <row r="21">
          <cell r="A21" t="str">
            <v>P22</v>
          </cell>
          <cell r="B21">
            <v>59</v>
          </cell>
          <cell r="C21">
            <v>15</v>
          </cell>
          <cell r="D21" t="str">
            <v>HCC</v>
          </cell>
          <cell r="E21">
            <v>0.34090909090909099</v>
          </cell>
          <cell r="F21">
            <v>0.21686746987951799</v>
          </cell>
          <cell r="G21">
            <v>0.74576271186440701</v>
          </cell>
          <cell r="H21" t="str">
            <v>Resistant</v>
          </cell>
          <cell r="I21" t="str">
            <v>Resistant</v>
          </cell>
          <cell r="J21" t="str">
            <v>Resistant</v>
          </cell>
          <cell r="K21" t="str">
            <v>Resistant</v>
          </cell>
        </row>
        <row r="22">
          <cell r="A22" t="str">
            <v>P23</v>
          </cell>
          <cell r="B22">
            <v>186</v>
          </cell>
          <cell r="C22">
            <v>55</v>
          </cell>
          <cell r="D22" t="str">
            <v>HCC</v>
          </cell>
          <cell r="E22">
            <v>0.41984732824427501</v>
          </cell>
          <cell r="F22">
            <v>0.27956989247311798</v>
          </cell>
          <cell r="G22">
            <v>0.70430107526881702</v>
          </cell>
          <cell r="H22" t="str">
            <v>Resistant</v>
          </cell>
          <cell r="I22" t="str">
            <v>Resistant</v>
          </cell>
          <cell r="J22" t="str">
            <v>Resistant</v>
          </cell>
          <cell r="K22" t="str">
            <v>Resistant</v>
          </cell>
        </row>
        <row r="23">
          <cell r="A23" t="str">
            <v>P24</v>
          </cell>
          <cell r="B23">
            <v>181</v>
          </cell>
          <cell r="C23">
            <v>157</v>
          </cell>
          <cell r="D23" t="str">
            <v>HCC</v>
          </cell>
          <cell r="E23">
            <v>6.5416666666666696</v>
          </cell>
          <cell r="F23">
            <v>8.4745762711864403E-2</v>
          </cell>
          <cell r="G23">
            <v>0.13259668508287301</v>
          </cell>
          <cell r="H23" t="str">
            <v>Sensitive</v>
          </cell>
          <cell r="I23" t="str">
            <v>Resistant</v>
          </cell>
          <cell r="J23" t="str">
            <v>Resistant</v>
          </cell>
          <cell r="K23" t="str">
            <v>Sensitive</v>
          </cell>
        </row>
        <row r="24">
          <cell r="A24" t="str">
            <v>P25</v>
          </cell>
          <cell r="B24">
            <v>130</v>
          </cell>
          <cell r="C24">
            <v>26</v>
          </cell>
          <cell r="D24" t="str">
            <v>HCC</v>
          </cell>
          <cell r="E24">
            <v>0.25</v>
          </cell>
          <cell r="F24">
            <v>0.51685393258427004</v>
          </cell>
          <cell r="G24">
            <v>0.8</v>
          </cell>
          <cell r="H24" t="str">
            <v>Resistant</v>
          </cell>
          <cell r="I24" t="str">
            <v>Resistant</v>
          </cell>
          <cell r="J24" t="str">
            <v>Resistant</v>
          </cell>
          <cell r="K24" t="str">
            <v>Resistant</v>
          </cell>
        </row>
        <row r="25">
          <cell r="A25" t="str">
            <v>P26</v>
          </cell>
          <cell r="B25">
            <v>200</v>
          </cell>
          <cell r="C25">
            <v>58</v>
          </cell>
          <cell r="D25" t="str">
            <v>HCC</v>
          </cell>
          <cell r="E25">
            <v>0.40845070422535201</v>
          </cell>
          <cell r="F25">
            <v>0.4</v>
          </cell>
          <cell r="G25">
            <v>0.71</v>
          </cell>
          <cell r="H25" t="str">
            <v>Resistant</v>
          </cell>
          <cell r="I25" t="str">
            <v>Sensitive</v>
          </cell>
          <cell r="J25" t="str">
            <v>Resistant</v>
          </cell>
          <cell r="K25" t="str">
            <v>Resistant</v>
          </cell>
        </row>
        <row r="26">
          <cell r="A26" t="str">
            <v>P27</v>
          </cell>
          <cell r="B26">
            <v>146</v>
          </cell>
          <cell r="C26">
            <v>61</v>
          </cell>
          <cell r="D26" t="str">
            <v>HCC</v>
          </cell>
          <cell r="E26">
            <v>0.71764705882352897</v>
          </cell>
          <cell r="F26">
            <v>0.379746835443038</v>
          </cell>
          <cell r="G26">
            <v>0.58219178082191803</v>
          </cell>
          <cell r="H26" t="str">
            <v>Sensitive</v>
          </cell>
          <cell r="I26" t="str">
            <v>Sensitive</v>
          </cell>
          <cell r="J26" t="str">
            <v>Sensitive</v>
          </cell>
          <cell r="K26" t="str">
            <v>Resistant</v>
          </cell>
        </row>
        <row r="27">
          <cell r="A27" t="str">
            <v>P28</v>
          </cell>
          <cell r="B27">
            <v>226</v>
          </cell>
          <cell r="C27">
            <v>0</v>
          </cell>
          <cell r="D27" t="str">
            <v>ICC</v>
          </cell>
          <cell r="E27">
            <v>0</v>
          </cell>
          <cell r="F27">
            <v>0.76388888888888895</v>
          </cell>
          <cell r="G27">
            <v>1</v>
          </cell>
          <cell r="H27" t="str">
            <v>Resistant</v>
          </cell>
          <cell r="I27" t="str">
            <v>Resistant</v>
          </cell>
          <cell r="J27" t="str">
            <v>Resistant</v>
          </cell>
          <cell r="K27" t="str">
            <v>Resistant</v>
          </cell>
        </row>
        <row r="28">
          <cell r="A28" t="str">
            <v>P29</v>
          </cell>
          <cell r="B28">
            <v>116</v>
          </cell>
          <cell r="C28">
            <v>78</v>
          </cell>
          <cell r="D28" t="str">
            <v>ICC</v>
          </cell>
          <cell r="E28">
            <v>2.0526315789473699</v>
          </cell>
          <cell r="F28">
            <v>0.51111111111111096</v>
          </cell>
          <cell r="G28">
            <v>0.32758620689655199</v>
          </cell>
          <cell r="H28" t="str">
            <v>Resistant</v>
          </cell>
          <cell r="I28" t="str">
            <v>Sensitive</v>
          </cell>
          <cell r="J28" t="str">
            <v>Resistant</v>
          </cell>
          <cell r="K28" t="str">
            <v>Resistant</v>
          </cell>
        </row>
        <row r="29">
          <cell r="A29" t="str">
            <v>P30</v>
          </cell>
          <cell r="B29">
            <v>142</v>
          </cell>
          <cell r="C29">
            <v>5</v>
          </cell>
          <cell r="D29" t="str">
            <v>ICC</v>
          </cell>
          <cell r="E29">
            <v>3.6496350364963501E-2</v>
          </cell>
          <cell r="F29">
            <v>0.608108108108108</v>
          </cell>
          <cell r="G29">
            <v>0.96478873239436602</v>
          </cell>
          <cell r="H29" t="str">
            <v>Resistant</v>
          </cell>
          <cell r="I29" t="str">
            <v>Resistant</v>
          </cell>
          <cell r="J29" t="str">
            <v>Resistant</v>
          </cell>
          <cell r="K29" t="str">
            <v>Resistant</v>
          </cell>
        </row>
        <row r="30">
          <cell r="A30" t="str">
            <v>P32</v>
          </cell>
          <cell r="B30">
            <v>174</v>
          </cell>
          <cell r="C30">
            <v>83</v>
          </cell>
          <cell r="D30" t="str">
            <v>ICC</v>
          </cell>
          <cell r="E30">
            <v>0.91208791208791196</v>
          </cell>
          <cell r="F30">
            <v>0.24418604651162801</v>
          </cell>
          <cell r="G30">
            <v>0.52298850574712596</v>
          </cell>
          <cell r="H30" t="str">
            <v>Resistant</v>
          </cell>
          <cell r="I30" t="str">
            <v>Resistant</v>
          </cell>
          <cell r="J30" t="str">
            <v>Resistant</v>
          </cell>
          <cell r="K30" t="str">
            <v>Resistant</v>
          </cell>
        </row>
        <row r="31">
          <cell r="A31" t="str">
            <v>P33</v>
          </cell>
          <cell r="B31">
            <v>70</v>
          </cell>
          <cell r="C31">
            <v>39</v>
          </cell>
          <cell r="D31" t="str">
            <v>ICC</v>
          </cell>
          <cell r="E31">
            <v>1.25806451612903</v>
          </cell>
          <cell r="F31">
            <v>0.30107526881720398</v>
          </cell>
          <cell r="G31">
            <v>0.442857142857143</v>
          </cell>
          <cell r="H31" t="str">
            <v>Resistant</v>
          </cell>
          <cell r="I31" t="str">
            <v>Resistant</v>
          </cell>
          <cell r="J31" t="str">
            <v>Resistant</v>
          </cell>
          <cell r="K31" t="str">
            <v>Resistant</v>
          </cell>
        </row>
        <row r="32">
          <cell r="A32" t="str">
            <v>P34</v>
          </cell>
          <cell r="B32">
            <v>68</v>
          </cell>
          <cell r="C32">
            <v>30</v>
          </cell>
          <cell r="D32" t="str">
            <v>ICC</v>
          </cell>
          <cell r="E32">
            <v>0.78947368421052599</v>
          </cell>
          <cell r="F32">
            <v>0.43</v>
          </cell>
          <cell r="G32">
            <v>0.55882352941176505</v>
          </cell>
          <cell r="H32" t="str">
            <v>Resistant</v>
          </cell>
          <cell r="I32" t="str">
            <v>Resistant</v>
          </cell>
          <cell r="J32" t="str">
            <v>Resistant</v>
          </cell>
          <cell r="K32" t="str">
            <v>Resistant</v>
          </cell>
        </row>
        <row r="33">
          <cell r="A33" t="str">
            <v>P36</v>
          </cell>
          <cell r="B33">
            <v>116</v>
          </cell>
          <cell r="C33">
            <v>60</v>
          </cell>
          <cell r="D33" t="str">
            <v>ICC</v>
          </cell>
          <cell r="E33">
            <v>1.0714285714285701</v>
          </cell>
          <cell r="F33">
            <v>0.26388888888888901</v>
          </cell>
          <cell r="G33">
            <v>0.48275862068965503</v>
          </cell>
          <cell r="H33" t="str">
            <v>Resistant</v>
          </cell>
          <cell r="I33" t="str">
            <v>Resistant</v>
          </cell>
          <cell r="J33" t="str">
            <v>Resistant</v>
          </cell>
          <cell r="K33" t="str">
            <v>Resistant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765"/>
  <sheetViews>
    <sheetView tabSelected="1" workbookViewId="0">
      <selection activeCell="F19" sqref="F19"/>
    </sheetView>
  </sheetViews>
  <sheetFormatPr baseColWidth="10" defaultColWidth="9" defaultRowHeight="14"/>
  <cols>
    <col min="1" max="1" width="42.6640625" style="12" customWidth="1"/>
    <col min="2" max="2" width="16.33203125" customWidth="1"/>
    <col min="3" max="3" width="18" customWidth="1"/>
    <col min="4" max="4" width="25" customWidth="1"/>
    <col min="5" max="5" width="27.83203125" customWidth="1"/>
    <col min="6" max="6" width="23" style="12" customWidth="1"/>
    <col min="7" max="7" width="25.5" customWidth="1"/>
    <col min="8" max="8" width="28.6640625" customWidth="1"/>
    <col min="10" max="10" width="9.6640625" customWidth="1"/>
    <col min="12" max="12" width="12.83203125"/>
    <col min="14" max="14" width="11.6640625"/>
    <col min="17" max="17" width="12.83203125"/>
    <col min="22" max="22" width="12.83203125"/>
    <col min="23" max="23" width="11.6640625"/>
    <col min="27" max="27" width="12.83203125"/>
    <col min="32" max="33" width="12.83203125"/>
    <col min="37" max="37" width="12.83203125"/>
    <col min="42" max="42" width="12.83203125"/>
    <col min="46" max="46" width="17" customWidth="1"/>
    <col min="47" max="47" width="15.1640625" customWidth="1"/>
    <col min="48" max="48" width="14.1640625" customWidth="1"/>
    <col min="49" max="49" width="14.83203125" customWidth="1"/>
  </cols>
  <sheetData>
    <row r="1" spans="1:49" ht="15">
      <c r="A1" s="10">
        <v>0</v>
      </c>
      <c r="B1" s="1">
        <v>1</v>
      </c>
      <c r="C1" s="1">
        <v>2</v>
      </c>
      <c r="D1" s="1">
        <v>3</v>
      </c>
      <c r="E1" s="1">
        <v>4</v>
      </c>
      <c r="F1" s="10">
        <v>5</v>
      </c>
      <c r="G1" s="1">
        <v>6</v>
      </c>
      <c r="H1" s="1">
        <v>7</v>
      </c>
      <c r="I1" s="1">
        <v>8</v>
      </c>
      <c r="J1" s="1">
        <v>7</v>
      </c>
      <c r="K1" s="7" t="s">
        <v>0</v>
      </c>
      <c r="L1" s="7"/>
      <c r="M1" s="7"/>
      <c r="N1" s="7"/>
      <c r="O1" s="3"/>
      <c r="P1" s="7" t="s">
        <v>1</v>
      </c>
      <c r="Q1" s="7"/>
      <c r="R1" s="7"/>
      <c r="S1" s="7"/>
      <c r="T1" s="3"/>
      <c r="U1" s="7" t="s">
        <v>2</v>
      </c>
      <c r="V1" s="7"/>
      <c r="W1" s="7"/>
      <c r="X1" s="7"/>
      <c r="Y1" s="3"/>
      <c r="Z1" s="7" t="s">
        <v>3</v>
      </c>
      <c r="AA1" s="7"/>
      <c r="AB1" s="7"/>
      <c r="AC1" s="7"/>
      <c r="AD1" s="3"/>
      <c r="AE1" s="7" t="s">
        <v>4</v>
      </c>
      <c r="AF1" s="7"/>
      <c r="AG1" s="7"/>
      <c r="AH1" s="7"/>
      <c r="AI1" s="3"/>
      <c r="AJ1" s="7" t="s">
        <v>5</v>
      </c>
      <c r="AK1" s="7"/>
      <c r="AL1" s="7"/>
      <c r="AM1" s="7"/>
      <c r="AN1" s="3"/>
      <c r="AO1" s="7" t="s">
        <v>6</v>
      </c>
      <c r="AP1" s="7"/>
      <c r="AQ1" s="7"/>
      <c r="AR1" s="7"/>
    </row>
    <row r="2" spans="1:49" ht="15">
      <c r="A2" s="11"/>
      <c r="B2" s="2"/>
      <c r="C2" s="2"/>
      <c r="D2" s="2"/>
      <c r="E2" s="2"/>
      <c r="F2" s="11"/>
      <c r="G2" s="2"/>
      <c r="H2" s="2"/>
      <c r="I2" s="2"/>
      <c r="J2" s="2"/>
      <c r="K2" s="4" t="s">
        <v>7</v>
      </c>
      <c r="L2" s="4" t="s">
        <v>8</v>
      </c>
      <c r="M2" s="4" t="s">
        <v>9</v>
      </c>
      <c r="N2" s="4" t="s">
        <v>10</v>
      </c>
      <c r="O2" s="5"/>
      <c r="P2" s="4" t="s">
        <v>7</v>
      </c>
      <c r="Q2" s="4" t="s">
        <v>11</v>
      </c>
      <c r="R2" s="4" t="s">
        <v>9</v>
      </c>
      <c r="S2" s="4" t="s">
        <v>10</v>
      </c>
      <c r="T2" s="5"/>
      <c r="U2" s="4" t="s">
        <v>12</v>
      </c>
      <c r="V2" s="4" t="s">
        <v>8</v>
      </c>
      <c r="W2" s="4" t="s">
        <v>9</v>
      </c>
      <c r="X2" s="4" t="s">
        <v>10</v>
      </c>
      <c r="Y2" s="5"/>
      <c r="Z2" s="4" t="s">
        <v>12</v>
      </c>
      <c r="AA2" s="4" t="s">
        <v>11</v>
      </c>
      <c r="AB2" s="4" t="s">
        <v>9</v>
      </c>
      <c r="AC2" s="4" t="s">
        <v>10</v>
      </c>
      <c r="AD2" s="5"/>
      <c r="AE2" s="4" t="s">
        <v>7</v>
      </c>
      <c r="AF2" s="4" t="s">
        <v>11</v>
      </c>
      <c r="AG2" s="4" t="s">
        <v>9</v>
      </c>
      <c r="AH2" s="4" t="s">
        <v>10</v>
      </c>
      <c r="AI2" s="5"/>
      <c r="AJ2" s="4" t="s">
        <v>12</v>
      </c>
      <c r="AK2" s="4" t="s">
        <v>11</v>
      </c>
      <c r="AL2" s="4" t="s">
        <v>9</v>
      </c>
      <c r="AM2" s="4" t="s">
        <v>10</v>
      </c>
      <c r="AN2" s="5"/>
      <c r="AO2" s="4" t="s">
        <v>12</v>
      </c>
      <c r="AP2" s="4" t="s">
        <v>11</v>
      </c>
      <c r="AQ2" s="4" t="s">
        <v>9</v>
      </c>
      <c r="AR2" s="4" t="s">
        <v>10</v>
      </c>
      <c r="AT2" s="6" t="s">
        <v>0</v>
      </c>
      <c r="AU2" s="6" t="s">
        <v>1</v>
      </c>
      <c r="AV2" s="6" t="s">
        <v>2</v>
      </c>
      <c r="AW2" s="6" t="s">
        <v>13</v>
      </c>
    </row>
    <row r="3" spans="1:49">
      <c r="A3" s="12" t="s">
        <v>14</v>
      </c>
      <c r="B3" t="s">
        <v>15</v>
      </c>
      <c r="C3" t="s">
        <v>16</v>
      </c>
      <c r="D3" t="s">
        <v>17</v>
      </c>
      <c r="E3" t="s">
        <v>18</v>
      </c>
      <c r="F3" s="12" t="s">
        <v>19</v>
      </c>
      <c r="G3" t="s">
        <v>20</v>
      </c>
      <c r="H3" t="s">
        <v>21</v>
      </c>
      <c r="I3" t="s">
        <v>22</v>
      </c>
      <c r="J3" t="s">
        <v>23</v>
      </c>
      <c r="K3">
        <f>VLOOKUP($J3,'[1]Table S6'!$A:$AI,2,FALSE)</f>
        <v>306.5</v>
      </c>
      <c r="L3">
        <f>VLOOKUP($J3,'[1]Table S6'!$A:$AI,3,FALSE)</f>
        <v>0.65226643966801401</v>
      </c>
      <c r="M3">
        <f>VLOOKUP($J3,'[1]Table S6'!$A:$AI,4,FALSE)</f>
        <v>1.093</v>
      </c>
      <c r="N3" t="str">
        <f>VLOOKUP($J3,'[1]Table S6'!$A:$AI,5,FALSE)</f>
        <v>Yes</v>
      </c>
      <c r="P3">
        <f>VLOOKUP($J3,'[1]Table S6'!$A:$AI,7,FALSE)</f>
        <v>316.89999999999998</v>
      </c>
      <c r="Q3">
        <f>VLOOKUP($J3,'[1]Table S6'!$A:$AI,8,FALSE)</f>
        <v>0.67439880825707599</v>
      </c>
      <c r="R3">
        <f>VLOOKUP($J3,'[1]Table S6'!$A:$AI,9,FALSE)</f>
        <v>1.17</v>
      </c>
      <c r="S3" t="str">
        <f>VLOOKUP($J3,'[1]Table S6'!$A:$AI,10,FALSE)</f>
        <v>Yes</v>
      </c>
      <c r="U3">
        <f>VLOOKUP($J3,'[1]Table S6'!$A:$AI,12,FALSE)</f>
        <v>359.1</v>
      </c>
      <c r="V3">
        <f>VLOOKUP($J3,'[1]Table S6'!$A:$AI,13,FALSE)</f>
        <v>0.76420515003192202</v>
      </c>
      <c r="W3">
        <f>VLOOKUP($J3,'[1]Table S6'!$A:$AI,14,FALSE)</f>
        <v>6.6349999999999998</v>
      </c>
      <c r="X3" t="str">
        <f>VLOOKUP($J3,'[1]Table S6'!$A:$AI,15,FALSE)</f>
        <v>No</v>
      </c>
      <c r="Z3">
        <f>VLOOKUP($J3,'[1]Table S6'!$A:$AI,17,FALSE)</f>
        <v>388.3</v>
      </c>
      <c r="AA3">
        <f>VLOOKUP($J3,'[1]Table S6'!$A:$AI,18,FALSE)</f>
        <v>0.82634603107044102</v>
      </c>
      <c r="AB3">
        <f>VLOOKUP($J3,'[1]Table S6'!$A:$AI,19,FALSE)</f>
        <v>11.69</v>
      </c>
      <c r="AC3" t="str">
        <f>VLOOKUP($J3,'[1]Table S6'!$A:$AI,20,FALSE)</f>
        <v>No</v>
      </c>
      <c r="AE3">
        <f>VLOOKUP($J3,'[1]Table S6'!$A:$AI,22,FALSE)</f>
        <v>378.1</v>
      </c>
      <c r="AF3">
        <f>VLOOKUP($J3,'[1]Table S6'!$A:$AI,23,FALSE)</f>
        <v>0.80463928495424597</v>
      </c>
      <c r="AG3">
        <f>VLOOKUP($J3,'[1]Table S6'!$A:$AI,24,FALSE)</f>
        <v>8.8510000000000009</v>
      </c>
      <c r="AH3" t="str">
        <f>VLOOKUP($J3,'[1]Table S6'!$A:$AI,25,FALSE)</f>
        <v>No</v>
      </c>
      <c r="AJ3">
        <f>VLOOKUP($J3,'[1]Table S6'!$A:$AI,27,FALSE)</f>
        <v>424.4</v>
      </c>
      <c r="AK3">
        <f>VLOOKUP($J3,'[1]Table S6'!$A:$AI,28,FALSE)</f>
        <v>0.90317088742285601</v>
      </c>
      <c r="AL3">
        <f>VLOOKUP($J3,'[1]Table S6'!$A:$AI,29,FALSE)</f>
        <v>84.01</v>
      </c>
      <c r="AM3" t="str">
        <f>VLOOKUP($J3,'[1]Table S6'!$A:$AI,30,FALSE)</f>
        <v>No</v>
      </c>
      <c r="AO3">
        <f>VLOOKUP($J3,'[1]Table S6'!$A:$AI,32,FALSE)</f>
        <v>408</v>
      </c>
      <c r="AP3">
        <f>VLOOKUP($J3,'[1]Table S6'!$A:$AI,33,FALSE)</f>
        <v>0.868269844647797</v>
      </c>
      <c r="AQ3">
        <f>VLOOKUP($J3,'[1]Table S6'!$A:$AI,34,FALSE)</f>
        <v>33.61</v>
      </c>
      <c r="AR3" t="str">
        <f>VLOOKUP($J3,'[1]Table S6'!$A:$AI,35,FALSE)</f>
        <v>No</v>
      </c>
      <c r="AT3" t="str">
        <f>VLOOKUP($I3,'[2]Table S5'!$A:$K,8,FALSE)</f>
        <v>Resistant</v>
      </c>
      <c r="AU3" t="str">
        <f>VLOOKUP($I3,'[2]Table S5'!$A:$K,9,FALSE)</f>
        <v>Resistant</v>
      </c>
      <c r="AV3" t="str">
        <f>VLOOKUP($I3,'[2]Table S5'!$A:$K,10,FALSE)</f>
        <v>Resistant</v>
      </c>
      <c r="AW3" t="str">
        <f>VLOOKUP($I3,'[2]Table S5'!$A:$K,11,FALSE)</f>
        <v>Resistant</v>
      </c>
    </row>
    <row r="4" spans="1:49">
      <c r="A4" s="12" t="s">
        <v>24</v>
      </c>
      <c r="B4" t="s">
        <v>25</v>
      </c>
      <c r="C4" t="s">
        <v>26</v>
      </c>
      <c r="D4" t="s">
        <v>17</v>
      </c>
      <c r="E4" t="s">
        <v>27</v>
      </c>
      <c r="F4" s="12" t="s">
        <v>28</v>
      </c>
      <c r="G4" t="s">
        <v>29</v>
      </c>
      <c r="H4" t="s">
        <v>30</v>
      </c>
      <c r="I4" t="s">
        <v>22</v>
      </c>
      <c r="J4" t="s">
        <v>31</v>
      </c>
      <c r="K4">
        <f>VLOOKUP($J4,'[1]Table S6'!$A:$AI,2,FALSE)</f>
        <v>245.9</v>
      </c>
      <c r="L4">
        <f>VLOOKUP($J4,'[1]Table S6'!$A:$AI,3,FALSE)</f>
        <v>0.52330283038944503</v>
      </c>
      <c r="M4">
        <f>VLOOKUP($J4,'[1]Table S6'!$A:$AI,4,FALSE)</f>
        <v>0.31319999999999998</v>
      </c>
      <c r="N4" t="str">
        <f>VLOOKUP($J4,'[1]Table S6'!$A:$AI,5,FALSE)</f>
        <v>Yes</v>
      </c>
      <c r="P4">
        <f>VLOOKUP($J4,'[1]Table S6'!$A:$AI,7,FALSE)</f>
        <v>282.3</v>
      </c>
      <c r="Q4">
        <f>VLOOKUP($J4,'[1]Table S6'!$A:$AI,8,FALSE)</f>
        <v>0.60076612045115996</v>
      </c>
      <c r="R4">
        <f>VLOOKUP($J4,'[1]Table S6'!$A:$AI,9,FALSE)</f>
        <v>0.61819999999999997</v>
      </c>
      <c r="S4" t="str">
        <f>VLOOKUP($J4,'[1]Table S6'!$A:$AI,10,FALSE)</f>
        <v>Yes</v>
      </c>
      <c r="U4">
        <f>VLOOKUP($J4,'[1]Table S6'!$A:$AI,12,FALSE)</f>
        <v>304.89999999999998</v>
      </c>
      <c r="V4">
        <f>VLOOKUP($J4,'[1]Table S6'!$A:$AI,13,FALSE)</f>
        <v>0.64886145988508204</v>
      </c>
      <c r="W4">
        <f>VLOOKUP($J4,'[1]Table S6'!$A:$AI,14,FALSE)</f>
        <v>1.4930000000000001</v>
      </c>
      <c r="X4" t="str">
        <f>VLOOKUP($J4,'[1]Table S6'!$A:$AI,15,FALSE)</f>
        <v>Yes</v>
      </c>
      <c r="Z4">
        <f>VLOOKUP($J4,'[1]Table S6'!$A:$AI,17,FALSE)</f>
        <v>359.8</v>
      </c>
      <c r="AA4">
        <f>VLOOKUP($J4,'[1]Table S6'!$A:$AI,18,FALSE)</f>
        <v>0.76569482868695504</v>
      </c>
      <c r="AB4">
        <f>VLOOKUP($J4,'[1]Table S6'!$A:$AI,19,FALSE)</f>
        <v>6.5410000000000004</v>
      </c>
      <c r="AC4" t="str">
        <f>VLOOKUP($J4,'[1]Table S6'!$A:$AI,20,FALSE)</f>
        <v>No</v>
      </c>
      <c r="AE4">
        <f>VLOOKUP($J4,'[1]Table S6'!$A:$AI,22,FALSE)</f>
        <v>380.8</v>
      </c>
      <c r="AF4">
        <f>VLOOKUP($J4,'[1]Table S6'!$A:$AI,23,FALSE)</f>
        <v>0.81038518833794404</v>
      </c>
      <c r="AG4">
        <f>VLOOKUP($J4,'[1]Table S6'!$A:$AI,24,FALSE)</f>
        <v>11.32</v>
      </c>
      <c r="AH4" t="str">
        <f>VLOOKUP($J4,'[1]Table S6'!$A:$AI,25,FALSE)</f>
        <v>No</v>
      </c>
      <c r="AJ4">
        <f>VLOOKUP($J4,'[1]Table S6'!$A:$AI,27,FALSE)</f>
        <v>411.5</v>
      </c>
      <c r="AK4">
        <f>VLOOKUP($J4,'[1]Table S6'!$A:$AI,28,FALSE)</f>
        <v>0.875718237922962</v>
      </c>
      <c r="AL4">
        <f>VLOOKUP($J4,'[1]Table S6'!$A:$AI,29,FALSE)</f>
        <v>49.03</v>
      </c>
      <c r="AM4" t="str">
        <f>VLOOKUP($J4,'[1]Table S6'!$A:$AI,30,FALSE)</f>
        <v>No</v>
      </c>
      <c r="AO4">
        <f>VLOOKUP($J4,'[1]Table S6'!$A:$AI,32,FALSE)</f>
        <v>403.4</v>
      </c>
      <c r="AP4">
        <f>VLOOKUP($J4,'[1]Table S6'!$A:$AI,33,FALSE)</f>
        <v>0.85848052777186601</v>
      </c>
      <c r="AQ4">
        <f>VLOOKUP($J4,'[1]Table S6'!$A:$AI,34,FALSE)</f>
        <v>26.97</v>
      </c>
      <c r="AR4" t="str">
        <f>VLOOKUP($J4,'[1]Table S6'!$A:$AI,35,FALSE)</f>
        <v>No</v>
      </c>
      <c r="AT4" t="str">
        <f>VLOOKUP($I4,'[2]Table S5'!$A:$K,8,FALSE)</f>
        <v>Resistant</v>
      </c>
      <c r="AU4" t="str">
        <f>VLOOKUP($I4,'[2]Table S5'!$A:$K,9,FALSE)</f>
        <v>Resistant</v>
      </c>
      <c r="AV4" t="str">
        <f>VLOOKUP($I4,'[2]Table S5'!$A:$K,10,FALSE)</f>
        <v>Resistant</v>
      </c>
      <c r="AW4" t="str">
        <f>VLOOKUP($I4,'[2]Table S5'!$A:$K,11,FALSE)</f>
        <v>Resistant</v>
      </c>
    </row>
    <row r="5" spans="1:49">
      <c r="A5" s="12" t="s">
        <v>32</v>
      </c>
      <c r="B5" t="s">
        <v>33</v>
      </c>
      <c r="C5" t="s">
        <v>34</v>
      </c>
      <c r="D5" t="s">
        <v>17</v>
      </c>
      <c r="E5" t="s">
        <v>35</v>
      </c>
      <c r="F5" s="12" t="s">
        <v>36</v>
      </c>
      <c r="G5" t="s">
        <v>37</v>
      </c>
      <c r="H5" t="s">
        <v>38</v>
      </c>
      <c r="I5" t="s">
        <v>22</v>
      </c>
      <c r="J5" t="s">
        <v>39</v>
      </c>
      <c r="K5">
        <f>VLOOKUP($J5,'[1]Table S6'!$A:$AI,2,FALSE)</f>
        <v>306.10000000000002</v>
      </c>
      <c r="L5">
        <f>VLOOKUP($J5,'[1]Table S6'!$A:$AI,3,FALSE)</f>
        <v>0.65141519472228104</v>
      </c>
      <c r="M5">
        <f>VLOOKUP($J5,'[1]Table S6'!$A:$AI,4,FALSE)</f>
        <v>1.179</v>
      </c>
      <c r="N5" t="str">
        <f>VLOOKUP($J5,'[1]Table S6'!$A:$AI,5,FALSE)</f>
        <v>Yes</v>
      </c>
      <c r="P5">
        <f>VLOOKUP($J5,'[1]Table S6'!$A:$AI,7,FALSE)</f>
        <v>393.6</v>
      </c>
      <c r="Q5">
        <f>VLOOKUP($J5,'[1]Table S6'!$A:$AI,8,FALSE)</f>
        <v>0.83762502660140503</v>
      </c>
      <c r="R5">
        <f>VLOOKUP($J5,'[1]Table S6'!$A:$AI,9,FALSE)</f>
        <v>20.23</v>
      </c>
      <c r="S5" t="str">
        <f>VLOOKUP($J5,'[1]Table S6'!$A:$AI,10,FALSE)</f>
        <v>No</v>
      </c>
      <c r="U5">
        <f>VLOOKUP($J5,'[1]Table S6'!$A:$AI,12,FALSE)</f>
        <v>265</v>
      </c>
      <c r="V5">
        <f>VLOOKUP($J5,'[1]Table S6'!$A:$AI,13,FALSE)</f>
        <v>0.563949776548202</v>
      </c>
      <c r="W5">
        <f>VLOOKUP($J5,'[1]Table S6'!$A:$AI,14,FALSE)</f>
        <v>0.38069999999999998</v>
      </c>
      <c r="X5" t="str">
        <f>VLOOKUP($J5,'[1]Table S6'!$A:$AI,15,FALSE)</f>
        <v>Yes</v>
      </c>
      <c r="Z5">
        <f>VLOOKUP($J5,'[1]Table S6'!$A:$AI,17,FALSE)</f>
        <v>331.9</v>
      </c>
      <c r="AA5">
        <f>VLOOKUP($J5,'[1]Table S6'!$A:$AI,18,FALSE)</f>
        <v>0.70632049372206895</v>
      </c>
      <c r="AB5">
        <f>VLOOKUP($J5,'[1]Table S6'!$A:$AI,19,FALSE)</f>
        <v>2.403</v>
      </c>
      <c r="AC5" t="str">
        <f>VLOOKUP($J5,'[1]Table S6'!$A:$AI,20,FALSE)</f>
        <v>No</v>
      </c>
      <c r="AE5">
        <f>VLOOKUP($J5,'[1]Table S6'!$A:$AI,22,FALSE)</f>
        <v>376.5</v>
      </c>
      <c r="AF5">
        <f>VLOOKUP($J5,'[1]Table S6'!$A:$AI,23,FALSE)</f>
        <v>0.801234305171313</v>
      </c>
      <c r="AG5">
        <f>VLOOKUP($J5,'[1]Table S6'!$A:$AI,24,FALSE)</f>
        <v>8.6720000000000006</v>
      </c>
      <c r="AH5" t="str">
        <f>VLOOKUP($J5,'[1]Table S6'!$A:$AI,25,FALSE)</f>
        <v>No</v>
      </c>
      <c r="AJ5">
        <f>VLOOKUP($J5,'[1]Table S6'!$A:$AI,27,FALSE)</f>
        <v>377.3</v>
      </c>
      <c r="AK5">
        <f>VLOOKUP($J5,'[1]Table S6'!$A:$AI,28,FALSE)</f>
        <v>0.80293679506277904</v>
      </c>
      <c r="AL5">
        <f>VLOOKUP($J5,'[1]Table S6'!$A:$AI,29,FALSE)</f>
        <v>32.5</v>
      </c>
      <c r="AM5" t="str">
        <f>VLOOKUP($J5,'[1]Table S6'!$A:$AI,30,FALSE)</f>
        <v>No</v>
      </c>
      <c r="AO5">
        <f>VLOOKUP($J5,'[1]Table S6'!$A:$AI,32,FALSE)</f>
        <v>416.5</v>
      </c>
      <c r="AP5">
        <f>VLOOKUP($J5,'[1]Table S6'!$A:$AI,33,FALSE)</f>
        <v>0.88635879974462695</v>
      </c>
      <c r="AQ5">
        <f>VLOOKUP($J5,'[1]Table S6'!$A:$AI,34,FALSE)</f>
        <v>43.31</v>
      </c>
      <c r="AR5" t="str">
        <f>VLOOKUP($J5,'[1]Table S6'!$A:$AI,35,FALSE)</f>
        <v>No</v>
      </c>
      <c r="AT5" t="str">
        <f>VLOOKUP($I5,'[2]Table S5'!$A:$K,8,FALSE)</f>
        <v>Resistant</v>
      </c>
      <c r="AU5" t="str">
        <f>VLOOKUP($I5,'[2]Table S5'!$A:$K,9,FALSE)</f>
        <v>Resistant</v>
      </c>
      <c r="AV5" t="str">
        <f>VLOOKUP($I5,'[2]Table S5'!$A:$K,10,FALSE)</f>
        <v>Resistant</v>
      </c>
      <c r="AW5" t="str">
        <f>VLOOKUP($I5,'[2]Table S5'!$A:$K,11,FALSE)</f>
        <v>Resistant</v>
      </c>
    </row>
    <row r="6" spans="1:49">
      <c r="A6" s="12" t="s">
        <v>40</v>
      </c>
      <c r="B6" t="s">
        <v>41</v>
      </c>
      <c r="C6" t="s">
        <v>42</v>
      </c>
      <c r="D6" t="s">
        <v>17</v>
      </c>
      <c r="E6" t="s">
        <v>43</v>
      </c>
      <c r="F6" s="12" t="s">
        <v>44</v>
      </c>
      <c r="G6" t="s">
        <v>45</v>
      </c>
      <c r="H6" t="s">
        <v>46</v>
      </c>
      <c r="I6" t="s">
        <v>22</v>
      </c>
      <c r="J6" t="s">
        <v>47</v>
      </c>
      <c r="K6">
        <f>VLOOKUP($J6,'[1]Table S6'!$A:$AI,2,FALSE)</f>
        <v>291.89999999999998</v>
      </c>
      <c r="L6">
        <f>VLOOKUP($J6,'[1]Table S6'!$A:$AI,3,FALSE)</f>
        <v>0.62119599914875501</v>
      </c>
      <c r="M6">
        <f>VLOOKUP($J6,'[1]Table S6'!$A:$AI,4,FALSE)</f>
        <v>0.78280000000000005</v>
      </c>
      <c r="N6" t="str">
        <f>VLOOKUP($J6,'[1]Table S6'!$A:$AI,5,FALSE)</f>
        <v>Yes</v>
      </c>
      <c r="P6">
        <f>VLOOKUP($J6,'[1]Table S6'!$A:$AI,7,FALSE)</f>
        <v>365.9</v>
      </c>
      <c r="Q6">
        <f>VLOOKUP($J6,'[1]Table S6'!$A:$AI,8,FALSE)</f>
        <v>0.77867631410938498</v>
      </c>
      <c r="R6">
        <f>VLOOKUP($J6,'[1]Table S6'!$A:$AI,9,FALSE)</f>
        <v>8.5079999999999991</v>
      </c>
      <c r="S6" t="str">
        <f>VLOOKUP($J6,'[1]Table S6'!$A:$AI,10,FALSE)</f>
        <v>No</v>
      </c>
      <c r="U6">
        <f>VLOOKUP($J6,'[1]Table S6'!$A:$AI,12,FALSE)</f>
        <v>318.60000000000002</v>
      </c>
      <c r="V6">
        <f>VLOOKUP($J6,'[1]Table S6'!$A:$AI,13,FALSE)</f>
        <v>0.67801659927644198</v>
      </c>
      <c r="W6">
        <f>VLOOKUP($J6,'[1]Table S6'!$A:$AI,14,FALSE)</f>
        <v>1.6679999999999999</v>
      </c>
      <c r="X6" t="str">
        <f>VLOOKUP($J6,'[1]Table S6'!$A:$AI,15,FALSE)</f>
        <v>Yes</v>
      </c>
      <c r="Z6">
        <f>VLOOKUP($J6,'[1]Table S6'!$A:$AI,17,FALSE)</f>
        <v>353.8</v>
      </c>
      <c r="AA6">
        <f>VLOOKUP($J6,'[1]Table S6'!$A:$AI,18,FALSE)</f>
        <v>0.75292615450095801</v>
      </c>
      <c r="AB6">
        <f>VLOOKUP($J6,'[1]Table S6'!$A:$AI,19,FALSE)</f>
        <v>6.09</v>
      </c>
      <c r="AC6" t="str">
        <f>VLOOKUP($J6,'[1]Table S6'!$A:$AI,20,FALSE)</f>
        <v>No</v>
      </c>
      <c r="AE6">
        <f>VLOOKUP($J6,'[1]Table S6'!$A:$AI,22,FALSE)</f>
        <v>396.9</v>
      </c>
      <c r="AF6">
        <f>VLOOKUP($J6,'[1]Table S6'!$A:$AI,23,FALSE)</f>
        <v>0.84464779740370299</v>
      </c>
      <c r="AG6">
        <f>VLOOKUP($J6,'[1]Table S6'!$A:$AI,24,FALSE)</f>
        <v>11.4</v>
      </c>
      <c r="AH6" t="str">
        <f>VLOOKUP($J6,'[1]Table S6'!$A:$AI,25,FALSE)</f>
        <v>No</v>
      </c>
      <c r="AJ6">
        <f>VLOOKUP($J6,'[1]Table S6'!$A:$AI,27,FALSE)</f>
        <v>417.8</v>
      </c>
      <c r="AK6">
        <f>VLOOKUP($J6,'[1]Table S6'!$A:$AI,28,FALSE)</f>
        <v>0.88912534581825897</v>
      </c>
      <c r="AL6">
        <f>VLOOKUP($J6,'[1]Table S6'!$A:$AI,29,FALSE)</f>
        <v>60.77</v>
      </c>
      <c r="AM6" t="str">
        <f>VLOOKUP($J6,'[1]Table S6'!$A:$AI,30,FALSE)</f>
        <v>No</v>
      </c>
      <c r="AO6">
        <f>VLOOKUP($J6,'[1]Table S6'!$A:$AI,32,FALSE)</f>
        <v>401.9</v>
      </c>
      <c r="AP6">
        <f>VLOOKUP($J6,'[1]Table S6'!$A:$AI,33,FALSE)</f>
        <v>0.85528835922536695</v>
      </c>
      <c r="AQ6">
        <f>VLOOKUP($J6,'[1]Table S6'!$A:$AI,34,FALSE)</f>
        <v>30.71</v>
      </c>
      <c r="AR6" t="str">
        <f>VLOOKUP($J6,'[1]Table S6'!$A:$AI,35,FALSE)</f>
        <v>No</v>
      </c>
      <c r="AT6" t="str">
        <f>VLOOKUP($I6,'[2]Table S5'!$A:$K,8,FALSE)</f>
        <v>Resistant</v>
      </c>
      <c r="AU6" t="str">
        <f>VLOOKUP($I6,'[2]Table S5'!$A:$K,9,FALSE)</f>
        <v>Resistant</v>
      </c>
      <c r="AV6" t="str">
        <f>VLOOKUP($I6,'[2]Table S5'!$A:$K,10,FALSE)</f>
        <v>Resistant</v>
      </c>
      <c r="AW6" t="str">
        <f>VLOOKUP($I6,'[2]Table S5'!$A:$K,11,FALSE)</f>
        <v>Resistant</v>
      </c>
    </row>
    <row r="7" spans="1:49">
      <c r="A7" s="12" t="s">
        <v>48</v>
      </c>
      <c r="B7" t="s">
        <v>49</v>
      </c>
      <c r="C7" t="s">
        <v>50</v>
      </c>
      <c r="D7" t="s">
        <v>17</v>
      </c>
      <c r="E7" t="s">
        <v>51</v>
      </c>
      <c r="F7" s="12" t="s">
        <v>52</v>
      </c>
      <c r="G7" t="s">
        <v>53</v>
      </c>
      <c r="H7" t="s">
        <v>54</v>
      </c>
      <c r="I7" t="s">
        <v>22</v>
      </c>
      <c r="J7" t="s">
        <v>23</v>
      </c>
      <c r="K7">
        <f>VLOOKUP($J7,'[1]Table S6'!$A:$AI,2,FALSE)</f>
        <v>306.5</v>
      </c>
      <c r="L7">
        <f>VLOOKUP($J7,'[1]Table S6'!$A:$AI,3,FALSE)</f>
        <v>0.65226643966801401</v>
      </c>
      <c r="M7">
        <f>VLOOKUP($J7,'[1]Table S6'!$A:$AI,4,FALSE)</f>
        <v>1.093</v>
      </c>
      <c r="N7" t="str">
        <f>VLOOKUP($J7,'[1]Table S6'!$A:$AI,5,FALSE)</f>
        <v>Yes</v>
      </c>
      <c r="P7">
        <f>VLOOKUP($J7,'[1]Table S6'!$A:$AI,7,FALSE)</f>
        <v>316.89999999999998</v>
      </c>
      <c r="Q7">
        <f>VLOOKUP($J7,'[1]Table S6'!$A:$AI,8,FALSE)</f>
        <v>0.67439880825707599</v>
      </c>
      <c r="R7">
        <f>VLOOKUP($J7,'[1]Table S6'!$A:$AI,9,FALSE)</f>
        <v>1.17</v>
      </c>
      <c r="S7" t="str">
        <f>VLOOKUP($J7,'[1]Table S6'!$A:$AI,10,FALSE)</f>
        <v>Yes</v>
      </c>
      <c r="U7">
        <f>VLOOKUP($J7,'[1]Table S6'!$A:$AI,12,FALSE)</f>
        <v>359.1</v>
      </c>
      <c r="V7">
        <f>VLOOKUP($J7,'[1]Table S6'!$A:$AI,13,FALSE)</f>
        <v>0.76420515003192202</v>
      </c>
      <c r="W7">
        <f>VLOOKUP($J7,'[1]Table S6'!$A:$AI,14,FALSE)</f>
        <v>6.6349999999999998</v>
      </c>
      <c r="X7" t="str">
        <f>VLOOKUP($J7,'[1]Table S6'!$A:$AI,15,FALSE)</f>
        <v>No</v>
      </c>
      <c r="Z7">
        <f>VLOOKUP($J7,'[1]Table S6'!$A:$AI,17,FALSE)</f>
        <v>388.3</v>
      </c>
      <c r="AA7">
        <f>VLOOKUP($J7,'[1]Table S6'!$A:$AI,18,FALSE)</f>
        <v>0.82634603107044102</v>
      </c>
      <c r="AB7">
        <f>VLOOKUP($J7,'[1]Table S6'!$A:$AI,19,FALSE)</f>
        <v>11.69</v>
      </c>
      <c r="AC7" t="str">
        <f>VLOOKUP($J7,'[1]Table S6'!$A:$AI,20,FALSE)</f>
        <v>No</v>
      </c>
      <c r="AE7">
        <f>VLOOKUP($J7,'[1]Table S6'!$A:$AI,22,FALSE)</f>
        <v>378.1</v>
      </c>
      <c r="AF7">
        <f>VLOOKUP($J7,'[1]Table S6'!$A:$AI,23,FALSE)</f>
        <v>0.80463928495424597</v>
      </c>
      <c r="AG7">
        <f>VLOOKUP($J7,'[1]Table S6'!$A:$AI,24,FALSE)</f>
        <v>8.8510000000000009</v>
      </c>
      <c r="AH7" t="str">
        <f>VLOOKUP($J7,'[1]Table S6'!$A:$AI,25,FALSE)</f>
        <v>No</v>
      </c>
      <c r="AJ7">
        <f>VLOOKUP($J7,'[1]Table S6'!$A:$AI,27,FALSE)</f>
        <v>424.4</v>
      </c>
      <c r="AK7">
        <f>VLOOKUP($J7,'[1]Table S6'!$A:$AI,28,FALSE)</f>
        <v>0.90317088742285601</v>
      </c>
      <c r="AL7">
        <f>VLOOKUP($J7,'[1]Table S6'!$A:$AI,29,FALSE)</f>
        <v>84.01</v>
      </c>
      <c r="AM7" t="str">
        <f>VLOOKUP($J7,'[1]Table S6'!$A:$AI,30,FALSE)</f>
        <v>No</v>
      </c>
      <c r="AO7">
        <f>VLOOKUP($J7,'[1]Table S6'!$A:$AI,32,FALSE)</f>
        <v>408</v>
      </c>
      <c r="AP7">
        <f>VLOOKUP($J7,'[1]Table S6'!$A:$AI,33,FALSE)</f>
        <v>0.868269844647797</v>
      </c>
      <c r="AQ7">
        <f>VLOOKUP($J7,'[1]Table S6'!$A:$AI,34,FALSE)</f>
        <v>33.61</v>
      </c>
      <c r="AR7" t="str">
        <f>VLOOKUP($J7,'[1]Table S6'!$A:$AI,35,FALSE)</f>
        <v>No</v>
      </c>
      <c r="AT7" t="str">
        <f>VLOOKUP($I7,'[2]Table S5'!$A:$K,8,FALSE)</f>
        <v>Resistant</v>
      </c>
      <c r="AU7" t="str">
        <f>VLOOKUP($I7,'[2]Table S5'!$A:$K,9,FALSE)</f>
        <v>Resistant</v>
      </c>
      <c r="AV7" t="str">
        <f>VLOOKUP($I7,'[2]Table S5'!$A:$K,10,FALSE)</f>
        <v>Resistant</v>
      </c>
      <c r="AW7" t="str">
        <f>VLOOKUP($I7,'[2]Table S5'!$A:$K,11,FALSE)</f>
        <v>Resistant</v>
      </c>
    </row>
    <row r="8" spans="1:49">
      <c r="A8" s="12" t="s">
        <v>55</v>
      </c>
      <c r="B8" t="s">
        <v>56</v>
      </c>
      <c r="C8" t="s">
        <v>57</v>
      </c>
      <c r="D8" t="s">
        <v>17</v>
      </c>
      <c r="E8" t="s">
        <v>58</v>
      </c>
      <c r="F8" s="12" t="s">
        <v>59</v>
      </c>
      <c r="G8" t="s">
        <v>60</v>
      </c>
      <c r="H8" t="s">
        <v>61</v>
      </c>
      <c r="I8" t="s">
        <v>22</v>
      </c>
      <c r="J8" t="s">
        <v>31</v>
      </c>
      <c r="K8">
        <f>VLOOKUP($J8,'[1]Table S6'!$A:$AI,2,FALSE)</f>
        <v>245.9</v>
      </c>
      <c r="L8">
        <f>VLOOKUP($J8,'[1]Table S6'!$A:$AI,3,FALSE)</f>
        <v>0.52330283038944503</v>
      </c>
      <c r="M8">
        <f>VLOOKUP($J8,'[1]Table S6'!$A:$AI,4,FALSE)</f>
        <v>0.31319999999999998</v>
      </c>
      <c r="N8" t="str">
        <f>VLOOKUP($J8,'[1]Table S6'!$A:$AI,5,FALSE)</f>
        <v>Yes</v>
      </c>
      <c r="P8">
        <f>VLOOKUP($J8,'[1]Table S6'!$A:$AI,7,FALSE)</f>
        <v>282.3</v>
      </c>
      <c r="Q8">
        <f>VLOOKUP($J8,'[1]Table S6'!$A:$AI,8,FALSE)</f>
        <v>0.60076612045115996</v>
      </c>
      <c r="R8">
        <f>VLOOKUP($J8,'[1]Table S6'!$A:$AI,9,FALSE)</f>
        <v>0.61819999999999997</v>
      </c>
      <c r="S8" t="str">
        <f>VLOOKUP($J8,'[1]Table S6'!$A:$AI,10,FALSE)</f>
        <v>Yes</v>
      </c>
      <c r="U8">
        <f>VLOOKUP($J8,'[1]Table S6'!$A:$AI,12,FALSE)</f>
        <v>304.89999999999998</v>
      </c>
      <c r="V8">
        <f>VLOOKUP($J8,'[1]Table S6'!$A:$AI,13,FALSE)</f>
        <v>0.64886145988508204</v>
      </c>
      <c r="W8">
        <f>VLOOKUP($J8,'[1]Table S6'!$A:$AI,14,FALSE)</f>
        <v>1.4930000000000001</v>
      </c>
      <c r="X8" t="str">
        <f>VLOOKUP($J8,'[1]Table S6'!$A:$AI,15,FALSE)</f>
        <v>Yes</v>
      </c>
      <c r="Z8">
        <f>VLOOKUP($J8,'[1]Table S6'!$A:$AI,17,FALSE)</f>
        <v>359.8</v>
      </c>
      <c r="AA8">
        <f>VLOOKUP($J8,'[1]Table S6'!$A:$AI,18,FALSE)</f>
        <v>0.76569482868695504</v>
      </c>
      <c r="AB8">
        <f>VLOOKUP($J8,'[1]Table S6'!$A:$AI,19,FALSE)</f>
        <v>6.5410000000000004</v>
      </c>
      <c r="AC8" t="str">
        <f>VLOOKUP($J8,'[1]Table S6'!$A:$AI,20,FALSE)</f>
        <v>No</v>
      </c>
      <c r="AE8">
        <f>VLOOKUP($J8,'[1]Table S6'!$A:$AI,22,FALSE)</f>
        <v>380.8</v>
      </c>
      <c r="AF8">
        <f>VLOOKUP($J8,'[1]Table S6'!$A:$AI,23,FALSE)</f>
        <v>0.81038518833794404</v>
      </c>
      <c r="AG8">
        <f>VLOOKUP($J8,'[1]Table S6'!$A:$AI,24,FALSE)</f>
        <v>11.32</v>
      </c>
      <c r="AH8" t="str">
        <f>VLOOKUP($J8,'[1]Table S6'!$A:$AI,25,FALSE)</f>
        <v>No</v>
      </c>
      <c r="AJ8">
        <f>VLOOKUP($J8,'[1]Table S6'!$A:$AI,27,FALSE)</f>
        <v>411.5</v>
      </c>
      <c r="AK8">
        <f>VLOOKUP($J8,'[1]Table S6'!$A:$AI,28,FALSE)</f>
        <v>0.875718237922962</v>
      </c>
      <c r="AL8">
        <f>VLOOKUP($J8,'[1]Table S6'!$A:$AI,29,FALSE)</f>
        <v>49.03</v>
      </c>
      <c r="AM8" t="str">
        <f>VLOOKUP($J8,'[1]Table S6'!$A:$AI,30,FALSE)</f>
        <v>No</v>
      </c>
      <c r="AO8">
        <f>VLOOKUP($J8,'[1]Table S6'!$A:$AI,32,FALSE)</f>
        <v>403.4</v>
      </c>
      <c r="AP8">
        <f>VLOOKUP($J8,'[1]Table S6'!$A:$AI,33,FALSE)</f>
        <v>0.85848052777186601</v>
      </c>
      <c r="AQ8">
        <f>VLOOKUP($J8,'[1]Table S6'!$A:$AI,34,FALSE)</f>
        <v>26.97</v>
      </c>
      <c r="AR8" t="str">
        <f>VLOOKUP($J8,'[1]Table S6'!$A:$AI,35,FALSE)</f>
        <v>No</v>
      </c>
      <c r="AT8" t="str">
        <f>VLOOKUP($I8,'[2]Table S5'!$A:$K,8,FALSE)</f>
        <v>Resistant</v>
      </c>
      <c r="AU8" t="str">
        <f>VLOOKUP($I8,'[2]Table S5'!$A:$K,9,FALSE)</f>
        <v>Resistant</v>
      </c>
      <c r="AV8" t="str">
        <f>VLOOKUP($I8,'[2]Table S5'!$A:$K,10,FALSE)</f>
        <v>Resistant</v>
      </c>
      <c r="AW8" t="str">
        <f>VLOOKUP($I8,'[2]Table S5'!$A:$K,11,FALSE)</f>
        <v>Resistant</v>
      </c>
    </row>
    <row r="9" spans="1:49">
      <c r="A9" s="12" t="s">
        <v>62</v>
      </c>
      <c r="B9" t="s">
        <v>63</v>
      </c>
      <c r="C9" t="s">
        <v>64</v>
      </c>
      <c r="D9" t="s">
        <v>17</v>
      </c>
      <c r="E9" t="s">
        <v>65</v>
      </c>
      <c r="F9" s="12" t="s">
        <v>66</v>
      </c>
      <c r="G9" t="s">
        <v>67</v>
      </c>
      <c r="H9" t="s">
        <v>68</v>
      </c>
      <c r="I9" t="s">
        <v>22</v>
      </c>
      <c r="J9" t="s">
        <v>22</v>
      </c>
      <c r="K9" t="e">
        <f>VLOOKUP($J9,'[1]Table S6'!$A:$AI,2,FALSE)</f>
        <v>#N/A</v>
      </c>
      <c r="L9" t="e">
        <f>VLOOKUP($J9,'[1]Table S6'!$A:$AI,3,FALSE)</f>
        <v>#N/A</v>
      </c>
      <c r="M9" t="e">
        <f>VLOOKUP($J9,'[1]Table S6'!$A:$AI,4,FALSE)</f>
        <v>#N/A</v>
      </c>
      <c r="N9" t="e">
        <f>VLOOKUP($J9,'[1]Table S6'!$A:$AI,5,FALSE)</f>
        <v>#N/A</v>
      </c>
      <c r="P9" t="e">
        <f>VLOOKUP($J9,'[1]Table S6'!$A:$AI,7,FALSE)</f>
        <v>#N/A</v>
      </c>
      <c r="Q9" t="e">
        <f>VLOOKUP($J9,'[1]Table S6'!$A:$AI,8,FALSE)</f>
        <v>#N/A</v>
      </c>
      <c r="R9" t="e">
        <f>VLOOKUP($J9,'[1]Table S6'!$A:$AI,9,FALSE)</f>
        <v>#N/A</v>
      </c>
      <c r="S9" t="e">
        <f>VLOOKUP($J9,'[1]Table S6'!$A:$AI,10,FALSE)</f>
        <v>#N/A</v>
      </c>
      <c r="U9" t="e">
        <f>VLOOKUP($J9,'[1]Table S6'!$A:$AI,12,FALSE)</f>
        <v>#N/A</v>
      </c>
      <c r="V9" t="e">
        <f>VLOOKUP($J9,'[1]Table S6'!$A:$AI,13,FALSE)</f>
        <v>#N/A</v>
      </c>
      <c r="W9" t="e">
        <f>VLOOKUP($J9,'[1]Table S6'!$A:$AI,14,FALSE)</f>
        <v>#N/A</v>
      </c>
      <c r="X9" t="e">
        <f>VLOOKUP($J9,'[1]Table S6'!$A:$AI,15,FALSE)</f>
        <v>#N/A</v>
      </c>
      <c r="Z9" t="e">
        <f>VLOOKUP($J9,'[1]Table S6'!$A:$AI,17,FALSE)</f>
        <v>#N/A</v>
      </c>
      <c r="AA9" t="e">
        <f>VLOOKUP($J9,'[1]Table S6'!$A:$AI,18,FALSE)</f>
        <v>#N/A</v>
      </c>
      <c r="AB9" t="e">
        <f>VLOOKUP($J9,'[1]Table S6'!$A:$AI,19,FALSE)</f>
        <v>#N/A</v>
      </c>
      <c r="AC9" t="e">
        <f>VLOOKUP($J9,'[1]Table S6'!$A:$AI,20,FALSE)</f>
        <v>#N/A</v>
      </c>
      <c r="AE9" t="e">
        <f>VLOOKUP($J9,'[1]Table S6'!$A:$AI,22,FALSE)</f>
        <v>#N/A</v>
      </c>
      <c r="AF9" t="e">
        <f>VLOOKUP($J9,'[1]Table S6'!$A:$AI,23,FALSE)</f>
        <v>#N/A</v>
      </c>
      <c r="AG9" t="e">
        <f>VLOOKUP($J9,'[1]Table S6'!$A:$AI,24,FALSE)</f>
        <v>#N/A</v>
      </c>
      <c r="AH9" t="e">
        <f>VLOOKUP($J9,'[1]Table S6'!$A:$AI,25,FALSE)</f>
        <v>#N/A</v>
      </c>
      <c r="AJ9" t="e">
        <f>VLOOKUP($J9,'[1]Table S6'!$A:$AI,27,FALSE)</f>
        <v>#N/A</v>
      </c>
      <c r="AK9" t="e">
        <f>VLOOKUP($J9,'[1]Table S6'!$A:$AI,28,FALSE)</f>
        <v>#N/A</v>
      </c>
      <c r="AL9" t="e">
        <f>VLOOKUP($J9,'[1]Table S6'!$A:$AI,29,FALSE)</f>
        <v>#N/A</v>
      </c>
      <c r="AM9" t="e">
        <f>VLOOKUP($J9,'[1]Table S6'!$A:$AI,30,FALSE)</f>
        <v>#N/A</v>
      </c>
      <c r="AO9" t="e">
        <f>VLOOKUP($J9,'[1]Table S6'!$A:$AI,32,FALSE)</f>
        <v>#N/A</v>
      </c>
      <c r="AP9" t="e">
        <f>VLOOKUP($J9,'[1]Table S6'!$A:$AI,33,FALSE)</f>
        <v>#N/A</v>
      </c>
      <c r="AQ9" t="e">
        <f>VLOOKUP($J9,'[1]Table S6'!$A:$AI,34,FALSE)</f>
        <v>#N/A</v>
      </c>
      <c r="AR9" t="e">
        <f>VLOOKUP($J9,'[1]Table S6'!$A:$AI,35,FALSE)</f>
        <v>#N/A</v>
      </c>
      <c r="AT9" t="str">
        <f>VLOOKUP($I9,'[2]Table S5'!$A:$K,8,FALSE)</f>
        <v>Resistant</v>
      </c>
      <c r="AU9" t="str">
        <f>VLOOKUP($I9,'[2]Table S5'!$A:$K,9,FALSE)</f>
        <v>Resistant</v>
      </c>
      <c r="AV9" t="str">
        <f>VLOOKUP($I9,'[2]Table S5'!$A:$K,10,FALSE)</f>
        <v>Resistant</v>
      </c>
      <c r="AW9" t="str">
        <f>VLOOKUP($I9,'[2]Table S5'!$A:$K,11,FALSE)</f>
        <v>Resistant</v>
      </c>
    </row>
    <row r="10" spans="1:49">
      <c r="A10" s="12" t="s">
        <v>69</v>
      </c>
      <c r="B10" t="s">
        <v>70</v>
      </c>
      <c r="C10" t="s">
        <v>71</v>
      </c>
      <c r="D10" t="s">
        <v>17</v>
      </c>
      <c r="E10" t="s">
        <v>72</v>
      </c>
      <c r="F10" s="12" t="s">
        <v>73</v>
      </c>
      <c r="G10" t="s">
        <v>74</v>
      </c>
      <c r="H10" t="s">
        <v>75</v>
      </c>
      <c r="I10" t="s">
        <v>76</v>
      </c>
      <c r="J10" t="s">
        <v>77</v>
      </c>
      <c r="K10">
        <f>VLOOKUP($J10,'[1]Table S6'!$A:$AI,2,FALSE)</f>
        <v>294.7</v>
      </c>
      <c r="L10">
        <f>VLOOKUP($J10,'[1]Table S6'!$A:$AI,3,FALSE)</f>
        <v>0.62715471376888698</v>
      </c>
      <c r="M10">
        <f>VLOOKUP($J10,'[1]Table S6'!$A:$AI,4,FALSE)</f>
        <v>0.83079999999999998</v>
      </c>
      <c r="N10" t="str">
        <f>VLOOKUP($J10,'[1]Table S6'!$A:$AI,5,FALSE)</f>
        <v>Yes</v>
      </c>
      <c r="P10">
        <f>VLOOKUP($J10,'[1]Table S6'!$A:$AI,7,FALSE)</f>
        <v>350.3</v>
      </c>
      <c r="Q10">
        <f>VLOOKUP($J10,'[1]Table S6'!$A:$AI,8,FALSE)</f>
        <v>0.74547776122579301</v>
      </c>
      <c r="R10">
        <f>VLOOKUP($J10,'[1]Table S6'!$A:$AI,9,FALSE)</f>
        <v>5.3730000000000002</v>
      </c>
      <c r="S10" t="str">
        <f>VLOOKUP($J10,'[1]Table S6'!$A:$AI,10,FALSE)</f>
        <v>No</v>
      </c>
      <c r="U10">
        <f>VLOOKUP($J10,'[1]Table S6'!$A:$AI,12,FALSE)</f>
        <v>357.6</v>
      </c>
      <c r="V10">
        <f>VLOOKUP($J10,'[1]Table S6'!$A:$AI,13,FALSE)</f>
        <v>0.76101298148542296</v>
      </c>
      <c r="W10">
        <f>VLOOKUP($J10,'[1]Table S6'!$A:$AI,14,FALSE)</f>
        <v>6.41</v>
      </c>
      <c r="X10" t="str">
        <f>VLOOKUP($J10,'[1]Table S6'!$A:$AI,15,FALSE)</f>
        <v>No</v>
      </c>
      <c r="Z10">
        <f>VLOOKUP($J10,'[1]Table S6'!$A:$AI,17,FALSE)</f>
        <v>364</v>
      </c>
      <c r="AA10">
        <f>VLOOKUP($J10,'[1]Table S6'!$A:$AI,18,FALSE)</f>
        <v>0.77463290061715295</v>
      </c>
      <c r="AB10">
        <f>VLOOKUP($J10,'[1]Table S6'!$A:$AI,19,FALSE)</f>
        <v>8.0939999999999994</v>
      </c>
      <c r="AC10" t="str">
        <f>VLOOKUP($J10,'[1]Table S6'!$A:$AI,20,FALSE)</f>
        <v>No</v>
      </c>
      <c r="AE10">
        <f>VLOOKUP($J10,'[1]Table S6'!$A:$AI,22,FALSE)</f>
        <v>338.8</v>
      </c>
      <c r="AF10">
        <f>VLOOKUP($J10,'[1]Table S6'!$A:$AI,23,FALSE)</f>
        <v>0.72100446903596505</v>
      </c>
      <c r="AG10">
        <f>VLOOKUP($J10,'[1]Table S6'!$A:$AI,24,FALSE)</f>
        <v>3.073</v>
      </c>
      <c r="AH10" t="str">
        <f>VLOOKUP($J10,'[1]Table S6'!$A:$AI,25,FALSE)</f>
        <v>No</v>
      </c>
      <c r="AJ10">
        <f>VLOOKUP($J10,'[1]Table S6'!$A:$AI,27,FALSE)</f>
        <v>390.5</v>
      </c>
      <c r="AK10">
        <f>VLOOKUP($J10,'[1]Table S6'!$A:$AI,28,FALSE)</f>
        <v>0.831027878271973</v>
      </c>
      <c r="AL10">
        <f>VLOOKUP($J10,'[1]Table S6'!$A:$AI,29,FALSE)</f>
        <v>43.24</v>
      </c>
      <c r="AM10" t="str">
        <f>VLOOKUP($J10,'[1]Table S6'!$A:$AI,30,FALSE)</f>
        <v>No</v>
      </c>
      <c r="AO10">
        <f>VLOOKUP($J10,'[1]Table S6'!$A:$AI,32,FALSE)</f>
        <v>370.9</v>
      </c>
      <c r="AP10">
        <f>VLOOKUP($J10,'[1]Table S6'!$A:$AI,33,FALSE)</f>
        <v>0.78931687593104904</v>
      </c>
      <c r="AQ10">
        <f>VLOOKUP($J10,'[1]Table S6'!$A:$AI,34,FALSE)</f>
        <v>15.84</v>
      </c>
      <c r="AR10" t="str">
        <f>VLOOKUP($J10,'[1]Table S6'!$A:$AI,35,FALSE)</f>
        <v>No</v>
      </c>
      <c r="AT10" t="e">
        <f>VLOOKUP($I10,'[2]Table S5'!$A:$K,8,FALSE)</f>
        <v>#N/A</v>
      </c>
      <c r="AU10" t="e">
        <f>VLOOKUP($I10,'[2]Table S5'!$A:$K,9,FALSE)</f>
        <v>#N/A</v>
      </c>
      <c r="AV10" t="e">
        <f>VLOOKUP($I10,'[2]Table S5'!$A:$K,10,FALSE)</f>
        <v>#N/A</v>
      </c>
      <c r="AW10" t="e">
        <f>VLOOKUP($I10,'[2]Table S5'!$A:$K,11,FALSE)</f>
        <v>#N/A</v>
      </c>
    </row>
    <row r="11" spans="1:49">
      <c r="A11" s="12" t="s">
        <v>78</v>
      </c>
      <c r="B11" t="s">
        <v>79</v>
      </c>
      <c r="C11" t="s">
        <v>80</v>
      </c>
      <c r="D11" t="s">
        <v>17</v>
      </c>
      <c r="E11" t="s">
        <v>81</v>
      </c>
      <c r="F11" s="12" t="s">
        <v>82</v>
      </c>
      <c r="G11" t="s">
        <v>83</v>
      </c>
      <c r="H11" t="s">
        <v>84</v>
      </c>
      <c r="I11" t="s">
        <v>76</v>
      </c>
      <c r="J11" t="s">
        <v>77</v>
      </c>
      <c r="K11">
        <f>VLOOKUP($J11,'[1]Table S6'!$A:$AI,2,FALSE)</f>
        <v>294.7</v>
      </c>
      <c r="L11">
        <f>VLOOKUP($J11,'[1]Table S6'!$A:$AI,3,FALSE)</f>
        <v>0.62715471376888698</v>
      </c>
      <c r="M11">
        <f>VLOOKUP($J11,'[1]Table S6'!$A:$AI,4,FALSE)</f>
        <v>0.83079999999999998</v>
      </c>
      <c r="N11" t="str">
        <f>VLOOKUP($J11,'[1]Table S6'!$A:$AI,5,FALSE)</f>
        <v>Yes</v>
      </c>
      <c r="P11">
        <f>VLOOKUP($J11,'[1]Table S6'!$A:$AI,7,FALSE)</f>
        <v>350.3</v>
      </c>
      <c r="Q11">
        <f>VLOOKUP($J11,'[1]Table S6'!$A:$AI,8,FALSE)</f>
        <v>0.74547776122579301</v>
      </c>
      <c r="R11">
        <f>VLOOKUP($J11,'[1]Table S6'!$A:$AI,9,FALSE)</f>
        <v>5.3730000000000002</v>
      </c>
      <c r="S11" t="str">
        <f>VLOOKUP($J11,'[1]Table S6'!$A:$AI,10,FALSE)</f>
        <v>No</v>
      </c>
      <c r="U11">
        <f>VLOOKUP($J11,'[1]Table S6'!$A:$AI,12,FALSE)</f>
        <v>357.6</v>
      </c>
      <c r="V11">
        <f>VLOOKUP($J11,'[1]Table S6'!$A:$AI,13,FALSE)</f>
        <v>0.76101298148542296</v>
      </c>
      <c r="W11">
        <f>VLOOKUP($J11,'[1]Table S6'!$A:$AI,14,FALSE)</f>
        <v>6.41</v>
      </c>
      <c r="X11" t="str">
        <f>VLOOKUP($J11,'[1]Table S6'!$A:$AI,15,FALSE)</f>
        <v>No</v>
      </c>
      <c r="Z11">
        <f>VLOOKUP($J11,'[1]Table S6'!$A:$AI,17,FALSE)</f>
        <v>364</v>
      </c>
      <c r="AA11">
        <f>VLOOKUP($J11,'[1]Table S6'!$A:$AI,18,FALSE)</f>
        <v>0.77463290061715295</v>
      </c>
      <c r="AB11">
        <f>VLOOKUP($J11,'[1]Table S6'!$A:$AI,19,FALSE)</f>
        <v>8.0939999999999994</v>
      </c>
      <c r="AC11" t="str">
        <f>VLOOKUP($J11,'[1]Table S6'!$A:$AI,20,FALSE)</f>
        <v>No</v>
      </c>
      <c r="AE11">
        <f>VLOOKUP($J11,'[1]Table S6'!$A:$AI,22,FALSE)</f>
        <v>338.8</v>
      </c>
      <c r="AF11">
        <f>VLOOKUP($J11,'[1]Table S6'!$A:$AI,23,FALSE)</f>
        <v>0.72100446903596505</v>
      </c>
      <c r="AG11">
        <f>VLOOKUP($J11,'[1]Table S6'!$A:$AI,24,FALSE)</f>
        <v>3.073</v>
      </c>
      <c r="AH11" t="str">
        <f>VLOOKUP($J11,'[1]Table S6'!$A:$AI,25,FALSE)</f>
        <v>No</v>
      </c>
      <c r="AJ11">
        <f>VLOOKUP($J11,'[1]Table S6'!$A:$AI,27,FALSE)</f>
        <v>390.5</v>
      </c>
      <c r="AK11">
        <f>VLOOKUP($J11,'[1]Table S6'!$A:$AI,28,FALSE)</f>
        <v>0.831027878271973</v>
      </c>
      <c r="AL11">
        <f>VLOOKUP($J11,'[1]Table S6'!$A:$AI,29,FALSE)</f>
        <v>43.24</v>
      </c>
      <c r="AM11" t="str">
        <f>VLOOKUP($J11,'[1]Table S6'!$A:$AI,30,FALSE)</f>
        <v>No</v>
      </c>
      <c r="AO11">
        <f>VLOOKUP($J11,'[1]Table S6'!$A:$AI,32,FALSE)</f>
        <v>370.9</v>
      </c>
      <c r="AP11">
        <f>VLOOKUP($J11,'[1]Table S6'!$A:$AI,33,FALSE)</f>
        <v>0.78931687593104904</v>
      </c>
      <c r="AQ11">
        <f>VLOOKUP($J11,'[1]Table S6'!$A:$AI,34,FALSE)</f>
        <v>15.84</v>
      </c>
      <c r="AR11" t="str">
        <f>VLOOKUP($J11,'[1]Table S6'!$A:$AI,35,FALSE)</f>
        <v>No</v>
      </c>
      <c r="AT11" t="e">
        <f>VLOOKUP($I11,'[2]Table S5'!$A:$K,8,FALSE)</f>
        <v>#N/A</v>
      </c>
      <c r="AU11" t="e">
        <f>VLOOKUP($I11,'[2]Table S5'!$A:$K,9,FALSE)</f>
        <v>#N/A</v>
      </c>
      <c r="AV11" t="e">
        <f>VLOOKUP($I11,'[2]Table S5'!$A:$K,10,FALSE)</f>
        <v>#N/A</v>
      </c>
      <c r="AW11" t="e">
        <f>VLOOKUP($I11,'[2]Table S5'!$A:$K,11,FALSE)</f>
        <v>#N/A</v>
      </c>
    </row>
    <row r="12" spans="1:49">
      <c r="A12" s="12" t="s">
        <v>85</v>
      </c>
      <c r="B12" t="s">
        <v>86</v>
      </c>
      <c r="C12" t="s">
        <v>87</v>
      </c>
      <c r="D12" t="s">
        <v>17</v>
      </c>
      <c r="E12" t="s">
        <v>88</v>
      </c>
      <c r="F12" s="12" t="s">
        <v>89</v>
      </c>
      <c r="G12" t="s">
        <v>90</v>
      </c>
      <c r="H12" t="s">
        <v>91</v>
      </c>
      <c r="I12" t="s">
        <v>76</v>
      </c>
      <c r="J12" t="s">
        <v>76</v>
      </c>
      <c r="K12" t="e">
        <f>VLOOKUP($J12,'[1]Table S6'!$A:$AI,2,FALSE)</f>
        <v>#N/A</v>
      </c>
      <c r="L12" t="e">
        <f>VLOOKUP($J12,'[1]Table S6'!$A:$AI,3,FALSE)</f>
        <v>#N/A</v>
      </c>
      <c r="M12" t="e">
        <f>VLOOKUP($J12,'[1]Table S6'!$A:$AI,4,FALSE)</f>
        <v>#N/A</v>
      </c>
      <c r="N12" t="e">
        <f>VLOOKUP($J12,'[1]Table S6'!$A:$AI,5,FALSE)</f>
        <v>#N/A</v>
      </c>
      <c r="P12" t="e">
        <f>VLOOKUP($J12,'[1]Table S6'!$A:$AI,7,FALSE)</f>
        <v>#N/A</v>
      </c>
      <c r="Q12" t="e">
        <f>VLOOKUP($J12,'[1]Table S6'!$A:$AI,8,FALSE)</f>
        <v>#N/A</v>
      </c>
      <c r="R12" t="e">
        <f>VLOOKUP($J12,'[1]Table S6'!$A:$AI,9,FALSE)</f>
        <v>#N/A</v>
      </c>
      <c r="S12" t="e">
        <f>VLOOKUP($J12,'[1]Table S6'!$A:$AI,10,FALSE)</f>
        <v>#N/A</v>
      </c>
      <c r="U12" t="e">
        <f>VLOOKUP($J12,'[1]Table S6'!$A:$AI,12,FALSE)</f>
        <v>#N/A</v>
      </c>
      <c r="V12" t="e">
        <f>VLOOKUP($J12,'[1]Table S6'!$A:$AI,13,FALSE)</f>
        <v>#N/A</v>
      </c>
      <c r="W12" t="e">
        <f>VLOOKUP($J12,'[1]Table S6'!$A:$AI,14,FALSE)</f>
        <v>#N/A</v>
      </c>
      <c r="X12" t="e">
        <f>VLOOKUP($J12,'[1]Table S6'!$A:$AI,15,FALSE)</f>
        <v>#N/A</v>
      </c>
      <c r="Z12" t="e">
        <f>VLOOKUP($J12,'[1]Table S6'!$A:$AI,17,FALSE)</f>
        <v>#N/A</v>
      </c>
      <c r="AA12" t="e">
        <f>VLOOKUP($J12,'[1]Table S6'!$A:$AI,18,FALSE)</f>
        <v>#N/A</v>
      </c>
      <c r="AB12" t="e">
        <f>VLOOKUP($J12,'[1]Table S6'!$A:$AI,19,FALSE)</f>
        <v>#N/A</v>
      </c>
      <c r="AC12" t="e">
        <f>VLOOKUP($J12,'[1]Table S6'!$A:$AI,20,FALSE)</f>
        <v>#N/A</v>
      </c>
      <c r="AE12" t="e">
        <f>VLOOKUP($J12,'[1]Table S6'!$A:$AI,22,FALSE)</f>
        <v>#N/A</v>
      </c>
      <c r="AF12" t="e">
        <f>VLOOKUP($J12,'[1]Table S6'!$A:$AI,23,FALSE)</f>
        <v>#N/A</v>
      </c>
      <c r="AG12" t="e">
        <f>VLOOKUP($J12,'[1]Table S6'!$A:$AI,24,FALSE)</f>
        <v>#N/A</v>
      </c>
      <c r="AH12" t="e">
        <f>VLOOKUP($J12,'[1]Table S6'!$A:$AI,25,FALSE)</f>
        <v>#N/A</v>
      </c>
      <c r="AJ12" t="e">
        <f>VLOOKUP($J12,'[1]Table S6'!$A:$AI,27,FALSE)</f>
        <v>#N/A</v>
      </c>
      <c r="AK12" t="e">
        <f>VLOOKUP($J12,'[1]Table S6'!$A:$AI,28,FALSE)</f>
        <v>#N/A</v>
      </c>
      <c r="AL12" t="e">
        <f>VLOOKUP($J12,'[1]Table S6'!$A:$AI,29,FALSE)</f>
        <v>#N/A</v>
      </c>
      <c r="AM12" t="e">
        <f>VLOOKUP($J12,'[1]Table S6'!$A:$AI,30,FALSE)</f>
        <v>#N/A</v>
      </c>
      <c r="AO12" t="e">
        <f>VLOOKUP($J12,'[1]Table S6'!$A:$AI,32,FALSE)</f>
        <v>#N/A</v>
      </c>
      <c r="AP12" t="e">
        <f>VLOOKUP($J12,'[1]Table S6'!$A:$AI,33,FALSE)</f>
        <v>#N/A</v>
      </c>
      <c r="AQ12" t="e">
        <f>VLOOKUP($J12,'[1]Table S6'!$A:$AI,34,FALSE)</f>
        <v>#N/A</v>
      </c>
      <c r="AR12" t="e">
        <f>VLOOKUP($J12,'[1]Table S6'!$A:$AI,35,FALSE)</f>
        <v>#N/A</v>
      </c>
      <c r="AT12" t="e">
        <f>VLOOKUP($I12,'[2]Table S5'!$A:$K,8,FALSE)</f>
        <v>#N/A</v>
      </c>
      <c r="AU12" t="e">
        <f>VLOOKUP($I12,'[2]Table S5'!$A:$K,9,FALSE)</f>
        <v>#N/A</v>
      </c>
      <c r="AV12" t="e">
        <f>VLOOKUP($I12,'[2]Table S5'!$A:$K,10,FALSE)</f>
        <v>#N/A</v>
      </c>
      <c r="AW12" t="e">
        <f>VLOOKUP($I12,'[2]Table S5'!$A:$K,11,FALSE)</f>
        <v>#N/A</v>
      </c>
    </row>
    <row r="13" spans="1:49">
      <c r="A13" s="12" t="s">
        <v>92</v>
      </c>
      <c r="B13" t="s">
        <v>93</v>
      </c>
      <c r="C13" t="s">
        <v>94</v>
      </c>
      <c r="D13" t="s">
        <v>17</v>
      </c>
      <c r="E13" t="s">
        <v>95</v>
      </c>
      <c r="F13" s="12" t="s">
        <v>96</v>
      </c>
      <c r="G13" t="s">
        <v>97</v>
      </c>
      <c r="H13" t="s">
        <v>98</v>
      </c>
      <c r="I13" t="s">
        <v>99</v>
      </c>
      <c r="J13" t="s">
        <v>99</v>
      </c>
      <c r="K13" t="e">
        <f>VLOOKUP($J13,'[1]Table S6'!$A:$AI,2,FALSE)</f>
        <v>#N/A</v>
      </c>
      <c r="L13" t="e">
        <f>VLOOKUP($J13,'[1]Table S6'!$A:$AI,3,FALSE)</f>
        <v>#N/A</v>
      </c>
      <c r="M13" t="e">
        <f>VLOOKUP($J13,'[1]Table S6'!$A:$AI,4,FALSE)</f>
        <v>#N/A</v>
      </c>
      <c r="N13" t="e">
        <f>VLOOKUP($J13,'[1]Table S6'!$A:$AI,5,FALSE)</f>
        <v>#N/A</v>
      </c>
      <c r="P13" t="e">
        <f>VLOOKUP($J13,'[1]Table S6'!$A:$AI,7,FALSE)</f>
        <v>#N/A</v>
      </c>
      <c r="Q13" t="e">
        <f>VLOOKUP($J13,'[1]Table S6'!$A:$AI,8,FALSE)</f>
        <v>#N/A</v>
      </c>
      <c r="R13" t="e">
        <f>VLOOKUP($J13,'[1]Table S6'!$A:$AI,9,FALSE)</f>
        <v>#N/A</v>
      </c>
      <c r="S13" t="e">
        <f>VLOOKUP($J13,'[1]Table S6'!$A:$AI,10,FALSE)</f>
        <v>#N/A</v>
      </c>
      <c r="U13" t="e">
        <f>VLOOKUP($J13,'[1]Table S6'!$A:$AI,12,FALSE)</f>
        <v>#N/A</v>
      </c>
      <c r="V13" t="e">
        <f>VLOOKUP($J13,'[1]Table S6'!$A:$AI,13,FALSE)</f>
        <v>#N/A</v>
      </c>
      <c r="W13" t="e">
        <f>VLOOKUP($J13,'[1]Table S6'!$A:$AI,14,FALSE)</f>
        <v>#N/A</v>
      </c>
      <c r="X13" t="e">
        <f>VLOOKUP($J13,'[1]Table S6'!$A:$AI,15,FALSE)</f>
        <v>#N/A</v>
      </c>
      <c r="Z13" t="e">
        <f>VLOOKUP($J13,'[1]Table S6'!$A:$AI,17,FALSE)</f>
        <v>#N/A</v>
      </c>
      <c r="AA13" t="e">
        <f>VLOOKUP($J13,'[1]Table S6'!$A:$AI,18,FALSE)</f>
        <v>#N/A</v>
      </c>
      <c r="AB13" t="e">
        <f>VLOOKUP($J13,'[1]Table S6'!$A:$AI,19,FALSE)</f>
        <v>#N/A</v>
      </c>
      <c r="AC13" t="e">
        <f>VLOOKUP($J13,'[1]Table S6'!$A:$AI,20,FALSE)</f>
        <v>#N/A</v>
      </c>
      <c r="AE13" t="e">
        <f>VLOOKUP($J13,'[1]Table S6'!$A:$AI,22,FALSE)</f>
        <v>#N/A</v>
      </c>
      <c r="AF13" t="e">
        <f>VLOOKUP($J13,'[1]Table S6'!$A:$AI,23,FALSE)</f>
        <v>#N/A</v>
      </c>
      <c r="AG13" t="e">
        <f>VLOOKUP($J13,'[1]Table S6'!$A:$AI,24,FALSE)</f>
        <v>#N/A</v>
      </c>
      <c r="AH13" t="e">
        <f>VLOOKUP($J13,'[1]Table S6'!$A:$AI,25,FALSE)</f>
        <v>#N/A</v>
      </c>
      <c r="AJ13" t="e">
        <f>VLOOKUP($J13,'[1]Table S6'!$A:$AI,27,FALSE)</f>
        <v>#N/A</v>
      </c>
      <c r="AK13" t="e">
        <f>VLOOKUP($J13,'[1]Table S6'!$A:$AI,28,FALSE)</f>
        <v>#N/A</v>
      </c>
      <c r="AL13" t="e">
        <f>VLOOKUP($J13,'[1]Table S6'!$A:$AI,29,FALSE)</f>
        <v>#N/A</v>
      </c>
      <c r="AM13" t="e">
        <f>VLOOKUP($J13,'[1]Table S6'!$A:$AI,30,FALSE)</f>
        <v>#N/A</v>
      </c>
      <c r="AO13" t="e">
        <f>VLOOKUP($J13,'[1]Table S6'!$A:$AI,32,FALSE)</f>
        <v>#N/A</v>
      </c>
      <c r="AP13" t="e">
        <f>VLOOKUP($J13,'[1]Table S6'!$A:$AI,33,FALSE)</f>
        <v>#N/A</v>
      </c>
      <c r="AQ13" t="e">
        <f>VLOOKUP($J13,'[1]Table S6'!$A:$AI,34,FALSE)</f>
        <v>#N/A</v>
      </c>
      <c r="AR13" t="e">
        <f>VLOOKUP($J13,'[1]Table S6'!$A:$AI,35,FALSE)</f>
        <v>#N/A</v>
      </c>
      <c r="AT13" t="str">
        <f>VLOOKUP($I13,'[2]Table S5'!$A:$K,8,FALSE)</f>
        <v>Resistant</v>
      </c>
      <c r="AU13" t="str">
        <f>VLOOKUP($I13,'[2]Table S5'!$A:$K,9,FALSE)</f>
        <v>Resistant</v>
      </c>
      <c r="AV13" t="str">
        <f>VLOOKUP($I13,'[2]Table S5'!$A:$K,10,FALSE)</f>
        <v>Resistant</v>
      </c>
      <c r="AW13" t="str">
        <f>VLOOKUP($I13,'[2]Table S5'!$A:$K,11,FALSE)</f>
        <v>Resistant</v>
      </c>
    </row>
    <row r="14" spans="1:49">
      <c r="A14" s="12" t="s">
        <v>100</v>
      </c>
      <c r="B14" t="s">
        <v>101</v>
      </c>
      <c r="C14" t="s">
        <v>102</v>
      </c>
      <c r="D14" t="s">
        <v>17</v>
      </c>
      <c r="E14" t="s">
        <v>103</v>
      </c>
      <c r="F14" s="12" t="s">
        <v>104</v>
      </c>
      <c r="G14" t="s">
        <v>105</v>
      </c>
      <c r="H14" t="s">
        <v>106</v>
      </c>
      <c r="I14" t="s">
        <v>99</v>
      </c>
      <c r="J14" t="s">
        <v>107</v>
      </c>
      <c r="K14">
        <f>VLOOKUP($J14,'[1]Table S6'!$A:$AI,2,FALSE)</f>
        <v>372.5</v>
      </c>
      <c r="L14">
        <f>VLOOKUP($J14,'[1]Table S6'!$A:$AI,3,FALSE)</f>
        <v>0.79272185571398202</v>
      </c>
      <c r="M14">
        <f>VLOOKUP($J14,'[1]Table S6'!$A:$AI,4,FALSE)</f>
        <v>9.5470000000000006</v>
      </c>
      <c r="N14" t="str">
        <f>VLOOKUP($J14,'[1]Table S6'!$A:$AI,5,FALSE)</f>
        <v>No</v>
      </c>
      <c r="P14">
        <f>VLOOKUP($J14,'[1]Table S6'!$A:$AI,7,FALSE)</f>
        <v>381.7</v>
      </c>
      <c r="Q14">
        <f>VLOOKUP($J14,'[1]Table S6'!$A:$AI,8,FALSE)</f>
        <v>0.81230048946584399</v>
      </c>
      <c r="R14">
        <f>VLOOKUP($J14,'[1]Table S6'!$A:$AI,9,FALSE)</f>
        <v>8.1859999999999999</v>
      </c>
      <c r="S14" t="str">
        <f>VLOOKUP($J14,'[1]Table S6'!$A:$AI,10,FALSE)</f>
        <v>No</v>
      </c>
      <c r="U14">
        <f>VLOOKUP($J14,'[1]Table S6'!$A:$AI,12,FALSE)</f>
        <v>337.7</v>
      </c>
      <c r="V14">
        <f>VLOOKUP($J14,'[1]Table S6'!$A:$AI,13,FALSE)</f>
        <v>0.71866354543519895</v>
      </c>
      <c r="W14">
        <f>VLOOKUP($J14,'[1]Table S6'!$A:$AI,14,FALSE)</f>
        <v>2.891</v>
      </c>
      <c r="X14" t="str">
        <f>VLOOKUP($J14,'[1]Table S6'!$A:$AI,15,FALSE)</f>
        <v>No</v>
      </c>
      <c r="Z14">
        <f>VLOOKUP($J14,'[1]Table S6'!$A:$AI,17,FALSE)</f>
        <v>376.5</v>
      </c>
      <c r="AA14">
        <f>VLOOKUP($J14,'[1]Table S6'!$A:$AI,18,FALSE)</f>
        <v>0.801234305171313</v>
      </c>
      <c r="AB14">
        <f>VLOOKUP($J14,'[1]Table S6'!$A:$AI,19,FALSE)</f>
        <v>16.23</v>
      </c>
      <c r="AC14" t="str">
        <f>VLOOKUP($J14,'[1]Table S6'!$A:$AI,20,FALSE)</f>
        <v>No</v>
      </c>
      <c r="AE14">
        <f>VLOOKUP($J14,'[1]Table S6'!$A:$AI,22,FALSE)</f>
        <v>391.4</v>
      </c>
      <c r="AF14">
        <f>VLOOKUP($J14,'[1]Table S6'!$A:$AI,23,FALSE)</f>
        <v>0.83294317939987195</v>
      </c>
      <c r="AG14">
        <f>VLOOKUP($J14,'[1]Table S6'!$A:$AI,24,FALSE)</f>
        <v>27.57</v>
      </c>
      <c r="AH14" t="str">
        <f>VLOOKUP($J14,'[1]Table S6'!$A:$AI,25,FALSE)</f>
        <v>No</v>
      </c>
      <c r="AJ14">
        <f>VLOOKUP($J14,'[1]Table S6'!$A:$AI,27,FALSE)</f>
        <v>379.9</v>
      </c>
      <c r="AK14">
        <f>VLOOKUP($J14,'[1]Table S6'!$A:$AI,28,FALSE)</f>
        <v>0.80846988721004498</v>
      </c>
      <c r="AL14">
        <f>VLOOKUP($J14,'[1]Table S6'!$A:$AI,29,FALSE)</f>
        <v>13.57</v>
      </c>
      <c r="AM14" t="str">
        <f>VLOOKUP($J14,'[1]Table S6'!$A:$AI,30,FALSE)</f>
        <v>No</v>
      </c>
      <c r="AO14">
        <f>VLOOKUP($J14,'[1]Table S6'!$A:$AI,32,FALSE)</f>
        <v>356.7</v>
      </c>
      <c r="AP14">
        <f>VLOOKUP($J14,'[1]Table S6'!$A:$AI,33,FALSE)</f>
        <v>0.75909768035752301</v>
      </c>
      <c r="AQ14">
        <f>VLOOKUP($J14,'[1]Table S6'!$A:$AI,34,FALSE)</f>
        <v>8.0890000000000004</v>
      </c>
      <c r="AR14" t="str">
        <f>VLOOKUP($J14,'[1]Table S6'!$A:$AI,35,FALSE)</f>
        <v>No</v>
      </c>
      <c r="AT14" t="str">
        <f>VLOOKUP($I14,'[2]Table S5'!$A:$K,8,FALSE)</f>
        <v>Resistant</v>
      </c>
      <c r="AU14" t="str">
        <f>VLOOKUP($I14,'[2]Table S5'!$A:$K,9,FALSE)</f>
        <v>Resistant</v>
      </c>
      <c r="AV14" t="str">
        <f>VLOOKUP($I14,'[2]Table S5'!$A:$K,10,FALSE)</f>
        <v>Resistant</v>
      </c>
      <c r="AW14" t="str">
        <f>VLOOKUP($I14,'[2]Table S5'!$A:$K,11,FALSE)</f>
        <v>Resistant</v>
      </c>
    </row>
    <row r="15" spans="1:49">
      <c r="A15" s="12" t="s">
        <v>108</v>
      </c>
      <c r="B15" t="s">
        <v>109</v>
      </c>
      <c r="C15" t="s">
        <v>110</v>
      </c>
      <c r="D15" t="s">
        <v>17</v>
      </c>
      <c r="E15" t="s">
        <v>111</v>
      </c>
      <c r="F15" s="12" t="s">
        <v>112</v>
      </c>
      <c r="G15" t="s">
        <v>113</v>
      </c>
      <c r="H15" t="s">
        <v>114</v>
      </c>
      <c r="I15" t="s">
        <v>99</v>
      </c>
      <c r="J15" t="s">
        <v>115</v>
      </c>
      <c r="K15">
        <f>VLOOKUP($J15,'[1]Table S6'!$A:$AI,2,FALSE)</f>
        <v>291.60000000000002</v>
      </c>
      <c r="L15">
        <f>VLOOKUP($J15,'[1]Table S6'!$A:$AI,3,FALSE)</f>
        <v>0.62055756543945495</v>
      </c>
      <c r="M15">
        <f>VLOOKUP($J15,'[1]Table S6'!$A:$AI,4,FALSE)</f>
        <v>0.90900000000000003</v>
      </c>
      <c r="N15" t="str">
        <f>VLOOKUP($J15,'[1]Table S6'!$A:$AI,5,FALSE)</f>
        <v>Yes</v>
      </c>
      <c r="P15">
        <f>VLOOKUP($J15,'[1]Table S6'!$A:$AI,7,FALSE)</f>
        <v>286.89999999999998</v>
      </c>
      <c r="Q15">
        <f>VLOOKUP($J15,'[1]Table S6'!$A:$AI,8,FALSE)</f>
        <v>0.61055543732709106</v>
      </c>
      <c r="R15">
        <f>VLOOKUP($J15,'[1]Table S6'!$A:$AI,9,FALSE)</f>
        <v>0.75409999999999999</v>
      </c>
      <c r="S15" t="str">
        <f>VLOOKUP($J15,'[1]Table S6'!$A:$AI,10,FALSE)</f>
        <v>Yes</v>
      </c>
      <c r="U15">
        <f>VLOOKUP($J15,'[1]Table S6'!$A:$AI,12,FALSE)</f>
        <v>290.7</v>
      </c>
      <c r="V15">
        <f>VLOOKUP($J15,'[1]Table S6'!$A:$AI,13,FALSE)</f>
        <v>0.618642264311556</v>
      </c>
      <c r="W15">
        <f>VLOOKUP($J15,'[1]Table S6'!$A:$AI,14,FALSE)</f>
        <v>0.76890000000000003</v>
      </c>
      <c r="X15" t="str">
        <f>VLOOKUP($J15,'[1]Table S6'!$A:$AI,15,FALSE)</f>
        <v>Yes</v>
      </c>
      <c r="Z15">
        <f>VLOOKUP($J15,'[1]Table S6'!$A:$AI,17,FALSE)</f>
        <v>339.9</v>
      </c>
      <c r="AA15">
        <f>VLOOKUP($J15,'[1]Table S6'!$A:$AI,18,FALSE)</f>
        <v>0.72334539263673103</v>
      </c>
      <c r="AB15">
        <f>VLOOKUP($J15,'[1]Table S6'!$A:$AI,19,FALSE)</f>
        <v>4.1159999999999997</v>
      </c>
      <c r="AC15" t="str">
        <f>VLOOKUP($J15,'[1]Table S6'!$A:$AI,20,FALSE)</f>
        <v>No</v>
      </c>
      <c r="AE15">
        <f>VLOOKUP($J15,'[1]Table S6'!$A:$AI,22,FALSE)</f>
        <v>427.1</v>
      </c>
      <c r="AF15">
        <f>VLOOKUP($J15,'[1]Table S6'!$A:$AI,23,FALSE)</f>
        <v>0.90891679080655496</v>
      </c>
      <c r="AG15">
        <f>VLOOKUP($J15,'[1]Table S6'!$A:$AI,24,FALSE)</f>
        <v>64.2</v>
      </c>
      <c r="AH15" t="str">
        <f>VLOOKUP($J15,'[1]Table S6'!$A:$AI,25,FALSE)</f>
        <v>No</v>
      </c>
      <c r="AJ15">
        <f>VLOOKUP($J15,'[1]Table S6'!$A:$AI,27,FALSE)</f>
        <v>395.7</v>
      </c>
      <c r="AK15">
        <f>VLOOKUP($J15,'[1]Table S6'!$A:$AI,28,FALSE)</f>
        <v>0.84209406256650399</v>
      </c>
      <c r="AL15">
        <f>VLOOKUP($J15,'[1]Table S6'!$A:$AI,29,FALSE)</f>
        <v>21.99</v>
      </c>
      <c r="AM15" t="str">
        <f>VLOOKUP($J15,'[1]Table S6'!$A:$AI,30,FALSE)</f>
        <v>No</v>
      </c>
      <c r="AO15">
        <f>VLOOKUP($J15,'[1]Table S6'!$A:$AI,32,FALSE)</f>
        <v>416.8</v>
      </c>
      <c r="AP15">
        <f>VLOOKUP($J15,'[1]Table S6'!$A:$AI,33,FALSE)</f>
        <v>0.886997233453926</v>
      </c>
      <c r="AQ15">
        <f>VLOOKUP($J15,'[1]Table S6'!$A:$AI,34,FALSE)</f>
        <v>34.96</v>
      </c>
      <c r="AR15" t="str">
        <f>VLOOKUP($J15,'[1]Table S6'!$A:$AI,35,FALSE)</f>
        <v>No</v>
      </c>
      <c r="AT15" t="str">
        <f>VLOOKUP($I15,'[2]Table S5'!$A:$K,8,FALSE)</f>
        <v>Resistant</v>
      </c>
      <c r="AU15" t="str">
        <f>VLOOKUP($I15,'[2]Table S5'!$A:$K,9,FALSE)</f>
        <v>Resistant</v>
      </c>
      <c r="AV15" t="str">
        <f>VLOOKUP($I15,'[2]Table S5'!$A:$K,10,FALSE)</f>
        <v>Resistant</v>
      </c>
      <c r="AW15" t="str">
        <f>VLOOKUP($I15,'[2]Table S5'!$A:$K,11,FALSE)</f>
        <v>Resistant</v>
      </c>
    </row>
    <row r="16" spans="1:49">
      <c r="A16" s="12" t="s">
        <v>116</v>
      </c>
      <c r="B16" t="s">
        <v>117</v>
      </c>
      <c r="C16" t="s">
        <v>118</v>
      </c>
      <c r="D16" t="s">
        <v>17</v>
      </c>
      <c r="E16" t="s">
        <v>119</v>
      </c>
      <c r="F16" s="12" t="s">
        <v>120</v>
      </c>
      <c r="G16" t="s">
        <v>121</v>
      </c>
      <c r="H16" t="s">
        <v>122</v>
      </c>
      <c r="I16" t="s">
        <v>99</v>
      </c>
      <c r="J16" t="s">
        <v>123</v>
      </c>
      <c r="K16">
        <f>VLOOKUP($J16,'[1]Table S6'!$A:$AI,2,FALSE)</f>
        <v>351.4</v>
      </c>
      <c r="L16">
        <f>VLOOKUP($J16,'[1]Table S6'!$A:$AI,3,FALSE)</f>
        <v>0.747818684826559</v>
      </c>
      <c r="M16">
        <f>VLOOKUP($J16,'[1]Table S6'!$A:$AI,4,FALSE)</f>
        <v>4.8949999999999996</v>
      </c>
      <c r="N16" t="str">
        <f>VLOOKUP($J16,'[1]Table S6'!$A:$AI,5,FALSE)</f>
        <v>No</v>
      </c>
      <c r="P16">
        <f>VLOOKUP($J16,'[1]Table S6'!$A:$AI,7,FALSE)</f>
        <v>309</v>
      </c>
      <c r="Q16">
        <f>VLOOKUP($J16,'[1]Table S6'!$A:$AI,8,FALSE)</f>
        <v>0.65758672057884704</v>
      </c>
      <c r="R16">
        <f>VLOOKUP($J16,'[1]Table S6'!$A:$AI,9,FALSE)</f>
        <v>1.0409999999999999</v>
      </c>
      <c r="S16" t="str">
        <f>VLOOKUP($J16,'[1]Table S6'!$A:$AI,10,FALSE)</f>
        <v>Yes</v>
      </c>
      <c r="U16">
        <f>VLOOKUP($J16,'[1]Table S6'!$A:$AI,12,FALSE)</f>
        <v>354.6</v>
      </c>
      <c r="V16">
        <f>VLOOKUP($J16,'[1]Table S6'!$A:$AI,13,FALSE)</f>
        <v>0.75462864439242405</v>
      </c>
      <c r="W16">
        <f>VLOOKUP($J16,'[1]Table S6'!$A:$AI,14,FALSE)</f>
        <v>6.532</v>
      </c>
      <c r="X16" t="str">
        <f>VLOOKUP($J16,'[1]Table S6'!$A:$AI,15,FALSE)</f>
        <v>No</v>
      </c>
      <c r="Z16">
        <f>VLOOKUP($J16,'[1]Table S6'!$A:$AI,17,FALSE)</f>
        <v>334</v>
      </c>
      <c r="AA16">
        <f>VLOOKUP($J16,'[1]Table S6'!$A:$AI,18,FALSE)</f>
        <v>0.71078952968716702</v>
      </c>
      <c r="AB16">
        <f>VLOOKUP($J16,'[1]Table S6'!$A:$AI,19,FALSE)</f>
        <v>3.4180000000000001</v>
      </c>
      <c r="AC16" t="str">
        <f>VLOOKUP($J16,'[1]Table S6'!$A:$AI,20,FALSE)</f>
        <v>No</v>
      </c>
      <c r="AE16">
        <f>VLOOKUP($J16,'[1]Table S6'!$A:$AI,22,FALSE)</f>
        <v>409.3</v>
      </c>
      <c r="AF16">
        <f>VLOOKUP($J16,'[1]Table S6'!$A:$AI,23,FALSE)</f>
        <v>0.87103639072143002</v>
      </c>
      <c r="AG16">
        <f>VLOOKUP($J16,'[1]Table S6'!$A:$AI,24,FALSE)</f>
        <v>55.06</v>
      </c>
      <c r="AH16" t="str">
        <f>VLOOKUP($J16,'[1]Table S6'!$A:$AI,25,FALSE)</f>
        <v>No</v>
      </c>
      <c r="AJ16">
        <f>VLOOKUP($J16,'[1]Table S6'!$A:$AI,27,FALSE)</f>
        <v>404.3</v>
      </c>
      <c r="AK16">
        <f>VLOOKUP($J16,'[1]Table S6'!$A:$AI,28,FALSE)</f>
        <v>0.86039582889976596</v>
      </c>
      <c r="AL16">
        <f>VLOOKUP($J16,'[1]Table S6'!$A:$AI,29,FALSE)</f>
        <v>44.13</v>
      </c>
      <c r="AM16" t="str">
        <f>VLOOKUP($J16,'[1]Table S6'!$A:$AI,30,FALSE)</f>
        <v>No</v>
      </c>
      <c r="AO16">
        <f>VLOOKUP($J16,'[1]Table S6'!$A:$AI,32,FALSE)</f>
        <v>415</v>
      </c>
      <c r="AP16">
        <f>VLOOKUP($J16,'[1]Table S6'!$A:$AI,33,FALSE)</f>
        <v>0.88316663119812699</v>
      </c>
      <c r="AQ16">
        <f>VLOOKUP($J16,'[1]Table S6'!$A:$AI,34,FALSE)</f>
        <v>61.82</v>
      </c>
      <c r="AR16" t="str">
        <f>VLOOKUP($J16,'[1]Table S6'!$A:$AI,35,FALSE)</f>
        <v>No</v>
      </c>
      <c r="AT16" t="str">
        <f>VLOOKUP($I16,'[2]Table S5'!$A:$K,8,FALSE)</f>
        <v>Resistant</v>
      </c>
      <c r="AU16" t="str">
        <f>VLOOKUP($I16,'[2]Table S5'!$A:$K,9,FALSE)</f>
        <v>Resistant</v>
      </c>
      <c r="AV16" t="str">
        <f>VLOOKUP($I16,'[2]Table S5'!$A:$K,10,FALSE)</f>
        <v>Resistant</v>
      </c>
      <c r="AW16" t="str">
        <f>VLOOKUP($I16,'[2]Table S5'!$A:$K,11,FALSE)</f>
        <v>Resistant</v>
      </c>
    </row>
    <row r="17" spans="1:49">
      <c r="A17" s="12" t="s">
        <v>124</v>
      </c>
      <c r="B17" t="s">
        <v>125</v>
      </c>
      <c r="C17" t="s">
        <v>126</v>
      </c>
      <c r="D17" t="s">
        <v>17</v>
      </c>
      <c r="E17" t="s">
        <v>127</v>
      </c>
      <c r="F17" s="12" t="s">
        <v>128</v>
      </c>
      <c r="G17" t="s">
        <v>129</v>
      </c>
      <c r="H17" t="s">
        <v>130</v>
      </c>
      <c r="I17" t="s">
        <v>99</v>
      </c>
      <c r="J17" t="s">
        <v>107</v>
      </c>
      <c r="K17">
        <f>VLOOKUP($J17,'[1]Table S6'!$A:$AI,2,FALSE)</f>
        <v>372.5</v>
      </c>
      <c r="L17">
        <f>VLOOKUP($J17,'[1]Table S6'!$A:$AI,3,FALSE)</f>
        <v>0.79272185571398202</v>
      </c>
      <c r="M17">
        <f>VLOOKUP($J17,'[1]Table S6'!$A:$AI,4,FALSE)</f>
        <v>9.5470000000000006</v>
      </c>
      <c r="N17" t="str">
        <f>VLOOKUP($J17,'[1]Table S6'!$A:$AI,5,FALSE)</f>
        <v>No</v>
      </c>
      <c r="P17">
        <f>VLOOKUP($J17,'[1]Table S6'!$A:$AI,7,FALSE)</f>
        <v>381.7</v>
      </c>
      <c r="Q17">
        <f>VLOOKUP($J17,'[1]Table S6'!$A:$AI,8,FALSE)</f>
        <v>0.81230048946584399</v>
      </c>
      <c r="R17">
        <f>VLOOKUP($J17,'[1]Table S6'!$A:$AI,9,FALSE)</f>
        <v>8.1859999999999999</v>
      </c>
      <c r="S17" t="str">
        <f>VLOOKUP($J17,'[1]Table S6'!$A:$AI,10,FALSE)</f>
        <v>No</v>
      </c>
      <c r="U17">
        <f>VLOOKUP($J17,'[1]Table S6'!$A:$AI,12,FALSE)</f>
        <v>337.7</v>
      </c>
      <c r="V17">
        <f>VLOOKUP($J17,'[1]Table S6'!$A:$AI,13,FALSE)</f>
        <v>0.71866354543519895</v>
      </c>
      <c r="W17">
        <f>VLOOKUP($J17,'[1]Table S6'!$A:$AI,14,FALSE)</f>
        <v>2.891</v>
      </c>
      <c r="X17" t="str">
        <f>VLOOKUP($J17,'[1]Table S6'!$A:$AI,15,FALSE)</f>
        <v>No</v>
      </c>
      <c r="Z17">
        <f>VLOOKUP($J17,'[1]Table S6'!$A:$AI,17,FALSE)</f>
        <v>376.5</v>
      </c>
      <c r="AA17">
        <f>VLOOKUP($J17,'[1]Table S6'!$A:$AI,18,FALSE)</f>
        <v>0.801234305171313</v>
      </c>
      <c r="AB17">
        <f>VLOOKUP($J17,'[1]Table S6'!$A:$AI,19,FALSE)</f>
        <v>16.23</v>
      </c>
      <c r="AC17" t="str">
        <f>VLOOKUP($J17,'[1]Table S6'!$A:$AI,20,FALSE)</f>
        <v>No</v>
      </c>
      <c r="AE17">
        <f>VLOOKUP($J17,'[1]Table S6'!$A:$AI,22,FALSE)</f>
        <v>391.4</v>
      </c>
      <c r="AF17">
        <f>VLOOKUP($J17,'[1]Table S6'!$A:$AI,23,FALSE)</f>
        <v>0.83294317939987195</v>
      </c>
      <c r="AG17">
        <f>VLOOKUP($J17,'[1]Table S6'!$A:$AI,24,FALSE)</f>
        <v>27.57</v>
      </c>
      <c r="AH17" t="str">
        <f>VLOOKUP($J17,'[1]Table S6'!$A:$AI,25,FALSE)</f>
        <v>No</v>
      </c>
      <c r="AJ17">
        <f>VLOOKUP($J17,'[1]Table S6'!$A:$AI,27,FALSE)</f>
        <v>379.9</v>
      </c>
      <c r="AK17">
        <f>VLOOKUP($J17,'[1]Table S6'!$A:$AI,28,FALSE)</f>
        <v>0.80846988721004498</v>
      </c>
      <c r="AL17">
        <f>VLOOKUP($J17,'[1]Table S6'!$A:$AI,29,FALSE)</f>
        <v>13.57</v>
      </c>
      <c r="AM17" t="str">
        <f>VLOOKUP($J17,'[1]Table S6'!$A:$AI,30,FALSE)</f>
        <v>No</v>
      </c>
      <c r="AO17">
        <f>VLOOKUP($J17,'[1]Table S6'!$A:$AI,32,FALSE)</f>
        <v>356.7</v>
      </c>
      <c r="AP17">
        <f>VLOOKUP($J17,'[1]Table S6'!$A:$AI,33,FALSE)</f>
        <v>0.75909768035752301</v>
      </c>
      <c r="AQ17">
        <f>VLOOKUP($J17,'[1]Table S6'!$A:$AI,34,FALSE)</f>
        <v>8.0890000000000004</v>
      </c>
      <c r="AR17" t="str">
        <f>VLOOKUP($J17,'[1]Table S6'!$A:$AI,35,FALSE)</f>
        <v>No</v>
      </c>
      <c r="AT17" t="str">
        <f>VLOOKUP($I17,'[2]Table S5'!$A:$K,8,FALSE)</f>
        <v>Resistant</v>
      </c>
      <c r="AU17" t="str">
        <f>VLOOKUP($I17,'[2]Table S5'!$A:$K,9,FALSE)</f>
        <v>Resistant</v>
      </c>
      <c r="AV17" t="str">
        <f>VLOOKUP($I17,'[2]Table S5'!$A:$K,10,FALSE)</f>
        <v>Resistant</v>
      </c>
      <c r="AW17" t="str">
        <f>VLOOKUP($I17,'[2]Table S5'!$A:$K,11,FALSE)</f>
        <v>Resistant</v>
      </c>
    </row>
    <row r="18" spans="1:49">
      <c r="A18" s="12" t="s">
        <v>131</v>
      </c>
      <c r="B18" t="s">
        <v>132</v>
      </c>
      <c r="C18" t="s">
        <v>133</v>
      </c>
      <c r="D18" t="s">
        <v>17</v>
      </c>
      <c r="E18" t="s">
        <v>134</v>
      </c>
      <c r="F18" s="12" t="s">
        <v>135</v>
      </c>
      <c r="G18" t="s">
        <v>136</v>
      </c>
      <c r="H18" t="s">
        <v>137</v>
      </c>
      <c r="I18" t="s">
        <v>99</v>
      </c>
      <c r="J18" t="s">
        <v>115</v>
      </c>
      <c r="K18">
        <f>VLOOKUP($J18,'[1]Table S6'!$A:$AI,2,FALSE)</f>
        <v>291.60000000000002</v>
      </c>
      <c r="L18">
        <f>VLOOKUP($J18,'[1]Table S6'!$A:$AI,3,FALSE)</f>
        <v>0.62055756543945495</v>
      </c>
      <c r="M18">
        <f>VLOOKUP($J18,'[1]Table S6'!$A:$AI,4,FALSE)</f>
        <v>0.90900000000000003</v>
      </c>
      <c r="N18" t="str">
        <f>VLOOKUP($J18,'[1]Table S6'!$A:$AI,5,FALSE)</f>
        <v>Yes</v>
      </c>
      <c r="P18">
        <f>VLOOKUP($J18,'[1]Table S6'!$A:$AI,7,FALSE)</f>
        <v>286.89999999999998</v>
      </c>
      <c r="Q18">
        <f>VLOOKUP($J18,'[1]Table S6'!$A:$AI,8,FALSE)</f>
        <v>0.61055543732709106</v>
      </c>
      <c r="R18">
        <f>VLOOKUP($J18,'[1]Table S6'!$A:$AI,9,FALSE)</f>
        <v>0.75409999999999999</v>
      </c>
      <c r="S18" t="str">
        <f>VLOOKUP($J18,'[1]Table S6'!$A:$AI,10,FALSE)</f>
        <v>Yes</v>
      </c>
      <c r="U18">
        <f>VLOOKUP($J18,'[1]Table S6'!$A:$AI,12,FALSE)</f>
        <v>290.7</v>
      </c>
      <c r="V18">
        <f>VLOOKUP($J18,'[1]Table S6'!$A:$AI,13,FALSE)</f>
        <v>0.618642264311556</v>
      </c>
      <c r="W18">
        <f>VLOOKUP($J18,'[1]Table S6'!$A:$AI,14,FALSE)</f>
        <v>0.76890000000000003</v>
      </c>
      <c r="X18" t="str">
        <f>VLOOKUP($J18,'[1]Table S6'!$A:$AI,15,FALSE)</f>
        <v>Yes</v>
      </c>
      <c r="Z18">
        <f>VLOOKUP($J18,'[1]Table S6'!$A:$AI,17,FALSE)</f>
        <v>339.9</v>
      </c>
      <c r="AA18">
        <f>VLOOKUP($J18,'[1]Table S6'!$A:$AI,18,FALSE)</f>
        <v>0.72334539263673103</v>
      </c>
      <c r="AB18">
        <f>VLOOKUP($J18,'[1]Table S6'!$A:$AI,19,FALSE)</f>
        <v>4.1159999999999997</v>
      </c>
      <c r="AC18" t="str">
        <f>VLOOKUP($J18,'[1]Table S6'!$A:$AI,20,FALSE)</f>
        <v>No</v>
      </c>
      <c r="AE18">
        <f>VLOOKUP($J18,'[1]Table S6'!$A:$AI,22,FALSE)</f>
        <v>427.1</v>
      </c>
      <c r="AF18">
        <f>VLOOKUP($J18,'[1]Table S6'!$A:$AI,23,FALSE)</f>
        <v>0.90891679080655496</v>
      </c>
      <c r="AG18">
        <f>VLOOKUP($J18,'[1]Table S6'!$A:$AI,24,FALSE)</f>
        <v>64.2</v>
      </c>
      <c r="AH18" t="str">
        <f>VLOOKUP($J18,'[1]Table S6'!$A:$AI,25,FALSE)</f>
        <v>No</v>
      </c>
      <c r="AJ18">
        <f>VLOOKUP($J18,'[1]Table S6'!$A:$AI,27,FALSE)</f>
        <v>395.7</v>
      </c>
      <c r="AK18">
        <f>VLOOKUP($J18,'[1]Table S6'!$A:$AI,28,FALSE)</f>
        <v>0.84209406256650399</v>
      </c>
      <c r="AL18">
        <f>VLOOKUP($J18,'[1]Table S6'!$A:$AI,29,FALSE)</f>
        <v>21.99</v>
      </c>
      <c r="AM18" t="str">
        <f>VLOOKUP($J18,'[1]Table S6'!$A:$AI,30,FALSE)</f>
        <v>No</v>
      </c>
      <c r="AO18">
        <f>VLOOKUP($J18,'[1]Table S6'!$A:$AI,32,FALSE)</f>
        <v>416.8</v>
      </c>
      <c r="AP18">
        <f>VLOOKUP($J18,'[1]Table S6'!$A:$AI,33,FALSE)</f>
        <v>0.886997233453926</v>
      </c>
      <c r="AQ18">
        <f>VLOOKUP($J18,'[1]Table S6'!$A:$AI,34,FALSE)</f>
        <v>34.96</v>
      </c>
      <c r="AR18" t="str">
        <f>VLOOKUP($J18,'[1]Table S6'!$A:$AI,35,FALSE)</f>
        <v>No</v>
      </c>
      <c r="AT18" t="str">
        <f>VLOOKUP($I18,'[2]Table S5'!$A:$K,8,FALSE)</f>
        <v>Resistant</v>
      </c>
      <c r="AU18" t="str">
        <f>VLOOKUP($I18,'[2]Table S5'!$A:$K,9,FALSE)</f>
        <v>Resistant</v>
      </c>
      <c r="AV18" t="str">
        <f>VLOOKUP($I18,'[2]Table S5'!$A:$K,10,FALSE)</f>
        <v>Resistant</v>
      </c>
      <c r="AW18" t="str">
        <f>VLOOKUP($I18,'[2]Table S5'!$A:$K,11,FALSE)</f>
        <v>Resistant</v>
      </c>
    </row>
    <row r="19" spans="1:49">
      <c r="A19" s="12" t="s">
        <v>138</v>
      </c>
      <c r="B19" t="s">
        <v>139</v>
      </c>
      <c r="C19" t="s">
        <v>140</v>
      </c>
      <c r="D19" t="s">
        <v>17</v>
      </c>
      <c r="E19" t="s">
        <v>141</v>
      </c>
      <c r="F19" s="12" t="s">
        <v>142</v>
      </c>
      <c r="G19" t="s">
        <v>143</v>
      </c>
      <c r="H19" t="s">
        <v>144</v>
      </c>
      <c r="I19" t="s">
        <v>99</v>
      </c>
      <c r="J19" t="s">
        <v>123</v>
      </c>
      <c r="K19">
        <f>VLOOKUP($J19,'[1]Table S6'!$A:$AI,2,FALSE)</f>
        <v>351.4</v>
      </c>
      <c r="L19">
        <f>VLOOKUP($J19,'[1]Table S6'!$A:$AI,3,FALSE)</f>
        <v>0.747818684826559</v>
      </c>
      <c r="M19">
        <f>VLOOKUP($J19,'[1]Table S6'!$A:$AI,4,FALSE)</f>
        <v>4.8949999999999996</v>
      </c>
      <c r="N19" t="str">
        <f>VLOOKUP($J19,'[1]Table S6'!$A:$AI,5,FALSE)</f>
        <v>No</v>
      </c>
      <c r="P19">
        <f>VLOOKUP($J19,'[1]Table S6'!$A:$AI,7,FALSE)</f>
        <v>309</v>
      </c>
      <c r="Q19">
        <f>VLOOKUP($J19,'[1]Table S6'!$A:$AI,8,FALSE)</f>
        <v>0.65758672057884704</v>
      </c>
      <c r="R19">
        <f>VLOOKUP($J19,'[1]Table S6'!$A:$AI,9,FALSE)</f>
        <v>1.0409999999999999</v>
      </c>
      <c r="S19" t="str">
        <f>VLOOKUP($J19,'[1]Table S6'!$A:$AI,10,FALSE)</f>
        <v>Yes</v>
      </c>
      <c r="U19">
        <f>VLOOKUP($J19,'[1]Table S6'!$A:$AI,12,FALSE)</f>
        <v>354.6</v>
      </c>
      <c r="V19">
        <f>VLOOKUP($J19,'[1]Table S6'!$A:$AI,13,FALSE)</f>
        <v>0.75462864439242405</v>
      </c>
      <c r="W19">
        <f>VLOOKUP($J19,'[1]Table S6'!$A:$AI,14,FALSE)</f>
        <v>6.532</v>
      </c>
      <c r="X19" t="str">
        <f>VLOOKUP($J19,'[1]Table S6'!$A:$AI,15,FALSE)</f>
        <v>No</v>
      </c>
      <c r="Z19">
        <f>VLOOKUP($J19,'[1]Table S6'!$A:$AI,17,FALSE)</f>
        <v>334</v>
      </c>
      <c r="AA19">
        <f>VLOOKUP($J19,'[1]Table S6'!$A:$AI,18,FALSE)</f>
        <v>0.71078952968716702</v>
      </c>
      <c r="AB19">
        <f>VLOOKUP($J19,'[1]Table S6'!$A:$AI,19,FALSE)</f>
        <v>3.4180000000000001</v>
      </c>
      <c r="AC19" t="str">
        <f>VLOOKUP($J19,'[1]Table S6'!$A:$AI,20,FALSE)</f>
        <v>No</v>
      </c>
      <c r="AE19">
        <f>VLOOKUP($J19,'[1]Table S6'!$A:$AI,22,FALSE)</f>
        <v>409.3</v>
      </c>
      <c r="AF19">
        <f>VLOOKUP($J19,'[1]Table S6'!$A:$AI,23,FALSE)</f>
        <v>0.87103639072143002</v>
      </c>
      <c r="AG19">
        <f>VLOOKUP($J19,'[1]Table S6'!$A:$AI,24,FALSE)</f>
        <v>55.06</v>
      </c>
      <c r="AH19" t="str">
        <f>VLOOKUP($J19,'[1]Table S6'!$A:$AI,25,FALSE)</f>
        <v>No</v>
      </c>
      <c r="AJ19">
        <f>VLOOKUP($J19,'[1]Table S6'!$A:$AI,27,FALSE)</f>
        <v>404.3</v>
      </c>
      <c r="AK19">
        <f>VLOOKUP($J19,'[1]Table S6'!$A:$AI,28,FALSE)</f>
        <v>0.86039582889976596</v>
      </c>
      <c r="AL19">
        <f>VLOOKUP($J19,'[1]Table S6'!$A:$AI,29,FALSE)</f>
        <v>44.13</v>
      </c>
      <c r="AM19" t="str">
        <f>VLOOKUP($J19,'[1]Table S6'!$A:$AI,30,FALSE)</f>
        <v>No</v>
      </c>
      <c r="AO19">
        <f>VLOOKUP($J19,'[1]Table S6'!$A:$AI,32,FALSE)</f>
        <v>415</v>
      </c>
      <c r="AP19">
        <f>VLOOKUP($J19,'[1]Table S6'!$A:$AI,33,FALSE)</f>
        <v>0.88316663119812699</v>
      </c>
      <c r="AQ19">
        <f>VLOOKUP($J19,'[1]Table S6'!$A:$AI,34,FALSE)</f>
        <v>61.82</v>
      </c>
      <c r="AR19" t="str">
        <f>VLOOKUP($J19,'[1]Table S6'!$A:$AI,35,FALSE)</f>
        <v>No</v>
      </c>
      <c r="AT19" t="str">
        <f>VLOOKUP($I19,'[2]Table S5'!$A:$K,8,FALSE)</f>
        <v>Resistant</v>
      </c>
      <c r="AU19" t="str">
        <f>VLOOKUP($I19,'[2]Table S5'!$A:$K,9,FALSE)</f>
        <v>Resistant</v>
      </c>
      <c r="AV19" t="str">
        <f>VLOOKUP($I19,'[2]Table S5'!$A:$K,10,FALSE)</f>
        <v>Resistant</v>
      </c>
      <c r="AW19" t="str">
        <f>VLOOKUP($I19,'[2]Table S5'!$A:$K,11,FALSE)</f>
        <v>Resistant</v>
      </c>
    </row>
    <row r="20" spans="1:49">
      <c r="A20" s="12" t="s">
        <v>145</v>
      </c>
      <c r="B20" t="s">
        <v>146</v>
      </c>
      <c r="C20" t="s">
        <v>147</v>
      </c>
      <c r="D20" t="s">
        <v>17</v>
      </c>
      <c r="E20" t="s">
        <v>148</v>
      </c>
      <c r="F20" s="12" t="s">
        <v>149</v>
      </c>
      <c r="G20" t="s">
        <v>150</v>
      </c>
      <c r="H20" t="s">
        <v>151</v>
      </c>
      <c r="I20" t="s">
        <v>152</v>
      </c>
      <c r="J20" t="s">
        <v>153</v>
      </c>
      <c r="K20">
        <f>VLOOKUP($J20,'[1]Table S6'!$A:$AI,2,FALSE)</f>
        <v>357.9</v>
      </c>
      <c r="L20">
        <f>VLOOKUP($J20,'[1]Table S6'!$A:$AI,3,FALSE)</f>
        <v>0.76165141519472201</v>
      </c>
      <c r="M20">
        <f>VLOOKUP($J20,'[1]Table S6'!$A:$AI,4,FALSE)</f>
        <v>9.0809999999999995</v>
      </c>
      <c r="N20" t="str">
        <f>VLOOKUP($J20,'[1]Table S6'!$A:$AI,5,FALSE)</f>
        <v>No</v>
      </c>
      <c r="P20">
        <f>VLOOKUP($J20,'[1]Table S6'!$A:$AI,7,FALSE)</f>
        <v>317.3</v>
      </c>
      <c r="Q20">
        <f>VLOOKUP($J20,'[1]Table S6'!$A:$AI,8,FALSE)</f>
        <v>0.67525005320280895</v>
      </c>
      <c r="R20">
        <f>VLOOKUP($J20,'[1]Table S6'!$A:$AI,9,FALSE)</f>
        <v>1.5469999999999999</v>
      </c>
      <c r="S20" t="str">
        <f>VLOOKUP($J20,'[1]Table S6'!$A:$AI,10,FALSE)</f>
        <v>Yes</v>
      </c>
      <c r="U20">
        <f>VLOOKUP($J20,'[1]Table S6'!$A:$AI,12,FALSE)</f>
        <v>339.2</v>
      </c>
      <c r="V20">
        <f>VLOOKUP($J20,'[1]Table S6'!$A:$AI,13,FALSE)</f>
        <v>0.72185571398169801</v>
      </c>
      <c r="W20">
        <f>VLOOKUP($J20,'[1]Table S6'!$A:$AI,14,FALSE)</f>
        <v>4.9660000000000002</v>
      </c>
      <c r="X20" t="str">
        <f>VLOOKUP($J20,'[1]Table S6'!$A:$AI,15,FALSE)</f>
        <v>No</v>
      </c>
      <c r="Z20">
        <f>VLOOKUP($J20,'[1]Table S6'!$A:$AI,17,FALSE)</f>
        <v>331.9</v>
      </c>
      <c r="AA20">
        <f>VLOOKUP($J20,'[1]Table S6'!$A:$AI,18,FALSE)</f>
        <v>0.70632049372206895</v>
      </c>
      <c r="AB20">
        <f>VLOOKUP($J20,'[1]Table S6'!$A:$AI,19,FALSE)</f>
        <v>3.2690000000000001</v>
      </c>
      <c r="AC20" t="str">
        <f>VLOOKUP($J20,'[1]Table S6'!$A:$AI,20,FALSE)</f>
        <v>No</v>
      </c>
      <c r="AE20">
        <f>VLOOKUP($J20,'[1]Table S6'!$A:$AI,22,FALSE)</f>
        <v>348.8</v>
      </c>
      <c r="AF20">
        <f>VLOOKUP($J20,'[1]Table S6'!$A:$AI,23,FALSE)</f>
        <v>0.74228559267929395</v>
      </c>
      <c r="AG20">
        <f>VLOOKUP($J20,'[1]Table S6'!$A:$AI,24,FALSE)</f>
        <v>5.93</v>
      </c>
      <c r="AH20" t="str">
        <f>VLOOKUP($J20,'[1]Table S6'!$A:$AI,25,FALSE)</f>
        <v>No</v>
      </c>
      <c r="AJ20">
        <f>VLOOKUP($J20,'[1]Table S6'!$A:$AI,27,FALSE)</f>
        <v>379.3</v>
      </c>
      <c r="AK20">
        <f>VLOOKUP($J20,'[1]Table S6'!$A:$AI,28,FALSE)</f>
        <v>0.80719301979144498</v>
      </c>
      <c r="AL20">
        <f>VLOOKUP($J20,'[1]Table S6'!$A:$AI,29,FALSE)</f>
        <v>10.199999999999999</v>
      </c>
      <c r="AM20" t="str">
        <f>VLOOKUP($J20,'[1]Table S6'!$A:$AI,30,FALSE)</f>
        <v>No</v>
      </c>
      <c r="AO20">
        <f>VLOOKUP($J20,'[1]Table S6'!$A:$AI,32,FALSE)</f>
        <v>351.4</v>
      </c>
      <c r="AP20">
        <f>VLOOKUP($J20,'[1]Table S6'!$A:$AI,33,FALSE)</f>
        <v>0.747818684826559</v>
      </c>
      <c r="AQ20">
        <f>VLOOKUP($J20,'[1]Table S6'!$A:$AI,34,FALSE)</f>
        <v>5.8410000000000002</v>
      </c>
      <c r="AR20" t="str">
        <f>VLOOKUP($J20,'[1]Table S6'!$A:$AI,35,FALSE)</f>
        <v>No</v>
      </c>
      <c r="AT20" t="str">
        <f>VLOOKUP($I20,'[2]Table S5'!$A:$K,8,FALSE)</f>
        <v>Resistant</v>
      </c>
      <c r="AU20" t="str">
        <f>VLOOKUP($I20,'[2]Table S5'!$A:$K,9,FALSE)</f>
        <v>Sensitive</v>
      </c>
      <c r="AV20" t="str">
        <f>VLOOKUP($I20,'[2]Table S5'!$A:$K,10,FALSE)</f>
        <v>Resistant</v>
      </c>
      <c r="AW20" t="str">
        <f>VLOOKUP($I20,'[2]Table S5'!$A:$K,11,FALSE)</f>
        <v>Resistant</v>
      </c>
    </row>
    <row r="21" spans="1:49">
      <c r="A21" s="12" t="s">
        <v>154</v>
      </c>
      <c r="B21" t="s">
        <v>155</v>
      </c>
      <c r="C21" t="s">
        <v>156</v>
      </c>
      <c r="D21" t="s">
        <v>17</v>
      </c>
      <c r="E21" t="s">
        <v>157</v>
      </c>
      <c r="F21" s="12" t="s">
        <v>158</v>
      </c>
      <c r="G21" t="s">
        <v>159</v>
      </c>
      <c r="H21" t="s">
        <v>160</v>
      </c>
      <c r="I21" t="s">
        <v>152</v>
      </c>
      <c r="J21" t="s">
        <v>161</v>
      </c>
      <c r="K21">
        <f>VLOOKUP($J21,'[1]Table S6'!$A:$AI,2,FALSE)</f>
        <v>296.7</v>
      </c>
      <c r="L21">
        <f>VLOOKUP($J21,'[1]Table S6'!$A:$AI,3,FALSE)</f>
        <v>0.63141093849755303</v>
      </c>
      <c r="M21">
        <f>VLOOKUP($J21,'[1]Table S6'!$A:$AI,4,FALSE)</f>
        <v>0.85029999999999994</v>
      </c>
      <c r="N21" t="str">
        <f>VLOOKUP($J21,'[1]Table S6'!$A:$AI,5,FALSE)</f>
        <v>Yes</v>
      </c>
      <c r="P21">
        <f>VLOOKUP($J21,'[1]Table S6'!$A:$AI,7,FALSE)</f>
        <v>292</v>
      </c>
      <c r="Q21">
        <f>VLOOKUP($J21,'[1]Table S6'!$A:$AI,8,FALSE)</f>
        <v>0.62140881038518803</v>
      </c>
      <c r="R21">
        <f>VLOOKUP($J21,'[1]Table S6'!$A:$AI,9,FALSE)</f>
        <v>0.92649999999999999</v>
      </c>
      <c r="S21" t="str">
        <f>VLOOKUP($J21,'[1]Table S6'!$A:$AI,10,FALSE)</f>
        <v>Yes</v>
      </c>
      <c r="U21">
        <f>VLOOKUP($J21,'[1]Table S6'!$A:$AI,12,FALSE)</f>
        <v>366</v>
      </c>
      <c r="V21">
        <f>VLOOKUP($J21,'[1]Table S6'!$A:$AI,13,FALSE)</f>
        <v>0.778889125345818</v>
      </c>
      <c r="W21">
        <f>VLOOKUP($J21,'[1]Table S6'!$A:$AI,14,FALSE)</f>
        <v>9.6910000000000007</v>
      </c>
      <c r="X21" t="str">
        <f>VLOOKUP($J21,'[1]Table S6'!$A:$AI,15,FALSE)</f>
        <v>No</v>
      </c>
      <c r="Z21">
        <f>VLOOKUP($J21,'[1]Table S6'!$A:$AI,17,FALSE)</f>
        <v>305.5</v>
      </c>
      <c r="AA21">
        <f>VLOOKUP($J21,'[1]Table S6'!$A:$AI,18,FALSE)</f>
        <v>0.65013832730368204</v>
      </c>
      <c r="AB21">
        <f>VLOOKUP($J21,'[1]Table S6'!$A:$AI,19,FALSE)</f>
        <v>1.444</v>
      </c>
      <c r="AC21" t="str">
        <f>VLOOKUP($J21,'[1]Table S6'!$A:$AI,20,FALSE)</f>
        <v>Yes</v>
      </c>
      <c r="AE21">
        <f>VLOOKUP($J21,'[1]Table S6'!$A:$AI,22,FALSE)</f>
        <v>337.3</v>
      </c>
      <c r="AF21">
        <f>VLOOKUP($J21,'[1]Table S6'!$A:$AI,23,FALSE)</f>
        <v>0.71781230048946598</v>
      </c>
      <c r="AG21">
        <f>VLOOKUP($J21,'[1]Table S6'!$A:$AI,24,FALSE)</f>
        <v>2.395</v>
      </c>
      <c r="AH21" t="str">
        <f>VLOOKUP($J21,'[1]Table S6'!$A:$AI,25,FALSE)</f>
        <v>No</v>
      </c>
      <c r="AJ21">
        <f>VLOOKUP($J21,'[1]Table S6'!$A:$AI,27,FALSE)</f>
        <v>452</v>
      </c>
      <c r="AK21">
        <f>VLOOKUP($J21,'[1]Table S6'!$A:$AI,28,FALSE)</f>
        <v>0.96190678867844204</v>
      </c>
      <c r="AL21">
        <f>VLOOKUP($J21,'[1]Table S6'!$A:$AI,29,FALSE)</f>
        <v>150.80000000000001</v>
      </c>
      <c r="AM21" t="str">
        <f>VLOOKUP($J21,'[1]Table S6'!$A:$AI,30,FALSE)</f>
        <v>No</v>
      </c>
      <c r="AO21">
        <f>VLOOKUP($J21,'[1]Table S6'!$A:$AI,32,FALSE)</f>
        <v>364.1</v>
      </c>
      <c r="AP21">
        <f>VLOOKUP($J21,'[1]Table S6'!$A:$AI,33,FALSE)</f>
        <v>0.77484571185358597</v>
      </c>
      <c r="AQ21">
        <f>VLOOKUP($J21,'[1]Table S6'!$A:$AI,34,FALSE)</f>
        <v>7.8339999999999996</v>
      </c>
      <c r="AR21" t="str">
        <f>VLOOKUP($J21,'[1]Table S6'!$A:$AI,35,FALSE)</f>
        <v>No</v>
      </c>
      <c r="AT21" t="str">
        <f>VLOOKUP($I21,'[2]Table S5'!$A:$K,8,FALSE)</f>
        <v>Resistant</v>
      </c>
      <c r="AU21" t="str">
        <f>VLOOKUP($I21,'[2]Table S5'!$A:$K,9,FALSE)</f>
        <v>Sensitive</v>
      </c>
      <c r="AV21" t="str">
        <f>VLOOKUP($I21,'[2]Table S5'!$A:$K,10,FALSE)</f>
        <v>Resistant</v>
      </c>
      <c r="AW21" t="str">
        <f>VLOOKUP($I21,'[2]Table S5'!$A:$K,11,FALSE)</f>
        <v>Resistant</v>
      </c>
    </row>
    <row r="22" spans="1:49">
      <c r="A22" s="12" t="s">
        <v>162</v>
      </c>
      <c r="B22" t="s">
        <v>163</v>
      </c>
      <c r="C22" t="s">
        <v>164</v>
      </c>
      <c r="D22" t="s">
        <v>17</v>
      </c>
      <c r="E22" t="s">
        <v>165</v>
      </c>
      <c r="F22" s="12" t="s">
        <v>166</v>
      </c>
      <c r="G22" t="s">
        <v>167</v>
      </c>
      <c r="H22" t="s">
        <v>168</v>
      </c>
      <c r="I22" t="s">
        <v>152</v>
      </c>
      <c r="J22" t="s">
        <v>153</v>
      </c>
      <c r="K22">
        <f>VLOOKUP($J22,'[1]Table S6'!$A:$AI,2,FALSE)</f>
        <v>357.9</v>
      </c>
      <c r="L22">
        <f>VLOOKUP($J22,'[1]Table S6'!$A:$AI,3,FALSE)</f>
        <v>0.76165141519472201</v>
      </c>
      <c r="M22">
        <f>VLOOKUP($J22,'[1]Table S6'!$A:$AI,4,FALSE)</f>
        <v>9.0809999999999995</v>
      </c>
      <c r="N22" t="str">
        <f>VLOOKUP($J22,'[1]Table S6'!$A:$AI,5,FALSE)</f>
        <v>No</v>
      </c>
      <c r="P22">
        <f>VLOOKUP($J22,'[1]Table S6'!$A:$AI,7,FALSE)</f>
        <v>317.3</v>
      </c>
      <c r="Q22">
        <f>VLOOKUP($J22,'[1]Table S6'!$A:$AI,8,FALSE)</f>
        <v>0.67525005320280895</v>
      </c>
      <c r="R22">
        <f>VLOOKUP($J22,'[1]Table S6'!$A:$AI,9,FALSE)</f>
        <v>1.5469999999999999</v>
      </c>
      <c r="S22" t="str">
        <f>VLOOKUP($J22,'[1]Table S6'!$A:$AI,10,FALSE)</f>
        <v>Yes</v>
      </c>
      <c r="U22">
        <f>VLOOKUP($J22,'[1]Table S6'!$A:$AI,12,FALSE)</f>
        <v>339.2</v>
      </c>
      <c r="V22">
        <f>VLOOKUP($J22,'[1]Table S6'!$A:$AI,13,FALSE)</f>
        <v>0.72185571398169801</v>
      </c>
      <c r="W22">
        <f>VLOOKUP($J22,'[1]Table S6'!$A:$AI,14,FALSE)</f>
        <v>4.9660000000000002</v>
      </c>
      <c r="X22" t="str">
        <f>VLOOKUP($J22,'[1]Table S6'!$A:$AI,15,FALSE)</f>
        <v>No</v>
      </c>
      <c r="Z22">
        <f>VLOOKUP($J22,'[1]Table S6'!$A:$AI,17,FALSE)</f>
        <v>331.9</v>
      </c>
      <c r="AA22">
        <f>VLOOKUP($J22,'[1]Table S6'!$A:$AI,18,FALSE)</f>
        <v>0.70632049372206895</v>
      </c>
      <c r="AB22">
        <f>VLOOKUP($J22,'[1]Table S6'!$A:$AI,19,FALSE)</f>
        <v>3.2690000000000001</v>
      </c>
      <c r="AC22" t="str">
        <f>VLOOKUP($J22,'[1]Table S6'!$A:$AI,20,FALSE)</f>
        <v>No</v>
      </c>
      <c r="AE22">
        <f>VLOOKUP($J22,'[1]Table S6'!$A:$AI,22,FALSE)</f>
        <v>348.8</v>
      </c>
      <c r="AF22">
        <f>VLOOKUP($J22,'[1]Table S6'!$A:$AI,23,FALSE)</f>
        <v>0.74228559267929395</v>
      </c>
      <c r="AG22">
        <f>VLOOKUP($J22,'[1]Table S6'!$A:$AI,24,FALSE)</f>
        <v>5.93</v>
      </c>
      <c r="AH22" t="str">
        <f>VLOOKUP($J22,'[1]Table S6'!$A:$AI,25,FALSE)</f>
        <v>No</v>
      </c>
      <c r="AJ22">
        <f>VLOOKUP($J22,'[1]Table S6'!$A:$AI,27,FALSE)</f>
        <v>379.3</v>
      </c>
      <c r="AK22">
        <f>VLOOKUP($J22,'[1]Table S6'!$A:$AI,28,FALSE)</f>
        <v>0.80719301979144498</v>
      </c>
      <c r="AL22">
        <f>VLOOKUP($J22,'[1]Table S6'!$A:$AI,29,FALSE)</f>
        <v>10.199999999999999</v>
      </c>
      <c r="AM22" t="str">
        <f>VLOOKUP($J22,'[1]Table S6'!$A:$AI,30,FALSE)</f>
        <v>No</v>
      </c>
      <c r="AO22">
        <f>VLOOKUP($J22,'[1]Table S6'!$A:$AI,32,FALSE)</f>
        <v>351.4</v>
      </c>
      <c r="AP22">
        <f>VLOOKUP($J22,'[1]Table S6'!$A:$AI,33,FALSE)</f>
        <v>0.747818684826559</v>
      </c>
      <c r="AQ22">
        <f>VLOOKUP($J22,'[1]Table S6'!$A:$AI,34,FALSE)</f>
        <v>5.8410000000000002</v>
      </c>
      <c r="AR22" t="str">
        <f>VLOOKUP($J22,'[1]Table S6'!$A:$AI,35,FALSE)</f>
        <v>No</v>
      </c>
      <c r="AT22" t="str">
        <f>VLOOKUP($I22,'[2]Table S5'!$A:$K,8,FALSE)</f>
        <v>Resistant</v>
      </c>
      <c r="AU22" t="str">
        <f>VLOOKUP($I22,'[2]Table S5'!$A:$K,9,FALSE)</f>
        <v>Sensitive</v>
      </c>
      <c r="AV22" t="str">
        <f>VLOOKUP($I22,'[2]Table S5'!$A:$K,10,FALSE)</f>
        <v>Resistant</v>
      </c>
      <c r="AW22" t="str">
        <f>VLOOKUP($I22,'[2]Table S5'!$A:$K,11,FALSE)</f>
        <v>Resistant</v>
      </c>
    </row>
    <row r="23" spans="1:49">
      <c r="A23" s="12" t="s">
        <v>169</v>
      </c>
      <c r="B23" t="s">
        <v>170</v>
      </c>
      <c r="C23" t="s">
        <v>171</v>
      </c>
      <c r="D23" t="s">
        <v>17</v>
      </c>
      <c r="E23" t="s">
        <v>172</v>
      </c>
      <c r="F23" s="12" t="s">
        <v>173</v>
      </c>
      <c r="G23" t="s">
        <v>174</v>
      </c>
      <c r="H23" t="s">
        <v>175</v>
      </c>
      <c r="I23" t="s">
        <v>152</v>
      </c>
      <c r="J23" t="s">
        <v>161</v>
      </c>
      <c r="K23">
        <f>VLOOKUP($J23,'[1]Table S6'!$A:$AI,2,FALSE)</f>
        <v>296.7</v>
      </c>
      <c r="L23">
        <f>VLOOKUP($J23,'[1]Table S6'!$A:$AI,3,FALSE)</f>
        <v>0.63141093849755303</v>
      </c>
      <c r="M23">
        <f>VLOOKUP($J23,'[1]Table S6'!$A:$AI,4,FALSE)</f>
        <v>0.85029999999999994</v>
      </c>
      <c r="N23" t="str">
        <f>VLOOKUP($J23,'[1]Table S6'!$A:$AI,5,FALSE)</f>
        <v>Yes</v>
      </c>
      <c r="P23">
        <f>VLOOKUP($J23,'[1]Table S6'!$A:$AI,7,FALSE)</f>
        <v>292</v>
      </c>
      <c r="Q23">
        <f>VLOOKUP($J23,'[1]Table S6'!$A:$AI,8,FALSE)</f>
        <v>0.62140881038518803</v>
      </c>
      <c r="R23">
        <f>VLOOKUP($J23,'[1]Table S6'!$A:$AI,9,FALSE)</f>
        <v>0.92649999999999999</v>
      </c>
      <c r="S23" t="str">
        <f>VLOOKUP($J23,'[1]Table S6'!$A:$AI,10,FALSE)</f>
        <v>Yes</v>
      </c>
      <c r="U23">
        <f>VLOOKUP($J23,'[1]Table S6'!$A:$AI,12,FALSE)</f>
        <v>366</v>
      </c>
      <c r="V23">
        <f>VLOOKUP($J23,'[1]Table S6'!$A:$AI,13,FALSE)</f>
        <v>0.778889125345818</v>
      </c>
      <c r="W23">
        <f>VLOOKUP($J23,'[1]Table S6'!$A:$AI,14,FALSE)</f>
        <v>9.6910000000000007</v>
      </c>
      <c r="X23" t="str">
        <f>VLOOKUP($J23,'[1]Table S6'!$A:$AI,15,FALSE)</f>
        <v>No</v>
      </c>
      <c r="Z23">
        <f>VLOOKUP($J23,'[1]Table S6'!$A:$AI,17,FALSE)</f>
        <v>305.5</v>
      </c>
      <c r="AA23">
        <f>VLOOKUP($J23,'[1]Table S6'!$A:$AI,18,FALSE)</f>
        <v>0.65013832730368204</v>
      </c>
      <c r="AB23">
        <f>VLOOKUP($J23,'[1]Table S6'!$A:$AI,19,FALSE)</f>
        <v>1.444</v>
      </c>
      <c r="AC23" t="str">
        <f>VLOOKUP($J23,'[1]Table S6'!$A:$AI,20,FALSE)</f>
        <v>Yes</v>
      </c>
      <c r="AE23">
        <f>VLOOKUP($J23,'[1]Table S6'!$A:$AI,22,FALSE)</f>
        <v>337.3</v>
      </c>
      <c r="AF23">
        <f>VLOOKUP($J23,'[1]Table S6'!$A:$AI,23,FALSE)</f>
        <v>0.71781230048946598</v>
      </c>
      <c r="AG23">
        <f>VLOOKUP($J23,'[1]Table S6'!$A:$AI,24,FALSE)</f>
        <v>2.395</v>
      </c>
      <c r="AH23" t="str">
        <f>VLOOKUP($J23,'[1]Table S6'!$A:$AI,25,FALSE)</f>
        <v>No</v>
      </c>
      <c r="AJ23">
        <f>VLOOKUP($J23,'[1]Table S6'!$A:$AI,27,FALSE)</f>
        <v>452</v>
      </c>
      <c r="AK23">
        <f>VLOOKUP($J23,'[1]Table S6'!$A:$AI,28,FALSE)</f>
        <v>0.96190678867844204</v>
      </c>
      <c r="AL23">
        <f>VLOOKUP($J23,'[1]Table S6'!$A:$AI,29,FALSE)</f>
        <v>150.80000000000001</v>
      </c>
      <c r="AM23" t="str">
        <f>VLOOKUP($J23,'[1]Table S6'!$A:$AI,30,FALSE)</f>
        <v>No</v>
      </c>
      <c r="AO23">
        <f>VLOOKUP($J23,'[1]Table S6'!$A:$AI,32,FALSE)</f>
        <v>364.1</v>
      </c>
      <c r="AP23">
        <f>VLOOKUP($J23,'[1]Table S6'!$A:$AI,33,FALSE)</f>
        <v>0.77484571185358597</v>
      </c>
      <c r="AQ23">
        <f>VLOOKUP($J23,'[1]Table S6'!$A:$AI,34,FALSE)</f>
        <v>7.8339999999999996</v>
      </c>
      <c r="AR23" t="str">
        <f>VLOOKUP($J23,'[1]Table S6'!$A:$AI,35,FALSE)</f>
        <v>No</v>
      </c>
      <c r="AT23" t="str">
        <f>VLOOKUP($I23,'[2]Table S5'!$A:$K,8,FALSE)</f>
        <v>Resistant</v>
      </c>
      <c r="AU23" t="str">
        <f>VLOOKUP($I23,'[2]Table S5'!$A:$K,9,FALSE)</f>
        <v>Sensitive</v>
      </c>
      <c r="AV23" t="str">
        <f>VLOOKUP($I23,'[2]Table S5'!$A:$K,10,FALSE)</f>
        <v>Resistant</v>
      </c>
      <c r="AW23" t="str">
        <f>VLOOKUP($I23,'[2]Table S5'!$A:$K,11,FALSE)</f>
        <v>Resistant</v>
      </c>
    </row>
    <row r="24" spans="1:49">
      <c r="A24" s="12" t="s">
        <v>176</v>
      </c>
      <c r="B24" t="s">
        <v>177</v>
      </c>
      <c r="C24" t="s">
        <v>178</v>
      </c>
      <c r="D24" t="s">
        <v>17</v>
      </c>
      <c r="E24" t="s">
        <v>179</v>
      </c>
      <c r="F24" s="12" t="s">
        <v>180</v>
      </c>
      <c r="G24" t="s">
        <v>181</v>
      </c>
      <c r="H24" t="s">
        <v>182</v>
      </c>
      <c r="I24" t="s">
        <v>152</v>
      </c>
      <c r="J24" t="s">
        <v>152</v>
      </c>
      <c r="K24" t="e">
        <f>VLOOKUP($J24,'[1]Table S6'!$A:$AI,2,FALSE)</f>
        <v>#N/A</v>
      </c>
      <c r="L24" t="e">
        <f>VLOOKUP($J24,'[1]Table S6'!$A:$AI,3,FALSE)</f>
        <v>#N/A</v>
      </c>
      <c r="M24" t="e">
        <f>VLOOKUP($J24,'[1]Table S6'!$A:$AI,4,FALSE)</f>
        <v>#N/A</v>
      </c>
      <c r="N24" t="e">
        <f>VLOOKUP($J24,'[1]Table S6'!$A:$AI,5,FALSE)</f>
        <v>#N/A</v>
      </c>
      <c r="P24" t="e">
        <f>VLOOKUP($J24,'[1]Table S6'!$A:$AI,7,FALSE)</f>
        <v>#N/A</v>
      </c>
      <c r="Q24" t="e">
        <f>VLOOKUP($J24,'[1]Table S6'!$A:$AI,8,FALSE)</f>
        <v>#N/A</v>
      </c>
      <c r="R24" t="e">
        <f>VLOOKUP($J24,'[1]Table S6'!$A:$AI,9,FALSE)</f>
        <v>#N/A</v>
      </c>
      <c r="S24" t="e">
        <f>VLOOKUP($J24,'[1]Table S6'!$A:$AI,10,FALSE)</f>
        <v>#N/A</v>
      </c>
      <c r="U24" t="e">
        <f>VLOOKUP($J24,'[1]Table S6'!$A:$AI,12,FALSE)</f>
        <v>#N/A</v>
      </c>
      <c r="V24" t="e">
        <f>VLOOKUP($J24,'[1]Table S6'!$A:$AI,13,FALSE)</f>
        <v>#N/A</v>
      </c>
      <c r="W24" t="e">
        <f>VLOOKUP($J24,'[1]Table S6'!$A:$AI,14,FALSE)</f>
        <v>#N/A</v>
      </c>
      <c r="X24" t="e">
        <f>VLOOKUP($J24,'[1]Table S6'!$A:$AI,15,FALSE)</f>
        <v>#N/A</v>
      </c>
      <c r="Z24" t="e">
        <f>VLOOKUP($J24,'[1]Table S6'!$A:$AI,17,FALSE)</f>
        <v>#N/A</v>
      </c>
      <c r="AA24" t="e">
        <f>VLOOKUP($J24,'[1]Table S6'!$A:$AI,18,FALSE)</f>
        <v>#N/A</v>
      </c>
      <c r="AB24" t="e">
        <f>VLOOKUP($J24,'[1]Table S6'!$A:$AI,19,FALSE)</f>
        <v>#N/A</v>
      </c>
      <c r="AC24" t="e">
        <f>VLOOKUP($J24,'[1]Table S6'!$A:$AI,20,FALSE)</f>
        <v>#N/A</v>
      </c>
      <c r="AE24" t="e">
        <f>VLOOKUP($J24,'[1]Table S6'!$A:$AI,22,FALSE)</f>
        <v>#N/A</v>
      </c>
      <c r="AF24" t="e">
        <f>VLOOKUP($J24,'[1]Table S6'!$A:$AI,23,FALSE)</f>
        <v>#N/A</v>
      </c>
      <c r="AG24" t="e">
        <f>VLOOKUP($J24,'[1]Table S6'!$A:$AI,24,FALSE)</f>
        <v>#N/A</v>
      </c>
      <c r="AH24" t="e">
        <f>VLOOKUP($J24,'[1]Table S6'!$A:$AI,25,FALSE)</f>
        <v>#N/A</v>
      </c>
      <c r="AJ24" t="e">
        <f>VLOOKUP($J24,'[1]Table S6'!$A:$AI,27,FALSE)</f>
        <v>#N/A</v>
      </c>
      <c r="AK24" t="e">
        <f>VLOOKUP($J24,'[1]Table S6'!$A:$AI,28,FALSE)</f>
        <v>#N/A</v>
      </c>
      <c r="AL24" t="e">
        <f>VLOOKUP($J24,'[1]Table S6'!$A:$AI,29,FALSE)</f>
        <v>#N/A</v>
      </c>
      <c r="AM24" t="e">
        <f>VLOOKUP($J24,'[1]Table S6'!$A:$AI,30,FALSE)</f>
        <v>#N/A</v>
      </c>
      <c r="AO24" t="e">
        <f>VLOOKUP($J24,'[1]Table S6'!$A:$AI,32,FALSE)</f>
        <v>#N/A</v>
      </c>
      <c r="AP24" t="e">
        <f>VLOOKUP($J24,'[1]Table S6'!$A:$AI,33,FALSE)</f>
        <v>#N/A</v>
      </c>
      <c r="AQ24" t="e">
        <f>VLOOKUP($J24,'[1]Table S6'!$A:$AI,34,FALSE)</f>
        <v>#N/A</v>
      </c>
      <c r="AR24" t="e">
        <f>VLOOKUP($J24,'[1]Table S6'!$A:$AI,35,FALSE)</f>
        <v>#N/A</v>
      </c>
      <c r="AT24" t="str">
        <f>VLOOKUP($I24,'[2]Table S5'!$A:$K,8,FALSE)</f>
        <v>Resistant</v>
      </c>
      <c r="AU24" t="str">
        <f>VLOOKUP($I24,'[2]Table S5'!$A:$K,9,FALSE)</f>
        <v>Sensitive</v>
      </c>
      <c r="AV24" t="str">
        <f>VLOOKUP($I24,'[2]Table S5'!$A:$K,10,FALSE)</f>
        <v>Resistant</v>
      </c>
      <c r="AW24" t="str">
        <f>VLOOKUP($I24,'[2]Table S5'!$A:$K,11,FALSE)</f>
        <v>Resistant</v>
      </c>
    </row>
    <row r="25" spans="1:49">
      <c r="A25" s="12" t="s">
        <v>183</v>
      </c>
      <c r="B25" t="s">
        <v>184</v>
      </c>
      <c r="C25" t="s">
        <v>185</v>
      </c>
      <c r="D25" t="s">
        <v>17</v>
      </c>
      <c r="E25" t="s">
        <v>186</v>
      </c>
      <c r="F25" s="12" t="s">
        <v>187</v>
      </c>
      <c r="G25" t="s">
        <v>188</v>
      </c>
      <c r="H25" t="s">
        <v>189</v>
      </c>
      <c r="I25" t="s">
        <v>190</v>
      </c>
      <c r="J25" t="s">
        <v>190</v>
      </c>
      <c r="K25" t="e">
        <f>VLOOKUP($J25,'[1]Table S6'!$A:$AI,2,FALSE)</f>
        <v>#N/A</v>
      </c>
      <c r="L25" t="e">
        <f>VLOOKUP($J25,'[1]Table S6'!$A:$AI,3,FALSE)</f>
        <v>#N/A</v>
      </c>
      <c r="M25" t="e">
        <f>VLOOKUP($J25,'[1]Table S6'!$A:$AI,4,FALSE)</f>
        <v>#N/A</v>
      </c>
      <c r="N25" t="e">
        <f>VLOOKUP($J25,'[1]Table S6'!$A:$AI,5,FALSE)</f>
        <v>#N/A</v>
      </c>
      <c r="P25" t="e">
        <f>VLOOKUP($J25,'[1]Table S6'!$A:$AI,7,FALSE)</f>
        <v>#N/A</v>
      </c>
      <c r="Q25" t="e">
        <f>VLOOKUP($J25,'[1]Table S6'!$A:$AI,8,FALSE)</f>
        <v>#N/A</v>
      </c>
      <c r="R25" t="e">
        <f>VLOOKUP($J25,'[1]Table S6'!$A:$AI,9,FALSE)</f>
        <v>#N/A</v>
      </c>
      <c r="S25" t="e">
        <f>VLOOKUP($J25,'[1]Table S6'!$A:$AI,10,FALSE)</f>
        <v>#N/A</v>
      </c>
      <c r="U25" t="e">
        <f>VLOOKUP($J25,'[1]Table S6'!$A:$AI,12,FALSE)</f>
        <v>#N/A</v>
      </c>
      <c r="V25" t="e">
        <f>VLOOKUP($J25,'[1]Table S6'!$A:$AI,13,FALSE)</f>
        <v>#N/A</v>
      </c>
      <c r="W25" t="e">
        <f>VLOOKUP($J25,'[1]Table S6'!$A:$AI,14,FALSE)</f>
        <v>#N/A</v>
      </c>
      <c r="X25" t="e">
        <f>VLOOKUP($J25,'[1]Table S6'!$A:$AI,15,FALSE)</f>
        <v>#N/A</v>
      </c>
      <c r="Z25" t="e">
        <f>VLOOKUP($J25,'[1]Table S6'!$A:$AI,17,FALSE)</f>
        <v>#N/A</v>
      </c>
      <c r="AA25" t="e">
        <f>VLOOKUP($J25,'[1]Table S6'!$A:$AI,18,FALSE)</f>
        <v>#N/A</v>
      </c>
      <c r="AB25" t="e">
        <f>VLOOKUP($J25,'[1]Table S6'!$A:$AI,19,FALSE)</f>
        <v>#N/A</v>
      </c>
      <c r="AC25" t="e">
        <f>VLOOKUP($J25,'[1]Table S6'!$A:$AI,20,FALSE)</f>
        <v>#N/A</v>
      </c>
      <c r="AE25" t="e">
        <f>VLOOKUP($J25,'[1]Table S6'!$A:$AI,22,FALSE)</f>
        <v>#N/A</v>
      </c>
      <c r="AF25" t="e">
        <f>VLOOKUP($J25,'[1]Table S6'!$A:$AI,23,FALSE)</f>
        <v>#N/A</v>
      </c>
      <c r="AG25" t="e">
        <f>VLOOKUP($J25,'[1]Table S6'!$A:$AI,24,FALSE)</f>
        <v>#N/A</v>
      </c>
      <c r="AH25" t="e">
        <f>VLOOKUP($J25,'[1]Table S6'!$A:$AI,25,FALSE)</f>
        <v>#N/A</v>
      </c>
      <c r="AJ25" t="e">
        <f>VLOOKUP($J25,'[1]Table S6'!$A:$AI,27,FALSE)</f>
        <v>#N/A</v>
      </c>
      <c r="AK25" t="e">
        <f>VLOOKUP($J25,'[1]Table S6'!$A:$AI,28,FALSE)</f>
        <v>#N/A</v>
      </c>
      <c r="AL25" t="e">
        <f>VLOOKUP($J25,'[1]Table S6'!$A:$AI,29,FALSE)</f>
        <v>#N/A</v>
      </c>
      <c r="AM25" t="e">
        <f>VLOOKUP($J25,'[1]Table S6'!$A:$AI,30,FALSE)</f>
        <v>#N/A</v>
      </c>
      <c r="AO25" t="e">
        <f>VLOOKUP($J25,'[1]Table S6'!$A:$AI,32,FALSE)</f>
        <v>#N/A</v>
      </c>
      <c r="AP25" t="e">
        <f>VLOOKUP($J25,'[1]Table S6'!$A:$AI,33,FALSE)</f>
        <v>#N/A</v>
      </c>
      <c r="AQ25" t="e">
        <f>VLOOKUP($J25,'[1]Table S6'!$A:$AI,34,FALSE)</f>
        <v>#N/A</v>
      </c>
      <c r="AR25" t="e">
        <f>VLOOKUP($J25,'[1]Table S6'!$A:$AI,35,FALSE)</f>
        <v>#N/A</v>
      </c>
      <c r="AT25" t="str">
        <f>VLOOKUP($I25,'[2]Table S5'!$A:$K,8,FALSE)</f>
        <v>Resistant</v>
      </c>
      <c r="AU25" t="str">
        <f>VLOOKUP($I25,'[2]Table S5'!$A:$K,9,FALSE)</f>
        <v>Resistant</v>
      </c>
      <c r="AV25" t="str">
        <f>VLOOKUP($I25,'[2]Table S5'!$A:$K,10,FALSE)</f>
        <v>Resistant</v>
      </c>
      <c r="AW25" t="str">
        <f>VLOOKUP($I25,'[2]Table S5'!$A:$K,11,FALSE)</f>
        <v>Resistant</v>
      </c>
    </row>
    <row r="26" spans="1:49">
      <c r="A26" s="12" t="s">
        <v>191</v>
      </c>
      <c r="B26" t="s">
        <v>192</v>
      </c>
      <c r="C26" t="s">
        <v>193</v>
      </c>
      <c r="D26" t="s">
        <v>17</v>
      </c>
      <c r="E26" t="s">
        <v>194</v>
      </c>
      <c r="F26" s="12" t="s">
        <v>195</v>
      </c>
      <c r="G26" t="s">
        <v>196</v>
      </c>
      <c r="H26" t="s">
        <v>197</v>
      </c>
      <c r="I26" t="s">
        <v>190</v>
      </c>
      <c r="J26" t="s">
        <v>198</v>
      </c>
      <c r="K26">
        <f>VLOOKUP($J26,'[1]Table S6'!$A:$AI,2,FALSE)</f>
        <v>343.8</v>
      </c>
      <c r="L26">
        <f>VLOOKUP($J26,'[1]Table S6'!$A:$AI,3,FALSE)</f>
        <v>0.731645030857629</v>
      </c>
      <c r="M26">
        <f>VLOOKUP($J26,'[1]Table S6'!$A:$AI,4,FALSE)</f>
        <v>4.8529999999999998</v>
      </c>
      <c r="N26" t="str">
        <f>VLOOKUP($J26,'[1]Table S6'!$A:$AI,5,FALSE)</f>
        <v>No</v>
      </c>
      <c r="P26">
        <f>VLOOKUP($J26,'[1]Table S6'!$A:$AI,7,FALSE)</f>
        <v>354.7</v>
      </c>
      <c r="Q26">
        <f>VLOOKUP($J26,'[1]Table S6'!$A:$AI,8,FALSE)</f>
        <v>0.75484145562885696</v>
      </c>
      <c r="R26">
        <f>VLOOKUP($J26,'[1]Table S6'!$A:$AI,9,FALSE)</f>
        <v>5.9210000000000003</v>
      </c>
      <c r="S26" t="str">
        <f>VLOOKUP($J26,'[1]Table S6'!$A:$AI,10,FALSE)</f>
        <v>No</v>
      </c>
      <c r="U26">
        <f>VLOOKUP($J26,'[1]Table S6'!$A:$AI,12,FALSE)</f>
        <v>384</v>
      </c>
      <c r="V26">
        <f>VLOOKUP($J26,'[1]Table S6'!$A:$AI,13,FALSE)</f>
        <v>0.81719514790380898</v>
      </c>
      <c r="W26">
        <f>VLOOKUP($J26,'[1]Table S6'!$A:$AI,14,FALSE)</f>
        <v>9.4730000000000008</v>
      </c>
      <c r="X26" t="str">
        <f>VLOOKUP($J26,'[1]Table S6'!$A:$AI,15,FALSE)</f>
        <v>No</v>
      </c>
      <c r="Z26">
        <f>VLOOKUP($J26,'[1]Table S6'!$A:$AI,17,FALSE)</f>
        <v>389.1</v>
      </c>
      <c r="AA26">
        <f>VLOOKUP($J26,'[1]Table S6'!$A:$AI,18,FALSE)</f>
        <v>0.82804852096190695</v>
      </c>
      <c r="AB26">
        <f>VLOOKUP($J26,'[1]Table S6'!$A:$AI,19,FALSE)</f>
        <v>18.2</v>
      </c>
      <c r="AC26" t="str">
        <f>VLOOKUP($J26,'[1]Table S6'!$A:$AI,20,FALSE)</f>
        <v>No</v>
      </c>
      <c r="AE26">
        <f>VLOOKUP($J26,'[1]Table S6'!$A:$AI,22,FALSE)</f>
        <v>357.9</v>
      </c>
      <c r="AF26">
        <f>VLOOKUP($J26,'[1]Table S6'!$A:$AI,23,FALSE)</f>
        <v>0.76165141519472201</v>
      </c>
      <c r="AG26">
        <f>VLOOKUP($J26,'[1]Table S6'!$A:$AI,24,FALSE)</f>
        <v>8.5779999999999994</v>
      </c>
      <c r="AH26" t="str">
        <f>VLOOKUP($J26,'[1]Table S6'!$A:$AI,25,FALSE)</f>
        <v>No</v>
      </c>
      <c r="AJ26">
        <f>VLOOKUP($J26,'[1]Table S6'!$A:$AI,27,FALSE)</f>
        <v>461.2</v>
      </c>
      <c r="AK26">
        <f>VLOOKUP($J26,'[1]Table S6'!$A:$AI,28,FALSE)</f>
        <v>0.98148542243030401</v>
      </c>
      <c r="AL26">
        <f>VLOOKUP($J26,'[1]Table S6'!$A:$AI,29,FALSE)</f>
        <v>269.39999999999998</v>
      </c>
      <c r="AM26" t="str">
        <f>VLOOKUP($J26,'[1]Table S6'!$A:$AI,30,FALSE)</f>
        <v>No</v>
      </c>
      <c r="AO26">
        <f>VLOOKUP($J26,'[1]Table S6'!$A:$AI,32,FALSE)</f>
        <v>420</v>
      </c>
      <c r="AP26">
        <f>VLOOKUP($J26,'[1]Table S6'!$A:$AI,33,FALSE)</f>
        <v>0.89380719301979195</v>
      </c>
      <c r="AQ26">
        <f>VLOOKUP($J26,'[1]Table S6'!$A:$AI,34,FALSE)</f>
        <v>261.8</v>
      </c>
      <c r="AR26" t="str">
        <f>VLOOKUP($J26,'[1]Table S6'!$A:$AI,35,FALSE)</f>
        <v>No</v>
      </c>
      <c r="AT26" t="str">
        <f>VLOOKUP($I26,'[2]Table S5'!$A:$K,8,FALSE)</f>
        <v>Resistant</v>
      </c>
      <c r="AU26" t="str">
        <f>VLOOKUP($I26,'[2]Table S5'!$A:$K,9,FALSE)</f>
        <v>Resistant</v>
      </c>
      <c r="AV26" t="str">
        <f>VLOOKUP($I26,'[2]Table S5'!$A:$K,10,FALSE)</f>
        <v>Resistant</v>
      </c>
      <c r="AW26" t="str">
        <f>VLOOKUP($I26,'[2]Table S5'!$A:$K,11,FALSE)</f>
        <v>Resistant</v>
      </c>
    </row>
    <row r="27" spans="1:49">
      <c r="A27" s="12" t="s">
        <v>199</v>
      </c>
      <c r="B27" t="s">
        <v>200</v>
      </c>
      <c r="C27" t="s">
        <v>201</v>
      </c>
      <c r="D27" t="s">
        <v>17</v>
      </c>
      <c r="E27" t="s">
        <v>202</v>
      </c>
      <c r="F27" s="12" t="s">
        <v>203</v>
      </c>
      <c r="G27" t="s">
        <v>204</v>
      </c>
      <c r="H27" t="s">
        <v>205</v>
      </c>
      <c r="I27" t="s">
        <v>190</v>
      </c>
      <c r="J27" t="s">
        <v>206</v>
      </c>
      <c r="K27">
        <f>VLOOKUP($J27,'[1]Table S6'!$A:$AI,2,FALSE)</f>
        <v>305.89999999999998</v>
      </c>
      <c r="L27">
        <f>VLOOKUP($J27,'[1]Table S6'!$A:$AI,3,FALSE)</f>
        <v>0.650989572249415</v>
      </c>
      <c r="M27">
        <f>VLOOKUP($J27,'[1]Table S6'!$A:$AI,4,FALSE)</f>
        <v>1.4870000000000001</v>
      </c>
      <c r="N27" t="str">
        <f>VLOOKUP($J27,'[1]Table S6'!$A:$AI,5,FALSE)</f>
        <v>Yes</v>
      </c>
      <c r="P27">
        <f>VLOOKUP($J27,'[1]Table S6'!$A:$AI,7,FALSE)</f>
        <v>363</v>
      </c>
      <c r="Q27">
        <f>VLOOKUP($J27,'[1]Table S6'!$A:$AI,8,FALSE)</f>
        <v>0.77250478825281998</v>
      </c>
      <c r="R27">
        <f>VLOOKUP($J27,'[1]Table S6'!$A:$AI,9,FALSE)</f>
        <v>9.5350000000000001</v>
      </c>
      <c r="S27" t="str">
        <f>VLOOKUP($J27,'[1]Table S6'!$A:$AI,10,FALSE)</f>
        <v>No</v>
      </c>
      <c r="U27">
        <f>VLOOKUP($J27,'[1]Table S6'!$A:$AI,12,FALSE)</f>
        <v>346.1</v>
      </c>
      <c r="V27">
        <f>VLOOKUP($J27,'[1]Table S6'!$A:$AI,13,FALSE)</f>
        <v>0.73653968929559499</v>
      </c>
      <c r="W27">
        <f>VLOOKUP($J27,'[1]Table S6'!$A:$AI,14,FALSE)</f>
        <v>5.7060000000000004</v>
      </c>
      <c r="X27" t="str">
        <f>VLOOKUP($J27,'[1]Table S6'!$A:$AI,15,FALSE)</f>
        <v>No</v>
      </c>
      <c r="Z27">
        <f>VLOOKUP($J27,'[1]Table S6'!$A:$AI,17,FALSE)</f>
        <v>341.2</v>
      </c>
      <c r="AA27">
        <f>VLOOKUP($J27,'[1]Table S6'!$A:$AI,18,FALSE)</f>
        <v>0.72611193871036395</v>
      </c>
      <c r="AB27">
        <f>VLOOKUP($J27,'[1]Table S6'!$A:$AI,19,FALSE)</f>
        <v>4.5330000000000004</v>
      </c>
      <c r="AC27" t="str">
        <f>VLOOKUP($J27,'[1]Table S6'!$A:$AI,20,FALSE)</f>
        <v>No</v>
      </c>
      <c r="AE27">
        <f>VLOOKUP($J27,'[1]Table S6'!$A:$AI,22,FALSE)</f>
        <v>336.9</v>
      </c>
      <c r="AF27">
        <f>VLOOKUP($J27,'[1]Table S6'!$A:$AI,23,FALSE)</f>
        <v>0.71696105554373302</v>
      </c>
      <c r="AG27">
        <f>VLOOKUP($J27,'[1]Table S6'!$A:$AI,24,FALSE)</f>
        <v>3.6659999999999999</v>
      </c>
      <c r="AH27" t="str">
        <f>VLOOKUP($J27,'[1]Table S6'!$A:$AI,25,FALSE)</f>
        <v>No</v>
      </c>
      <c r="AJ27">
        <f>VLOOKUP($J27,'[1]Table S6'!$A:$AI,27,FALSE)</f>
        <v>408.9</v>
      </c>
      <c r="AK27">
        <f>VLOOKUP($J27,'[1]Table S6'!$A:$AI,28,FALSE)</f>
        <v>0.87018514577569706</v>
      </c>
      <c r="AL27">
        <f>VLOOKUP($J27,'[1]Table S6'!$A:$AI,29,FALSE)</f>
        <v>119.7</v>
      </c>
      <c r="AM27" t="str">
        <f>VLOOKUP($J27,'[1]Table S6'!$A:$AI,30,FALSE)</f>
        <v>No</v>
      </c>
      <c r="AO27">
        <f>VLOOKUP($J27,'[1]Table S6'!$A:$AI,32,FALSE)</f>
        <v>431.7</v>
      </c>
      <c r="AP27">
        <f>VLOOKUP($J27,'[1]Table S6'!$A:$AI,33,FALSE)</f>
        <v>0.91870610768248595</v>
      </c>
      <c r="AQ27">
        <f>VLOOKUP($J27,'[1]Table S6'!$A:$AI,34,FALSE)</f>
        <v>243.9</v>
      </c>
      <c r="AR27" t="str">
        <f>VLOOKUP($J27,'[1]Table S6'!$A:$AI,35,FALSE)</f>
        <v>No</v>
      </c>
      <c r="AT27" t="str">
        <f>VLOOKUP($I27,'[2]Table S5'!$A:$K,8,FALSE)</f>
        <v>Resistant</v>
      </c>
      <c r="AU27" t="str">
        <f>VLOOKUP($I27,'[2]Table S5'!$A:$K,9,FALSE)</f>
        <v>Resistant</v>
      </c>
      <c r="AV27" t="str">
        <f>VLOOKUP($I27,'[2]Table S5'!$A:$K,10,FALSE)</f>
        <v>Resistant</v>
      </c>
      <c r="AW27" t="str">
        <f>VLOOKUP($I27,'[2]Table S5'!$A:$K,11,FALSE)</f>
        <v>Resistant</v>
      </c>
    </row>
    <row r="28" spans="1:49">
      <c r="A28" s="12" t="s">
        <v>207</v>
      </c>
      <c r="B28" t="s">
        <v>208</v>
      </c>
      <c r="C28" t="s">
        <v>209</v>
      </c>
      <c r="D28" t="s">
        <v>17</v>
      </c>
      <c r="E28" t="s">
        <v>210</v>
      </c>
      <c r="F28" s="12" t="s">
        <v>211</v>
      </c>
      <c r="G28" t="s">
        <v>212</v>
      </c>
      <c r="H28" t="s">
        <v>213</v>
      </c>
      <c r="I28" t="s">
        <v>190</v>
      </c>
      <c r="J28" t="s">
        <v>214</v>
      </c>
      <c r="K28">
        <f>VLOOKUP($J28,'[1]Table S6'!$A:$AI,2,FALSE)</f>
        <v>284.10000000000002</v>
      </c>
      <c r="L28">
        <f>VLOOKUP($J28,'[1]Table S6'!$A:$AI,3,FALSE)</f>
        <v>0.60459672270695897</v>
      </c>
      <c r="M28">
        <f>VLOOKUP($J28,'[1]Table S6'!$A:$AI,4,FALSE)</f>
        <v>0.70130000000000003</v>
      </c>
      <c r="N28" t="str">
        <f>VLOOKUP($J28,'[1]Table S6'!$A:$AI,5,FALSE)</f>
        <v>Yes</v>
      </c>
      <c r="P28">
        <f>VLOOKUP($J28,'[1]Table S6'!$A:$AI,7,FALSE)</f>
        <v>358.8</v>
      </c>
      <c r="Q28">
        <f>VLOOKUP($J28,'[1]Table S6'!$A:$AI,8,FALSE)</f>
        <v>0.76356671632262196</v>
      </c>
      <c r="R28">
        <f>VLOOKUP($J28,'[1]Table S6'!$A:$AI,9,FALSE)</f>
        <v>9.7089999999999996</v>
      </c>
      <c r="S28" t="str">
        <f>VLOOKUP($J28,'[1]Table S6'!$A:$AI,10,FALSE)</f>
        <v>No</v>
      </c>
      <c r="U28">
        <f>VLOOKUP($J28,'[1]Table S6'!$A:$AI,12,FALSE)</f>
        <v>304.7</v>
      </c>
      <c r="V28">
        <f>VLOOKUP($J28,'[1]Table S6'!$A:$AI,13,FALSE)</f>
        <v>0.648435837412215</v>
      </c>
      <c r="W28">
        <f>VLOOKUP($J28,'[1]Table S6'!$A:$AI,14,FALSE)</f>
        <v>1.8160000000000001</v>
      </c>
      <c r="X28" t="str">
        <f>VLOOKUP($J28,'[1]Table S6'!$A:$AI,15,FALSE)</f>
        <v>Yes</v>
      </c>
      <c r="Z28">
        <f>VLOOKUP($J28,'[1]Table S6'!$A:$AI,17,FALSE)</f>
        <v>367.2</v>
      </c>
      <c r="AA28">
        <f>VLOOKUP($J28,'[1]Table S6'!$A:$AI,18,FALSE)</f>
        <v>0.78144286018301801</v>
      </c>
      <c r="AB28">
        <f>VLOOKUP($J28,'[1]Table S6'!$A:$AI,19,FALSE)</f>
        <v>9.9269999999999996</v>
      </c>
      <c r="AC28" t="str">
        <f>VLOOKUP($J28,'[1]Table S6'!$A:$AI,20,FALSE)</f>
        <v>No</v>
      </c>
      <c r="AE28">
        <f>VLOOKUP($J28,'[1]Table S6'!$A:$AI,22,FALSE)</f>
        <v>290.89999999999998</v>
      </c>
      <c r="AF28">
        <f>VLOOKUP($J28,'[1]Table S6'!$A:$AI,23,FALSE)</f>
        <v>0.61906788678442204</v>
      </c>
      <c r="AG28">
        <f>VLOOKUP($J28,'[1]Table S6'!$A:$AI,24,FALSE)</f>
        <v>0.98629999999999995</v>
      </c>
      <c r="AH28" t="str">
        <f>VLOOKUP($J28,'[1]Table S6'!$A:$AI,25,FALSE)</f>
        <v>Yes</v>
      </c>
      <c r="AJ28">
        <f>VLOOKUP($J28,'[1]Table S6'!$A:$AI,27,FALSE)</f>
        <v>407.1</v>
      </c>
      <c r="AK28">
        <f>VLOOKUP($J28,'[1]Table S6'!$A:$AI,28,FALSE)</f>
        <v>0.86635454351989805</v>
      </c>
      <c r="AL28">
        <f>VLOOKUP($J28,'[1]Table S6'!$A:$AI,29,FALSE)</f>
        <v>123.8</v>
      </c>
      <c r="AM28" t="str">
        <f>VLOOKUP($J28,'[1]Table S6'!$A:$AI,30,FALSE)</f>
        <v>No</v>
      </c>
      <c r="AO28">
        <f>VLOOKUP($J28,'[1]Table S6'!$A:$AI,32,FALSE)</f>
        <v>407.2</v>
      </c>
      <c r="AP28">
        <f>VLOOKUP($J28,'[1]Table S6'!$A:$AI,33,FALSE)</f>
        <v>0.86656735475633095</v>
      </c>
      <c r="AQ28">
        <f>VLOOKUP($J28,'[1]Table S6'!$A:$AI,34,FALSE)</f>
        <v>80.69</v>
      </c>
      <c r="AR28" t="str">
        <f>VLOOKUP($J28,'[1]Table S6'!$A:$AI,35,FALSE)</f>
        <v>No</v>
      </c>
      <c r="AT28" t="str">
        <f>VLOOKUP($I28,'[2]Table S5'!$A:$K,8,FALSE)</f>
        <v>Resistant</v>
      </c>
      <c r="AU28" t="str">
        <f>VLOOKUP($I28,'[2]Table S5'!$A:$K,9,FALSE)</f>
        <v>Resistant</v>
      </c>
      <c r="AV28" t="str">
        <f>VLOOKUP($I28,'[2]Table S5'!$A:$K,10,FALSE)</f>
        <v>Resistant</v>
      </c>
      <c r="AW28" t="str">
        <f>VLOOKUP($I28,'[2]Table S5'!$A:$K,11,FALSE)</f>
        <v>Resistant</v>
      </c>
    </row>
    <row r="29" spans="1:49">
      <c r="A29" s="12" t="s">
        <v>215</v>
      </c>
      <c r="B29" t="s">
        <v>216</v>
      </c>
      <c r="C29" t="s">
        <v>217</v>
      </c>
      <c r="D29" t="s">
        <v>17</v>
      </c>
      <c r="E29" t="s">
        <v>218</v>
      </c>
      <c r="F29" s="12" t="s">
        <v>219</v>
      </c>
      <c r="G29" t="s">
        <v>220</v>
      </c>
      <c r="H29" t="s">
        <v>221</v>
      </c>
      <c r="I29" t="s">
        <v>190</v>
      </c>
      <c r="J29" t="s">
        <v>198</v>
      </c>
      <c r="K29">
        <f>VLOOKUP($J29,'[1]Table S6'!$A:$AI,2,FALSE)</f>
        <v>343.8</v>
      </c>
      <c r="L29">
        <f>VLOOKUP($J29,'[1]Table S6'!$A:$AI,3,FALSE)</f>
        <v>0.731645030857629</v>
      </c>
      <c r="M29">
        <f>VLOOKUP($J29,'[1]Table S6'!$A:$AI,4,FALSE)</f>
        <v>4.8529999999999998</v>
      </c>
      <c r="N29" t="str">
        <f>VLOOKUP($J29,'[1]Table S6'!$A:$AI,5,FALSE)</f>
        <v>No</v>
      </c>
      <c r="P29">
        <f>VLOOKUP($J29,'[1]Table S6'!$A:$AI,7,FALSE)</f>
        <v>354.7</v>
      </c>
      <c r="Q29">
        <f>VLOOKUP($J29,'[1]Table S6'!$A:$AI,8,FALSE)</f>
        <v>0.75484145562885696</v>
      </c>
      <c r="R29">
        <f>VLOOKUP($J29,'[1]Table S6'!$A:$AI,9,FALSE)</f>
        <v>5.9210000000000003</v>
      </c>
      <c r="S29" t="str">
        <f>VLOOKUP($J29,'[1]Table S6'!$A:$AI,10,FALSE)</f>
        <v>No</v>
      </c>
      <c r="U29">
        <f>VLOOKUP($J29,'[1]Table S6'!$A:$AI,12,FALSE)</f>
        <v>384</v>
      </c>
      <c r="V29">
        <f>VLOOKUP($J29,'[1]Table S6'!$A:$AI,13,FALSE)</f>
        <v>0.81719514790380898</v>
      </c>
      <c r="W29">
        <f>VLOOKUP($J29,'[1]Table S6'!$A:$AI,14,FALSE)</f>
        <v>9.4730000000000008</v>
      </c>
      <c r="X29" t="str">
        <f>VLOOKUP($J29,'[1]Table S6'!$A:$AI,15,FALSE)</f>
        <v>No</v>
      </c>
      <c r="Z29">
        <f>VLOOKUP($J29,'[1]Table S6'!$A:$AI,17,FALSE)</f>
        <v>389.1</v>
      </c>
      <c r="AA29">
        <f>VLOOKUP($J29,'[1]Table S6'!$A:$AI,18,FALSE)</f>
        <v>0.82804852096190695</v>
      </c>
      <c r="AB29">
        <f>VLOOKUP($J29,'[1]Table S6'!$A:$AI,19,FALSE)</f>
        <v>18.2</v>
      </c>
      <c r="AC29" t="str">
        <f>VLOOKUP($J29,'[1]Table S6'!$A:$AI,20,FALSE)</f>
        <v>No</v>
      </c>
      <c r="AE29">
        <f>VLOOKUP($J29,'[1]Table S6'!$A:$AI,22,FALSE)</f>
        <v>357.9</v>
      </c>
      <c r="AF29">
        <f>VLOOKUP($J29,'[1]Table S6'!$A:$AI,23,FALSE)</f>
        <v>0.76165141519472201</v>
      </c>
      <c r="AG29">
        <f>VLOOKUP($J29,'[1]Table S6'!$A:$AI,24,FALSE)</f>
        <v>8.5779999999999994</v>
      </c>
      <c r="AH29" t="str">
        <f>VLOOKUP($J29,'[1]Table S6'!$A:$AI,25,FALSE)</f>
        <v>No</v>
      </c>
      <c r="AJ29">
        <f>VLOOKUP($J29,'[1]Table S6'!$A:$AI,27,FALSE)</f>
        <v>461.2</v>
      </c>
      <c r="AK29">
        <f>VLOOKUP($J29,'[1]Table S6'!$A:$AI,28,FALSE)</f>
        <v>0.98148542243030401</v>
      </c>
      <c r="AL29">
        <f>VLOOKUP($J29,'[1]Table S6'!$A:$AI,29,FALSE)</f>
        <v>269.39999999999998</v>
      </c>
      <c r="AM29" t="str">
        <f>VLOOKUP($J29,'[1]Table S6'!$A:$AI,30,FALSE)</f>
        <v>No</v>
      </c>
      <c r="AO29">
        <f>VLOOKUP($J29,'[1]Table S6'!$A:$AI,32,FALSE)</f>
        <v>420</v>
      </c>
      <c r="AP29">
        <f>VLOOKUP($J29,'[1]Table S6'!$A:$AI,33,FALSE)</f>
        <v>0.89380719301979195</v>
      </c>
      <c r="AQ29">
        <f>VLOOKUP($J29,'[1]Table S6'!$A:$AI,34,FALSE)</f>
        <v>261.8</v>
      </c>
      <c r="AR29" t="str">
        <f>VLOOKUP($J29,'[1]Table S6'!$A:$AI,35,FALSE)</f>
        <v>No</v>
      </c>
      <c r="AT29" t="str">
        <f>VLOOKUP($I29,'[2]Table S5'!$A:$K,8,FALSE)</f>
        <v>Resistant</v>
      </c>
      <c r="AU29" t="str">
        <f>VLOOKUP($I29,'[2]Table S5'!$A:$K,9,FALSE)</f>
        <v>Resistant</v>
      </c>
      <c r="AV29" t="str">
        <f>VLOOKUP($I29,'[2]Table S5'!$A:$K,10,FALSE)</f>
        <v>Resistant</v>
      </c>
      <c r="AW29" t="str">
        <f>VLOOKUP($I29,'[2]Table S5'!$A:$K,11,FALSE)</f>
        <v>Resistant</v>
      </c>
    </row>
    <row r="30" spans="1:49">
      <c r="A30" s="12" t="s">
        <v>222</v>
      </c>
      <c r="B30" t="s">
        <v>223</v>
      </c>
      <c r="C30" t="s">
        <v>224</v>
      </c>
      <c r="D30" t="s">
        <v>17</v>
      </c>
      <c r="E30" t="s">
        <v>225</v>
      </c>
      <c r="F30" s="12" t="s">
        <v>226</v>
      </c>
      <c r="G30" t="s">
        <v>227</v>
      </c>
      <c r="H30" t="s">
        <v>228</v>
      </c>
      <c r="I30" t="s">
        <v>190</v>
      </c>
      <c r="J30" t="s">
        <v>206</v>
      </c>
      <c r="K30">
        <f>VLOOKUP($J30,'[1]Table S6'!$A:$AI,2,FALSE)</f>
        <v>305.89999999999998</v>
      </c>
      <c r="L30">
        <f>VLOOKUP($J30,'[1]Table S6'!$A:$AI,3,FALSE)</f>
        <v>0.650989572249415</v>
      </c>
      <c r="M30">
        <f>VLOOKUP($J30,'[1]Table S6'!$A:$AI,4,FALSE)</f>
        <v>1.4870000000000001</v>
      </c>
      <c r="N30" t="str">
        <f>VLOOKUP($J30,'[1]Table S6'!$A:$AI,5,FALSE)</f>
        <v>Yes</v>
      </c>
      <c r="P30">
        <f>VLOOKUP($J30,'[1]Table S6'!$A:$AI,7,FALSE)</f>
        <v>363</v>
      </c>
      <c r="Q30">
        <f>VLOOKUP($J30,'[1]Table S6'!$A:$AI,8,FALSE)</f>
        <v>0.77250478825281998</v>
      </c>
      <c r="R30">
        <f>VLOOKUP($J30,'[1]Table S6'!$A:$AI,9,FALSE)</f>
        <v>9.5350000000000001</v>
      </c>
      <c r="S30" t="str">
        <f>VLOOKUP($J30,'[1]Table S6'!$A:$AI,10,FALSE)</f>
        <v>No</v>
      </c>
      <c r="U30">
        <f>VLOOKUP($J30,'[1]Table S6'!$A:$AI,12,FALSE)</f>
        <v>346.1</v>
      </c>
      <c r="V30">
        <f>VLOOKUP($J30,'[1]Table S6'!$A:$AI,13,FALSE)</f>
        <v>0.73653968929559499</v>
      </c>
      <c r="W30">
        <f>VLOOKUP($J30,'[1]Table S6'!$A:$AI,14,FALSE)</f>
        <v>5.7060000000000004</v>
      </c>
      <c r="X30" t="str">
        <f>VLOOKUP($J30,'[1]Table S6'!$A:$AI,15,FALSE)</f>
        <v>No</v>
      </c>
      <c r="Z30">
        <f>VLOOKUP($J30,'[1]Table S6'!$A:$AI,17,FALSE)</f>
        <v>341.2</v>
      </c>
      <c r="AA30">
        <f>VLOOKUP($J30,'[1]Table S6'!$A:$AI,18,FALSE)</f>
        <v>0.72611193871036395</v>
      </c>
      <c r="AB30">
        <f>VLOOKUP($J30,'[1]Table S6'!$A:$AI,19,FALSE)</f>
        <v>4.5330000000000004</v>
      </c>
      <c r="AC30" t="str">
        <f>VLOOKUP($J30,'[1]Table S6'!$A:$AI,20,FALSE)</f>
        <v>No</v>
      </c>
      <c r="AE30">
        <f>VLOOKUP($J30,'[1]Table S6'!$A:$AI,22,FALSE)</f>
        <v>336.9</v>
      </c>
      <c r="AF30">
        <f>VLOOKUP($J30,'[1]Table S6'!$A:$AI,23,FALSE)</f>
        <v>0.71696105554373302</v>
      </c>
      <c r="AG30">
        <f>VLOOKUP($J30,'[1]Table S6'!$A:$AI,24,FALSE)</f>
        <v>3.6659999999999999</v>
      </c>
      <c r="AH30" t="str">
        <f>VLOOKUP($J30,'[1]Table S6'!$A:$AI,25,FALSE)</f>
        <v>No</v>
      </c>
      <c r="AJ30">
        <f>VLOOKUP($J30,'[1]Table S6'!$A:$AI,27,FALSE)</f>
        <v>408.9</v>
      </c>
      <c r="AK30">
        <f>VLOOKUP($J30,'[1]Table S6'!$A:$AI,28,FALSE)</f>
        <v>0.87018514577569706</v>
      </c>
      <c r="AL30">
        <f>VLOOKUP($J30,'[1]Table S6'!$A:$AI,29,FALSE)</f>
        <v>119.7</v>
      </c>
      <c r="AM30" t="str">
        <f>VLOOKUP($J30,'[1]Table S6'!$A:$AI,30,FALSE)</f>
        <v>No</v>
      </c>
      <c r="AO30">
        <f>VLOOKUP($J30,'[1]Table S6'!$A:$AI,32,FALSE)</f>
        <v>431.7</v>
      </c>
      <c r="AP30">
        <f>VLOOKUP($J30,'[1]Table S6'!$A:$AI,33,FALSE)</f>
        <v>0.91870610768248595</v>
      </c>
      <c r="AQ30">
        <f>VLOOKUP($J30,'[1]Table S6'!$A:$AI,34,FALSE)</f>
        <v>243.9</v>
      </c>
      <c r="AR30" t="str">
        <f>VLOOKUP($J30,'[1]Table S6'!$A:$AI,35,FALSE)</f>
        <v>No</v>
      </c>
      <c r="AT30" t="str">
        <f>VLOOKUP($I30,'[2]Table S5'!$A:$K,8,FALSE)</f>
        <v>Resistant</v>
      </c>
      <c r="AU30" t="str">
        <f>VLOOKUP($I30,'[2]Table S5'!$A:$K,9,FALSE)</f>
        <v>Resistant</v>
      </c>
      <c r="AV30" t="str">
        <f>VLOOKUP($I30,'[2]Table S5'!$A:$K,10,FALSE)</f>
        <v>Resistant</v>
      </c>
      <c r="AW30" t="str">
        <f>VLOOKUP($I30,'[2]Table S5'!$A:$K,11,FALSE)</f>
        <v>Resistant</v>
      </c>
    </row>
    <row r="31" spans="1:49">
      <c r="A31" s="12" t="s">
        <v>229</v>
      </c>
      <c r="B31" t="s">
        <v>230</v>
      </c>
      <c r="C31" t="s">
        <v>231</v>
      </c>
      <c r="D31" t="s">
        <v>17</v>
      </c>
      <c r="E31" t="s">
        <v>232</v>
      </c>
      <c r="F31" s="12" t="s">
        <v>233</v>
      </c>
      <c r="G31" t="s">
        <v>234</v>
      </c>
      <c r="H31" t="s">
        <v>235</v>
      </c>
      <c r="I31" t="s">
        <v>190</v>
      </c>
      <c r="J31" t="s">
        <v>214</v>
      </c>
      <c r="K31">
        <f>VLOOKUP($J31,'[1]Table S6'!$A:$AI,2,FALSE)</f>
        <v>284.10000000000002</v>
      </c>
      <c r="L31">
        <f>VLOOKUP($J31,'[1]Table S6'!$A:$AI,3,FALSE)</f>
        <v>0.60459672270695897</v>
      </c>
      <c r="M31">
        <f>VLOOKUP($J31,'[1]Table S6'!$A:$AI,4,FALSE)</f>
        <v>0.70130000000000003</v>
      </c>
      <c r="N31" t="str">
        <f>VLOOKUP($J31,'[1]Table S6'!$A:$AI,5,FALSE)</f>
        <v>Yes</v>
      </c>
      <c r="P31">
        <f>VLOOKUP($J31,'[1]Table S6'!$A:$AI,7,FALSE)</f>
        <v>358.8</v>
      </c>
      <c r="Q31">
        <f>VLOOKUP($J31,'[1]Table S6'!$A:$AI,8,FALSE)</f>
        <v>0.76356671632262196</v>
      </c>
      <c r="R31">
        <f>VLOOKUP($J31,'[1]Table S6'!$A:$AI,9,FALSE)</f>
        <v>9.7089999999999996</v>
      </c>
      <c r="S31" t="str">
        <f>VLOOKUP($J31,'[1]Table S6'!$A:$AI,10,FALSE)</f>
        <v>No</v>
      </c>
      <c r="U31">
        <f>VLOOKUP($J31,'[1]Table S6'!$A:$AI,12,FALSE)</f>
        <v>304.7</v>
      </c>
      <c r="V31">
        <f>VLOOKUP($J31,'[1]Table S6'!$A:$AI,13,FALSE)</f>
        <v>0.648435837412215</v>
      </c>
      <c r="W31">
        <f>VLOOKUP($J31,'[1]Table S6'!$A:$AI,14,FALSE)</f>
        <v>1.8160000000000001</v>
      </c>
      <c r="X31" t="str">
        <f>VLOOKUP($J31,'[1]Table S6'!$A:$AI,15,FALSE)</f>
        <v>Yes</v>
      </c>
      <c r="Z31">
        <f>VLOOKUP($J31,'[1]Table S6'!$A:$AI,17,FALSE)</f>
        <v>367.2</v>
      </c>
      <c r="AA31">
        <f>VLOOKUP($J31,'[1]Table S6'!$A:$AI,18,FALSE)</f>
        <v>0.78144286018301801</v>
      </c>
      <c r="AB31">
        <f>VLOOKUP($J31,'[1]Table S6'!$A:$AI,19,FALSE)</f>
        <v>9.9269999999999996</v>
      </c>
      <c r="AC31" t="str">
        <f>VLOOKUP($J31,'[1]Table S6'!$A:$AI,20,FALSE)</f>
        <v>No</v>
      </c>
      <c r="AE31">
        <f>VLOOKUP($J31,'[1]Table S6'!$A:$AI,22,FALSE)</f>
        <v>290.89999999999998</v>
      </c>
      <c r="AF31">
        <f>VLOOKUP($J31,'[1]Table S6'!$A:$AI,23,FALSE)</f>
        <v>0.61906788678442204</v>
      </c>
      <c r="AG31">
        <f>VLOOKUP($J31,'[1]Table S6'!$A:$AI,24,FALSE)</f>
        <v>0.98629999999999995</v>
      </c>
      <c r="AH31" t="str">
        <f>VLOOKUP($J31,'[1]Table S6'!$A:$AI,25,FALSE)</f>
        <v>Yes</v>
      </c>
      <c r="AJ31">
        <f>VLOOKUP($J31,'[1]Table S6'!$A:$AI,27,FALSE)</f>
        <v>407.1</v>
      </c>
      <c r="AK31">
        <f>VLOOKUP($J31,'[1]Table S6'!$A:$AI,28,FALSE)</f>
        <v>0.86635454351989805</v>
      </c>
      <c r="AL31">
        <f>VLOOKUP($J31,'[1]Table S6'!$A:$AI,29,FALSE)</f>
        <v>123.8</v>
      </c>
      <c r="AM31" t="str">
        <f>VLOOKUP($J31,'[1]Table S6'!$A:$AI,30,FALSE)</f>
        <v>No</v>
      </c>
      <c r="AO31">
        <f>VLOOKUP($J31,'[1]Table S6'!$A:$AI,32,FALSE)</f>
        <v>407.2</v>
      </c>
      <c r="AP31">
        <f>VLOOKUP($J31,'[1]Table S6'!$A:$AI,33,FALSE)</f>
        <v>0.86656735475633095</v>
      </c>
      <c r="AQ31">
        <f>VLOOKUP($J31,'[1]Table S6'!$A:$AI,34,FALSE)</f>
        <v>80.69</v>
      </c>
      <c r="AR31" t="str">
        <f>VLOOKUP($J31,'[1]Table S6'!$A:$AI,35,FALSE)</f>
        <v>No</v>
      </c>
      <c r="AT31" t="str">
        <f>VLOOKUP($I31,'[2]Table S5'!$A:$K,8,FALSE)</f>
        <v>Resistant</v>
      </c>
      <c r="AU31" t="str">
        <f>VLOOKUP($I31,'[2]Table S5'!$A:$K,9,FALSE)</f>
        <v>Resistant</v>
      </c>
      <c r="AV31" t="str">
        <f>VLOOKUP($I31,'[2]Table S5'!$A:$K,10,FALSE)</f>
        <v>Resistant</v>
      </c>
      <c r="AW31" t="str">
        <f>VLOOKUP($I31,'[2]Table S5'!$A:$K,11,FALSE)</f>
        <v>Resistant</v>
      </c>
    </row>
    <row r="32" spans="1:49">
      <c r="A32" s="12" t="s">
        <v>236</v>
      </c>
      <c r="B32" t="s">
        <v>237</v>
      </c>
      <c r="C32" t="s">
        <v>238</v>
      </c>
      <c r="D32" t="s">
        <v>17</v>
      </c>
      <c r="E32" t="s">
        <v>239</v>
      </c>
      <c r="F32" s="12" t="s">
        <v>240</v>
      </c>
      <c r="G32" t="s">
        <v>241</v>
      </c>
      <c r="H32" t="s">
        <v>242</v>
      </c>
      <c r="I32" t="s">
        <v>243</v>
      </c>
      <c r="J32" t="s">
        <v>243</v>
      </c>
      <c r="K32" t="e">
        <f>VLOOKUP($J32,'[1]Table S6'!$A:$AI,2,FALSE)</f>
        <v>#N/A</v>
      </c>
      <c r="L32" t="e">
        <f>VLOOKUP($J32,'[1]Table S6'!$A:$AI,3,FALSE)</f>
        <v>#N/A</v>
      </c>
      <c r="M32" t="e">
        <f>VLOOKUP($J32,'[1]Table S6'!$A:$AI,4,FALSE)</f>
        <v>#N/A</v>
      </c>
      <c r="N32" t="e">
        <f>VLOOKUP($J32,'[1]Table S6'!$A:$AI,5,FALSE)</f>
        <v>#N/A</v>
      </c>
      <c r="P32" t="e">
        <f>VLOOKUP($J32,'[1]Table S6'!$A:$AI,7,FALSE)</f>
        <v>#N/A</v>
      </c>
      <c r="Q32" t="e">
        <f>VLOOKUP($J32,'[1]Table S6'!$A:$AI,8,FALSE)</f>
        <v>#N/A</v>
      </c>
      <c r="R32" t="e">
        <f>VLOOKUP($J32,'[1]Table S6'!$A:$AI,9,FALSE)</f>
        <v>#N/A</v>
      </c>
      <c r="S32" t="e">
        <f>VLOOKUP($J32,'[1]Table S6'!$A:$AI,10,FALSE)</f>
        <v>#N/A</v>
      </c>
      <c r="U32" t="e">
        <f>VLOOKUP($J32,'[1]Table S6'!$A:$AI,12,FALSE)</f>
        <v>#N/A</v>
      </c>
      <c r="V32" t="e">
        <f>VLOOKUP($J32,'[1]Table S6'!$A:$AI,13,FALSE)</f>
        <v>#N/A</v>
      </c>
      <c r="W32" t="e">
        <f>VLOOKUP($J32,'[1]Table S6'!$A:$AI,14,FALSE)</f>
        <v>#N/A</v>
      </c>
      <c r="X32" t="e">
        <f>VLOOKUP($J32,'[1]Table S6'!$A:$AI,15,FALSE)</f>
        <v>#N/A</v>
      </c>
      <c r="Z32" t="e">
        <f>VLOOKUP($J32,'[1]Table S6'!$A:$AI,17,FALSE)</f>
        <v>#N/A</v>
      </c>
      <c r="AA32" t="e">
        <f>VLOOKUP($J32,'[1]Table S6'!$A:$AI,18,FALSE)</f>
        <v>#N/A</v>
      </c>
      <c r="AB32" t="e">
        <f>VLOOKUP($J32,'[1]Table S6'!$A:$AI,19,FALSE)</f>
        <v>#N/A</v>
      </c>
      <c r="AC32" t="e">
        <f>VLOOKUP($J32,'[1]Table S6'!$A:$AI,20,FALSE)</f>
        <v>#N/A</v>
      </c>
      <c r="AE32" t="e">
        <f>VLOOKUP($J32,'[1]Table S6'!$A:$AI,22,FALSE)</f>
        <v>#N/A</v>
      </c>
      <c r="AF32" t="e">
        <f>VLOOKUP($J32,'[1]Table S6'!$A:$AI,23,FALSE)</f>
        <v>#N/A</v>
      </c>
      <c r="AG32" t="e">
        <f>VLOOKUP($J32,'[1]Table S6'!$A:$AI,24,FALSE)</f>
        <v>#N/A</v>
      </c>
      <c r="AH32" t="e">
        <f>VLOOKUP($J32,'[1]Table S6'!$A:$AI,25,FALSE)</f>
        <v>#N/A</v>
      </c>
      <c r="AJ32" t="e">
        <f>VLOOKUP($J32,'[1]Table S6'!$A:$AI,27,FALSE)</f>
        <v>#N/A</v>
      </c>
      <c r="AK32" t="e">
        <f>VLOOKUP($J32,'[1]Table S6'!$A:$AI,28,FALSE)</f>
        <v>#N/A</v>
      </c>
      <c r="AL32" t="e">
        <f>VLOOKUP($J32,'[1]Table S6'!$A:$AI,29,FALSE)</f>
        <v>#N/A</v>
      </c>
      <c r="AM32" t="e">
        <f>VLOOKUP($J32,'[1]Table S6'!$A:$AI,30,FALSE)</f>
        <v>#N/A</v>
      </c>
      <c r="AO32" t="e">
        <f>VLOOKUP($J32,'[1]Table S6'!$A:$AI,32,FALSE)</f>
        <v>#N/A</v>
      </c>
      <c r="AP32" t="e">
        <f>VLOOKUP($J32,'[1]Table S6'!$A:$AI,33,FALSE)</f>
        <v>#N/A</v>
      </c>
      <c r="AQ32" t="e">
        <f>VLOOKUP($J32,'[1]Table S6'!$A:$AI,34,FALSE)</f>
        <v>#N/A</v>
      </c>
      <c r="AR32" t="e">
        <f>VLOOKUP($J32,'[1]Table S6'!$A:$AI,35,FALSE)</f>
        <v>#N/A</v>
      </c>
      <c r="AT32" t="str">
        <f>VLOOKUP($I32,'[2]Table S5'!$A:$K,8,FALSE)</f>
        <v>Resistant</v>
      </c>
      <c r="AU32" t="str">
        <f>VLOOKUP($I32,'[2]Table S5'!$A:$K,9,FALSE)</f>
        <v>Resistant</v>
      </c>
      <c r="AV32" t="str">
        <f>VLOOKUP($I32,'[2]Table S5'!$A:$K,10,FALSE)</f>
        <v>Resistant</v>
      </c>
      <c r="AW32" t="str">
        <f>VLOOKUP($I32,'[2]Table S5'!$A:$K,11,FALSE)</f>
        <v>Resistant</v>
      </c>
    </row>
    <row r="33" spans="1:49">
      <c r="A33" s="12" t="s">
        <v>244</v>
      </c>
      <c r="B33" t="s">
        <v>245</v>
      </c>
      <c r="C33" t="s">
        <v>246</v>
      </c>
      <c r="D33" t="s">
        <v>17</v>
      </c>
      <c r="E33" t="s">
        <v>247</v>
      </c>
      <c r="F33" s="12" t="s">
        <v>248</v>
      </c>
      <c r="G33" t="s">
        <v>249</v>
      </c>
      <c r="H33" t="s">
        <v>250</v>
      </c>
      <c r="I33" t="s">
        <v>243</v>
      </c>
      <c r="J33" t="s">
        <v>251</v>
      </c>
      <c r="K33">
        <f>VLOOKUP($J33,'[1]Table S6'!$A:$AI,2,FALSE)</f>
        <v>347.8</v>
      </c>
      <c r="L33">
        <f>VLOOKUP($J33,'[1]Table S6'!$A:$AI,3,FALSE)</f>
        <v>0.74015748031496098</v>
      </c>
      <c r="M33">
        <f>VLOOKUP($J33,'[1]Table S6'!$A:$AI,4,FALSE)</f>
        <v>4.72</v>
      </c>
      <c r="N33" t="str">
        <f>VLOOKUP($J33,'[1]Table S6'!$A:$AI,5,FALSE)</f>
        <v>No</v>
      </c>
      <c r="P33">
        <f>VLOOKUP($J33,'[1]Table S6'!$A:$AI,7,FALSE)</f>
        <v>350.7</v>
      </c>
      <c r="Q33">
        <f>VLOOKUP($J33,'[1]Table S6'!$A:$AI,8,FALSE)</f>
        <v>0.74632900617152598</v>
      </c>
      <c r="R33">
        <f>VLOOKUP($J33,'[1]Table S6'!$A:$AI,9,FALSE)</f>
        <v>5.9020000000000001</v>
      </c>
      <c r="S33" t="str">
        <f>VLOOKUP($J33,'[1]Table S6'!$A:$AI,10,FALSE)</f>
        <v>No</v>
      </c>
      <c r="U33">
        <f>VLOOKUP($J33,'[1]Table S6'!$A:$AI,12,FALSE)</f>
        <v>351.5</v>
      </c>
      <c r="V33">
        <f>VLOOKUP($J33,'[1]Table S6'!$A:$AI,13,FALSE)</f>
        <v>0.74803149606299202</v>
      </c>
      <c r="W33">
        <f>VLOOKUP($J33,'[1]Table S6'!$A:$AI,14,FALSE)</f>
        <v>3.9359999999999999</v>
      </c>
      <c r="X33" t="str">
        <f>VLOOKUP($J33,'[1]Table S6'!$A:$AI,15,FALSE)</f>
        <v>No</v>
      </c>
      <c r="Z33">
        <f>VLOOKUP($J33,'[1]Table S6'!$A:$AI,17,FALSE)</f>
        <v>325.10000000000002</v>
      </c>
      <c r="AA33">
        <f>VLOOKUP($J33,'[1]Table S6'!$A:$AI,18,FALSE)</f>
        <v>0.69184932964460499</v>
      </c>
      <c r="AB33">
        <f>VLOOKUP($J33,'[1]Table S6'!$A:$AI,19,FALSE)</f>
        <v>2.4540000000000002</v>
      </c>
      <c r="AC33" t="str">
        <f>VLOOKUP($J33,'[1]Table S6'!$A:$AI,20,FALSE)</f>
        <v>Yes</v>
      </c>
      <c r="AE33">
        <f>VLOOKUP($J33,'[1]Table S6'!$A:$AI,22,FALSE)</f>
        <v>342.2</v>
      </c>
      <c r="AF33">
        <f>VLOOKUP($J33,'[1]Table S6'!$A:$AI,23,FALSE)</f>
        <v>0.72824005107469703</v>
      </c>
      <c r="AG33">
        <f>VLOOKUP($J33,'[1]Table S6'!$A:$AI,24,FALSE)</f>
        <v>3.238</v>
      </c>
      <c r="AH33" t="str">
        <f>VLOOKUP($J33,'[1]Table S6'!$A:$AI,25,FALSE)</f>
        <v>No</v>
      </c>
      <c r="AJ33">
        <f>VLOOKUP($J33,'[1]Table S6'!$A:$AI,27,FALSE)</f>
        <v>421.4</v>
      </c>
      <c r="AK33">
        <f>VLOOKUP($J33,'[1]Table S6'!$A:$AI,28,FALSE)</f>
        <v>0.89678655032985699</v>
      </c>
      <c r="AL33">
        <f>VLOOKUP($J33,'[1]Table S6'!$A:$AI,29,FALSE)</f>
        <v>87.27</v>
      </c>
      <c r="AM33" t="str">
        <f>VLOOKUP($J33,'[1]Table S6'!$A:$AI,30,FALSE)</f>
        <v>No</v>
      </c>
      <c r="AO33">
        <f>VLOOKUP($J33,'[1]Table S6'!$A:$AI,32,FALSE)</f>
        <v>430.2</v>
      </c>
      <c r="AP33">
        <f>VLOOKUP($J33,'[1]Table S6'!$A:$AI,33,FALSE)</f>
        <v>0.915513939135986</v>
      </c>
      <c r="AQ33">
        <f>VLOOKUP($J33,'[1]Table S6'!$A:$AI,34,FALSE)</f>
        <v>185.8</v>
      </c>
      <c r="AR33" t="str">
        <f>VLOOKUP($J33,'[1]Table S6'!$A:$AI,35,FALSE)</f>
        <v>No</v>
      </c>
      <c r="AT33" t="str">
        <f>VLOOKUP($I33,'[2]Table S5'!$A:$K,8,FALSE)</f>
        <v>Resistant</v>
      </c>
      <c r="AU33" t="str">
        <f>VLOOKUP($I33,'[2]Table S5'!$A:$K,9,FALSE)</f>
        <v>Resistant</v>
      </c>
      <c r="AV33" t="str">
        <f>VLOOKUP($I33,'[2]Table S5'!$A:$K,10,FALSE)</f>
        <v>Resistant</v>
      </c>
      <c r="AW33" t="str">
        <f>VLOOKUP($I33,'[2]Table S5'!$A:$K,11,FALSE)</f>
        <v>Resistant</v>
      </c>
    </row>
    <row r="34" spans="1:49">
      <c r="A34" s="12" t="s">
        <v>252</v>
      </c>
      <c r="B34" t="s">
        <v>253</v>
      </c>
      <c r="C34" t="s">
        <v>254</v>
      </c>
      <c r="D34" t="s">
        <v>17</v>
      </c>
      <c r="E34" t="s">
        <v>255</v>
      </c>
      <c r="F34" s="12" t="s">
        <v>256</v>
      </c>
      <c r="G34" t="s">
        <v>257</v>
      </c>
      <c r="H34" t="s">
        <v>258</v>
      </c>
      <c r="I34" t="s">
        <v>243</v>
      </c>
      <c r="J34" t="s">
        <v>259</v>
      </c>
      <c r="K34">
        <f>VLOOKUP($J34,'[1]Table S6'!$A:$AI,2,FALSE)</f>
        <v>310.89999999999998</v>
      </c>
      <c r="L34">
        <f>VLOOKUP($J34,'[1]Table S6'!$A:$AI,3,FALSE)</f>
        <v>0.66163013407107896</v>
      </c>
      <c r="M34">
        <f>VLOOKUP($J34,'[1]Table S6'!$A:$AI,4,FALSE)</f>
        <v>1.7030000000000001</v>
      </c>
      <c r="N34" t="str">
        <f>VLOOKUP($J34,'[1]Table S6'!$A:$AI,5,FALSE)</f>
        <v>Yes</v>
      </c>
      <c r="P34">
        <f>VLOOKUP($J34,'[1]Table S6'!$A:$AI,7,FALSE)</f>
        <v>357.6</v>
      </c>
      <c r="Q34">
        <f>VLOOKUP($J34,'[1]Table S6'!$A:$AI,8,FALSE)</f>
        <v>0.76101298148542296</v>
      </c>
      <c r="R34">
        <f>VLOOKUP($J34,'[1]Table S6'!$A:$AI,9,FALSE)</f>
        <v>9.4429999999999996</v>
      </c>
      <c r="S34" t="str">
        <f>VLOOKUP($J34,'[1]Table S6'!$A:$AI,10,FALSE)</f>
        <v>No</v>
      </c>
      <c r="U34">
        <f>VLOOKUP($J34,'[1]Table S6'!$A:$AI,12,FALSE)</f>
        <v>373.1</v>
      </c>
      <c r="V34">
        <f>VLOOKUP($J34,'[1]Table S6'!$A:$AI,13,FALSE)</f>
        <v>0.79399872313258102</v>
      </c>
      <c r="W34">
        <f>VLOOKUP($J34,'[1]Table S6'!$A:$AI,14,FALSE)</f>
        <v>21.11</v>
      </c>
      <c r="X34" t="str">
        <f>VLOOKUP($J34,'[1]Table S6'!$A:$AI,15,FALSE)</f>
        <v>No</v>
      </c>
      <c r="Z34">
        <f>VLOOKUP($J34,'[1]Table S6'!$A:$AI,17,FALSE)</f>
        <v>382.3</v>
      </c>
      <c r="AA34">
        <f>VLOOKUP($J34,'[1]Table S6'!$A:$AI,18,FALSE)</f>
        <v>0.81357735688444399</v>
      </c>
      <c r="AB34">
        <f>VLOOKUP($J34,'[1]Table S6'!$A:$AI,19,FALSE)</f>
        <v>8.3140000000000001</v>
      </c>
      <c r="AC34" t="str">
        <f>VLOOKUP($J34,'[1]Table S6'!$A:$AI,20,FALSE)</f>
        <v>No</v>
      </c>
      <c r="AE34">
        <f>VLOOKUP($J34,'[1]Table S6'!$A:$AI,22,FALSE)</f>
        <v>289.60000000000002</v>
      </c>
      <c r="AF34">
        <f>VLOOKUP($J34,'[1]Table S6'!$A:$AI,23,FALSE)</f>
        <v>0.61630134071079001</v>
      </c>
      <c r="AG34">
        <f>VLOOKUP($J34,'[1]Table S6'!$A:$AI,24,FALSE)</f>
        <v>0.98580000000000001</v>
      </c>
      <c r="AH34" t="str">
        <f>VLOOKUP($J34,'[1]Table S6'!$A:$AI,25,FALSE)</f>
        <v>Yes</v>
      </c>
      <c r="AJ34">
        <f>VLOOKUP($J34,'[1]Table S6'!$A:$AI,27,FALSE)</f>
        <v>406.9</v>
      </c>
      <c r="AK34">
        <f>VLOOKUP($J34,'[1]Table S6'!$A:$AI,28,FALSE)</f>
        <v>0.86592892104703101</v>
      </c>
      <c r="AL34">
        <f>VLOOKUP($J34,'[1]Table S6'!$A:$AI,29,FALSE)</f>
        <v>125.1</v>
      </c>
      <c r="AM34" t="str">
        <f>VLOOKUP($J34,'[1]Table S6'!$A:$AI,30,FALSE)</f>
        <v>No</v>
      </c>
      <c r="AO34">
        <f>VLOOKUP($J34,'[1]Table S6'!$A:$AI,32,FALSE)</f>
        <v>414.8</v>
      </c>
      <c r="AP34">
        <f>VLOOKUP($J34,'[1]Table S6'!$A:$AI,33,FALSE)</f>
        <v>0.88274100872526096</v>
      </c>
      <c r="AQ34">
        <f>VLOOKUP($J34,'[1]Table S6'!$A:$AI,34,FALSE)</f>
        <v>124.2</v>
      </c>
      <c r="AR34" t="str">
        <f>VLOOKUP($J34,'[1]Table S6'!$A:$AI,35,FALSE)</f>
        <v>No</v>
      </c>
      <c r="AT34" t="str">
        <f>VLOOKUP($I34,'[2]Table S5'!$A:$K,8,FALSE)</f>
        <v>Resistant</v>
      </c>
      <c r="AU34" t="str">
        <f>VLOOKUP($I34,'[2]Table S5'!$A:$K,9,FALSE)</f>
        <v>Resistant</v>
      </c>
      <c r="AV34" t="str">
        <f>VLOOKUP($I34,'[2]Table S5'!$A:$K,10,FALSE)</f>
        <v>Resistant</v>
      </c>
      <c r="AW34" t="str">
        <f>VLOOKUP($I34,'[2]Table S5'!$A:$K,11,FALSE)</f>
        <v>Resistant</v>
      </c>
    </row>
    <row r="35" spans="1:49">
      <c r="A35" s="12" t="s">
        <v>260</v>
      </c>
      <c r="B35" t="s">
        <v>261</v>
      </c>
      <c r="C35" t="s">
        <v>262</v>
      </c>
      <c r="D35" t="s">
        <v>17</v>
      </c>
      <c r="E35" t="s">
        <v>263</v>
      </c>
      <c r="F35" s="12" t="s">
        <v>264</v>
      </c>
      <c r="G35" t="s">
        <v>265</v>
      </c>
      <c r="H35" t="s">
        <v>266</v>
      </c>
      <c r="I35" t="s">
        <v>243</v>
      </c>
      <c r="J35" t="s">
        <v>267</v>
      </c>
      <c r="K35">
        <f>VLOOKUP($J35,'[1]Table S6'!$A:$AI,2,FALSE)</f>
        <v>290</v>
      </c>
      <c r="L35">
        <f>VLOOKUP($J35,'[1]Table S6'!$A:$AI,3,FALSE)</f>
        <v>0.61715258565652298</v>
      </c>
      <c r="M35">
        <f>VLOOKUP($J35,'[1]Table S6'!$A:$AI,4,FALSE)</f>
        <v>0.94599999999999995</v>
      </c>
      <c r="N35" t="str">
        <f>VLOOKUP($J35,'[1]Table S6'!$A:$AI,5,FALSE)</f>
        <v>Yes</v>
      </c>
      <c r="P35">
        <f>VLOOKUP($J35,'[1]Table S6'!$A:$AI,7,FALSE)</f>
        <v>371.8</v>
      </c>
      <c r="Q35">
        <f>VLOOKUP($J35,'[1]Table S6'!$A:$AI,8,FALSE)</f>
        <v>0.79123217705894899</v>
      </c>
      <c r="R35">
        <f>VLOOKUP($J35,'[1]Table S6'!$A:$AI,9,FALSE)</f>
        <v>12.49</v>
      </c>
      <c r="S35" t="str">
        <f>VLOOKUP($J35,'[1]Table S6'!$A:$AI,10,FALSE)</f>
        <v>No</v>
      </c>
      <c r="U35">
        <f>VLOOKUP($J35,'[1]Table S6'!$A:$AI,12,FALSE)</f>
        <v>377</v>
      </c>
      <c r="V35">
        <f>VLOOKUP($J35,'[1]Table S6'!$A:$AI,13,FALSE)</f>
        <v>0.80229836135347998</v>
      </c>
      <c r="W35">
        <f>VLOOKUP($J35,'[1]Table S6'!$A:$AI,14,FALSE)</f>
        <v>14.69</v>
      </c>
      <c r="X35" t="str">
        <f>VLOOKUP($J35,'[1]Table S6'!$A:$AI,15,FALSE)</f>
        <v>No</v>
      </c>
      <c r="Z35">
        <f>VLOOKUP($J35,'[1]Table S6'!$A:$AI,17,FALSE)</f>
        <v>330</v>
      </c>
      <c r="AA35">
        <f>VLOOKUP($J35,'[1]Table S6'!$A:$AI,18,FALSE)</f>
        <v>0.70227708022983604</v>
      </c>
      <c r="AB35">
        <f>VLOOKUP($J35,'[1]Table S6'!$A:$AI,19,FALSE)</f>
        <v>3.0840000000000001</v>
      </c>
      <c r="AC35" t="str">
        <f>VLOOKUP($J35,'[1]Table S6'!$A:$AI,20,FALSE)</f>
        <v>No</v>
      </c>
      <c r="AE35">
        <f>VLOOKUP($J35,'[1]Table S6'!$A:$AI,22,FALSE)</f>
        <v>359.9</v>
      </c>
      <c r="AF35">
        <f>VLOOKUP($J35,'[1]Table S6'!$A:$AI,23,FALSE)</f>
        <v>0.76590763992338795</v>
      </c>
      <c r="AG35">
        <f>VLOOKUP($J35,'[1]Table S6'!$A:$AI,24,FALSE)</f>
        <v>11.02</v>
      </c>
      <c r="AH35" t="str">
        <f>VLOOKUP($J35,'[1]Table S6'!$A:$AI,25,FALSE)</f>
        <v>No</v>
      </c>
      <c r="AJ35">
        <f>VLOOKUP($J35,'[1]Table S6'!$A:$AI,27,FALSE)</f>
        <v>408.2</v>
      </c>
      <c r="AK35">
        <f>VLOOKUP($J35,'[1]Table S6'!$A:$AI,28,FALSE)</f>
        <v>0.86869546712066403</v>
      </c>
      <c r="AL35">
        <f>VLOOKUP($J35,'[1]Table S6'!$A:$AI,29,FALSE)</f>
        <v>94.53</v>
      </c>
      <c r="AM35" t="str">
        <f>VLOOKUP($J35,'[1]Table S6'!$A:$AI,30,FALSE)</f>
        <v>No</v>
      </c>
      <c r="AO35">
        <f>VLOOKUP($J35,'[1]Table S6'!$A:$AI,32,FALSE)</f>
        <v>424.8</v>
      </c>
      <c r="AP35">
        <f>VLOOKUP($J35,'[1]Table S6'!$A:$AI,33,FALSE)</f>
        <v>0.90402213236858897</v>
      </c>
      <c r="AQ35">
        <f>VLOOKUP($J35,'[1]Table S6'!$A:$AI,34,FALSE)</f>
        <v>81.650000000000006</v>
      </c>
      <c r="AR35" t="str">
        <f>VLOOKUP($J35,'[1]Table S6'!$A:$AI,35,FALSE)</f>
        <v>No</v>
      </c>
      <c r="AT35" t="str">
        <f>VLOOKUP($I35,'[2]Table S5'!$A:$K,8,FALSE)</f>
        <v>Resistant</v>
      </c>
      <c r="AU35" t="str">
        <f>VLOOKUP($I35,'[2]Table S5'!$A:$K,9,FALSE)</f>
        <v>Resistant</v>
      </c>
      <c r="AV35" t="str">
        <f>VLOOKUP($I35,'[2]Table S5'!$A:$K,10,FALSE)</f>
        <v>Resistant</v>
      </c>
      <c r="AW35" t="str">
        <f>VLOOKUP($I35,'[2]Table S5'!$A:$K,11,FALSE)</f>
        <v>Resistant</v>
      </c>
    </row>
    <row r="36" spans="1:49">
      <c r="A36" s="12" t="s">
        <v>268</v>
      </c>
      <c r="B36" t="s">
        <v>269</v>
      </c>
      <c r="C36" t="s">
        <v>270</v>
      </c>
      <c r="D36" t="s">
        <v>17</v>
      </c>
      <c r="E36" t="s">
        <v>271</v>
      </c>
      <c r="F36" s="12" t="s">
        <v>272</v>
      </c>
      <c r="G36" t="s">
        <v>273</v>
      </c>
      <c r="H36" t="s">
        <v>274</v>
      </c>
      <c r="I36" t="s">
        <v>243</v>
      </c>
      <c r="J36" t="s">
        <v>251</v>
      </c>
      <c r="K36">
        <f>VLOOKUP($J36,'[1]Table S6'!$A:$AI,2,FALSE)</f>
        <v>347.8</v>
      </c>
      <c r="L36">
        <f>VLOOKUP($J36,'[1]Table S6'!$A:$AI,3,FALSE)</f>
        <v>0.74015748031496098</v>
      </c>
      <c r="M36">
        <f>VLOOKUP($J36,'[1]Table S6'!$A:$AI,4,FALSE)</f>
        <v>4.72</v>
      </c>
      <c r="N36" t="str">
        <f>VLOOKUP($J36,'[1]Table S6'!$A:$AI,5,FALSE)</f>
        <v>No</v>
      </c>
      <c r="P36">
        <f>VLOOKUP($J36,'[1]Table S6'!$A:$AI,7,FALSE)</f>
        <v>350.7</v>
      </c>
      <c r="Q36">
        <f>VLOOKUP($J36,'[1]Table S6'!$A:$AI,8,FALSE)</f>
        <v>0.74632900617152598</v>
      </c>
      <c r="R36">
        <f>VLOOKUP($J36,'[1]Table S6'!$A:$AI,9,FALSE)</f>
        <v>5.9020000000000001</v>
      </c>
      <c r="S36" t="str">
        <f>VLOOKUP($J36,'[1]Table S6'!$A:$AI,10,FALSE)</f>
        <v>No</v>
      </c>
      <c r="U36">
        <f>VLOOKUP($J36,'[1]Table S6'!$A:$AI,12,FALSE)</f>
        <v>351.5</v>
      </c>
      <c r="V36">
        <f>VLOOKUP($J36,'[1]Table S6'!$A:$AI,13,FALSE)</f>
        <v>0.74803149606299202</v>
      </c>
      <c r="W36">
        <f>VLOOKUP($J36,'[1]Table S6'!$A:$AI,14,FALSE)</f>
        <v>3.9359999999999999</v>
      </c>
      <c r="X36" t="str">
        <f>VLOOKUP($J36,'[1]Table S6'!$A:$AI,15,FALSE)</f>
        <v>No</v>
      </c>
      <c r="Z36">
        <f>VLOOKUP($J36,'[1]Table S6'!$A:$AI,17,FALSE)</f>
        <v>325.10000000000002</v>
      </c>
      <c r="AA36">
        <f>VLOOKUP($J36,'[1]Table S6'!$A:$AI,18,FALSE)</f>
        <v>0.69184932964460499</v>
      </c>
      <c r="AB36">
        <f>VLOOKUP($J36,'[1]Table S6'!$A:$AI,19,FALSE)</f>
        <v>2.4540000000000002</v>
      </c>
      <c r="AC36" t="str">
        <f>VLOOKUP($J36,'[1]Table S6'!$A:$AI,20,FALSE)</f>
        <v>Yes</v>
      </c>
      <c r="AE36">
        <f>VLOOKUP($J36,'[1]Table S6'!$A:$AI,22,FALSE)</f>
        <v>342.2</v>
      </c>
      <c r="AF36">
        <f>VLOOKUP($J36,'[1]Table S6'!$A:$AI,23,FALSE)</f>
        <v>0.72824005107469703</v>
      </c>
      <c r="AG36">
        <f>VLOOKUP($J36,'[1]Table S6'!$A:$AI,24,FALSE)</f>
        <v>3.238</v>
      </c>
      <c r="AH36" t="str">
        <f>VLOOKUP($J36,'[1]Table S6'!$A:$AI,25,FALSE)</f>
        <v>No</v>
      </c>
      <c r="AJ36">
        <f>VLOOKUP($J36,'[1]Table S6'!$A:$AI,27,FALSE)</f>
        <v>421.4</v>
      </c>
      <c r="AK36">
        <f>VLOOKUP($J36,'[1]Table S6'!$A:$AI,28,FALSE)</f>
        <v>0.89678655032985699</v>
      </c>
      <c r="AL36">
        <f>VLOOKUP($J36,'[1]Table S6'!$A:$AI,29,FALSE)</f>
        <v>87.27</v>
      </c>
      <c r="AM36" t="str">
        <f>VLOOKUP($J36,'[1]Table S6'!$A:$AI,30,FALSE)</f>
        <v>No</v>
      </c>
      <c r="AO36">
        <f>VLOOKUP($J36,'[1]Table S6'!$A:$AI,32,FALSE)</f>
        <v>430.2</v>
      </c>
      <c r="AP36">
        <f>VLOOKUP($J36,'[1]Table S6'!$A:$AI,33,FALSE)</f>
        <v>0.915513939135986</v>
      </c>
      <c r="AQ36">
        <f>VLOOKUP($J36,'[1]Table S6'!$A:$AI,34,FALSE)</f>
        <v>185.8</v>
      </c>
      <c r="AR36" t="str">
        <f>VLOOKUP($J36,'[1]Table S6'!$A:$AI,35,FALSE)</f>
        <v>No</v>
      </c>
      <c r="AT36" t="str">
        <f>VLOOKUP($I36,'[2]Table S5'!$A:$K,8,FALSE)</f>
        <v>Resistant</v>
      </c>
      <c r="AU36" t="str">
        <f>VLOOKUP($I36,'[2]Table S5'!$A:$K,9,FALSE)</f>
        <v>Resistant</v>
      </c>
      <c r="AV36" t="str">
        <f>VLOOKUP($I36,'[2]Table S5'!$A:$K,10,FALSE)</f>
        <v>Resistant</v>
      </c>
      <c r="AW36" t="str">
        <f>VLOOKUP($I36,'[2]Table S5'!$A:$K,11,FALSE)</f>
        <v>Resistant</v>
      </c>
    </row>
    <row r="37" spans="1:49">
      <c r="A37" s="12" t="s">
        <v>275</v>
      </c>
      <c r="B37" t="s">
        <v>276</v>
      </c>
      <c r="C37" t="s">
        <v>277</v>
      </c>
      <c r="D37" t="s">
        <v>17</v>
      </c>
      <c r="E37" t="s">
        <v>278</v>
      </c>
      <c r="F37" s="12" t="s">
        <v>279</v>
      </c>
      <c r="G37" t="s">
        <v>280</v>
      </c>
      <c r="H37" t="s">
        <v>281</v>
      </c>
      <c r="I37" t="s">
        <v>243</v>
      </c>
      <c r="J37" t="s">
        <v>259</v>
      </c>
      <c r="K37">
        <f>VLOOKUP($J37,'[1]Table S6'!$A:$AI,2,FALSE)</f>
        <v>310.89999999999998</v>
      </c>
      <c r="L37">
        <f>VLOOKUP($J37,'[1]Table S6'!$A:$AI,3,FALSE)</f>
        <v>0.66163013407107896</v>
      </c>
      <c r="M37">
        <f>VLOOKUP($J37,'[1]Table S6'!$A:$AI,4,FALSE)</f>
        <v>1.7030000000000001</v>
      </c>
      <c r="N37" t="str">
        <f>VLOOKUP($J37,'[1]Table S6'!$A:$AI,5,FALSE)</f>
        <v>Yes</v>
      </c>
      <c r="P37">
        <f>VLOOKUP($J37,'[1]Table S6'!$A:$AI,7,FALSE)</f>
        <v>357.6</v>
      </c>
      <c r="Q37">
        <f>VLOOKUP($J37,'[1]Table S6'!$A:$AI,8,FALSE)</f>
        <v>0.76101298148542296</v>
      </c>
      <c r="R37">
        <f>VLOOKUP($J37,'[1]Table S6'!$A:$AI,9,FALSE)</f>
        <v>9.4429999999999996</v>
      </c>
      <c r="S37" t="str">
        <f>VLOOKUP($J37,'[1]Table S6'!$A:$AI,10,FALSE)</f>
        <v>No</v>
      </c>
      <c r="U37">
        <f>VLOOKUP($J37,'[1]Table S6'!$A:$AI,12,FALSE)</f>
        <v>373.1</v>
      </c>
      <c r="V37">
        <f>VLOOKUP($J37,'[1]Table S6'!$A:$AI,13,FALSE)</f>
        <v>0.79399872313258102</v>
      </c>
      <c r="W37">
        <f>VLOOKUP($J37,'[1]Table S6'!$A:$AI,14,FALSE)</f>
        <v>21.11</v>
      </c>
      <c r="X37" t="str">
        <f>VLOOKUP($J37,'[1]Table S6'!$A:$AI,15,FALSE)</f>
        <v>No</v>
      </c>
      <c r="Z37">
        <f>VLOOKUP($J37,'[1]Table S6'!$A:$AI,17,FALSE)</f>
        <v>382.3</v>
      </c>
      <c r="AA37">
        <f>VLOOKUP($J37,'[1]Table S6'!$A:$AI,18,FALSE)</f>
        <v>0.81357735688444399</v>
      </c>
      <c r="AB37">
        <f>VLOOKUP($J37,'[1]Table S6'!$A:$AI,19,FALSE)</f>
        <v>8.3140000000000001</v>
      </c>
      <c r="AC37" t="str">
        <f>VLOOKUP($J37,'[1]Table S6'!$A:$AI,20,FALSE)</f>
        <v>No</v>
      </c>
      <c r="AE37">
        <f>VLOOKUP($J37,'[1]Table S6'!$A:$AI,22,FALSE)</f>
        <v>289.60000000000002</v>
      </c>
      <c r="AF37">
        <f>VLOOKUP($J37,'[1]Table S6'!$A:$AI,23,FALSE)</f>
        <v>0.61630134071079001</v>
      </c>
      <c r="AG37">
        <f>VLOOKUP($J37,'[1]Table S6'!$A:$AI,24,FALSE)</f>
        <v>0.98580000000000001</v>
      </c>
      <c r="AH37" t="str">
        <f>VLOOKUP($J37,'[1]Table S6'!$A:$AI,25,FALSE)</f>
        <v>Yes</v>
      </c>
      <c r="AJ37">
        <f>VLOOKUP($J37,'[1]Table S6'!$A:$AI,27,FALSE)</f>
        <v>406.9</v>
      </c>
      <c r="AK37">
        <f>VLOOKUP($J37,'[1]Table S6'!$A:$AI,28,FALSE)</f>
        <v>0.86592892104703101</v>
      </c>
      <c r="AL37">
        <f>VLOOKUP($J37,'[1]Table S6'!$A:$AI,29,FALSE)</f>
        <v>125.1</v>
      </c>
      <c r="AM37" t="str">
        <f>VLOOKUP($J37,'[1]Table S6'!$A:$AI,30,FALSE)</f>
        <v>No</v>
      </c>
      <c r="AO37">
        <f>VLOOKUP($J37,'[1]Table S6'!$A:$AI,32,FALSE)</f>
        <v>414.8</v>
      </c>
      <c r="AP37">
        <f>VLOOKUP($J37,'[1]Table S6'!$A:$AI,33,FALSE)</f>
        <v>0.88274100872526096</v>
      </c>
      <c r="AQ37">
        <f>VLOOKUP($J37,'[1]Table S6'!$A:$AI,34,FALSE)</f>
        <v>124.2</v>
      </c>
      <c r="AR37" t="str">
        <f>VLOOKUP($J37,'[1]Table S6'!$A:$AI,35,FALSE)</f>
        <v>No</v>
      </c>
      <c r="AT37" t="str">
        <f>VLOOKUP($I37,'[2]Table S5'!$A:$K,8,FALSE)</f>
        <v>Resistant</v>
      </c>
      <c r="AU37" t="str">
        <f>VLOOKUP($I37,'[2]Table S5'!$A:$K,9,FALSE)</f>
        <v>Resistant</v>
      </c>
      <c r="AV37" t="str">
        <f>VLOOKUP($I37,'[2]Table S5'!$A:$K,10,FALSE)</f>
        <v>Resistant</v>
      </c>
      <c r="AW37" t="str">
        <f>VLOOKUP($I37,'[2]Table S5'!$A:$K,11,FALSE)</f>
        <v>Resistant</v>
      </c>
    </row>
    <row r="38" spans="1:49">
      <c r="A38" s="12" t="s">
        <v>282</v>
      </c>
      <c r="B38" t="s">
        <v>283</v>
      </c>
      <c r="C38" t="s">
        <v>284</v>
      </c>
      <c r="D38" t="s">
        <v>17</v>
      </c>
      <c r="E38" t="s">
        <v>285</v>
      </c>
      <c r="F38" s="12" t="s">
        <v>286</v>
      </c>
      <c r="G38" t="s">
        <v>287</v>
      </c>
      <c r="H38" t="s">
        <v>288</v>
      </c>
      <c r="I38" t="s">
        <v>243</v>
      </c>
      <c r="J38" t="s">
        <v>267</v>
      </c>
      <c r="K38">
        <f>VLOOKUP($J38,'[1]Table S6'!$A:$AI,2,FALSE)</f>
        <v>290</v>
      </c>
      <c r="L38">
        <f>VLOOKUP($J38,'[1]Table S6'!$A:$AI,3,FALSE)</f>
        <v>0.61715258565652298</v>
      </c>
      <c r="M38">
        <f>VLOOKUP($J38,'[1]Table S6'!$A:$AI,4,FALSE)</f>
        <v>0.94599999999999995</v>
      </c>
      <c r="N38" t="str">
        <f>VLOOKUP($J38,'[1]Table S6'!$A:$AI,5,FALSE)</f>
        <v>Yes</v>
      </c>
      <c r="P38">
        <f>VLOOKUP($J38,'[1]Table S6'!$A:$AI,7,FALSE)</f>
        <v>371.8</v>
      </c>
      <c r="Q38">
        <f>VLOOKUP($J38,'[1]Table S6'!$A:$AI,8,FALSE)</f>
        <v>0.79123217705894899</v>
      </c>
      <c r="R38">
        <f>VLOOKUP($J38,'[1]Table S6'!$A:$AI,9,FALSE)</f>
        <v>12.49</v>
      </c>
      <c r="S38" t="str">
        <f>VLOOKUP($J38,'[1]Table S6'!$A:$AI,10,FALSE)</f>
        <v>No</v>
      </c>
      <c r="U38">
        <f>VLOOKUP($J38,'[1]Table S6'!$A:$AI,12,FALSE)</f>
        <v>377</v>
      </c>
      <c r="V38">
        <f>VLOOKUP($J38,'[1]Table S6'!$A:$AI,13,FALSE)</f>
        <v>0.80229836135347998</v>
      </c>
      <c r="W38">
        <f>VLOOKUP($J38,'[1]Table S6'!$A:$AI,14,FALSE)</f>
        <v>14.69</v>
      </c>
      <c r="X38" t="str">
        <f>VLOOKUP($J38,'[1]Table S6'!$A:$AI,15,FALSE)</f>
        <v>No</v>
      </c>
      <c r="Z38">
        <f>VLOOKUP($J38,'[1]Table S6'!$A:$AI,17,FALSE)</f>
        <v>330</v>
      </c>
      <c r="AA38">
        <f>VLOOKUP($J38,'[1]Table S6'!$A:$AI,18,FALSE)</f>
        <v>0.70227708022983604</v>
      </c>
      <c r="AB38">
        <f>VLOOKUP($J38,'[1]Table S6'!$A:$AI,19,FALSE)</f>
        <v>3.0840000000000001</v>
      </c>
      <c r="AC38" t="str">
        <f>VLOOKUP($J38,'[1]Table S6'!$A:$AI,20,FALSE)</f>
        <v>No</v>
      </c>
      <c r="AE38">
        <f>VLOOKUP($J38,'[1]Table S6'!$A:$AI,22,FALSE)</f>
        <v>359.9</v>
      </c>
      <c r="AF38">
        <f>VLOOKUP($J38,'[1]Table S6'!$A:$AI,23,FALSE)</f>
        <v>0.76590763992338795</v>
      </c>
      <c r="AG38">
        <f>VLOOKUP($J38,'[1]Table S6'!$A:$AI,24,FALSE)</f>
        <v>11.02</v>
      </c>
      <c r="AH38" t="str">
        <f>VLOOKUP($J38,'[1]Table S6'!$A:$AI,25,FALSE)</f>
        <v>No</v>
      </c>
      <c r="AJ38">
        <f>VLOOKUP($J38,'[1]Table S6'!$A:$AI,27,FALSE)</f>
        <v>408.2</v>
      </c>
      <c r="AK38">
        <f>VLOOKUP($J38,'[1]Table S6'!$A:$AI,28,FALSE)</f>
        <v>0.86869546712066403</v>
      </c>
      <c r="AL38">
        <f>VLOOKUP($J38,'[1]Table S6'!$A:$AI,29,FALSE)</f>
        <v>94.53</v>
      </c>
      <c r="AM38" t="str">
        <f>VLOOKUP($J38,'[1]Table S6'!$A:$AI,30,FALSE)</f>
        <v>No</v>
      </c>
      <c r="AO38">
        <f>VLOOKUP($J38,'[1]Table S6'!$A:$AI,32,FALSE)</f>
        <v>424.8</v>
      </c>
      <c r="AP38">
        <f>VLOOKUP($J38,'[1]Table S6'!$A:$AI,33,FALSE)</f>
        <v>0.90402213236858897</v>
      </c>
      <c r="AQ38">
        <f>VLOOKUP($J38,'[1]Table S6'!$A:$AI,34,FALSE)</f>
        <v>81.650000000000006</v>
      </c>
      <c r="AR38" t="str">
        <f>VLOOKUP($J38,'[1]Table S6'!$A:$AI,35,FALSE)</f>
        <v>No</v>
      </c>
      <c r="AT38" t="str">
        <f>VLOOKUP($I38,'[2]Table S5'!$A:$K,8,FALSE)</f>
        <v>Resistant</v>
      </c>
      <c r="AU38" t="str">
        <f>VLOOKUP($I38,'[2]Table S5'!$A:$K,9,FALSE)</f>
        <v>Resistant</v>
      </c>
      <c r="AV38" t="str">
        <f>VLOOKUP($I38,'[2]Table S5'!$A:$K,10,FALSE)</f>
        <v>Resistant</v>
      </c>
      <c r="AW38" t="str">
        <f>VLOOKUP($I38,'[2]Table S5'!$A:$K,11,FALSE)</f>
        <v>Resistant</v>
      </c>
    </row>
    <row r="39" spans="1:49">
      <c r="A39" s="12" t="s">
        <v>289</v>
      </c>
      <c r="B39" t="s">
        <v>290</v>
      </c>
      <c r="C39" t="s">
        <v>291</v>
      </c>
      <c r="D39" t="s">
        <v>17</v>
      </c>
      <c r="E39" t="s">
        <v>292</v>
      </c>
      <c r="F39" s="12" t="s">
        <v>293</v>
      </c>
      <c r="G39" t="s">
        <v>294</v>
      </c>
      <c r="H39" t="s">
        <v>295</v>
      </c>
      <c r="I39" t="s">
        <v>296</v>
      </c>
      <c r="J39" t="s">
        <v>296</v>
      </c>
      <c r="K39" t="e">
        <f>VLOOKUP($J39,'[1]Table S6'!$A:$AI,2,FALSE)</f>
        <v>#N/A</v>
      </c>
      <c r="L39" t="e">
        <f>VLOOKUP($J39,'[1]Table S6'!$A:$AI,3,FALSE)</f>
        <v>#N/A</v>
      </c>
      <c r="M39" t="e">
        <f>VLOOKUP($J39,'[1]Table S6'!$A:$AI,4,FALSE)</f>
        <v>#N/A</v>
      </c>
      <c r="N39" t="e">
        <f>VLOOKUP($J39,'[1]Table S6'!$A:$AI,5,FALSE)</f>
        <v>#N/A</v>
      </c>
      <c r="P39" t="e">
        <f>VLOOKUP($J39,'[1]Table S6'!$A:$AI,7,FALSE)</f>
        <v>#N/A</v>
      </c>
      <c r="Q39" t="e">
        <f>VLOOKUP($J39,'[1]Table S6'!$A:$AI,8,FALSE)</f>
        <v>#N/A</v>
      </c>
      <c r="R39" t="e">
        <f>VLOOKUP($J39,'[1]Table S6'!$A:$AI,9,FALSE)</f>
        <v>#N/A</v>
      </c>
      <c r="S39" t="e">
        <f>VLOOKUP($J39,'[1]Table S6'!$A:$AI,10,FALSE)</f>
        <v>#N/A</v>
      </c>
      <c r="U39" t="e">
        <f>VLOOKUP($J39,'[1]Table S6'!$A:$AI,12,FALSE)</f>
        <v>#N/A</v>
      </c>
      <c r="V39" t="e">
        <f>VLOOKUP($J39,'[1]Table S6'!$A:$AI,13,FALSE)</f>
        <v>#N/A</v>
      </c>
      <c r="W39" t="e">
        <f>VLOOKUP($J39,'[1]Table S6'!$A:$AI,14,FALSE)</f>
        <v>#N/A</v>
      </c>
      <c r="X39" t="e">
        <f>VLOOKUP($J39,'[1]Table S6'!$A:$AI,15,FALSE)</f>
        <v>#N/A</v>
      </c>
      <c r="Z39" t="e">
        <f>VLOOKUP($J39,'[1]Table S6'!$A:$AI,17,FALSE)</f>
        <v>#N/A</v>
      </c>
      <c r="AA39" t="e">
        <f>VLOOKUP($J39,'[1]Table S6'!$A:$AI,18,FALSE)</f>
        <v>#N/A</v>
      </c>
      <c r="AB39" t="e">
        <f>VLOOKUP($J39,'[1]Table S6'!$A:$AI,19,FALSE)</f>
        <v>#N/A</v>
      </c>
      <c r="AC39" t="e">
        <f>VLOOKUP($J39,'[1]Table S6'!$A:$AI,20,FALSE)</f>
        <v>#N/A</v>
      </c>
      <c r="AE39" t="e">
        <f>VLOOKUP($J39,'[1]Table S6'!$A:$AI,22,FALSE)</f>
        <v>#N/A</v>
      </c>
      <c r="AF39" t="e">
        <f>VLOOKUP($J39,'[1]Table S6'!$A:$AI,23,FALSE)</f>
        <v>#N/A</v>
      </c>
      <c r="AG39" t="e">
        <f>VLOOKUP($J39,'[1]Table S6'!$A:$AI,24,FALSE)</f>
        <v>#N/A</v>
      </c>
      <c r="AH39" t="e">
        <f>VLOOKUP($J39,'[1]Table S6'!$A:$AI,25,FALSE)</f>
        <v>#N/A</v>
      </c>
      <c r="AJ39" t="e">
        <f>VLOOKUP($J39,'[1]Table S6'!$A:$AI,27,FALSE)</f>
        <v>#N/A</v>
      </c>
      <c r="AK39" t="e">
        <f>VLOOKUP($J39,'[1]Table S6'!$A:$AI,28,FALSE)</f>
        <v>#N/A</v>
      </c>
      <c r="AL39" t="e">
        <f>VLOOKUP($J39,'[1]Table S6'!$A:$AI,29,FALSE)</f>
        <v>#N/A</v>
      </c>
      <c r="AM39" t="e">
        <f>VLOOKUP($J39,'[1]Table S6'!$A:$AI,30,FALSE)</f>
        <v>#N/A</v>
      </c>
      <c r="AO39" t="e">
        <f>VLOOKUP($J39,'[1]Table S6'!$A:$AI,32,FALSE)</f>
        <v>#N/A</v>
      </c>
      <c r="AP39" t="e">
        <f>VLOOKUP($J39,'[1]Table S6'!$A:$AI,33,FALSE)</f>
        <v>#N/A</v>
      </c>
      <c r="AQ39" t="e">
        <f>VLOOKUP($J39,'[1]Table S6'!$A:$AI,34,FALSE)</f>
        <v>#N/A</v>
      </c>
      <c r="AR39" t="e">
        <f>VLOOKUP($J39,'[1]Table S6'!$A:$AI,35,FALSE)</f>
        <v>#N/A</v>
      </c>
      <c r="AT39" t="str">
        <f>VLOOKUP($I39,'[2]Table S5'!$A:$K,8,FALSE)</f>
        <v>Resistant</v>
      </c>
      <c r="AU39" t="str">
        <f>VLOOKUP($I39,'[2]Table S5'!$A:$K,9,FALSE)</f>
        <v>Resistant</v>
      </c>
      <c r="AV39" t="str">
        <f>VLOOKUP($I39,'[2]Table S5'!$A:$K,10,FALSE)</f>
        <v>Resistant</v>
      </c>
      <c r="AW39" t="str">
        <f>VLOOKUP($I39,'[2]Table S5'!$A:$K,11,FALSE)</f>
        <v>Resistant</v>
      </c>
    </row>
    <row r="40" spans="1:49">
      <c r="A40" s="12" t="s">
        <v>297</v>
      </c>
      <c r="B40" t="s">
        <v>298</v>
      </c>
      <c r="C40" t="s">
        <v>299</v>
      </c>
      <c r="D40" t="s">
        <v>17</v>
      </c>
      <c r="E40" t="s">
        <v>300</v>
      </c>
      <c r="F40" s="12" t="s">
        <v>301</v>
      </c>
      <c r="G40" t="s">
        <v>302</v>
      </c>
      <c r="H40" t="s">
        <v>303</v>
      </c>
      <c r="I40" t="s">
        <v>296</v>
      </c>
      <c r="J40" t="s">
        <v>304</v>
      </c>
      <c r="K40">
        <f>VLOOKUP($J40,'[1]Table S6'!$A:$AI,2,FALSE)</f>
        <v>389.1</v>
      </c>
      <c r="L40">
        <f>VLOOKUP($J40,'[1]Table S6'!$A:$AI,3,FALSE)</f>
        <v>0.82804852096190695</v>
      </c>
      <c r="M40">
        <f>VLOOKUP($J40,'[1]Table S6'!$A:$AI,4,FALSE)</f>
        <v>10.69</v>
      </c>
      <c r="N40" t="str">
        <f>VLOOKUP($J40,'[1]Table S6'!$A:$AI,5,FALSE)</f>
        <v>No</v>
      </c>
      <c r="P40">
        <f>VLOOKUP($J40,'[1]Table S6'!$A:$AI,7,FALSE)</f>
        <v>403.3</v>
      </c>
      <c r="Q40">
        <f>VLOOKUP($J40,'[1]Table S6'!$A:$AI,8,FALSE)</f>
        <v>0.85826771653543299</v>
      </c>
      <c r="R40">
        <f>VLOOKUP($J40,'[1]Table S6'!$A:$AI,9,FALSE)</f>
        <v>18.760000000000002</v>
      </c>
      <c r="S40" t="str">
        <f>VLOOKUP($J40,'[1]Table S6'!$A:$AI,10,FALSE)</f>
        <v>No</v>
      </c>
      <c r="U40">
        <f>VLOOKUP($J40,'[1]Table S6'!$A:$AI,12,FALSE)</f>
        <v>377.4</v>
      </c>
      <c r="V40">
        <f>VLOOKUP($J40,'[1]Table S6'!$A:$AI,13,FALSE)</f>
        <v>0.80314960629921295</v>
      </c>
      <c r="W40">
        <f>VLOOKUP($J40,'[1]Table S6'!$A:$AI,14,FALSE)</f>
        <v>8.6059999999999999</v>
      </c>
      <c r="X40" t="str">
        <f>VLOOKUP($J40,'[1]Table S6'!$A:$AI,15,FALSE)</f>
        <v>No</v>
      </c>
      <c r="Z40">
        <f>VLOOKUP($J40,'[1]Table S6'!$A:$AI,17,FALSE)</f>
        <v>405.4</v>
      </c>
      <c r="AA40">
        <f>VLOOKUP($J40,'[1]Table S6'!$A:$AI,18,FALSE)</f>
        <v>0.86273675250053194</v>
      </c>
      <c r="AB40">
        <f>VLOOKUP($J40,'[1]Table S6'!$A:$AI,19,FALSE)</f>
        <v>19.36</v>
      </c>
      <c r="AC40" t="str">
        <f>VLOOKUP($J40,'[1]Table S6'!$A:$AI,20,FALSE)</f>
        <v>No</v>
      </c>
      <c r="AE40">
        <f>VLOOKUP($J40,'[1]Table S6'!$A:$AI,22,FALSE)</f>
        <v>352.9</v>
      </c>
      <c r="AF40">
        <f>VLOOKUP($J40,'[1]Table S6'!$A:$AI,23,FALSE)</f>
        <v>0.75101085337305795</v>
      </c>
      <c r="AG40">
        <f>VLOOKUP($J40,'[1]Table S6'!$A:$AI,24,FALSE)</f>
        <v>6.3230000000000004</v>
      </c>
      <c r="AH40" t="str">
        <f>VLOOKUP($J40,'[1]Table S6'!$A:$AI,25,FALSE)</f>
        <v>No</v>
      </c>
      <c r="AJ40">
        <f>VLOOKUP($J40,'[1]Table S6'!$A:$AI,27,FALSE)</f>
        <v>454.2</v>
      </c>
      <c r="AK40">
        <f>VLOOKUP($J40,'[1]Table S6'!$A:$AI,28,FALSE)</f>
        <v>0.96658863587997401</v>
      </c>
      <c r="AL40">
        <f>VLOOKUP($J40,'[1]Table S6'!$A:$AI,29,FALSE)</f>
        <v>201.6</v>
      </c>
      <c r="AM40" t="str">
        <f>VLOOKUP($J40,'[1]Table S6'!$A:$AI,30,FALSE)</f>
        <v>No</v>
      </c>
      <c r="AO40">
        <f>VLOOKUP($J40,'[1]Table S6'!$A:$AI,32,FALSE)</f>
        <v>426.5</v>
      </c>
      <c r="AP40">
        <f>VLOOKUP($J40,'[1]Table S6'!$A:$AI,33,FALSE)</f>
        <v>0.90763992338795496</v>
      </c>
      <c r="AQ40">
        <f>VLOOKUP($J40,'[1]Table S6'!$A:$AI,34,FALSE)</f>
        <v>139.19999999999999</v>
      </c>
      <c r="AR40" t="str">
        <f>VLOOKUP($J40,'[1]Table S6'!$A:$AI,35,FALSE)</f>
        <v>No</v>
      </c>
      <c r="AT40" t="str">
        <f>VLOOKUP($I40,'[2]Table S5'!$A:$K,8,FALSE)</f>
        <v>Resistant</v>
      </c>
      <c r="AU40" t="str">
        <f>VLOOKUP($I40,'[2]Table S5'!$A:$K,9,FALSE)</f>
        <v>Resistant</v>
      </c>
      <c r="AV40" t="str">
        <f>VLOOKUP($I40,'[2]Table S5'!$A:$K,10,FALSE)</f>
        <v>Resistant</v>
      </c>
      <c r="AW40" t="str">
        <f>VLOOKUP($I40,'[2]Table S5'!$A:$K,11,FALSE)</f>
        <v>Resistant</v>
      </c>
    </row>
    <row r="41" spans="1:49">
      <c r="A41" s="12" t="s">
        <v>305</v>
      </c>
      <c r="B41" t="s">
        <v>306</v>
      </c>
      <c r="C41" t="s">
        <v>307</v>
      </c>
      <c r="D41" t="s">
        <v>17</v>
      </c>
      <c r="E41" t="s">
        <v>308</v>
      </c>
      <c r="F41" s="12" t="s">
        <v>309</v>
      </c>
      <c r="G41" t="s">
        <v>310</v>
      </c>
      <c r="H41" t="s">
        <v>311</v>
      </c>
      <c r="I41" t="s">
        <v>296</v>
      </c>
      <c r="J41" t="s">
        <v>312</v>
      </c>
      <c r="K41">
        <f>VLOOKUP($J41,'[1]Table S6'!$A:$AI,2,FALSE)</f>
        <v>315.39999999999998</v>
      </c>
      <c r="L41">
        <f>VLOOKUP($J41,'[1]Table S6'!$A:$AI,3,FALSE)</f>
        <v>0.67120663971057704</v>
      </c>
      <c r="M41">
        <f>VLOOKUP($J41,'[1]Table S6'!$A:$AI,4,FALSE)</f>
        <v>1.4530000000000001</v>
      </c>
      <c r="N41" t="str">
        <f>VLOOKUP($J41,'[1]Table S6'!$A:$AI,5,FALSE)</f>
        <v>Yes</v>
      </c>
      <c r="P41">
        <f>VLOOKUP($J41,'[1]Table S6'!$A:$AI,7,FALSE)</f>
        <v>392.4</v>
      </c>
      <c r="Q41">
        <f>VLOOKUP($J41,'[1]Table S6'!$A:$AI,8,FALSE)</f>
        <v>0.83507129176420503</v>
      </c>
      <c r="R41">
        <f>VLOOKUP($J41,'[1]Table S6'!$A:$AI,9,FALSE)</f>
        <v>20.87</v>
      </c>
      <c r="S41" t="str">
        <f>VLOOKUP($J41,'[1]Table S6'!$A:$AI,10,FALSE)</f>
        <v>No</v>
      </c>
      <c r="U41">
        <f>VLOOKUP($J41,'[1]Table S6'!$A:$AI,12,FALSE)</f>
        <v>359.5</v>
      </c>
      <c r="V41">
        <f>VLOOKUP($J41,'[1]Table S6'!$A:$AI,13,FALSE)</f>
        <v>0.76505639497765499</v>
      </c>
      <c r="W41">
        <f>VLOOKUP($J41,'[1]Table S6'!$A:$AI,14,FALSE)</f>
        <v>7.1710000000000003</v>
      </c>
      <c r="X41" t="str">
        <f>VLOOKUP($J41,'[1]Table S6'!$A:$AI,15,FALSE)</f>
        <v>No</v>
      </c>
      <c r="Z41">
        <f>VLOOKUP($J41,'[1]Table S6'!$A:$AI,17,FALSE)</f>
        <v>319.8</v>
      </c>
      <c r="AA41">
        <f>VLOOKUP($J41,'[1]Table S6'!$A:$AI,18,FALSE)</f>
        <v>0.68057033411364098</v>
      </c>
      <c r="AB41">
        <f>VLOOKUP($J41,'[1]Table S6'!$A:$AI,19,FALSE)</f>
        <v>1.99</v>
      </c>
      <c r="AC41" t="str">
        <f>VLOOKUP($J41,'[1]Table S6'!$A:$AI,20,FALSE)</f>
        <v>Yes</v>
      </c>
      <c r="AE41">
        <f>VLOOKUP($J41,'[1]Table S6'!$A:$AI,22,FALSE)</f>
        <v>382.5</v>
      </c>
      <c r="AF41">
        <f>VLOOKUP($J41,'[1]Table S6'!$A:$AI,23,FALSE)</f>
        <v>0.81400297935731003</v>
      </c>
      <c r="AG41">
        <f>VLOOKUP($J41,'[1]Table S6'!$A:$AI,24,FALSE)</f>
        <v>12.23</v>
      </c>
      <c r="AH41" t="str">
        <f>VLOOKUP($J41,'[1]Table S6'!$A:$AI,25,FALSE)</f>
        <v>No</v>
      </c>
      <c r="AJ41">
        <f>VLOOKUP($J41,'[1]Table S6'!$A:$AI,27,FALSE)</f>
        <v>433.8</v>
      </c>
      <c r="AK41">
        <f>VLOOKUP($J41,'[1]Table S6'!$A:$AI,28,FALSE)</f>
        <v>0.92317514364758502</v>
      </c>
      <c r="AL41">
        <f>VLOOKUP($J41,'[1]Table S6'!$A:$AI,29,FALSE)</f>
        <v>268.10000000000002</v>
      </c>
      <c r="AM41" t="str">
        <f>VLOOKUP($J41,'[1]Table S6'!$A:$AI,30,FALSE)</f>
        <v>No</v>
      </c>
      <c r="AO41">
        <f>VLOOKUP($J41,'[1]Table S6'!$A:$AI,32,FALSE)</f>
        <v>422.6</v>
      </c>
      <c r="AP41">
        <f>VLOOKUP($J41,'[1]Table S6'!$A:$AI,33,FALSE)</f>
        <v>0.899340285167057</v>
      </c>
      <c r="AQ41">
        <f>VLOOKUP($J41,'[1]Table S6'!$A:$AI,34,FALSE)</f>
        <v>92.23</v>
      </c>
      <c r="AR41" t="str">
        <f>VLOOKUP($J41,'[1]Table S6'!$A:$AI,35,FALSE)</f>
        <v>No</v>
      </c>
      <c r="AT41" t="str">
        <f>VLOOKUP($I41,'[2]Table S5'!$A:$K,8,FALSE)</f>
        <v>Resistant</v>
      </c>
      <c r="AU41" t="str">
        <f>VLOOKUP($I41,'[2]Table S5'!$A:$K,9,FALSE)</f>
        <v>Resistant</v>
      </c>
      <c r="AV41" t="str">
        <f>VLOOKUP($I41,'[2]Table S5'!$A:$K,10,FALSE)</f>
        <v>Resistant</v>
      </c>
      <c r="AW41" t="str">
        <f>VLOOKUP($I41,'[2]Table S5'!$A:$K,11,FALSE)</f>
        <v>Resistant</v>
      </c>
    </row>
    <row r="42" spans="1:49">
      <c r="A42" s="12" t="s">
        <v>313</v>
      </c>
      <c r="B42" t="s">
        <v>314</v>
      </c>
      <c r="C42" t="s">
        <v>315</v>
      </c>
      <c r="D42" t="s">
        <v>17</v>
      </c>
      <c r="E42" t="s">
        <v>316</v>
      </c>
      <c r="F42" s="12" t="s">
        <v>317</v>
      </c>
      <c r="G42" t="s">
        <v>318</v>
      </c>
      <c r="H42" t="s">
        <v>319</v>
      </c>
      <c r="I42" t="s">
        <v>296</v>
      </c>
      <c r="J42" t="s">
        <v>320</v>
      </c>
      <c r="K42">
        <f>VLOOKUP($J42,'[1]Table S6'!$A:$AI,2,FALSE)</f>
        <v>383.6</v>
      </c>
      <c r="L42">
        <f>VLOOKUP($J42,'[1]Table S6'!$A:$AI,3,FALSE)</f>
        <v>0.81634390295807602</v>
      </c>
      <c r="M42">
        <f>VLOOKUP($J42,'[1]Table S6'!$A:$AI,4,FALSE)</f>
        <v>11.01</v>
      </c>
      <c r="N42" t="str">
        <f>VLOOKUP($J42,'[1]Table S6'!$A:$AI,5,FALSE)</f>
        <v>No</v>
      </c>
      <c r="P42">
        <f>VLOOKUP($J42,'[1]Table S6'!$A:$AI,7,FALSE)</f>
        <v>391.7</v>
      </c>
      <c r="Q42">
        <f>VLOOKUP($J42,'[1]Table S6'!$A:$AI,8,FALSE)</f>
        <v>0.833581613109172</v>
      </c>
      <c r="R42">
        <f>VLOOKUP($J42,'[1]Table S6'!$A:$AI,9,FALSE)</f>
        <v>19.28</v>
      </c>
      <c r="S42" t="str">
        <f>VLOOKUP($J42,'[1]Table S6'!$A:$AI,10,FALSE)</f>
        <v>No</v>
      </c>
      <c r="U42">
        <f>VLOOKUP($J42,'[1]Table S6'!$A:$AI,12,FALSE)</f>
        <v>378.9</v>
      </c>
      <c r="V42">
        <f>VLOOKUP($J42,'[1]Table S6'!$A:$AI,13,FALSE)</f>
        <v>0.80634177484571201</v>
      </c>
      <c r="W42">
        <f>VLOOKUP($J42,'[1]Table S6'!$A:$AI,14,FALSE)</f>
        <v>8.9009999999999998</v>
      </c>
      <c r="X42" t="str">
        <f>VLOOKUP($J42,'[1]Table S6'!$A:$AI,15,FALSE)</f>
        <v>No</v>
      </c>
      <c r="Z42">
        <f>VLOOKUP($J42,'[1]Table S6'!$A:$AI,17,FALSE)</f>
        <v>384.4</v>
      </c>
      <c r="AA42">
        <f>VLOOKUP($J42,'[1]Table S6'!$A:$AI,18,FALSE)</f>
        <v>0.81804639284954195</v>
      </c>
      <c r="AB42">
        <f>VLOOKUP($J42,'[1]Table S6'!$A:$AI,19,FALSE)</f>
        <v>17.989999999999998</v>
      </c>
      <c r="AC42" t="str">
        <f>VLOOKUP($J42,'[1]Table S6'!$A:$AI,20,FALSE)</f>
        <v>No</v>
      </c>
      <c r="AE42">
        <f>VLOOKUP($J42,'[1]Table S6'!$A:$AI,22,FALSE)</f>
        <v>362.5</v>
      </c>
      <c r="AF42">
        <f>VLOOKUP($J42,'[1]Table S6'!$A:$AI,23,FALSE)</f>
        <v>0.771440732070653</v>
      </c>
      <c r="AG42">
        <f>VLOOKUP($J42,'[1]Table S6'!$A:$AI,24,FALSE)</f>
        <v>9.1289999999999996</v>
      </c>
      <c r="AH42" t="str">
        <f>VLOOKUP($J42,'[1]Table S6'!$A:$AI,25,FALSE)</f>
        <v>No</v>
      </c>
      <c r="AJ42">
        <f>VLOOKUP($J42,'[1]Table S6'!$A:$AI,27,FALSE)</f>
        <v>398</v>
      </c>
      <c r="AK42">
        <f>VLOOKUP($J42,'[1]Table S6'!$A:$AI,28,FALSE)</f>
        <v>0.84698872100446898</v>
      </c>
      <c r="AL42">
        <f>VLOOKUP($J42,'[1]Table S6'!$A:$AI,29,FALSE)</f>
        <v>42.28</v>
      </c>
      <c r="AM42" t="str">
        <f>VLOOKUP($J42,'[1]Table S6'!$A:$AI,30,FALSE)</f>
        <v>No</v>
      </c>
      <c r="AO42">
        <f>VLOOKUP($J42,'[1]Table S6'!$A:$AI,32,FALSE)</f>
        <v>366.5</v>
      </c>
      <c r="AP42">
        <f>VLOOKUP($J42,'[1]Table S6'!$A:$AI,33,FALSE)</f>
        <v>0.77995318152798498</v>
      </c>
      <c r="AQ42">
        <f>VLOOKUP($J42,'[1]Table S6'!$A:$AI,34,FALSE)</f>
        <v>10.35</v>
      </c>
      <c r="AR42" t="str">
        <f>VLOOKUP($J42,'[1]Table S6'!$A:$AI,35,FALSE)</f>
        <v>No</v>
      </c>
      <c r="AT42" t="str">
        <f>VLOOKUP($I42,'[2]Table S5'!$A:$K,8,FALSE)</f>
        <v>Resistant</v>
      </c>
      <c r="AU42" t="str">
        <f>VLOOKUP($I42,'[2]Table S5'!$A:$K,9,FALSE)</f>
        <v>Resistant</v>
      </c>
      <c r="AV42" t="str">
        <f>VLOOKUP($I42,'[2]Table S5'!$A:$K,10,FALSE)</f>
        <v>Resistant</v>
      </c>
      <c r="AW42" t="str">
        <f>VLOOKUP($I42,'[2]Table S5'!$A:$K,11,FALSE)</f>
        <v>Resistant</v>
      </c>
    </row>
    <row r="43" spans="1:49">
      <c r="A43" s="12" t="s">
        <v>321</v>
      </c>
      <c r="B43" t="s">
        <v>322</v>
      </c>
      <c r="C43" t="s">
        <v>323</v>
      </c>
      <c r="D43" t="s">
        <v>17</v>
      </c>
      <c r="E43" t="s">
        <v>324</v>
      </c>
      <c r="F43" s="12" t="s">
        <v>325</v>
      </c>
      <c r="G43" t="s">
        <v>326</v>
      </c>
      <c r="H43" t="s">
        <v>327</v>
      </c>
      <c r="I43" t="s">
        <v>296</v>
      </c>
      <c r="J43" t="s">
        <v>304</v>
      </c>
      <c r="K43">
        <f>VLOOKUP($J43,'[1]Table S6'!$A:$AI,2,FALSE)</f>
        <v>389.1</v>
      </c>
      <c r="L43">
        <f>VLOOKUP($J43,'[1]Table S6'!$A:$AI,3,FALSE)</f>
        <v>0.82804852096190695</v>
      </c>
      <c r="M43">
        <f>VLOOKUP($J43,'[1]Table S6'!$A:$AI,4,FALSE)</f>
        <v>10.69</v>
      </c>
      <c r="N43" t="str">
        <f>VLOOKUP($J43,'[1]Table S6'!$A:$AI,5,FALSE)</f>
        <v>No</v>
      </c>
      <c r="P43">
        <f>VLOOKUP($J43,'[1]Table S6'!$A:$AI,7,FALSE)</f>
        <v>403.3</v>
      </c>
      <c r="Q43">
        <f>VLOOKUP($J43,'[1]Table S6'!$A:$AI,8,FALSE)</f>
        <v>0.85826771653543299</v>
      </c>
      <c r="R43">
        <f>VLOOKUP($J43,'[1]Table S6'!$A:$AI,9,FALSE)</f>
        <v>18.760000000000002</v>
      </c>
      <c r="S43" t="str">
        <f>VLOOKUP($J43,'[1]Table S6'!$A:$AI,10,FALSE)</f>
        <v>No</v>
      </c>
      <c r="U43">
        <f>VLOOKUP($J43,'[1]Table S6'!$A:$AI,12,FALSE)</f>
        <v>377.4</v>
      </c>
      <c r="V43">
        <f>VLOOKUP($J43,'[1]Table S6'!$A:$AI,13,FALSE)</f>
        <v>0.80314960629921295</v>
      </c>
      <c r="W43">
        <f>VLOOKUP($J43,'[1]Table S6'!$A:$AI,14,FALSE)</f>
        <v>8.6059999999999999</v>
      </c>
      <c r="X43" t="str">
        <f>VLOOKUP($J43,'[1]Table S6'!$A:$AI,15,FALSE)</f>
        <v>No</v>
      </c>
      <c r="Z43">
        <f>VLOOKUP($J43,'[1]Table S6'!$A:$AI,17,FALSE)</f>
        <v>405.4</v>
      </c>
      <c r="AA43">
        <f>VLOOKUP($J43,'[1]Table S6'!$A:$AI,18,FALSE)</f>
        <v>0.86273675250053194</v>
      </c>
      <c r="AB43">
        <f>VLOOKUP($J43,'[1]Table S6'!$A:$AI,19,FALSE)</f>
        <v>19.36</v>
      </c>
      <c r="AC43" t="str">
        <f>VLOOKUP($J43,'[1]Table S6'!$A:$AI,20,FALSE)</f>
        <v>No</v>
      </c>
      <c r="AE43">
        <f>VLOOKUP($J43,'[1]Table S6'!$A:$AI,22,FALSE)</f>
        <v>352.9</v>
      </c>
      <c r="AF43">
        <f>VLOOKUP($J43,'[1]Table S6'!$A:$AI,23,FALSE)</f>
        <v>0.75101085337305795</v>
      </c>
      <c r="AG43">
        <f>VLOOKUP($J43,'[1]Table S6'!$A:$AI,24,FALSE)</f>
        <v>6.3230000000000004</v>
      </c>
      <c r="AH43" t="str">
        <f>VLOOKUP($J43,'[1]Table S6'!$A:$AI,25,FALSE)</f>
        <v>No</v>
      </c>
      <c r="AJ43">
        <f>VLOOKUP($J43,'[1]Table S6'!$A:$AI,27,FALSE)</f>
        <v>454.2</v>
      </c>
      <c r="AK43">
        <f>VLOOKUP($J43,'[1]Table S6'!$A:$AI,28,FALSE)</f>
        <v>0.96658863587997401</v>
      </c>
      <c r="AL43">
        <f>VLOOKUP($J43,'[1]Table S6'!$A:$AI,29,FALSE)</f>
        <v>201.6</v>
      </c>
      <c r="AM43" t="str">
        <f>VLOOKUP($J43,'[1]Table S6'!$A:$AI,30,FALSE)</f>
        <v>No</v>
      </c>
      <c r="AO43">
        <f>VLOOKUP($J43,'[1]Table S6'!$A:$AI,32,FALSE)</f>
        <v>426.5</v>
      </c>
      <c r="AP43">
        <f>VLOOKUP($J43,'[1]Table S6'!$A:$AI,33,FALSE)</f>
        <v>0.90763992338795496</v>
      </c>
      <c r="AQ43">
        <f>VLOOKUP($J43,'[1]Table S6'!$A:$AI,34,FALSE)</f>
        <v>139.19999999999999</v>
      </c>
      <c r="AR43" t="str">
        <f>VLOOKUP($J43,'[1]Table S6'!$A:$AI,35,FALSE)</f>
        <v>No</v>
      </c>
      <c r="AT43" t="str">
        <f>VLOOKUP($I43,'[2]Table S5'!$A:$K,8,FALSE)</f>
        <v>Resistant</v>
      </c>
      <c r="AU43" t="str">
        <f>VLOOKUP($I43,'[2]Table S5'!$A:$K,9,FALSE)</f>
        <v>Resistant</v>
      </c>
      <c r="AV43" t="str">
        <f>VLOOKUP($I43,'[2]Table S5'!$A:$K,10,FALSE)</f>
        <v>Resistant</v>
      </c>
      <c r="AW43" t="str">
        <f>VLOOKUP($I43,'[2]Table S5'!$A:$K,11,FALSE)</f>
        <v>Resistant</v>
      </c>
    </row>
    <row r="44" spans="1:49">
      <c r="A44" s="12" t="s">
        <v>328</v>
      </c>
      <c r="B44" t="s">
        <v>329</v>
      </c>
      <c r="C44" t="s">
        <v>330</v>
      </c>
      <c r="D44" t="s">
        <v>17</v>
      </c>
      <c r="E44" t="s">
        <v>331</v>
      </c>
      <c r="F44" s="12" t="s">
        <v>332</v>
      </c>
      <c r="G44" t="s">
        <v>333</v>
      </c>
      <c r="H44" t="s">
        <v>334</v>
      </c>
      <c r="I44" t="s">
        <v>296</v>
      </c>
      <c r="J44" t="s">
        <v>312</v>
      </c>
      <c r="K44">
        <f>VLOOKUP($J44,'[1]Table S6'!$A:$AI,2,FALSE)</f>
        <v>315.39999999999998</v>
      </c>
      <c r="L44">
        <f>VLOOKUP($J44,'[1]Table S6'!$A:$AI,3,FALSE)</f>
        <v>0.67120663971057704</v>
      </c>
      <c r="M44">
        <f>VLOOKUP($J44,'[1]Table S6'!$A:$AI,4,FALSE)</f>
        <v>1.4530000000000001</v>
      </c>
      <c r="N44" t="str">
        <f>VLOOKUP($J44,'[1]Table S6'!$A:$AI,5,FALSE)</f>
        <v>Yes</v>
      </c>
      <c r="P44">
        <f>VLOOKUP($J44,'[1]Table S6'!$A:$AI,7,FALSE)</f>
        <v>392.4</v>
      </c>
      <c r="Q44">
        <f>VLOOKUP($J44,'[1]Table S6'!$A:$AI,8,FALSE)</f>
        <v>0.83507129176420503</v>
      </c>
      <c r="R44">
        <f>VLOOKUP($J44,'[1]Table S6'!$A:$AI,9,FALSE)</f>
        <v>20.87</v>
      </c>
      <c r="S44" t="str">
        <f>VLOOKUP($J44,'[1]Table S6'!$A:$AI,10,FALSE)</f>
        <v>No</v>
      </c>
      <c r="U44">
        <f>VLOOKUP($J44,'[1]Table S6'!$A:$AI,12,FALSE)</f>
        <v>359.5</v>
      </c>
      <c r="V44">
        <f>VLOOKUP($J44,'[1]Table S6'!$A:$AI,13,FALSE)</f>
        <v>0.76505639497765499</v>
      </c>
      <c r="W44">
        <f>VLOOKUP($J44,'[1]Table S6'!$A:$AI,14,FALSE)</f>
        <v>7.1710000000000003</v>
      </c>
      <c r="X44" t="str">
        <f>VLOOKUP($J44,'[1]Table S6'!$A:$AI,15,FALSE)</f>
        <v>No</v>
      </c>
      <c r="Z44">
        <f>VLOOKUP($J44,'[1]Table S6'!$A:$AI,17,FALSE)</f>
        <v>319.8</v>
      </c>
      <c r="AA44">
        <f>VLOOKUP($J44,'[1]Table S6'!$A:$AI,18,FALSE)</f>
        <v>0.68057033411364098</v>
      </c>
      <c r="AB44">
        <f>VLOOKUP($J44,'[1]Table S6'!$A:$AI,19,FALSE)</f>
        <v>1.99</v>
      </c>
      <c r="AC44" t="str">
        <f>VLOOKUP($J44,'[1]Table S6'!$A:$AI,20,FALSE)</f>
        <v>Yes</v>
      </c>
      <c r="AE44">
        <f>VLOOKUP($J44,'[1]Table S6'!$A:$AI,22,FALSE)</f>
        <v>382.5</v>
      </c>
      <c r="AF44">
        <f>VLOOKUP($J44,'[1]Table S6'!$A:$AI,23,FALSE)</f>
        <v>0.81400297935731003</v>
      </c>
      <c r="AG44">
        <f>VLOOKUP($J44,'[1]Table S6'!$A:$AI,24,FALSE)</f>
        <v>12.23</v>
      </c>
      <c r="AH44" t="str">
        <f>VLOOKUP($J44,'[1]Table S6'!$A:$AI,25,FALSE)</f>
        <v>No</v>
      </c>
      <c r="AJ44">
        <f>VLOOKUP($J44,'[1]Table S6'!$A:$AI,27,FALSE)</f>
        <v>433.8</v>
      </c>
      <c r="AK44">
        <f>VLOOKUP($J44,'[1]Table S6'!$A:$AI,28,FALSE)</f>
        <v>0.92317514364758502</v>
      </c>
      <c r="AL44">
        <f>VLOOKUP($J44,'[1]Table S6'!$A:$AI,29,FALSE)</f>
        <v>268.10000000000002</v>
      </c>
      <c r="AM44" t="str">
        <f>VLOOKUP($J44,'[1]Table S6'!$A:$AI,30,FALSE)</f>
        <v>No</v>
      </c>
      <c r="AO44">
        <f>VLOOKUP($J44,'[1]Table S6'!$A:$AI,32,FALSE)</f>
        <v>422.6</v>
      </c>
      <c r="AP44">
        <f>VLOOKUP($J44,'[1]Table S6'!$A:$AI,33,FALSE)</f>
        <v>0.899340285167057</v>
      </c>
      <c r="AQ44">
        <f>VLOOKUP($J44,'[1]Table S6'!$A:$AI,34,FALSE)</f>
        <v>92.23</v>
      </c>
      <c r="AR44" t="str">
        <f>VLOOKUP($J44,'[1]Table S6'!$A:$AI,35,FALSE)</f>
        <v>No</v>
      </c>
      <c r="AT44" t="str">
        <f>VLOOKUP($I44,'[2]Table S5'!$A:$K,8,FALSE)</f>
        <v>Resistant</v>
      </c>
      <c r="AU44" t="str">
        <f>VLOOKUP($I44,'[2]Table S5'!$A:$K,9,FALSE)</f>
        <v>Resistant</v>
      </c>
      <c r="AV44" t="str">
        <f>VLOOKUP($I44,'[2]Table S5'!$A:$K,10,FALSE)</f>
        <v>Resistant</v>
      </c>
      <c r="AW44" t="str">
        <f>VLOOKUP($I44,'[2]Table S5'!$A:$K,11,FALSE)</f>
        <v>Resistant</v>
      </c>
    </row>
    <row r="45" spans="1:49">
      <c r="A45" s="12" t="s">
        <v>335</v>
      </c>
      <c r="B45" t="s">
        <v>336</v>
      </c>
      <c r="C45" t="s">
        <v>337</v>
      </c>
      <c r="D45" t="s">
        <v>17</v>
      </c>
      <c r="E45" t="s">
        <v>338</v>
      </c>
      <c r="F45" s="12" t="s">
        <v>339</v>
      </c>
      <c r="G45" t="s">
        <v>340</v>
      </c>
      <c r="H45" t="s">
        <v>341</v>
      </c>
      <c r="I45" t="s">
        <v>296</v>
      </c>
      <c r="J45" t="s">
        <v>320</v>
      </c>
      <c r="K45">
        <f>VLOOKUP($J45,'[1]Table S6'!$A:$AI,2,FALSE)</f>
        <v>383.6</v>
      </c>
      <c r="L45">
        <f>VLOOKUP($J45,'[1]Table S6'!$A:$AI,3,FALSE)</f>
        <v>0.81634390295807602</v>
      </c>
      <c r="M45">
        <f>VLOOKUP($J45,'[1]Table S6'!$A:$AI,4,FALSE)</f>
        <v>11.01</v>
      </c>
      <c r="N45" t="str">
        <f>VLOOKUP($J45,'[1]Table S6'!$A:$AI,5,FALSE)</f>
        <v>No</v>
      </c>
      <c r="P45">
        <f>VLOOKUP($J45,'[1]Table S6'!$A:$AI,7,FALSE)</f>
        <v>391.7</v>
      </c>
      <c r="Q45">
        <f>VLOOKUP($J45,'[1]Table S6'!$A:$AI,8,FALSE)</f>
        <v>0.833581613109172</v>
      </c>
      <c r="R45">
        <f>VLOOKUP($J45,'[1]Table S6'!$A:$AI,9,FALSE)</f>
        <v>19.28</v>
      </c>
      <c r="S45" t="str">
        <f>VLOOKUP($J45,'[1]Table S6'!$A:$AI,10,FALSE)</f>
        <v>No</v>
      </c>
      <c r="U45">
        <f>VLOOKUP($J45,'[1]Table S6'!$A:$AI,12,FALSE)</f>
        <v>378.9</v>
      </c>
      <c r="V45">
        <f>VLOOKUP($J45,'[1]Table S6'!$A:$AI,13,FALSE)</f>
        <v>0.80634177484571201</v>
      </c>
      <c r="W45">
        <f>VLOOKUP($J45,'[1]Table S6'!$A:$AI,14,FALSE)</f>
        <v>8.9009999999999998</v>
      </c>
      <c r="X45" t="str">
        <f>VLOOKUP($J45,'[1]Table S6'!$A:$AI,15,FALSE)</f>
        <v>No</v>
      </c>
      <c r="Z45">
        <f>VLOOKUP($J45,'[1]Table S6'!$A:$AI,17,FALSE)</f>
        <v>384.4</v>
      </c>
      <c r="AA45">
        <f>VLOOKUP($J45,'[1]Table S6'!$A:$AI,18,FALSE)</f>
        <v>0.81804639284954195</v>
      </c>
      <c r="AB45">
        <f>VLOOKUP($J45,'[1]Table S6'!$A:$AI,19,FALSE)</f>
        <v>17.989999999999998</v>
      </c>
      <c r="AC45" t="str">
        <f>VLOOKUP($J45,'[1]Table S6'!$A:$AI,20,FALSE)</f>
        <v>No</v>
      </c>
      <c r="AE45">
        <f>VLOOKUP($J45,'[1]Table S6'!$A:$AI,22,FALSE)</f>
        <v>362.5</v>
      </c>
      <c r="AF45">
        <f>VLOOKUP($J45,'[1]Table S6'!$A:$AI,23,FALSE)</f>
        <v>0.771440732070653</v>
      </c>
      <c r="AG45">
        <f>VLOOKUP($J45,'[1]Table S6'!$A:$AI,24,FALSE)</f>
        <v>9.1289999999999996</v>
      </c>
      <c r="AH45" t="str">
        <f>VLOOKUP($J45,'[1]Table S6'!$A:$AI,25,FALSE)</f>
        <v>No</v>
      </c>
      <c r="AJ45">
        <f>VLOOKUP($J45,'[1]Table S6'!$A:$AI,27,FALSE)</f>
        <v>398</v>
      </c>
      <c r="AK45">
        <f>VLOOKUP($J45,'[1]Table S6'!$A:$AI,28,FALSE)</f>
        <v>0.84698872100446898</v>
      </c>
      <c r="AL45">
        <f>VLOOKUP($J45,'[1]Table S6'!$A:$AI,29,FALSE)</f>
        <v>42.28</v>
      </c>
      <c r="AM45" t="str">
        <f>VLOOKUP($J45,'[1]Table S6'!$A:$AI,30,FALSE)</f>
        <v>No</v>
      </c>
      <c r="AO45">
        <f>VLOOKUP($J45,'[1]Table S6'!$A:$AI,32,FALSE)</f>
        <v>366.5</v>
      </c>
      <c r="AP45">
        <f>VLOOKUP($J45,'[1]Table S6'!$A:$AI,33,FALSE)</f>
        <v>0.77995318152798498</v>
      </c>
      <c r="AQ45">
        <f>VLOOKUP($J45,'[1]Table S6'!$A:$AI,34,FALSE)</f>
        <v>10.35</v>
      </c>
      <c r="AR45" t="str">
        <f>VLOOKUP($J45,'[1]Table S6'!$A:$AI,35,FALSE)</f>
        <v>No</v>
      </c>
      <c r="AT45" t="str">
        <f>VLOOKUP($I45,'[2]Table S5'!$A:$K,8,FALSE)</f>
        <v>Resistant</v>
      </c>
      <c r="AU45" t="str">
        <f>VLOOKUP($I45,'[2]Table S5'!$A:$K,9,FALSE)</f>
        <v>Resistant</v>
      </c>
      <c r="AV45" t="str">
        <f>VLOOKUP($I45,'[2]Table S5'!$A:$K,10,FALSE)</f>
        <v>Resistant</v>
      </c>
      <c r="AW45" t="str">
        <f>VLOOKUP($I45,'[2]Table S5'!$A:$K,11,FALSE)</f>
        <v>Resistant</v>
      </c>
    </row>
    <row r="46" spans="1:49">
      <c r="A46" s="12" t="s">
        <v>342</v>
      </c>
      <c r="B46" t="s">
        <v>343</v>
      </c>
      <c r="C46" t="s">
        <v>344</v>
      </c>
      <c r="D46" t="s">
        <v>17</v>
      </c>
      <c r="E46" t="s">
        <v>345</v>
      </c>
      <c r="F46" s="12" t="s">
        <v>346</v>
      </c>
      <c r="G46" t="s">
        <v>347</v>
      </c>
      <c r="H46" t="s">
        <v>348</v>
      </c>
      <c r="I46" t="s">
        <v>349</v>
      </c>
      <c r="J46" t="s">
        <v>349</v>
      </c>
      <c r="K46" t="e">
        <f>VLOOKUP($J46,'[1]Table S6'!$A:$AI,2,FALSE)</f>
        <v>#N/A</v>
      </c>
      <c r="L46" t="e">
        <f>VLOOKUP($J46,'[1]Table S6'!$A:$AI,3,FALSE)</f>
        <v>#N/A</v>
      </c>
      <c r="M46" t="e">
        <f>VLOOKUP($J46,'[1]Table S6'!$A:$AI,4,FALSE)</f>
        <v>#N/A</v>
      </c>
      <c r="N46" t="e">
        <f>VLOOKUP($J46,'[1]Table S6'!$A:$AI,5,FALSE)</f>
        <v>#N/A</v>
      </c>
      <c r="P46" t="e">
        <f>VLOOKUP($J46,'[1]Table S6'!$A:$AI,7,FALSE)</f>
        <v>#N/A</v>
      </c>
      <c r="Q46" t="e">
        <f>VLOOKUP($J46,'[1]Table S6'!$A:$AI,8,FALSE)</f>
        <v>#N/A</v>
      </c>
      <c r="R46" t="e">
        <f>VLOOKUP($J46,'[1]Table S6'!$A:$AI,9,FALSE)</f>
        <v>#N/A</v>
      </c>
      <c r="S46" t="e">
        <f>VLOOKUP($J46,'[1]Table S6'!$A:$AI,10,FALSE)</f>
        <v>#N/A</v>
      </c>
      <c r="U46" t="e">
        <f>VLOOKUP($J46,'[1]Table S6'!$A:$AI,12,FALSE)</f>
        <v>#N/A</v>
      </c>
      <c r="V46" t="e">
        <f>VLOOKUP($J46,'[1]Table S6'!$A:$AI,13,FALSE)</f>
        <v>#N/A</v>
      </c>
      <c r="W46" t="e">
        <f>VLOOKUP($J46,'[1]Table S6'!$A:$AI,14,FALSE)</f>
        <v>#N/A</v>
      </c>
      <c r="X46" t="e">
        <f>VLOOKUP($J46,'[1]Table S6'!$A:$AI,15,FALSE)</f>
        <v>#N/A</v>
      </c>
      <c r="Z46" t="e">
        <f>VLOOKUP($J46,'[1]Table S6'!$A:$AI,17,FALSE)</f>
        <v>#N/A</v>
      </c>
      <c r="AA46" t="e">
        <f>VLOOKUP($J46,'[1]Table S6'!$A:$AI,18,FALSE)</f>
        <v>#N/A</v>
      </c>
      <c r="AB46" t="e">
        <f>VLOOKUP($J46,'[1]Table S6'!$A:$AI,19,FALSE)</f>
        <v>#N/A</v>
      </c>
      <c r="AC46" t="e">
        <f>VLOOKUP($J46,'[1]Table S6'!$A:$AI,20,FALSE)</f>
        <v>#N/A</v>
      </c>
      <c r="AE46" t="e">
        <f>VLOOKUP($J46,'[1]Table S6'!$A:$AI,22,FALSE)</f>
        <v>#N/A</v>
      </c>
      <c r="AF46" t="e">
        <f>VLOOKUP($J46,'[1]Table S6'!$A:$AI,23,FALSE)</f>
        <v>#N/A</v>
      </c>
      <c r="AG46" t="e">
        <f>VLOOKUP($J46,'[1]Table S6'!$A:$AI,24,FALSE)</f>
        <v>#N/A</v>
      </c>
      <c r="AH46" t="e">
        <f>VLOOKUP($J46,'[1]Table S6'!$A:$AI,25,FALSE)</f>
        <v>#N/A</v>
      </c>
      <c r="AJ46" t="e">
        <f>VLOOKUP($J46,'[1]Table S6'!$A:$AI,27,FALSE)</f>
        <v>#N/A</v>
      </c>
      <c r="AK46" t="e">
        <f>VLOOKUP($J46,'[1]Table S6'!$A:$AI,28,FALSE)</f>
        <v>#N/A</v>
      </c>
      <c r="AL46" t="e">
        <f>VLOOKUP($J46,'[1]Table S6'!$A:$AI,29,FALSE)</f>
        <v>#N/A</v>
      </c>
      <c r="AM46" t="e">
        <f>VLOOKUP($J46,'[1]Table S6'!$A:$AI,30,FALSE)</f>
        <v>#N/A</v>
      </c>
      <c r="AO46" t="e">
        <f>VLOOKUP($J46,'[1]Table S6'!$A:$AI,32,FALSE)</f>
        <v>#N/A</v>
      </c>
      <c r="AP46" t="e">
        <f>VLOOKUP($J46,'[1]Table S6'!$A:$AI,33,FALSE)</f>
        <v>#N/A</v>
      </c>
      <c r="AQ46" t="e">
        <f>VLOOKUP($J46,'[1]Table S6'!$A:$AI,34,FALSE)</f>
        <v>#N/A</v>
      </c>
      <c r="AR46" t="e">
        <f>VLOOKUP($J46,'[1]Table S6'!$A:$AI,35,FALSE)</f>
        <v>#N/A</v>
      </c>
      <c r="AT46" t="str">
        <f>VLOOKUP($I46,'[2]Table S5'!$A:$K,8,FALSE)</f>
        <v>Sensitive</v>
      </c>
      <c r="AU46" t="str">
        <f>VLOOKUP($I46,'[2]Table S5'!$A:$K,9,FALSE)</f>
        <v>Resistant</v>
      </c>
      <c r="AV46" t="str">
        <f>VLOOKUP($I46,'[2]Table S5'!$A:$K,10,FALSE)</f>
        <v>Resistant</v>
      </c>
      <c r="AW46" t="str">
        <f>VLOOKUP($I46,'[2]Table S5'!$A:$K,11,FALSE)</f>
        <v>Sensitive</v>
      </c>
    </row>
    <row r="47" spans="1:49">
      <c r="A47" s="12" t="s">
        <v>350</v>
      </c>
      <c r="B47" t="s">
        <v>351</v>
      </c>
      <c r="C47" t="s">
        <v>352</v>
      </c>
      <c r="D47" t="s">
        <v>17</v>
      </c>
      <c r="E47" t="s">
        <v>353</v>
      </c>
      <c r="F47" s="12" t="s">
        <v>354</v>
      </c>
      <c r="G47" t="s">
        <v>355</v>
      </c>
      <c r="H47" t="s">
        <v>356</v>
      </c>
      <c r="I47" t="s">
        <v>349</v>
      </c>
      <c r="J47" t="s">
        <v>357</v>
      </c>
      <c r="K47">
        <f>VLOOKUP($J47,'[1]Table S6'!$A:$AI,2,FALSE)</f>
        <v>270</v>
      </c>
      <c r="L47">
        <f>VLOOKUP($J47,'[1]Table S6'!$A:$AI,3,FALSE)</f>
        <v>0.57459033836986595</v>
      </c>
      <c r="M47">
        <f>VLOOKUP($J47,'[1]Table S6'!$A:$AI,4,FALSE)</f>
        <v>0.45100000000000001</v>
      </c>
      <c r="N47" t="str">
        <f>VLOOKUP($J47,'[1]Table S6'!$A:$AI,5,FALSE)</f>
        <v>Yes</v>
      </c>
      <c r="P47">
        <f>VLOOKUP($J47,'[1]Table S6'!$A:$AI,7,FALSE)</f>
        <v>347.2</v>
      </c>
      <c r="Q47">
        <f>VLOOKUP($J47,'[1]Table S6'!$A:$AI,8,FALSE)</f>
        <v>0.73888061289636098</v>
      </c>
      <c r="R47">
        <f>VLOOKUP($J47,'[1]Table S6'!$A:$AI,9,FALSE)</f>
        <v>3.0579999999999998</v>
      </c>
      <c r="S47" t="str">
        <f>VLOOKUP($J47,'[1]Table S6'!$A:$AI,10,FALSE)</f>
        <v>No</v>
      </c>
      <c r="U47">
        <f>VLOOKUP($J47,'[1]Table S6'!$A:$AI,12,FALSE)</f>
        <v>335.9</v>
      </c>
      <c r="V47">
        <f>VLOOKUP($J47,'[1]Table S6'!$A:$AI,13,FALSE)</f>
        <v>0.71483294317940005</v>
      </c>
      <c r="W47">
        <f>VLOOKUP($J47,'[1]Table S6'!$A:$AI,14,FALSE)</f>
        <v>3.16</v>
      </c>
      <c r="X47" t="str">
        <f>VLOOKUP($J47,'[1]Table S6'!$A:$AI,15,FALSE)</f>
        <v>No</v>
      </c>
      <c r="Z47">
        <f>VLOOKUP($J47,'[1]Table S6'!$A:$AI,17,FALSE)</f>
        <v>295.8</v>
      </c>
      <c r="AA47">
        <f>VLOOKUP($J47,'[1]Table S6'!$A:$AI,18,FALSE)</f>
        <v>0.62949563736965297</v>
      </c>
      <c r="AB47">
        <f>VLOOKUP($J47,'[1]Table S6'!$A:$AI,19,FALSE)</f>
        <v>1.486</v>
      </c>
      <c r="AC47" t="str">
        <f>VLOOKUP($J47,'[1]Table S6'!$A:$AI,20,FALSE)</f>
        <v>Yes</v>
      </c>
      <c r="AE47">
        <f>VLOOKUP($J47,'[1]Table S6'!$A:$AI,22,FALSE)</f>
        <v>322.60000000000002</v>
      </c>
      <c r="AF47">
        <f>VLOOKUP($J47,'[1]Table S6'!$A:$AI,23,FALSE)</f>
        <v>0.68652904873377296</v>
      </c>
      <c r="AG47">
        <f>VLOOKUP($J47,'[1]Table S6'!$A:$AI,24,FALSE)</f>
        <v>2.5449999999999999</v>
      </c>
      <c r="AH47" t="str">
        <f>VLOOKUP($J47,'[1]Table S6'!$A:$AI,25,FALSE)</f>
        <v>Yes</v>
      </c>
      <c r="AJ47">
        <f>VLOOKUP($J47,'[1]Table S6'!$A:$AI,27,FALSE)</f>
        <v>417.3</v>
      </c>
      <c r="AK47">
        <f>VLOOKUP($J47,'[1]Table S6'!$A:$AI,28,FALSE)</f>
        <v>0.88806128963609299</v>
      </c>
      <c r="AL47">
        <f>VLOOKUP($J47,'[1]Table S6'!$A:$AI,29,FALSE)</f>
        <v>134.1</v>
      </c>
      <c r="AM47" t="str">
        <f>VLOOKUP($J47,'[1]Table S6'!$A:$AI,30,FALSE)</f>
        <v>No</v>
      </c>
      <c r="AO47">
        <f>VLOOKUP($J47,'[1]Table S6'!$A:$AI,32,FALSE)</f>
        <v>380.5</v>
      </c>
      <c r="AP47">
        <f>VLOOKUP($J47,'[1]Table S6'!$A:$AI,33,FALSE)</f>
        <v>0.80974675462864398</v>
      </c>
      <c r="AQ47">
        <f>VLOOKUP($J47,'[1]Table S6'!$A:$AI,34,FALSE)</f>
        <v>60.05</v>
      </c>
      <c r="AR47" t="str">
        <f>VLOOKUP($J47,'[1]Table S6'!$A:$AI,35,FALSE)</f>
        <v>No</v>
      </c>
      <c r="AT47" t="str">
        <f>VLOOKUP($I47,'[2]Table S5'!$A:$K,8,FALSE)</f>
        <v>Sensitive</v>
      </c>
      <c r="AU47" t="str">
        <f>VLOOKUP($I47,'[2]Table S5'!$A:$K,9,FALSE)</f>
        <v>Resistant</v>
      </c>
      <c r="AV47" t="str">
        <f>VLOOKUP($I47,'[2]Table S5'!$A:$K,10,FALSE)</f>
        <v>Resistant</v>
      </c>
      <c r="AW47" t="str">
        <f>VLOOKUP($I47,'[2]Table S5'!$A:$K,11,FALSE)</f>
        <v>Sensitive</v>
      </c>
    </row>
    <row r="48" spans="1:49">
      <c r="A48" s="12" t="s">
        <v>358</v>
      </c>
      <c r="B48" t="s">
        <v>359</v>
      </c>
      <c r="C48" t="s">
        <v>360</v>
      </c>
      <c r="D48" t="s">
        <v>17</v>
      </c>
      <c r="E48" t="s">
        <v>361</v>
      </c>
      <c r="F48" s="12" t="s">
        <v>362</v>
      </c>
      <c r="G48" t="s">
        <v>363</v>
      </c>
      <c r="H48" t="s">
        <v>364</v>
      </c>
      <c r="I48" t="s">
        <v>349</v>
      </c>
      <c r="J48" t="s">
        <v>365</v>
      </c>
      <c r="K48">
        <f>VLOOKUP($J48,'[1]Table S6'!$A:$AI,2,FALSE)</f>
        <v>301.3</v>
      </c>
      <c r="L48">
        <f>VLOOKUP($J48,'[1]Table S6'!$A:$AI,3,FALSE)</f>
        <v>0.64120025537348402</v>
      </c>
      <c r="M48">
        <f>VLOOKUP($J48,'[1]Table S6'!$A:$AI,4,FALSE)</f>
        <v>1.139</v>
      </c>
      <c r="N48" t="str">
        <f>VLOOKUP($J48,'[1]Table S6'!$A:$AI,5,FALSE)</f>
        <v>Yes</v>
      </c>
      <c r="P48">
        <f>VLOOKUP($J48,'[1]Table S6'!$A:$AI,7,FALSE)</f>
        <v>321.10000000000002</v>
      </c>
      <c r="Q48">
        <f>VLOOKUP($J48,'[1]Table S6'!$A:$AI,8,FALSE)</f>
        <v>0.68333688018727401</v>
      </c>
      <c r="R48">
        <f>VLOOKUP($J48,'[1]Table S6'!$A:$AI,9,FALSE)</f>
        <v>1.75</v>
      </c>
      <c r="S48" t="str">
        <f>VLOOKUP($J48,'[1]Table S6'!$A:$AI,10,FALSE)</f>
        <v>Yes</v>
      </c>
      <c r="U48">
        <f>VLOOKUP($J48,'[1]Table S6'!$A:$AI,12,FALSE)</f>
        <v>364.7</v>
      </c>
      <c r="V48">
        <f>VLOOKUP($J48,'[1]Table S6'!$A:$AI,13,FALSE)</f>
        <v>0.77612257927218598</v>
      </c>
      <c r="W48">
        <f>VLOOKUP($J48,'[1]Table S6'!$A:$AI,14,FALSE)</f>
        <v>12.64</v>
      </c>
      <c r="X48" t="str">
        <f>VLOOKUP($J48,'[1]Table S6'!$A:$AI,15,FALSE)</f>
        <v>No</v>
      </c>
      <c r="Z48">
        <f>VLOOKUP($J48,'[1]Table S6'!$A:$AI,17,FALSE)</f>
        <v>306.2</v>
      </c>
      <c r="AA48">
        <f>VLOOKUP($J48,'[1]Table S6'!$A:$AI,18,FALSE)</f>
        <v>0.65162800595871495</v>
      </c>
      <c r="AB48">
        <f>VLOOKUP($J48,'[1]Table S6'!$A:$AI,19,FALSE)</f>
        <v>1.393</v>
      </c>
      <c r="AC48" t="str">
        <f>VLOOKUP($J48,'[1]Table S6'!$A:$AI,20,FALSE)</f>
        <v>Yes</v>
      </c>
      <c r="AE48">
        <f>VLOOKUP($J48,'[1]Table S6'!$A:$AI,22,FALSE)</f>
        <v>375.4</v>
      </c>
      <c r="AF48">
        <f>VLOOKUP($J48,'[1]Table S6'!$A:$AI,23,FALSE)</f>
        <v>0.79889338157054701</v>
      </c>
      <c r="AG48">
        <f>VLOOKUP($J48,'[1]Table S6'!$A:$AI,24,FALSE)</f>
        <v>14.79</v>
      </c>
      <c r="AH48" t="str">
        <f>VLOOKUP($J48,'[1]Table S6'!$A:$AI,25,FALSE)</f>
        <v>No</v>
      </c>
      <c r="AJ48">
        <f>VLOOKUP($J48,'[1]Table S6'!$A:$AI,27,FALSE)</f>
        <v>407.5</v>
      </c>
      <c r="AK48">
        <f>VLOOKUP($J48,'[1]Table S6'!$A:$AI,28,FALSE)</f>
        <v>0.86720578846563101</v>
      </c>
      <c r="AL48">
        <f>VLOOKUP($J48,'[1]Table S6'!$A:$AI,29,FALSE)</f>
        <v>108.3</v>
      </c>
      <c r="AM48" t="str">
        <f>VLOOKUP($J48,'[1]Table S6'!$A:$AI,30,FALSE)</f>
        <v>No</v>
      </c>
      <c r="AO48">
        <f>VLOOKUP($J48,'[1]Table S6'!$A:$AI,32,FALSE)</f>
        <v>390.1</v>
      </c>
      <c r="AP48">
        <f>VLOOKUP($J48,'[1]Table S6'!$A:$AI,33,FALSE)</f>
        <v>0.83017663332624003</v>
      </c>
      <c r="AQ48">
        <f>VLOOKUP($J48,'[1]Table S6'!$A:$AI,34,FALSE)</f>
        <v>95.6</v>
      </c>
      <c r="AR48" t="str">
        <f>VLOOKUP($J48,'[1]Table S6'!$A:$AI,35,FALSE)</f>
        <v>No</v>
      </c>
      <c r="AT48" t="str">
        <f>VLOOKUP($I48,'[2]Table S5'!$A:$K,8,FALSE)</f>
        <v>Sensitive</v>
      </c>
      <c r="AU48" t="str">
        <f>VLOOKUP($I48,'[2]Table S5'!$A:$K,9,FALSE)</f>
        <v>Resistant</v>
      </c>
      <c r="AV48" t="str">
        <f>VLOOKUP($I48,'[2]Table S5'!$A:$K,10,FALSE)</f>
        <v>Resistant</v>
      </c>
      <c r="AW48" t="str">
        <f>VLOOKUP($I48,'[2]Table S5'!$A:$K,11,FALSE)</f>
        <v>Sensitive</v>
      </c>
    </row>
    <row r="49" spans="1:49">
      <c r="A49" s="12" t="s">
        <v>366</v>
      </c>
      <c r="B49" t="s">
        <v>367</v>
      </c>
      <c r="C49" t="s">
        <v>368</v>
      </c>
      <c r="D49" t="s">
        <v>17</v>
      </c>
      <c r="E49" t="s">
        <v>369</v>
      </c>
      <c r="F49" s="12" t="s">
        <v>370</v>
      </c>
      <c r="G49" t="s">
        <v>371</v>
      </c>
      <c r="H49" t="s">
        <v>372</v>
      </c>
      <c r="I49" t="s">
        <v>349</v>
      </c>
      <c r="J49" t="s">
        <v>373</v>
      </c>
      <c r="K49">
        <f>VLOOKUP($J49,'[1]Table S6'!$A:$AI,2,FALSE)</f>
        <v>308.10000000000002</v>
      </c>
      <c r="L49">
        <f>VLOOKUP($J49,'[1]Table S6'!$A:$AI,3,FALSE)</f>
        <v>0.65567141945094698</v>
      </c>
      <c r="M49">
        <f>VLOOKUP($J49,'[1]Table S6'!$A:$AI,4,FALSE)</f>
        <v>1.2869999999999999</v>
      </c>
      <c r="N49" t="str">
        <f>VLOOKUP($J49,'[1]Table S6'!$A:$AI,5,FALSE)</f>
        <v>Yes</v>
      </c>
      <c r="P49">
        <f>VLOOKUP($J49,'[1]Table S6'!$A:$AI,7,FALSE)</f>
        <v>319.10000000000002</v>
      </c>
      <c r="Q49">
        <f>VLOOKUP($J49,'[1]Table S6'!$A:$AI,8,FALSE)</f>
        <v>0.67908065545860796</v>
      </c>
      <c r="R49">
        <f>VLOOKUP($J49,'[1]Table S6'!$A:$AI,9,FALSE)</f>
        <v>1.6619999999999999</v>
      </c>
      <c r="S49" t="str">
        <f>VLOOKUP($J49,'[1]Table S6'!$A:$AI,10,FALSE)</f>
        <v>Yes</v>
      </c>
      <c r="U49">
        <f>VLOOKUP($J49,'[1]Table S6'!$A:$AI,12,FALSE)</f>
        <v>306.7</v>
      </c>
      <c r="V49">
        <f>VLOOKUP($J49,'[1]Table S6'!$A:$AI,13,FALSE)</f>
        <v>0.65269206214088105</v>
      </c>
      <c r="W49">
        <f>VLOOKUP($J49,'[1]Table S6'!$A:$AI,14,FALSE)</f>
        <v>1.395</v>
      </c>
      <c r="X49" t="str">
        <f>VLOOKUP($J49,'[1]Table S6'!$A:$AI,15,FALSE)</f>
        <v>Yes</v>
      </c>
      <c r="Z49">
        <f>VLOOKUP($J49,'[1]Table S6'!$A:$AI,17,FALSE)</f>
        <v>297.5</v>
      </c>
      <c r="AA49">
        <f>VLOOKUP($J49,'[1]Table S6'!$A:$AI,18,FALSE)</f>
        <v>0.63311342838901896</v>
      </c>
      <c r="AB49">
        <f>VLOOKUP($J49,'[1]Table S6'!$A:$AI,19,FALSE)</f>
        <v>1.1619999999999999</v>
      </c>
      <c r="AC49" t="str">
        <f>VLOOKUP($J49,'[1]Table S6'!$A:$AI,20,FALSE)</f>
        <v>Yes</v>
      </c>
      <c r="AE49">
        <f>VLOOKUP($J49,'[1]Table S6'!$A:$AI,22,FALSE)</f>
        <v>418.5</v>
      </c>
      <c r="AF49">
        <f>VLOOKUP($J49,'[1]Table S6'!$A:$AI,23,FALSE)</f>
        <v>0.89061502447329199</v>
      </c>
      <c r="AG49">
        <f>VLOOKUP($J49,'[1]Table S6'!$A:$AI,24,FALSE)</f>
        <v>46.33</v>
      </c>
      <c r="AH49" t="str">
        <f>VLOOKUP($J49,'[1]Table S6'!$A:$AI,25,FALSE)</f>
        <v>No</v>
      </c>
      <c r="AJ49">
        <f>VLOOKUP($J49,'[1]Table S6'!$A:$AI,27,FALSE)</f>
        <v>442.1</v>
      </c>
      <c r="AK49">
        <f>VLOOKUP($J49,'[1]Table S6'!$A:$AI,28,FALSE)</f>
        <v>0.94083847627154704</v>
      </c>
      <c r="AL49">
        <f>VLOOKUP($J49,'[1]Table S6'!$A:$AI,29,FALSE)</f>
        <v>249.8</v>
      </c>
      <c r="AM49" t="str">
        <f>VLOOKUP($J49,'[1]Table S6'!$A:$AI,30,FALSE)</f>
        <v>No</v>
      </c>
      <c r="AO49">
        <f>VLOOKUP($J49,'[1]Table S6'!$A:$AI,32,FALSE)</f>
        <v>439.8</v>
      </c>
      <c r="AP49">
        <f>VLOOKUP($J49,'[1]Table S6'!$A:$AI,33,FALSE)</f>
        <v>0.93594381783358205</v>
      </c>
      <c r="AQ49">
        <f>VLOOKUP($J49,'[1]Table S6'!$A:$AI,34,FALSE)</f>
        <v>229.8</v>
      </c>
      <c r="AR49" t="str">
        <f>VLOOKUP($J49,'[1]Table S6'!$A:$AI,35,FALSE)</f>
        <v>No</v>
      </c>
      <c r="AT49" t="str">
        <f>VLOOKUP($I49,'[2]Table S5'!$A:$K,8,FALSE)</f>
        <v>Sensitive</v>
      </c>
      <c r="AU49" t="str">
        <f>VLOOKUP($I49,'[2]Table S5'!$A:$K,9,FALSE)</f>
        <v>Resistant</v>
      </c>
      <c r="AV49" t="str">
        <f>VLOOKUP($I49,'[2]Table S5'!$A:$K,10,FALSE)</f>
        <v>Resistant</v>
      </c>
      <c r="AW49" t="str">
        <f>VLOOKUP($I49,'[2]Table S5'!$A:$K,11,FALSE)</f>
        <v>Sensitive</v>
      </c>
    </row>
    <row r="50" spans="1:49">
      <c r="A50" s="12" t="s">
        <v>374</v>
      </c>
      <c r="B50" t="s">
        <v>375</v>
      </c>
      <c r="C50" t="s">
        <v>376</v>
      </c>
      <c r="D50" t="s">
        <v>17</v>
      </c>
      <c r="E50" t="s">
        <v>377</v>
      </c>
      <c r="F50" s="12" t="s">
        <v>378</v>
      </c>
      <c r="G50" t="s">
        <v>379</v>
      </c>
      <c r="H50" t="s">
        <v>380</v>
      </c>
      <c r="I50" t="s">
        <v>349</v>
      </c>
      <c r="J50" t="s">
        <v>381</v>
      </c>
      <c r="K50">
        <f>VLOOKUP($J50,'[1]Table S6'!$A:$AI,2,FALSE)</f>
        <v>304.3</v>
      </c>
      <c r="L50">
        <f>VLOOKUP($J50,'[1]Table S6'!$A:$AI,3,FALSE)</f>
        <v>0.64758459246648203</v>
      </c>
      <c r="M50">
        <f>VLOOKUP($J50,'[1]Table S6'!$A:$AI,4,FALSE)</f>
        <v>1.1519999999999999</v>
      </c>
      <c r="N50" t="str">
        <f>VLOOKUP($J50,'[1]Table S6'!$A:$AI,5,FALSE)</f>
        <v>Yes</v>
      </c>
      <c r="P50">
        <f>VLOOKUP($J50,'[1]Table S6'!$A:$AI,7,FALSE)</f>
        <v>294.89999999999998</v>
      </c>
      <c r="Q50">
        <f>VLOOKUP($J50,'[1]Table S6'!$A:$AI,8,FALSE)</f>
        <v>0.62758033624175402</v>
      </c>
      <c r="R50">
        <f>VLOOKUP($J50,'[1]Table S6'!$A:$AI,9,FALSE)</f>
        <v>0.94069999999999998</v>
      </c>
      <c r="S50" t="str">
        <f>VLOOKUP($J50,'[1]Table S6'!$A:$AI,10,FALSE)</f>
        <v>Yes</v>
      </c>
      <c r="U50">
        <f>VLOOKUP($J50,'[1]Table S6'!$A:$AI,12,FALSE)</f>
        <v>287.7</v>
      </c>
      <c r="V50">
        <f>VLOOKUP($J50,'[1]Table S6'!$A:$AI,13,FALSE)</f>
        <v>0.61225792721855699</v>
      </c>
      <c r="W50">
        <f>VLOOKUP($J50,'[1]Table S6'!$A:$AI,14,FALSE)</f>
        <v>0.97889999999999999</v>
      </c>
      <c r="X50" t="str">
        <f>VLOOKUP($J50,'[1]Table S6'!$A:$AI,15,FALSE)</f>
        <v>Yes</v>
      </c>
      <c r="Z50">
        <f>VLOOKUP($J50,'[1]Table S6'!$A:$AI,17,FALSE)</f>
        <v>317.7</v>
      </c>
      <c r="AA50">
        <f>VLOOKUP($J50,'[1]Table S6'!$A:$AI,18,FALSE)</f>
        <v>0.67610129814854203</v>
      </c>
      <c r="AB50">
        <f>VLOOKUP($J50,'[1]Table S6'!$A:$AI,19,FALSE)</f>
        <v>1.728</v>
      </c>
      <c r="AC50" t="str">
        <f>VLOOKUP($J50,'[1]Table S6'!$A:$AI,20,FALSE)</f>
        <v>Yes</v>
      </c>
      <c r="AE50">
        <f>VLOOKUP($J50,'[1]Table S6'!$A:$AI,22,FALSE)</f>
        <v>415.6</v>
      </c>
      <c r="AF50">
        <f>VLOOKUP($J50,'[1]Table S6'!$A:$AI,23,FALSE)</f>
        <v>0.884443498616727</v>
      </c>
      <c r="AG50">
        <f>VLOOKUP($J50,'[1]Table S6'!$A:$AI,24,FALSE)</f>
        <v>72.55</v>
      </c>
      <c r="AH50" t="str">
        <f>VLOOKUP($J50,'[1]Table S6'!$A:$AI,25,FALSE)</f>
        <v>No</v>
      </c>
      <c r="AJ50">
        <f>VLOOKUP($J50,'[1]Table S6'!$A:$AI,27,FALSE)</f>
        <v>417.6</v>
      </c>
      <c r="AK50">
        <f>VLOOKUP($J50,'[1]Table S6'!$A:$AI,28,FALSE)</f>
        <v>0.88869972334539304</v>
      </c>
      <c r="AL50">
        <f>VLOOKUP($J50,'[1]Table S6'!$A:$AI,29,FALSE)</f>
        <v>57.92</v>
      </c>
      <c r="AM50" t="str">
        <f>VLOOKUP($J50,'[1]Table S6'!$A:$AI,30,FALSE)</f>
        <v>No</v>
      </c>
      <c r="AO50">
        <f>VLOOKUP($J50,'[1]Table S6'!$A:$AI,32,FALSE)</f>
        <v>415.2</v>
      </c>
      <c r="AP50">
        <f>VLOOKUP($J50,'[1]Table S6'!$A:$AI,33,FALSE)</f>
        <v>0.88359225367099403</v>
      </c>
      <c r="AQ50">
        <f>VLOOKUP($J50,'[1]Table S6'!$A:$AI,34,FALSE)</f>
        <v>60.58</v>
      </c>
      <c r="AR50" t="str">
        <f>VLOOKUP($J50,'[1]Table S6'!$A:$AI,35,FALSE)</f>
        <v>No</v>
      </c>
      <c r="AT50" t="str">
        <f>VLOOKUP($I50,'[2]Table S5'!$A:$K,8,FALSE)</f>
        <v>Sensitive</v>
      </c>
      <c r="AU50" t="str">
        <f>VLOOKUP($I50,'[2]Table S5'!$A:$K,9,FALSE)</f>
        <v>Resistant</v>
      </c>
      <c r="AV50" t="str">
        <f>VLOOKUP($I50,'[2]Table S5'!$A:$K,10,FALSE)</f>
        <v>Resistant</v>
      </c>
      <c r="AW50" t="str">
        <f>VLOOKUP($I50,'[2]Table S5'!$A:$K,11,FALSE)</f>
        <v>Sensitive</v>
      </c>
    </row>
    <row r="51" spans="1:49">
      <c r="A51" s="12" t="s">
        <v>382</v>
      </c>
      <c r="B51" t="s">
        <v>383</v>
      </c>
      <c r="C51" t="s">
        <v>384</v>
      </c>
      <c r="D51" t="s">
        <v>17</v>
      </c>
      <c r="E51" t="s">
        <v>385</v>
      </c>
      <c r="F51" s="12" t="s">
        <v>386</v>
      </c>
      <c r="G51" t="s">
        <v>387</v>
      </c>
      <c r="H51" t="s">
        <v>388</v>
      </c>
      <c r="I51" t="s">
        <v>349</v>
      </c>
      <c r="J51" t="s">
        <v>357</v>
      </c>
      <c r="K51">
        <f>VLOOKUP($J51,'[1]Table S6'!$A:$AI,2,FALSE)</f>
        <v>270</v>
      </c>
      <c r="L51">
        <f>VLOOKUP($J51,'[1]Table S6'!$A:$AI,3,FALSE)</f>
        <v>0.57459033836986595</v>
      </c>
      <c r="M51">
        <f>VLOOKUP($J51,'[1]Table S6'!$A:$AI,4,FALSE)</f>
        <v>0.45100000000000001</v>
      </c>
      <c r="N51" t="str">
        <f>VLOOKUP($J51,'[1]Table S6'!$A:$AI,5,FALSE)</f>
        <v>Yes</v>
      </c>
      <c r="P51">
        <f>VLOOKUP($J51,'[1]Table S6'!$A:$AI,7,FALSE)</f>
        <v>347.2</v>
      </c>
      <c r="Q51">
        <f>VLOOKUP($J51,'[1]Table S6'!$A:$AI,8,FALSE)</f>
        <v>0.73888061289636098</v>
      </c>
      <c r="R51">
        <f>VLOOKUP($J51,'[1]Table S6'!$A:$AI,9,FALSE)</f>
        <v>3.0579999999999998</v>
      </c>
      <c r="S51" t="str">
        <f>VLOOKUP($J51,'[1]Table S6'!$A:$AI,10,FALSE)</f>
        <v>No</v>
      </c>
      <c r="U51">
        <f>VLOOKUP($J51,'[1]Table S6'!$A:$AI,12,FALSE)</f>
        <v>335.9</v>
      </c>
      <c r="V51">
        <f>VLOOKUP($J51,'[1]Table S6'!$A:$AI,13,FALSE)</f>
        <v>0.71483294317940005</v>
      </c>
      <c r="W51">
        <f>VLOOKUP($J51,'[1]Table S6'!$A:$AI,14,FALSE)</f>
        <v>3.16</v>
      </c>
      <c r="X51" t="str">
        <f>VLOOKUP($J51,'[1]Table S6'!$A:$AI,15,FALSE)</f>
        <v>No</v>
      </c>
      <c r="Z51">
        <f>VLOOKUP($J51,'[1]Table S6'!$A:$AI,17,FALSE)</f>
        <v>295.8</v>
      </c>
      <c r="AA51">
        <f>VLOOKUP($J51,'[1]Table S6'!$A:$AI,18,FALSE)</f>
        <v>0.62949563736965297</v>
      </c>
      <c r="AB51">
        <f>VLOOKUP($J51,'[1]Table S6'!$A:$AI,19,FALSE)</f>
        <v>1.486</v>
      </c>
      <c r="AC51" t="str">
        <f>VLOOKUP($J51,'[1]Table S6'!$A:$AI,20,FALSE)</f>
        <v>Yes</v>
      </c>
      <c r="AE51">
        <f>VLOOKUP($J51,'[1]Table S6'!$A:$AI,22,FALSE)</f>
        <v>322.60000000000002</v>
      </c>
      <c r="AF51">
        <f>VLOOKUP($J51,'[1]Table S6'!$A:$AI,23,FALSE)</f>
        <v>0.68652904873377296</v>
      </c>
      <c r="AG51">
        <f>VLOOKUP($J51,'[1]Table S6'!$A:$AI,24,FALSE)</f>
        <v>2.5449999999999999</v>
      </c>
      <c r="AH51" t="str">
        <f>VLOOKUP($J51,'[1]Table S6'!$A:$AI,25,FALSE)</f>
        <v>Yes</v>
      </c>
      <c r="AJ51">
        <f>VLOOKUP($J51,'[1]Table S6'!$A:$AI,27,FALSE)</f>
        <v>417.3</v>
      </c>
      <c r="AK51">
        <f>VLOOKUP($J51,'[1]Table S6'!$A:$AI,28,FALSE)</f>
        <v>0.88806128963609299</v>
      </c>
      <c r="AL51">
        <f>VLOOKUP($J51,'[1]Table S6'!$A:$AI,29,FALSE)</f>
        <v>134.1</v>
      </c>
      <c r="AM51" t="str">
        <f>VLOOKUP($J51,'[1]Table S6'!$A:$AI,30,FALSE)</f>
        <v>No</v>
      </c>
      <c r="AO51">
        <f>VLOOKUP($J51,'[1]Table S6'!$A:$AI,32,FALSE)</f>
        <v>380.5</v>
      </c>
      <c r="AP51">
        <f>VLOOKUP($J51,'[1]Table S6'!$A:$AI,33,FALSE)</f>
        <v>0.80974675462864398</v>
      </c>
      <c r="AQ51">
        <f>VLOOKUP($J51,'[1]Table S6'!$A:$AI,34,FALSE)</f>
        <v>60.05</v>
      </c>
      <c r="AR51" t="str">
        <f>VLOOKUP($J51,'[1]Table S6'!$A:$AI,35,FALSE)</f>
        <v>No</v>
      </c>
      <c r="AT51" t="str">
        <f>VLOOKUP($I51,'[2]Table S5'!$A:$K,8,FALSE)</f>
        <v>Sensitive</v>
      </c>
      <c r="AU51" t="str">
        <f>VLOOKUP($I51,'[2]Table S5'!$A:$K,9,FALSE)</f>
        <v>Resistant</v>
      </c>
      <c r="AV51" t="str">
        <f>VLOOKUP($I51,'[2]Table S5'!$A:$K,10,FALSE)</f>
        <v>Resistant</v>
      </c>
      <c r="AW51" t="str">
        <f>VLOOKUP($I51,'[2]Table S5'!$A:$K,11,FALSE)</f>
        <v>Sensitive</v>
      </c>
    </row>
    <row r="52" spans="1:49">
      <c r="A52" s="12" t="s">
        <v>389</v>
      </c>
      <c r="B52" t="s">
        <v>390</v>
      </c>
      <c r="C52" t="s">
        <v>391</v>
      </c>
      <c r="D52" t="s">
        <v>17</v>
      </c>
      <c r="E52" t="s">
        <v>392</v>
      </c>
      <c r="F52" s="12" t="s">
        <v>393</v>
      </c>
      <c r="G52" t="s">
        <v>394</v>
      </c>
      <c r="H52" t="s">
        <v>395</v>
      </c>
      <c r="I52" t="s">
        <v>349</v>
      </c>
      <c r="J52" t="s">
        <v>365</v>
      </c>
      <c r="K52">
        <f>VLOOKUP($J52,'[1]Table S6'!$A:$AI,2,FALSE)</f>
        <v>301.3</v>
      </c>
      <c r="L52">
        <f>VLOOKUP($J52,'[1]Table S6'!$A:$AI,3,FALSE)</f>
        <v>0.64120025537348402</v>
      </c>
      <c r="M52">
        <f>VLOOKUP($J52,'[1]Table S6'!$A:$AI,4,FALSE)</f>
        <v>1.139</v>
      </c>
      <c r="N52" t="str">
        <f>VLOOKUP($J52,'[1]Table S6'!$A:$AI,5,FALSE)</f>
        <v>Yes</v>
      </c>
      <c r="P52">
        <f>VLOOKUP($J52,'[1]Table S6'!$A:$AI,7,FALSE)</f>
        <v>321.10000000000002</v>
      </c>
      <c r="Q52">
        <f>VLOOKUP($J52,'[1]Table S6'!$A:$AI,8,FALSE)</f>
        <v>0.68333688018727401</v>
      </c>
      <c r="R52">
        <f>VLOOKUP($J52,'[1]Table S6'!$A:$AI,9,FALSE)</f>
        <v>1.75</v>
      </c>
      <c r="S52" t="str">
        <f>VLOOKUP($J52,'[1]Table S6'!$A:$AI,10,FALSE)</f>
        <v>Yes</v>
      </c>
      <c r="U52">
        <f>VLOOKUP($J52,'[1]Table S6'!$A:$AI,12,FALSE)</f>
        <v>364.7</v>
      </c>
      <c r="V52">
        <f>VLOOKUP($J52,'[1]Table S6'!$A:$AI,13,FALSE)</f>
        <v>0.77612257927218598</v>
      </c>
      <c r="W52">
        <f>VLOOKUP($J52,'[1]Table S6'!$A:$AI,14,FALSE)</f>
        <v>12.64</v>
      </c>
      <c r="X52" t="str">
        <f>VLOOKUP($J52,'[1]Table S6'!$A:$AI,15,FALSE)</f>
        <v>No</v>
      </c>
      <c r="Z52">
        <f>VLOOKUP($J52,'[1]Table S6'!$A:$AI,17,FALSE)</f>
        <v>306.2</v>
      </c>
      <c r="AA52">
        <f>VLOOKUP($J52,'[1]Table S6'!$A:$AI,18,FALSE)</f>
        <v>0.65162800595871495</v>
      </c>
      <c r="AB52">
        <f>VLOOKUP($J52,'[1]Table S6'!$A:$AI,19,FALSE)</f>
        <v>1.393</v>
      </c>
      <c r="AC52" t="str">
        <f>VLOOKUP($J52,'[1]Table S6'!$A:$AI,20,FALSE)</f>
        <v>Yes</v>
      </c>
      <c r="AE52">
        <f>VLOOKUP($J52,'[1]Table S6'!$A:$AI,22,FALSE)</f>
        <v>375.4</v>
      </c>
      <c r="AF52">
        <f>VLOOKUP($J52,'[1]Table S6'!$A:$AI,23,FALSE)</f>
        <v>0.79889338157054701</v>
      </c>
      <c r="AG52">
        <f>VLOOKUP($J52,'[1]Table S6'!$A:$AI,24,FALSE)</f>
        <v>14.79</v>
      </c>
      <c r="AH52" t="str">
        <f>VLOOKUP($J52,'[1]Table S6'!$A:$AI,25,FALSE)</f>
        <v>No</v>
      </c>
      <c r="AJ52">
        <f>VLOOKUP($J52,'[1]Table S6'!$A:$AI,27,FALSE)</f>
        <v>407.5</v>
      </c>
      <c r="AK52">
        <f>VLOOKUP($J52,'[1]Table S6'!$A:$AI,28,FALSE)</f>
        <v>0.86720578846563101</v>
      </c>
      <c r="AL52">
        <f>VLOOKUP($J52,'[1]Table S6'!$A:$AI,29,FALSE)</f>
        <v>108.3</v>
      </c>
      <c r="AM52" t="str">
        <f>VLOOKUP($J52,'[1]Table S6'!$A:$AI,30,FALSE)</f>
        <v>No</v>
      </c>
      <c r="AO52">
        <f>VLOOKUP($J52,'[1]Table S6'!$A:$AI,32,FALSE)</f>
        <v>390.1</v>
      </c>
      <c r="AP52">
        <f>VLOOKUP($J52,'[1]Table S6'!$A:$AI,33,FALSE)</f>
        <v>0.83017663332624003</v>
      </c>
      <c r="AQ52">
        <f>VLOOKUP($J52,'[1]Table S6'!$A:$AI,34,FALSE)</f>
        <v>95.6</v>
      </c>
      <c r="AR52" t="str">
        <f>VLOOKUP($J52,'[1]Table S6'!$A:$AI,35,FALSE)</f>
        <v>No</v>
      </c>
      <c r="AT52" t="str">
        <f>VLOOKUP($I52,'[2]Table S5'!$A:$K,8,FALSE)</f>
        <v>Sensitive</v>
      </c>
      <c r="AU52" t="str">
        <f>VLOOKUP($I52,'[2]Table S5'!$A:$K,9,FALSE)</f>
        <v>Resistant</v>
      </c>
      <c r="AV52" t="str">
        <f>VLOOKUP($I52,'[2]Table S5'!$A:$K,10,FALSE)</f>
        <v>Resistant</v>
      </c>
      <c r="AW52" t="str">
        <f>VLOOKUP($I52,'[2]Table S5'!$A:$K,11,FALSE)</f>
        <v>Sensitive</v>
      </c>
    </row>
    <row r="53" spans="1:49">
      <c r="A53" s="12" t="s">
        <v>396</v>
      </c>
      <c r="B53" t="s">
        <v>397</v>
      </c>
      <c r="C53" t="s">
        <v>398</v>
      </c>
      <c r="D53" t="s">
        <v>17</v>
      </c>
      <c r="E53" t="s">
        <v>399</v>
      </c>
      <c r="F53" s="12" t="s">
        <v>400</v>
      </c>
      <c r="G53" t="s">
        <v>401</v>
      </c>
      <c r="H53" t="s">
        <v>402</v>
      </c>
      <c r="I53" t="s">
        <v>349</v>
      </c>
      <c r="J53" t="s">
        <v>373</v>
      </c>
      <c r="K53">
        <f>VLOOKUP($J53,'[1]Table S6'!$A:$AI,2,FALSE)</f>
        <v>308.10000000000002</v>
      </c>
      <c r="L53">
        <f>VLOOKUP($J53,'[1]Table S6'!$A:$AI,3,FALSE)</f>
        <v>0.65567141945094698</v>
      </c>
      <c r="M53">
        <f>VLOOKUP($J53,'[1]Table S6'!$A:$AI,4,FALSE)</f>
        <v>1.2869999999999999</v>
      </c>
      <c r="N53" t="str">
        <f>VLOOKUP($J53,'[1]Table S6'!$A:$AI,5,FALSE)</f>
        <v>Yes</v>
      </c>
      <c r="P53">
        <f>VLOOKUP($J53,'[1]Table S6'!$A:$AI,7,FALSE)</f>
        <v>319.10000000000002</v>
      </c>
      <c r="Q53">
        <f>VLOOKUP($J53,'[1]Table S6'!$A:$AI,8,FALSE)</f>
        <v>0.67908065545860796</v>
      </c>
      <c r="R53">
        <f>VLOOKUP($J53,'[1]Table S6'!$A:$AI,9,FALSE)</f>
        <v>1.6619999999999999</v>
      </c>
      <c r="S53" t="str">
        <f>VLOOKUP($J53,'[1]Table S6'!$A:$AI,10,FALSE)</f>
        <v>Yes</v>
      </c>
      <c r="U53">
        <f>VLOOKUP($J53,'[1]Table S6'!$A:$AI,12,FALSE)</f>
        <v>306.7</v>
      </c>
      <c r="V53">
        <f>VLOOKUP($J53,'[1]Table S6'!$A:$AI,13,FALSE)</f>
        <v>0.65269206214088105</v>
      </c>
      <c r="W53">
        <f>VLOOKUP($J53,'[1]Table S6'!$A:$AI,14,FALSE)</f>
        <v>1.395</v>
      </c>
      <c r="X53" t="str">
        <f>VLOOKUP($J53,'[1]Table S6'!$A:$AI,15,FALSE)</f>
        <v>Yes</v>
      </c>
      <c r="Z53">
        <f>VLOOKUP($J53,'[1]Table S6'!$A:$AI,17,FALSE)</f>
        <v>297.5</v>
      </c>
      <c r="AA53">
        <f>VLOOKUP($J53,'[1]Table S6'!$A:$AI,18,FALSE)</f>
        <v>0.63311342838901896</v>
      </c>
      <c r="AB53">
        <f>VLOOKUP($J53,'[1]Table S6'!$A:$AI,19,FALSE)</f>
        <v>1.1619999999999999</v>
      </c>
      <c r="AC53" t="str">
        <f>VLOOKUP($J53,'[1]Table S6'!$A:$AI,20,FALSE)</f>
        <v>Yes</v>
      </c>
      <c r="AE53">
        <f>VLOOKUP($J53,'[1]Table S6'!$A:$AI,22,FALSE)</f>
        <v>418.5</v>
      </c>
      <c r="AF53">
        <f>VLOOKUP($J53,'[1]Table S6'!$A:$AI,23,FALSE)</f>
        <v>0.89061502447329199</v>
      </c>
      <c r="AG53">
        <f>VLOOKUP($J53,'[1]Table S6'!$A:$AI,24,FALSE)</f>
        <v>46.33</v>
      </c>
      <c r="AH53" t="str">
        <f>VLOOKUP($J53,'[1]Table S6'!$A:$AI,25,FALSE)</f>
        <v>No</v>
      </c>
      <c r="AJ53">
        <f>VLOOKUP($J53,'[1]Table S6'!$A:$AI,27,FALSE)</f>
        <v>442.1</v>
      </c>
      <c r="AK53">
        <f>VLOOKUP($J53,'[1]Table S6'!$A:$AI,28,FALSE)</f>
        <v>0.94083847627154704</v>
      </c>
      <c r="AL53">
        <f>VLOOKUP($J53,'[1]Table S6'!$A:$AI,29,FALSE)</f>
        <v>249.8</v>
      </c>
      <c r="AM53" t="str">
        <f>VLOOKUP($J53,'[1]Table S6'!$A:$AI,30,FALSE)</f>
        <v>No</v>
      </c>
      <c r="AO53">
        <f>VLOOKUP($J53,'[1]Table S6'!$A:$AI,32,FALSE)</f>
        <v>439.8</v>
      </c>
      <c r="AP53">
        <f>VLOOKUP($J53,'[1]Table S6'!$A:$AI,33,FALSE)</f>
        <v>0.93594381783358205</v>
      </c>
      <c r="AQ53">
        <f>VLOOKUP($J53,'[1]Table S6'!$A:$AI,34,FALSE)</f>
        <v>229.8</v>
      </c>
      <c r="AR53" t="str">
        <f>VLOOKUP($J53,'[1]Table S6'!$A:$AI,35,FALSE)</f>
        <v>No</v>
      </c>
      <c r="AT53" t="str">
        <f>VLOOKUP($I53,'[2]Table S5'!$A:$K,8,FALSE)</f>
        <v>Sensitive</v>
      </c>
      <c r="AU53" t="str">
        <f>VLOOKUP($I53,'[2]Table S5'!$A:$K,9,FALSE)</f>
        <v>Resistant</v>
      </c>
      <c r="AV53" t="str">
        <f>VLOOKUP($I53,'[2]Table S5'!$A:$K,10,FALSE)</f>
        <v>Resistant</v>
      </c>
      <c r="AW53" t="str">
        <f>VLOOKUP($I53,'[2]Table S5'!$A:$K,11,FALSE)</f>
        <v>Sensitive</v>
      </c>
    </row>
    <row r="54" spans="1:49">
      <c r="A54" s="12" t="s">
        <v>403</v>
      </c>
      <c r="B54" t="s">
        <v>404</v>
      </c>
      <c r="C54" t="s">
        <v>405</v>
      </c>
      <c r="D54" t="s">
        <v>17</v>
      </c>
      <c r="E54" t="s">
        <v>406</v>
      </c>
      <c r="F54" s="12" t="s">
        <v>407</v>
      </c>
      <c r="G54" t="s">
        <v>408</v>
      </c>
      <c r="H54" t="s">
        <v>409</v>
      </c>
      <c r="I54" t="s">
        <v>349</v>
      </c>
      <c r="J54" t="s">
        <v>381</v>
      </c>
      <c r="K54">
        <f>VLOOKUP($J54,'[1]Table S6'!$A:$AI,2,FALSE)</f>
        <v>304.3</v>
      </c>
      <c r="L54">
        <f>VLOOKUP($J54,'[1]Table S6'!$A:$AI,3,FALSE)</f>
        <v>0.64758459246648203</v>
      </c>
      <c r="M54">
        <f>VLOOKUP($J54,'[1]Table S6'!$A:$AI,4,FALSE)</f>
        <v>1.1519999999999999</v>
      </c>
      <c r="N54" t="str">
        <f>VLOOKUP($J54,'[1]Table S6'!$A:$AI,5,FALSE)</f>
        <v>Yes</v>
      </c>
      <c r="P54">
        <f>VLOOKUP($J54,'[1]Table S6'!$A:$AI,7,FALSE)</f>
        <v>294.89999999999998</v>
      </c>
      <c r="Q54">
        <f>VLOOKUP($J54,'[1]Table S6'!$A:$AI,8,FALSE)</f>
        <v>0.62758033624175402</v>
      </c>
      <c r="R54">
        <f>VLOOKUP($J54,'[1]Table S6'!$A:$AI,9,FALSE)</f>
        <v>0.94069999999999998</v>
      </c>
      <c r="S54" t="str">
        <f>VLOOKUP($J54,'[1]Table S6'!$A:$AI,10,FALSE)</f>
        <v>Yes</v>
      </c>
      <c r="U54">
        <f>VLOOKUP($J54,'[1]Table S6'!$A:$AI,12,FALSE)</f>
        <v>287.7</v>
      </c>
      <c r="V54">
        <f>VLOOKUP($J54,'[1]Table S6'!$A:$AI,13,FALSE)</f>
        <v>0.61225792721855699</v>
      </c>
      <c r="W54">
        <f>VLOOKUP($J54,'[1]Table S6'!$A:$AI,14,FALSE)</f>
        <v>0.97889999999999999</v>
      </c>
      <c r="X54" t="str">
        <f>VLOOKUP($J54,'[1]Table S6'!$A:$AI,15,FALSE)</f>
        <v>Yes</v>
      </c>
      <c r="Z54">
        <f>VLOOKUP($J54,'[1]Table S6'!$A:$AI,17,FALSE)</f>
        <v>317.7</v>
      </c>
      <c r="AA54">
        <f>VLOOKUP($J54,'[1]Table S6'!$A:$AI,18,FALSE)</f>
        <v>0.67610129814854203</v>
      </c>
      <c r="AB54">
        <f>VLOOKUP($J54,'[1]Table S6'!$A:$AI,19,FALSE)</f>
        <v>1.728</v>
      </c>
      <c r="AC54" t="str">
        <f>VLOOKUP($J54,'[1]Table S6'!$A:$AI,20,FALSE)</f>
        <v>Yes</v>
      </c>
      <c r="AE54">
        <f>VLOOKUP($J54,'[1]Table S6'!$A:$AI,22,FALSE)</f>
        <v>415.6</v>
      </c>
      <c r="AF54">
        <f>VLOOKUP($J54,'[1]Table S6'!$A:$AI,23,FALSE)</f>
        <v>0.884443498616727</v>
      </c>
      <c r="AG54">
        <f>VLOOKUP($J54,'[1]Table S6'!$A:$AI,24,FALSE)</f>
        <v>72.55</v>
      </c>
      <c r="AH54" t="str">
        <f>VLOOKUP($J54,'[1]Table S6'!$A:$AI,25,FALSE)</f>
        <v>No</v>
      </c>
      <c r="AJ54">
        <f>VLOOKUP($J54,'[1]Table S6'!$A:$AI,27,FALSE)</f>
        <v>417.6</v>
      </c>
      <c r="AK54">
        <f>VLOOKUP($J54,'[1]Table S6'!$A:$AI,28,FALSE)</f>
        <v>0.88869972334539304</v>
      </c>
      <c r="AL54">
        <f>VLOOKUP($J54,'[1]Table S6'!$A:$AI,29,FALSE)</f>
        <v>57.92</v>
      </c>
      <c r="AM54" t="str">
        <f>VLOOKUP($J54,'[1]Table S6'!$A:$AI,30,FALSE)</f>
        <v>No</v>
      </c>
      <c r="AO54">
        <f>VLOOKUP($J54,'[1]Table S6'!$A:$AI,32,FALSE)</f>
        <v>415.2</v>
      </c>
      <c r="AP54">
        <f>VLOOKUP($J54,'[1]Table S6'!$A:$AI,33,FALSE)</f>
        <v>0.88359225367099403</v>
      </c>
      <c r="AQ54">
        <f>VLOOKUP($J54,'[1]Table S6'!$A:$AI,34,FALSE)</f>
        <v>60.58</v>
      </c>
      <c r="AR54" t="str">
        <f>VLOOKUP($J54,'[1]Table S6'!$A:$AI,35,FALSE)</f>
        <v>No</v>
      </c>
      <c r="AT54" t="str">
        <f>VLOOKUP($I54,'[2]Table S5'!$A:$K,8,FALSE)</f>
        <v>Sensitive</v>
      </c>
      <c r="AU54" t="str">
        <f>VLOOKUP($I54,'[2]Table S5'!$A:$K,9,FALSE)</f>
        <v>Resistant</v>
      </c>
      <c r="AV54" t="str">
        <f>VLOOKUP($I54,'[2]Table S5'!$A:$K,10,FALSE)</f>
        <v>Resistant</v>
      </c>
      <c r="AW54" t="str">
        <f>VLOOKUP($I54,'[2]Table S5'!$A:$K,11,FALSE)</f>
        <v>Sensitive</v>
      </c>
    </row>
    <row r="55" spans="1:49">
      <c r="A55" s="12" t="s">
        <v>410</v>
      </c>
      <c r="B55" t="s">
        <v>411</v>
      </c>
      <c r="C55" t="s">
        <v>412</v>
      </c>
      <c r="D55" t="s">
        <v>17</v>
      </c>
      <c r="E55" t="s">
        <v>413</v>
      </c>
      <c r="F55" s="12" t="s">
        <v>414</v>
      </c>
      <c r="G55" t="s">
        <v>415</v>
      </c>
      <c r="H55" t="s">
        <v>416</v>
      </c>
      <c r="I55" t="s">
        <v>417</v>
      </c>
      <c r="J55" t="s">
        <v>417</v>
      </c>
      <c r="K55" t="e">
        <f>VLOOKUP($J55,'[1]Table S6'!$A:$AI,2,FALSE)</f>
        <v>#N/A</v>
      </c>
      <c r="L55" t="e">
        <f>VLOOKUP($J55,'[1]Table S6'!$A:$AI,3,FALSE)</f>
        <v>#N/A</v>
      </c>
      <c r="M55" t="e">
        <f>VLOOKUP($J55,'[1]Table S6'!$A:$AI,4,FALSE)</f>
        <v>#N/A</v>
      </c>
      <c r="N55" t="e">
        <f>VLOOKUP($J55,'[1]Table S6'!$A:$AI,5,FALSE)</f>
        <v>#N/A</v>
      </c>
      <c r="P55" t="e">
        <f>VLOOKUP($J55,'[1]Table S6'!$A:$AI,7,FALSE)</f>
        <v>#N/A</v>
      </c>
      <c r="Q55" t="e">
        <f>VLOOKUP($J55,'[1]Table S6'!$A:$AI,8,FALSE)</f>
        <v>#N/A</v>
      </c>
      <c r="R55" t="e">
        <f>VLOOKUP($J55,'[1]Table S6'!$A:$AI,9,FALSE)</f>
        <v>#N/A</v>
      </c>
      <c r="S55" t="e">
        <f>VLOOKUP($J55,'[1]Table S6'!$A:$AI,10,FALSE)</f>
        <v>#N/A</v>
      </c>
      <c r="U55" t="e">
        <f>VLOOKUP($J55,'[1]Table S6'!$A:$AI,12,FALSE)</f>
        <v>#N/A</v>
      </c>
      <c r="V55" t="e">
        <f>VLOOKUP($J55,'[1]Table S6'!$A:$AI,13,FALSE)</f>
        <v>#N/A</v>
      </c>
      <c r="W55" t="e">
        <f>VLOOKUP($J55,'[1]Table S6'!$A:$AI,14,FALSE)</f>
        <v>#N/A</v>
      </c>
      <c r="X55" t="e">
        <f>VLOOKUP($J55,'[1]Table S6'!$A:$AI,15,FALSE)</f>
        <v>#N/A</v>
      </c>
      <c r="Z55" t="e">
        <f>VLOOKUP($J55,'[1]Table S6'!$A:$AI,17,FALSE)</f>
        <v>#N/A</v>
      </c>
      <c r="AA55" t="e">
        <f>VLOOKUP($J55,'[1]Table S6'!$A:$AI,18,FALSE)</f>
        <v>#N/A</v>
      </c>
      <c r="AB55" t="e">
        <f>VLOOKUP($J55,'[1]Table S6'!$A:$AI,19,FALSE)</f>
        <v>#N/A</v>
      </c>
      <c r="AC55" t="e">
        <f>VLOOKUP($J55,'[1]Table S6'!$A:$AI,20,FALSE)</f>
        <v>#N/A</v>
      </c>
      <c r="AE55" t="e">
        <f>VLOOKUP($J55,'[1]Table S6'!$A:$AI,22,FALSE)</f>
        <v>#N/A</v>
      </c>
      <c r="AF55" t="e">
        <f>VLOOKUP($J55,'[1]Table S6'!$A:$AI,23,FALSE)</f>
        <v>#N/A</v>
      </c>
      <c r="AG55" t="e">
        <f>VLOOKUP($J55,'[1]Table S6'!$A:$AI,24,FALSE)</f>
        <v>#N/A</v>
      </c>
      <c r="AH55" t="e">
        <f>VLOOKUP($J55,'[1]Table S6'!$A:$AI,25,FALSE)</f>
        <v>#N/A</v>
      </c>
      <c r="AJ55" t="e">
        <f>VLOOKUP($J55,'[1]Table S6'!$A:$AI,27,FALSE)</f>
        <v>#N/A</v>
      </c>
      <c r="AK55" t="e">
        <f>VLOOKUP($J55,'[1]Table S6'!$A:$AI,28,FALSE)</f>
        <v>#N/A</v>
      </c>
      <c r="AL55" t="e">
        <f>VLOOKUP($J55,'[1]Table S6'!$A:$AI,29,FALSE)</f>
        <v>#N/A</v>
      </c>
      <c r="AM55" t="e">
        <f>VLOOKUP($J55,'[1]Table S6'!$A:$AI,30,FALSE)</f>
        <v>#N/A</v>
      </c>
      <c r="AO55" t="e">
        <f>VLOOKUP($J55,'[1]Table S6'!$A:$AI,32,FALSE)</f>
        <v>#N/A</v>
      </c>
      <c r="AP55" t="e">
        <f>VLOOKUP($J55,'[1]Table S6'!$A:$AI,33,FALSE)</f>
        <v>#N/A</v>
      </c>
      <c r="AQ55" t="e">
        <f>VLOOKUP($J55,'[1]Table S6'!$A:$AI,34,FALSE)</f>
        <v>#N/A</v>
      </c>
      <c r="AR55" t="e">
        <f>VLOOKUP($J55,'[1]Table S6'!$A:$AI,35,FALSE)</f>
        <v>#N/A</v>
      </c>
      <c r="AT55" t="str">
        <f>VLOOKUP($I55,'[2]Table S5'!$A:$K,8,FALSE)</f>
        <v>Resistant</v>
      </c>
      <c r="AU55" t="str">
        <f>VLOOKUP($I55,'[2]Table S5'!$A:$K,9,FALSE)</f>
        <v>Resistant</v>
      </c>
      <c r="AV55" t="str">
        <f>VLOOKUP($I55,'[2]Table S5'!$A:$K,10,FALSE)</f>
        <v>Resistant</v>
      </c>
      <c r="AW55" t="str">
        <f>VLOOKUP($I55,'[2]Table S5'!$A:$K,11,FALSE)</f>
        <v>Resistant</v>
      </c>
    </row>
    <row r="56" spans="1:49">
      <c r="A56" s="12" t="s">
        <v>418</v>
      </c>
      <c r="B56" t="s">
        <v>419</v>
      </c>
      <c r="C56" t="s">
        <v>420</v>
      </c>
      <c r="D56" t="s">
        <v>17</v>
      </c>
      <c r="E56" t="s">
        <v>421</v>
      </c>
      <c r="F56" s="12" t="s">
        <v>422</v>
      </c>
      <c r="G56" t="s">
        <v>423</v>
      </c>
      <c r="H56" t="s">
        <v>424</v>
      </c>
      <c r="I56" t="s">
        <v>417</v>
      </c>
      <c r="J56" t="s">
        <v>425</v>
      </c>
      <c r="K56">
        <f>VLOOKUP($J56,'[1]Table S6'!$A:$AI,2,FALSE)</f>
        <v>330.1</v>
      </c>
      <c r="L56">
        <f>VLOOKUP($J56,'[1]Table S6'!$A:$AI,3,FALSE)</f>
        <v>0.70248989146626994</v>
      </c>
      <c r="M56">
        <f>VLOOKUP($J56,'[1]Table S6'!$A:$AI,4,FALSE)</f>
        <v>2.2429999999999999</v>
      </c>
      <c r="N56" t="str">
        <f>VLOOKUP($J56,'[1]Table S6'!$A:$AI,5,FALSE)</f>
        <v>Yes</v>
      </c>
      <c r="P56">
        <f>VLOOKUP($J56,'[1]Table S6'!$A:$AI,7,FALSE)</f>
        <v>395.9</v>
      </c>
      <c r="Q56">
        <f>VLOOKUP($J56,'[1]Table S6'!$A:$AI,8,FALSE)</f>
        <v>0.84251968503937003</v>
      </c>
      <c r="R56">
        <f>VLOOKUP($J56,'[1]Table S6'!$A:$AI,9,FALSE)</f>
        <v>22.78</v>
      </c>
      <c r="S56" t="str">
        <f>VLOOKUP($J56,'[1]Table S6'!$A:$AI,10,FALSE)</f>
        <v>No</v>
      </c>
      <c r="U56">
        <f>VLOOKUP($J56,'[1]Table S6'!$A:$AI,12,FALSE)</f>
        <v>393.2</v>
      </c>
      <c r="V56">
        <f>VLOOKUP($J56,'[1]Table S6'!$A:$AI,13,FALSE)</f>
        <v>0.83677378165567096</v>
      </c>
      <c r="W56">
        <f>VLOOKUP($J56,'[1]Table S6'!$A:$AI,14,FALSE)</f>
        <v>21.84</v>
      </c>
      <c r="X56" t="str">
        <f>VLOOKUP($J56,'[1]Table S6'!$A:$AI,15,FALSE)</f>
        <v>No</v>
      </c>
      <c r="Z56">
        <f>VLOOKUP($J56,'[1]Table S6'!$A:$AI,17,FALSE)</f>
        <v>410.5</v>
      </c>
      <c r="AA56">
        <f>VLOOKUP($J56,'[1]Table S6'!$A:$AI,18,FALSE)</f>
        <v>0.87359012555863003</v>
      </c>
      <c r="AB56">
        <f>VLOOKUP($J56,'[1]Table S6'!$A:$AI,19,FALSE)</f>
        <v>41.44</v>
      </c>
      <c r="AC56" t="str">
        <f>VLOOKUP($J56,'[1]Table S6'!$A:$AI,20,FALSE)</f>
        <v>No</v>
      </c>
      <c r="AE56">
        <f>VLOOKUP($J56,'[1]Table S6'!$A:$AI,22,FALSE)</f>
        <v>417</v>
      </c>
      <c r="AF56">
        <f>VLOOKUP($J56,'[1]Table S6'!$A:$AI,23,FALSE)</f>
        <v>0.88742285592679304</v>
      </c>
      <c r="AG56">
        <f>VLOOKUP($J56,'[1]Table S6'!$A:$AI,24,FALSE)</f>
        <v>25.58</v>
      </c>
      <c r="AH56" t="str">
        <f>VLOOKUP($J56,'[1]Table S6'!$A:$AI,25,FALSE)</f>
        <v>No</v>
      </c>
      <c r="AJ56">
        <f>VLOOKUP($J56,'[1]Table S6'!$A:$AI,27,FALSE)</f>
        <v>441.5</v>
      </c>
      <c r="AK56">
        <f>VLOOKUP($J56,'[1]Table S6'!$A:$AI,28,FALSE)</f>
        <v>0.93956160885294704</v>
      </c>
      <c r="AL56">
        <f>VLOOKUP($J56,'[1]Table S6'!$A:$AI,29,FALSE)</f>
        <v>57.63</v>
      </c>
      <c r="AM56" t="str">
        <f>VLOOKUP($J56,'[1]Table S6'!$A:$AI,30,FALSE)</f>
        <v>No</v>
      </c>
      <c r="AO56">
        <f>VLOOKUP($J56,'[1]Table S6'!$A:$AI,32,FALSE)</f>
        <v>437.5</v>
      </c>
      <c r="AP56">
        <f>VLOOKUP($J56,'[1]Table S6'!$A:$AI,33,FALSE)</f>
        <v>0.93104915939561605</v>
      </c>
      <c r="AQ56">
        <f>VLOOKUP($J56,'[1]Table S6'!$A:$AI,34,FALSE)</f>
        <v>113.7</v>
      </c>
      <c r="AR56" t="str">
        <f>VLOOKUP($J56,'[1]Table S6'!$A:$AI,35,FALSE)</f>
        <v>No</v>
      </c>
      <c r="AT56" t="str">
        <f>VLOOKUP($I56,'[2]Table S5'!$A:$K,8,FALSE)</f>
        <v>Resistant</v>
      </c>
      <c r="AU56" t="str">
        <f>VLOOKUP($I56,'[2]Table S5'!$A:$K,9,FALSE)</f>
        <v>Resistant</v>
      </c>
      <c r="AV56" t="str">
        <f>VLOOKUP($I56,'[2]Table S5'!$A:$K,10,FALSE)</f>
        <v>Resistant</v>
      </c>
      <c r="AW56" t="str">
        <f>VLOOKUP($I56,'[2]Table S5'!$A:$K,11,FALSE)</f>
        <v>Resistant</v>
      </c>
    </row>
    <row r="57" spans="1:49">
      <c r="A57" s="12" t="s">
        <v>426</v>
      </c>
      <c r="B57" t="s">
        <v>427</v>
      </c>
      <c r="C57" t="s">
        <v>428</v>
      </c>
      <c r="D57" t="s">
        <v>17</v>
      </c>
      <c r="E57" t="s">
        <v>429</v>
      </c>
      <c r="F57" s="12" t="s">
        <v>430</v>
      </c>
      <c r="G57" t="s">
        <v>431</v>
      </c>
      <c r="H57" t="s">
        <v>432</v>
      </c>
      <c r="I57" t="s">
        <v>417</v>
      </c>
      <c r="J57" t="s">
        <v>433</v>
      </c>
      <c r="K57">
        <f>VLOOKUP($J57,'[1]Table S6'!$A:$AI,2,FALSE)</f>
        <v>331.2</v>
      </c>
      <c r="L57">
        <f>VLOOKUP($J57,'[1]Table S6'!$A:$AI,3,FALSE)</f>
        <v>0.70483081506703604</v>
      </c>
      <c r="M57">
        <f>VLOOKUP($J57,'[1]Table S6'!$A:$AI,4,FALSE)</f>
        <v>3.1240000000000001</v>
      </c>
      <c r="N57" t="str">
        <f>VLOOKUP($J57,'[1]Table S6'!$A:$AI,5,FALSE)</f>
        <v>Yes</v>
      </c>
      <c r="P57">
        <f>VLOOKUP($J57,'[1]Table S6'!$A:$AI,7,FALSE)</f>
        <v>375.7</v>
      </c>
      <c r="Q57">
        <f>VLOOKUP($J57,'[1]Table S6'!$A:$AI,8,FALSE)</f>
        <v>0.79953181527984696</v>
      </c>
      <c r="R57">
        <f>VLOOKUP($J57,'[1]Table S6'!$A:$AI,9,FALSE)</f>
        <v>11.32</v>
      </c>
      <c r="S57" t="str">
        <f>VLOOKUP($J57,'[1]Table S6'!$A:$AI,10,FALSE)</f>
        <v>No</v>
      </c>
      <c r="U57">
        <f>VLOOKUP($J57,'[1]Table S6'!$A:$AI,12,FALSE)</f>
        <v>375.7</v>
      </c>
      <c r="V57">
        <f>VLOOKUP($J57,'[1]Table S6'!$A:$AI,13,FALSE)</f>
        <v>0.79953181527984696</v>
      </c>
      <c r="W57">
        <f>VLOOKUP($J57,'[1]Table S6'!$A:$AI,14,FALSE)</f>
        <v>11.71</v>
      </c>
      <c r="X57" t="str">
        <f>VLOOKUP($J57,'[1]Table S6'!$A:$AI,15,FALSE)</f>
        <v>No</v>
      </c>
      <c r="Z57">
        <f>VLOOKUP($J57,'[1]Table S6'!$A:$AI,17,FALSE)</f>
        <v>370.3</v>
      </c>
      <c r="AA57">
        <f>VLOOKUP($J57,'[1]Table S6'!$A:$AI,18,FALSE)</f>
        <v>0.78804000851244904</v>
      </c>
      <c r="AB57">
        <f>VLOOKUP($J57,'[1]Table S6'!$A:$AI,19,FALSE)</f>
        <v>9.4890000000000008</v>
      </c>
      <c r="AC57" t="str">
        <f>VLOOKUP($J57,'[1]Table S6'!$A:$AI,20,FALSE)</f>
        <v>No</v>
      </c>
      <c r="AE57">
        <f>VLOOKUP($J57,'[1]Table S6'!$A:$AI,22,FALSE)</f>
        <v>374.5</v>
      </c>
      <c r="AF57">
        <f>VLOOKUP($J57,'[1]Table S6'!$A:$AI,23,FALSE)</f>
        <v>0.79697808044264695</v>
      </c>
      <c r="AG57">
        <f>VLOOKUP($J57,'[1]Table S6'!$A:$AI,24,FALSE)</f>
        <v>14.22</v>
      </c>
      <c r="AH57" t="str">
        <f>VLOOKUP($J57,'[1]Table S6'!$A:$AI,25,FALSE)</f>
        <v>No</v>
      </c>
      <c r="AJ57">
        <f>VLOOKUP($J57,'[1]Table S6'!$A:$AI,27,FALSE)</f>
        <v>413.4</v>
      </c>
      <c r="AK57">
        <f>VLOOKUP($J57,'[1]Table S6'!$A:$AI,28,FALSE)</f>
        <v>0.87976165141519502</v>
      </c>
      <c r="AL57">
        <f>VLOOKUP($J57,'[1]Table S6'!$A:$AI,29,FALSE)</f>
        <v>31.83</v>
      </c>
      <c r="AM57" t="str">
        <f>VLOOKUP($J57,'[1]Table S6'!$A:$AI,30,FALSE)</f>
        <v>No</v>
      </c>
      <c r="AO57">
        <f>VLOOKUP($J57,'[1]Table S6'!$A:$AI,32,FALSE)</f>
        <v>445.5</v>
      </c>
      <c r="AP57">
        <f>VLOOKUP($J57,'[1]Table S6'!$A:$AI,33,FALSE)</f>
        <v>0.94807405831027902</v>
      </c>
      <c r="AQ57">
        <f>VLOOKUP($J57,'[1]Table S6'!$A:$AI,34,FALSE)</f>
        <v>123.9</v>
      </c>
      <c r="AR57" t="str">
        <f>VLOOKUP($J57,'[1]Table S6'!$A:$AI,35,FALSE)</f>
        <v>No</v>
      </c>
      <c r="AT57" t="str">
        <f>VLOOKUP($I57,'[2]Table S5'!$A:$K,8,FALSE)</f>
        <v>Resistant</v>
      </c>
      <c r="AU57" t="str">
        <f>VLOOKUP($I57,'[2]Table S5'!$A:$K,9,FALSE)</f>
        <v>Resistant</v>
      </c>
      <c r="AV57" t="str">
        <f>VLOOKUP($I57,'[2]Table S5'!$A:$K,10,FALSE)</f>
        <v>Resistant</v>
      </c>
      <c r="AW57" t="str">
        <f>VLOOKUP($I57,'[2]Table S5'!$A:$K,11,FALSE)</f>
        <v>Resistant</v>
      </c>
    </row>
    <row r="58" spans="1:49">
      <c r="A58" s="12" t="s">
        <v>434</v>
      </c>
      <c r="B58" t="s">
        <v>435</v>
      </c>
      <c r="C58" t="s">
        <v>436</v>
      </c>
      <c r="D58" t="s">
        <v>17</v>
      </c>
      <c r="E58" t="s">
        <v>437</v>
      </c>
      <c r="F58" s="12" t="s">
        <v>438</v>
      </c>
      <c r="G58" t="s">
        <v>439</v>
      </c>
      <c r="H58" t="s">
        <v>440</v>
      </c>
      <c r="I58" t="s">
        <v>417</v>
      </c>
      <c r="J58" t="s">
        <v>441</v>
      </c>
      <c r="K58">
        <f>VLOOKUP($J58,'[1]Table S6'!$A:$AI,2,FALSE)</f>
        <v>344.8</v>
      </c>
      <c r="L58">
        <f>VLOOKUP($J58,'[1]Table S6'!$A:$AI,3,FALSE)</f>
        <v>0.73377314322196197</v>
      </c>
      <c r="M58">
        <f>VLOOKUP($J58,'[1]Table S6'!$A:$AI,4,FALSE)</f>
        <v>3.6150000000000002</v>
      </c>
      <c r="N58" t="str">
        <f>VLOOKUP($J58,'[1]Table S6'!$A:$AI,5,FALSE)</f>
        <v>No</v>
      </c>
      <c r="P58">
        <f>VLOOKUP($J58,'[1]Table S6'!$A:$AI,7,FALSE)</f>
        <v>394.3</v>
      </c>
      <c r="Q58">
        <f>VLOOKUP($J58,'[1]Table S6'!$A:$AI,8,FALSE)</f>
        <v>0.83911470525643805</v>
      </c>
      <c r="R58">
        <f>VLOOKUP($J58,'[1]Table S6'!$A:$AI,9,FALSE)</f>
        <v>23.27</v>
      </c>
      <c r="S58" t="str">
        <f>VLOOKUP($J58,'[1]Table S6'!$A:$AI,10,FALSE)</f>
        <v>No</v>
      </c>
      <c r="U58">
        <f>VLOOKUP($J58,'[1]Table S6'!$A:$AI,12,FALSE)</f>
        <v>407.3</v>
      </c>
      <c r="V58">
        <f>VLOOKUP($J58,'[1]Table S6'!$A:$AI,13,FALSE)</f>
        <v>0.86678016599276497</v>
      </c>
      <c r="W58">
        <f>VLOOKUP($J58,'[1]Table S6'!$A:$AI,14,FALSE)</f>
        <v>32.51</v>
      </c>
      <c r="X58" t="str">
        <f>VLOOKUP($J58,'[1]Table S6'!$A:$AI,15,FALSE)</f>
        <v>No</v>
      </c>
      <c r="Z58">
        <f>VLOOKUP($J58,'[1]Table S6'!$A:$AI,17,FALSE)</f>
        <v>387.3</v>
      </c>
      <c r="AA58">
        <f>VLOOKUP($J58,'[1]Table S6'!$A:$AI,18,FALSE)</f>
        <v>0.82421791870610805</v>
      </c>
      <c r="AB58">
        <f>VLOOKUP($J58,'[1]Table S6'!$A:$AI,19,FALSE)</f>
        <v>17.350000000000001</v>
      </c>
      <c r="AC58" t="str">
        <f>VLOOKUP($J58,'[1]Table S6'!$A:$AI,20,FALSE)</f>
        <v>No</v>
      </c>
      <c r="AE58">
        <f>VLOOKUP($J58,'[1]Table S6'!$A:$AI,22,FALSE)</f>
        <v>389.2</v>
      </c>
      <c r="AF58">
        <f>VLOOKUP($J58,'[1]Table S6'!$A:$AI,23,FALSE)</f>
        <v>0.82826133219833997</v>
      </c>
      <c r="AG58">
        <f>VLOOKUP($J58,'[1]Table S6'!$A:$AI,24,FALSE)</f>
        <v>17.2</v>
      </c>
      <c r="AH58" t="str">
        <f>VLOOKUP($J58,'[1]Table S6'!$A:$AI,25,FALSE)</f>
        <v>No</v>
      </c>
      <c r="AJ58">
        <f>VLOOKUP($J58,'[1]Table S6'!$A:$AI,27,FALSE)</f>
        <v>407.7</v>
      </c>
      <c r="AK58">
        <f>VLOOKUP($J58,'[1]Table S6'!$A:$AI,28,FALSE)</f>
        <v>0.86763141093849805</v>
      </c>
      <c r="AL58">
        <f>VLOOKUP($J58,'[1]Table S6'!$A:$AI,29,FALSE)</f>
        <v>39.58</v>
      </c>
      <c r="AM58" t="str">
        <f>VLOOKUP($J58,'[1]Table S6'!$A:$AI,30,FALSE)</f>
        <v>No</v>
      </c>
      <c r="AO58">
        <f>VLOOKUP($J58,'[1]Table S6'!$A:$AI,32,FALSE)</f>
        <v>437.7</v>
      </c>
      <c r="AP58">
        <f>VLOOKUP($J58,'[1]Table S6'!$A:$AI,33,FALSE)</f>
        <v>0.93147478186848298</v>
      </c>
      <c r="AQ58">
        <f>VLOOKUP($J58,'[1]Table S6'!$A:$AI,34,FALSE)</f>
        <v>106.7</v>
      </c>
      <c r="AR58" t="str">
        <f>VLOOKUP($J58,'[1]Table S6'!$A:$AI,35,FALSE)</f>
        <v>No</v>
      </c>
      <c r="AT58" t="str">
        <f>VLOOKUP($I58,'[2]Table S5'!$A:$K,8,FALSE)</f>
        <v>Resistant</v>
      </c>
      <c r="AU58" t="str">
        <f>VLOOKUP($I58,'[2]Table S5'!$A:$K,9,FALSE)</f>
        <v>Resistant</v>
      </c>
      <c r="AV58" t="str">
        <f>VLOOKUP($I58,'[2]Table S5'!$A:$K,10,FALSE)</f>
        <v>Resistant</v>
      </c>
      <c r="AW58" t="str">
        <f>VLOOKUP($I58,'[2]Table S5'!$A:$K,11,FALSE)</f>
        <v>Resistant</v>
      </c>
    </row>
    <row r="59" spans="1:49">
      <c r="A59" s="12" t="s">
        <v>442</v>
      </c>
      <c r="B59" t="s">
        <v>443</v>
      </c>
      <c r="C59" t="s">
        <v>444</v>
      </c>
      <c r="D59" t="s">
        <v>17</v>
      </c>
      <c r="E59" t="s">
        <v>445</v>
      </c>
      <c r="F59" s="12" t="s">
        <v>446</v>
      </c>
      <c r="G59" t="s">
        <v>447</v>
      </c>
      <c r="H59" t="s">
        <v>448</v>
      </c>
      <c r="I59" t="s">
        <v>417</v>
      </c>
      <c r="J59" t="s">
        <v>425</v>
      </c>
      <c r="K59">
        <f>VLOOKUP($J59,'[1]Table S6'!$A:$AI,2,FALSE)</f>
        <v>330.1</v>
      </c>
      <c r="L59">
        <f>VLOOKUP($J59,'[1]Table S6'!$A:$AI,3,FALSE)</f>
        <v>0.70248989146626994</v>
      </c>
      <c r="M59">
        <f>VLOOKUP($J59,'[1]Table S6'!$A:$AI,4,FALSE)</f>
        <v>2.2429999999999999</v>
      </c>
      <c r="N59" t="str">
        <f>VLOOKUP($J59,'[1]Table S6'!$A:$AI,5,FALSE)</f>
        <v>Yes</v>
      </c>
      <c r="P59">
        <f>VLOOKUP($J59,'[1]Table S6'!$A:$AI,7,FALSE)</f>
        <v>395.9</v>
      </c>
      <c r="Q59">
        <f>VLOOKUP($J59,'[1]Table S6'!$A:$AI,8,FALSE)</f>
        <v>0.84251968503937003</v>
      </c>
      <c r="R59">
        <f>VLOOKUP($J59,'[1]Table S6'!$A:$AI,9,FALSE)</f>
        <v>22.78</v>
      </c>
      <c r="S59" t="str">
        <f>VLOOKUP($J59,'[1]Table S6'!$A:$AI,10,FALSE)</f>
        <v>No</v>
      </c>
      <c r="U59">
        <f>VLOOKUP($J59,'[1]Table S6'!$A:$AI,12,FALSE)</f>
        <v>393.2</v>
      </c>
      <c r="V59">
        <f>VLOOKUP($J59,'[1]Table S6'!$A:$AI,13,FALSE)</f>
        <v>0.83677378165567096</v>
      </c>
      <c r="W59">
        <f>VLOOKUP($J59,'[1]Table S6'!$A:$AI,14,FALSE)</f>
        <v>21.84</v>
      </c>
      <c r="X59" t="str">
        <f>VLOOKUP($J59,'[1]Table S6'!$A:$AI,15,FALSE)</f>
        <v>No</v>
      </c>
      <c r="Z59">
        <f>VLOOKUP($J59,'[1]Table S6'!$A:$AI,17,FALSE)</f>
        <v>410.5</v>
      </c>
      <c r="AA59">
        <f>VLOOKUP($J59,'[1]Table S6'!$A:$AI,18,FALSE)</f>
        <v>0.87359012555863003</v>
      </c>
      <c r="AB59">
        <f>VLOOKUP($J59,'[1]Table S6'!$A:$AI,19,FALSE)</f>
        <v>41.44</v>
      </c>
      <c r="AC59" t="str">
        <f>VLOOKUP($J59,'[1]Table S6'!$A:$AI,20,FALSE)</f>
        <v>No</v>
      </c>
      <c r="AE59">
        <f>VLOOKUP($J59,'[1]Table S6'!$A:$AI,22,FALSE)</f>
        <v>417</v>
      </c>
      <c r="AF59">
        <f>VLOOKUP($J59,'[1]Table S6'!$A:$AI,23,FALSE)</f>
        <v>0.88742285592679304</v>
      </c>
      <c r="AG59">
        <f>VLOOKUP($J59,'[1]Table S6'!$A:$AI,24,FALSE)</f>
        <v>25.58</v>
      </c>
      <c r="AH59" t="str">
        <f>VLOOKUP($J59,'[1]Table S6'!$A:$AI,25,FALSE)</f>
        <v>No</v>
      </c>
      <c r="AJ59">
        <f>VLOOKUP($J59,'[1]Table S6'!$A:$AI,27,FALSE)</f>
        <v>441.5</v>
      </c>
      <c r="AK59">
        <f>VLOOKUP($J59,'[1]Table S6'!$A:$AI,28,FALSE)</f>
        <v>0.93956160885294704</v>
      </c>
      <c r="AL59">
        <f>VLOOKUP($J59,'[1]Table S6'!$A:$AI,29,FALSE)</f>
        <v>57.63</v>
      </c>
      <c r="AM59" t="str">
        <f>VLOOKUP($J59,'[1]Table S6'!$A:$AI,30,FALSE)</f>
        <v>No</v>
      </c>
      <c r="AO59">
        <f>VLOOKUP($J59,'[1]Table S6'!$A:$AI,32,FALSE)</f>
        <v>437.5</v>
      </c>
      <c r="AP59">
        <f>VLOOKUP($J59,'[1]Table S6'!$A:$AI,33,FALSE)</f>
        <v>0.93104915939561605</v>
      </c>
      <c r="AQ59">
        <f>VLOOKUP($J59,'[1]Table S6'!$A:$AI,34,FALSE)</f>
        <v>113.7</v>
      </c>
      <c r="AR59" t="str">
        <f>VLOOKUP($J59,'[1]Table S6'!$A:$AI,35,FALSE)</f>
        <v>No</v>
      </c>
      <c r="AT59" t="str">
        <f>VLOOKUP($I59,'[2]Table S5'!$A:$K,8,FALSE)</f>
        <v>Resistant</v>
      </c>
      <c r="AU59" t="str">
        <f>VLOOKUP($I59,'[2]Table S5'!$A:$K,9,FALSE)</f>
        <v>Resistant</v>
      </c>
      <c r="AV59" t="str">
        <f>VLOOKUP($I59,'[2]Table S5'!$A:$K,10,FALSE)</f>
        <v>Resistant</v>
      </c>
      <c r="AW59" t="str">
        <f>VLOOKUP($I59,'[2]Table S5'!$A:$K,11,FALSE)</f>
        <v>Resistant</v>
      </c>
    </row>
    <row r="60" spans="1:49">
      <c r="A60" s="12" t="s">
        <v>449</v>
      </c>
      <c r="B60" t="s">
        <v>450</v>
      </c>
      <c r="C60" t="s">
        <v>451</v>
      </c>
      <c r="D60" t="s">
        <v>17</v>
      </c>
      <c r="E60" t="s">
        <v>452</v>
      </c>
      <c r="F60" s="12" t="s">
        <v>453</v>
      </c>
      <c r="G60" t="s">
        <v>454</v>
      </c>
      <c r="H60" t="s">
        <v>455</v>
      </c>
      <c r="I60" t="s">
        <v>417</v>
      </c>
      <c r="J60" t="s">
        <v>433</v>
      </c>
      <c r="K60">
        <f>VLOOKUP($J60,'[1]Table S6'!$A:$AI,2,FALSE)</f>
        <v>331.2</v>
      </c>
      <c r="L60">
        <f>VLOOKUP($J60,'[1]Table S6'!$A:$AI,3,FALSE)</f>
        <v>0.70483081506703604</v>
      </c>
      <c r="M60">
        <f>VLOOKUP($J60,'[1]Table S6'!$A:$AI,4,FALSE)</f>
        <v>3.1240000000000001</v>
      </c>
      <c r="N60" t="str">
        <f>VLOOKUP($J60,'[1]Table S6'!$A:$AI,5,FALSE)</f>
        <v>Yes</v>
      </c>
      <c r="P60">
        <f>VLOOKUP($J60,'[1]Table S6'!$A:$AI,7,FALSE)</f>
        <v>375.7</v>
      </c>
      <c r="Q60">
        <f>VLOOKUP($J60,'[1]Table S6'!$A:$AI,8,FALSE)</f>
        <v>0.79953181527984696</v>
      </c>
      <c r="R60">
        <f>VLOOKUP($J60,'[1]Table S6'!$A:$AI,9,FALSE)</f>
        <v>11.32</v>
      </c>
      <c r="S60" t="str">
        <f>VLOOKUP($J60,'[1]Table S6'!$A:$AI,10,FALSE)</f>
        <v>No</v>
      </c>
      <c r="U60">
        <f>VLOOKUP($J60,'[1]Table S6'!$A:$AI,12,FALSE)</f>
        <v>375.7</v>
      </c>
      <c r="V60">
        <f>VLOOKUP($J60,'[1]Table S6'!$A:$AI,13,FALSE)</f>
        <v>0.79953181527984696</v>
      </c>
      <c r="W60">
        <f>VLOOKUP($J60,'[1]Table S6'!$A:$AI,14,FALSE)</f>
        <v>11.71</v>
      </c>
      <c r="X60" t="str">
        <f>VLOOKUP($J60,'[1]Table S6'!$A:$AI,15,FALSE)</f>
        <v>No</v>
      </c>
      <c r="Z60">
        <f>VLOOKUP($J60,'[1]Table S6'!$A:$AI,17,FALSE)</f>
        <v>370.3</v>
      </c>
      <c r="AA60">
        <f>VLOOKUP($J60,'[1]Table S6'!$A:$AI,18,FALSE)</f>
        <v>0.78804000851244904</v>
      </c>
      <c r="AB60">
        <f>VLOOKUP($J60,'[1]Table S6'!$A:$AI,19,FALSE)</f>
        <v>9.4890000000000008</v>
      </c>
      <c r="AC60" t="str">
        <f>VLOOKUP($J60,'[1]Table S6'!$A:$AI,20,FALSE)</f>
        <v>No</v>
      </c>
      <c r="AE60">
        <f>VLOOKUP($J60,'[1]Table S6'!$A:$AI,22,FALSE)</f>
        <v>374.5</v>
      </c>
      <c r="AF60">
        <f>VLOOKUP($J60,'[1]Table S6'!$A:$AI,23,FALSE)</f>
        <v>0.79697808044264695</v>
      </c>
      <c r="AG60">
        <f>VLOOKUP($J60,'[1]Table S6'!$A:$AI,24,FALSE)</f>
        <v>14.22</v>
      </c>
      <c r="AH60" t="str">
        <f>VLOOKUP($J60,'[1]Table S6'!$A:$AI,25,FALSE)</f>
        <v>No</v>
      </c>
      <c r="AJ60">
        <f>VLOOKUP($J60,'[1]Table S6'!$A:$AI,27,FALSE)</f>
        <v>413.4</v>
      </c>
      <c r="AK60">
        <f>VLOOKUP($J60,'[1]Table S6'!$A:$AI,28,FALSE)</f>
        <v>0.87976165141519502</v>
      </c>
      <c r="AL60">
        <f>VLOOKUP($J60,'[1]Table S6'!$A:$AI,29,FALSE)</f>
        <v>31.83</v>
      </c>
      <c r="AM60" t="str">
        <f>VLOOKUP($J60,'[1]Table S6'!$A:$AI,30,FALSE)</f>
        <v>No</v>
      </c>
      <c r="AO60">
        <f>VLOOKUP($J60,'[1]Table S6'!$A:$AI,32,FALSE)</f>
        <v>445.5</v>
      </c>
      <c r="AP60">
        <f>VLOOKUP($J60,'[1]Table S6'!$A:$AI,33,FALSE)</f>
        <v>0.94807405831027902</v>
      </c>
      <c r="AQ60">
        <f>VLOOKUP($J60,'[1]Table S6'!$A:$AI,34,FALSE)</f>
        <v>123.9</v>
      </c>
      <c r="AR60" t="str">
        <f>VLOOKUP($J60,'[1]Table S6'!$A:$AI,35,FALSE)</f>
        <v>No</v>
      </c>
      <c r="AT60" t="str">
        <f>VLOOKUP($I60,'[2]Table S5'!$A:$K,8,FALSE)</f>
        <v>Resistant</v>
      </c>
      <c r="AU60" t="str">
        <f>VLOOKUP($I60,'[2]Table S5'!$A:$K,9,FALSE)</f>
        <v>Resistant</v>
      </c>
      <c r="AV60" t="str">
        <f>VLOOKUP($I60,'[2]Table S5'!$A:$K,10,FALSE)</f>
        <v>Resistant</v>
      </c>
      <c r="AW60" t="str">
        <f>VLOOKUP($I60,'[2]Table S5'!$A:$K,11,FALSE)</f>
        <v>Resistant</v>
      </c>
    </row>
    <row r="61" spans="1:49">
      <c r="A61" s="12" t="s">
        <v>456</v>
      </c>
      <c r="B61" t="s">
        <v>457</v>
      </c>
      <c r="C61" t="s">
        <v>458</v>
      </c>
      <c r="D61" t="s">
        <v>17</v>
      </c>
      <c r="E61" t="s">
        <v>459</v>
      </c>
      <c r="F61" s="12" t="s">
        <v>460</v>
      </c>
      <c r="G61" t="s">
        <v>461</v>
      </c>
      <c r="H61" t="s">
        <v>462</v>
      </c>
      <c r="I61" t="s">
        <v>417</v>
      </c>
      <c r="J61" t="s">
        <v>441</v>
      </c>
      <c r="K61">
        <f>VLOOKUP($J61,'[1]Table S6'!$A:$AI,2,FALSE)</f>
        <v>344.8</v>
      </c>
      <c r="L61">
        <f>VLOOKUP($J61,'[1]Table S6'!$A:$AI,3,FALSE)</f>
        <v>0.73377314322196197</v>
      </c>
      <c r="M61">
        <f>VLOOKUP($J61,'[1]Table S6'!$A:$AI,4,FALSE)</f>
        <v>3.6150000000000002</v>
      </c>
      <c r="N61" t="str">
        <f>VLOOKUP($J61,'[1]Table S6'!$A:$AI,5,FALSE)</f>
        <v>No</v>
      </c>
      <c r="P61">
        <f>VLOOKUP($J61,'[1]Table S6'!$A:$AI,7,FALSE)</f>
        <v>394.3</v>
      </c>
      <c r="Q61">
        <f>VLOOKUP($J61,'[1]Table S6'!$A:$AI,8,FALSE)</f>
        <v>0.83911470525643805</v>
      </c>
      <c r="R61">
        <f>VLOOKUP($J61,'[1]Table S6'!$A:$AI,9,FALSE)</f>
        <v>23.27</v>
      </c>
      <c r="S61" t="str">
        <f>VLOOKUP($J61,'[1]Table S6'!$A:$AI,10,FALSE)</f>
        <v>No</v>
      </c>
      <c r="U61">
        <f>VLOOKUP($J61,'[1]Table S6'!$A:$AI,12,FALSE)</f>
        <v>407.3</v>
      </c>
      <c r="V61">
        <f>VLOOKUP($J61,'[1]Table S6'!$A:$AI,13,FALSE)</f>
        <v>0.86678016599276497</v>
      </c>
      <c r="W61">
        <f>VLOOKUP($J61,'[1]Table S6'!$A:$AI,14,FALSE)</f>
        <v>32.51</v>
      </c>
      <c r="X61" t="str">
        <f>VLOOKUP($J61,'[1]Table S6'!$A:$AI,15,FALSE)</f>
        <v>No</v>
      </c>
      <c r="Z61">
        <f>VLOOKUP($J61,'[1]Table S6'!$A:$AI,17,FALSE)</f>
        <v>387.3</v>
      </c>
      <c r="AA61">
        <f>VLOOKUP($J61,'[1]Table S6'!$A:$AI,18,FALSE)</f>
        <v>0.82421791870610805</v>
      </c>
      <c r="AB61">
        <f>VLOOKUP($J61,'[1]Table S6'!$A:$AI,19,FALSE)</f>
        <v>17.350000000000001</v>
      </c>
      <c r="AC61" t="str">
        <f>VLOOKUP($J61,'[1]Table S6'!$A:$AI,20,FALSE)</f>
        <v>No</v>
      </c>
      <c r="AE61">
        <f>VLOOKUP($J61,'[1]Table S6'!$A:$AI,22,FALSE)</f>
        <v>389.2</v>
      </c>
      <c r="AF61">
        <f>VLOOKUP($J61,'[1]Table S6'!$A:$AI,23,FALSE)</f>
        <v>0.82826133219833997</v>
      </c>
      <c r="AG61">
        <f>VLOOKUP($J61,'[1]Table S6'!$A:$AI,24,FALSE)</f>
        <v>17.2</v>
      </c>
      <c r="AH61" t="str">
        <f>VLOOKUP($J61,'[1]Table S6'!$A:$AI,25,FALSE)</f>
        <v>No</v>
      </c>
      <c r="AJ61">
        <f>VLOOKUP($J61,'[1]Table S6'!$A:$AI,27,FALSE)</f>
        <v>407.7</v>
      </c>
      <c r="AK61">
        <f>VLOOKUP($J61,'[1]Table S6'!$A:$AI,28,FALSE)</f>
        <v>0.86763141093849805</v>
      </c>
      <c r="AL61">
        <f>VLOOKUP($J61,'[1]Table S6'!$A:$AI,29,FALSE)</f>
        <v>39.58</v>
      </c>
      <c r="AM61" t="str">
        <f>VLOOKUP($J61,'[1]Table S6'!$A:$AI,30,FALSE)</f>
        <v>No</v>
      </c>
      <c r="AO61">
        <f>VLOOKUP($J61,'[1]Table S6'!$A:$AI,32,FALSE)</f>
        <v>437.7</v>
      </c>
      <c r="AP61">
        <f>VLOOKUP($J61,'[1]Table S6'!$A:$AI,33,FALSE)</f>
        <v>0.93147478186848298</v>
      </c>
      <c r="AQ61">
        <f>VLOOKUP($J61,'[1]Table S6'!$A:$AI,34,FALSE)</f>
        <v>106.7</v>
      </c>
      <c r="AR61" t="str">
        <f>VLOOKUP($J61,'[1]Table S6'!$A:$AI,35,FALSE)</f>
        <v>No</v>
      </c>
      <c r="AT61" t="str">
        <f>VLOOKUP($I61,'[2]Table S5'!$A:$K,8,FALSE)</f>
        <v>Resistant</v>
      </c>
      <c r="AU61" t="str">
        <f>VLOOKUP($I61,'[2]Table S5'!$A:$K,9,FALSE)</f>
        <v>Resistant</v>
      </c>
      <c r="AV61" t="str">
        <f>VLOOKUP($I61,'[2]Table S5'!$A:$K,10,FALSE)</f>
        <v>Resistant</v>
      </c>
      <c r="AW61" t="str">
        <f>VLOOKUP($I61,'[2]Table S5'!$A:$K,11,FALSE)</f>
        <v>Resistant</v>
      </c>
    </row>
    <row r="62" spans="1:49">
      <c r="A62" s="12" t="s">
        <v>463</v>
      </c>
      <c r="B62" t="s">
        <v>464</v>
      </c>
      <c r="C62" t="s">
        <v>465</v>
      </c>
      <c r="D62" t="s">
        <v>17</v>
      </c>
      <c r="E62" t="s">
        <v>466</v>
      </c>
      <c r="F62" s="12" t="s">
        <v>467</v>
      </c>
      <c r="G62" t="s">
        <v>468</v>
      </c>
      <c r="H62" t="s">
        <v>469</v>
      </c>
      <c r="I62" t="s">
        <v>470</v>
      </c>
      <c r="J62" t="s">
        <v>470</v>
      </c>
      <c r="K62" t="e">
        <f>VLOOKUP($J62,'[1]Table S6'!$A:$AI,2,FALSE)</f>
        <v>#N/A</v>
      </c>
      <c r="L62" t="e">
        <f>VLOOKUP($J62,'[1]Table S6'!$A:$AI,3,FALSE)</f>
        <v>#N/A</v>
      </c>
      <c r="M62" t="e">
        <f>VLOOKUP($J62,'[1]Table S6'!$A:$AI,4,FALSE)</f>
        <v>#N/A</v>
      </c>
      <c r="N62" t="e">
        <f>VLOOKUP($J62,'[1]Table S6'!$A:$AI,5,FALSE)</f>
        <v>#N/A</v>
      </c>
      <c r="P62" t="e">
        <f>VLOOKUP($J62,'[1]Table S6'!$A:$AI,7,FALSE)</f>
        <v>#N/A</v>
      </c>
      <c r="Q62" t="e">
        <f>VLOOKUP($J62,'[1]Table S6'!$A:$AI,8,FALSE)</f>
        <v>#N/A</v>
      </c>
      <c r="R62" t="e">
        <f>VLOOKUP($J62,'[1]Table S6'!$A:$AI,9,FALSE)</f>
        <v>#N/A</v>
      </c>
      <c r="S62" t="e">
        <f>VLOOKUP($J62,'[1]Table S6'!$A:$AI,10,FALSE)</f>
        <v>#N/A</v>
      </c>
      <c r="U62" t="e">
        <f>VLOOKUP($J62,'[1]Table S6'!$A:$AI,12,FALSE)</f>
        <v>#N/A</v>
      </c>
      <c r="V62" t="e">
        <f>VLOOKUP($J62,'[1]Table S6'!$A:$AI,13,FALSE)</f>
        <v>#N/A</v>
      </c>
      <c r="W62" t="e">
        <f>VLOOKUP($J62,'[1]Table S6'!$A:$AI,14,FALSE)</f>
        <v>#N/A</v>
      </c>
      <c r="X62" t="e">
        <f>VLOOKUP($J62,'[1]Table S6'!$A:$AI,15,FALSE)</f>
        <v>#N/A</v>
      </c>
      <c r="Z62" t="e">
        <f>VLOOKUP($J62,'[1]Table S6'!$A:$AI,17,FALSE)</f>
        <v>#N/A</v>
      </c>
      <c r="AA62" t="e">
        <f>VLOOKUP($J62,'[1]Table S6'!$A:$AI,18,FALSE)</f>
        <v>#N/A</v>
      </c>
      <c r="AB62" t="e">
        <f>VLOOKUP($J62,'[1]Table S6'!$A:$AI,19,FALSE)</f>
        <v>#N/A</v>
      </c>
      <c r="AC62" t="e">
        <f>VLOOKUP($J62,'[1]Table S6'!$A:$AI,20,FALSE)</f>
        <v>#N/A</v>
      </c>
      <c r="AE62" t="e">
        <f>VLOOKUP($J62,'[1]Table S6'!$A:$AI,22,FALSE)</f>
        <v>#N/A</v>
      </c>
      <c r="AF62" t="e">
        <f>VLOOKUP($J62,'[1]Table S6'!$A:$AI,23,FALSE)</f>
        <v>#N/A</v>
      </c>
      <c r="AG62" t="e">
        <f>VLOOKUP($J62,'[1]Table S6'!$A:$AI,24,FALSE)</f>
        <v>#N/A</v>
      </c>
      <c r="AH62" t="e">
        <f>VLOOKUP($J62,'[1]Table S6'!$A:$AI,25,FALSE)</f>
        <v>#N/A</v>
      </c>
      <c r="AJ62" t="e">
        <f>VLOOKUP($J62,'[1]Table S6'!$A:$AI,27,FALSE)</f>
        <v>#N/A</v>
      </c>
      <c r="AK62" t="e">
        <f>VLOOKUP($J62,'[1]Table S6'!$A:$AI,28,FALSE)</f>
        <v>#N/A</v>
      </c>
      <c r="AL62" t="e">
        <f>VLOOKUP($J62,'[1]Table S6'!$A:$AI,29,FALSE)</f>
        <v>#N/A</v>
      </c>
      <c r="AM62" t="e">
        <f>VLOOKUP($J62,'[1]Table S6'!$A:$AI,30,FALSE)</f>
        <v>#N/A</v>
      </c>
      <c r="AO62" t="e">
        <f>VLOOKUP($J62,'[1]Table S6'!$A:$AI,32,FALSE)</f>
        <v>#N/A</v>
      </c>
      <c r="AP62" t="e">
        <f>VLOOKUP($J62,'[1]Table S6'!$A:$AI,33,FALSE)</f>
        <v>#N/A</v>
      </c>
      <c r="AQ62" t="e">
        <f>VLOOKUP($J62,'[1]Table S6'!$A:$AI,34,FALSE)</f>
        <v>#N/A</v>
      </c>
      <c r="AR62" t="e">
        <f>VLOOKUP($J62,'[1]Table S6'!$A:$AI,35,FALSE)</f>
        <v>#N/A</v>
      </c>
      <c r="AT62" t="e">
        <f>VLOOKUP($I62,'[2]Table S5'!$A:$K,8,FALSE)</f>
        <v>#N/A</v>
      </c>
      <c r="AU62" t="e">
        <f>VLOOKUP($I62,'[2]Table S5'!$A:$K,9,FALSE)</f>
        <v>#N/A</v>
      </c>
      <c r="AV62" t="e">
        <f>VLOOKUP($I62,'[2]Table S5'!$A:$K,10,FALSE)</f>
        <v>#N/A</v>
      </c>
      <c r="AW62" t="e">
        <f>VLOOKUP($I62,'[2]Table S5'!$A:$K,11,FALSE)</f>
        <v>#N/A</v>
      </c>
    </row>
    <row r="63" spans="1:49">
      <c r="A63" s="12" t="s">
        <v>471</v>
      </c>
      <c r="B63" t="s">
        <v>472</v>
      </c>
      <c r="C63" t="s">
        <v>473</v>
      </c>
      <c r="D63" t="s">
        <v>17</v>
      </c>
      <c r="E63" t="s">
        <v>474</v>
      </c>
      <c r="F63" s="12" t="s">
        <v>475</v>
      </c>
      <c r="G63" t="s">
        <v>476</v>
      </c>
      <c r="H63" t="s">
        <v>477</v>
      </c>
      <c r="I63" t="s">
        <v>470</v>
      </c>
      <c r="J63" t="s">
        <v>478</v>
      </c>
      <c r="K63">
        <f>VLOOKUP($J63,'[1]Table S6'!$A:$AI,2,FALSE)</f>
        <v>389.9</v>
      </c>
      <c r="L63">
        <f>VLOOKUP($J63,'[1]Table S6'!$A:$AI,3,FALSE)</f>
        <v>0.82975101085337299</v>
      </c>
      <c r="M63">
        <f>VLOOKUP($J63,'[1]Table S6'!$A:$AI,4,FALSE)</f>
        <v>9.5009999999999994</v>
      </c>
      <c r="N63" t="str">
        <f>VLOOKUP($J63,'[1]Table S6'!$A:$AI,5,FALSE)</f>
        <v>No</v>
      </c>
      <c r="P63">
        <f>VLOOKUP($J63,'[1]Table S6'!$A:$AI,7,FALSE)</f>
        <v>390</v>
      </c>
      <c r="Q63">
        <f>VLOOKUP($J63,'[1]Table S6'!$A:$AI,8,FALSE)</f>
        <v>0.82996382208980601</v>
      </c>
      <c r="R63">
        <f>VLOOKUP($J63,'[1]Table S6'!$A:$AI,9,FALSE)</f>
        <v>19.79</v>
      </c>
      <c r="S63" t="str">
        <f>VLOOKUP($J63,'[1]Table S6'!$A:$AI,10,FALSE)</f>
        <v>No</v>
      </c>
      <c r="U63">
        <f>VLOOKUP($J63,'[1]Table S6'!$A:$AI,12,FALSE)</f>
        <v>345.5</v>
      </c>
      <c r="V63">
        <f>VLOOKUP($J63,'[1]Table S6'!$A:$AI,13,FALSE)</f>
        <v>0.73526282187699499</v>
      </c>
      <c r="W63">
        <f>VLOOKUP($J63,'[1]Table S6'!$A:$AI,14,FALSE)</f>
        <v>5.9989999999999997</v>
      </c>
      <c r="X63" t="str">
        <f>VLOOKUP($J63,'[1]Table S6'!$A:$AI,15,FALSE)</f>
        <v>No</v>
      </c>
      <c r="Z63">
        <f>VLOOKUP($J63,'[1]Table S6'!$A:$AI,17,FALSE)</f>
        <v>349.5</v>
      </c>
      <c r="AA63">
        <f>VLOOKUP($J63,'[1]Table S6'!$A:$AI,18,FALSE)</f>
        <v>0.74377527133432697</v>
      </c>
      <c r="AB63">
        <f>VLOOKUP($J63,'[1]Table S6'!$A:$AI,19,FALSE)</f>
        <v>4.0270000000000001</v>
      </c>
      <c r="AC63" t="str">
        <f>VLOOKUP($J63,'[1]Table S6'!$A:$AI,20,FALSE)</f>
        <v>No</v>
      </c>
      <c r="AE63">
        <f>VLOOKUP($J63,'[1]Table S6'!$A:$AI,22,FALSE)</f>
        <v>312.8</v>
      </c>
      <c r="AF63">
        <f>VLOOKUP($J63,'[1]Table S6'!$A:$AI,23,FALSE)</f>
        <v>0.66567354756331099</v>
      </c>
      <c r="AG63">
        <f>VLOOKUP($J63,'[1]Table S6'!$A:$AI,24,FALSE)</f>
        <v>1.722</v>
      </c>
      <c r="AH63" t="str">
        <f>VLOOKUP($J63,'[1]Table S6'!$A:$AI,25,FALSE)</f>
        <v>Yes</v>
      </c>
      <c r="AJ63">
        <f>VLOOKUP($J63,'[1]Table S6'!$A:$AI,27,FALSE)</f>
        <v>430.9</v>
      </c>
      <c r="AK63">
        <f>VLOOKUP($J63,'[1]Table S6'!$A:$AI,28,FALSE)</f>
        <v>0.91700361779101902</v>
      </c>
      <c r="AL63">
        <f>VLOOKUP($J63,'[1]Table S6'!$A:$AI,29,FALSE)</f>
        <v>98.14</v>
      </c>
      <c r="AM63" t="str">
        <f>VLOOKUP($J63,'[1]Table S6'!$A:$AI,30,FALSE)</f>
        <v>No</v>
      </c>
      <c r="AO63">
        <f>VLOOKUP($J63,'[1]Table S6'!$A:$AI,32,FALSE)</f>
        <v>400.3</v>
      </c>
      <c r="AP63">
        <f>VLOOKUP($J63,'[1]Table S6'!$A:$AI,33,FALSE)</f>
        <v>0.85188337944243497</v>
      </c>
      <c r="AQ63">
        <f>VLOOKUP($J63,'[1]Table S6'!$A:$AI,34,FALSE)</f>
        <v>24.87</v>
      </c>
      <c r="AR63" t="str">
        <f>VLOOKUP($J63,'[1]Table S6'!$A:$AI,35,FALSE)</f>
        <v>No</v>
      </c>
      <c r="AT63" t="e">
        <f>VLOOKUP($I63,'[2]Table S5'!$A:$K,8,FALSE)</f>
        <v>#N/A</v>
      </c>
      <c r="AU63" t="e">
        <f>VLOOKUP($I63,'[2]Table S5'!$A:$K,9,FALSE)</f>
        <v>#N/A</v>
      </c>
      <c r="AV63" t="e">
        <f>VLOOKUP($I63,'[2]Table S5'!$A:$K,10,FALSE)</f>
        <v>#N/A</v>
      </c>
      <c r="AW63" t="e">
        <f>VLOOKUP($I63,'[2]Table S5'!$A:$K,11,FALSE)</f>
        <v>#N/A</v>
      </c>
    </row>
    <row r="64" spans="1:49">
      <c r="A64" s="12" t="s">
        <v>479</v>
      </c>
      <c r="B64" t="s">
        <v>480</v>
      </c>
      <c r="C64" t="s">
        <v>481</v>
      </c>
      <c r="D64" t="s">
        <v>17</v>
      </c>
      <c r="E64" t="s">
        <v>482</v>
      </c>
      <c r="F64" s="12" t="s">
        <v>483</v>
      </c>
      <c r="G64" t="s">
        <v>484</v>
      </c>
      <c r="H64" t="s">
        <v>485</v>
      </c>
      <c r="I64" t="s">
        <v>470</v>
      </c>
      <c r="J64" t="s">
        <v>478</v>
      </c>
      <c r="K64">
        <f>VLOOKUP($J64,'[1]Table S6'!$A:$AI,2,FALSE)</f>
        <v>389.9</v>
      </c>
      <c r="L64">
        <f>VLOOKUP($J64,'[1]Table S6'!$A:$AI,3,FALSE)</f>
        <v>0.82975101085337299</v>
      </c>
      <c r="M64">
        <f>VLOOKUP($J64,'[1]Table S6'!$A:$AI,4,FALSE)</f>
        <v>9.5009999999999994</v>
      </c>
      <c r="N64" t="str">
        <f>VLOOKUP($J64,'[1]Table S6'!$A:$AI,5,FALSE)</f>
        <v>No</v>
      </c>
      <c r="P64">
        <f>VLOOKUP($J64,'[1]Table S6'!$A:$AI,7,FALSE)</f>
        <v>390</v>
      </c>
      <c r="Q64">
        <f>VLOOKUP($J64,'[1]Table S6'!$A:$AI,8,FALSE)</f>
        <v>0.82996382208980601</v>
      </c>
      <c r="R64">
        <f>VLOOKUP($J64,'[1]Table S6'!$A:$AI,9,FALSE)</f>
        <v>19.79</v>
      </c>
      <c r="S64" t="str">
        <f>VLOOKUP($J64,'[1]Table S6'!$A:$AI,10,FALSE)</f>
        <v>No</v>
      </c>
      <c r="U64">
        <f>VLOOKUP($J64,'[1]Table S6'!$A:$AI,12,FALSE)</f>
        <v>345.5</v>
      </c>
      <c r="V64">
        <f>VLOOKUP($J64,'[1]Table S6'!$A:$AI,13,FALSE)</f>
        <v>0.73526282187699499</v>
      </c>
      <c r="W64">
        <f>VLOOKUP($J64,'[1]Table S6'!$A:$AI,14,FALSE)</f>
        <v>5.9989999999999997</v>
      </c>
      <c r="X64" t="str">
        <f>VLOOKUP($J64,'[1]Table S6'!$A:$AI,15,FALSE)</f>
        <v>No</v>
      </c>
      <c r="Z64">
        <f>VLOOKUP($J64,'[1]Table S6'!$A:$AI,17,FALSE)</f>
        <v>349.5</v>
      </c>
      <c r="AA64">
        <f>VLOOKUP($J64,'[1]Table S6'!$A:$AI,18,FALSE)</f>
        <v>0.74377527133432697</v>
      </c>
      <c r="AB64">
        <f>VLOOKUP($J64,'[1]Table S6'!$A:$AI,19,FALSE)</f>
        <v>4.0270000000000001</v>
      </c>
      <c r="AC64" t="str">
        <f>VLOOKUP($J64,'[1]Table S6'!$A:$AI,20,FALSE)</f>
        <v>No</v>
      </c>
      <c r="AE64">
        <f>VLOOKUP($J64,'[1]Table S6'!$A:$AI,22,FALSE)</f>
        <v>312.8</v>
      </c>
      <c r="AF64">
        <f>VLOOKUP($J64,'[1]Table S6'!$A:$AI,23,FALSE)</f>
        <v>0.66567354756331099</v>
      </c>
      <c r="AG64">
        <f>VLOOKUP($J64,'[1]Table S6'!$A:$AI,24,FALSE)</f>
        <v>1.722</v>
      </c>
      <c r="AH64" t="str">
        <f>VLOOKUP($J64,'[1]Table S6'!$A:$AI,25,FALSE)</f>
        <v>Yes</v>
      </c>
      <c r="AJ64">
        <f>VLOOKUP($J64,'[1]Table S6'!$A:$AI,27,FALSE)</f>
        <v>430.9</v>
      </c>
      <c r="AK64">
        <f>VLOOKUP($J64,'[1]Table S6'!$A:$AI,28,FALSE)</f>
        <v>0.91700361779101902</v>
      </c>
      <c r="AL64">
        <f>VLOOKUP($J64,'[1]Table S6'!$A:$AI,29,FALSE)</f>
        <v>98.14</v>
      </c>
      <c r="AM64" t="str">
        <f>VLOOKUP($J64,'[1]Table S6'!$A:$AI,30,FALSE)</f>
        <v>No</v>
      </c>
      <c r="AO64">
        <f>VLOOKUP($J64,'[1]Table S6'!$A:$AI,32,FALSE)</f>
        <v>400.3</v>
      </c>
      <c r="AP64">
        <f>VLOOKUP($J64,'[1]Table S6'!$A:$AI,33,FALSE)</f>
        <v>0.85188337944243497</v>
      </c>
      <c r="AQ64">
        <f>VLOOKUP($J64,'[1]Table S6'!$A:$AI,34,FALSE)</f>
        <v>24.87</v>
      </c>
      <c r="AR64" t="str">
        <f>VLOOKUP($J64,'[1]Table S6'!$A:$AI,35,FALSE)</f>
        <v>No</v>
      </c>
      <c r="AT64" t="e">
        <f>VLOOKUP($I64,'[2]Table S5'!$A:$K,8,FALSE)</f>
        <v>#N/A</v>
      </c>
      <c r="AU64" t="e">
        <f>VLOOKUP($I64,'[2]Table S5'!$A:$K,9,FALSE)</f>
        <v>#N/A</v>
      </c>
      <c r="AV64" t="e">
        <f>VLOOKUP($I64,'[2]Table S5'!$A:$K,10,FALSE)</f>
        <v>#N/A</v>
      </c>
      <c r="AW64" t="e">
        <f>VLOOKUP($I64,'[2]Table S5'!$A:$K,11,FALSE)</f>
        <v>#N/A</v>
      </c>
    </row>
    <row r="65" spans="1:49">
      <c r="A65" s="12" t="s">
        <v>486</v>
      </c>
      <c r="B65" t="s">
        <v>487</v>
      </c>
      <c r="C65" t="s">
        <v>488</v>
      </c>
      <c r="D65" t="s">
        <v>17</v>
      </c>
      <c r="E65" t="s">
        <v>489</v>
      </c>
      <c r="F65" s="12" t="s">
        <v>490</v>
      </c>
      <c r="G65" t="s">
        <v>491</v>
      </c>
      <c r="H65" t="s">
        <v>492</v>
      </c>
      <c r="I65" t="s">
        <v>493</v>
      </c>
      <c r="J65" t="s">
        <v>493</v>
      </c>
      <c r="K65" t="e">
        <f>VLOOKUP($J65,'[1]Table S6'!$A:$AI,2,FALSE)</f>
        <v>#N/A</v>
      </c>
      <c r="L65" t="e">
        <f>VLOOKUP($J65,'[1]Table S6'!$A:$AI,3,FALSE)</f>
        <v>#N/A</v>
      </c>
      <c r="M65" t="e">
        <f>VLOOKUP($J65,'[1]Table S6'!$A:$AI,4,FALSE)</f>
        <v>#N/A</v>
      </c>
      <c r="N65" t="e">
        <f>VLOOKUP($J65,'[1]Table S6'!$A:$AI,5,FALSE)</f>
        <v>#N/A</v>
      </c>
      <c r="P65" t="e">
        <f>VLOOKUP($J65,'[1]Table S6'!$A:$AI,7,FALSE)</f>
        <v>#N/A</v>
      </c>
      <c r="Q65" t="e">
        <f>VLOOKUP($J65,'[1]Table S6'!$A:$AI,8,FALSE)</f>
        <v>#N/A</v>
      </c>
      <c r="R65" t="e">
        <f>VLOOKUP($J65,'[1]Table S6'!$A:$AI,9,FALSE)</f>
        <v>#N/A</v>
      </c>
      <c r="S65" t="e">
        <f>VLOOKUP($J65,'[1]Table S6'!$A:$AI,10,FALSE)</f>
        <v>#N/A</v>
      </c>
      <c r="U65" t="e">
        <f>VLOOKUP($J65,'[1]Table S6'!$A:$AI,12,FALSE)</f>
        <v>#N/A</v>
      </c>
      <c r="V65" t="e">
        <f>VLOOKUP($J65,'[1]Table S6'!$A:$AI,13,FALSE)</f>
        <v>#N/A</v>
      </c>
      <c r="W65" t="e">
        <f>VLOOKUP($J65,'[1]Table S6'!$A:$AI,14,FALSE)</f>
        <v>#N/A</v>
      </c>
      <c r="X65" t="e">
        <f>VLOOKUP($J65,'[1]Table S6'!$A:$AI,15,FALSE)</f>
        <v>#N/A</v>
      </c>
      <c r="Z65" t="e">
        <f>VLOOKUP($J65,'[1]Table S6'!$A:$AI,17,FALSE)</f>
        <v>#N/A</v>
      </c>
      <c r="AA65" t="e">
        <f>VLOOKUP($J65,'[1]Table S6'!$A:$AI,18,FALSE)</f>
        <v>#N/A</v>
      </c>
      <c r="AB65" t="e">
        <f>VLOOKUP($J65,'[1]Table S6'!$A:$AI,19,FALSE)</f>
        <v>#N/A</v>
      </c>
      <c r="AC65" t="e">
        <f>VLOOKUP($J65,'[1]Table S6'!$A:$AI,20,FALSE)</f>
        <v>#N/A</v>
      </c>
      <c r="AE65" t="e">
        <f>VLOOKUP($J65,'[1]Table S6'!$A:$AI,22,FALSE)</f>
        <v>#N/A</v>
      </c>
      <c r="AF65" t="e">
        <f>VLOOKUP($J65,'[1]Table S6'!$A:$AI,23,FALSE)</f>
        <v>#N/A</v>
      </c>
      <c r="AG65" t="e">
        <f>VLOOKUP($J65,'[1]Table S6'!$A:$AI,24,FALSE)</f>
        <v>#N/A</v>
      </c>
      <c r="AH65" t="e">
        <f>VLOOKUP($J65,'[1]Table S6'!$A:$AI,25,FALSE)</f>
        <v>#N/A</v>
      </c>
      <c r="AJ65" t="e">
        <f>VLOOKUP($J65,'[1]Table S6'!$A:$AI,27,FALSE)</f>
        <v>#N/A</v>
      </c>
      <c r="AK65" t="e">
        <f>VLOOKUP($J65,'[1]Table S6'!$A:$AI,28,FALSE)</f>
        <v>#N/A</v>
      </c>
      <c r="AL65" t="e">
        <f>VLOOKUP($J65,'[1]Table S6'!$A:$AI,29,FALSE)</f>
        <v>#N/A</v>
      </c>
      <c r="AM65" t="e">
        <f>VLOOKUP($J65,'[1]Table S6'!$A:$AI,30,FALSE)</f>
        <v>#N/A</v>
      </c>
      <c r="AO65" t="e">
        <f>VLOOKUP($J65,'[1]Table S6'!$A:$AI,32,FALSE)</f>
        <v>#N/A</v>
      </c>
      <c r="AP65" t="e">
        <f>VLOOKUP($J65,'[1]Table S6'!$A:$AI,33,FALSE)</f>
        <v>#N/A</v>
      </c>
      <c r="AQ65" t="e">
        <f>VLOOKUP($J65,'[1]Table S6'!$A:$AI,34,FALSE)</f>
        <v>#N/A</v>
      </c>
      <c r="AR65" t="e">
        <f>VLOOKUP($J65,'[1]Table S6'!$A:$AI,35,FALSE)</f>
        <v>#N/A</v>
      </c>
      <c r="AT65" t="str">
        <f>VLOOKUP($I65,'[2]Table S5'!$A:$K,8,FALSE)</f>
        <v>Resistant</v>
      </c>
      <c r="AU65" t="str">
        <f>VLOOKUP($I65,'[2]Table S5'!$A:$K,9,FALSE)</f>
        <v>Resistant</v>
      </c>
      <c r="AV65" t="str">
        <f>VLOOKUP($I65,'[2]Table S5'!$A:$K,10,FALSE)</f>
        <v>Resistant</v>
      </c>
      <c r="AW65" t="str">
        <f>VLOOKUP($I65,'[2]Table S5'!$A:$K,11,FALSE)</f>
        <v>Resistant</v>
      </c>
    </row>
    <row r="66" spans="1:49">
      <c r="A66" s="12" t="s">
        <v>494</v>
      </c>
      <c r="B66" t="s">
        <v>495</v>
      </c>
      <c r="C66" t="s">
        <v>496</v>
      </c>
      <c r="D66" t="s">
        <v>17</v>
      </c>
      <c r="E66" t="s">
        <v>497</v>
      </c>
      <c r="F66" s="12" t="s">
        <v>498</v>
      </c>
      <c r="G66" t="s">
        <v>499</v>
      </c>
      <c r="H66" t="s">
        <v>500</v>
      </c>
      <c r="I66" t="s">
        <v>493</v>
      </c>
      <c r="J66" t="s">
        <v>501</v>
      </c>
      <c r="K66">
        <f>VLOOKUP($J66,'[1]Table S6'!$A:$AI,2,FALSE)</f>
        <v>297.39999999999998</v>
      </c>
      <c r="L66">
        <f>VLOOKUP($J66,'[1]Table S6'!$A:$AI,3,FALSE)</f>
        <v>0.63290061715258605</v>
      </c>
      <c r="M66">
        <f>VLOOKUP($J66,'[1]Table S6'!$A:$AI,4,FALSE)</f>
        <v>1.056</v>
      </c>
      <c r="N66" t="str">
        <f>VLOOKUP($J66,'[1]Table S6'!$A:$AI,5,FALSE)</f>
        <v>Yes</v>
      </c>
      <c r="P66">
        <f>VLOOKUP($J66,'[1]Table S6'!$A:$AI,7,FALSE)</f>
        <v>395.7</v>
      </c>
      <c r="Q66">
        <f>VLOOKUP($J66,'[1]Table S6'!$A:$AI,8,FALSE)</f>
        <v>0.84209406256650399</v>
      </c>
      <c r="R66">
        <f>VLOOKUP($J66,'[1]Table S6'!$A:$AI,9,FALSE)</f>
        <v>22.2</v>
      </c>
      <c r="S66" t="str">
        <f>VLOOKUP($J66,'[1]Table S6'!$A:$AI,10,FALSE)</f>
        <v>No</v>
      </c>
      <c r="U66">
        <f>VLOOKUP($J66,'[1]Table S6'!$A:$AI,12,FALSE)</f>
        <v>350.1</v>
      </c>
      <c r="V66">
        <f>VLOOKUP($J66,'[1]Table S6'!$A:$AI,13,FALSE)</f>
        <v>0.74505213875292597</v>
      </c>
      <c r="W66">
        <f>VLOOKUP($J66,'[1]Table S6'!$A:$AI,14,FALSE)</f>
        <v>6.1150000000000002</v>
      </c>
      <c r="X66" t="str">
        <f>VLOOKUP($J66,'[1]Table S6'!$A:$AI,15,FALSE)</f>
        <v>No</v>
      </c>
      <c r="Z66">
        <f>VLOOKUP($J66,'[1]Table S6'!$A:$AI,17,FALSE)</f>
        <v>383.8</v>
      </c>
      <c r="AA66">
        <f>VLOOKUP($J66,'[1]Table S6'!$A:$AI,18,FALSE)</f>
        <v>0.81676952543094306</v>
      </c>
      <c r="AB66">
        <f>VLOOKUP($J66,'[1]Table S6'!$A:$AI,19,FALSE)</f>
        <v>15.15</v>
      </c>
      <c r="AC66" t="str">
        <f>VLOOKUP($J66,'[1]Table S6'!$A:$AI,20,FALSE)</f>
        <v>No</v>
      </c>
      <c r="AE66">
        <f>VLOOKUP($J66,'[1]Table S6'!$A:$AI,22,FALSE)</f>
        <v>339.7</v>
      </c>
      <c r="AF66">
        <f>VLOOKUP($J66,'[1]Table S6'!$A:$AI,23,FALSE)</f>
        <v>0.72291977016386499</v>
      </c>
      <c r="AG66">
        <f>VLOOKUP($J66,'[1]Table S6'!$A:$AI,24,FALSE)</f>
        <v>5.8620000000000001</v>
      </c>
      <c r="AH66" t="str">
        <f>VLOOKUP($J66,'[1]Table S6'!$A:$AI,25,FALSE)</f>
        <v>No</v>
      </c>
      <c r="AJ66">
        <f>VLOOKUP($J66,'[1]Table S6'!$A:$AI,27,FALSE)</f>
        <v>435.7</v>
      </c>
      <c r="AK66">
        <f>VLOOKUP($J66,'[1]Table S6'!$A:$AI,28,FALSE)</f>
        <v>0.92721855713981705</v>
      </c>
      <c r="AL66">
        <f>VLOOKUP($J66,'[1]Table S6'!$A:$AI,29,FALSE)</f>
        <v>101.5</v>
      </c>
      <c r="AM66" t="str">
        <f>VLOOKUP($J66,'[1]Table S6'!$A:$AI,30,FALSE)</f>
        <v>No</v>
      </c>
      <c r="AO66">
        <f>VLOOKUP($J66,'[1]Table S6'!$A:$AI,32,FALSE)</f>
        <v>422.6</v>
      </c>
      <c r="AP66">
        <f>VLOOKUP($J66,'[1]Table S6'!$A:$AI,33,FALSE)</f>
        <v>0.899340285167057</v>
      </c>
      <c r="AQ66">
        <f>VLOOKUP($J66,'[1]Table S6'!$A:$AI,34,FALSE)</f>
        <v>97.38</v>
      </c>
      <c r="AR66" t="str">
        <f>VLOOKUP($J66,'[1]Table S6'!$A:$AI,35,FALSE)</f>
        <v>No</v>
      </c>
      <c r="AT66" t="str">
        <f>VLOOKUP($I66,'[2]Table S5'!$A:$K,8,FALSE)</f>
        <v>Resistant</v>
      </c>
      <c r="AU66" t="str">
        <f>VLOOKUP($I66,'[2]Table S5'!$A:$K,9,FALSE)</f>
        <v>Resistant</v>
      </c>
      <c r="AV66" t="str">
        <f>VLOOKUP($I66,'[2]Table S5'!$A:$K,10,FALSE)</f>
        <v>Resistant</v>
      </c>
      <c r="AW66" t="str">
        <f>VLOOKUP($I66,'[2]Table S5'!$A:$K,11,FALSE)</f>
        <v>Resistant</v>
      </c>
    </row>
    <row r="67" spans="1:49">
      <c r="A67" s="12" t="s">
        <v>502</v>
      </c>
      <c r="B67" t="s">
        <v>503</v>
      </c>
      <c r="C67" t="s">
        <v>504</v>
      </c>
      <c r="D67" t="s">
        <v>17</v>
      </c>
      <c r="E67" t="s">
        <v>505</v>
      </c>
      <c r="F67" s="12" t="s">
        <v>506</v>
      </c>
      <c r="G67" t="s">
        <v>507</v>
      </c>
      <c r="H67" t="s">
        <v>508</v>
      </c>
      <c r="I67" t="s">
        <v>493</v>
      </c>
      <c r="J67" t="s">
        <v>509</v>
      </c>
      <c r="K67">
        <f>VLOOKUP($J67,'[1]Table S6'!$A:$AI,2,FALSE)</f>
        <v>359.2</v>
      </c>
      <c r="L67">
        <f>VLOOKUP($J67,'[1]Table S6'!$A:$AI,3,FALSE)</f>
        <v>0.76441796126835504</v>
      </c>
      <c r="M67">
        <f>VLOOKUP($J67,'[1]Table S6'!$A:$AI,4,FALSE)</f>
        <v>5.08</v>
      </c>
      <c r="N67" t="str">
        <f>VLOOKUP($J67,'[1]Table S6'!$A:$AI,5,FALSE)</f>
        <v>No</v>
      </c>
      <c r="P67">
        <f>VLOOKUP($J67,'[1]Table S6'!$A:$AI,7,FALSE)</f>
        <v>376.1</v>
      </c>
      <c r="Q67">
        <f>VLOOKUP($J67,'[1]Table S6'!$A:$AI,8,FALSE)</f>
        <v>0.80038306022558003</v>
      </c>
      <c r="R67">
        <f>VLOOKUP($J67,'[1]Table S6'!$A:$AI,9,FALSE)</f>
        <v>13.39</v>
      </c>
      <c r="S67" t="str">
        <f>VLOOKUP($J67,'[1]Table S6'!$A:$AI,10,FALSE)</f>
        <v>No</v>
      </c>
      <c r="U67">
        <f>VLOOKUP($J67,'[1]Table S6'!$A:$AI,12,FALSE)</f>
        <v>297.2</v>
      </c>
      <c r="V67">
        <f>VLOOKUP($J67,'[1]Table S6'!$A:$AI,13,FALSE)</f>
        <v>0.63247499467971902</v>
      </c>
      <c r="W67">
        <f>VLOOKUP($J67,'[1]Table S6'!$A:$AI,14,FALSE)</f>
        <v>0.99080000000000001</v>
      </c>
      <c r="X67" t="str">
        <f>VLOOKUP($J67,'[1]Table S6'!$A:$AI,15,FALSE)</f>
        <v>Yes</v>
      </c>
      <c r="Z67">
        <f>VLOOKUP($J67,'[1]Table S6'!$A:$AI,17,FALSE)</f>
        <v>377</v>
      </c>
      <c r="AA67">
        <f>VLOOKUP($J67,'[1]Table S6'!$A:$AI,18,FALSE)</f>
        <v>0.80229836135347998</v>
      </c>
      <c r="AB67">
        <f>VLOOKUP($J67,'[1]Table S6'!$A:$AI,19,FALSE)</f>
        <v>12.38</v>
      </c>
      <c r="AC67" t="str">
        <f>VLOOKUP($J67,'[1]Table S6'!$A:$AI,20,FALSE)</f>
        <v>No</v>
      </c>
      <c r="AE67">
        <f>VLOOKUP($J67,'[1]Table S6'!$A:$AI,22,FALSE)</f>
        <v>310.60000000000002</v>
      </c>
      <c r="AF67">
        <f>VLOOKUP($J67,'[1]Table S6'!$A:$AI,23,FALSE)</f>
        <v>0.66099170036177901</v>
      </c>
      <c r="AG67">
        <f>VLOOKUP($J67,'[1]Table S6'!$A:$AI,24,FALSE)</f>
        <v>2.2149999999999999</v>
      </c>
      <c r="AH67" t="str">
        <f>VLOOKUP($J67,'[1]Table S6'!$A:$AI,25,FALSE)</f>
        <v>Yes</v>
      </c>
      <c r="AJ67">
        <f>VLOOKUP($J67,'[1]Table S6'!$A:$AI,27,FALSE)</f>
        <v>362.9</v>
      </c>
      <c r="AK67">
        <f>VLOOKUP($J67,'[1]Table S6'!$A:$AI,28,FALSE)</f>
        <v>0.77229197701638597</v>
      </c>
      <c r="AL67">
        <f>VLOOKUP($J67,'[1]Table S6'!$A:$AI,29,FALSE)</f>
        <v>13.39</v>
      </c>
      <c r="AM67" t="str">
        <f>VLOOKUP($J67,'[1]Table S6'!$A:$AI,30,FALSE)</f>
        <v>No</v>
      </c>
      <c r="AO67">
        <f>VLOOKUP($J67,'[1]Table S6'!$A:$AI,32,FALSE)</f>
        <v>338.2</v>
      </c>
      <c r="AP67">
        <f>VLOOKUP($J67,'[1]Table S6'!$A:$AI,33,FALSE)</f>
        <v>0.71972760161736504</v>
      </c>
      <c r="AQ67">
        <f>VLOOKUP($J67,'[1]Table S6'!$A:$AI,34,FALSE)</f>
        <v>8.0879999999999992</v>
      </c>
      <c r="AR67" t="str">
        <f>VLOOKUP($J67,'[1]Table S6'!$A:$AI,35,FALSE)</f>
        <v>No</v>
      </c>
      <c r="AT67" t="str">
        <f>VLOOKUP($I67,'[2]Table S5'!$A:$K,8,FALSE)</f>
        <v>Resistant</v>
      </c>
      <c r="AU67" t="str">
        <f>VLOOKUP($I67,'[2]Table S5'!$A:$K,9,FALSE)</f>
        <v>Resistant</v>
      </c>
      <c r="AV67" t="str">
        <f>VLOOKUP($I67,'[2]Table S5'!$A:$K,10,FALSE)</f>
        <v>Resistant</v>
      </c>
      <c r="AW67" t="str">
        <f>VLOOKUP($I67,'[2]Table S5'!$A:$K,11,FALSE)</f>
        <v>Resistant</v>
      </c>
    </row>
    <row r="68" spans="1:49">
      <c r="A68" s="12" t="s">
        <v>510</v>
      </c>
      <c r="B68" t="s">
        <v>511</v>
      </c>
      <c r="C68" t="s">
        <v>512</v>
      </c>
      <c r="D68" t="s">
        <v>17</v>
      </c>
      <c r="E68" t="s">
        <v>513</v>
      </c>
      <c r="F68" s="12" t="s">
        <v>514</v>
      </c>
      <c r="G68" t="s">
        <v>515</v>
      </c>
      <c r="H68" t="s">
        <v>516</v>
      </c>
      <c r="I68" t="s">
        <v>493</v>
      </c>
      <c r="J68" t="s">
        <v>501</v>
      </c>
      <c r="K68">
        <f>VLOOKUP($J68,'[1]Table S6'!$A:$AI,2,FALSE)</f>
        <v>297.39999999999998</v>
      </c>
      <c r="L68">
        <f>VLOOKUP($J68,'[1]Table S6'!$A:$AI,3,FALSE)</f>
        <v>0.63290061715258605</v>
      </c>
      <c r="M68">
        <f>VLOOKUP($J68,'[1]Table S6'!$A:$AI,4,FALSE)</f>
        <v>1.056</v>
      </c>
      <c r="N68" t="str">
        <f>VLOOKUP($J68,'[1]Table S6'!$A:$AI,5,FALSE)</f>
        <v>Yes</v>
      </c>
      <c r="P68">
        <f>VLOOKUP($J68,'[1]Table S6'!$A:$AI,7,FALSE)</f>
        <v>395.7</v>
      </c>
      <c r="Q68">
        <f>VLOOKUP($J68,'[1]Table S6'!$A:$AI,8,FALSE)</f>
        <v>0.84209406256650399</v>
      </c>
      <c r="R68">
        <f>VLOOKUP($J68,'[1]Table S6'!$A:$AI,9,FALSE)</f>
        <v>22.2</v>
      </c>
      <c r="S68" t="str">
        <f>VLOOKUP($J68,'[1]Table S6'!$A:$AI,10,FALSE)</f>
        <v>No</v>
      </c>
      <c r="U68">
        <f>VLOOKUP($J68,'[1]Table S6'!$A:$AI,12,FALSE)</f>
        <v>350.1</v>
      </c>
      <c r="V68">
        <f>VLOOKUP($J68,'[1]Table S6'!$A:$AI,13,FALSE)</f>
        <v>0.74505213875292597</v>
      </c>
      <c r="W68">
        <f>VLOOKUP($J68,'[1]Table S6'!$A:$AI,14,FALSE)</f>
        <v>6.1150000000000002</v>
      </c>
      <c r="X68" t="str">
        <f>VLOOKUP($J68,'[1]Table S6'!$A:$AI,15,FALSE)</f>
        <v>No</v>
      </c>
      <c r="Z68">
        <f>VLOOKUP($J68,'[1]Table S6'!$A:$AI,17,FALSE)</f>
        <v>383.8</v>
      </c>
      <c r="AA68">
        <f>VLOOKUP($J68,'[1]Table S6'!$A:$AI,18,FALSE)</f>
        <v>0.81676952543094306</v>
      </c>
      <c r="AB68">
        <f>VLOOKUP($J68,'[1]Table S6'!$A:$AI,19,FALSE)</f>
        <v>15.15</v>
      </c>
      <c r="AC68" t="str">
        <f>VLOOKUP($J68,'[1]Table S6'!$A:$AI,20,FALSE)</f>
        <v>No</v>
      </c>
      <c r="AE68">
        <f>VLOOKUP($J68,'[1]Table S6'!$A:$AI,22,FALSE)</f>
        <v>339.7</v>
      </c>
      <c r="AF68">
        <f>VLOOKUP($J68,'[1]Table S6'!$A:$AI,23,FALSE)</f>
        <v>0.72291977016386499</v>
      </c>
      <c r="AG68">
        <f>VLOOKUP($J68,'[1]Table S6'!$A:$AI,24,FALSE)</f>
        <v>5.8620000000000001</v>
      </c>
      <c r="AH68" t="str">
        <f>VLOOKUP($J68,'[1]Table S6'!$A:$AI,25,FALSE)</f>
        <v>No</v>
      </c>
      <c r="AJ68">
        <f>VLOOKUP($J68,'[1]Table S6'!$A:$AI,27,FALSE)</f>
        <v>435.7</v>
      </c>
      <c r="AK68">
        <f>VLOOKUP($J68,'[1]Table S6'!$A:$AI,28,FALSE)</f>
        <v>0.92721855713981705</v>
      </c>
      <c r="AL68">
        <f>VLOOKUP($J68,'[1]Table S6'!$A:$AI,29,FALSE)</f>
        <v>101.5</v>
      </c>
      <c r="AM68" t="str">
        <f>VLOOKUP($J68,'[1]Table S6'!$A:$AI,30,FALSE)</f>
        <v>No</v>
      </c>
      <c r="AO68">
        <f>VLOOKUP($J68,'[1]Table S6'!$A:$AI,32,FALSE)</f>
        <v>422.6</v>
      </c>
      <c r="AP68">
        <f>VLOOKUP($J68,'[1]Table S6'!$A:$AI,33,FALSE)</f>
        <v>0.899340285167057</v>
      </c>
      <c r="AQ68">
        <f>VLOOKUP($J68,'[1]Table S6'!$A:$AI,34,FALSE)</f>
        <v>97.38</v>
      </c>
      <c r="AR68" t="str">
        <f>VLOOKUP($J68,'[1]Table S6'!$A:$AI,35,FALSE)</f>
        <v>No</v>
      </c>
      <c r="AT68" t="str">
        <f>VLOOKUP($I68,'[2]Table S5'!$A:$K,8,FALSE)</f>
        <v>Resistant</v>
      </c>
      <c r="AU68" t="str">
        <f>VLOOKUP($I68,'[2]Table S5'!$A:$K,9,FALSE)</f>
        <v>Resistant</v>
      </c>
      <c r="AV68" t="str">
        <f>VLOOKUP($I68,'[2]Table S5'!$A:$K,10,FALSE)</f>
        <v>Resistant</v>
      </c>
      <c r="AW68" t="str">
        <f>VLOOKUP($I68,'[2]Table S5'!$A:$K,11,FALSE)</f>
        <v>Resistant</v>
      </c>
    </row>
    <row r="69" spans="1:49">
      <c r="A69" s="12" t="s">
        <v>517</v>
      </c>
      <c r="B69" t="s">
        <v>518</v>
      </c>
      <c r="C69" t="s">
        <v>519</v>
      </c>
      <c r="D69" t="s">
        <v>17</v>
      </c>
      <c r="E69" t="s">
        <v>520</v>
      </c>
      <c r="F69" s="12" t="s">
        <v>521</v>
      </c>
      <c r="G69" t="s">
        <v>522</v>
      </c>
      <c r="H69" t="s">
        <v>523</v>
      </c>
      <c r="I69" t="s">
        <v>493</v>
      </c>
      <c r="J69" t="s">
        <v>509</v>
      </c>
      <c r="K69">
        <f>VLOOKUP($J69,'[1]Table S6'!$A:$AI,2,FALSE)</f>
        <v>359.2</v>
      </c>
      <c r="L69">
        <f>VLOOKUP($J69,'[1]Table S6'!$A:$AI,3,FALSE)</f>
        <v>0.76441796126835504</v>
      </c>
      <c r="M69">
        <f>VLOOKUP($J69,'[1]Table S6'!$A:$AI,4,FALSE)</f>
        <v>5.08</v>
      </c>
      <c r="N69" t="str">
        <f>VLOOKUP($J69,'[1]Table S6'!$A:$AI,5,FALSE)</f>
        <v>No</v>
      </c>
      <c r="P69">
        <f>VLOOKUP($J69,'[1]Table S6'!$A:$AI,7,FALSE)</f>
        <v>376.1</v>
      </c>
      <c r="Q69">
        <f>VLOOKUP($J69,'[1]Table S6'!$A:$AI,8,FALSE)</f>
        <v>0.80038306022558003</v>
      </c>
      <c r="R69">
        <f>VLOOKUP($J69,'[1]Table S6'!$A:$AI,9,FALSE)</f>
        <v>13.39</v>
      </c>
      <c r="S69" t="str">
        <f>VLOOKUP($J69,'[1]Table S6'!$A:$AI,10,FALSE)</f>
        <v>No</v>
      </c>
      <c r="U69">
        <f>VLOOKUP($J69,'[1]Table S6'!$A:$AI,12,FALSE)</f>
        <v>297.2</v>
      </c>
      <c r="V69">
        <f>VLOOKUP($J69,'[1]Table S6'!$A:$AI,13,FALSE)</f>
        <v>0.63247499467971902</v>
      </c>
      <c r="W69">
        <f>VLOOKUP($J69,'[1]Table S6'!$A:$AI,14,FALSE)</f>
        <v>0.99080000000000001</v>
      </c>
      <c r="X69" t="str">
        <f>VLOOKUP($J69,'[1]Table S6'!$A:$AI,15,FALSE)</f>
        <v>Yes</v>
      </c>
      <c r="Z69">
        <f>VLOOKUP($J69,'[1]Table S6'!$A:$AI,17,FALSE)</f>
        <v>377</v>
      </c>
      <c r="AA69">
        <f>VLOOKUP($J69,'[1]Table S6'!$A:$AI,18,FALSE)</f>
        <v>0.80229836135347998</v>
      </c>
      <c r="AB69">
        <f>VLOOKUP($J69,'[1]Table S6'!$A:$AI,19,FALSE)</f>
        <v>12.38</v>
      </c>
      <c r="AC69" t="str">
        <f>VLOOKUP($J69,'[1]Table S6'!$A:$AI,20,FALSE)</f>
        <v>No</v>
      </c>
      <c r="AE69">
        <f>VLOOKUP($J69,'[1]Table S6'!$A:$AI,22,FALSE)</f>
        <v>310.60000000000002</v>
      </c>
      <c r="AF69">
        <f>VLOOKUP($J69,'[1]Table S6'!$A:$AI,23,FALSE)</f>
        <v>0.66099170036177901</v>
      </c>
      <c r="AG69">
        <f>VLOOKUP($J69,'[1]Table S6'!$A:$AI,24,FALSE)</f>
        <v>2.2149999999999999</v>
      </c>
      <c r="AH69" t="str">
        <f>VLOOKUP($J69,'[1]Table S6'!$A:$AI,25,FALSE)</f>
        <v>Yes</v>
      </c>
      <c r="AJ69">
        <f>VLOOKUP($J69,'[1]Table S6'!$A:$AI,27,FALSE)</f>
        <v>362.9</v>
      </c>
      <c r="AK69">
        <f>VLOOKUP($J69,'[1]Table S6'!$A:$AI,28,FALSE)</f>
        <v>0.77229197701638597</v>
      </c>
      <c r="AL69">
        <f>VLOOKUP($J69,'[1]Table S6'!$A:$AI,29,FALSE)</f>
        <v>13.39</v>
      </c>
      <c r="AM69" t="str">
        <f>VLOOKUP($J69,'[1]Table S6'!$A:$AI,30,FALSE)</f>
        <v>No</v>
      </c>
      <c r="AO69">
        <f>VLOOKUP($J69,'[1]Table S6'!$A:$AI,32,FALSE)</f>
        <v>338.2</v>
      </c>
      <c r="AP69">
        <f>VLOOKUP($J69,'[1]Table S6'!$A:$AI,33,FALSE)</f>
        <v>0.71972760161736504</v>
      </c>
      <c r="AQ69">
        <f>VLOOKUP($J69,'[1]Table S6'!$A:$AI,34,FALSE)</f>
        <v>8.0879999999999992</v>
      </c>
      <c r="AR69" t="str">
        <f>VLOOKUP($J69,'[1]Table S6'!$A:$AI,35,FALSE)</f>
        <v>No</v>
      </c>
      <c r="AT69" t="str">
        <f>VLOOKUP($I69,'[2]Table S5'!$A:$K,8,FALSE)</f>
        <v>Resistant</v>
      </c>
      <c r="AU69" t="str">
        <f>VLOOKUP($I69,'[2]Table S5'!$A:$K,9,FALSE)</f>
        <v>Resistant</v>
      </c>
      <c r="AV69" t="str">
        <f>VLOOKUP($I69,'[2]Table S5'!$A:$K,10,FALSE)</f>
        <v>Resistant</v>
      </c>
      <c r="AW69" t="str">
        <f>VLOOKUP($I69,'[2]Table S5'!$A:$K,11,FALSE)</f>
        <v>Resistant</v>
      </c>
    </row>
    <row r="70" spans="1:49">
      <c r="A70" s="12" t="s">
        <v>524</v>
      </c>
      <c r="B70" t="s">
        <v>525</v>
      </c>
      <c r="C70" t="s">
        <v>526</v>
      </c>
      <c r="D70" t="s">
        <v>17</v>
      </c>
      <c r="E70" t="s">
        <v>527</v>
      </c>
      <c r="F70" s="12" t="s">
        <v>528</v>
      </c>
      <c r="G70" t="s">
        <v>529</v>
      </c>
      <c r="H70" t="s">
        <v>530</v>
      </c>
      <c r="I70" t="s">
        <v>531</v>
      </c>
      <c r="J70" t="s">
        <v>531</v>
      </c>
      <c r="K70" t="e">
        <f>VLOOKUP($J70,'[1]Table S6'!$A:$AI,2,FALSE)</f>
        <v>#N/A</v>
      </c>
      <c r="L70" t="e">
        <f>VLOOKUP($J70,'[1]Table S6'!$A:$AI,3,FALSE)</f>
        <v>#N/A</v>
      </c>
      <c r="M70" t="e">
        <f>VLOOKUP($J70,'[1]Table S6'!$A:$AI,4,FALSE)</f>
        <v>#N/A</v>
      </c>
      <c r="N70" t="e">
        <f>VLOOKUP($J70,'[1]Table S6'!$A:$AI,5,FALSE)</f>
        <v>#N/A</v>
      </c>
      <c r="P70" t="e">
        <f>VLOOKUP($J70,'[1]Table S6'!$A:$AI,7,FALSE)</f>
        <v>#N/A</v>
      </c>
      <c r="Q70" t="e">
        <f>VLOOKUP($J70,'[1]Table S6'!$A:$AI,8,FALSE)</f>
        <v>#N/A</v>
      </c>
      <c r="R70" t="e">
        <f>VLOOKUP($J70,'[1]Table S6'!$A:$AI,9,FALSE)</f>
        <v>#N/A</v>
      </c>
      <c r="S70" t="e">
        <f>VLOOKUP($J70,'[1]Table S6'!$A:$AI,10,FALSE)</f>
        <v>#N/A</v>
      </c>
      <c r="U70" t="e">
        <f>VLOOKUP($J70,'[1]Table S6'!$A:$AI,12,FALSE)</f>
        <v>#N/A</v>
      </c>
      <c r="V70" t="e">
        <f>VLOOKUP($J70,'[1]Table S6'!$A:$AI,13,FALSE)</f>
        <v>#N/A</v>
      </c>
      <c r="W70" t="e">
        <f>VLOOKUP($J70,'[1]Table S6'!$A:$AI,14,FALSE)</f>
        <v>#N/A</v>
      </c>
      <c r="X70" t="e">
        <f>VLOOKUP($J70,'[1]Table S6'!$A:$AI,15,FALSE)</f>
        <v>#N/A</v>
      </c>
      <c r="Z70" t="e">
        <f>VLOOKUP($J70,'[1]Table S6'!$A:$AI,17,FALSE)</f>
        <v>#N/A</v>
      </c>
      <c r="AA70" t="e">
        <f>VLOOKUP($J70,'[1]Table S6'!$A:$AI,18,FALSE)</f>
        <v>#N/A</v>
      </c>
      <c r="AB70" t="e">
        <f>VLOOKUP($J70,'[1]Table S6'!$A:$AI,19,FALSE)</f>
        <v>#N/A</v>
      </c>
      <c r="AC70" t="e">
        <f>VLOOKUP($J70,'[1]Table S6'!$A:$AI,20,FALSE)</f>
        <v>#N/A</v>
      </c>
      <c r="AE70" t="e">
        <f>VLOOKUP($J70,'[1]Table S6'!$A:$AI,22,FALSE)</f>
        <v>#N/A</v>
      </c>
      <c r="AF70" t="e">
        <f>VLOOKUP($J70,'[1]Table S6'!$A:$AI,23,FALSE)</f>
        <v>#N/A</v>
      </c>
      <c r="AG70" t="e">
        <f>VLOOKUP($J70,'[1]Table S6'!$A:$AI,24,FALSE)</f>
        <v>#N/A</v>
      </c>
      <c r="AH70" t="e">
        <f>VLOOKUP($J70,'[1]Table S6'!$A:$AI,25,FALSE)</f>
        <v>#N/A</v>
      </c>
      <c r="AJ70" t="e">
        <f>VLOOKUP($J70,'[1]Table S6'!$A:$AI,27,FALSE)</f>
        <v>#N/A</v>
      </c>
      <c r="AK70" t="e">
        <f>VLOOKUP($J70,'[1]Table S6'!$A:$AI,28,FALSE)</f>
        <v>#N/A</v>
      </c>
      <c r="AL70" t="e">
        <f>VLOOKUP($J70,'[1]Table S6'!$A:$AI,29,FALSE)</f>
        <v>#N/A</v>
      </c>
      <c r="AM70" t="e">
        <f>VLOOKUP($J70,'[1]Table S6'!$A:$AI,30,FALSE)</f>
        <v>#N/A</v>
      </c>
      <c r="AO70" t="e">
        <f>VLOOKUP($J70,'[1]Table S6'!$A:$AI,32,FALSE)</f>
        <v>#N/A</v>
      </c>
      <c r="AP70" t="e">
        <f>VLOOKUP($J70,'[1]Table S6'!$A:$AI,33,FALSE)</f>
        <v>#N/A</v>
      </c>
      <c r="AQ70" t="e">
        <f>VLOOKUP($J70,'[1]Table S6'!$A:$AI,34,FALSE)</f>
        <v>#N/A</v>
      </c>
      <c r="AR70" t="e">
        <f>VLOOKUP($J70,'[1]Table S6'!$A:$AI,35,FALSE)</f>
        <v>#N/A</v>
      </c>
      <c r="AT70" t="str">
        <f>VLOOKUP($I70,'[2]Table S5'!$A:$K,8,FALSE)</f>
        <v>Resistant</v>
      </c>
      <c r="AU70" t="str">
        <f>VLOOKUP($I70,'[2]Table S5'!$A:$K,9,FALSE)</f>
        <v>Resistant</v>
      </c>
      <c r="AV70" t="str">
        <f>VLOOKUP($I70,'[2]Table S5'!$A:$K,10,FALSE)</f>
        <v>Resistant</v>
      </c>
      <c r="AW70" t="str">
        <f>VLOOKUP($I70,'[2]Table S5'!$A:$K,11,FALSE)</f>
        <v>Sensitive</v>
      </c>
    </row>
    <row r="71" spans="1:49">
      <c r="A71" s="12" t="s">
        <v>532</v>
      </c>
      <c r="B71" t="s">
        <v>533</v>
      </c>
      <c r="C71" t="s">
        <v>534</v>
      </c>
      <c r="D71" t="s">
        <v>17</v>
      </c>
      <c r="E71" t="s">
        <v>535</v>
      </c>
      <c r="F71" s="12" t="s">
        <v>536</v>
      </c>
      <c r="G71" t="s">
        <v>537</v>
      </c>
      <c r="H71" t="s">
        <v>538</v>
      </c>
      <c r="I71" t="s">
        <v>531</v>
      </c>
      <c r="J71" t="s">
        <v>539</v>
      </c>
      <c r="K71">
        <f>VLOOKUP($J71,'[1]Table S6'!$A:$AI,2,FALSE)</f>
        <v>343</v>
      </c>
      <c r="L71">
        <f>VLOOKUP($J71,'[1]Table S6'!$A:$AI,3,FALSE)</f>
        <v>0.72994254096616296</v>
      </c>
      <c r="M71">
        <f>VLOOKUP($J71,'[1]Table S6'!$A:$AI,4,FALSE)</f>
        <v>4.2869999999999999</v>
      </c>
      <c r="N71" t="str">
        <f>VLOOKUP($J71,'[1]Table S6'!$A:$AI,5,FALSE)</f>
        <v>No</v>
      </c>
      <c r="P71">
        <f>VLOOKUP($J71,'[1]Table S6'!$A:$AI,7,FALSE)</f>
        <v>399.9</v>
      </c>
      <c r="Q71">
        <f>VLOOKUP($J71,'[1]Table S6'!$A:$AI,8,FALSE)</f>
        <v>0.85103213449670101</v>
      </c>
      <c r="R71">
        <f>VLOOKUP($J71,'[1]Table S6'!$A:$AI,9,FALSE)</f>
        <v>30.64</v>
      </c>
      <c r="S71" t="str">
        <f>VLOOKUP($J71,'[1]Table S6'!$A:$AI,10,FALSE)</f>
        <v>No</v>
      </c>
      <c r="U71">
        <f>VLOOKUP($J71,'[1]Table S6'!$A:$AI,12,FALSE)</f>
        <v>334.8</v>
      </c>
      <c r="V71">
        <f>VLOOKUP($J71,'[1]Table S6'!$A:$AI,13,FALSE)</f>
        <v>0.71249201957863395</v>
      </c>
      <c r="W71">
        <f>VLOOKUP($J71,'[1]Table S6'!$A:$AI,14,FALSE)</f>
        <v>2.3420000000000001</v>
      </c>
      <c r="X71" t="str">
        <f>VLOOKUP($J71,'[1]Table S6'!$A:$AI,15,FALSE)</f>
        <v>No</v>
      </c>
      <c r="Z71">
        <f>VLOOKUP($J71,'[1]Table S6'!$A:$AI,17,FALSE)</f>
        <v>325.7</v>
      </c>
      <c r="AA71">
        <f>VLOOKUP($J71,'[1]Table S6'!$A:$AI,18,FALSE)</f>
        <v>0.693126197063205</v>
      </c>
      <c r="AB71">
        <f>VLOOKUP($J71,'[1]Table S6'!$A:$AI,19,FALSE)</f>
        <v>2.41</v>
      </c>
      <c r="AC71" t="str">
        <f>VLOOKUP($J71,'[1]Table S6'!$A:$AI,20,FALSE)</f>
        <v>Yes</v>
      </c>
      <c r="AE71">
        <f>VLOOKUP($J71,'[1]Table S6'!$A:$AI,22,FALSE)</f>
        <v>364.8</v>
      </c>
      <c r="AF71">
        <f>VLOOKUP($J71,'[1]Table S6'!$A:$AI,23,FALSE)</f>
        <v>0.77633539050861899</v>
      </c>
      <c r="AG71">
        <f>VLOOKUP($J71,'[1]Table S6'!$A:$AI,24,FALSE)</f>
        <v>6.7539999999999996</v>
      </c>
      <c r="AH71" t="str">
        <f>VLOOKUP($J71,'[1]Table S6'!$A:$AI,25,FALSE)</f>
        <v>No</v>
      </c>
      <c r="AJ71">
        <f>VLOOKUP($J71,'[1]Table S6'!$A:$AI,27,FALSE)</f>
        <v>439.5</v>
      </c>
      <c r="AK71">
        <f>VLOOKUP($J71,'[1]Table S6'!$A:$AI,28,FALSE)</f>
        <v>0.93530538412428199</v>
      </c>
      <c r="AL71">
        <f>VLOOKUP($J71,'[1]Table S6'!$A:$AI,29,FALSE)</f>
        <v>150.19999999999999</v>
      </c>
      <c r="AM71" t="str">
        <f>VLOOKUP($J71,'[1]Table S6'!$A:$AI,30,FALSE)</f>
        <v>No</v>
      </c>
      <c r="AO71">
        <f>VLOOKUP($J71,'[1]Table S6'!$A:$AI,32,FALSE)</f>
        <v>430.8</v>
      </c>
      <c r="AP71">
        <f>VLOOKUP($J71,'[1]Table S6'!$A:$AI,33,FALSE)</f>
        <v>0.916790806554586</v>
      </c>
      <c r="AQ71">
        <f>VLOOKUP($J71,'[1]Table S6'!$A:$AI,34,FALSE)</f>
        <v>234.3</v>
      </c>
      <c r="AR71" t="str">
        <f>VLOOKUP($J71,'[1]Table S6'!$A:$AI,35,FALSE)</f>
        <v>No</v>
      </c>
      <c r="AT71" t="str">
        <f>VLOOKUP($I71,'[2]Table S5'!$A:$K,8,FALSE)</f>
        <v>Resistant</v>
      </c>
      <c r="AU71" t="str">
        <f>VLOOKUP($I71,'[2]Table S5'!$A:$K,9,FALSE)</f>
        <v>Resistant</v>
      </c>
      <c r="AV71" t="str">
        <f>VLOOKUP($I71,'[2]Table S5'!$A:$K,10,FALSE)</f>
        <v>Resistant</v>
      </c>
      <c r="AW71" t="str">
        <f>VLOOKUP($I71,'[2]Table S5'!$A:$K,11,FALSE)</f>
        <v>Sensitive</v>
      </c>
    </row>
    <row r="72" spans="1:49">
      <c r="A72" s="12" t="s">
        <v>540</v>
      </c>
      <c r="B72" t="s">
        <v>541</v>
      </c>
      <c r="C72" t="s">
        <v>542</v>
      </c>
      <c r="D72" t="s">
        <v>17</v>
      </c>
      <c r="E72" t="s">
        <v>543</v>
      </c>
      <c r="F72" s="12" t="s">
        <v>544</v>
      </c>
      <c r="G72" t="s">
        <v>545</v>
      </c>
      <c r="H72" t="s">
        <v>546</v>
      </c>
      <c r="I72" t="s">
        <v>531</v>
      </c>
      <c r="J72" t="s">
        <v>547</v>
      </c>
      <c r="K72">
        <f>VLOOKUP($J72,'[1]Table S6'!$A:$AI,2,FALSE)</f>
        <v>354.7</v>
      </c>
      <c r="L72">
        <f>VLOOKUP($J72,'[1]Table S6'!$A:$AI,3,FALSE)</f>
        <v>0.75484145562885696</v>
      </c>
      <c r="M72">
        <f>VLOOKUP($J72,'[1]Table S6'!$A:$AI,4,FALSE)</f>
        <v>4.5129999999999999</v>
      </c>
      <c r="N72" t="str">
        <f>VLOOKUP($J72,'[1]Table S6'!$A:$AI,5,FALSE)</f>
        <v>No</v>
      </c>
      <c r="P72">
        <f>VLOOKUP($J72,'[1]Table S6'!$A:$AI,7,FALSE)</f>
        <v>402.5</v>
      </c>
      <c r="Q72">
        <f>VLOOKUP($J72,'[1]Table S6'!$A:$AI,8,FALSE)</f>
        <v>0.85656522664396695</v>
      </c>
      <c r="R72">
        <f>VLOOKUP($J72,'[1]Table S6'!$A:$AI,9,FALSE)</f>
        <v>33.61</v>
      </c>
      <c r="S72" t="str">
        <f>VLOOKUP($J72,'[1]Table S6'!$A:$AI,10,FALSE)</f>
        <v>No</v>
      </c>
      <c r="U72">
        <f>VLOOKUP($J72,'[1]Table S6'!$A:$AI,12,FALSE)</f>
        <v>335.1</v>
      </c>
      <c r="V72">
        <f>VLOOKUP($J72,'[1]Table S6'!$A:$AI,13,FALSE)</f>
        <v>0.71313045328793401</v>
      </c>
      <c r="W72">
        <f>VLOOKUP($J72,'[1]Table S6'!$A:$AI,14,FALSE)</f>
        <v>2.8450000000000002</v>
      </c>
      <c r="X72" t="str">
        <f>VLOOKUP($J72,'[1]Table S6'!$A:$AI,15,FALSE)</f>
        <v>No</v>
      </c>
      <c r="Z72">
        <f>VLOOKUP($J72,'[1]Table S6'!$A:$AI,17,FALSE)</f>
        <v>322.5</v>
      </c>
      <c r="AA72">
        <f>VLOOKUP($J72,'[1]Table S6'!$A:$AI,18,FALSE)</f>
        <v>0.68631623749734005</v>
      </c>
      <c r="AB72">
        <f>VLOOKUP($J72,'[1]Table S6'!$A:$AI,19,FALSE)</f>
        <v>2.1640000000000001</v>
      </c>
      <c r="AC72" t="str">
        <f>VLOOKUP($J72,'[1]Table S6'!$A:$AI,20,FALSE)</f>
        <v>Yes</v>
      </c>
      <c r="AE72">
        <f>VLOOKUP($J72,'[1]Table S6'!$A:$AI,22,FALSE)</f>
        <v>397.3</v>
      </c>
      <c r="AF72">
        <f>VLOOKUP($J72,'[1]Table S6'!$A:$AI,23,FALSE)</f>
        <v>0.84549904234943596</v>
      </c>
      <c r="AG72">
        <f>VLOOKUP($J72,'[1]Table S6'!$A:$AI,24,FALSE)</f>
        <v>14.66</v>
      </c>
      <c r="AH72" t="str">
        <f>VLOOKUP($J72,'[1]Table S6'!$A:$AI,25,FALSE)</f>
        <v>No</v>
      </c>
      <c r="AJ72">
        <f>VLOOKUP($J72,'[1]Table S6'!$A:$AI,27,FALSE)</f>
        <v>450.9</v>
      </c>
      <c r="AK72">
        <f>VLOOKUP($J72,'[1]Table S6'!$A:$AI,28,FALSE)</f>
        <v>0.95956586507767605</v>
      </c>
      <c r="AL72">
        <f>VLOOKUP($J72,'[1]Table S6'!$A:$AI,29,FALSE)</f>
        <v>290.39999999999998</v>
      </c>
      <c r="AM72" t="str">
        <f>VLOOKUP($J72,'[1]Table S6'!$A:$AI,30,FALSE)</f>
        <v>No</v>
      </c>
      <c r="AO72">
        <f>VLOOKUP($J72,'[1]Table S6'!$A:$AI,32,FALSE)</f>
        <v>435.9</v>
      </c>
      <c r="AP72">
        <f>VLOOKUP($J72,'[1]Table S6'!$A:$AI,33,FALSE)</f>
        <v>0.92764417961268397</v>
      </c>
      <c r="AQ72">
        <f>VLOOKUP($J72,'[1]Table S6'!$A:$AI,34,FALSE)</f>
        <v>146.69999999999999</v>
      </c>
      <c r="AR72" t="str">
        <f>VLOOKUP($J72,'[1]Table S6'!$A:$AI,35,FALSE)</f>
        <v>No</v>
      </c>
      <c r="AT72" t="str">
        <f>VLOOKUP($I72,'[2]Table S5'!$A:$K,8,FALSE)</f>
        <v>Resistant</v>
      </c>
      <c r="AU72" t="str">
        <f>VLOOKUP($I72,'[2]Table S5'!$A:$K,9,FALSE)</f>
        <v>Resistant</v>
      </c>
      <c r="AV72" t="str">
        <f>VLOOKUP($I72,'[2]Table S5'!$A:$K,10,FALSE)</f>
        <v>Resistant</v>
      </c>
      <c r="AW72" t="str">
        <f>VLOOKUP($I72,'[2]Table S5'!$A:$K,11,FALSE)</f>
        <v>Sensitive</v>
      </c>
    </row>
    <row r="73" spans="1:49">
      <c r="A73" s="12" t="s">
        <v>548</v>
      </c>
      <c r="B73" t="s">
        <v>549</v>
      </c>
      <c r="C73" t="s">
        <v>550</v>
      </c>
      <c r="D73" t="s">
        <v>17</v>
      </c>
      <c r="E73" t="s">
        <v>551</v>
      </c>
      <c r="F73" s="12" t="s">
        <v>552</v>
      </c>
      <c r="G73" t="s">
        <v>553</v>
      </c>
      <c r="H73" t="s">
        <v>554</v>
      </c>
      <c r="I73" t="s">
        <v>531</v>
      </c>
      <c r="J73" t="s">
        <v>555</v>
      </c>
      <c r="K73">
        <f>VLOOKUP($J73,'[1]Table S6'!$A:$AI,2,FALSE)</f>
        <v>293.2</v>
      </c>
      <c r="L73">
        <f>VLOOKUP($J73,'[1]Table S6'!$A:$AI,3,FALSE)</f>
        <v>0.62396254522238803</v>
      </c>
      <c r="M73">
        <f>VLOOKUP($J73,'[1]Table S6'!$A:$AI,4,FALSE)</f>
        <v>0.97489999999999999</v>
      </c>
      <c r="N73" t="str">
        <f>VLOOKUP($J73,'[1]Table S6'!$A:$AI,5,FALSE)</f>
        <v>Yes</v>
      </c>
      <c r="P73">
        <f>VLOOKUP($J73,'[1]Table S6'!$A:$AI,7,FALSE)</f>
        <v>399.3</v>
      </c>
      <c r="Q73">
        <f>VLOOKUP($J73,'[1]Table S6'!$A:$AI,8,FALSE)</f>
        <v>0.84975526707810201</v>
      </c>
      <c r="R73">
        <f>VLOOKUP($J73,'[1]Table S6'!$A:$AI,9,FALSE)</f>
        <v>31.23</v>
      </c>
      <c r="S73" t="str">
        <f>VLOOKUP($J73,'[1]Table S6'!$A:$AI,10,FALSE)</f>
        <v>No</v>
      </c>
      <c r="U73">
        <f>VLOOKUP($J73,'[1]Table S6'!$A:$AI,12,FALSE)</f>
        <v>319.10000000000002</v>
      </c>
      <c r="V73">
        <f>VLOOKUP($J73,'[1]Table S6'!$A:$AI,13,FALSE)</f>
        <v>0.67908065545860796</v>
      </c>
      <c r="W73">
        <f>VLOOKUP($J73,'[1]Table S6'!$A:$AI,14,FALSE)</f>
        <v>1.5309999999999999</v>
      </c>
      <c r="X73" t="str">
        <f>VLOOKUP($J73,'[1]Table S6'!$A:$AI,15,FALSE)</f>
        <v>Yes</v>
      </c>
      <c r="Z73">
        <f>VLOOKUP($J73,'[1]Table S6'!$A:$AI,17,FALSE)</f>
        <v>321.5</v>
      </c>
      <c r="AA73">
        <f>VLOOKUP($J73,'[1]Table S6'!$A:$AI,18,FALSE)</f>
        <v>0.68418812513300697</v>
      </c>
      <c r="AB73">
        <f>VLOOKUP($J73,'[1]Table S6'!$A:$AI,19,FALSE)</f>
        <v>1.786</v>
      </c>
      <c r="AC73" t="str">
        <f>VLOOKUP($J73,'[1]Table S6'!$A:$AI,20,FALSE)</f>
        <v>Yes</v>
      </c>
      <c r="AE73">
        <f>VLOOKUP($J73,'[1]Table S6'!$A:$AI,22,FALSE)</f>
        <v>400.6</v>
      </c>
      <c r="AF73">
        <f>VLOOKUP($J73,'[1]Table S6'!$A:$AI,23,FALSE)</f>
        <v>0.85252181315173403</v>
      </c>
      <c r="AG73">
        <f>VLOOKUP($J73,'[1]Table S6'!$A:$AI,24,FALSE)</f>
        <v>28.73</v>
      </c>
      <c r="AH73" t="str">
        <f>VLOOKUP($J73,'[1]Table S6'!$A:$AI,25,FALSE)</f>
        <v>No</v>
      </c>
      <c r="AJ73">
        <f>VLOOKUP($J73,'[1]Table S6'!$A:$AI,27,FALSE)</f>
        <v>432.1</v>
      </c>
      <c r="AK73">
        <f>VLOOKUP($J73,'[1]Table S6'!$A:$AI,28,FALSE)</f>
        <v>0.91955735262821903</v>
      </c>
      <c r="AL73">
        <f>VLOOKUP($J73,'[1]Table S6'!$A:$AI,29,FALSE)</f>
        <v>129.80000000000001</v>
      </c>
      <c r="AM73" t="str">
        <f>VLOOKUP($J73,'[1]Table S6'!$A:$AI,30,FALSE)</f>
        <v>No</v>
      </c>
      <c r="AO73">
        <f>VLOOKUP($J73,'[1]Table S6'!$A:$AI,32,FALSE)</f>
        <v>432.1</v>
      </c>
      <c r="AP73">
        <f>VLOOKUP($J73,'[1]Table S6'!$A:$AI,33,FALSE)</f>
        <v>0.91955735262821903</v>
      </c>
      <c r="AQ73">
        <f>VLOOKUP($J73,'[1]Table S6'!$A:$AI,34,FALSE)</f>
        <v>106.6</v>
      </c>
      <c r="AR73" t="str">
        <f>VLOOKUP($J73,'[1]Table S6'!$A:$AI,35,FALSE)</f>
        <v>No</v>
      </c>
      <c r="AT73" t="str">
        <f>VLOOKUP($I73,'[2]Table S5'!$A:$K,8,FALSE)</f>
        <v>Resistant</v>
      </c>
      <c r="AU73" t="str">
        <f>VLOOKUP($I73,'[2]Table S5'!$A:$K,9,FALSE)</f>
        <v>Resistant</v>
      </c>
      <c r="AV73" t="str">
        <f>VLOOKUP($I73,'[2]Table S5'!$A:$K,10,FALSE)</f>
        <v>Resistant</v>
      </c>
      <c r="AW73" t="str">
        <f>VLOOKUP($I73,'[2]Table S5'!$A:$K,11,FALSE)</f>
        <v>Sensitive</v>
      </c>
    </row>
    <row r="74" spans="1:49">
      <c r="A74" s="12" t="s">
        <v>556</v>
      </c>
      <c r="B74" t="s">
        <v>557</v>
      </c>
      <c r="C74" t="s">
        <v>558</v>
      </c>
      <c r="D74" t="s">
        <v>17</v>
      </c>
      <c r="E74" t="s">
        <v>559</v>
      </c>
      <c r="F74" s="12" t="s">
        <v>560</v>
      </c>
      <c r="G74" t="s">
        <v>561</v>
      </c>
      <c r="H74" t="s">
        <v>562</v>
      </c>
      <c r="I74" t="s">
        <v>531</v>
      </c>
      <c r="J74" t="s">
        <v>539</v>
      </c>
      <c r="K74">
        <f>VLOOKUP($J74,'[1]Table S6'!$A:$AI,2,FALSE)</f>
        <v>343</v>
      </c>
      <c r="L74">
        <f>VLOOKUP($J74,'[1]Table S6'!$A:$AI,3,FALSE)</f>
        <v>0.72994254096616296</v>
      </c>
      <c r="M74">
        <f>VLOOKUP($J74,'[1]Table S6'!$A:$AI,4,FALSE)</f>
        <v>4.2869999999999999</v>
      </c>
      <c r="N74" t="str">
        <f>VLOOKUP($J74,'[1]Table S6'!$A:$AI,5,FALSE)</f>
        <v>No</v>
      </c>
      <c r="P74">
        <f>VLOOKUP($J74,'[1]Table S6'!$A:$AI,7,FALSE)</f>
        <v>399.9</v>
      </c>
      <c r="Q74">
        <f>VLOOKUP($J74,'[1]Table S6'!$A:$AI,8,FALSE)</f>
        <v>0.85103213449670101</v>
      </c>
      <c r="R74">
        <f>VLOOKUP($J74,'[1]Table S6'!$A:$AI,9,FALSE)</f>
        <v>30.64</v>
      </c>
      <c r="S74" t="str">
        <f>VLOOKUP($J74,'[1]Table S6'!$A:$AI,10,FALSE)</f>
        <v>No</v>
      </c>
      <c r="U74">
        <f>VLOOKUP($J74,'[1]Table S6'!$A:$AI,12,FALSE)</f>
        <v>334.8</v>
      </c>
      <c r="V74">
        <f>VLOOKUP($J74,'[1]Table S6'!$A:$AI,13,FALSE)</f>
        <v>0.71249201957863395</v>
      </c>
      <c r="W74">
        <f>VLOOKUP($J74,'[1]Table S6'!$A:$AI,14,FALSE)</f>
        <v>2.3420000000000001</v>
      </c>
      <c r="X74" t="str">
        <f>VLOOKUP($J74,'[1]Table S6'!$A:$AI,15,FALSE)</f>
        <v>No</v>
      </c>
      <c r="Z74">
        <f>VLOOKUP($J74,'[1]Table S6'!$A:$AI,17,FALSE)</f>
        <v>325.7</v>
      </c>
      <c r="AA74">
        <f>VLOOKUP($J74,'[1]Table S6'!$A:$AI,18,FALSE)</f>
        <v>0.693126197063205</v>
      </c>
      <c r="AB74">
        <f>VLOOKUP($J74,'[1]Table S6'!$A:$AI,19,FALSE)</f>
        <v>2.41</v>
      </c>
      <c r="AC74" t="str">
        <f>VLOOKUP($J74,'[1]Table S6'!$A:$AI,20,FALSE)</f>
        <v>Yes</v>
      </c>
      <c r="AE74">
        <f>VLOOKUP($J74,'[1]Table S6'!$A:$AI,22,FALSE)</f>
        <v>364.8</v>
      </c>
      <c r="AF74">
        <f>VLOOKUP($J74,'[1]Table S6'!$A:$AI,23,FALSE)</f>
        <v>0.77633539050861899</v>
      </c>
      <c r="AG74">
        <f>VLOOKUP($J74,'[1]Table S6'!$A:$AI,24,FALSE)</f>
        <v>6.7539999999999996</v>
      </c>
      <c r="AH74" t="str">
        <f>VLOOKUP($J74,'[1]Table S6'!$A:$AI,25,FALSE)</f>
        <v>No</v>
      </c>
      <c r="AJ74">
        <f>VLOOKUP($J74,'[1]Table S6'!$A:$AI,27,FALSE)</f>
        <v>439.5</v>
      </c>
      <c r="AK74">
        <f>VLOOKUP($J74,'[1]Table S6'!$A:$AI,28,FALSE)</f>
        <v>0.93530538412428199</v>
      </c>
      <c r="AL74">
        <f>VLOOKUP($J74,'[1]Table S6'!$A:$AI,29,FALSE)</f>
        <v>150.19999999999999</v>
      </c>
      <c r="AM74" t="str">
        <f>VLOOKUP($J74,'[1]Table S6'!$A:$AI,30,FALSE)</f>
        <v>No</v>
      </c>
      <c r="AO74">
        <f>VLOOKUP($J74,'[1]Table S6'!$A:$AI,32,FALSE)</f>
        <v>430.8</v>
      </c>
      <c r="AP74">
        <f>VLOOKUP($J74,'[1]Table S6'!$A:$AI,33,FALSE)</f>
        <v>0.916790806554586</v>
      </c>
      <c r="AQ74">
        <f>VLOOKUP($J74,'[1]Table S6'!$A:$AI,34,FALSE)</f>
        <v>234.3</v>
      </c>
      <c r="AR74" t="str">
        <f>VLOOKUP($J74,'[1]Table S6'!$A:$AI,35,FALSE)</f>
        <v>No</v>
      </c>
      <c r="AT74" t="str">
        <f>VLOOKUP($I74,'[2]Table S5'!$A:$K,8,FALSE)</f>
        <v>Resistant</v>
      </c>
      <c r="AU74" t="str">
        <f>VLOOKUP($I74,'[2]Table S5'!$A:$K,9,FALSE)</f>
        <v>Resistant</v>
      </c>
      <c r="AV74" t="str">
        <f>VLOOKUP($I74,'[2]Table S5'!$A:$K,10,FALSE)</f>
        <v>Resistant</v>
      </c>
      <c r="AW74" t="str">
        <f>VLOOKUP($I74,'[2]Table S5'!$A:$K,11,FALSE)</f>
        <v>Sensitive</v>
      </c>
    </row>
    <row r="75" spans="1:49">
      <c r="A75" s="12" t="s">
        <v>563</v>
      </c>
      <c r="B75" t="s">
        <v>564</v>
      </c>
      <c r="C75" t="s">
        <v>565</v>
      </c>
      <c r="D75" t="s">
        <v>17</v>
      </c>
      <c r="E75" t="s">
        <v>566</v>
      </c>
      <c r="F75" s="12" t="s">
        <v>567</v>
      </c>
      <c r="G75" t="s">
        <v>568</v>
      </c>
      <c r="H75" t="s">
        <v>569</v>
      </c>
      <c r="I75" t="s">
        <v>531</v>
      </c>
      <c r="J75" t="s">
        <v>547</v>
      </c>
      <c r="K75">
        <f>VLOOKUP($J75,'[1]Table S6'!$A:$AI,2,FALSE)</f>
        <v>354.7</v>
      </c>
      <c r="L75">
        <f>VLOOKUP($J75,'[1]Table S6'!$A:$AI,3,FALSE)</f>
        <v>0.75484145562885696</v>
      </c>
      <c r="M75">
        <f>VLOOKUP($J75,'[1]Table S6'!$A:$AI,4,FALSE)</f>
        <v>4.5129999999999999</v>
      </c>
      <c r="N75" t="str">
        <f>VLOOKUP($J75,'[1]Table S6'!$A:$AI,5,FALSE)</f>
        <v>No</v>
      </c>
      <c r="P75">
        <f>VLOOKUP($J75,'[1]Table S6'!$A:$AI,7,FALSE)</f>
        <v>402.5</v>
      </c>
      <c r="Q75">
        <f>VLOOKUP($J75,'[1]Table S6'!$A:$AI,8,FALSE)</f>
        <v>0.85656522664396695</v>
      </c>
      <c r="R75">
        <f>VLOOKUP($J75,'[1]Table S6'!$A:$AI,9,FALSE)</f>
        <v>33.61</v>
      </c>
      <c r="S75" t="str">
        <f>VLOOKUP($J75,'[1]Table S6'!$A:$AI,10,FALSE)</f>
        <v>No</v>
      </c>
      <c r="U75">
        <f>VLOOKUP($J75,'[1]Table S6'!$A:$AI,12,FALSE)</f>
        <v>335.1</v>
      </c>
      <c r="V75">
        <f>VLOOKUP($J75,'[1]Table S6'!$A:$AI,13,FALSE)</f>
        <v>0.71313045328793401</v>
      </c>
      <c r="W75">
        <f>VLOOKUP($J75,'[1]Table S6'!$A:$AI,14,FALSE)</f>
        <v>2.8450000000000002</v>
      </c>
      <c r="X75" t="str">
        <f>VLOOKUP($J75,'[1]Table S6'!$A:$AI,15,FALSE)</f>
        <v>No</v>
      </c>
      <c r="Z75">
        <f>VLOOKUP($J75,'[1]Table S6'!$A:$AI,17,FALSE)</f>
        <v>322.5</v>
      </c>
      <c r="AA75">
        <f>VLOOKUP($J75,'[1]Table S6'!$A:$AI,18,FALSE)</f>
        <v>0.68631623749734005</v>
      </c>
      <c r="AB75">
        <f>VLOOKUP($J75,'[1]Table S6'!$A:$AI,19,FALSE)</f>
        <v>2.1640000000000001</v>
      </c>
      <c r="AC75" t="str">
        <f>VLOOKUP($J75,'[1]Table S6'!$A:$AI,20,FALSE)</f>
        <v>Yes</v>
      </c>
      <c r="AE75">
        <f>VLOOKUP($J75,'[1]Table S6'!$A:$AI,22,FALSE)</f>
        <v>397.3</v>
      </c>
      <c r="AF75">
        <f>VLOOKUP($J75,'[1]Table S6'!$A:$AI,23,FALSE)</f>
        <v>0.84549904234943596</v>
      </c>
      <c r="AG75">
        <f>VLOOKUP($J75,'[1]Table S6'!$A:$AI,24,FALSE)</f>
        <v>14.66</v>
      </c>
      <c r="AH75" t="str">
        <f>VLOOKUP($J75,'[1]Table S6'!$A:$AI,25,FALSE)</f>
        <v>No</v>
      </c>
      <c r="AJ75">
        <f>VLOOKUP($J75,'[1]Table S6'!$A:$AI,27,FALSE)</f>
        <v>450.9</v>
      </c>
      <c r="AK75">
        <f>VLOOKUP($J75,'[1]Table S6'!$A:$AI,28,FALSE)</f>
        <v>0.95956586507767605</v>
      </c>
      <c r="AL75">
        <f>VLOOKUP($J75,'[1]Table S6'!$A:$AI,29,FALSE)</f>
        <v>290.39999999999998</v>
      </c>
      <c r="AM75" t="str">
        <f>VLOOKUP($J75,'[1]Table S6'!$A:$AI,30,FALSE)</f>
        <v>No</v>
      </c>
      <c r="AO75">
        <f>VLOOKUP($J75,'[1]Table S6'!$A:$AI,32,FALSE)</f>
        <v>435.9</v>
      </c>
      <c r="AP75">
        <f>VLOOKUP($J75,'[1]Table S6'!$A:$AI,33,FALSE)</f>
        <v>0.92764417961268397</v>
      </c>
      <c r="AQ75">
        <f>VLOOKUP($J75,'[1]Table S6'!$A:$AI,34,FALSE)</f>
        <v>146.69999999999999</v>
      </c>
      <c r="AR75" t="str">
        <f>VLOOKUP($J75,'[1]Table S6'!$A:$AI,35,FALSE)</f>
        <v>No</v>
      </c>
      <c r="AT75" t="str">
        <f>VLOOKUP($I75,'[2]Table S5'!$A:$K,8,FALSE)</f>
        <v>Resistant</v>
      </c>
      <c r="AU75" t="str">
        <f>VLOOKUP($I75,'[2]Table S5'!$A:$K,9,FALSE)</f>
        <v>Resistant</v>
      </c>
      <c r="AV75" t="str">
        <f>VLOOKUP($I75,'[2]Table S5'!$A:$K,10,FALSE)</f>
        <v>Resistant</v>
      </c>
      <c r="AW75" t="str">
        <f>VLOOKUP($I75,'[2]Table S5'!$A:$K,11,FALSE)</f>
        <v>Sensitive</v>
      </c>
    </row>
    <row r="76" spans="1:49">
      <c r="A76" s="12" t="s">
        <v>570</v>
      </c>
      <c r="B76" t="s">
        <v>571</v>
      </c>
      <c r="C76" t="s">
        <v>572</v>
      </c>
      <c r="D76" t="s">
        <v>17</v>
      </c>
      <c r="E76" t="s">
        <v>573</v>
      </c>
      <c r="F76" s="12" t="s">
        <v>574</v>
      </c>
      <c r="G76" t="s">
        <v>575</v>
      </c>
      <c r="H76" t="s">
        <v>576</v>
      </c>
      <c r="I76" t="s">
        <v>531</v>
      </c>
      <c r="J76" t="s">
        <v>555</v>
      </c>
      <c r="K76">
        <f>VLOOKUP($J76,'[1]Table S6'!$A:$AI,2,FALSE)</f>
        <v>293.2</v>
      </c>
      <c r="L76">
        <f>VLOOKUP($J76,'[1]Table S6'!$A:$AI,3,FALSE)</f>
        <v>0.62396254522238803</v>
      </c>
      <c r="M76">
        <f>VLOOKUP($J76,'[1]Table S6'!$A:$AI,4,FALSE)</f>
        <v>0.97489999999999999</v>
      </c>
      <c r="N76" t="str">
        <f>VLOOKUP($J76,'[1]Table S6'!$A:$AI,5,FALSE)</f>
        <v>Yes</v>
      </c>
      <c r="P76">
        <f>VLOOKUP($J76,'[1]Table S6'!$A:$AI,7,FALSE)</f>
        <v>399.3</v>
      </c>
      <c r="Q76">
        <f>VLOOKUP($J76,'[1]Table S6'!$A:$AI,8,FALSE)</f>
        <v>0.84975526707810201</v>
      </c>
      <c r="R76">
        <f>VLOOKUP($J76,'[1]Table S6'!$A:$AI,9,FALSE)</f>
        <v>31.23</v>
      </c>
      <c r="S76" t="str">
        <f>VLOOKUP($J76,'[1]Table S6'!$A:$AI,10,FALSE)</f>
        <v>No</v>
      </c>
      <c r="U76">
        <f>VLOOKUP($J76,'[1]Table S6'!$A:$AI,12,FALSE)</f>
        <v>319.10000000000002</v>
      </c>
      <c r="V76">
        <f>VLOOKUP($J76,'[1]Table S6'!$A:$AI,13,FALSE)</f>
        <v>0.67908065545860796</v>
      </c>
      <c r="W76">
        <f>VLOOKUP($J76,'[1]Table S6'!$A:$AI,14,FALSE)</f>
        <v>1.5309999999999999</v>
      </c>
      <c r="X76" t="str">
        <f>VLOOKUP($J76,'[1]Table S6'!$A:$AI,15,FALSE)</f>
        <v>Yes</v>
      </c>
      <c r="Z76">
        <f>VLOOKUP($J76,'[1]Table S6'!$A:$AI,17,FALSE)</f>
        <v>321.5</v>
      </c>
      <c r="AA76">
        <f>VLOOKUP($J76,'[1]Table S6'!$A:$AI,18,FALSE)</f>
        <v>0.68418812513300697</v>
      </c>
      <c r="AB76">
        <f>VLOOKUP($J76,'[1]Table S6'!$A:$AI,19,FALSE)</f>
        <v>1.786</v>
      </c>
      <c r="AC76" t="str">
        <f>VLOOKUP($J76,'[1]Table S6'!$A:$AI,20,FALSE)</f>
        <v>Yes</v>
      </c>
      <c r="AE76">
        <f>VLOOKUP($J76,'[1]Table S6'!$A:$AI,22,FALSE)</f>
        <v>400.6</v>
      </c>
      <c r="AF76">
        <f>VLOOKUP($J76,'[1]Table S6'!$A:$AI,23,FALSE)</f>
        <v>0.85252181315173403</v>
      </c>
      <c r="AG76">
        <f>VLOOKUP($J76,'[1]Table S6'!$A:$AI,24,FALSE)</f>
        <v>28.73</v>
      </c>
      <c r="AH76" t="str">
        <f>VLOOKUP($J76,'[1]Table S6'!$A:$AI,25,FALSE)</f>
        <v>No</v>
      </c>
      <c r="AJ76">
        <f>VLOOKUP($J76,'[1]Table S6'!$A:$AI,27,FALSE)</f>
        <v>432.1</v>
      </c>
      <c r="AK76">
        <f>VLOOKUP($J76,'[1]Table S6'!$A:$AI,28,FALSE)</f>
        <v>0.91955735262821903</v>
      </c>
      <c r="AL76">
        <f>VLOOKUP($J76,'[1]Table S6'!$A:$AI,29,FALSE)</f>
        <v>129.80000000000001</v>
      </c>
      <c r="AM76" t="str">
        <f>VLOOKUP($J76,'[1]Table S6'!$A:$AI,30,FALSE)</f>
        <v>No</v>
      </c>
      <c r="AO76">
        <f>VLOOKUP($J76,'[1]Table S6'!$A:$AI,32,FALSE)</f>
        <v>432.1</v>
      </c>
      <c r="AP76">
        <f>VLOOKUP($J76,'[1]Table S6'!$A:$AI,33,FALSE)</f>
        <v>0.91955735262821903</v>
      </c>
      <c r="AQ76">
        <f>VLOOKUP($J76,'[1]Table S6'!$A:$AI,34,FALSE)</f>
        <v>106.6</v>
      </c>
      <c r="AR76" t="str">
        <f>VLOOKUP($J76,'[1]Table S6'!$A:$AI,35,FALSE)</f>
        <v>No</v>
      </c>
      <c r="AT76" t="str">
        <f>VLOOKUP($I76,'[2]Table S5'!$A:$K,8,FALSE)</f>
        <v>Resistant</v>
      </c>
      <c r="AU76" t="str">
        <f>VLOOKUP($I76,'[2]Table S5'!$A:$K,9,FALSE)</f>
        <v>Resistant</v>
      </c>
      <c r="AV76" t="str">
        <f>VLOOKUP($I76,'[2]Table S5'!$A:$K,10,FALSE)</f>
        <v>Resistant</v>
      </c>
      <c r="AW76" t="str">
        <f>VLOOKUP($I76,'[2]Table S5'!$A:$K,11,FALSE)</f>
        <v>Sensitive</v>
      </c>
    </row>
    <row r="77" spans="1:49">
      <c r="A77" s="12" t="s">
        <v>577</v>
      </c>
      <c r="B77" t="s">
        <v>578</v>
      </c>
      <c r="C77" t="s">
        <v>579</v>
      </c>
      <c r="D77" t="s">
        <v>17</v>
      </c>
      <c r="E77" t="s">
        <v>580</v>
      </c>
      <c r="F77" s="12" t="s">
        <v>581</v>
      </c>
      <c r="G77" t="s">
        <v>582</v>
      </c>
      <c r="H77" t="s">
        <v>583</v>
      </c>
      <c r="I77" t="s">
        <v>584</v>
      </c>
      <c r="J77" t="s">
        <v>585</v>
      </c>
      <c r="K77">
        <f>VLOOKUP($J77,'[1]Table S6'!$A:$AI,2,FALSE)</f>
        <v>300.7</v>
      </c>
      <c r="L77">
        <f>VLOOKUP($J77,'[1]Table S6'!$A:$AI,3,FALSE)</f>
        <v>0.63992338795488402</v>
      </c>
      <c r="M77">
        <f>VLOOKUP($J77,'[1]Table S6'!$A:$AI,4,FALSE)</f>
        <v>1.03</v>
      </c>
      <c r="N77" t="str">
        <f>VLOOKUP($J77,'[1]Table S6'!$A:$AI,5,FALSE)</f>
        <v>Yes</v>
      </c>
      <c r="P77">
        <f>VLOOKUP($J77,'[1]Table S6'!$A:$AI,7,FALSE)</f>
        <v>310.39999999999998</v>
      </c>
      <c r="Q77">
        <f>VLOOKUP($J77,'[1]Table S6'!$A:$AI,8,FALSE)</f>
        <v>0.66056607788891297</v>
      </c>
      <c r="R77">
        <f>VLOOKUP($J77,'[1]Table S6'!$A:$AI,9,FALSE)</f>
        <v>1.335</v>
      </c>
      <c r="S77" t="str">
        <f>VLOOKUP($J77,'[1]Table S6'!$A:$AI,10,FALSE)</f>
        <v>Yes</v>
      </c>
      <c r="U77">
        <f>VLOOKUP($J77,'[1]Table S6'!$A:$AI,12,FALSE)</f>
        <v>381.3</v>
      </c>
      <c r="V77">
        <f>VLOOKUP($J77,'[1]Table S6'!$A:$AI,13,FALSE)</f>
        <v>0.81144924452011102</v>
      </c>
      <c r="W77">
        <f>VLOOKUP($J77,'[1]Table S6'!$A:$AI,14,FALSE)</f>
        <v>11.34</v>
      </c>
      <c r="X77" t="str">
        <f>VLOOKUP($J77,'[1]Table S6'!$A:$AI,15,FALSE)</f>
        <v>No</v>
      </c>
      <c r="Z77">
        <f>VLOOKUP($J77,'[1]Table S6'!$A:$AI,17,FALSE)</f>
        <v>319.8</v>
      </c>
      <c r="AA77">
        <f>VLOOKUP($J77,'[1]Table S6'!$A:$AI,18,FALSE)</f>
        <v>0.68057033411364098</v>
      </c>
      <c r="AB77">
        <f>VLOOKUP($J77,'[1]Table S6'!$A:$AI,19,FALSE)</f>
        <v>1.91</v>
      </c>
      <c r="AC77" t="str">
        <f>VLOOKUP($J77,'[1]Table S6'!$A:$AI,20,FALSE)</f>
        <v>Yes</v>
      </c>
      <c r="AE77">
        <f>VLOOKUP($J77,'[1]Table S6'!$A:$AI,22,FALSE)</f>
        <v>339.2</v>
      </c>
      <c r="AF77">
        <f>VLOOKUP($J77,'[1]Table S6'!$A:$AI,23,FALSE)</f>
        <v>0.72185571398169801</v>
      </c>
      <c r="AG77">
        <f>VLOOKUP($J77,'[1]Table S6'!$A:$AI,24,FALSE)</f>
        <v>3.198</v>
      </c>
      <c r="AH77" t="str">
        <f>VLOOKUP($J77,'[1]Table S6'!$A:$AI,25,FALSE)</f>
        <v>No</v>
      </c>
      <c r="AJ77">
        <f>VLOOKUP($J77,'[1]Table S6'!$A:$AI,27,FALSE)</f>
        <v>441.5</v>
      </c>
      <c r="AK77">
        <f>VLOOKUP($J77,'[1]Table S6'!$A:$AI,28,FALSE)</f>
        <v>0.93956160885294704</v>
      </c>
      <c r="AL77">
        <f>VLOOKUP($J77,'[1]Table S6'!$A:$AI,29,FALSE)</f>
        <v>144.1</v>
      </c>
      <c r="AM77" t="str">
        <f>VLOOKUP($J77,'[1]Table S6'!$A:$AI,30,FALSE)</f>
        <v>No</v>
      </c>
      <c r="AO77">
        <f>VLOOKUP($J77,'[1]Table S6'!$A:$AI,32,FALSE)</f>
        <v>432.1</v>
      </c>
      <c r="AP77">
        <f>VLOOKUP($J77,'[1]Table S6'!$A:$AI,33,FALSE)</f>
        <v>0.91955735262821903</v>
      </c>
      <c r="AQ77">
        <f>VLOOKUP($J77,'[1]Table S6'!$A:$AI,34,FALSE)</f>
        <v>138.19999999999999</v>
      </c>
      <c r="AR77" t="str">
        <f>VLOOKUP($J77,'[1]Table S6'!$A:$AI,35,FALSE)</f>
        <v>No</v>
      </c>
      <c r="AT77" t="str">
        <f>VLOOKUP($I77,'[2]Table S5'!$A:$K,8,FALSE)</f>
        <v>Sensitive</v>
      </c>
      <c r="AU77" t="str">
        <f>VLOOKUP($I77,'[2]Table S5'!$A:$K,9,FALSE)</f>
        <v>Resistant</v>
      </c>
      <c r="AV77" t="str">
        <f>VLOOKUP($I77,'[2]Table S5'!$A:$K,10,FALSE)</f>
        <v>Resistant</v>
      </c>
      <c r="AW77" t="str">
        <f>VLOOKUP($I77,'[2]Table S5'!$A:$K,11,FALSE)</f>
        <v>Resistant</v>
      </c>
    </row>
    <row r="78" spans="1:49">
      <c r="A78" s="12" t="s">
        <v>586</v>
      </c>
      <c r="B78" t="s">
        <v>587</v>
      </c>
      <c r="C78" t="s">
        <v>588</v>
      </c>
      <c r="D78" t="s">
        <v>17</v>
      </c>
      <c r="E78" t="s">
        <v>589</v>
      </c>
      <c r="F78" s="12" t="s">
        <v>590</v>
      </c>
      <c r="G78" t="s">
        <v>591</v>
      </c>
      <c r="H78" t="s">
        <v>592</v>
      </c>
      <c r="I78" t="s">
        <v>584</v>
      </c>
      <c r="J78" t="s">
        <v>593</v>
      </c>
      <c r="K78">
        <f>VLOOKUP($J78,'[1]Table S6'!$A:$AI,2,FALSE)</f>
        <v>323.60000000000002</v>
      </c>
      <c r="L78">
        <f>VLOOKUP($J78,'[1]Table S6'!$A:$AI,3,FALSE)</f>
        <v>0.68865716109810604</v>
      </c>
      <c r="M78">
        <f>VLOOKUP($J78,'[1]Table S6'!$A:$AI,4,FALSE)</f>
        <v>2.0539999999999998</v>
      </c>
      <c r="N78" t="str">
        <f>VLOOKUP($J78,'[1]Table S6'!$A:$AI,5,FALSE)</f>
        <v>Yes</v>
      </c>
      <c r="P78">
        <f>VLOOKUP($J78,'[1]Table S6'!$A:$AI,7,FALSE)</f>
        <v>338.4</v>
      </c>
      <c r="Q78">
        <f>VLOOKUP($J78,'[1]Table S6'!$A:$AI,8,FALSE)</f>
        <v>0.72015322409023197</v>
      </c>
      <c r="R78">
        <f>VLOOKUP($J78,'[1]Table S6'!$A:$AI,9,FALSE)</f>
        <v>6.0810000000000004</v>
      </c>
      <c r="S78" t="str">
        <f>VLOOKUP($J78,'[1]Table S6'!$A:$AI,10,FALSE)</f>
        <v>No</v>
      </c>
      <c r="U78">
        <f>VLOOKUP($J78,'[1]Table S6'!$A:$AI,12,FALSE)</f>
        <v>339.6</v>
      </c>
      <c r="V78">
        <f>VLOOKUP($J78,'[1]Table S6'!$A:$AI,13,FALSE)</f>
        <v>0.72270695892743098</v>
      </c>
      <c r="W78">
        <f>VLOOKUP($J78,'[1]Table S6'!$A:$AI,14,FALSE)</f>
        <v>6.6840000000000002</v>
      </c>
      <c r="X78" t="str">
        <f>VLOOKUP($J78,'[1]Table S6'!$A:$AI,15,FALSE)</f>
        <v>No</v>
      </c>
      <c r="Z78">
        <f>VLOOKUP($J78,'[1]Table S6'!$A:$AI,17,FALSE)</f>
        <v>365.8</v>
      </c>
      <c r="AA78">
        <f>VLOOKUP($J78,'[1]Table S6'!$A:$AI,18,FALSE)</f>
        <v>0.77846350287295196</v>
      </c>
      <c r="AB78">
        <f>VLOOKUP($J78,'[1]Table S6'!$A:$AI,19,FALSE)</f>
        <v>8.532</v>
      </c>
      <c r="AC78" t="str">
        <f>VLOOKUP($J78,'[1]Table S6'!$A:$AI,20,FALSE)</f>
        <v>No</v>
      </c>
      <c r="AE78">
        <f>VLOOKUP($J78,'[1]Table S6'!$A:$AI,22,FALSE)</f>
        <v>360.6</v>
      </c>
      <c r="AF78">
        <f>VLOOKUP($J78,'[1]Table S6'!$A:$AI,23,FALSE)</f>
        <v>0.76739731857842097</v>
      </c>
      <c r="AG78">
        <f>VLOOKUP($J78,'[1]Table S6'!$A:$AI,24,FALSE)</f>
        <v>8.1560000000000006</v>
      </c>
      <c r="AH78" t="str">
        <f>VLOOKUP($J78,'[1]Table S6'!$A:$AI,25,FALSE)</f>
        <v>No</v>
      </c>
      <c r="AJ78">
        <f>VLOOKUP($J78,'[1]Table S6'!$A:$AI,27,FALSE)</f>
        <v>409.9</v>
      </c>
      <c r="AK78">
        <f>VLOOKUP($J78,'[1]Table S6'!$A:$AI,28,FALSE)</f>
        <v>0.87231325814003002</v>
      </c>
      <c r="AL78">
        <f>VLOOKUP($J78,'[1]Table S6'!$A:$AI,29,FALSE)</f>
        <v>117.1</v>
      </c>
      <c r="AM78" t="str">
        <f>VLOOKUP($J78,'[1]Table S6'!$A:$AI,30,FALSE)</f>
        <v>No</v>
      </c>
      <c r="AO78">
        <f>VLOOKUP($J78,'[1]Table S6'!$A:$AI,32,FALSE)</f>
        <v>435</v>
      </c>
      <c r="AP78">
        <f>VLOOKUP($J78,'[1]Table S6'!$A:$AI,33,FALSE)</f>
        <v>0.92572887848478402</v>
      </c>
      <c r="AQ78">
        <f>VLOOKUP($J78,'[1]Table S6'!$A:$AI,34,FALSE)</f>
        <v>127.6</v>
      </c>
      <c r="AR78" t="str">
        <f>VLOOKUP($J78,'[1]Table S6'!$A:$AI,35,FALSE)</f>
        <v>No</v>
      </c>
      <c r="AT78" t="str">
        <f>VLOOKUP($I78,'[2]Table S5'!$A:$K,8,FALSE)</f>
        <v>Sensitive</v>
      </c>
      <c r="AU78" t="str">
        <f>VLOOKUP($I78,'[2]Table S5'!$A:$K,9,FALSE)</f>
        <v>Resistant</v>
      </c>
      <c r="AV78" t="str">
        <f>VLOOKUP($I78,'[2]Table S5'!$A:$K,10,FALSE)</f>
        <v>Resistant</v>
      </c>
      <c r="AW78" t="str">
        <f>VLOOKUP($I78,'[2]Table S5'!$A:$K,11,FALSE)</f>
        <v>Resistant</v>
      </c>
    </row>
    <row r="79" spans="1:49">
      <c r="A79" s="12" t="s">
        <v>594</v>
      </c>
      <c r="B79" t="s">
        <v>595</v>
      </c>
      <c r="C79" t="s">
        <v>596</v>
      </c>
      <c r="D79" t="s">
        <v>17</v>
      </c>
      <c r="E79" t="s">
        <v>597</v>
      </c>
      <c r="F79" s="12" t="s">
        <v>598</v>
      </c>
      <c r="G79" t="s">
        <v>599</v>
      </c>
      <c r="H79" t="s">
        <v>600</v>
      </c>
      <c r="I79" t="s">
        <v>584</v>
      </c>
      <c r="J79" t="s">
        <v>601</v>
      </c>
      <c r="K79">
        <f>VLOOKUP($J79,'[1]Table S6'!$A:$AI,2,FALSE)</f>
        <v>282.60000000000002</v>
      </c>
      <c r="L79">
        <f>VLOOKUP($J79,'[1]Table S6'!$A:$AI,3,FALSE)</f>
        <v>0.60140455416046001</v>
      </c>
      <c r="M79">
        <f>VLOOKUP($J79,'[1]Table S6'!$A:$AI,4,FALSE)</f>
        <v>0.73580000000000001</v>
      </c>
      <c r="N79" t="str">
        <f>VLOOKUP($J79,'[1]Table S6'!$A:$AI,5,FALSE)</f>
        <v>Yes</v>
      </c>
      <c r="P79">
        <f>VLOOKUP($J79,'[1]Table S6'!$A:$AI,7,FALSE)</f>
        <v>305.39999999999998</v>
      </c>
      <c r="Q79">
        <f>VLOOKUP($J79,'[1]Table S6'!$A:$AI,8,FALSE)</f>
        <v>0.64992551606724802</v>
      </c>
      <c r="R79">
        <f>VLOOKUP($J79,'[1]Table S6'!$A:$AI,9,FALSE)</f>
        <v>1.0669999999999999</v>
      </c>
      <c r="S79" t="str">
        <f>VLOOKUP($J79,'[1]Table S6'!$A:$AI,10,FALSE)</f>
        <v>Yes</v>
      </c>
      <c r="U79">
        <f>VLOOKUP($J79,'[1]Table S6'!$A:$AI,12,FALSE)</f>
        <v>331.6</v>
      </c>
      <c r="V79">
        <f>VLOOKUP($J79,'[1]Table S6'!$A:$AI,13,FALSE)</f>
        <v>0.70568206001276901</v>
      </c>
      <c r="W79">
        <f>VLOOKUP($J79,'[1]Table S6'!$A:$AI,14,FALSE)</f>
        <v>2.746</v>
      </c>
      <c r="X79" t="str">
        <f>VLOOKUP($J79,'[1]Table S6'!$A:$AI,15,FALSE)</f>
        <v>No</v>
      </c>
      <c r="Z79">
        <f>VLOOKUP($J79,'[1]Table S6'!$A:$AI,17,FALSE)</f>
        <v>339</v>
      </c>
      <c r="AA79">
        <f>VLOOKUP($J79,'[1]Table S6'!$A:$AI,18,FALSE)</f>
        <v>0.72143009150883197</v>
      </c>
      <c r="AB79">
        <f>VLOOKUP($J79,'[1]Table S6'!$A:$AI,19,FALSE)</f>
        <v>4.0970000000000004</v>
      </c>
      <c r="AC79" t="str">
        <f>VLOOKUP($J79,'[1]Table S6'!$A:$AI,20,FALSE)</f>
        <v>No</v>
      </c>
      <c r="AE79">
        <f>VLOOKUP($J79,'[1]Table S6'!$A:$AI,22,FALSE)</f>
        <v>321.89999999999998</v>
      </c>
      <c r="AF79">
        <f>VLOOKUP($J79,'[1]Table S6'!$A:$AI,23,FALSE)</f>
        <v>0.68503937007874005</v>
      </c>
      <c r="AG79">
        <f>VLOOKUP($J79,'[1]Table S6'!$A:$AI,24,FALSE)</f>
        <v>1.8879999999999999</v>
      </c>
      <c r="AH79" t="str">
        <f>VLOOKUP($J79,'[1]Table S6'!$A:$AI,25,FALSE)</f>
        <v>Yes</v>
      </c>
      <c r="AJ79">
        <f>VLOOKUP($J79,'[1]Table S6'!$A:$AI,27,FALSE)</f>
        <v>417.9</v>
      </c>
      <c r="AK79">
        <f>VLOOKUP($J79,'[1]Table S6'!$A:$AI,28,FALSE)</f>
        <v>0.88933815705469199</v>
      </c>
      <c r="AL79">
        <f>VLOOKUP($J79,'[1]Table S6'!$A:$AI,29,FALSE)</f>
        <v>92.75</v>
      </c>
      <c r="AM79" t="str">
        <f>VLOOKUP($J79,'[1]Table S6'!$A:$AI,30,FALSE)</f>
        <v>No</v>
      </c>
      <c r="AO79">
        <f>VLOOKUP($J79,'[1]Table S6'!$A:$AI,32,FALSE)</f>
        <v>401.9</v>
      </c>
      <c r="AP79">
        <f>VLOOKUP($J79,'[1]Table S6'!$A:$AI,33,FALSE)</f>
        <v>0.85528835922536695</v>
      </c>
      <c r="AQ79">
        <f>VLOOKUP($J79,'[1]Table S6'!$A:$AI,34,FALSE)</f>
        <v>116.4</v>
      </c>
      <c r="AR79" t="str">
        <f>VLOOKUP($J79,'[1]Table S6'!$A:$AI,35,FALSE)</f>
        <v>No</v>
      </c>
      <c r="AT79" t="str">
        <f>VLOOKUP($I79,'[2]Table S5'!$A:$K,8,FALSE)</f>
        <v>Sensitive</v>
      </c>
      <c r="AU79" t="str">
        <f>VLOOKUP($I79,'[2]Table S5'!$A:$K,9,FALSE)</f>
        <v>Resistant</v>
      </c>
      <c r="AV79" t="str">
        <f>VLOOKUP($I79,'[2]Table S5'!$A:$K,10,FALSE)</f>
        <v>Resistant</v>
      </c>
      <c r="AW79" t="str">
        <f>VLOOKUP($I79,'[2]Table S5'!$A:$K,11,FALSE)</f>
        <v>Resistant</v>
      </c>
    </row>
    <row r="80" spans="1:49">
      <c r="A80" s="12" t="s">
        <v>602</v>
      </c>
      <c r="B80" t="s">
        <v>603</v>
      </c>
      <c r="C80" t="s">
        <v>604</v>
      </c>
      <c r="D80" t="s">
        <v>17</v>
      </c>
      <c r="E80" t="s">
        <v>605</v>
      </c>
      <c r="F80" s="12" t="s">
        <v>606</v>
      </c>
      <c r="G80" t="s">
        <v>607</v>
      </c>
      <c r="H80" t="s">
        <v>608</v>
      </c>
      <c r="I80" t="s">
        <v>584</v>
      </c>
      <c r="J80" t="s">
        <v>585</v>
      </c>
      <c r="K80">
        <f>VLOOKUP($J80,'[1]Table S6'!$A:$AI,2,FALSE)</f>
        <v>300.7</v>
      </c>
      <c r="L80">
        <f>VLOOKUP($J80,'[1]Table S6'!$A:$AI,3,FALSE)</f>
        <v>0.63992338795488402</v>
      </c>
      <c r="M80">
        <f>VLOOKUP($J80,'[1]Table S6'!$A:$AI,4,FALSE)</f>
        <v>1.03</v>
      </c>
      <c r="N80" t="str">
        <f>VLOOKUP($J80,'[1]Table S6'!$A:$AI,5,FALSE)</f>
        <v>Yes</v>
      </c>
      <c r="P80">
        <f>VLOOKUP($J80,'[1]Table S6'!$A:$AI,7,FALSE)</f>
        <v>310.39999999999998</v>
      </c>
      <c r="Q80">
        <f>VLOOKUP($J80,'[1]Table S6'!$A:$AI,8,FALSE)</f>
        <v>0.66056607788891297</v>
      </c>
      <c r="R80">
        <f>VLOOKUP($J80,'[1]Table S6'!$A:$AI,9,FALSE)</f>
        <v>1.335</v>
      </c>
      <c r="S80" t="str">
        <f>VLOOKUP($J80,'[1]Table S6'!$A:$AI,10,FALSE)</f>
        <v>Yes</v>
      </c>
      <c r="U80">
        <f>VLOOKUP($J80,'[1]Table S6'!$A:$AI,12,FALSE)</f>
        <v>381.3</v>
      </c>
      <c r="V80">
        <f>VLOOKUP($J80,'[1]Table S6'!$A:$AI,13,FALSE)</f>
        <v>0.81144924452011102</v>
      </c>
      <c r="W80">
        <f>VLOOKUP($J80,'[1]Table S6'!$A:$AI,14,FALSE)</f>
        <v>11.34</v>
      </c>
      <c r="X80" t="str">
        <f>VLOOKUP($J80,'[1]Table S6'!$A:$AI,15,FALSE)</f>
        <v>No</v>
      </c>
      <c r="Z80">
        <f>VLOOKUP($J80,'[1]Table S6'!$A:$AI,17,FALSE)</f>
        <v>319.8</v>
      </c>
      <c r="AA80">
        <f>VLOOKUP($J80,'[1]Table S6'!$A:$AI,18,FALSE)</f>
        <v>0.68057033411364098</v>
      </c>
      <c r="AB80">
        <f>VLOOKUP($J80,'[1]Table S6'!$A:$AI,19,FALSE)</f>
        <v>1.91</v>
      </c>
      <c r="AC80" t="str">
        <f>VLOOKUP($J80,'[1]Table S6'!$A:$AI,20,FALSE)</f>
        <v>Yes</v>
      </c>
      <c r="AE80">
        <f>VLOOKUP($J80,'[1]Table S6'!$A:$AI,22,FALSE)</f>
        <v>339.2</v>
      </c>
      <c r="AF80">
        <f>VLOOKUP($J80,'[1]Table S6'!$A:$AI,23,FALSE)</f>
        <v>0.72185571398169801</v>
      </c>
      <c r="AG80">
        <f>VLOOKUP($J80,'[1]Table S6'!$A:$AI,24,FALSE)</f>
        <v>3.198</v>
      </c>
      <c r="AH80" t="str">
        <f>VLOOKUP($J80,'[1]Table S6'!$A:$AI,25,FALSE)</f>
        <v>No</v>
      </c>
      <c r="AJ80">
        <f>VLOOKUP($J80,'[1]Table S6'!$A:$AI,27,FALSE)</f>
        <v>441.5</v>
      </c>
      <c r="AK80">
        <f>VLOOKUP($J80,'[1]Table S6'!$A:$AI,28,FALSE)</f>
        <v>0.93956160885294704</v>
      </c>
      <c r="AL80">
        <f>VLOOKUP($J80,'[1]Table S6'!$A:$AI,29,FALSE)</f>
        <v>144.1</v>
      </c>
      <c r="AM80" t="str">
        <f>VLOOKUP($J80,'[1]Table S6'!$A:$AI,30,FALSE)</f>
        <v>No</v>
      </c>
      <c r="AO80">
        <f>VLOOKUP($J80,'[1]Table S6'!$A:$AI,32,FALSE)</f>
        <v>432.1</v>
      </c>
      <c r="AP80">
        <f>VLOOKUP($J80,'[1]Table S6'!$A:$AI,33,FALSE)</f>
        <v>0.91955735262821903</v>
      </c>
      <c r="AQ80">
        <f>VLOOKUP($J80,'[1]Table S6'!$A:$AI,34,FALSE)</f>
        <v>138.19999999999999</v>
      </c>
      <c r="AR80" t="str">
        <f>VLOOKUP($J80,'[1]Table S6'!$A:$AI,35,FALSE)</f>
        <v>No</v>
      </c>
      <c r="AT80" t="str">
        <f>VLOOKUP($I80,'[2]Table S5'!$A:$K,8,FALSE)</f>
        <v>Sensitive</v>
      </c>
      <c r="AU80" t="str">
        <f>VLOOKUP($I80,'[2]Table S5'!$A:$K,9,FALSE)</f>
        <v>Resistant</v>
      </c>
      <c r="AV80" t="str">
        <f>VLOOKUP($I80,'[2]Table S5'!$A:$K,10,FALSE)</f>
        <v>Resistant</v>
      </c>
      <c r="AW80" t="str">
        <f>VLOOKUP($I80,'[2]Table S5'!$A:$K,11,FALSE)</f>
        <v>Resistant</v>
      </c>
    </row>
    <row r="81" spans="1:49">
      <c r="A81" s="12" t="s">
        <v>609</v>
      </c>
      <c r="B81" t="s">
        <v>610</v>
      </c>
      <c r="C81" t="s">
        <v>611</v>
      </c>
      <c r="D81" t="s">
        <v>17</v>
      </c>
      <c r="E81" t="s">
        <v>612</v>
      </c>
      <c r="F81" s="12" t="s">
        <v>613</v>
      </c>
      <c r="G81" t="s">
        <v>614</v>
      </c>
      <c r="H81" t="s">
        <v>615</v>
      </c>
      <c r="I81" t="s">
        <v>584</v>
      </c>
      <c r="J81" t="s">
        <v>593</v>
      </c>
      <c r="K81">
        <f>VLOOKUP($J81,'[1]Table S6'!$A:$AI,2,FALSE)</f>
        <v>323.60000000000002</v>
      </c>
      <c r="L81">
        <f>VLOOKUP($J81,'[1]Table S6'!$A:$AI,3,FALSE)</f>
        <v>0.68865716109810604</v>
      </c>
      <c r="M81">
        <f>VLOOKUP($J81,'[1]Table S6'!$A:$AI,4,FALSE)</f>
        <v>2.0539999999999998</v>
      </c>
      <c r="N81" t="str">
        <f>VLOOKUP($J81,'[1]Table S6'!$A:$AI,5,FALSE)</f>
        <v>Yes</v>
      </c>
      <c r="P81">
        <f>VLOOKUP($J81,'[1]Table S6'!$A:$AI,7,FALSE)</f>
        <v>338.4</v>
      </c>
      <c r="Q81">
        <f>VLOOKUP($J81,'[1]Table S6'!$A:$AI,8,FALSE)</f>
        <v>0.72015322409023197</v>
      </c>
      <c r="R81">
        <f>VLOOKUP($J81,'[1]Table S6'!$A:$AI,9,FALSE)</f>
        <v>6.0810000000000004</v>
      </c>
      <c r="S81" t="str">
        <f>VLOOKUP($J81,'[1]Table S6'!$A:$AI,10,FALSE)</f>
        <v>No</v>
      </c>
      <c r="U81">
        <f>VLOOKUP($J81,'[1]Table S6'!$A:$AI,12,FALSE)</f>
        <v>339.6</v>
      </c>
      <c r="V81">
        <f>VLOOKUP($J81,'[1]Table S6'!$A:$AI,13,FALSE)</f>
        <v>0.72270695892743098</v>
      </c>
      <c r="W81">
        <f>VLOOKUP($J81,'[1]Table S6'!$A:$AI,14,FALSE)</f>
        <v>6.6840000000000002</v>
      </c>
      <c r="X81" t="str">
        <f>VLOOKUP($J81,'[1]Table S6'!$A:$AI,15,FALSE)</f>
        <v>No</v>
      </c>
      <c r="Z81">
        <f>VLOOKUP($J81,'[1]Table S6'!$A:$AI,17,FALSE)</f>
        <v>365.8</v>
      </c>
      <c r="AA81">
        <f>VLOOKUP($J81,'[1]Table S6'!$A:$AI,18,FALSE)</f>
        <v>0.77846350287295196</v>
      </c>
      <c r="AB81">
        <f>VLOOKUP($J81,'[1]Table S6'!$A:$AI,19,FALSE)</f>
        <v>8.532</v>
      </c>
      <c r="AC81" t="str">
        <f>VLOOKUP($J81,'[1]Table S6'!$A:$AI,20,FALSE)</f>
        <v>No</v>
      </c>
      <c r="AE81">
        <f>VLOOKUP($J81,'[1]Table S6'!$A:$AI,22,FALSE)</f>
        <v>360.6</v>
      </c>
      <c r="AF81">
        <f>VLOOKUP($J81,'[1]Table S6'!$A:$AI,23,FALSE)</f>
        <v>0.76739731857842097</v>
      </c>
      <c r="AG81">
        <f>VLOOKUP($J81,'[1]Table S6'!$A:$AI,24,FALSE)</f>
        <v>8.1560000000000006</v>
      </c>
      <c r="AH81" t="str">
        <f>VLOOKUP($J81,'[1]Table S6'!$A:$AI,25,FALSE)</f>
        <v>No</v>
      </c>
      <c r="AJ81">
        <f>VLOOKUP($J81,'[1]Table S6'!$A:$AI,27,FALSE)</f>
        <v>409.9</v>
      </c>
      <c r="AK81">
        <f>VLOOKUP($J81,'[1]Table S6'!$A:$AI,28,FALSE)</f>
        <v>0.87231325814003002</v>
      </c>
      <c r="AL81">
        <f>VLOOKUP($J81,'[1]Table S6'!$A:$AI,29,FALSE)</f>
        <v>117.1</v>
      </c>
      <c r="AM81" t="str">
        <f>VLOOKUP($J81,'[1]Table S6'!$A:$AI,30,FALSE)</f>
        <v>No</v>
      </c>
      <c r="AO81">
        <f>VLOOKUP($J81,'[1]Table S6'!$A:$AI,32,FALSE)</f>
        <v>435</v>
      </c>
      <c r="AP81">
        <f>VLOOKUP($J81,'[1]Table S6'!$A:$AI,33,FALSE)</f>
        <v>0.92572887848478402</v>
      </c>
      <c r="AQ81">
        <f>VLOOKUP($J81,'[1]Table S6'!$A:$AI,34,FALSE)</f>
        <v>127.6</v>
      </c>
      <c r="AR81" t="str">
        <f>VLOOKUP($J81,'[1]Table S6'!$A:$AI,35,FALSE)</f>
        <v>No</v>
      </c>
      <c r="AT81" t="str">
        <f>VLOOKUP($I81,'[2]Table S5'!$A:$K,8,FALSE)</f>
        <v>Sensitive</v>
      </c>
      <c r="AU81" t="str">
        <f>VLOOKUP($I81,'[2]Table S5'!$A:$K,9,FALSE)</f>
        <v>Resistant</v>
      </c>
      <c r="AV81" t="str">
        <f>VLOOKUP($I81,'[2]Table S5'!$A:$K,10,FALSE)</f>
        <v>Resistant</v>
      </c>
      <c r="AW81" t="str">
        <f>VLOOKUP($I81,'[2]Table S5'!$A:$K,11,FALSE)</f>
        <v>Resistant</v>
      </c>
    </row>
    <row r="82" spans="1:49">
      <c r="A82" s="12" t="s">
        <v>616</v>
      </c>
      <c r="B82" t="s">
        <v>617</v>
      </c>
      <c r="C82" t="s">
        <v>618</v>
      </c>
      <c r="D82" t="s">
        <v>17</v>
      </c>
      <c r="E82" t="s">
        <v>619</v>
      </c>
      <c r="F82" s="12" t="s">
        <v>620</v>
      </c>
      <c r="G82" t="s">
        <v>621</v>
      </c>
      <c r="H82" t="s">
        <v>622</v>
      </c>
      <c r="I82" t="s">
        <v>584</v>
      </c>
      <c r="J82" t="s">
        <v>601</v>
      </c>
      <c r="K82">
        <f>VLOOKUP($J82,'[1]Table S6'!$A:$AI,2,FALSE)</f>
        <v>282.60000000000002</v>
      </c>
      <c r="L82">
        <f>VLOOKUP($J82,'[1]Table S6'!$A:$AI,3,FALSE)</f>
        <v>0.60140455416046001</v>
      </c>
      <c r="M82">
        <f>VLOOKUP($J82,'[1]Table S6'!$A:$AI,4,FALSE)</f>
        <v>0.73580000000000001</v>
      </c>
      <c r="N82" t="str">
        <f>VLOOKUP($J82,'[1]Table S6'!$A:$AI,5,FALSE)</f>
        <v>Yes</v>
      </c>
      <c r="P82">
        <f>VLOOKUP($J82,'[1]Table S6'!$A:$AI,7,FALSE)</f>
        <v>305.39999999999998</v>
      </c>
      <c r="Q82">
        <f>VLOOKUP($J82,'[1]Table S6'!$A:$AI,8,FALSE)</f>
        <v>0.64992551606724802</v>
      </c>
      <c r="R82">
        <f>VLOOKUP($J82,'[1]Table S6'!$A:$AI,9,FALSE)</f>
        <v>1.0669999999999999</v>
      </c>
      <c r="S82" t="str">
        <f>VLOOKUP($J82,'[1]Table S6'!$A:$AI,10,FALSE)</f>
        <v>Yes</v>
      </c>
      <c r="U82">
        <f>VLOOKUP($J82,'[1]Table S6'!$A:$AI,12,FALSE)</f>
        <v>331.6</v>
      </c>
      <c r="V82">
        <f>VLOOKUP($J82,'[1]Table S6'!$A:$AI,13,FALSE)</f>
        <v>0.70568206001276901</v>
      </c>
      <c r="W82">
        <f>VLOOKUP($J82,'[1]Table S6'!$A:$AI,14,FALSE)</f>
        <v>2.746</v>
      </c>
      <c r="X82" t="str">
        <f>VLOOKUP($J82,'[1]Table S6'!$A:$AI,15,FALSE)</f>
        <v>No</v>
      </c>
      <c r="Z82">
        <f>VLOOKUP($J82,'[1]Table S6'!$A:$AI,17,FALSE)</f>
        <v>339</v>
      </c>
      <c r="AA82">
        <f>VLOOKUP($J82,'[1]Table S6'!$A:$AI,18,FALSE)</f>
        <v>0.72143009150883197</v>
      </c>
      <c r="AB82">
        <f>VLOOKUP($J82,'[1]Table S6'!$A:$AI,19,FALSE)</f>
        <v>4.0970000000000004</v>
      </c>
      <c r="AC82" t="str">
        <f>VLOOKUP($J82,'[1]Table S6'!$A:$AI,20,FALSE)</f>
        <v>No</v>
      </c>
      <c r="AE82">
        <f>VLOOKUP($J82,'[1]Table S6'!$A:$AI,22,FALSE)</f>
        <v>321.89999999999998</v>
      </c>
      <c r="AF82">
        <f>VLOOKUP($J82,'[1]Table S6'!$A:$AI,23,FALSE)</f>
        <v>0.68503937007874005</v>
      </c>
      <c r="AG82">
        <f>VLOOKUP($J82,'[1]Table S6'!$A:$AI,24,FALSE)</f>
        <v>1.8879999999999999</v>
      </c>
      <c r="AH82" t="str">
        <f>VLOOKUP($J82,'[1]Table S6'!$A:$AI,25,FALSE)</f>
        <v>Yes</v>
      </c>
      <c r="AJ82">
        <f>VLOOKUP($J82,'[1]Table S6'!$A:$AI,27,FALSE)</f>
        <v>417.9</v>
      </c>
      <c r="AK82">
        <f>VLOOKUP($J82,'[1]Table S6'!$A:$AI,28,FALSE)</f>
        <v>0.88933815705469199</v>
      </c>
      <c r="AL82">
        <f>VLOOKUP($J82,'[1]Table S6'!$A:$AI,29,FALSE)</f>
        <v>92.75</v>
      </c>
      <c r="AM82" t="str">
        <f>VLOOKUP($J82,'[1]Table S6'!$A:$AI,30,FALSE)</f>
        <v>No</v>
      </c>
      <c r="AO82">
        <f>VLOOKUP($J82,'[1]Table S6'!$A:$AI,32,FALSE)</f>
        <v>401.9</v>
      </c>
      <c r="AP82">
        <f>VLOOKUP($J82,'[1]Table S6'!$A:$AI,33,FALSE)</f>
        <v>0.85528835922536695</v>
      </c>
      <c r="AQ82">
        <f>VLOOKUP($J82,'[1]Table S6'!$A:$AI,34,FALSE)</f>
        <v>116.4</v>
      </c>
      <c r="AR82" t="str">
        <f>VLOOKUP($J82,'[1]Table S6'!$A:$AI,35,FALSE)</f>
        <v>No</v>
      </c>
      <c r="AT82" t="str">
        <f>VLOOKUP($I82,'[2]Table S5'!$A:$K,8,FALSE)</f>
        <v>Sensitive</v>
      </c>
      <c r="AU82" t="str">
        <f>VLOOKUP($I82,'[2]Table S5'!$A:$K,9,FALSE)</f>
        <v>Resistant</v>
      </c>
      <c r="AV82" t="str">
        <f>VLOOKUP($I82,'[2]Table S5'!$A:$K,10,FALSE)</f>
        <v>Resistant</v>
      </c>
      <c r="AW82" t="str">
        <f>VLOOKUP($I82,'[2]Table S5'!$A:$K,11,FALSE)</f>
        <v>Resistant</v>
      </c>
    </row>
    <row r="83" spans="1:49">
      <c r="A83" s="12" t="s">
        <v>623</v>
      </c>
      <c r="B83" t="s">
        <v>624</v>
      </c>
      <c r="C83" t="s">
        <v>625</v>
      </c>
      <c r="D83" t="s">
        <v>17</v>
      </c>
      <c r="E83" t="s">
        <v>626</v>
      </c>
      <c r="F83" s="12" t="s">
        <v>627</v>
      </c>
      <c r="G83" t="s">
        <v>628</v>
      </c>
      <c r="H83" t="s">
        <v>629</v>
      </c>
      <c r="I83" t="s">
        <v>584</v>
      </c>
      <c r="J83" t="s">
        <v>584</v>
      </c>
      <c r="K83" t="e">
        <f>VLOOKUP($J83,'[1]Table S6'!$A:$AI,2,FALSE)</f>
        <v>#N/A</v>
      </c>
      <c r="L83" t="e">
        <f>VLOOKUP($J83,'[1]Table S6'!$A:$AI,3,FALSE)</f>
        <v>#N/A</v>
      </c>
      <c r="M83" t="e">
        <f>VLOOKUP($J83,'[1]Table S6'!$A:$AI,4,FALSE)</f>
        <v>#N/A</v>
      </c>
      <c r="N83" t="e">
        <f>VLOOKUP($J83,'[1]Table S6'!$A:$AI,5,FALSE)</f>
        <v>#N/A</v>
      </c>
      <c r="P83" t="e">
        <f>VLOOKUP($J83,'[1]Table S6'!$A:$AI,7,FALSE)</f>
        <v>#N/A</v>
      </c>
      <c r="Q83" t="e">
        <f>VLOOKUP($J83,'[1]Table S6'!$A:$AI,8,FALSE)</f>
        <v>#N/A</v>
      </c>
      <c r="R83" t="e">
        <f>VLOOKUP($J83,'[1]Table S6'!$A:$AI,9,FALSE)</f>
        <v>#N/A</v>
      </c>
      <c r="S83" t="e">
        <f>VLOOKUP($J83,'[1]Table S6'!$A:$AI,10,FALSE)</f>
        <v>#N/A</v>
      </c>
      <c r="U83" t="e">
        <f>VLOOKUP($J83,'[1]Table S6'!$A:$AI,12,FALSE)</f>
        <v>#N/A</v>
      </c>
      <c r="V83" t="e">
        <f>VLOOKUP($J83,'[1]Table S6'!$A:$AI,13,FALSE)</f>
        <v>#N/A</v>
      </c>
      <c r="W83" t="e">
        <f>VLOOKUP($J83,'[1]Table S6'!$A:$AI,14,FALSE)</f>
        <v>#N/A</v>
      </c>
      <c r="X83" t="e">
        <f>VLOOKUP($J83,'[1]Table S6'!$A:$AI,15,FALSE)</f>
        <v>#N/A</v>
      </c>
      <c r="Z83" t="e">
        <f>VLOOKUP($J83,'[1]Table S6'!$A:$AI,17,FALSE)</f>
        <v>#N/A</v>
      </c>
      <c r="AA83" t="e">
        <f>VLOOKUP($J83,'[1]Table S6'!$A:$AI,18,FALSE)</f>
        <v>#N/A</v>
      </c>
      <c r="AB83" t="e">
        <f>VLOOKUP($J83,'[1]Table S6'!$A:$AI,19,FALSE)</f>
        <v>#N/A</v>
      </c>
      <c r="AC83" t="e">
        <f>VLOOKUP($J83,'[1]Table S6'!$A:$AI,20,FALSE)</f>
        <v>#N/A</v>
      </c>
      <c r="AE83" t="e">
        <f>VLOOKUP($J83,'[1]Table S6'!$A:$AI,22,FALSE)</f>
        <v>#N/A</v>
      </c>
      <c r="AF83" t="e">
        <f>VLOOKUP($J83,'[1]Table S6'!$A:$AI,23,FALSE)</f>
        <v>#N/A</v>
      </c>
      <c r="AG83" t="e">
        <f>VLOOKUP($J83,'[1]Table S6'!$A:$AI,24,FALSE)</f>
        <v>#N/A</v>
      </c>
      <c r="AH83" t="e">
        <f>VLOOKUP($J83,'[1]Table S6'!$A:$AI,25,FALSE)</f>
        <v>#N/A</v>
      </c>
      <c r="AJ83" t="e">
        <f>VLOOKUP($J83,'[1]Table S6'!$A:$AI,27,FALSE)</f>
        <v>#N/A</v>
      </c>
      <c r="AK83" t="e">
        <f>VLOOKUP($J83,'[1]Table S6'!$A:$AI,28,FALSE)</f>
        <v>#N/A</v>
      </c>
      <c r="AL83" t="e">
        <f>VLOOKUP($J83,'[1]Table S6'!$A:$AI,29,FALSE)</f>
        <v>#N/A</v>
      </c>
      <c r="AM83" t="e">
        <f>VLOOKUP($J83,'[1]Table S6'!$A:$AI,30,FALSE)</f>
        <v>#N/A</v>
      </c>
      <c r="AO83" t="e">
        <f>VLOOKUP($J83,'[1]Table S6'!$A:$AI,32,FALSE)</f>
        <v>#N/A</v>
      </c>
      <c r="AP83" t="e">
        <f>VLOOKUP($J83,'[1]Table S6'!$A:$AI,33,FALSE)</f>
        <v>#N/A</v>
      </c>
      <c r="AQ83" t="e">
        <f>VLOOKUP($J83,'[1]Table S6'!$A:$AI,34,FALSE)</f>
        <v>#N/A</v>
      </c>
      <c r="AR83" t="e">
        <f>VLOOKUP($J83,'[1]Table S6'!$A:$AI,35,FALSE)</f>
        <v>#N/A</v>
      </c>
      <c r="AT83" t="str">
        <f>VLOOKUP($I83,'[2]Table S5'!$A:$K,8,FALSE)</f>
        <v>Sensitive</v>
      </c>
      <c r="AU83" t="str">
        <f>VLOOKUP($I83,'[2]Table S5'!$A:$K,9,FALSE)</f>
        <v>Resistant</v>
      </c>
      <c r="AV83" t="str">
        <f>VLOOKUP($I83,'[2]Table S5'!$A:$K,10,FALSE)</f>
        <v>Resistant</v>
      </c>
      <c r="AW83" t="str">
        <f>VLOOKUP($I83,'[2]Table S5'!$A:$K,11,FALSE)</f>
        <v>Resistant</v>
      </c>
    </row>
    <row r="84" spans="1:49">
      <c r="A84" s="12" t="s">
        <v>630</v>
      </c>
      <c r="B84" t="s">
        <v>631</v>
      </c>
      <c r="C84" t="s">
        <v>632</v>
      </c>
      <c r="D84" t="s">
        <v>17</v>
      </c>
      <c r="E84" t="s">
        <v>633</v>
      </c>
      <c r="F84" s="12" t="s">
        <v>634</v>
      </c>
      <c r="G84" t="s">
        <v>635</v>
      </c>
      <c r="H84" t="s">
        <v>636</v>
      </c>
      <c r="I84" t="s">
        <v>637</v>
      </c>
      <c r="J84" t="s">
        <v>638</v>
      </c>
      <c r="K84">
        <f>VLOOKUP($J84,'[1]Table S6'!$A:$AI,2,FALSE)</f>
        <v>296.5</v>
      </c>
      <c r="L84">
        <f>VLOOKUP($J84,'[1]Table S6'!$A:$AI,3,FALSE)</f>
        <v>0.63098531602468599</v>
      </c>
      <c r="M84">
        <f>VLOOKUP($J84,'[1]Table S6'!$A:$AI,4,FALSE)</f>
        <v>1.0920000000000001</v>
      </c>
      <c r="N84" t="str">
        <f>VLOOKUP($J84,'[1]Table S6'!$A:$AI,5,FALSE)</f>
        <v>Yes</v>
      </c>
      <c r="P84">
        <f>VLOOKUP($J84,'[1]Table S6'!$A:$AI,7,FALSE)</f>
        <v>322.60000000000002</v>
      </c>
      <c r="Q84">
        <f>VLOOKUP($J84,'[1]Table S6'!$A:$AI,8,FALSE)</f>
        <v>0.68652904873377296</v>
      </c>
      <c r="R84">
        <f>VLOOKUP($J84,'[1]Table S6'!$A:$AI,9,FALSE)</f>
        <v>1.9970000000000001</v>
      </c>
      <c r="S84" t="str">
        <f>VLOOKUP($J84,'[1]Table S6'!$A:$AI,10,FALSE)</f>
        <v>Yes</v>
      </c>
      <c r="U84">
        <f>VLOOKUP($J84,'[1]Table S6'!$A:$AI,12,FALSE)</f>
        <v>348.1</v>
      </c>
      <c r="V84">
        <f>VLOOKUP($J84,'[1]Table S6'!$A:$AI,13,FALSE)</f>
        <v>0.74079591402426104</v>
      </c>
      <c r="W84">
        <f>VLOOKUP($J84,'[1]Table S6'!$A:$AI,14,FALSE)</f>
        <v>6.258</v>
      </c>
      <c r="X84" t="str">
        <f>VLOOKUP($J84,'[1]Table S6'!$A:$AI,15,FALSE)</f>
        <v>No</v>
      </c>
      <c r="Z84">
        <f>VLOOKUP($J84,'[1]Table S6'!$A:$AI,17,FALSE)</f>
        <v>346.6</v>
      </c>
      <c r="AA84">
        <f>VLOOKUP($J84,'[1]Table S6'!$A:$AI,18,FALSE)</f>
        <v>0.73760374547776097</v>
      </c>
      <c r="AB84">
        <f>VLOOKUP($J84,'[1]Table S6'!$A:$AI,19,FALSE)</f>
        <v>5.38</v>
      </c>
      <c r="AC84" t="str">
        <f>VLOOKUP($J84,'[1]Table S6'!$A:$AI,20,FALSE)</f>
        <v>No</v>
      </c>
      <c r="AE84">
        <f>VLOOKUP($J84,'[1]Table S6'!$A:$AI,22,FALSE)</f>
        <v>333.8</v>
      </c>
      <c r="AF84">
        <f>VLOOKUP($J84,'[1]Table S6'!$A:$AI,23,FALSE)</f>
        <v>0.71036390721430098</v>
      </c>
      <c r="AG84">
        <f>VLOOKUP($J84,'[1]Table S6'!$A:$AI,24,FALSE)</f>
        <v>3.9950000000000001</v>
      </c>
      <c r="AH84" t="str">
        <f>VLOOKUP($J84,'[1]Table S6'!$A:$AI,25,FALSE)</f>
        <v>No</v>
      </c>
      <c r="AJ84">
        <f>VLOOKUP($J84,'[1]Table S6'!$A:$AI,27,FALSE)</f>
        <v>424.7</v>
      </c>
      <c r="AK84">
        <f>VLOOKUP($J84,'[1]Table S6'!$A:$AI,28,FALSE)</f>
        <v>0.90380932113215595</v>
      </c>
      <c r="AL84">
        <f>VLOOKUP($J84,'[1]Table S6'!$A:$AI,29,FALSE)</f>
        <v>152.9</v>
      </c>
      <c r="AM84" t="str">
        <f>VLOOKUP($J84,'[1]Table S6'!$A:$AI,30,FALSE)</f>
        <v>No</v>
      </c>
      <c r="AO84">
        <f>VLOOKUP($J84,'[1]Table S6'!$A:$AI,32,FALSE)</f>
        <v>402</v>
      </c>
      <c r="AP84">
        <f>VLOOKUP($J84,'[1]Table S6'!$A:$AI,33,FALSE)</f>
        <v>0.85550117046179996</v>
      </c>
      <c r="AQ84">
        <f>VLOOKUP($J84,'[1]Table S6'!$A:$AI,34,FALSE)</f>
        <v>159.80000000000001</v>
      </c>
      <c r="AR84" t="str">
        <f>VLOOKUP($J84,'[1]Table S6'!$A:$AI,35,FALSE)</f>
        <v>No</v>
      </c>
      <c r="AT84" t="str">
        <f>VLOOKUP($I84,'[2]Table S5'!$A:$K,8,FALSE)</f>
        <v>Resistant</v>
      </c>
      <c r="AU84" t="str">
        <f>VLOOKUP($I84,'[2]Table S5'!$A:$K,9,FALSE)</f>
        <v>Sensitive</v>
      </c>
      <c r="AV84" t="str">
        <f>VLOOKUP($I84,'[2]Table S5'!$A:$K,10,FALSE)</f>
        <v>Resistant</v>
      </c>
      <c r="AW84" t="str">
        <f>VLOOKUP($I84,'[2]Table S5'!$A:$K,11,FALSE)</f>
        <v>Resistant</v>
      </c>
    </row>
    <row r="85" spans="1:49">
      <c r="A85" s="12" t="s">
        <v>639</v>
      </c>
      <c r="B85" t="s">
        <v>640</v>
      </c>
      <c r="C85" t="s">
        <v>641</v>
      </c>
      <c r="D85" t="s">
        <v>17</v>
      </c>
      <c r="E85" t="s">
        <v>642</v>
      </c>
      <c r="F85" s="12" t="s">
        <v>643</v>
      </c>
      <c r="G85" t="s">
        <v>644</v>
      </c>
      <c r="H85" t="s">
        <v>645</v>
      </c>
      <c r="I85" t="s">
        <v>637</v>
      </c>
      <c r="J85" t="s">
        <v>646</v>
      </c>
      <c r="K85">
        <f>VLOOKUP($J85,'[1]Table S6'!$A:$AI,2,FALSE)</f>
        <v>334.1</v>
      </c>
      <c r="L85">
        <f>VLOOKUP($J85,'[1]Table S6'!$A:$AI,3,FALSE)</f>
        <v>0.71100234092360104</v>
      </c>
      <c r="M85">
        <f>VLOOKUP($J85,'[1]Table S6'!$A:$AI,4,FALSE)</f>
        <v>2.7839999999999998</v>
      </c>
      <c r="N85" t="str">
        <f>VLOOKUP($J85,'[1]Table S6'!$A:$AI,5,FALSE)</f>
        <v>No</v>
      </c>
      <c r="P85">
        <f>VLOOKUP($J85,'[1]Table S6'!$A:$AI,7,FALSE)</f>
        <v>302.89999999999998</v>
      </c>
      <c r="Q85">
        <f>VLOOKUP($J85,'[1]Table S6'!$A:$AI,8,FALSE)</f>
        <v>0.64460523515641599</v>
      </c>
      <c r="R85">
        <f>VLOOKUP($J85,'[1]Table S6'!$A:$AI,9,FALSE)</f>
        <v>1.3839999999999999</v>
      </c>
      <c r="S85" t="str">
        <f>VLOOKUP($J85,'[1]Table S6'!$A:$AI,10,FALSE)</f>
        <v>Yes</v>
      </c>
      <c r="U85">
        <f>VLOOKUP($J85,'[1]Table S6'!$A:$AI,12,FALSE)</f>
        <v>317.5</v>
      </c>
      <c r="V85">
        <f>VLOOKUP($J85,'[1]Table S6'!$A:$AI,13,FALSE)</f>
        <v>0.67567567567567599</v>
      </c>
      <c r="W85">
        <f>VLOOKUP($J85,'[1]Table S6'!$A:$AI,14,FALSE)</f>
        <v>1.772</v>
      </c>
      <c r="X85" t="str">
        <f>VLOOKUP($J85,'[1]Table S6'!$A:$AI,15,FALSE)</f>
        <v>Yes</v>
      </c>
      <c r="Z85">
        <f>VLOOKUP($J85,'[1]Table S6'!$A:$AI,17,FALSE)</f>
        <v>330.5</v>
      </c>
      <c r="AA85">
        <f>VLOOKUP($J85,'[1]Table S6'!$A:$AI,18,FALSE)</f>
        <v>0.70334113641200302</v>
      </c>
      <c r="AB85">
        <f>VLOOKUP($J85,'[1]Table S6'!$A:$AI,19,FALSE)</f>
        <v>2.1589999999999998</v>
      </c>
      <c r="AC85" t="str">
        <f>VLOOKUP($J85,'[1]Table S6'!$A:$AI,20,FALSE)</f>
        <v>No</v>
      </c>
      <c r="AE85">
        <f>VLOOKUP($J85,'[1]Table S6'!$A:$AI,22,FALSE)</f>
        <v>310.2</v>
      </c>
      <c r="AF85">
        <f>VLOOKUP($J85,'[1]Table S6'!$A:$AI,23,FALSE)</f>
        <v>0.66014045541604605</v>
      </c>
      <c r="AG85">
        <f>VLOOKUP($J85,'[1]Table S6'!$A:$AI,24,FALSE)</f>
        <v>1.387</v>
      </c>
      <c r="AH85" t="str">
        <f>VLOOKUP($J85,'[1]Table S6'!$A:$AI,25,FALSE)</f>
        <v>Yes</v>
      </c>
      <c r="AJ85">
        <f>VLOOKUP($J85,'[1]Table S6'!$A:$AI,27,FALSE)</f>
        <v>412.1</v>
      </c>
      <c r="AK85">
        <f>VLOOKUP($J85,'[1]Table S6'!$A:$AI,28,FALSE)</f>
        <v>0.876995105341562</v>
      </c>
      <c r="AL85">
        <f>VLOOKUP($J85,'[1]Table S6'!$A:$AI,29,FALSE)</f>
        <v>135</v>
      </c>
      <c r="AM85" t="str">
        <f>VLOOKUP($J85,'[1]Table S6'!$A:$AI,30,FALSE)</f>
        <v>No</v>
      </c>
      <c r="AO85">
        <f>VLOOKUP($J85,'[1]Table S6'!$A:$AI,32,FALSE)</f>
        <v>455.1</v>
      </c>
      <c r="AP85">
        <f>VLOOKUP($J85,'[1]Table S6'!$A:$AI,33,FALSE)</f>
        <v>0.96850393700787396</v>
      </c>
      <c r="AQ85">
        <f>VLOOKUP($J85,'[1]Table S6'!$A:$AI,34,FALSE)</f>
        <v>240.9</v>
      </c>
      <c r="AR85" t="str">
        <f>VLOOKUP($J85,'[1]Table S6'!$A:$AI,35,FALSE)</f>
        <v>No</v>
      </c>
      <c r="AT85" t="str">
        <f>VLOOKUP($I85,'[2]Table S5'!$A:$K,8,FALSE)</f>
        <v>Resistant</v>
      </c>
      <c r="AU85" t="str">
        <f>VLOOKUP($I85,'[2]Table S5'!$A:$K,9,FALSE)</f>
        <v>Sensitive</v>
      </c>
      <c r="AV85" t="str">
        <f>VLOOKUP($I85,'[2]Table S5'!$A:$K,10,FALSE)</f>
        <v>Resistant</v>
      </c>
      <c r="AW85" t="str">
        <f>VLOOKUP($I85,'[2]Table S5'!$A:$K,11,FALSE)</f>
        <v>Resistant</v>
      </c>
    </row>
    <row r="86" spans="1:49">
      <c r="A86" s="12" t="s">
        <v>647</v>
      </c>
      <c r="B86" t="s">
        <v>648</v>
      </c>
      <c r="C86" t="s">
        <v>649</v>
      </c>
      <c r="D86" t="s">
        <v>17</v>
      </c>
      <c r="E86" t="s">
        <v>650</v>
      </c>
      <c r="F86" s="12" t="s">
        <v>651</v>
      </c>
      <c r="G86" t="s">
        <v>652</v>
      </c>
      <c r="H86" t="s">
        <v>653</v>
      </c>
      <c r="I86" t="s">
        <v>637</v>
      </c>
      <c r="J86" t="s">
        <v>654</v>
      </c>
      <c r="K86">
        <f>VLOOKUP($J86,'[1]Table S6'!$A:$AI,2,FALSE)</f>
        <v>301.5</v>
      </c>
      <c r="L86">
        <f>VLOOKUP($J86,'[1]Table S6'!$A:$AI,3,FALSE)</f>
        <v>0.64162587784634995</v>
      </c>
      <c r="M86">
        <f>VLOOKUP($J86,'[1]Table S6'!$A:$AI,4,FALSE)</f>
        <v>1.0029999999999999</v>
      </c>
      <c r="N86" t="str">
        <f>VLOOKUP($J86,'[1]Table S6'!$A:$AI,5,FALSE)</f>
        <v>Yes</v>
      </c>
      <c r="P86">
        <f>VLOOKUP($J86,'[1]Table S6'!$A:$AI,7,FALSE)</f>
        <v>317.3</v>
      </c>
      <c r="Q86">
        <f>VLOOKUP($J86,'[1]Table S6'!$A:$AI,8,FALSE)</f>
        <v>0.67525005320280895</v>
      </c>
      <c r="R86">
        <f>VLOOKUP($J86,'[1]Table S6'!$A:$AI,9,FALSE)</f>
        <v>2.004</v>
      </c>
      <c r="S86" t="str">
        <f>VLOOKUP($J86,'[1]Table S6'!$A:$AI,10,FALSE)</f>
        <v>Yes</v>
      </c>
      <c r="U86">
        <f>VLOOKUP($J86,'[1]Table S6'!$A:$AI,12,FALSE)</f>
        <v>350.5</v>
      </c>
      <c r="V86">
        <f>VLOOKUP($J86,'[1]Table S6'!$A:$AI,13,FALSE)</f>
        <v>0.74590338369865905</v>
      </c>
      <c r="W86">
        <f>VLOOKUP($J86,'[1]Table S6'!$A:$AI,14,FALSE)</f>
        <v>5.5090000000000003</v>
      </c>
      <c r="X86" t="str">
        <f>VLOOKUP($J86,'[1]Table S6'!$A:$AI,15,FALSE)</f>
        <v>No</v>
      </c>
      <c r="Z86">
        <f>VLOOKUP($J86,'[1]Table S6'!$A:$AI,17,FALSE)</f>
        <v>346.8</v>
      </c>
      <c r="AA86">
        <f>VLOOKUP($J86,'[1]Table S6'!$A:$AI,18,FALSE)</f>
        <v>0.73802936795062801</v>
      </c>
      <c r="AB86">
        <f>VLOOKUP($J86,'[1]Table S6'!$A:$AI,19,FALSE)</f>
        <v>4.806</v>
      </c>
      <c r="AC86" t="str">
        <f>VLOOKUP($J86,'[1]Table S6'!$A:$AI,20,FALSE)</f>
        <v>No</v>
      </c>
      <c r="AE86">
        <f>VLOOKUP($J86,'[1]Table S6'!$A:$AI,22,FALSE)</f>
        <v>350</v>
      </c>
      <c r="AF86">
        <f>VLOOKUP($J86,'[1]Table S6'!$A:$AI,23,FALSE)</f>
        <v>0.74483932751649296</v>
      </c>
      <c r="AG86">
        <f>VLOOKUP($J86,'[1]Table S6'!$A:$AI,24,FALSE)</f>
        <v>5.8979999999999997</v>
      </c>
      <c r="AH86" t="str">
        <f>VLOOKUP($J86,'[1]Table S6'!$A:$AI,25,FALSE)</f>
        <v>No</v>
      </c>
      <c r="AJ86">
        <f>VLOOKUP($J86,'[1]Table S6'!$A:$AI,27,FALSE)</f>
        <v>427.5</v>
      </c>
      <c r="AK86">
        <f>VLOOKUP($J86,'[1]Table S6'!$A:$AI,28,FALSE)</f>
        <v>0.90976803575228804</v>
      </c>
      <c r="AL86">
        <f>VLOOKUP($J86,'[1]Table S6'!$A:$AI,29,FALSE)</f>
        <v>137.6</v>
      </c>
      <c r="AM86" t="str">
        <f>VLOOKUP($J86,'[1]Table S6'!$A:$AI,30,FALSE)</f>
        <v>No</v>
      </c>
      <c r="AO86">
        <f>VLOOKUP($J86,'[1]Table S6'!$A:$AI,32,FALSE)</f>
        <v>434.5</v>
      </c>
      <c r="AP86">
        <f>VLOOKUP($J86,'[1]Table S6'!$A:$AI,33,FALSE)</f>
        <v>0.92466482230261804</v>
      </c>
      <c r="AQ86">
        <f>VLOOKUP($J86,'[1]Table S6'!$A:$AI,34,FALSE)</f>
        <v>183.1</v>
      </c>
      <c r="AR86" t="str">
        <f>VLOOKUP($J86,'[1]Table S6'!$A:$AI,35,FALSE)</f>
        <v>No</v>
      </c>
      <c r="AT86" t="str">
        <f>VLOOKUP($I86,'[2]Table S5'!$A:$K,8,FALSE)</f>
        <v>Resistant</v>
      </c>
      <c r="AU86" t="str">
        <f>VLOOKUP($I86,'[2]Table S5'!$A:$K,9,FALSE)</f>
        <v>Sensitive</v>
      </c>
      <c r="AV86" t="str">
        <f>VLOOKUP($I86,'[2]Table S5'!$A:$K,10,FALSE)</f>
        <v>Resistant</v>
      </c>
      <c r="AW86" t="str">
        <f>VLOOKUP($I86,'[2]Table S5'!$A:$K,11,FALSE)</f>
        <v>Resistant</v>
      </c>
    </row>
    <row r="87" spans="1:49">
      <c r="A87" s="12" t="s">
        <v>655</v>
      </c>
      <c r="B87" t="s">
        <v>656</v>
      </c>
      <c r="C87" t="s">
        <v>657</v>
      </c>
      <c r="D87" t="s">
        <v>17</v>
      </c>
      <c r="E87" t="s">
        <v>658</v>
      </c>
      <c r="F87" s="12" t="s">
        <v>659</v>
      </c>
      <c r="G87" t="s">
        <v>660</v>
      </c>
      <c r="H87" t="s">
        <v>661</v>
      </c>
      <c r="I87" t="s">
        <v>637</v>
      </c>
      <c r="J87" t="s">
        <v>638</v>
      </c>
      <c r="K87">
        <f>VLOOKUP($J87,'[1]Table S6'!$A:$AI,2,FALSE)</f>
        <v>296.5</v>
      </c>
      <c r="L87">
        <f>VLOOKUP($J87,'[1]Table S6'!$A:$AI,3,FALSE)</f>
        <v>0.63098531602468599</v>
      </c>
      <c r="M87">
        <f>VLOOKUP($J87,'[1]Table S6'!$A:$AI,4,FALSE)</f>
        <v>1.0920000000000001</v>
      </c>
      <c r="N87" t="str">
        <f>VLOOKUP($J87,'[1]Table S6'!$A:$AI,5,FALSE)</f>
        <v>Yes</v>
      </c>
      <c r="P87">
        <f>VLOOKUP($J87,'[1]Table S6'!$A:$AI,7,FALSE)</f>
        <v>322.60000000000002</v>
      </c>
      <c r="Q87">
        <f>VLOOKUP($J87,'[1]Table S6'!$A:$AI,8,FALSE)</f>
        <v>0.68652904873377296</v>
      </c>
      <c r="R87">
        <f>VLOOKUP($J87,'[1]Table S6'!$A:$AI,9,FALSE)</f>
        <v>1.9970000000000001</v>
      </c>
      <c r="S87" t="str">
        <f>VLOOKUP($J87,'[1]Table S6'!$A:$AI,10,FALSE)</f>
        <v>Yes</v>
      </c>
      <c r="U87">
        <f>VLOOKUP($J87,'[1]Table S6'!$A:$AI,12,FALSE)</f>
        <v>348.1</v>
      </c>
      <c r="V87">
        <f>VLOOKUP($J87,'[1]Table S6'!$A:$AI,13,FALSE)</f>
        <v>0.74079591402426104</v>
      </c>
      <c r="W87">
        <f>VLOOKUP($J87,'[1]Table S6'!$A:$AI,14,FALSE)</f>
        <v>6.258</v>
      </c>
      <c r="X87" t="str">
        <f>VLOOKUP($J87,'[1]Table S6'!$A:$AI,15,FALSE)</f>
        <v>No</v>
      </c>
      <c r="Z87">
        <f>VLOOKUP($J87,'[1]Table S6'!$A:$AI,17,FALSE)</f>
        <v>346.6</v>
      </c>
      <c r="AA87">
        <f>VLOOKUP($J87,'[1]Table S6'!$A:$AI,18,FALSE)</f>
        <v>0.73760374547776097</v>
      </c>
      <c r="AB87">
        <f>VLOOKUP($J87,'[1]Table S6'!$A:$AI,19,FALSE)</f>
        <v>5.38</v>
      </c>
      <c r="AC87" t="str">
        <f>VLOOKUP($J87,'[1]Table S6'!$A:$AI,20,FALSE)</f>
        <v>No</v>
      </c>
      <c r="AE87">
        <f>VLOOKUP($J87,'[1]Table S6'!$A:$AI,22,FALSE)</f>
        <v>333.8</v>
      </c>
      <c r="AF87">
        <f>VLOOKUP($J87,'[1]Table S6'!$A:$AI,23,FALSE)</f>
        <v>0.71036390721430098</v>
      </c>
      <c r="AG87">
        <f>VLOOKUP($J87,'[1]Table S6'!$A:$AI,24,FALSE)</f>
        <v>3.9950000000000001</v>
      </c>
      <c r="AH87" t="str">
        <f>VLOOKUP($J87,'[1]Table S6'!$A:$AI,25,FALSE)</f>
        <v>No</v>
      </c>
      <c r="AJ87">
        <f>VLOOKUP($J87,'[1]Table S6'!$A:$AI,27,FALSE)</f>
        <v>424.7</v>
      </c>
      <c r="AK87">
        <f>VLOOKUP($J87,'[1]Table S6'!$A:$AI,28,FALSE)</f>
        <v>0.90380932113215595</v>
      </c>
      <c r="AL87">
        <f>VLOOKUP($J87,'[1]Table S6'!$A:$AI,29,FALSE)</f>
        <v>152.9</v>
      </c>
      <c r="AM87" t="str">
        <f>VLOOKUP($J87,'[1]Table S6'!$A:$AI,30,FALSE)</f>
        <v>No</v>
      </c>
      <c r="AO87">
        <f>VLOOKUP($J87,'[1]Table S6'!$A:$AI,32,FALSE)</f>
        <v>402</v>
      </c>
      <c r="AP87">
        <f>VLOOKUP($J87,'[1]Table S6'!$A:$AI,33,FALSE)</f>
        <v>0.85550117046179996</v>
      </c>
      <c r="AQ87">
        <f>VLOOKUP($J87,'[1]Table S6'!$A:$AI,34,FALSE)</f>
        <v>159.80000000000001</v>
      </c>
      <c r="AR87" t="str">
        <f>VLOOKUP($J87,'[1]Table S6'!$A:$AI,35,FALSE)</f>
        <v>No</v>
      </c>
      <c r="AT87" t="str">
        <f>VLOOKUP($I87,'[2]Table S5'!$A:$K,8,FALSE)</f>
        <v>Resistant</v>
      </c>
      <c r="AU87" t="str">
        <f>VLOOKUP($I87,'[2]Table S5'!$A:$K,9,FALSE)</f>
        <v>Sensitive</v>
      </c>
      <c r="AV87" t="str">
        <f>VLOOKUP($I87,'[2]Table S5'!$A:$K,10,FALSE)</f>
        <v>Resistant</v>
      </c>
      <c r="AW87" t="str">
        <f>VLOOKUP($I87,'[2]Table S5'!$A:$K,11,FALSE)</f>
        <v>Resistant</v>
      </c>
    </row>
    <row r="88" spans="1:49">
      <c r="A88" s="12" t="s">
        <v>662</v>
      </c>
      <c r="B88" t="s">
        <v>663</v>
      </c>
      <c r="C88" t="s">
        <v>664</v>
      </c>
      <c r="D88" t="s">
        <v>17</v>
      </c>
      <c r="E88" t="s">
        <v>665</v>
      </c>
      <c r="F88" s="12" t="s">
        <v>666</v>
      </c>
      <c r="G88" t="s">
        <v>667</v>
      </c>
      <c r="H88" t="s">
        <v>668</v>
      </c>
      <c r="I88" t="s">
        <v>637</v>
      </c>
      <c r="J88" t="s">
        <v>646</v>
      </c>
      <c r="K88">
        <f>VLOOKUP($J88,'[1]Table S6'!$A:$AI,2,FALSE)</f>
        <v>334.1</v>
      </c>
      <c r="L88">
        <f>VLOOKUP($J88,'[1]Table S6'!$A:$AI,3,FALSE)</f>
        <v>0.71100234092360104</v>
      </c>
      <c r="M88">
        <f>VLOOKUP($J88,'[1]Table S6'!$A:$AI,4,FALSE)</f>
        <v>2.7839999999999998</v>
      </c>
      <c r="N88" t="str">
        <f>VLOOKUP($J88,'[1]Table S6'!$A:$AI,5,FALSE)</f>
        <v>No</v>
      </c>
      <c r="P88">
        <f>VLOOKUP($J88,'[1]Table S6'!$A:$AI,7,FALSE)</f>
        <v>302.89999999999998</v>
      </c>
      <c r="Q88">
        <f>VLOOKUP($J88,'[1]Table S6'!$A:$AI,8,FALSE)</f>
        <v>0.64460523515641599</v>
      </c>
      <c r="R88">
        <f>VLOOKUP($J88,'[1]Table S6'!$A:$AI,9,FALSE)</f>
        <v>1.3839999999999999</v>
      </c>
      <c r="S88" t="str">
        <f>VLOOKUP($J88,'[1]Table S6'!$A:$AI,10,FALSE)</f>
        <v>Yes</v>
      </c>
      <c r="U88">
        <f>VLOOKUP($J88,'[1]Table S6'!$A:$AI,12,FALSE)</f>
        <v>317.5</v>
      </c>
      <c r="V88">
        <f>VLOOKUP($J88,'[1]Table S6'!$A:$AI,13,FALSE)</f>
        <v>0.67567567567567599</v>
      </c>
      <c r="W88">
        <f>VLOOKUP($J88,'[1]Table S6'!$A:$AI,14,FALSE)</f>
        <v>1.772</v>
      </c>
      <c r="X88" t="str">
        <f>VLOOKUP($J88,'[1]Table S6'!$A:$AI,15,FALSE)</f>
        <v>Yes</v>
      </c>
      <c r="Z88">
        <f>VLOOKUP($J88,'[1]Table S6'!$A:$AI,17,FALSE)</f>
        <v>330.5</v>
      </c>
      <c r="AA88">
        <f>VLOOKUP($J88,'[1]Table S6'!$A:$AI,18,FALSE)</f>
        <v>0.70334113641200302</v>
      </c>
      <c r="AB88">
        <f>VLOOKUP($J88,'[1]Table S6'!$A:$AI,19,FALSE)</f>
        <v>2.1589999999999998</v>
      </c>
      <c r="AC88" t="str">
        <f>VLOOKUP($J88,'[1]Table S6'!$A:$AI,20,FALSE)</f>
        <v>No</v>
      </c>
      <c r="AE88">
        <f>VLOOKUP($J88,'[1]Table S6'!$A:$AI,22,FALSE)</f>
        <v>310.2</v>
      </c>
      <c r="AF88">
        <f>VLOOKUP($J88,'[1]Table S6'!$A:$AI,23,FALSE)</f>
        <v>0.66014045541604605</v>
      </c>
      <c r="AG88">
        <f>VLOOKUP($J88,'[1]Table S6'!$A:$AI,24,FALSE)</f>
        <v>1.387</v>
      </c>
      <c r="AH88" t="str">
        <f>VLOOKUP($J88,'[1]Table S6'!$A:$AI,25,FALSE)</f>
        <v>Yes</v>
      </c>
      <c r="AJ88">
        <f>VLOOKUP($J88,'[1]Table S6'!$A:$AI,27,FALSE)</f>
        <v>412.1</v>
      </c>
      <c r="AK88">
        <f>VLOOKUP($J88,'[1]Table S6'!$A:$AI,28,FALSE)</f>
        <v>0.876995105341562</v>
      </c>
      <c r="AL88">
        <f>VLOOKUP($J88,'[1]Table S6'!$A:$AI,29,FALSE)</f>
        <v>135</v>
      </c>
      <c r="AM88" t="str">
        <f>VLOOKUP($J88,'[1]Table S6'!$A:$AI,30,FALSE)</f>
        <v>No</v>
      </c>
      <c r="AO88">
        <f>VLOOKUP($J88,'[1]Table S6'!$A:$AI,32,FALSE)</f>
        <v>455.1</v>
      </c>
      <c r="AP88">
        <f>VLOOKUP($J88,'[1]Table S6'!$A:$AI,33,FALSE)</f>
        <v>0.96850393700787396</v>
      </c>
      <c r="AQ88">
        <f>VLOOKUP($J88,'[1]Table S6'!$A:$AI,34,FALSE)</f>
        <v>240.9</v>
      </c>
      <c r="AR88" t="str">
        <f>VLOOKUP($J88,'[1]Table S6'!$A:$AI,35,FALSE)</f>
        <v>No</v>
      </c>
      <c r="AT88" t="str">
        <f>VLOOKUP($I88,'[2]Table S5'!$A:$K,8,FALSE)</f>
        <v>Resistant</v>
      </c>
      <c r="AU88" t="str">
        <f>VLOOKUP($I88,'[2]Table S5'!$A:$K,9,FALSE)</f>
        <v>Sensitive</v>
      </c>
      <c r="AV88" t="str">
        <f>VLOOKUP($I88,'[2]Table S5'!$A:$K,10,FALSE)</f>
        <v>Resistant</v>
      </c>
      <c r="AW88" t="str">
        <f>VLOOKUP($I88,'[2]Table S5'!$A:$K,11,FALSE)</f>
        <v>Resistant</v>
      </c>
    </row>
    <row r="89" spans="1:49">
      <c r="A89" s="12" t="s">
        <v>669</v>
      </c>
      <c r="B89" t="s">
        <v>670</v>
      </c>
      <c r="C89" t="s">
        <v>671</v>
      </c>
      <c r="D89" t="s">
        <v>17</v>
      </c>
      <c r="E89" t="s">
        <v>672</v>
      </c>
      <c r="F89" s="12" t="s">
        <v>673</v>
      </c>
      <c r="G89" t="s">
        <v>674</v>
      </c>
      <c r="H89" t="s">
        <v>675</v>
      </c>
      <c r="I89" t="s">
        <v>637</v>
      </c>
      <c r="J89" t="s">
        <v>654</v>
      </c>
      <c r="K89">
        <f>VLOOKUP($J89,'[1]Table S6'!$A:$AI,2,FALSE)</f>
        <v>301.5</v>
      </c>
      <c r="L89">
        <f>VLOOKUP($J89,'[1]Table S6'!$A:$AI,3,FALSE)</f>
        <v>0.64162587784634995</v>
      </c>
      <c r="M89">
        <f>VLOOKUP($J89,'[1]Table S6'!$A:$AI,4,FALSE)</f>
        <v>1.0029999999999999</v>
      </c>
      <c r="N89" t="str">
        <f>VLOOKUP($J89,'[1]Table S6'!$A:$AI,5,FALSE)</f>
        <v>Yes</v>
      </c>
      <c r="P89">
        <f>VLOOKUP($J89,'[1]Table S6'!$A:$AI,7,FALSE)</f>
        <v>317.3</v>
      </c>
      <c r="Q89">
        <f>VLOOKUP($J89,'[1]Table S6'!$A:$AI,8,FALSE)</f>
        <v>0.67525005320280895</v>
      </c>
      <c r="R89">
        <f>VLOOKUP($J89,'[1]Table S6'!$A:$AI,9,FALSE)</f>
        <v>2.004</v>
      </c>
      <c r="S89" t="str">
        <f>VLOOKUP($J89,'[1]Table S6'!$A:$AI,10,FALSE)</f>
        <v>Yes</v>
      </c>
      <c r="U89">
        <f>VLOOKUP($J89,'[1]Table S6'!$A:$AI,12,FALSE)</f>
        <v>350.5</v>
      </c>
      <c r="V89">
        <f>VLOOKUP($J89,'[1]Table S6'!$A:$AI,13,FALSE)</f>
        <v>0.74590338369865905</v>
      </c>
      <c r="W89">
        <f>VLOOKUP($J89,'[1]Table S6'!$A:$AI,14,FALSE)</f>
        <v>5.5090000000000003</v>
      </c>
      <c r="X89" t="str">
        <f>VLOOKUP($J89,'[1]Table S6'!$A:$AI,15,FALSE)</f>
        <v>No</v>
      </c>
      <c r="Z89">
        <f>VLOOKUP($J89,'[1]Table S6'!$A:$AI,17,FALSE)</f>
        <v>346.8</v>
      </c>
      <c r="AA89">
        <f>VLOOKUP($J89,'[1]Table S6'!$A:$AI,18,FALSE)</f>
        <v>0.73802936795062801</v>
      </c>
      <c r="AB89">
        <f>VLOOKUP($J89,'[1]Table S6'!$A:$AI,19,FALSE)</f>
        <v>4.806</v>
      </c>
      <c r="AC89" t="str">
        <f>VLOOKUP($J89,'[1]Table S6'!$A:$AI,20,FALSE)</f>
        <v>No</v>
      </c>
      <c r="AE89">
        <f>VLOOKUP($J89,'[1]Table S6'!$A:$AI,22,FALSE)</f>
        <v>350</v>
      </c>
      <c r="AF89">
        <f>VLOOKUP($J89,'[1]Table S6'!$A:$AI,23,FALSE)</f>
        <v>0.74483932751649296</v>
      </c>
      <c r="AG89">
        <f>VLOOKUP($J89,'[1]Table S6'!$A:$AI,24,FALSE)</f>
        <v>5.8979999999999997</v>
      </c>
      <c r="AH89" t="str">
        <f>VLOOKUP($J89,'[1]Table S6'!$A:$AI,25,FALSE)</f>
        <v>No</v>
      </c>
      <c r="AJ89">
        <f>VLOOKUP($J89,'[1]Table S6'!$A:$AI,27,FALSE)</f>
        <v>427.5</v>
      </c>
      <c r="AK89">
        <f>VLOOKUP($J89,'[1]Table S6'!$A:$AI,28,FALSE)</f>
        <v>0.90976803575228804</v>
      </c>
      <c r="AL89">
        <f>VLOOKUP($J89,'[1]Table S6'!$A:$AI,29,FALSE)</f>
        <v>137.6</v>
      </c>
      <c r="AM89" t="str">
        <f>VLOOKUP($J89,'[1]Table S6'!$A:$AI,30,FALSE)</f>
        <v>No</v>
      </c>
      <c r="AO89">
        <f>VLOOKUP($J89,'[1]Table S6'!$A:$AI,32,FALSE)</f>
        <v>434.5</v>
      </c>
      <c r="AP89">
        <f>VLOOKUP($J89,'[1]Table S6'!$A:$AI,33,FALSE)</f>
        <v>0.92466482230261804</v>
      </c>
      <c r="AQ89">
        <f>VLOOKUP($J89,'[1]Table S6'!$A:$AI,34,FALSE)</f>
        <v>183.1</v>
      </c>
      <c r="AR89" t="str">
        <f>VLOOKUP($J89,'[1]Table S6'!$A:$AI,35,FALSE)</f>
        <v>No</v>
      </c>
      <c r="AT89" t="str">
        <f>VLOOKUP($I89,'[2]Table S5'!$A:$K,8,FALSE)</f>
        <v>Resistant</v>
      </c>
      <c r="AU89" t="str">
        <f>VLOOKUP($I89,'[2]Table S5'!$A:$K,9,FALSE)</f>
        <v>Sensitive</v>
      </c>
      <c r="AV89" t="str">
        <f>VLOOKUP($I89,'[2]Table S5'!$A:$K,10,FALSE)</f>
        <v>Resistant</v>
      </c>
      <c r="AW89" t="str">
        <f>VLOOKUP($I89,'[2]Table S5'!$A:$K,11,FALSE)</f>
        <v>Resistant</v>
      </c>
    </row>
    <row r="90" spans="1:49">
      <c r="A90" s="12" t="s">
        <v>676</v>
      </c>
      <c r="B90" t="s">
        <v>677</v>
      </c>
      <c r="C90" t="s">
        <v>678</v>
      </c>
      <c r="D90" t="s">
        <v>17</v>
      </c>
      <c r="E90" t="s">
        <v>679</v>
      </c>
      <c r="F90" s="12" t="s">
        <v>680</v>
      </c>
      <c r="G90" t="s">
        <v>681</v>
      </c>
      <c r="H90" t="s">
        <v>682</v>
      </c>
      <c r="I90" t="s">
        <v>637</v>
      </c>
      <c r="J90" t="s">
        <v>637</v>
      </c>
      <c r="K90" t="e">
        <f>VLOOKUP($J90,'[1]Table S6'!$A:$AI,2,FALSE)</f>
        <v>#N/A</v>
      </c>
      <c r="L90" t="e">
        <f>VLOOKUP($J90,'[1]Table S6'!$A:$AI,3,FALSE)</f>
        <v>#N/A</v>
      </c>
      <c r="M90" t="e">
        <f>VLOOKUP($J90,'[1]Table S6'!$A:$AI,4,FALSE)</f>
        <v>#N/A</v>
      </c>
      <c r="N90" t="e">
        <f>VLOOKUP($J90,'[1]Table S6'!$A:$AI,5,FALSE)</f>
        <v>#N/A</v>
      </c>
      <c r="P90" t="e">
        <f>VLOOKUP($J90,'[1]Table S6'!$A:$AI,7,FALSE)</f>
        <v>#N/A</v>
      </c>
      <c r="Q90" t="e">
        <f>VLOOKUP($J90,'[1]Table S6'!$A:$AI,8,FALSE)</f>
        <v>#N/A</v>
      </c>
      <c r="R90" t="e">
        <f>VLOOKUP($J90,'[1]Table S6'!$A:$AI,9,FALSE)</f>
        <v>#N/A</v>
      </c>
      <c r="S90" t="e">
        <f>VLOOKUP($J90,'[1]Table S6'!$A:$AI,10,FALSE)</f>
        <v>#N/A</v>
      </c>
      <c r="U90" t="e">
        <f>VLOOKUP($J90,'[1]Table S6'!$A:$AI,12,FALSE)</f>
        <v>#N/A</v>
      </c>
      <c r="V90" t="e">
        <f>VLOOKUP($J90,'[1]Table S6'!$A:$AI,13,FALSE)</f>
        <v>#N/A</v>
      </c>
      <c r="W90" t="e">
        <f>VLOOKUP($J90,'[1]Table S6'!$A:$AI,14,FALSE)</f>
        <v>#N/A</v>
      </c>
      <c r="X90" t="e">
        <f>VLOOKUP($J90,'[1]Table S6'!$A:$AI,15,FALSE)</f>
        <v>#N/A</v>
      </c>
      <c r="Z90" t="e">
        <f>VLOOKUP($J90,'[1]Table S6'!$A:$AI,17,FALSE)</f>
        <v>#N/A</v>
      </c>
      <c r="AA90" t="e">
        <f>VLOOKUP($J90,'[1]Table S6'!$A:$AI,18,FALSE)</f>
        <v>#N/A</v>
      </c>
      <c r="AB90" t="e">
        <f>VLOOKUP($J90,'[1]Table S6'!$A:$AI,19,FALSE)</f>
        <v>#N/A</v>
      </c>
      <c r="AC90" t="e">
        <f>VLOOKUP($J90,'[1]Table S6'!$A:$AI,20,FALSE)</f>
        <v>#N/A</v>
      </c>
      <c r="AE90" t="e">
        <f>VLOOKUP($J90,'[1]Table S6'!$A:$AI,22,FALSE)</f>
        <v>#N/A</v>
      </c>
      <c r="AF90" t="e">
        <f>VLOOKUP($J90,'[1]Table S6'!$A:$AI,23,FALSE)</f>
        <v>#N/A</v>
      </c>
      <c r="AG90" t="e">
        <f>VLOOKUP($J90,'[1]Table S6'!$A:$AI,24,FALSE)</f>
        <v>#N/A</v>
      </c>
      <c r="AH90" t="e">
        <f>VLOOKUP($J90,'[1]Table S6'!$A:$AI,25,FALSE)</f>
        <v>#N/A</v>
      </c>
      <c r="AJ90" t="e">
        <f>VLOOKUP($J90,'[1]Table S6'!$A:$AI,27,FALSE)</f>
        <v>#N/A</v>
      </c>
      <c r="AK90" t="e">
        <f>VLOOKUP($J90,'[1]Table S6'!$A:$AI,28,FALSE)</f>
        <v>#N/A</v>
      </c>
      <c r="AL90" t="e">
        <f>VLOOKUP($J90,'[1]Table S6'!$A:$AI,29,FALSE)</f>
        <v>#N/A</v>
      </c>
      <c r="AM90" t="e">
        <f>VLOOKUP($J90,'[1]Table S6'!$A:$AI,30,FALSE)</f>
        <v>#N/A</v>
      </c>
      <c r="AO90" t="e">
        <f>VLOOKUP($J90,'[1]Table S6'!$A:$AI,32,FALSE)</f>
        <v>#N/A</v>
      </c>
      <c r="AP90" t="e">
        <f>VLOOKUP($J90,'[1]Table S6'!$A:$AI,33,FALSE)</f>
        <v>#N/A</v>
      </c>
      <c r="AQ90" t="e">
        <f>VLOOKUP($J90,'[1]Table S6'!$A:$AI,34,FALSE)</f>
        <v>#N/A</v>
      </c>
      <c r="AR90" t="e">
        <f>VLOOKUP($J90,'[1]Table S6'!$A:$AI,35,FALSE)</f>
        <v>#N/A</v>
      </c>
      <c r="AT90" t="str">
        <f>VLOOKUP($I90,'[2]Table S5'!$A:$K,8,FALSE)</f>
        <v>Resistant</v>
      </c>
      <c r="AU90" t="str">
        <f>VLOOKUP($I90,'[2]Table S5'!$A:$K,9,FALSE)</f>
        <v>Sensitive</v>
      </c>
      <c r="AV90" t="str">
        <f>VLOOKUP($I90,'[2]Table S5'!$A:$K,10,FALSE)</f>
        <v>Resistant</v>
      </c>
      <c r="AW90" t="str">
        <f>VLOOKUP($I90,'[2]Table S5'!$A:$K,11,FALSE)</f>
        <v>Resistant</v>
      </c>
    </row>
    <row r="91" spans="1:49">
      <c r="A91" s="12" t="s">
        <v>683</v>
      </c>
      <c r="B91" t="s">
        <v>684</v>
      </c>
      <c r="C91" t="s">
        <v>685</v>
      </c>
      <c r="D91" t="s">
        <v>17</v>
      </c>
      <c r="E91" t="s">
        <v>686</v>
      </c>
      <c r="F91" s="12" t="s">
        <v>687</v>
      </c>
      <c r="G91" t="s">
        <v>688</v>
      </c>
      <c r="H91" t="s">
        <v>689</v>
      </c>
      <c r="I91" t="s">
        <v>690</v>
      </c>
      <c r="J91" t="s">
        <v>691</v>
      </c>
      <c r="K91">
        <f>VLOOKUP($J91,'[1]Table S6'!$A:$AI,2,FALSE)</f>
        <v>354.3</v>
      </c>
      <c r="L91">
        <f>VLOOKUP($J91,'[1]Table S6'!$A:$AI,3,FALSE)</f>
        <v>0.753990210683124</v>
      </c>
      <c r="M91">
        <f>VLOOKUP($J91,'[1]Table S6'!$A:$AI,4,FALSE)</f>
        <v>5.1449999999999996</v>
      </c>
      <c r="N91" t="str">
        <f>VLOOKUP($J91,'[1]Table S6'!$A:$AI,5,FALSE)</f>
        <v>No</v>
      </c>
      <c r="P91">
        <f>VLOOKUP($J91,'[1]Table S6'!$A:$AI,7,FALSE)</f>
        <v>388.2</v>
      </c>
      <c r="Q91">
        <f>VLOOKUP($J91,'[1]Table S6'!$A:$AI,8,FALSE)</f>
        <v>0.826133219834007</v>
      </c>
      <c r="R91">
        <f>VLOOKUP($J91,'[1]Table S6'!$A:$AI,9,FALSE)</f>
        <v>19.760000000000002</v>
      </c>
      <c r="S91" t="str">
        <f>VLOOKUP($J91,'[1]Table S6'!$A:$AI,10,FALSE)</f>
        <v>No</v>
      </c>
      <c r="U91">
        <f>VLOOKUP($J91,'[1]Table S6'!$A:$AI,12,FALSE)</f>
        <v>367.7</v>
      </c>
      <c r="V91">
        <f>VLOOKUP($J91,'[1]Table S6'!$A:$AI,13,FALSE)</f>
        <v>0.78250691636518399</v>
      </c>
      <c r="W91">
        <f>VLOOKUP($J91,'[1]Table S6'!$A:$AI,14,FALSE)</f>
        <v>8.6910000000000007</v>
      </c>
      <c r="X91" t="str">
        <f>VLOOKUP($J91,'[1]Table S6'!$A:$AI,15,FALSE)</f>
        <v>No</v>
      </c>
      <c r="Z91">
        <f>VLOOKUP($J91,'[1]Table S6'!$A:$AI,17,FALSE)</f>
        <v>381.3</v>
      </c>
      <c r="AA91">
        <f>VLOOKUP($J91,'[1]Table S6'!$A:$AI,18,FALSE)</f>
        <v>0.81144924452011102</v>
      </c>
      <c r="AB91">
        <f>VLOOKUP($J91,'[1]Table S6'!$A:$AI,19,FALSE)</f>
        <v>13.22</v>
      </c>
      <c r="AC91" t="str">
        <f>VLOOKUP($J91,'[1]Table S6'!$A:$AI,20,FALSE)</f>
        <v>No</v>
      </c>
      <c r="AE91">
        <f>VLOOKUP($J91,'[1]Table S6'!$A:$AI,22,FALSE)</f>
        <v>337.6</v>
      </c>
      <c r="AF91">
        <f>VLOOKUP($J91,'[1]Table S6'!$A:$AI,23,FALSE)</f>
        <v>0.71845073419876604</v>
      </c>
      <c r="AG91">
        <f>VLOOKUP($J91,'[1]Table S6'!$A:$AI,24,FALSE)</f>
        <v>3.58</v>
      </c>
      <c r="AH91" t="str">
        <f>VLOOKUP($J91,'[1]Table S6'!$A:$AI,25,FALSE)</f>
        <v>No</v>
      </c>
      <c r="AJ91">
        <f>VLOOKUP($J91,'[1]Table S6'!$A:$AI,27,FALSE)</f>
        <v>447.5</v>
      </c>
      <c r="AK91">
        <f>VLOOKUP($J91,'[1]Table S6'!$A:$AI,28,FALSE)</f>
        <v>0.95233028303894496</v>
      </c>
      <c r="AL91">
        <f>VLOOKUP($J91,'[1]Table S6'!$A:$AI,29,FALSE)</f>
        <v>212.9</v>
      </c>
      <c r="AM91" t="str">
        <f>VLOOKUP($J91,'[1]Table S6'!$A:$AI,30,FALSE)</f>
        <v>No</v>
      </c>
      <c r="AO91">
        <f>VLOOKUP($J91,'[1]Table S6'!$A:$AI,32,FALSE)</f>
        <v>444.3</v>
      </c>
      <c r="AP91">
        <f>VLOOKUP($J91,'[1]Table S6'!$A:$AI,33,FALSE)</f>
        <v>0.94552032347307902</v>
      </c>
      <c r="AQ91">
        <f>VLOOKUP($J91,'[1]Table S6'!$A:$AI,34,FALSE)</f>
        <v>128</v>
      </c>
      <c r="AR91" t="str">
        <f>VLOOKUP($J91,'[1]Table S6'!$A:$AI,35,FALSE)</f>
        <v>No</v>
      </c>
      <c r="AT91" t="str">
        <f>VLOOKUP($I91,'[2]Table S5'!$A:$K,8,FALSE)</f>
        <v>Resistant</v>
      </c>
      <c r="AU91" t="str">
        <f>VLOOKUP($I91,'[2]Table S5'!$A:$K,9,FALSE)</f>
        <v>Resistant</v>
      </c>
      <c r="AV91" t="str">
        <f>VLOOKUP($I91,'[2]Table S5'!$A:$K,10,FALSE)</f>
        <v>Resistant</v>
      </c>
      <c r="AW91" t="str">
        <f>VLOOKUP($I91,'[2]Table S5'!$A:$K,11,FALSE)</f>
        <v>Resistant</v>
      </c>
    </row>
    <row r="92" spans="1:49">
      <c r="A92" s="12" t="s">
        <v>692</v>
      </c>
      <c r="B92" t="s">
        <v>693</v>
      </c>
      <c r="C92" t="s">
        <v>694</v>
      </c>
      <c r="D92" t="s">
        <v>17</v>
      </c>
      <c r="E92" t="s">
        <v>695</v>
      </c>
      <c r="F92" s="12" t="s">
        <v>696</v>
      </c>
      <c r="G92" t="s">
        <v>697</v>
      </c>
      <c r="H92" t="s">
        <v>698</v>
      </c>
      <c r="I92" t="s">
        <v>690</v>
      </c>
      <c r="J92" t="s">
        <v>699</v>
      </c>
      <c r="K92">
        <f>VLOOKUP($J92,'[1]Table S6'!$A:$AI,2,FALSE)</f>
        <v>373.7</v>
      </c>
      <c r="L92">
        <f>VLOOKUP($J92,'[1]Table S6'!$A:$AI,3,FALSE)</f>
        <v>0.79527559055118102</v>
      </c>
      <c r="M92">
        <f>VLOOKUP($J92,'[1]Table S6'!$A:$AI,4,FALSE)</f>
        <v>9.016</v>
      </c>
      <c r="N92" t="str">
        <f>VLOOKUP($J92,'[1]Table S6'!$A:$AI,5,FALSE)</f>
        <v>No</v>
      </c>
      <c r="P92">
        <f>VLOOKUP($J92,'[1]Table S6'!$A:$AI,7,FALSE)</f>
        <v>388.9</v>
      </c>
      <c r="Q92">
        <f>VLOOKUP($J92,'[1]Table S6'!$A:$AI,8,FALSE)</f>
        <v>0.82762289848904003</v>
      </c>
      <c r="R92">
        <f>VLOOKUP($J92,'[1]Table S6'!$A:$AI,9,FALSE)</f>
        <v>18.649999999999999</v>
      </c>
      <c r="S92" t="str">
        <f>VLOOKUP($J92,'[1]Table S6'!$A:$AI,10,FALSE)</f>
        <v>No</v>
      </c>
      <c r="U92">
        <f>VLOOKUP($J92,'[1]Table S6'!$A:$AI,12,FALSE)</f>
        <v>354.4</v>
      </c>
      <c r="V92">
        <f>VLOOKUP($J92,'[1]Table S6'!$A:$AI,13,FALSE)</f>
        <v>0.75420302191955702</v>
      </c>
      <c r="W92">
        <f>VLOOKUP($J92,'[1]Table S6'!$A:$AI,14,FALSE)</f>
        <v>4.5129999999999999</v>
      </c>
      <c r="X92" t="str">
        <f>VLOOKUP($J92,'[1]Table S6'!$A:$AI,15,FALSE)</f>
        <v>No</v>
      </c>
      <c r="Z92">
        <f>VLOOKUP($J92,'[1]Table S6'!$A:$AI,17,FALSE)</f>
        <v>344</v>
      </c>
      <c r="AA92">
        <f>VLOOKUP($J92,'[1]Table S6'!$A:$AI,18,FALSE)</f>
        <v>0.73207065333049604</v>
      </c>
      <c r="AB92">
        <f>VLOOKUP($J92,'[1]Table S6'!$A:$AI,19,FALSE)</f>
        <v>3.6219999999999999</v>
      </c>
      <c r="AC92" t="str">
        <f>VLOOKUP($J92,'[1]Table S6'!$A:$AI,20,FALSE)</f>
        <v>No</v>
      </c>
      <c r="AE92">
        <f>VLOOKUP($J92,'[1]Table S6'!$A:$AI,22,FALSE)</f>
        <v>330</v>
      </c>
      <c r="AF92">
        <f>VLOOKUP($J92,'[1]Table S6'!$A:$AI,23,FALSE)</f>
        <v>0.70227708022983604</v>
      </c>
      <c r="AG92">
        <f>VLOOKUP($J92,'[1]Table S6'!$A:$AI,24,FALSE)</f>
        <v>2.4089999999999998</v>
      </c>
      <c r="AH92" t="str">
        <f>VLOOKUP($J92,'[1]Table S6'!$A:$AI,25,FALSE)</f>
        <v>No</v>
      </c>
      <c r="AJ92">
        <f>VLOOKUP($J92,'[1]Table S6'!$A:$AI,27,FALSE)</f>
        <v>454.7</v>
      </c>
      <c r="AK92">
        <f>VLOOKUP($J92,'[1]Table S6'!$A:$AI,28,FALSE)</f>
        <v>0.967652692062141</v>
      </c>
      <c r="AL92">
        <f>VLOOKUP($J92,'[1]Table S6'!$A:$AI,29,FALSE)</f>
        <v>239.2</v>
      </c>
      <c r="AM92" t="str">
        <f>VLOOKUP($J92,'[1]Table S6'!$A:$AI,30,FALSE)</f>
        <v>No</v>
      </c>
      <c r="AO92">
        <f>VLOOKUP($J92,'[1]Table S6'!$A:$AI,32,FALSE)</f>
        <v>434.5</v>
      </c>
      <c r="AP92">
        <f>VLOOKUP($J92,'[1]Table S6'!$A:$AI,33,FALSE)</f>
        <v>0.92466482230261804</v>
      </c>
      <c r="AQ92">
        <f>VLOOKUP($J92,'[1]Table S6'!$A:$AI,34,FALSE)</f>
        <v>128.19999999999999</v>
      </c>
      <c r="AR92" t="str">
        <f>VLOOKUP($J92,'[1]Table S6'!$A:$AI,35,FALSE)</f>
        <v>No</v>
      </c>
      <c r="AT92" t="str">
        <f>VLOOKUP($I92,'[2]Table S5'!$A:$K,8,FALSE)</f>
        <v>Resistant</v>
      </c>
      <c r="AU92" t="str">
        <f>VLOOKUP($I92,'[2]Table S5'!$A:$K,9,FALSE)</f>
        <v>Resistant</v>
      </c>
      <c r="AV92" t="str">
        <f>VLOOKUP($I92,'[2]Table S5'!$A:$K,10,FALSE)</f>
        <v>Resistant</v>
      </c>
      <c r="AW92" t="str">
        <f>VLOOKUP($I92,'[2]Table S5'!$A:$K,11,FALSE)</f>
        <v>Resistant</v>
      </c>
    </row>
    <row r="93" spans="1:49">
      <c r="A93" s="12" t="s">
        <v>700</v>
      </c>
      <c r="B93" t="s">
        <v>701</v>
      </c>
      <c r="C93" t="s">
        <v>702</v>
      </c>
      <c r="D93" t="s">
        <v>17</v>
      </c>
      <c r="E93" t="s">
        <v>703</v>
      </c>
      <c r="F93" s="12" t="s">
        <v>704</v>
      </c>
      <c r="G93" t="s">
        <v>705</v>
      </c>
      <c r="H93" t="s">
        <v>706</v>
      </c>
      <c r="I93" t="s">
        <v>690</v>
      </c>
      <c r="J93" t="s">
        <v>707</v>
      </c>
      <c r="K93">
        <f>VLOOKUP($J93,'[1]Table S6'!$A:$AI,2,FALSE)</f>
        <v>282.3</v>
      </c>
      <c r="L93">
        <f>VLOOKUP($J93,'[1]Table S6'!$A:$AI,3,FALSE)</f>
        <v>0.60076612045115996</v>
      </c>
      <c r="M93">
        <f>VLOOKUP($J93,'[1]Table S6'!$A:$AI,4,FALSE)</f>
        <v>0.92430000000000001</v>
      </c>
      <c r="N93" t="str">
        <f>VLOOKUP($J93,'[1]Table S6'!$A:$AI,5,FALSE)</f>
        <v>Yes</v>
      </c>
      <c r="P93">
        <f>VLOOKUP($J93,'[1]Table S6'!$A:$AI,7,FALSE)</f>
        <v>392.4</v>
      </c>
      <c r="Q93">
        <f>VLOOKUP($J93,'[1]Table S6'!$A:$AI,8,FALSE)</f>
        <v>0.83507129176420503</v>
      </c>
      <c r="R93">
        <f>VLOOKUP($J93,'[1]Table S6'!$A:$AI,9,FALSE)</f>
        <v>19.53</v>
      </c>
      <c r="S93" t="str">
        <f>VLOOKUP($J93,'[1]Table S6'!$A:$AI,10,FALSE)</f>
        <v>No</v>
      </c>
      <c r="U93">
        <f>VLOOKUP($J93,'[1]Table S6'!$A:$AI,12,FALSE)</f>
        <v>303.89999999999998</v>
      </c>
      <c r="V93">
        <f>VLOOKUP($J93,'[1]Table S6'!$A:$AI,13,FALSE)</f>
        <v>0.64673334752074896</v>
      </c>
      <c r="W93">
        <f>VLOOKUP($J93,'[1]Table S6'!$A:$AI,14,FALSE)</f>
        <v>1.4650000000000001</v>
      </c>
      <c r="X93" t="str">
        <f>VLOOKUP($J93,'[1]Table S6'!$A:$AI,15,FALSE)</f>
        <v>Yes</v>
      </c>
      <c r="Z93">
        <f>VLOOKUP($J93,'[1]Table S6'!$A:$AI,17,FALSE)</f>
        <v>306.89999999999998</v>
      </c>
      <c r="AA93">
        <f>VLOOKUP($J93,'[1]Table S6'!$A:$AI,18,FALSE)</f>
        <v>0.65311768461374797</v>
      </c>
      <c r="AB93">
        <f>VLOOKUP($J93,'[1]Table S6'!$A:$AI,19,FALSE)</f>
        <v>1.405</v>
      </c>
      <c r="AC93" t="str">
        <f>VLOOKUP($J93,'[1]Table S6'!$A:$AI,20,FALSE)</f>
        <v>Yes</v>
      </c>
      <c r="AE93">
        <f>VLOOKUP($J93,'[1]Table S6'!$A:$AI,22,FALSE)</f>
        <v>384.1</v>
      </c>
      <c r="AF93">
        <f>VLOOKUP($J93,'[1]Table S6'!$A:$AI,23,FALSE)</f>
        <v>0.817407959140243</v>
      </c>
      <c r="AG93">
        <f>VLOOKUP($J93,'[1]Table S6'!$A:$AI,24,FALSE)</f>
        <v>14.57</v>
      </c>
      <c r="AH93" t="str">
        <f>VLOOKUP($J93,'[1]Table S6'!$A:$AI,25,FALSE)</f>
        <v>No</v>
      </c>
      <c r="AJ93">
        <f>VLOOKUP($J93,'[1]Table S6'!$A:$AI,27,FALSE)</f>
        <v>405.4</v>
      </c>
      <c r="AK93">
        <f>VLOOKUP($J93,'[1]Table S6'!$A:$AI,28,FALSE)</f>
        <v>0.86273675250053194</v>
      </c>
      <c r="AL93">
        <f>VLOOKUP($J93,'[1]Table S6'!$A:$AI,29,FALSE)</f>
        <v>43.37</v>
      </c>
      <c r="AM93" t="str">
        <f>VLOOKUP($J93,'[1]Table S6'!$A:$AI,30,FALSE)</f>
        <v>No</v>
      </c>
      <c r="AO93">
        <f>VLOOKUP($J93,'[1]Table S6'!$A:$AI,32,FALSE)</f>
        <v>430.1</v>
      </c>
      <c r="AP93">
        <f>VLOOKUP($J93,'[1]Table S6'!$A:$AI,33,FALSE)</f>
        <v>0.91530112789955298</v>
      </c>
      <c r="AQ93">
        <f>VLOOKUP($J93,'[1]Table S6'!$A:$AI,34,FALSE)</f>
        <v>63.65</v>
      </c>
      <c r="AR93" t="str">
        <f>VLOOKUP($J93,'[1]Table S6'!$A:$AI,35,FALSE)</f>
        <v>No</v>
      </c>
      <c r="AT93" t="str">
        <f>VLOOKUP($I93,'[2]Table S5'!$A:$K,8,FALSE)</f>
        <v>Resistant</v>
      </c>
      <c r="AU93" t="str">
        <f>VLOOKUP($I93,'[2]Table S5'!$A:$K,9,FALSE)</f>
        <v>Resistant</v>
      </c>
      <c r="AV93" t="str">
        <f>VLOOKUP($I93,'[2]Table S5'!$A:$K,10,FALSE)</f>
        <v>Resistant</v>
      </c>
      <c r="AW93" t="str">
        <f>VLOOKUP($I93,'[2]Table S5'!$A:$K,11,FALSE)</f>
        <v>Resistant</v>
      </c>
    </row>
    <row r="94" spans="1:49">
      <c r="A94" s="12" t="s">
        <v>708</v>
      </c>
      <c r="B94" t="s">
        <v>709</v>
      </c>
      <c r="C94" t="s">
        <v>710</v>
      </c>
      <c r="D94" t="s">
        <v>17</v>
      </c>
      <c r="E94" t="s">
        <v>711</v>
      </c>
      <c r="F94" s="12" t="s">
        <v>712</v>
      </c>
      <c r="G94" t="s">
        <v>713</v>
      </c>
      <c r="H94" t="s">
        <v>714</v>
      </c>
      <c r="I94" t="s">
        <v>690</v>
      </c>
      <c r="J94" t="s">
        <v>715</v>
      </c>
      <c r="K94">
        <f>VLOOKUP($J94,'[1]Table S6'!$A:$AI,2,FALSE)</f>
        <v>295.3</v>
      </c>
      <c r="L94">
        <f>VLOOKUP($J94,'[1]Table S6'!$A:$AI,3,FALSE)</f>
        <v>0.62843158118748699</v>
      </c>
      <c r="M94">
        <f>VLOOKUP($J94,'[1]Table S6'!$A:$AI,4,FALSE)</f>
        <v>1.177</v>
      </c>
      <c r="N94" t="str">
        <f>VLOOKUP($J94,'[1]Table S6'!$A:$AI,5,FALSE)</f>
        <v>Yes</v>
      </c>
      <c r="P94">
        <f>VLOOKUP($J94,'[1]Table S6'!$A:$AI,7,FALSE)</f>
        <v>303.7</v>
      </c>
      <c r="Q94">
        <f>VLOOKUP($J94,'[1]Table S6'!$A:$AI,8,FALSE)</f>
        <v>0.64630772504788303</v>
      </c>
      <c r="R94">
        <f>VLOOKUP($J94,'[1]Table S6'!$A:$AI,9,FALSE)</f>
        <v>1.5740000000000001</v>
      </c>
      <c r="S94" t="str">
        <f>VLOOKUP($J94,'[1]Table S6'!$A:$AI,10,FALSE)</f>
        <v>Yes</v>
      </c>
      <c r="U94">
        <f>VLOOKUP($J94,'[1]Table S6'!$A:$AI,12,FALSE)</f>
        <v>277.89999999999998</v>
      </c>
      <c r="V94">
        <f>VLOOKUP($J94,'[1]Table S6'!$A:$AI,13,FALSE)</f>
        <v>0.59140242604809501</v>
      </c>
      <c r="W94">
        <f>VLOOKUP($J94,'[1]Table S6'!$A:$AI,14,FALSE)</f>
        <v>0.89290000000000003</v>
      </c>
      <c r="X94" t="str">
        <f>VLOOKUP($J94,'[1]Table S6'!$A:$AI,15,FALSE)</f>
        <v>Yes</v>
      </c>
      <c r="Z94">
        <f>VLOOKUP($J94,'[1]Table S6'!$A:$AI,17,FALSE)</f>
        <v>302.10000000000002</v>
      </c>
      <c r="AA94">
        <f>VLOOKUP($J94,'[1]Table S6'!$A:$AI,18,FALSE)</f>
        <v>0.64290274526494995</v>
      </c>
      <c r="AB94">
        <f>VLOOKUP($J94,'[1]Table S6'!$A:$AI,19,FALSE)</f>
        <v>1.5640000000000001</v>
      </c>
      <c r="AC94" t="str">
        <f>VLOOKUP($J94,'[1]Table S6'!$A:$AI,20,FALSE)</f>
        <v>Yes</v>
      </c>
      <c r="AE94">
        <f>VLOOKUP($J94,'[1]Table S6'!$A:$AI,22,FALSE)</f>
        <v>311.8</v>
      </c>
      <c r="AF94">
        <f>VLOOKUP($J94,'[1]Table S6'!$A:$AI,23,FALSE)</f>
        <v>0.66354543519897902</v>
      </c>
      <c r="AG94">
        <f>VLOOKUP($J94,'[1]Table S6'!$A:$AI,24,FALSE)</f>
        <v>2.1760000000000002</v>
      </c>
      <c r="AH94" t="str">
        <f>VLOOKUP($J94,'[1]Table S6'!$A:$AI,25,FALSE)</f>
        <v>Yes</v>
      </c>
      <c r="AJ94">
        <f>VLOOKUP($J94,'[1]Table S6'!$A:$AI,27,FALSE)</f>
        <v>369.1</v>
      </c>
      <c r="AK94">
        <f>VLOOKUP($J94,'[1]Table S6'!$A:$AI,28,FALSE)</f>
        <v>0.78548627367525004</v>
      </c>
      <c r="AL94">
        <f>VLOOKUP($J94,'[1]Table S6'!$A:$AI,29,FALSE)</f>
        <v>18.829999999999998</v>
      </c>
      <c r="AM94" t="str">
        <f>VLOOKUP($J94,'[1]Table S6'!$A:$AI,30,FALSE)</f>
        <v>No</v>
      </c>
      <c r="AO94">
        <f>VLOOKUP($J94,'[1]Table S6'!$A:$AI,32,FALSE)</f>
        <v>426</v>
      </c>
      <c r="AP94">
        <f>VLOOKUP($J94,'[1]Table S6'!$A:$AI,33,FALSE)</f>
        <v>0.90657586720578898</v>
      </c>
      <c r="AQ94">
        <f>VLOOKUP($J94,'[1]Table S6'!$A:$AI,34,FALSE)</f>
        <v>72.63</v>
      </c>
      <c r="AR94" t="str">
        <f>VLOOKUP($J94,'[1]Table S6'!$A:$AI,35,FALSE)</f>
        <v>No</v>
      </c>
      <c r="AT94" t="str">
        <f>VLOOKUP($I94,'[2]Table S5'!$A:$K,8,FALSE)</f>
        <v>Resistant</v>
      </c>
      <c r="AU94" t="str">
        <f>VLOOKUP($I94,'[2]Table S5'!$A:$K,9,FALSE)</f>
        <v>Resistant</v>
      </c>
      <c r="AV94" t="str">
        <f>VLOOKUP($I94,'[2]Table S5'!$A:$K,10,FALSE)</f>
        <v>Resistant</v>
      </c>
      <c r="AW94" t="str">
        <f>VLOOKUP($I94,'[2]Table S5'!$A:$K,11,FALSE)</f>
        <v>Resistant</v>
      </c>
    </row>
    <row r="95" spans="1:49">
      <c r="A95" s="12" t="s">
        <v>716</v>
      </c>
      <c r="B95" t="s">
        <v>717</v>
      </c>
      <c r="C95" t="s">
        <v>718</v>
      </c>
      <c r="D95" t="s">
        <v>17</v>
      </c>
      <c r="E95" t="s">
        <v>719</v>
      </c>
      <c r="F95" s="12" t="s">
        <v>720</v>
      </c>
      <c r="G95" t="s">
        <v>721</v>
      </c>
      <c r="H95" t="s">
        <v>722</v>
      </c>
      <c r="I95" t="s">
        <v>690</v>
      </c>
      <c r="J95" t="s">
        <v>691</v>
      </c>
      <c r="K95">
        <f>VLOOKUP($J95,'[1]Table S6'!$A:$AI,2,FALSE)</f>
        <v>354.3</v>
      </c>
      <c r="L95">
        <f>VLOOKUP($J95,'[1]Table S6'!$A:$AI,3,FALSE)</f>
        <v>0.753990210683124</v>
      </c>
      <c r="M95">
        <f>VLOOKUP($J95,'[1]Table S6'!$A:$AI,4,FALSE)</f>
        <v>5.1449999999999996</v>
      </c>
      <c r="N95" t="str">
        <f>VLOOKUP($J95,'[1]Table S6'!$A:$AI,5,FALSE)</f>
        <v>No</v>
      </c>
      <c r="P95">
        <f>VLOOKUP($J95,'[1]Table S6'!$A:$AI,7,FALSE)</f>
        <v>388.2</v>
      </c>
      <c r="Q95">
        <f>VLOOKUP($J95,'[1]Table S6'!$A:$AI,8,FALSE)</f>
        <v>0.826133219834007</v>
      </c>
      <c r="R95">
        <f>VLOOKUP($J95,'[1]Table S6'!$A:$AI,9,FALSE)</f>
        <v>19.760000000000002</v>
      </c>
      <c r="S95" t="str">
        <f>VLOOKUP($J95,'[1]Table S6'!$A:$AI,10,FALSE)</f>
        <v>No</v>
      </c>
      <c r="U95">
        <f>VLOOKUP($J95,'[1]Table S6'!$A:$AI,12,FALSE)</f>
        <v>367.7</v>
      </c>
      <c r="V95">
        <f>VLOOKUP($J95,'[1]Table S6'!$A:$AI,13,FALSE)</f>
        <v>0.78250691636518399</v>
      </c>
      <c r="W95">
        <f>VLOOKUP($J95,'[1]Table S6'!$A:$AI,14,FALSE)</f>
        <v>8.6910000000000007</v>
      </c>
      <c r="X95" t="str">
        <f>VLOOKUP($J95,'[1]Table S6'!$A:$AI,15,FALSE)</f>
        <v>No</v>
      </c>
      <c r="Z95">
        <f>VLOOKUP($J95,'[1]Table S6'!$A:$AI,17,FALSE)</f>
        <v>381.3</v>
      </c>
      <c r="AA95">
        <f>VLOOKUP($J95,'[1]Table S6'!$A:$AI,18,FALSE)</f>
        <v>0.81144924452011102</v>
      </c>
      <c r="AB95">
        <f>VLOOKUP($J95,'[1]Table S6'!$A:$AI,19,FALSE)</f>
        <v>13.22</v>
      </c>
      <c r="AC95" t="str">
        <f>VLOOKUP($J95,'[1]Table S6'!$A:$AI,20,FALSE)</f>
        <v>No</v>
      </c>
      <c r="AE95">
        <f>VLOOKUP($J95,'[1]Table S6'!$A:$AI,22,FALSE)</f>
        <v>337.6</v>
      </c>
      <c r="AF95">
        <f>VLOOKUP($J95,'[1]Table S6'!$A:$AI,23,FALSE)</f>
        <v>0.71845073419876604</v>
      </c>
      <c r="AG95">
        <f>VLOOKUP($J95,'[1]Table S6'!$A:$AI,24,FALSE)</f>
        <v>3.58</v>
      </c>
      <c r="AH95" t="str">
        <f>VLOOKUP($J95,'[1]Table S6'!$A:$AI,25,FALSE)</f>
        <v>No</v>
      </c>
      <c r="AJ95">
        <f>VLOOKUP($J95,'[1]Table S6'!$A:$AI,27,FALSE)</f>
        <v>447.5</v>
      </c>
      <c r="AK95">
        <f>VLOOKUP($J95,'[1]Table S6'!$A:$AI,28,FALSE)</f>
        <v>0.95233028303894496</v>
      </c>
      <c r="AL95">
        <f>VLOOKUP($J95,'[1]Table S6'!$A:$AI,29,FALSE)</f>
        <v>212.9</v>
      </c>
      <c r="AM95" t="str">
        <f>VLOOKUP($J95,'[1]Table S6'!$A:$AI,30,FALSE)</f>
        <v>No</v>
      </c>
      <c r="AO95">
        <f>VLOOKUP($J95,'[1]Table S6'!$A:$AI,32,FALSE)</f>
        <v>444.3</v>
      </c>
      <c r="AP95">
        <f>VLOOKUP($J95,'[1]Table S6'!$A:$AI,33,FALSE)</f>
        <v>0.94552032347307902</v>
      </c>
      <c r="AQ95">
        <f>VLOOKUP($J95,'[1]Table S6'!$A:$AI,34,FALSE)</f>
        <v>128</v>
      </c>
      <c r="AR95" t="str">
        <f>VLOOKUP($J95,'[1]Table S6'!$A:$AI,35,FALSE)</f>
        <v>No</v>
      </c>
      <c r="AT95" t="str">
        <f>VLOOKUP($I95,'[2]Table S5'!$A:$K,8,FALSE)</f>
        <v>Resistant</v>
      </c>
      <c r="AU95" t="str">
        <f>VLOOKUP($I95,'[2]Table S5'!$A:$K,9,FALSE)</f>
        <v>Resistant</v>
      </c>
      <c r="AV95" t="str">
        <f>VLOOKUP($I95,'[2]Table S5'!$A:$K,10,FALSE)</f>
        <v>Resistant</v>
      </c>
      <c r="AW95" t="str">
        <f>VLOOKUP($I95,'[2]Table S5'!$A:$K,11,FALSE)</f>
        <v>Resistant</v>
      </c>
    </row>
    <row r="96" spans="1:49">
      <c r="A96" s="12" t="s">
        <v>723</v>
      </c>
      <c r="B96" t="s">
        <v>724</v>
      </c>
      <c r="C96" t="s">
        <v>725</v>
      </c>
      <c r="D96" t="s">
        <v>17</v>
      </c>
      <c r="E96" t="s">
        <v>726</v>
      </c>
      <c r="F96" s="12" t="s">
        <v>727</v>
      </c>
      <c r="G96" t="s">
        <v>728</v>
      </c>
      <c r="H96" t="s">
        <v>729</v>
      </c>
      <c r="I96" t="s">
        <v>690</v>
      </c>
      <c r="J96" t="s">
        <v>699</v>
      </c>
      <c r="K96">
        <f>VLOOKUP($J96,'[1]Table S6'!$A:$AI,2,FALSE)</f>
        <v>373.7</v>
      </c>
      <c r="L96">
        <f>VLOOKUP($J96,'[1]Table S6'!$A:$AI,3,FALSE)</f>
        <v>0.79527559055118102</v>
      </c>
      <c r="M96">
        <f>VLOOKUP($J96,'[1]Table S6'!$A:$AI,4,FALSE)</f>
        <v>9.016</v>
      </c>
      <c r="N96" t="str">
        <f>VLOOKUP($J96,'[1]Table S6'!$A:$AI,5,FALSE)</f>
        <v>No</v>
      </c>
      <c r="P96">
        <f>VLOOKUP($J96,'[1]Table S6'!$A:$AI,7,FALSE)</f>
        <v>388.9</v>
      </c>
      <c r="Q96">
        <f>VLOOKUP($J96,'[1]Table S6'!$A:$AI,8,FALSE)</f>
        <v>0.82762289848904003</v>
      </c>
      <c r="R96">
        <f>VLOOKUP($J96,'[1]Table S6'!$A:$AI,9,FALSE)</f>
        <v>18.649999999999999</v>
      </c>
      <c r="S96" t="str">
        <f>VLOOKUP($J96,'[1]Table S6'!$A:$AI,10,FALSE)</f>
        <v>No</v>
      </c>
      <c r="U96">
        <f>VLOOKUP($J96,'[1]Table S6'!$A:$AI,12,FALSE)</f>
        <v>354.4</v>
      </c>
      <c r="V96">
        <f>VLOOKUP($J96,'[1]Table S6'!$A:$AI,13,FALSE)</f>
        <v>0.75420302191955702</v>
      </c>
      <c r="W96">
        <f>VLOOKUP($J96,'[1]Table S6'!$A:$AI,14,FALSE)</f>
        <v>4.5129999999999999</v>
      </c>
      <c r="X96" t="str">
        <f>VLOOKUP($J96,'[1]Table S6'!$A:$AI,15,FALSE)</f>
        <v>No</v>
      </c>
      <c r="Z96">
        <f>VLOOKUP($J96,'[1]Table S6'!$A:$AI,17,FALSE)</f>
        <v>344</v>
      </c>
      <c r="AA96">
        <f>VLOOKUP($J96,'[1]Table S6'!$A:$AI,18,FALSE)</f>
        <v>0.73207065333049604</v>
      </c>
      <c r="AB96">
        <f>VLOOKUP($J96,'[1]Table S6'!$A:$AI,19,FALSE)</f>
        <v>3.6219999999999999</v>
      </c>
      <c r="AC96" t="str">
        <f>VLOOKUP($J96,'[1]Table S6'!$A:$AI,20,FALSE)</f>
        <v>No</v>
      </c>
      <c r="AE96">
        <f>VLOOKUP($J96,'[1]Table S6'!$A:$AI,22,FALSE)</f>
        <v>330</v>
      </c>
      <c r="AF96">
        <f>VLOOKUP($J96,'[1]Table S6'!$A:$AI,23,FALSE)</f>
        <v>0.70227708022983604</v>
      </c>
      <c r="AG96">
        <f>VLOOKUP($J96,'[1]Table S6'!$A:$AI,24,FALSE)</f>
        <v>2.4089999999999998</v>
      </c>
      <c r="AH96" t="str">
        <f>VLOOKUP($J96,'[1]Table S6'!$A:$AI,25,FALSE)</f>
        <v>No</v>
      </c>
      <c r="AJ96">
        <f>VLOOKUP($J96,'[1]Table S6'!$A:$AI,27,FALSE)</f>
        <v>454.7</v>
      </c>
      <c r="AK96">
        <f>VLOOKUP($J96,'[1]Table S6'!$A:$AI,28,FALSE)</f>
        <v>0.967652692062141</v>
      </c>
      <c r="AL96">
        <f>VLOOKUP($J96,'[1]Table S6'!$A:$AI,29,FALSE)</f>
        <v>239.2</v>
      </c>
      <c r="AM96" t="str">
        <f>VLOOKUP($J96,'[1]Table S6'!$A:$AI,30,FALSE)</f>
        <v>No</v>
      </c>
      <c r="AO96">
        <f>VLOOKUP($J96,'[1]Table S6'!$A:$AI,32,FALSE)</f>
        <v>434.5</v>
      </c>
      <c r="AP96">
        <f>VLOOKUP($J96,'[1]Table S6'!$A:$AI,33,FALSE)</f>
        <v>0.92466482230261804</v>
      </c>
      <c r="AQ96">
        <f>VLOOKUP($J96,'[1]Table S6'!$A:$AI,34,FALSE)</f>
        <v>128.19999999999999</v>
      </c>
      <c r="AR96" t="str">
        <f>VLOOKUP($J96,'[1]Table S6'!$A:$AI,35,FALSE)</f>
        <v>No</v>
      </c>
      <c r="AT96" t="str">
        <f>VLOOKUP($I96,'[2]Table S5'!$A:$K,8,FALSE)</f>
        <v>Resistant</v>
      </c>
      <c r="AU96" t="str">
        <f>VLOOKUP($I96,'[2]Table S5'!$A:$K,9,FALSE)</f>
        <v>Resistant</v>
      </c>
      <c r="AV96" t="str">
        <f>VLOOKUP($I96,'[2]Table S5'!$A:$K,10,FALSE)</f>
        <v>Resistant</v>
      </c>
      <c r="AW96" t="str">
        <f>VLOOKUP($I96,'[2]Table S5'!$A:$K,11,FALSE)</f>
        <v>Resistant</v>
      </c>
    </row>
    <row r="97" spans="1:49">
      <c r="A97" s="12" t="s">
        <v>730</v>
      </c>
      <c r="B97" t="s">
        <v>731</v>
      </c>
      <c r="C97" t="s">
        <v>732</v>
      </c>
      <c r="D97" t="s">
        <v>17</v>
      </c>
      <c r="E97" t="s">
        <v>733</v>
      </c>
      <c r="F97" s="12" t="s">
        <v>734</v>
      </c>
      <c r="G97" t="s">
        <v>735</v>
      </c>
      <c r="H97" t="s">
        <v>736</v>
      </c>
      <c r="I97" t="s">
        <v>690</v>
      </c>
      <c r="J97" t="s">
        <v>707</v>
      </c>
      <c r="K97">
        <f>VLOOKUP($J97,'[1]Table S6'!$A:$AI,2,FALSE)</f>
        <v>282.3</v>
      </c>
      <c r="L97">
        <f>VLOOKUP($J97,'[1]Table S6'!$A:$AI,3,FALSE)</f>
        <v>0.60076612045115996</v>
      </c>
      <c r="M97">
        <f>VLOOKUP($J97,'[1]Table S6'!$A:$AI,4,FALSE)</f>
        <v>0.92430000000000001</v>
      </c>
      <c r="N97" t="str">
        <f>VLOOKUP($J97,'[1]Table S6'!$A:$AI,5,FALSE)</f>
        <v>Yes</v>
      </c>
      <c r="P97">
        <f>VLOOKUP($J97,'[1]Table S6'!$A:$AI,7,FALSE)</f>
        <v>392.4</v>
      </c>
      <c r="Q97">
        <f>VLOOKUP($J97,'[1]Table S6'!$A:$AI,8,FALSE)</f>
        <v>0.83507129176420503</v>
      </c>
      <c r="R97">
        <f>VLOOKUP($J97,'[1]Table S6'!$A:$AI,9,FALSE)</f>
        <v>19.53</v>
      </c>
      <c r="S97" t="str">
        <f>VLOOKUP($J97,'[1]Table S6'!$A:$AI,10,FALSE)</f>
        <v>No</v>
      </c>
      <c r="U97">
        <f>VLOOKUP($J97,'[1]Table S6'!$A:$AI,12,FALSE)</f>
        <v>303.89999999999998</v>
      </c>
      <c r="V97">
        <f>VLOOKUP($J97,'[1]Table S6'!$A:$AI,13,FALSE)</f>
        <v>0.64673334752074896</v>
      </c>
      <c r="W97">
        <f>VLOOKUP($J97,'[1]Table S6'!$A:$AI,14,FALSE)</f>
        <v>1.4650000000000001</v>
      </c>
      <c r="X97" t="str">
        <f>VLOOKUP($J97,'[1]Table S6'!$A:$AI,15,FALSE)</f>
        <v>Yes</v>
      </c>
      <c r="Z97">
        <f>VLOOKUP($J97,'[1]Table S6'!$A:$AI,17,FALSE)</f>
        <v>306.89999999999998</v>
      </c>
      <c r="AA97">
        <f>VLOOKUP($J97,'[1]Table S6'!$A:$AI,18,FALSE)</f>
        <v>0.65311768461374797</v>
      </c>
      <c r="AB97">
        <f>VLOOKUP($J97,'[1]Table S6'!$A:$AI,19,FALSE)</f>
        <v>1.405</v>
      </c>
      <c r="AC97" t="str">
        <f>VLOOKUP($J97,'[1]Table S6'!$A:$AI,20,FALSE)</f>
        <v>Yes</v>
      </c>
      <c r="AE97">
        <f>VLOOKUP($J97,'[1]Table S6'!$A:$AI,22,FALSE)</f>
        <v>384.1</v>
      </c>
      <c r="AF97">
        <f>VLOOKUP($J97,'[1]Table S6'!$A:$AI,23,FALSE)</f>
        <v>0.817407959140243</v>
      </c>
      <c r="AG97">
        <f>VLOOKUP($J97,'[1]Table S6'!$A:$AI,24,FALSE)</f>
        <v>14.57</v>
      </c>
      <c r="AH97" t="str">
        <f>VLOOKUP($J97,'[1]Table S6'!$A:$AI,25,FALSE)</f>
        <v>No</v>
      </c>
      <c r="AJ97">
        <f>VLOOKUP($J97,'[1]Table S6'!$A:$AI,27,FALSE)</f>
        <v>405.4</v>
      </c>
      <c r="AK97">
        <f>VLOOKUP($J97,'[1]Table S6'!$A:$AI,28,FALSE)</f>
        <v>0.86273675250053194</v>
      </c>
      <c r="AL97">
        <f>VLOOKUP($J97,'[1]Table S6'!$A:$AI,29,FALSE)</f>
        <v>43.37</v>
      </c>
      <c r="AM97" t="str">
        <f>VLOOKUP($J97,'[1]Table S6'!$A:$AI,30,FALSE)</f>
        <v>No</v>
      </c>
      <c r="AO97">
        <f>VLOOKUP($J97,'[1]Table S6'!$A:$AI,32,FALSE)</f>
        <v>430.1</v>
      </c>
      <c r="AP97">
        <f>VLOOKUP($J97,'[1]Table S6'!$A:$AI,33,FALSE)</f>
        <v>0.91530112789955298</v>
      </c>
      <c r="AQ97">
        <f>VLOOKUP($J97,'[1]Table S6'!$A:$AI,34,FALSE)</f>
        <v>63.65</v>
      </c>
      <c r="AR97" t="str">
        <f>VLOOKUP($J97,'[1]Table S6'!$A:$AI,35,FALSE)</f>
        <v>No</v>
      </c>
      <c r="AT97" t="str">
        <f>VLOOKUP($I97,'[2]Table S5'!$A:$K,8,FALSE)</f>
        <v>Resistant</v>
      </c>
      <c r="AU97" t="str">
        <f>VLOOKUP($I97,'[2]Table S5'!$A:$K,9,FALSE)</f>
        <v>Resistant</v>
      </c>
      <c r="AV97" t="str">
        <f>VLOOKUP($I97,'[2]Table S5'!$A:$K,10,FALSE)</f>
        <v>Resistant</v>
      </c>
      <c r="AW97" t="str">
        <f>VLOOKUP($I97,'[2]Table S5'!$A:$K,11,FALSE)</f>
        <v>Resistant</v>
      </c>
    </row>
    <row r="98" spans="1:49">
      <c r="A98" s="12" t="s">
        <v>737</v>
      </c>
      <c r="B98" t="s">
        <v>738</v>
      </c>
      <c r="C98" t="s">
        <v>739</v>
      </c>
      <c r="D98" t="s">
        <v>17</v>
      </c>
      <c r="E98" t="s">
        <v>740</v>
      </c>
      <c r="F98" s="12" t="s">
        <v>741</v>
      </c>
      <c r="G98" t="s">
        <v>742</v>
      </c>
      <c r="H98" t="s">
        <v>743</v>
      </c>
      <c r="I98" t="s">
        <v>690</v>
      </c>
      <c r="J98" t="s">
        <v>715</v>
      </c>
      <c r="K98">
        <f>VLOOKUP($J98,'[1]Table S6'!$A:$AI,2,FALSE)</f>
        <v>295.3</v>
      </c>
      <c r="L98">
        <f>VLOOKUP($J98,'[1]Table S6'!$A:$AI,3,FALSE)</f>
        <v>0.62843158118748699</v>
      </c>
      <c r="M98">
        <f>VLOOKUP($J98,'[1]Table S6'!$A:$AI,4,FALSE)</f>
        <v>1.177</v>
      </c>
      <c r="N98" t="str">
        <f>VLOOKUP($J98,'[1]Table S6'!$A:$AI,5,FALSE)</f>
        <v>Yes</v>
      </c>
      <c r="P98">
        <f>VLOOKUP($J98,'[1]Table S6'!$A:$AI,7,FALSE)</f>
        <v>303.7</v>
      </c>
      <c r="Q98">
        <f>VLOOKUP($J98,'[1]Table S6'!$A:$AI,8,FALSE)</f>
        <v>0.64630772504788303</v>
      </c>
      <c r="R98">
        <f>VLOOKUP($J98,'[1]Table S6'!$A:$AI,9,FALSE)</f>
        <v>1.5740000000000001</v>
      </c>
      <c r="S98" t="str">
        <f>VLOOKUP($J98,'[1]Table S6'!$A:$AI,10,FALSE)</f>
        <v>Yes</v>
      </c>
      <c r="U98">
        <f>VLOOKUP($J98,'[1]Table S6'!$A:$AI,12,FALSE)</f>
        <v>277.89999999999998</v>
      </c>
      <c r="V98">
        <f>VLOOKUP($J98,'[1]Table S6'!$A:$AI,13,FALSE)</f>
        <v>0.59140242604809501</v>
      </c>
      <c r="W98">
        <f>VLOOKUP($J98,'[1]Table S6'!$A:$AI,14,FALSE)</f>
        <v>0.89290000000000003</v>
      </c>
      <c r="X98" t="str">
        <f>VLOOKUP($J98,'[1]Table S6'!$A:$AI,15,FALSE)</f>
        <v>Yes</v>
      </c>
      <c r="Z98">
        <f>VLOOKUP($J98,'[1]Table S6'!$A:$AI,17,FALSE)</f>
        <v>302.10000000000002</v>
      </c>
      <c r="AA98">
        <f>VLOOKUP($J98,'[1]Table S6'!$A:$AI,18,FALSE)</f>
        <v>0.64290274526494995</v>
      </c>
      <c r="AB98">
        <f>VLOOKUP($J98,'[1]Table S6'!$A:$AI,19,FALSE)</f>
        <v>1.5640000000000001</v>
      </c>
      <c r="AC98" t="str">
        <f>VLOOKUP($J98,'[1]Table S6'!$A:$AI,20,FALSE)</f>
        <v>Yes</v>
      </c>
      <c r="AE98">
        <f>VLOOKUP($J98,'[1]Table S6'!$A:$AI,22,FALSE)</f>
        <v>311.8</v>
      </c>
      <c r="AF98">
        <f>VLOOKUP($J98,'[1]Table S6'!$A:$AI,23,FALSE)</f>
        <v>0.66354543519897902</v>
      </c>
      <c r="AG98">
        <f>VLOOKUP($J98,'[1]Table S6'!$A:$AI,24,FALSE)</f>
        <v>2.1760000000000002</v>
      </c>
      <c r="AH98" t="str">
        <f>VLOOKUP($J98,'[1]Table S6'!$A:$AI,25,FALSE)</f>
        <v>Yes</v>
      </c>
      <c r="AJ98">
        <f>VLOOKUP($J98,'[1]Table S6'!$A:$AI,27,FALSE)</f>
        <v>369.1</v>
      </c>
      <c r="AK98">
        <f>VLOOKUP($J98,'[1]Table S6'!$A:$AI,28,FALSE)</f>
        <v>0.78548627367525004</v>
      </c>
      <c r="AL98">
        <f>VLOOKUP($J98,'[1]Table S6'!$A:$AI,29,FALSE)</f>
        <v>18.829999999999998</v>
      </c>
      <c r="AM98" t="str">
        <f>VLOOKUP($J98,'[1]Table S6'!$A:$AI,30,FALSE)</f>
        <v>No</v>
      </c>
      <c r="AO98">
        <f>VLOOKUP($J98,'[1]Table S6'!$A:$AI,32,FALSE)</f>
        <v>426</v>
      </c>
      <c r="AP98">
        <f>VLOOKUP($J98,'[1]Table S6'!$A:$AI,33,FALSE)</f>
        <v>0.90657586720578898</v>
      </c>
      <c r="AQ98">
        <f>VLOOKUP($J98,'[1]Table S6'!$A:$AI,34,FALSE)</f>
        <v>72.63</v>
      </c>
      <c r="AR98" t="str">
        <f>VLOOKUP($J98,'[1]Table S6'!$A:$AI,35,FALSE)</f>
        <v>No</v>
      </c>
      <c r="AT98" t="str">
        <f>VLOOKUP($I98,'[2]Table S5'!$A:$K,8,FALSE)</f>
        <v>Resistant</v>
      </c>
      <c r="AU98" t="str">
        <f>VLOOKUP($I98,'[2]Table S5'!$A:$K,9,FALSE)</f>
        <v>Resistant</v>
      </c>
      <c r="AV98" t="str">
        <f>VLOOKUP($I98,'[2]Table S5'!$A:$K,10,FALSE)</f>
        <v>Resistant</v>
      </c>
      <c r="AW98" t="str">
        <f>VLOOKUP($I98,'[2]Table S5'!$A:$K,11,FALSE)</f>
        <v>Resistant</v>
      </c>
    </row>
    <row r="99" spans="1:49">
      <c r="A99" s="12" t="s">
        <v>744</v>
      </c>
      <c r="B99" t="s">
        <v>745</v>
      </c>
      <c r="C99" t="s">
        <v>746</v>
      </c>
      <c r="D99" t="s">
        <v>17</v>
      </c>
      <c r="E99" t="s">
        <v>747</v>
      </c>
      <c r="F99" s="12" t="s">
        <v>748</v>
      </c>
      <c r="G99" t="s">
        <v>749</v>
      </c>
      <c r="H99" t="s">
        <v>750</v>
      </c>
      <c r="I99" t="s">
        <v>690</v>
      </c>
      <c r="J99" t="s">
        <v>690</v>
      </c>
      <c r="K99" t="e">
        <f>VLOOKUP($J99,'[1]Table S6'!$A:$AI,2,FALSE)</f>
        <v>#N/A</v>
      </c>
      <c r="L99" t="e">
        <f>VLOOKUP($J99,'[1]Table S6'!$A:$AI,3,FALSE)</f>
        <v>#N/A</v>
      </c>
      <c r="M99" t="e">
        <f>VLOOKUP($J99,'[1]Table S6'!$A:$AI,4,FALSE)</f>
        <v>#N/A</v>
      </c>
      <c r="N99" t="e">
        <f>VLOOKUP($J99,'[1]Table S6'!$A:$AI,5,FALSE)</f>
        <v>#N/A</v>
      </c>
      <c r="P99" t="e">
        <f>VLOOKUP($J99,'[1]Table S6'!$A:$AI,7,FALSE)</f>
        <v>#N/A</v>
      </c>
      <c r="Q99" t="e">
        <f>VLOOKUP($J99,'[1]Table S6'!$A:$AI,8,FALSE)</f>
        <v>#N/A</v>
      </c>
      <c r="R99" t="e">
        <f>VLOOKUP($J99,'[1]Table S6'!$A:$AI,9,FALSE)</f>
        <v>#N/A</v>
      </c>
      <c r="S99" t="e">
        <f>VLOOKUP($J99,'[1]Table S6'!$A:$AI,10,FALSE)</f>
        <v>#N/A</v>
      </c>
      <c r="U99" t="e">
        <f>VLOOKUP($J99,'[1]Table S6'!$A:$AI,12,FALSE)</f>
        <v>#N/A</v>
      </c>
      <c r="V99" t="e">
        <f>VLOOKUP($J99,'[1]Table S6'!$A:$AI,13,FALSE)</f>
        <v>#N/A</v>
      </c>
      <c r="W99" t="e">
        <f>VLOOKUP($J99,'[1]Table S6'!$A:$AI,14,FALSE)</f>
        <v>#N/A</v>
      </c>
      <c r="X99" t="e">
        <f>VLOOKUP($J99,'[1]Table S6'!$A:$AI,15,FALSE)</f>
        <v>#N/A</v>
      </c>
      <c r="Z99" t="e">
        <f>VLOOKUP($J99,'[1]Table S6'!$A:$AI,17,FALSE)</f>
        <v>#N/A</v>
      </c>
      <c r="AA99" t="e">
        <f>VLOOKUP($J99,'[1]Table S6'!$A:$AI,18,FALSE)</f>
        <v>#N/A</v>
      </c>
      <c r="AB99" t="e">
        <f>VLOOKUP($J99,'[1]Table S6'!$A:$AI,19,FALSE)</f>
        <v>#N/A</v>
      </c>
      <c r="AC99" t="e">
        <f>VLOOKUP($J99,'[1]Table S6'!$A:$AI,20,FALSE)</f>
        <v>#N/A</v>
      </c>
      <c r="AE99" t="e">
        <f>VLOOKUP($J99,'[1]Table S6'!$A:$AI,22,FALSE)</f>
        <v>#N/A</v>
      </c>
      <c r="AF99" t="e">
        <f>VLOOKUP($J99,'[1]Table S6'!$A:$AI,23,FALSE)</f>
        <v>#N/A</v>
      </c>
      <c r="AG99" t="e">
        <f>VLOOKUP($J99,'[1]Table S6'!$A:$AI,24,FALSE)</f>
        <v>#N/A</v>
      </c>
      <c r="AH99" t="e">
        <f>VLOOKUP($J99,'[1]Table S6'!$A:$AI,25,FALSE)</f>
        <v>#N/A</v>
      </c>
      <c r="AJ99" t="e">
        <f>VLOOKUP($J99,'[1]Table S6'!$A:$AI,27,FALSE)</f>
        <v>#N/A</v>
      </c>
      <c r="AK99" t="e">
        <f>VLOOKUP($J99,'[1]Table S6'!$A:$AI,28,FALSE)</f>
        <v>#N/A</v>
      </c>
      <c r="AL99" t="e">
        <f>VLOOKUP($J99,'[1]Table S6'!$A:$AI,29,FALSE)</f>
        <v>#N/A</v>
      </c>
      <c r="AM99" t="e">
        <f>VLOOKUP($J99,'[1]Table S6'!$A:$AI,30,FALSE)</f>
        <v>#N/A</v>
      </c>
      <c r="AO99" t="e">
        <f>VLOOKUP($J99,'[1]Table S6'!$A:$AI,32,FALSE)</f>
        <v>#N/A</v>
      </c>
      <c r="AP99" t="e">
        <f>VLOOKUP($J99,'[1]Table S6'!$A:$AI,33,FALSE)</f>
        <v>#N/A</v>
      </c>
      <c r="AQ99" t="e">
        <f>VLOOKUP($J99,'[1]Table S6'!$A:$AI,34,FALSE)</f>
        <v>#N/A</v>
      </c>
      <c r="AR99" t="e">
        <f>VLOOKUP($J99,'[1]Table S6'!$A:$AI,35,FALSE)</f>
        <v>#N/A</v>
      </c>
      <c r="AT99" t="str">
        <f>VLOOKUP($I99,'[2]Table S5'!$A:$K,8,FALSE)</f>
        <v>Resistant</v>
      </c>
      <c r="AU99" t="str">
        <f>VLOOKUP($I99,'[2]Table S5'!$A:$K,9,FALSE)</f>
        <v>Resistant</v>
      </c>
      <c r="AV99" t="str">
        <f>VLOOKUP($I99,'[2]Table S5'!$A:$K,10,FALSE)</f>
        <v>Resistant</v>
      </c>
      <c r="AW99" t="str">
        <f>VLOOKUP($I99,'[2]Table S5'!$A:$K,11,FALSE)</f>
        <v>Resistant</v>
      </c>
    </row>
    <row r="100" spans="1:49">
      <c r="A100" s="12" t="s">
        <v>751</v>
      </c>
      <c r="B100" t="s">
        <v>752</v>
      </c>
      <c r="C100" t="s">
        <v>753</v>
      </c>
      <c r="D100" t="s">
        <v>17</v>
      </c>
      <c r="E100" t="s">
        <v>754</v>
      </c>
      <c r="F100" s="12" t="s">
        <v>755</v>
      </c>
      <c r="G100" t="s">
        <v>756</v>
      </c>
      <c r="H100" t="s">
        <v>757</v>
      </c>
      <c r="I100" t="s">
        <v>758</v>
      </c>
      <c r="J100" t="s">
        <v>759</v>
      </c>
      <c r="K100">
        <f>VLOOKUP($J100,'[1]Table S6'!$A:$AI,2,FALSE)</f>
        <v>297.39999999999998</v>
      </c>
      <c r="L100">
        <f>VLOOKUP($J100,'[1]Table S6'!$A:$AI,3,FALSE)</f>
        <v>0.63290061715258605</v>
      </c>
      <c r="M100">
        <f>VLOOKUP($J100,'[1]Table S6'!$A:$AI,4,FALSE)</f>
        <v>1.006</v>
      </c>
      <c r="N100" t="str">
        <f>VLOOKUP($J100,'[1]Table S6'!$A:$AI,5,FALSE)</f>
        <v>Yes</v>
      </c>
      <c r="P100">
        <f>VLOOKUP($J100,'[1]Table S6'!$A:$AI,7,FALSE)</f>
        <v>363.9</v>
      </c>
      <c r="Q100">
        <f>VLOOKUP($J100,'[1]Table S6'!$A:$AI,8,FALSE)</f>
        <v>0.77442008938071905</v>
      </c>
      <c r="R100">
        <f>VLOOKUP($J100,'[1]Table S6'!$A:$AI,9,FALSE)</f>
        <v>8.3829999999999991</v>
      </c>
      <c r="S100" t="str">
        <f>VLOOKUP($J100,'[1]Table S6'!$A:$AI,10,FALSE)</f>
        <v>No</v>
      </c>
      <c r="U100">
        <f>VLOOKUP($J100,'[1]Table S6'!$A:$AI,12,FALSE)</f>
        <v>337.2</v>
      </c>
      <c r="V100">
        <f>VLOOKUP($J100,'[1]Table S6'!$A:$AI,13,FALSE)</f>
        <v>0.71759948925303296</v>
      </c>
      <c r="W100">
        <f>VLOOKUP($J100,'[1]Table S6'!$A:$AI,14,FALSE)</f>
        <v>3.8610000000000002</v>
      </c>
      <c r="X100" t="str">
        <f>VLOOKUP($J100,'[1]Table S6'!$A:$AI,15,FALSE)</f>
        <v>No</v>
      </c>
      <c r="Z100">
        <f>VLOOKUP($J100,'[1]Table S6'!$A:$AI,17,FALSE)</f>
        <v>320.10000000000002</v>
      </c>
      <c r="AA100">
        <f>VLOOKUP($J100,'[1]Table S6'!$A:$AI,18,FALSE)</f>
        <v>0.68120876782294104</v>
      </c>
      <c r="AB100">
        <f>VLOOKUP($J100,'[1]Table S6'!$A:$AI,19,FALSE)</f>
        <v>1.9350000000000001</v>
      </c>
      <c r="AC100" t="str">
        <f>VLOOKUP($J100,'[1]Table S6'!$A:$AI,20,FALSE)</f>
        <v>Yes</v>
      </c>
      <c r="AE100">
        <f>VLOOKUP($J100,'[1]Table S6'!$A:$AI,22,FALSE)</f>
        <v>350.7</v>
      </c>
      <c r="AF100">
        <f>VLOOKUP($J100,'[1]Table S6'!$A:$AI,23,FALSE)</f>
        <v>0.74632900617152598</v>
      </c>
      <c r="AG100">
        <f>VLOOKUP($J100,'[1]Table S6'!$A:$AI,24,FALSE)</f>
        <v>5.6239999999999997</v>
      </c>
      <c r="AH100" t="str">
        <f>VLOOKUP($J100,'[1]Table S6'!$A:$AI,25,FALSE)</f>
        <v>No</v>
      </c>
      <c r="AJ100">
        <f>VLOOKUP($J100,'[1]Table S6'!$A:$AI,27,FALSE)</f>
        <v>455</v>
      </c>
      <c r="AK100">
        <f>VLOOKUP($J100,'[1]Table S6'!$A:$AI,28,FALSE)</f>
        <v>0.96829112577144105</v>
      </c>
      <c r="AL100">
        <f>VLOOKUP($J100,'[1]Table S6'!$A:$AI,29,FALSE)</f>
        <v>139</v>
      </c>
      <c r="AM100" t="str">
        <f>VLOOKUP($J100,'[1]Table S6'!$A:$AI,30,FALSE)</f>
        <v>No</v>
      </c>
      <c r="AO100">
        <f>VLOOKUP($J100,'[1]Table S6'!$A:$AI,32,FALSE)</f>
        <v>449.4</v>
      </c>
      <c r="AP100">
        <f>VLOOKUP($J100,'[1]Table S6'!$A:$AI,33,FALSE)</f>
        <v>0.95637369653117699</v>
      </c>
      <c r="AQ100">
        <f>VLOOKUP($J100,'[1]Table S6'!$A:$AI,34,FALSE)</f>
        <v>107.4</v>
      </c>
      <c r="AR100" t="str">
        <f>VLOOKUP($J100,'[1]Table S6'!$A:$AI,35,FALSE)</f>
        <v>No</v>
      </c>
      <c r="AT100" t="str">
        <f>VLOOKUP($I100,'[2]Table S5'!$A:$K,8,FALSE)</f>
        <v>Resistant</v>
      </c>
      <c r="AU100" t="str">
        <f>VLOOKUP($I100,'[2]Table S5'!$A:$K,9,FALSE)</f>
        <v>Resistant</v>
      </c>
      <c r="AV100" t="str">
        <f>VLOOKUP($I100,'[2]Table S5'!$A:$K,10,FALSE)</f>
        <v>Resistant</v>
      </c>
      <c r="AW100" t="str">
        <f>VLOOKUP($I100,'[2]Table S5'!$A:$K,11,FALSE)</f>
        <v>Resistant</v>
      </c>
    </row>
    <row r="101" spans="1:49">
      <c r="A101" s="12" t="s">
        <v>760</v>
      </c>
      <c r="B101" t="s">
        <v>761</v>
      </c>
      <c r="C101" t="s">
        <v>762</v>
      </c>
      <c r="D101" t="s">
        <v>17</v>
      </c>
      <c r="E101" t="s">
        <v>763</v>
      </c>
      <c r="F101" s="12" t="s">
        <v>764</v>
      </c>
      <c r="G101" t="s">
        <v>765</v>
      </c>
      <c r="H101" t="s">
        <v>766</v>
      </c>
      <c r="I101" t="s">
        <v>758</v>
      </c>
      <c r="J101" t="s">
        <v>767</v>
      </c>
      <c r="K101">
        <f>VLOOKUP($J101,'[1]Table S6'!$A:$AI,2,FALSE)</f>
        <v>332.6</v>
      </c>
      <c r="L101">
        <f>VLOOKUP($J101,'[1]Table S6'!$A:$AI,3,FALSE)</f>
        <v>0.70781017237710198</v>
      </c>
      <c r="M101">
        <f>VLOOKUP($J101,'[1]Table S6'!$A:$AI,4,FALSE)</f>
        <v>2.407</v>
      </c>
      <c r="N101" t="str">
        <f>VLOOKUP($J101,'[1]Table S6'!$A:$AI,5,FALSE)</f>
        <v>No</v>
      </c>
      <c r="P101">
        <f>VLOOKUP($J101,'[1]Table S6'!$A:$AI,7,FALSE)</f>
        <v>388.2</v>
      </c>
      <c r="Q101">
        <f>VLOOKUP($J101,'[1]Table S6'!$A:$AI,8,FALSE)</f>
        <v>0.826133219834007</v>
      </c>
      <c r="R101">
        <f>VLOOKUP($J101,'[1]Table S6'!$A:$AI,9,FALSE)</f>
        <v>19.96</v>
      </c>
      <c r="S101" t="str">
        <f>VLOOKUP($J101,'[1]Table S6'!$A:$AI,10,FALSE)</f>
        <v>No</v>
      </c>
      <c r="U101">
        <f>VLOOKUP($J101,'[1]Table S6'!$A:$AI,12,FALSE)</f>
        <v>348.3</v>
      </c>
      <c r="V101">
        <f>VLOOKUP($J101,'[1]Table S6'!$A:$AI,13,FALSE)</f>
        <v>0.74122153649712696</v>
      </c>
      <c r="W101">
        <f>VLOOKUP($J101,'[1]Table S6'!$A:$AI,14,FALSE)</f>
        <v>6.141</v>
      </c>
      <c r="X101" t="str">
        <f>VLOOKUP($J101,'[1]Table S6'!$A:$AI,15,FALSE)</f>
        <v>No</v>
      </c>
      <c r="Z101">
        <f>VLOOKUP($J101,'[1]Table S6'!$A:$AI,17,FALSE)</f>
        <v>323.8</v>
      </c>
      <c r="AA101">
        <f>VLOOKUP($J101,'[1]Table S6'!$A:$AI,18,FALSE)</f>
        <v>0.68908278357097297</v>
      </c>
      <c r="AB101">
        <f>VLOOKUP($J101,'[1]Table S6'!$A:$AI,19,FALSE)</f>
        <v>1.6919999999999999</v>
      </c>
      <c r="AC101" t="str">
        <f>VLOOKUP($J101,'[1]Table S6'!$A:$AI,20,FALSE)</f>
        <v>Yes</v>
      </c>
      <c r="AE101">
        <f>VLOOKUP($J101,'[1]Table S6'!$A:$AI,22,FALSE)</f>
        <v>367.8</v>
      </c>
      <c r="AF101">
        <f>VLOOKUP($J101,'[1]Table S6'!$A:$AI,23,FALSE)</f>
        <v>0.78271972760161701</v>
      </c>
      <c r="AG101">
        <f>VLOOKUP($J101,'[1]Table S6'!$A:$AI,24,FALSE)</f>
        <v>9.8629999999999995</v>
      </c>
      <c r="AH101" t="str">
        <f>VLOOKUP($J101,'[1]Table S6'!$A:$AI,25,FALSE)</f>
        <v>No</v>
      </c>
      <c r="AJ101">
        <f>VLOOKUP($J101,'[1]Table S6'!$A:$AI,27,FALSE)</f>
        <v>459.6</v>
      </c>
      <c r="AK101">
        <f>VLOOKUP($J101,'[1]Table S6'!$A:$AI,28,FALSE)</f>
        <v>0.97808044264737204</v>
      </c>
      <c r="AL101">
        <f>VLOOKUP($J101,'[1]Table S6'!$A:$AI,29,FALSE)</f>
        <v>223.6</v>
      </c>
      <c r="AM101" t="str">
        <f>VLOOKUP($J101,'[1]Table S6'!$A:$AI,30,FALSE)</f>
        <v>No</v>
      </c>
      <c r="AO101">
        <f>VLOOKUP($J101,'[1]Table S6'!$A:$AI,32,FALSE)</f>
        <v>465.2</v>
      </c>
      <c r="AP101">
        <f>VLOOKUP($J101,'[1]Table S6'!$A:$AI,33,FALSE)</f>
        <v>0.98999787188763599</v>
      </c>
      <c r="AQ101">
        <f>VLOOKUP($J101,'[1]Table S6'!$A:$AI,34,FALSE)</f>
        <v>1046</v>
      </c>
      <c r="AR101" t="str">
        <f>VLOOKUP($J101,'[1]Table S6'!$A:$AI,35,FALSE)</f>
        <v>No</v>
      </c>
      <c r="AT101" t="str">
        <f>VLOOKUP($I101,'[2]Table S5'!$A:$K,8,FALSE)</f>
        <v>Resistant</v>
      </c>
      <c r="AU101" t="str">
        <f>VLOOKUP($I101,'[2]Table S5'!$A:$K,9,FALSE)</f>
        <v>Resistant</v>
      </c>
      <c r="AV101" t="str">
        <f>VLOOKUP($I101,'[2]Table S5'!$A:$K,10,FALSE)</f>
        <v>Resistant</v>
      </c>
      <c r="AW101" t="str">
        <f>VLOOKUP($I101,'[2]Table S5'!$A:$K,11,FALSE)</f>
        <v>Resistant</v>
      </c>
    </row>
    <row r="102" spans="1:49">
      <c r="A102" s="12" t="s">
        <v>768</v>
      </c>
      <c r="B102" t="s">
        <v>769</v>
      </c>
      <c r="C102" t="s">
        <v>770</v>
      </c>
      <c r="D102" t="s">
        <v>17</v>
      </c>
      <c r="E102" t="s">
        <v>771</v>
      </c>
      <c r="F102" s="12" t="s">
        <v>772</v>
      </c>
      <c r="G102" t="s">
        <v>773</v>
      </c>
      <c r="H102" t="s">
        <v>774</v>
      </c>
      <c r="I102" t="s">
        <v>758</v>
      </c>
      <c r="J102" t="s">
        <v>775</v>
      </c>
      <c r="K102">
        <f>VLOOKUP($J102,'[1]Table S6'!$A:$AI,2,FALSE)</f>
        <v>323.5</v>
      </c>
      <c r="L102">
        <f>VLOOKUP($J102,'[1]Table S6'!$A:$AI,3,FALSE)</f>
        <v>0.68844434986167302</v>
      </c>
      <c r="M102">
        <f>VLOOKUP($J102,'[1]Table S6'!$A:$AI,4,FALSE)</f>
        <v>1.6439999999999999</v>
      </c>
      <c r="N102" t="str">
        <f>VLOOKUP($J102,'[1]Table S6'!$A:$AI,5,FALSE)</f>
        <v>Yes</v>
      </c>
      <c r="P102">
        <f>VLOOKUP($J102,'[1]Table S6'!$A:$AI,7,FALSE)</f>
        <v>391.9</v>
      </c>
      <c r="Q102">
        <f>VLOOKUP($J102,'[1]Table S6'!$A:$AI,8,FALSE)</f>
        <v>0.83400723558203904</v>
      </c>
      <c r="R102">
        <f>VLOOKUP($J102,'[1]Table S6'!$A:$AI,9,FALSE)</f>
        <v>19.12</v>
      </c>
      <c r="S102" t="str">
        <f>VLOOKUP($J102,'[1]Table S6'!$A:$AI,10,FALSE)</f>
        <v>No</v>
      </c>
      <c r="U102">
        <f>VLOOKUP($J102,'[1]Table S6'!$A:$AI,12,FALSE)</f>
        <v>310.39999999999998</v>
      </c>
      <c r="V102">
        <f>VLOOKUP($J102,'[1]Table S6'!$A:$AI,13,FALSE)</f>
        <v>0.66056607788891297</v>
      </c>
      <c r="W102">
        <f>VLOOKUP($J102,'[1]Table S6'!$A:$AI,14,FALSE)</f>
        <v>1.37</v>
      </c>
      <c r="X102" t="str">
        <f>VLOOKUP($J102,'[1]Table S6'!$A:$AI,15,FALSE)</f>
        <v>Yes</v>
      </c>
      <c r="Z102">
        <f>VLOOKUP($J102,'[1]Table S6'!$A:$AI,17,FALSE)</f>
        <v>350.4</v>
      </c>
      <c r="AA102">
        <f>VLOOKUP($J102,'[1]Table S6'!$A:$AI,18,FALSE)</f>
        <v>0.74569057246222603</v>
      </c>
      <c r="AB102">
        <f>VLOOKUP($J102,'[1]Table S6'!$A:$AI,19,FALSE)</f>
        <v>4.1870000000000003</v>
      </c>
      <c r="AC102" t="str">
        <f>VLOOKUP($J102,'[1]Table S6'!$A:$AI,20,FALSE)</f>
        <v>No</v>
      </c>
      <c r="AE102">
        <f>VLOOKUP($J102,'[1]Table S6'!$A:$AI,22,FALSE)</f>
        <v>381.4</v>
      </c>
      <c r="AF102">
        <f>VLOOKUP($J102,'[1]Table S6'!$A:$AI,23,FALSE)</f>
        <v>0.81166205575654404</v>
      </c>
      <c r="AG102">
        <f>VLOOKUP($J102,'[1]Table S6'!$A:$AI,24,FALSE)</f>
        <v>15.76</v>
      </c>
      <c r="AH102" t="str">
        <f>VLOOKUP($J102,'[1]Table S6'!$A:$AI,25,FALSE)</f>
        <v>No</v>
      </c>
      <c r="AJ102">
        <f>VLOOKUP($J102,'[1]Table S6'!$A:$AI,27,FALSE)</f>
        <v>462.8</v>
      </c>
      <c r="AK102">
        <f>VLOOKUP($J102,'[1]Table S6'!$A:$AI,28,FALSE)</f>
        <v>0.98489040221323698</v>
      </c>
      <c r="AL102">
        <f>VLOOKUP($J102,'[1]Table S6'!$A:$AI,29,FALSE)</f>
        <v>231.1</v>
      </c>
      <c r="AM102" t="str">
        <f>VLOOKUP($J102,'[1]Table S6'!$A:$AI,30,FALSE)</f>
        <v>No</v>
      </c>
      <c r="AO102">
        <f>VLOOKUP($J102,'[1]Table S6'!$A:$AI,32,FALSE)</f>
        <v>453.5</v>
      </c>
      <c r="AP102">
        <f>VLOOKUP($J102,'[1]Table S6'!$A:$AI,33,FALSE)</f>
        <v>0.96509895722494199</v>
      </c>
      <c r="AQ102">
        <f>VLOOKUP($J102,'[1]Table S6'!$A:$AI,34,FALSE)</f>
        <v>254.8</v>
      </c>
      <c r="AR102" t="str">
        <f>VLOOKUP($J102,'[1]Table S6'!$A:$AI,35,FALSE)</f>
        <v>No</v>
      </c>
      <c r="AT102" t="str">
        <f>VLOOKUP($I102,'[2]Table S5'!$A:$K,8,FALSE)</f>
        <v>Resistant</v>
      </c>
      <c r="AU102" t="str">
        <f>VLOOKUP($I102,'[2]Table S5'!$A:$K,9,FALSE)</f>
        <v>Resistant</v>
      </c>
      <c r="AV102" t="str">
        <f>VLOOKUP($I102,'[2]Table S5'!$A:$K,10,FALSE)</f>
        <v>Resistant</v>
      </c>
      <c r="AW102" t="str">
        <f>VLOOKUP($I102,'[2]Table S5'!$A:$K,11,FALSE)</f>
        <v>Resistant</v>
      </c>
    </row>
    <row r="103" spans="1:49">
      <c r="A103" s="12" t="s">
        <v>776</v>
      </c>
      <c r="B103" t="s">
        <v>777</v>
      </c>
      <c r="C103" t="s">
        <v>778</v>
      </c>
      <c r="D103" t="s">
        <v>17</v>
      </c>
      <c r="E103" t="s">
        <v>779</v>
      </c>
      <c r="F103" s="12" t="s">
        <v>780</v>
      </c>
      <c r="G103" t="s">
        <v>781</v>
      </c>
      <c r="H103" t="s">
        <v>782</v>
      </c>
      <c r="I103" t="s">
        <v>758</v>
      </c>
      <c r="J103" t="s">
        <v>783</v>
      </c>
      <c r="K103">
        <f>VLOOKUP($J103,'[1]Table S6'!$A:$AI,2,FALSE)</f>
        <v>334.4</v>
      </c>
      <c r="L103">
        <f>VLOOKUP($J103,'[1]Table S6'!$A:$AI,3,FALSE)</f>
        <v>0.71164077463290099</v>
      </c>
      <c r="M103">
        <f>VLOOKUP($J103,'[1]Table S6'!$A:$AI,4,FALSE)</f>
        <v>3.0750000000000002</v>
      </c>
      <c r="N103" t="str">
        <f>VLOOKUP($J103,'[1]Table S6'!$A:$AI,5,FALSE)</f>
        <v>No</v>
      </c>
      <c r="P103">
        <f>VLOOKUP($J103,'[1]Table S6'!$A:$AI,7,FALSE)</f>
        <v>389.8</v>
      </c>
      <c r="Q103">
        <f>VLOOKUP($J103,'[1]Table S6'!$A:$AI,8,FALSE)</f>
        <v>0.82953819961693998</v>
      </c>
      <c r="R103">
        <f>VLOOKUP($J103,'[1]Table S6'!$A:$AI,9,FALSE)</f>
        <v>19.07</v>
      </c>
      <c r="S103" t="str">
        <f>VLOOKUP($J103,'[1]Table S6'!$A:$AI,10,FALSE)</f>
        <v>No</v>
      </c>
      <c r="U103">
        <f>VLOOKUP($J103,'[1]Table S6'!$A:$AI,12,FALSE)</f>
        <v>348.2</v>
      </c>
      <c r="V103">
        <f>VLOOKUP($J103,'[1]Table S6'!$A:$AI,13,FALSE)</f>
        <v>0.74100872526069395</v>
      </c>
      <c r="W103">
        <f>VLOOKUP($J103,'[1]Table S6'!$A:$AI,14,FALSE)</f>
        <v>3.6280000000000001</v>
      </c>
      <c r="X103" t="str">
        <f>VLOOKUP($J103,'[1]Table S6'!$A:$AI,15,FALSE)</f>
        <v>No</v>
      </c>
      <c r="Z103">
        <f>VLOOKUP($J103,'[1]Table S6'!$A:$AI,17,FALSE)</f>
        <v>386.1</v>
      </c>
      <c r="AA103">
        <f>VLOOKUP($J103,'[1]Table S6'!$A:$AI,18,FALSE)</f>
        <v>0.82166418386890805</v>
      </c>
      <c r="AB103">
        <f>VLOOKUP($J103,'[1]Table S6'!$A:$AI,19,FALSE)</f>
        <v>15.89</v>
      </c>
      <c r="AC103" t="str">
        <f>VLOOKUP($J103,'[1]Table S6'!$A:$AI,20,FALSE)</f>
        <v>No</v>
      </c>
      <c r="AE103">
        <f>VLOOKUP($J103,'[1]Table S6'!$A:$AI,22,FALSE)</f>
        <v>383.7</v>
      </c>
      <c r="AF103">
        <f>VLOOKUP($J103,'[1]Table S6'!$A:$AI,23,FALSE)</f>
        <v>0.81655671419450904</v>
      </c>
      <c r="AG103">
        <f>VLOOKUP($J103,'[1]Table S6'!$A:$AI,24,FALSE)</f>
        <v>13.49</v>
      </c>
      <c r="AH103" t="str">
        <f>VLOOKUP($J103,'[1]Table S6'!$A:$AI,25,FALSE)</f>
        <v>No</v>
      </c>
      <c r="AJ103">
        <f>VLOOKUP($J103,'[1]Table S6'!$A:$AI,27,FALSE)</f>
        <v>449.8</v>
      </c>
      <c r="AK103">
        <f>VLOOKUP($J103,'[1]Table S6'!$A:$AI,28,FALSE)</f>
        <v>0.95722494147690995</v>
      </c>
      <c r="AL103">
        <f>VLOOKUP($J103,'[1]Table S6'!$A:$AI,29,FALSE)</f>
        <v>117.5</v>
      </c>
      <c r="AM103" t="str">
        <f>VLOOKUP($J103,'[1]Table S6'!$A:$AI,30,FALSE)</f>
        <v>No</v>
      </c>
      <c r="AO103">
        <f>VLOOKUP($J103,'[1]Table S6'!$A:$AI,32,FALSE)</f>
        <v>448.4</v>
      </c>
      <c r="AP103">
        <f>VLOOKUP($J103,'[1]Table S6'!$A:$AI,33,FALSE)</f>
        <v>0.95424558416684402</v>
      </c>
      <c r="AQ103">
        <f>VLOOKUP($J103,'[1]Table S6'!$A:$AI,34,FALSE)</f>
        <v>191.6</v>
      </c>
      <c r="AR103" t="str">
        <f>VLOOKUP($J103,'[1]Table S6'!$A:$AI,35,FALSE)</f>
        <v>No</v>
      </c>
      <c r="AT103" t="str">
        <f>VLOOKUP($I103,'[2]Table S5'!$A:$K,8,FALSE)</f>
        <v>Resistant</v>
      </c>
      <c r="AU103" t="str">
        <f>VLOOKUP($I103,'[2]Table S5'!$A:$K,9,FALSE)</f>
        <v>Resistant</v>
      </c>
      <c r="AV103" t="str">
        <f>VLOOKUP($I103,'[2]Table S5'!$A:$K,10,FALSE)</f>
        <v>Resistant</v>
      </c>
      <c r="AW103" t="str">
        <f>VLOOKUP($I103,'[2]Table S5'!$A:$K,11,FALSE)</f>
        <v>Resistant</v>
      </c>
    </row>
    <row r="104" spans="1:49">
      <c r="A104" s="12" t="s">
        <v>784</v>
      </c>
      <c r="B104" t="s">
        <v>785</v>
      </c>
      <c r="C104" t="s">
        <v>786</v>
      </c>
      <c r="D104" t="s">
        <v>17</v>
      </c>
      <c r="E104" t="s">
        <v>787</v>
      </c>
      <c r="F104" s="12" t="s">
        <v>788</v>
      </c>
      <c r="G104" t="s">
        <v>789</v>
      </c>
      <c r="H104" t="s">
        <v>790</v>
      </c>
      <c r="I104" t="s">
        <v>758</v>
      </c>
      <c r="J104" t="s">
        <v>759</v>
      </c>
      <c r="K104">
        <f>VLOOKUP($J104,'[1]Table S6'!$A:$AI,2,FALSE)</f>
        <v>297.39999999999998</v>
      </c>
      <c r="L104">
        <f>VLOOKUP($J104,'[1]Table S6'!$A:$AI,3,FALSE)</f>
        <v>0.63290061715258605</v>
      </c>
      <c r="M104">
        <f>VLOOKUP($J104,'[1]Table S6'!$A:$AI,4,FALSE)</f>
        <v>1.006</v>
      </c>
      <c r="N104" t="str">
        <f>VLOOKUP($J104,'[1]Table S6'!$A:$AI,5,FALSE)</f>
        <v>Yes</v>
      </c>
      <c r="P104">
        <f>VLOOKUP($J104,'[1]Table S6'!$A:$AI,7,FALSE)</f>
        <v>363.9</v>
      </c>
      <c r="Q104">
        <f>VLOOKUP($J104,'[1]Table S6'!$A:$AI,8,FALSE)</f>
        <v>0.77442008938071905</v>
      </c>
      <c r="R104">
        <f>VLOOKUP($J104,'[1]Table S6'!$A:$AI,9,FALSE)</f>
        <v>8.3829999999999991</v>
      </c>
      <c r="S104" t="str">
        <f>VLOOKUP($J104,'[1]Table S6'!$A:$AI,10,FALSE)</f>
        <v>No</v>
      </c>
      <c r="U104">
        <f>VLOOKUP($J104,'[1]Table S6'!$A:$AI,12,FALSE)</f>
        <v>337.2</v>
      </c>
      <c r="V104">
        <f>VLOOKUP($J104,'[1]Table S6'!$A:$AI,13,FALSE)</f>
        <v>0.71759948925303296</v>
      </c>
      <c r="W104">
        <f>VLOOKUP($J104,'[1]Table S6'!$A:$AI,14,FALSE)</f>
        <v>3.8610000000000002</v>
      </c>
      <c r="X104" t="str">
        <f>VLOOKUP($J104,'[1]Table S6'!$A:$AI,15,FALSE)</f>
        <v>No</v>
      </c>
      <c r="Z104">
        <f>VLOOKUP($J104,'[1]Table S6'!$A:$AI,17,FALSE)</f>
        <v>320.10000000000002</v>
      </c>
      <c r="AA104">
        <f>VLOOKUP($J104,'[1]Table S6'!$A:$AI,18,FALSE)</f>
        <v>0.68120876782294104</v>
      </c>
      <c r="AB104">
        <f>VLOOKUP($J104,'[1]Table S6'!$A:$AI,19,FALSE)</f>
        <v>1.9350000000000001</v>
      </c>
      <c r="AC104" t="str">
        <f>VLOOKUP($J104,'[1]Table S6'!$A:$AI,20,FALSE)</f>
        <v>Yes</v>
      </c>
      <c r="AE104">
        <f>VLOOKUP($J104,'[1]Table S6'!$A:$AI,22,FALSE)</f>
        <v>350.7</v>
      </c>
      <c r="AF104">
        <f>VLOOKUP($J104,'[1]Table S6'!$A:$AI,23,FALSE)</f>
        <v>0.74632900617152598</v>
      </c>
      <c r="AG104">
        <f>VLOOKUP($J104,'[1]Table S6'!$A:$AI,24,FALSE)</f>
        <v>5.6239999999999997</v>
      </c>
      <c r="AH104" t="str">
        <f>VLOOKUP($J104,'[1]Table S6'!$A:$AI,25,FALSE)</f>
        <v>No</v>
      </c>
      <c r="AJ104">
        <f>VLOOKUP($J104,'[1]Table S6'!$A:$AI,27,FALSE)</f>
        <v>455</v>
      </c>
      <c r="AK104">
        <f>VLOOKUP($J104,'[1]Table S6'!$A:$AI,28,FALSE)</f>
        <v>0.96829112577144105</v>
      </c>
      <c r="AL104">
        <f>VLOOKUP($J104,'[1]Table S6'!$A:$AI,29,FALSE)</f>
        <v>139</v>
      </c>
      <c r="AM104" t="str">
        <f>VLOOKUP($J104,'[1]Table S6'!$A:$AI,30,FALSE)</f>
        <v>No</v>
      </c>
      <c r="AO104">
        <f>VLOOKUP($J104,'[1]Table S6'!$A:$AI,32,FALSE)</f>
        <v>449.4</v>
      </c>
      <c r="AP104">
        <f>VLOOKUP($J104,'[1]Table S6'!$A:$AI,33,FALSE)</f>
        <v>0.95637369653117699</v>
      </c>
      <c r="AQ104">
        <f>VLOOKUP($J104,'[1]Table S6'!$A:$AI,34,FALSE)</f>
        <v>107.4</v>
      </c>
      <c r="AR104" t="str">
        <f>VLOOKUP($J104,'[1]Table S6'!$A:$AI,35,FALSE)</f>
        <v>No</v>
      </c>
      <c r="AT104" t="str">
        <f>VLOOKUP($I104,'[2]Table S5'!$A:$K,8,FALSE)</f>
        <v>Resistant</v>
      </c>
      <c r="AU104" t="str">
        <f>VLOOKUP($I104,'[2]Table S5'!$A:$K,9,FALSE)</f>
        <v>Resistant</v>
      </c>
      <c r="AV104" t="str">
        <f>VLOOKUP($I104,'[2]Table S5'!$A:$K,10,FALSE)</f>
        <v>Resistant</v>
      </c>
      <c r="AW104" t="str">
        <f>VLOOKUP($I104,'[2]Table S5'!$A:$K,11,FALSE)</f>
        <v>Resistant</v>
      </c>
    </row>
    <row r="105" spans="1:49">
      <c r="A105" s="12" t="s">
        <v>791</v>
      </c>
      <c r="B105" t="s">
        <v>792</v>
      </c>
      <c r="C105" t="s">
        <v>793</v>
      </c>
      <c r="D105" t="s">
        <v>17</v>
      </c>
      <c r="E105" t="s">
        <v>794</v>
      </c>
      <c r="F105" s="12" t="s">
        <v>795</v>
      </c>
      <c r="G105" t="s">
        <v>796</v>
      </c>
      <c r="H105" t="s">
        <v>797</v>
      </c>
      <c r="I105" t="s">
        <v>758</v>
      </c>
      <c r="J105" t="s">
        <v>767</v>
      </c>
      <c r="K105">
        <f>VLOOKUP($J105,'[1]Table S6'!$A:$AI,2,FALSE)</f>
        <v>332.6</v>
      </c>
      <c r="L105">
        <f>VLOOKUP($J105,'[1]Table S6'!$A:$AI,3,FALSE)</f>
        <v>0.70781017237710198</v>
      </c>
      <c r="M105">
        <f>VLOOKUP($J105,'[1]Table S6'!$A:$AI,4,FALSE)</f>
        <v>2.407</v>
      </c>
      <c r="N105" t="str">
        <f>VLOOKUP($J105,'[1]Table S6'!$A:$AI,5,FALSE)</f>
        <v>No</v>
      </c>
      <c r="P105">
        <f>VLOOKUP($J105,'[1]Table S6'!$A:$AI,7,FALSE)</f>
        <v>388.2</v>
      </c>
      <c r="Q105">
        <f>VLOOKUP($J105,'[1]Table S6'!$A:$AI,8,FALSE)</f>
        <v>0.826133219834007</v>
      </c>
      <c r="R105">
        <f>VLOOKUP($J105,'[1]Table S6'!$A:$AI,9,FALSE)</f>
        <v>19.96</v>
      </c>
      <c r="S105" t="str">
        <f>VLOOKUP($J105,'[1]Table S6'!$A:$AI,10,FALSE)</f>
        <v>No</v>
      </c>
      <c r="U105">
        <f>VLOOKUP($J105,'[1]Table S6'!$A:$AI,12,FALSE)</f>
        <v>348.3</v>
      </c>
      <c r="V105">
        <f>VLOOKUP($J105,'[1]Table S6'!$A:$AI,13,FALSE)</f>
        <v>0.74122153649712696</v>
      </c>
      <c r="W105">
        <f>VLOOKUP($J105,'[1]Table S6'!$A:$AI,14,FALSE)</f>
        <v>6.141</v>
      </c>
      <c r="X105" t="str">
        <f>VLOOKUP($J105,'[1]Table S6'!$A:$AI,15,FALSE)</f>
        <v>No</v>
      </c>
      <c r="Z105">
        <f>VLOOKUP($J105,'[1]Table S6'!$A:$AI,17,FALSE)</f>
        <v>323.8</v>
      </c>
      <c r="AA105">
        <f>VLOOKUP($J105,'[1]Table S6'!$A:$AI,18,FALSE)</f>
        <v>0.68908278357097297</v>
      </c>
      <c r="AB105">
        <f>VLOOKUP($J105,'[1]Table S6'!$A:$AI,19,FALSE)</f>
        <v>1.6919999999999999</v>
      </c>
      <c r="AC105" t="str">
        <f>VLOOKUP($J105,'[1]Table S6'!$A:$AI,20,FALSE)</f>
        <v>Yes</v>
      </c>
      <c r="AE105">
        <f>VLOOKUP($J105,'[1]Table S6'!$A:$AI,22,FALSE)</f>
        <v>367.8</v>
      </c>
      <c r="AF105">
        <f>VLOOKUP($J105,'[1]Table S6'!$A:$AI,23,FALSE)</f>
        <v>0.78271972760161701</v>
      </c>
      <c r="AG105">
        <f>VLOOKUP($J105,'[1]Table S6'!$A:$AI,24,FALSE)</f>
        <v>9.8629999999999995</v>
      </c>
      <c r="AH105" t="str">
        <f>VLOOKUP($J105,'[1]Table S6'!$A:$AI,25,FALSE)</f>
        <v>No</v>
      </c>
      <c r="AJ105">
        <f>VLOOKUP($J105,'[1]Table S6'!$A:$AI,27,FALSE)</f>
        <v>459.6</v>
      </c>
      <c r="AK105">
        <f>VLOOKUP($J105,'[1]Table S6'!$A:$AI,28,FALSE)</f>
        <v>0.97808044264737204</v>
      </c>
      <c r="AL105">
        <f>VLOOKUP($J105,'[1]Table S6'!$A:$AI,29,FALSE)</f>
        <v>223.6</v>
      </c>
      <c r="AM105" t="str">
        <f>VLOOKUP($J105,'[1]Table S6'!$A:$AI,30,FALSE)</f>
        <v>No</v>
      </c>
      <c r="AO105">
        <f>VLOOKUP($J105,'[1]Table S6'!$A:$AI,32,FALSE)</f>
        <v>465.2</v>
      </c>
      <c r="AP105">
        <f>VLOOKUP($J105,'[1]Table S6'!$A:$AI,33,FALSE)</f>
        <v>0.98999787188763599</v>
      </c>
      <c r="AQ105">
        <f>VLOOKUP($J105,'[1]Table S6'!$A:$AI,34,FALSE)</f>
        <v>1046</v>
      </c>
      <c r="AR105" t="str">
        <f>VLOOKUP($J105,'[1]Table S6'!$A:$AI,35,FALSE)</f>
        <v>No</v>
      </c>
      <c r="AT105" t="str">
        <f>VLOOKUP($I105,'[2]Table S5'!$A:$K,8,FALSE)</f>
        <v>Resistant</v>
      </c>
      <c r="AU105" t="str">
        <f>VLOOKUP($I105,'[2]Table S5'!$A:$K,9,FALSE)</f>
        <v>Resistant</v>
      </c>
      <c r="AV105" t="str">
        <f>VLOOKUP($I105,'[2]Table S5'!$A:$K,10,FALSE)</f>
        <v>Resistant</v>
      </c>
      <c r="AW105" t="str">
        <f>VLOOKUP($I105,'[2]Table S5'!$A:$K,11,FALSE)</f>
        <v>Resistant</v>
      </c>
    </row>
    <row r="106" spans="1:49">
      <c r="A106" s="12" t="s">
        <v>798</v>
      </c>
      <c r="B106" t="s">
        <v>799</v>
      </c>
      <c r="C106" t="s">
        <v>800</v>
      </c>
      <c r="D106" t="s">
        <v>17</v>
      </c>
      <c r="E106" t="s">
        <v>801</v>
      </c>
      <c r="F106" s="12" t="s">
        <v>802</v>
      </c>
      <c r="G106" t="s">
        <v>803</v>
      </c>
      <c r="H106" t="s">
        <v>804</v>
      </c>
      <c r="I106" t="s">
        <v>758</v>
      </c>
      <c r="J106" t="s">
        <v>775</v>
      </c>
      <c r="K106">
        <f>VLOOKUP($J106,'[1]Table S6'!$A:$AI,2,FALSE)</f>
        <v>323.5</v>
      </c>
      <c r="L106">
        <f>VLOOKUP($J106,'[1]Table S6'!$A:$AI,3,FALSE)</f>
        <v>0.68844434986167302</v>
      </c>
      <c r="M106">
        <f>VLOOKUP($J106,'[1]Table S6'!$A:$AI,4,FALSE)</f>
        <v>1.6439999999999999</v>
      </c>
      <c r="N106" t="str">
        <f>VLOOKUP($J106,'[1]Table S6'!$A:$AI,5,FALSE)</f>
        <v>Yes</v>
      </c>
      <c r="P106">
        <f>VLOOKUP($J106,'[1]Table S6'!$A:$AI,7,FALSE)</f>
        <v>391.9</v>
      </c>
      <c r="Q106">
        <f>VLOOKUP($J106,'[1]Table S6'!$A:$AI,8,FALSE)</f>
        <v>0.83400723558203904</v>
      </c>
      <c r="R106">
        <f>VLOOKUP($J106,'[1]Table S6'!$A:$AI,9,FALSE)</f>
        <v>19.12</v>
      </c>
      <c r="S106" t="str">
        <f>VLOOKUP($J106,'[1]Table S6'!$A:$AI,10,FALSE)</f>
        <v>No</v>
      </c>
      <c r="U106">
        <f>VLOOKUP($J106,'[1]Table S6'!$A:$AI,12,FALSE)</f>
        <v>310.39999999999998</v>
      </c>
      <c r="V106">
        <f>VLOOKUP($J106,'[1]Table S6'!$A:$AI,13,FALSE)</f>
        <v>0.66056607788891297</v>
      </c>
      <c r="W106">
        <f>VLOOKUP($J106,'[1]Table S6'!$A:$AI,14,FALSE)</f>
        <v>1.37</v>
      </c>
      <c r="X106" t="str">
        <f>VLOOKUP($J106,'[1]Table S6'!$A:$AI,15,FALSE)</f>
        <v>Yes</v>
      </c>
      <c r="Z106">
        <f>VLOOKUP($J106,'[1]Table S6'!$A:$AI,17,FALSE)</f>
        <v>350.4</v>
      </c>
      <c r="AA106">
        <f>VLOOKUP($J106,'[1]Table S6'!$A:$AI,18,FALSE)</f>
        <v>0.74569057246222603</v>
      </c>
      <c r="AB106">
        <f>VLOOKUP($J106,'[1]Table S6'!$A:$AI,19,FALSE)</f>
        <v>4.1870000000000003</v>
      </c>
      <c r="AC106" t="str">
        <f>VLOOKUP($J106,'[1]Table S6'!$A:$AI,20,FALSE)</f>
        <v>No</v>
      </c>
      <c r="AE106">
        <f>VLOOKUP($J106,'[1]Table S6'!$A:$AI,22,FALSE)</f>
        <v>381.4</v>
      </c>
      <c r="AF106">
        <f>VLOOKUP($J106,'[1]Table S6'!$A:$AI,23,FALSE)</f>
        <v>0.81166205575654404</v>
      </c>
      <c r="AG106">
        <f>VLOOKUP($J106,'[1]Table S6'!$A:$AI,24,FALSE)</f>
        <v>15.76</v>
      </c>
      <c r="AH106" t="str">
        <f>VLOOKUP($J106,'[1]Table S6'!$A:$AI,25,FALSE)</f>
        <v>No</v>
      </c>
      <c r="AJ106">
        <f>VLOOKUP($J106,'[1]Table S6'!$A:$AI,27,FALSE)</f>
        <v>462.8</v>
      </c>
      <c r="AK106">
        <f>VLOOKUP($J106,'[1]Table S6'!$A:$AI,28,FALSE)</f>
        <v>0.98489040221323698</v>
      </c>
      <c r="AL106">
        <f>VLOOKUP($J106,'[1]Table S6'!$A:$AI,29,FALSE)</f>
        <v>231.1</v>
      </c>
      <c r="AM106" t="str">
        <f>VLOOKUP($J106,'[1]Table S6'!$A:$AI,30,FALSE)</f>
        <v>No</v>
      </c>
      <c r="AO106">
        <f>VLOOKUP($J106,'[1]Table S6'!$A:$AI,32,FALSE)</f>
        <v>453.5</v>
      </c>
      <c r="AP106">
        <f>VLOOKUP($J106,'[1]Table S6'!$A:$AI,33,FALSE)</f>
        <v>0.96509895722494199</v>
      </c>
      <c r="AQ106">
        <f>VLOOKUP($J106,'[1]Table S6'!$A:$AI,34,FALSE)</f>
        <v>254.8</v>
      </c>
      <c r="AR106" t="str">
        <f>VLOOKUP($J106,'[1]Table S6'!$A:$AI,35,FALSE)</f>
        <v>No</v>
      </c>
      <c r="AT106" t="str">
        <f>VLOOKUP($I106,'[2]Table S5'!$A:$K,8,FALSE)</f>
        <v>Resistant</v>
      </c>
      <c r="AU106" t="str">
        <f>VLOOKUP($I106,'[2]Table S5'!$A:$K,9,FALSE)</f>
        <v>Resistant</v>
      </c>
      <c r="AV106" t="str">
        <f>VLOOKUP($I106,'[2]Table S5'!$A:$K,10,FALSE)</f>
        <v>Resistant</v>
      </c>
      <c r="AW106" t="str">
        <f>VLOOKUP($I106,'[2]Table S5'!$A:$K,11,FALSE)</f>
        <v>Resistant</v>
      </c>
    </row>
    <row r="107" spans="1:49">
      <c r="A107" s="12" t="s">
        <v>805</v>
      </c>
      <c r="B107" t="s">
        <v>806</v>
      </c>
      <c r="C107" t="s">
        <v>807</v>
      </c>
      <c r="D107" t="s">
        <v>17</v>
      </c>
      <c r="E107" t="s">
        <v>808</v>
      </c>
      <c r="F107" s="12" t="s">
        <v>809</v>
      </c>
      <c r="G107" t="s">
        <v>810</v>
      </c>
      <c r="H107" t="s">
        <v>811</v>
      </c>
      <c r="I107" t="s">
        <v>758</v>
      </c>
      <c r="J107" t="s">
        <v>783</v>
      </c>
      <c r="K107">
        <f>VLOOKUP($J107,'[1]Table S6'!$A:$AI,2,FALSE)</f>
        <v>334.4</v>
      </c>
      <c r="L107">
        <f>VLOOKUP($J107,'[1]Table S6'!$A:$AI,3,FALSE)</f>
        <v>0.71164077463290099</v>
      </c>
      <c r="M107">
        <f>VLOOKUP($J107,'[1]Table S6'!$A:$AI,4,FALSE)</f>
        <v>3.0750000000000002</v>
      </c>
      <c r="N107" t="str">
        <f>VLOOKUP($J107,'[1]Table S6'!$A:$AI,5,FALSE)</f>
        <v>No</v>
      </c>
      <c r="P107">
        <f>VLOOKUP($J107,'[1]Table S6'!$A:$AI,7,FALSE)</f>
        <v>389.8</v>
      </c>
      <c r="Q107">
        <f>VLOOKUP($J107,'[1]Table S6'!$A:$AI,8,FALSE)</f>
        <v>0.82953819961693998</v>
      </c>
      <c r="R107">
        <f>VLOOKUP($J107,'[1]Table S6'!$A:$AI,9,FALSE)</f>
        <v>19.07</v>
      </c>
      <c r="S107" t="str">
        <f>VLOOKUP($J107,'[1]Table S6'!$A:$AI,10,FALSE)</f>
        <v>No</v>
      </c>
      <c r="U107">
        <f>VLOOKUP($J107,'[1]Table S6'!$A:$AI,12,FALSE)</f>
        <v>348.2</v>
      </c>
      <c r="V107">
        <f>VLOOKUP($J107,'[1]Table S6'!$A:$AI,13,FALSE)</f>
        <v>0.74100872526069395</v>
      </c>
      <c r="W107">
        <f>VLOOKUP($J107,'[1]Table S6'!$A:$AI,14,FALSE)</f>
        <v>3.6280000000000001</v>
      </c>
      <c r="X107" t="str">
        <f>VLOOKUP($J107,'[1]Table S6'!$A:$AI,15,FALSE)</f>
        <v>No</v>
      </c>
      <c r="Z107">
        <f>VLOOKUP($J107,'[1]Table S6'!$A:$AI,17,FALSE)</f>
        <v>386.1</v>
      </c>
      <c r="AA107">
        <f>VLOOKUP($J107,'[1]Table S6'!$A:$AI,18,FALSE)</f>
        <v>0.82166418386890805</v>
      </c>
      <c r="AB107">
        <f>VLOOKUP($J107,'[1]Table S6'!$A:$AI,19,FALSE)</f>
        <v>15.89</v>
      </c>
      <c r="AC107" t="str">
        <f>VLOOKUP($J107,'[1]Table S6'!$A:$AI,20,FALSE)</f>
        <v>No</v>
      </c>
      <c r="AE107">
        <f>VLOOKUP($J107,'[1]Table S6'!$A:$AI,22,FALSE)</f>
        <v>383.7</v>
      </c>
      <c r="AF107">
        <f>VLOOKUP($J107,'[1]Table S6'!$A:$AI,23,FALSE)</f>
        <v>0.81655671419450904</v>
      </c>
      <c r="AG107">
        <f>VLOOKUP($J107,'[1]Table S6'!$A:$AI,24,FALSE)</f>
        <v>13.49</v>
      </c>
      <c r="AH107" t="str">
        <f>VLOOKUP($J107,'[1]Table S6'!$A:$AI,25,FALSE)</f>
        <v>No</v>
      </c>
      <c r="AJ107">
        <f>VLOOKUP($J107,'[1]Table S6'!$A:$AI,27,FALSE)</f>
        <v>449.8</v>
      </c>
      <c r="AK107">
        <f>VLOOKUP($J107,'[1]Table S6'!$A:$AI,28,FALSE)</f>
        <v>0.95722494147690995</v>
      </c>
      <c r="AL107">
        <f>VLOOKUP($J107,'[1]Table S6'!$A:$AI,29,FALSE)</f>
        <v>117.5</v>
      </c>
      <c r="AM107" t="str">
        <f>VLOOKUP($J107,'[1]Table S6'!$A:$AI,30,FALSE)</f>
        <v>No</v>
      </c>
      <c r="AO107">
        <f>VLOOKUP($J107,'[1]Table S6'!$A:$AI,32,FALSE)</f>
        <v>448.4</v>
      </c>
      <c r="AP107">
        <f>VLOOKUP($J107,'[1]Table S6'!$A:$AI,33,FALSE)</f>
        <v>0.95424558416684402</v>
      </c>
      <c r="AQ107">
        <f>VLOOKUP($J107,'[1]Table S6'!$A:$AI,34,FALSE)</f>
        <v>191.6</v>
      </c>
      <c r="AR107" t="str">
        <f>VLOOKUP($J107,'[1]Table S6'!$A:$AI,35,FALSE)</f>
        <v>No</v>
      </c>
      <c r="AT107" t="str">
        <f>VLOOKUP($I107,'[2]Table S5'!$A:$K,8,FALSE)</f>
        <v>Resistant</v>
      </c>
      <c r="AU107" t="str">
        <f>VLOOKUP($I107,'[2]Table S5'!$A:$K,9,FALSE)</f>
        <v>Resistant</v>
      </c>
      <c r="AV107" t="str">
        <f>VLOOKUP($I107,'[2]Table S5'!$A:$K,10,FALSE)</f>
        <v>Resistant</v>
      </c>
      <c r="AW107" t="str">
        <f>VLOOKUP($I107,'[2]Table S5'!$A:$K,11,FALSE)</f>
        <v>Resistant</v>
      </c>
    </row>
    <row r="108" spans="1:49">
      <c r="A108" s="12" t="s">
        <v>812</v>
      </c>
      <c r="B108" t="s">
        <v>813</v>
      </c>
      <c r="C108" t="s">
        <v>814</v>
      </c>
      <c r="D108" t="s">
        <v>17</v>
      </c>
      <c r="E108" t="s">
        <v>815</v>
      </c>
      <c r="F108" s="12" t="s">
        <v>816</v>
      </c>
      <c r="G108" t="s">
        <v>817</v>
      </c>
      <c r="H108" t="s">
        <v>818</v>
      </c>
      <c r="I108" t="s">
        <v>758</v>
      </c>
      <c r="J108" t="s">
        <v>758</v>
      </c>
      <c r="K108" t="e">
        <f>VLOOKUP($J108,'[1]Table S6'!$A:$AI,2,FALSE)</f>
        <v>#N/A</v>
      </c>
      <c r="L108" t="e">
        <f>VLOOKUP($J108,'[1]Table S6'!$A:$AI,3,FALSE)</f>
        <v>#N/A</v>
      </c>
      <c r="M108" t="e">
        <f>VLOOKUP($J108,'[1]Table S6'!$A:$AI,4,FALSE)</f>
        <v>#N/A</v>
      </c>
      <c r="N108" t="e">
        <f>VLOOKUP($J108,'[1]Table S6'!$A:$AI,5,FALSE)</f>
        <v>#N/A</v>
      </c>
      <c r="P108" t="e">
        <f>VLOOKUP($J108,'[1]Table S6'!$A:$AI,7,FALSE)</f>
        <v>#N/A</v>
      </c>
      <c r="Q108" t="e">
        <f>VLOOKUP($J108,'[1]Table S6'!$A:$AI,8,FALSE)</f>
        <v>#N/A</v>
      </c>
      <c r="R108" t="e">
        <f>VLOOKUP($J108,'[1]Table S6'!$A:$AI,9,FALSE)</f>
        <v>#N/A</v>
      </c>
      <c r="S108" t="e">
        <f>VLOOKUP($J108,'[1]Table S6'!$A:$AI,10,FALSE)</f>
        <v>#N/A</v>
      </c>
      <c r="U108" t="e">
        <f>VLOOKUP($J108,'[1]Table S6'!$A:$AI,12,FALSE)</f>
        <v>#N/A</v>
      </c>
      <c r="V108" t="e">
        <f>VLOOKUP($J108,'[1]Table S6'!$A:$AI,13,FALSE)</f>
        <v>#N/A</v>
      </c>
      <c r="W108" t="e">
        <f>VLOOKUP($J108,'[1]Table S6'!$A:$AI,14,FALSE)</f>
        <v>#N/A</v>
      </c>
      <c r="X108" t="e">
        <f>VLOOKUP($J108,'[1]Table S6'!$A:$AI,15,FALSE)</f>
        <v>#N/A</v>
      </c>
      <c r="Z108" t="e">
        <f>VLOOKUP($J108,'[1]Table S6'!$A:$AI,17,FALSE)</f>
        <v>#N/A</v>
      </c>
      <c r="AA108" t="e">
        <f>VLOOKUP($J108,'[1]Table S6'!$A:$AI,18,FALSE)</f>
        <v>#N/A</v>
      </c>
      <c r="AB108" t="e">
        <f>VLOOKUP($J108,'[1]Table S6'!$A:$AI,19,FALSE)</f>
        <v>#N/A</v>
      </c>
      <c r="AC108" t="e">
        <f>VLOOKUP($J108,'[1]Table S6'!$A:$AI,20,FALSE)</f>
        <v>#N/A</v>
      </c>
      <c r="AE108" t="e">
        <f>VLOOKUP($J108,'[1]Table S6'!$A:$AI,22,FALSE)</f>
        <v>#N/A</v>
      </c>
      <c r="AF108" t="e">
        <f>VLOOKUP($J108,'[1]Table S6'!$A:$AI,23,FALSE)</f>
        <v>#N/A</v>
      </c>
      <c r="AG108" t="e">
        <f>VLOOKUP($J108,'[1]Table S6'!$A:$AI,24,FALSE)</f>
        <v>#N/A</v>
      </c>
      <c r="AH108" t="e">
        <f>VLOOKUP($J108,'[1]Table S6'!$A:$AI,25,FALSE)</f>
        <v>#N/A</v>
      </c>
      <c r="AJ108" t="e">
        <f>VLOOKUP($J108,'[1]Table S6'!$A:$AI,27,FALSE)</f>
        <v>#N/A</v>
      </c>
      <c r="AK108" t="e">
        <f>VLOOKUP($J108,'[1]Table S6'!$A:$AI,28,FALSE)</f>
        <v>#N/A</v>
      </c>
      <c r="AL108" t="e">
        <f>VLOOKUP($J108,'[1]Table S6'!$A:$AI,29,FALSE)</f>
        <v>#N/A</v>
      </c>
      <c r="AM108" t="e">
        <f>VLOOKUP($J108,'[1]Table S6'!$A:$AI,30,FALSE)</f>
        <v>#N/A</v>
      </c>
      <c r="AO108" t="e">
        <f>VLOOKUP($J108,'[1]Table S6'!$A:$AI,32,FALSE)</f>
        <v>#N/A</v>
      </c>
      <c r="AP108" t="e">
        <f>VLOOKUP($J108,'[1]Table S6'!$A:$AI,33,FALSE)</f>
        <v>#N/A</v>
      </c>
      <c r="AQ108" t="e">
        <f>VLOOKUP($J108,'[1]Table S6'!$A:$AI,34,FALSE)</f>
        <v>#N/A</v>
      </c>
      <c r="AR108" t="e">
        <f>VLOOKUP($J108,'[1]Table S6'!$A:$AI,35,FALSE)</f>
        <v>#N/A</v>
      </c>
      <c r="AT108" t="str">
        <f>VLOOKUP($I108,'[2]Table S5'!$A:$K,8,FALSE)</f>
        <v>Resistant</v>
      </c>
      <c r="AU108" t="str">
        <f>VLOOKUP($I108,'[2]Table S5'!$A:$K,9,FALSE)</f>
        <v>Resistant</v>
      </c>
      <c r="AV108" t="str">
        <f>VLOOKUP($I108,'[2]Table S5'!$A:$K,10,FALSE)</f>
        <v>Resistant</v>
      </c>
      <c r="AW108" t="str">
        <f>VLOOKUP($I108,'[2]Table S5'!$A:$K,11,FALSE)</f>
        <v>Resistant</v>
      </c>
    </row>
    <row r="109" spans="1:49">
      <c r="A109" s="12" t="s">
        <v>819</v>
      </c>
      <c r="B109" t="s">
        <v>820</v>
      </c>
      <c r="C109" t="s">
        <v>821</v>
      </c>
      <c r="D109" t="s">
        <v>17</v>
      </c>
      <c r="E109" t="s">
        <v>822</v>
      </c>
      <c r="F109" s="12" t="s">
        <v>823</v>
      </c>
      <c r="G109" t="s">
        <v>824</v>
      </c>
      <c r="H109" t="s">
        <v>825</v>
      </c>
      <c r="I109" t="s">
        <v>826</v>
      </c>
      <c r="J109" t="s">
        <v>827</v>
      </c>
      <c r="K109">
        <f>VLOOKUP($J109,'[1]Table S6'!$A:$AI,2,FALSE)</f>
        <v>325.39999999999998</v>
      </c>
      <c r="L109">
        <f>VLOOKUP($J109,'[1]Table S6'!$A:$AI,3,FALSE)</f>
        <v>0.69248776335390505</v>
      </c>
      <c r="M109">
        <f>VLOOKUP($J109,'[1]Table S6'!$A:$AI,4,FALSE)</f>
        <v>2.165</v>
      </c>
      <c r="N109" t="str">
        <f>VLOOKUP($J109,'[1]Table S6'!$A:$AI,5,FALSE)</f>
        <v>Yes</v>
      </c>
      <c r="P109">
        <f>VLOOKUP($J109,'[1]Table S6'!$A:$AI,7,FALSE)</f>
        <v>384.3</v>
      </c>
      <c r="Q109">
        <f>VLOOKUP($J109,'[1]Table S6'!$A:$AI,8,FALSE)</f>
        <v>0.81783358161310904</v>
      </c>
      <c r="R109">
        <f>VLOOKUP($J109,'[1]Table S6'!$A:$AI,9,FALSE)</f>
        <v>18.29</v>
      </c>
      <c r="S109" t="str">
        <f>VLOOKUP($J109,'[1]Table S6'!$A:$AI,10,FALSE)</f>
        <v>No</v>
      </c>
      <c r="U109">
        <f>VLOOKUP($J109,'[1]Table S6'!$A:$AI,12,FALSE)</f>
        <v>313.2</v>
      </c>
      <c r="V109">
        <f>VLOOKUP($J109,'[1]Table S6'!$A:$AI,13,FALSE)</f>
        <v>0.66652479250904495</v>
      </c>
      <c r="W109">
        <f>VLOOKUP($J109,'[1]Table S6'!$A:$AI,14,FALSE)</f>
        <v>1.393</v>
      </c>
      <c r="X109" t="str">
        <f>VLOOKUP($J109,'[1]Table S6'!$A:$AI,15,FALSE)</f>
        <v>Yes</v>
      </c>
      <c r="Z109">
        <f>VLOOKUP($J109,'[1]Table S6'!$A:$AI,17,FALSE)</f>
        <v>355.3</v>
      </c>
      <c r="AA109">
        <f>VLOOKUP($J109,'[1]Table S6'!$A:$AI,18,FALSE)</f>
        <v>0.75611832304745696</v>
      </c>
      <c r="AB109">
        <f>VLOOKUP($J109,'[1]Table S6'!$A:$AI,19,FALSE)</f>
        <v>6.6120000000000001</v>
      </c>
      <c r="AC109" t="str">
        <f>VLOOKUP($J109,'[1]Table S6'!$A:$AI,20,FALSE)</f>
        <v>No</v>
      </c>
      <c r="AE109">
        <f>VLOOKUP($J109,'[1]Table S6'!$A:$AI,22,FALSE)</f>
        <v>407.2</v>
      </c>
      <c r="AF109">
        <f>VLOOKUP($J109,'[1]Table S6'!$A:$AI,23,FALSE)</f>
        <v>0.86656735475633095</v>
      </c>
      <c r="AG109">
        <f>VLOOKUP($J109,'[1]Table S6'!$A:$AI,24,FALSE)</f>
        <v>33.869999999999997</v>
      </c>
      <c r="AH109" t="str">
        <f>VLOOKUP($J109,'[1]Table S6'!$A:$AI,25,FALSE)</f>
        <v>No</v>
      </c>
      <c r="AJ109">
        <f>VLOOKUP($J109,'[1]Table S6'!$A:$AI,27,FALSE)</f>
        <v>424.5</v>
      </c>
      <c r="AK109">
        <f>VLOOKUP($J109,'[1]Table S6'!$A:$AI,28,FALSE)</f>
        <v>0.90338369865928903</v>
      </c>
      <c r="AL109">
        <f>VLOOKUP($J109,'[1]Table S6'!$A:$AI,29,FALSE)</f>
        <v>90.9</v>
      </c>
      <c r="AM109" t="str">
        <f>VLOOKUP($J109,'[1]Table S6'!$A:$AI,30,FALSE)</f>
        <v>No</v>
      </c>
      <c r="AO109">
        <f>VLOOKUP($J109,'[1]Table S6'!$A:$AI,32,FALSE)</f>
        <v>422.4</v>
      </c>
      <c r="AP109">
        <f>VLOOKUP($J109,'[1]Table S6'!$A:$AI,33,FALSE)</f>
        <v>0.89891466269418996</v>
      </c>
      <c r="AQ109">
        <f>VLOOKUP($J109,'[1]Table S6'!$A:$AI,34,FALSE)</f>
        <v>72</v>
      </c>
      <c r="AR109" t="str">
        <f>VLOOKUP($J109,'[1]Table S6'!$A:$AI,35,FALSE)</f>
        <v>No</v>
      </c>
      <c r="AT109" t="str">
        <f>VLOOKUP($I109,'[2]Table S5'!$A:$K,8,FALSE)</f>
        <v>Resistant</v>
      </c>
      <c r="AU109" t="str">
        <f>VLOOKUP($I109,'[2]Table S5'!$A:$K,9,FALSE)</f>
        <v>Resistant</v>
      </c>
      <c r="AV109" t="str">
        <f>VLOOKUP($I109,'[2]Table S5'!$A:$K,10,FALSE)</f>
        <v>Resistant</v>
      </c>
      <c r="AW109" t="str">
        <f>VLOOKUP($I109,'[2]Table S5'!$A:$K,11,FALSE)</f>
        <v>Resistant</v>
      </c>
    </row>
    <row r="110" spans="1:49">
      <c r="A110" s="12" t="s">
        <v>828</v>
      </c>
      <c r="B110" t="s">
        <v>829</v>
      </c>
      <c r="C110" t="s">
        <v>830</v>
      </c>
      <c r="D110" t="s">
        <v>17</v>
      </c>
      <c r="E110" t="s">
        <v>831</v>
      </c>
      <c r="F110" s="12" t="s">
        <v>832</v>
      </c>
      <c r="G110" t="s">
        <v>833</v>
      </c>
      <c r="H110" t="s">
        <v>834</v>
      </c>
      <c r="I110" t="s">
        <v>826</v>
      </c>
      <c r="J110" t="s">
        <v>835</v>
      </c>
      <c r="K110">
        <f>VLOOKUP($J110,'[1]Table S6'!$A:$AI,2,FALSE)</f>
        <v>375.9</v>
      </c>
      <c r="L110">
        <f>VLOOKUP($J110,'[1]Table S6'!$A:$AI,3,FALSE)</f>
        <v>0.799957437752713</v>
      </c>
      <c r="M110">
        <f>VLOOKUP($J110,'[1]Table S6'!$A:$AI,4,FALSE)</f>
        <v>9.3379999999999992</v>
      </c>
      <c r="N110" t="str">
        <f>VLOOKUP($J110,'[1]Table S6'!$A:$AI,5,FALSE)</f>
        <v>No</v>
      </c>
      <c r="P110">
        <f>VLOOKUP($J110,'[1]Table S6'!$A:$AI,7,FALSE)</f>
        <v>368.9</v>
      </c>
      <c r="Q110">
        <f>VLOOKUP($J110,'[1]Table S6'!$A:$AI,8,FALSE)</f>
        <v>0.785060651202383</v>
      </c>
      <c r="R110">
        <f>VLOOKUP($J110,'[1]Table S6'!$A:$AI,9,FALSE)</f>
        <v>10.06</v>
      </c>
      <c r="S110" t="str">
        <f>VLOOKUP($J110,'[1]Table S6'!$A:$AI,10,FALSE)</f>
        <v>No</v>
      </c>
      <c r="U110">
        <f>VLOOKUP($J110,'[1]Table S6'!$A:$AI,12,FALSE)</f>
        <v>344.3</v>
      </c>
      <c r="V110">
        <f>VLOOKUP($J110,'[1]Table S6'!$A:$AI,13,FALSE)</f>
        <v>0.73270908703979598</v>
      </c>
      <c r="W110">
        <f>VLOOKUP($J110,'[1]Table S6'!$A:$AI,14,FALSE)</f>
        <v>3.105</v>
      </c>
      <c r="X110" t="str">
        <f>VLOOKUP($J110,'[1]Table S6'!$A:$AI,15,FALSE)</f>
        <v>No</v>
      </c>
      <c r="Z110">
        <f>VLOOKUP($J110,'[1]Table S6'!$A:$AI,17,FALSE)</f>
        <v>386.1</v>
      </c>
      <c r="AA110">
        <f>VLOOKUP($J110,'[1]Table S6'!$A:$AI,18,FALSE)</f>
        <v>0.82166418386890805</v>
      </c>
      <c r="AB110">
        <f>VLOOKUP($J110,'[1]Table S6'!$A:$AI,19,FALSE)</f>
        <v>18.45</v>
      </c>
      <c r="AC110" t="str">
        <f>VLOOKUP($J110,'[1]Table S6'!$A:$AI,20,FALSE)</f>
        <v>No</v>
      </c>
      <c r="AE110">
        <f>VLOOKUP($J110,'[1]Table S6'!$A:$AI,22,FALSE)</f>
        <v>393.3</v>
      </c>
      <c r="AF110">
        <f>VLOOKUP($J110,'[1]Table S6'!$A:$AI,23,FALSE)</f>
        <v>0.83698659289210497</v>
      </c>
      <c r="AG110">
        <f>VLOOKUP($J110,'[1]Table S6'!$A:$AI,24,FALSE)</f>
        <v>22.2</v>
      </c>
      <c r="AH110" t="str">
        <f>VLOOKUP($J110,'[1]Table S6'!$A:$AI,25,FALSE)</f>
        <v>No</v>
      </c>
      <c r="AJ110">
        <f>VLOOKUP($J110,'[1]Table S6'!$A:$AI,27,FALSE)</f>
        <v>428.1</v>
      </c>
      <c r="AK110">
        <f>VLOOKUP($J110,'[1]Table S6'!$A:$AI,28,FALSE)</f>
        <v>0.91104490317088704</v>
      </c>
      <c r="AL110">
        <f>VLOOKUP($J110,'[1]Table S6'!$A:$AI,29,FALSE)</f>
        <v>141.80000000000001</v>
      </c>
      <c r="AM110" t="str">
        <f>VLOOKUP($J110,'[1]Table S6'!$A:$AI,30,FALSE)</f>
        <v>No</v>
      </c>
      <c r="AO110">
        <f>VLOOKUP($J110,'[1]Table S6'!$A:$AI,32,FALSE)</f>
        <v>434.1</v>
      </c>
      <c r="AP110">
        <f>VLOOKUP($J110,'[1]Table S6'!$A:$AI,33,FALSE)</f>
        <v>0.92381357735688496</v>
      </c>
      <c r="AQ110">
        <f>VLOOKUP($J110,'[1]Table S6'!$A:$AI,34,FALSE)</f>
        <v>154</v>
      </c>
      <c r="AR110" t="str">
        <f>VLOOKUP($J110,'[1]Table S6'!$A:$AI,35,FALSE)</f>
        <v>No</v>
      </c>
      <c r="AT110" t="str">
        <f>VLOOKUP($I110,'[2]Table S5'!$A:$K,8,FALSE)</f>
        <v>Resistant</v>
      </c>
      <c r="AU110" t="str">
        <f>VLOOKUP($I110,'[2]Table S5'!$A:$K,9,FALSE)</f>
        <v>Resistant</v>
      </c>
      <c r="AV110" t="str">
        <f>VLOOKUP($I110,'[2]Table S5'!$A:$K,10,FALSE)</f>
        <v>Resistant</v>
      </c>
      <c r="AW110" t="str">
        <f>VLOOKUP($I110,'[2]Table S5'!$A:$K,11,FALSE)</f>
        <v>Resistant</v>
      </c>
    </row>
    <row r="111" spans="1:49">
      <c r="A111" s="12" t="s">
        <v>836</v>
      </c>
      <c r="B111" t="s">
        <v>837</v>
      </c>
      <c r="C111" t="s">
        <v>838</v>
      </c>
      <c r="D111" t="s">
        <v>17</v>
      </c>
      <c r="E111" t="s">
        <v>839</v>
      </c>
      <c r="F111" s="12" t="s">
        <v>840</v>
      </c>
      <c r="G111" t="s">
        <v>841</v>
      </c>
      <c r="H111" t="s">
        <v>842</v>
      </c>
      <c r="I111" t="s">
        <v>826</v>
      </c>
      <c r="J111" t="s">
        <v>843</v>
      </c>
      <c r="K111">
        <f>VLOOKUP($J111,'[1]Table S6'!$A:$AI,2,FALSE)</f>
        <v>313.8</v>
      </c>
      <c r="L111">
        <f>VLOOKUP($J111,'[1]Table S6'!$A:$AI,3,FALSE)</f>
        <v>0.66780165992764395</v>
      </c>
      <c r="M111">
        <f>VLOOKUP($J111,'[1]Table S6'!$A:$AI,4,FALSE)</f>
        <v>1.4370000000000001</v>
      </c>
      <c r="N111" t="str">
        <f>VLOOKUP($J111,'[1]Table S6'!$A:$AI,5,FALSE)</f>
        <v>Yes</v>
      </c>
      <c r="P111">
        <f>VLOOKUP($J111,'[1]Table S6'!$A:$AI,7,FALSE)</f>
        <v>367.1</v>
      </c>
      <c r="Q111">
        <f>VLOOKUP($J111,'[1]Table S6'!$A:$AI,8,FALSE)</f>
        <v>0.78123004894658399</v>
      </c>
      <c r="R111">
        <f>VLOOKUP($J111,'[1]Table S6'!$A:$AI,9,FALSE)</f>
        <v>8.8559999999999999</v>
      </c>
      <c r="S111" t="str">
        <f>VLOOKUP($J111,'[1]Table S6'!$A:$AI,10,FALSE)</f>
        <v>No</v>
      </c>
      <c r="U111">
        <f>VLOOKUP($J111,'[1]Table S6'!$A:$AI,12,FALSE)</f>
        <v>324.8</v>
      </c>
      <c r="V111">
        <f>VLOOKUP($J111,'[1]Table S6'!$A:$AI,13,FALSE)</f>
        <v>0.69121089593530505</v>
      </c>
      <c r="W111">
        <f>VLOOKUP($J111,'[1]Table S6'!$A:$AI,14,FALSE)</f>
        <v>1.619</v>
      </c>
      <c r="X111" t="str">
        <f>VLOOKUP($J111,'[1]Table S6'!$A:$AI,15,FALSE)</f>
        <v>Yes</v>
      </c>
      <c r="Z111">
        <f>VLOOKUP($J111,'[1]Table S6'!$A:$AI,17,FALSE)</f>
        <v>315.39999999999998</v>
      </c>
      <c r="AA111">
        <f>VLOOKUP($J111,'[1]Table S6'!$A:$AI,18,FALSE)</f>
        <v>0.67120663971057704</v>
      </c>
      <c r="AB111">
        <f>VLOOKUP($J111,'[1]Table S6'!$A:$AI,19,FALSE)</f>
        <v>1.7769999999999999</v>
      </c>
      <c r="AC111" t="str">
        <f>VLOOKUP($J111,'[1]Table S6'!$A:$AI,20,FALSE)</f>
        <v>Yes</v>
      </c>
      <c r="AE111">
        <f>VLOOKUP($J111,'[1]Table S6'!$A:$AI,22,FALSE)</f>
        <v>417.1</v>
      </c>
      <c r="AF111">
        <f>VLOOKUP($J111,'[1]Table S6'!$A:$AI,23,FALSE)</f>
        <v>0.88763566716322595</v>
      </c>
      <c r="AG111">
        <f>VLOOKUP($J111,'[1]Table S6'!$A:$AI,24,FALSE)</f>
        <v>70.41</v>
      </c>
      <c r="AH111" t="str">
        <f>VLOOKUP($J111,'[1]Table S6'!$A:$AI,25,FALSE)</f>
        <v>No</v>
      </c>
      <c r="AJ111">
        <f>VLOOKUP($J111,'[1]Table S6'!$A:$AI,27,FALSE)</f>
        <v>427.5</v>
      </c>
      <c r="AK111">
        <f>VLOOKUP($J111,'[1]Table S6'!$A:$AI,28,FALSE)</f>
        <v>0.90976803575228804</v>
      </c>
      <c r="AL111">
        <f>VLOOKUP($J111,'[1]Table S6'!$A:$AI,29,FALSE)</f>
        <v>110.9</v>
      </c>
      <c r="AM111" t="str">
        <f>VLOOKUP($J111,'[1]Table S6'!$A:$AI,30,FALSE)</f>
        <v>No</v>
      </c>
      <c r="AO111">
        <f>VLOOKUP($J111,'[1]Table S6'!$A:$AI,32,FALSE)</f>
        <v>412.6</v>
      </c>
      <c r="AP111">
        <f>VLOOKUP($J111,'[1]Table S6'!$A:$AI,33,FALSE)</f>
        <v>0.87805916152372898</v>
      </c>
      <c r="AQ111">
        <f>VLOOKUP($J111,'[1]Table S6'!$A:$AI,34,FALSE)</f>
        <v>40.409999999999997</v>
      </c>
      <c r="AR111" t="str">
        <f>VLOOKUP($J111,'[1]Table S6'!$A:$AI,35,FALSE)</f>
        <v>No</v>
      </c>
      <c r="AT111" t="str">
        <f>VLOOKUP($I111,'[2]Table S5'!$A:$K,8,FALSE)</f>
        <v>Resistant</v>
      </c>
      <c r="AU111" t="str">
        <f>VLOOKUP($I111,'[2]Table S5'!$A:$K,9,FALSE)</f>
        <v>Resistant</v>
      </c>
      <c r="AV111" t="str">
        <f>VLOOKUP($I111,'[2]Table S5'!$A:$K,10,FALSE)</f>
        <v>Resistant</v>
      </c>
      <c r="AW111" t="str">
        <f>VLOOKUP($I111,'[2]Table S5'!$A:$K,11,FALSE)</f>
        <v>Resistant</v>
      </c>
    </row>
    <row r="112" spans="1:49">
      <c r="A112" s="12" t="s">
        <v>844</v>
      </c>
      <c r="B112" t="s">
        <v>845</v>
      </c>
      <c r="C112" t="s">
        <v>846</v>
      </c>
      <c r="D112" t="s">
        <v>17</v>
      </c>
      <c r="E112" t="s">
        <v>847</v>
      </c>
      <c r="F112" s="12" t="s">
        <v>848</v>
      </c>
      <c r="G112" t="s">
        <v>849</v>
      </c>
      <c r="H112" t="s">
        <v>850</v>
      </c>
      <c r="I112" t="s">
        <v>826</v>
      </c>
      <c r="J112" t="s">
        <v>827</v>
      </c>
      <c r="K112">
        <f>VLOOKUP($J112,'[1]Table S6'!$A:$AI,2,FALSE)</f>
        <v>325.39999999999998</v>
      </c>
      <c r="L112">
        <f>VLOOKUP($J112,'[1]Table S6'!$A:$AI,3,FALSE)</f>
        <v>0.69248776335390505</v>
      </c>
      <c r="M112">
        <f>VLOOKUP($J112,'[1]Table S6'!$A:$AI,4,FALSE)</f>
        <v>2.165</v>
      </c>
      <c r="N112" t="str">
        <f>VLOOKUP($J112,'[1]Table S6'!$A:$AI,5,FALSE)</f>
        <v>Yes</v>
      </c>
      <c r="P112">
        <f>VLOOKUP($J112,'[1]Table S6'!$A:$AI,7,FALSE)</f>
        <v>384.3</v>
      </c>
      <c r="Q112">
        <f>VLOOKUP($J112,'[1]Table S6'!$A:$AI,8,FALSE)</f>
        <v>0.81783358161310904</v>
      </c>
      <c r="R112">
        <f>VLOOKUP($J112,'[1]Table S6'!$A:$AI,9,FALSE)</f>
        <v>18.29</v>
      </c>
      <c r="S112" t="str">
        <f>VLOOKUP($J112,'[1]Table S6'!$A:$AI,10,FALSE)</f>
        <v>No</v>
      </c>
      <c r="U112">
        <f>VLOOKUP($J112,'[1]Table S6'!$A:$AI,12,FALSE)</f>
        <v>313.2</v>
      </c>
      <c r="V112">
        <f>VLOOKUP($J112,'[1]Table S6'!$A:$AI,13,FALSE)</f>
        <v>0.66652479250904495</v>
      </c>
      <c r="W112">
        <f>VLOOKUP($J112,'[1]Table S6'!$A:$AI,14,FALSE)</f>
        <v>1.393</v>
      </c>
      <c r="X112" t="str">
        <f>VLOOKUP($J112,'[1]Table S6'!$A:$AI,15,FALSE)</f>
        <v>Yes</v>
      </c>
      <c r="Z112">
        <f>VLOOKUP($J112,'[1]Table S6'!$A:$AI,17,FALSE)</f>
        <v>355.3</v>
      </c>
      <c r="AA112">
        <f>VLOOKUP($J112,'[1]Table S6'!$A:$AI,18,FALSE)</f>
        <v>0.75611832304745696</v>
      </c>
      <c r="AB112">
        <f>VLOOKUP($J112,'[1]Table S6'!$A:$AI,19,FALSE)</f>
        <v>6.6120000000000001</v>
      </c>
      <c r="AC112" t="str">
        <f>VLOOKUP($J112,'[1]Table S6'!$A:$AI,20,FALSE)</f>
        <v>No</v>
      </c>
      <c r="AE112">
        <f>VLOOKUP($J112,'[1]Table S6'!$A:$AI,22,FALSE)</f>
        <v>407.2</v>
      </c>
      <c r="AF112">
        <f>VLOOKUP($J112,'[1]Table S6'!$A:$AI,23,FALSE)</f>
        <v>0.86656735475633095</v>
      </c>
      <c r="AG112">
        <f>VLOOKUP($J112,'[1]Table S6'!$A:$AI,24,FALSE)</f>
        <v>33.869999999999997</v>
      </c>
      <c r="AH112" t="str">
        <f>VLOOKUP($J112,'[1]Table S6'!$A:$AI,25,FALSE)</f>
        <v>No</v>
      </c>
      <c r="AJ112">
        <f>VLOOKUP($J112,'[1]Table S6'!$A:$AI,27,FALSE)</f>
        <v>424.5</v>
      </c>
      <c r="AK112">
        <f>VLOOKUP($J112,'[1]Table S6'!$A:$AI,28,FALSE)</f>
        <v>0.90338369865928903</v>
      </c>
      <c r="AL112">
        <f>VLOOKUP($J112,'[1]Table S6'!$A:$AI,29,FALSE)</f>
        <v>90.9</v>
      </c>
      <c r="AM112" t="str">
        <f>VLOOKUP($J112,'[1]Table S6'!$A:$AI,30,FALSE)</f>
        <v>No</v>
      </c>
      <c r="AO112">
        <f>VLOOKUP($J112,'[1]Table S6'!$A:$AI,32,FALSE)</f>
        <v>422.4</v>
      </c>
      <c r="AP112">
        <f>VLOOKUP($J112,'[1]Table S6'!$A:$AI,33,FALSE)</f>
        <v>0.89891466269418996</v>
      </c>
      <c r="AQ112">
        <f>VLOOKUP($J112,'[1]Table S6'!$A:$AI,34,FALSE)</f>
        <v>72</v>
      </c>
      <c r="AR112" t="str">
        <f>VLOOKUP($J112,'[1]Table S6'!$A:$AI,35,FALSE)</f>
        <v>No</v>
      </c>
      <c r="AT112" t="str">
        <f>VLOOKUP($I112,'[2]Table S5'!$A:$K,8,FALSE)</f>
        <v>Resistant</v>
      </c>
      <c r="AU112" t="str">
        <f>VLOOKUP($I112,'[2]Table S5'!$A:$K,9,FALSE)</f>
        <v>Resistant</v>
      </c>
      <c r="AV112" t="str">
        <f>VLOOKUP($I112,'[2]Table S5'!$A:$K,10,FALSE)</f>
        <v>Resistant</v>
      </c>
      <c r="AW112" t="str">
        <f>VLOOKUP($I112,'[2]Table S5'!$A:$K,11,FALSE)</f>
        <v>Resistant</v>
      </c>
    </row>
    <row r="113" spans="1:49">
      <c r="A113" s="12" t="s">
        <v>851</v>
      </c>
      <c r="B113" t="s">
        <v>852</v>
      </c>
      <c r="C113" t="s">
        <v>853</v>
      </c>
      <c r="D113" t="s">
        <v>17</v>
      </c>
      <c r="E113" t="s">
        <v>854</v>
      </c>
      <c r="F113" s="12" t="s">
        <v>855</v>
      </c>
      <c r="G113" t="s">
        <v>856</v>
      </c>
      <c r="H113" t="s">
        <v>857</v>
      </c>
      <c r="I113" t="s">
        <v>826</v>
      </c>
      <c r="J113" t="s">
        <v>835</v>
      </c>
      <c r="K113">
        <f>VLOOKUP($J113,'[1]Table S6'!$A:$AI,2,FALSE)</f>
        <v>375.9</v>
      </c>
      <c r="L113">
        <f>VLOOKUP($J113,'[1]Table S6'!$A:$AI,3,FALSE)</f>
        <v>0.799957437752713</v>
      </c>
      <c r="M113">
        <f>VLOOKUP($J113,'[1]Table S6'!$A:$AI,4,FALSE)</f>
        <v>9.3379999999999992</v>
      </c>
      <c r="N113" t="str">
        <f>VLOOKUP($J113,'[1]Table S6'!$A:$AI,5,FALSE)</f>
        <v>No</v>
      </c>
      <c r="P113">
        <f>VLOOKUP($J113,'[1]Table S6'!$A:$AI,7,FALSE)</f>
        <v>368.9</v>
      </c>
      <c r="Q113">
        <f>VLOOKUP($J113,'[1]Table S6'!$A:$AI,8,FALSE)</f>
        <v>0.785060651202383</v>
      </c>
      <c r="R113">
        <f>VLOOKUP($J113,'[1]Table S6'!$A:$AI,9,FALSE)</f>
        <v>10.06</v>
      </c>
      <c r="S113" t="str">
        <f>VLOOKUP($J113,'[1]Table S6'!$A:$AI,10,FALSE)</f>
        <v>No</v>
      </c>
      <c r="U113">
        <f>VLOOKUP($J113,'[1]Table S6'!$A:$AI,12,FALSE)</f>
        <v>344.3</v>
      </c>
      <c r="V113">
        <f>VLOOKUP($J113,'[1]Table S6'!$A:$AI,13,FALSE)</f>
        <v>0.73270908703979598</v>
      </c>
      <c r="W113">
        <f>VLOOKUP($J113,'[1]Table S6'!$A:$AI,14,FALSE)</f>
        <v>3.105</v>
      </c>
      <c r="X113" t="str">
        <f>VLOOKUP($J113,'[1]Table S6'!$A:$AI,15,FALSE)</f>
        <v>No</v>
      </c>
      <c r="Z113">
        <f>VLOOKUP($J113,'[1]Table S6'!$A:$AI,17,FALSE)</f>
        <v>386.1</v>
      </c>
      <c r="AA113">
        <f>VLOOKUP($J113,'[1]Table S6'!$A:$AI,18,FALSE)</f>
        <v>0.82166418386890805</v>
      </c>
      <c r="AB113">
        <f>VLOOKUP($J113,'[1]Table S6'!$A:$AI,19,FALSE)</f>
        <v>18.45</v>
      </c>
      <c r="AC113" t="str">
        <f>VLOOKUP($J113,'[1]Table S6'!$A:$AI,20,FALSE)</f>
        <v>No</v>
      </c>
      <c r="AE113">
        <f>VLOOKUP($J113,'[1]Table S6'!$A:$AI,22,FALSE)</f>
        <v>393.3</v>
      </c>
      <c r="AF113">
        <f>VLOOKUP($J113,'[1]Table S6'!$A:$AI,23,FALSE)</f>
        <v>0.83698659289210497</v>
      </c>
      <c r="AG113">
        <f>VLOOKUP($J113,'[1]Table S6'!$A:$AI,24,FALSE)</f>
        <v>22.2</v>
      </c>
      <c r="AH113" t="str">
        <f>VLOOKUP($J113,'[1]Table S6'!$A:$AI,25,FALSE)</f>
        <v>No</v>
      </c>
      <c r="AJ113">
        <f>VLOOKUP($J113,'[1]Table S6'!$A:$AI,27,FALSE)</f>
        <v>428.1</v>
      </c>
      <c r="AK113">
        <f>VLOOKUP($J113,'[1]Table S6'!$A:$AI,28,FALSE)</f>
        <v>0.91104490317088704</v>
      </c>
      <c r="AL113">
        <f>VLOOKUP($J113,'[1]Table S6'!$A:$AI,29,FALSE)</f>
        <v>141.80000000000001</v>
      </c>
      <c r="AM113" t="str">
        <f>VLOOKUP($J113,'[1]Table S6'!$A:$AI,30,FALSE)</f>
        <v>No</v>
      </c>
      <c r="AO113">
        <f>VLOOKUP($J113,'[1]Table S6'!$A:$AI,32,FALSE)</f>
        <v>434.1</v>
      </c>
      <c r="AP113">
        <f>VLOOKUP($J113,'[1]Table S6'!$A:$AI,33,FALSE)</f>
        <v>0.92381357735688496</v>
      </c>
      <c r="AQ113">
        <f>VLOOKUP($J113,'[1]Table S6'!$A:$AI,34,FALSE)</f>
        <v>154</v>
      </c>
      <c r="AR113" t="str">
        <f>VLOOKUP($J113,'[1]Table S6'!$A:$AI,35,FALSE)</f>
        <v>No</v>
      </c>
      <c r="AT113" t="str">
        <f>VLOOKUP($I113,'[2]Table S5'!$A:$K,8,FALSE)</f>
        <v>Resistant</v>
      </c>
      <c r="AU113" t="str">
        <f>VLOOKUP($I113,'[2]Table S5'!$A:$K,9,FALSE)</f>
        <v>Resistant</v>
      </c>
      <c r="AV113" t="str">
        <f>VLOOKUP($I113,'[2]Table S5'!$A:$K,10,FALSE)</f>
        <v>Resistant</v>
      </c>
      <c r="AW113" t="str">
        <f>VLOOKUP($I113,'[2]Table S5'!$A:$K,11,FALSE)</f>
        <v>Resistant</v>
      </c>
    </row>
    <row r="114" spans="1:49">
      <c r="A114" s="12" t="s">
        <v>858</v>
      </c>
      <c r="B114" t="s">
        <v>859</v>
      </c>
      <c r="C114" t="s">
        <v>860</v>
      </c>
      <c r="D114" t="s">
        <v>17</v>
      </c>
      <c r="E114" t="s">
        <v>861</v>
      </c>
      <c r="F114" s="12" t="s">
        <v>862</v>
      </c>
      <c r="G114" t="s">
        <v>863</v>
      </c>
      <c r="H114" t="s">
        <v>864</v>
      </c>
      <c r="I114" t="s">
        <v>826</v>
      </c>
      <c r="J114" t="s">
        <v>843</v>
      </c>
      <c r="K114">
        <f>VLOOKUP($J114,'[1]Table S6'!$A:$AI,2,FALSE)</f>
        <v>313.8</v>
      </c>
      <c r="L114">
        <f>VLOOKUP($J114,'[1]Table S6'!$A:$AI,3,FALSE)</f>
        <v>0.66780165992764395</v>
      </c>
      <c r="M114">
        <f>VLOOKUP($J114,'[1]Table S6'!$A:$AI,4,FALSE)</f>
        <v>1.4370000000000001</v>
      </c>
      <c r="N114" t="str">
        <f>VLOOKUP($J114,'[1]Table S6'!$A:$AI,5,FALSE)</f>
        <v>Yes</v>
      </c>
      <c r="P114">
        <f>VLOOKUP($J114,'[1]Table S6'!$A:$AI,7,FALSE)</f>
        <v>367.1</v>
      </c>
      <c r="Q114">
        <f>VLOOKUP($J114,'[1]Table S6'!$A:$AI,8,FALSE)</f>
        <v>0.78123004894658399</v>
      </c>
      <c r="R114">
        <f>VLOOKUP($J114,'[1]Table S6'!$A:$AI,9,FALSE)</f>
        <v>8.8559999999999999</v>
      </c>
      <c r="S114" t="str">
        <f>VLOOKUP($J114,'[1]Table S6'!$A:$AI,10,FALSE)</f>
        <v>No</v>
      </c>
      <c r="U114">
        <f>VLOOKUP($J114,'[1]Table S6'!$A:$AI,12,FALSE)</f>
        <v>324.8</v>
      </c>
      <c r="V114">
        <f>VLOOKUP($J114,'[1]Table S6'!$A:$AI,13,FALSE)</f>
        <v>0.69121089593530505</v>
      </c>
      <c r="W114">
        <f>VLOOKUP($J114,'[1]Table S6'!$A:$AI,14,FALSE)</f>
        <v>1.619</v>
      </c>
      <c r="X114" t="str">
        <f>VLOOKUP($J114,'[1]Table S6'!$A:$AI,15,FALSE)</f>
        <v>Yes</v>
      </c>
      <c r="Z114">
        <f>VLOOKUP($J114,'[1]Table S6'!$A:$AI,17,FALSE)</f>
        <v>315.39999999999998</v>
      </c>
      <c r="AA114">
        <f>VLOOKUP($J114,'[1]Table S6'!$A:$AI,18,FALSE)</f>
        <v>0.67120663971057704</v>
      </c>
      <c r="AB114">
        <f>VLOOKUP($J114,'[1]Table S6'!$A:$AI,19,FALSE)</f>
        <v>1.7769999999999999</v>
      </c>
      <c r="AC114" t="str">
        <f>VLOOKUP($J114,'[1]Table S6'!$A:$AI,20,FALSE)</f>
        <v>Yes</v>
      </c>
      <c r="AE114">
        <f>VLOOKUP($J114,'[1]Table S6'!$A:$AI,22,FALSE)</f>
        <v>417.1</v>
      </c>
      <c r="AF114">
        <f>VLOOKUP($J114,'[1]Table S6'!$A:$AI,23,FALSE)</f>
        <v>0.88763566716322595</v>
      </c>
      <c r="AG114">
        <f>VLOOKUP($J114,'[1]Table S6'!$A:$AI,24,FALSE)</f>
        <v>70.41</v>
      </c>
      <c r="AH114" t="str">
        <f>VLOOKUP($J114,'[1]Table S6'!$A:$AI,25,FALSE)</f>
        <v>No</v>
      </c>
      <c r="AJ114">
        <f>VLOOKUP($J114,'[1]Table S6'!$A:$AI,27,FALSE)</f>
        <v>427.5</v>
      </c>
      <c r="AK114">
        <f>VLOOKUP($J114,'[1]Table S6'!$A:$AI,28,FALSE)</f>
        <v>0.90976803575228804</v>
      </c>
      <c r="AL114">
        <f>VLOOKUP($J114,'[1]Table S6'!$A:$AI,29,FALSE)</f>
        <v>110.9</v>
      </c>
      <c r="AM114" t="str">
        <f>VLOOKUP($J114,'[1]Table S6'!$A:$AI,30,FALSE)</f>
        <v>No</v>
      </c>
      <c r="AO114">
        <f>VLOOKUP($J114,'[1]Table S6'!$A:$AI,32,FALSE)</f>
        <v>412.6</v>
      </c>
      <c r="AP114">
        <f>VLOOKUP($J114,'[1]Table S6'!$A:$AI,33,FALSE)</f>
        <v>0.87805916152372898</v>
      </c>
      <c r="AQ114">
        <f>VLOOKUP($J114,'[1]Table S6'!$A:$AI,34,FALSE)</f>
        <v>40.409999999999997</v>
      </c>
      <c r="AR114" t="str">
        <f>VLOOKUP($J114,'[1]Table S6'!$A:$AI,35,FALSE)</f>
        <v>No</v>
      </c>
      <c r="AT114" t="str">
        <f>VLOOKUP($I114,'[2]Table S5'!$A:$K,8,FALSE)</f>
        <v>Resistant</v>
      </c>
      <c r="AU114" t="str">
        <f>VLOOKUP($I114,'[2]Table S5'!$A:$K,9,FALSE)</f>
        <v>Resistant</v>
      </c>
      <c r="AV114" t="str">
        <f>VLOOKUP($I114,'[2]Table S5'!$A:$K,10,FALSE)</f>
        <v>Resistant</v>
      </c>
      <c r="AW114" t="str">
        <f>VLOOKUP($I114,'[2]Table S5'!$A:$K,11,FALSE)</f>
        <v>Resistant</v>
      </c>
    </row>
    <row r="115" spans="1:49">
      <c r="A115" s="12" t="s">
        <v>865</v>
      </c>
      <c r="B115" t="s">
        <v>866</v>
      </c>
      <c r="C115" t="s">
        <v>867</v>
      </c>
      <c r="D115" t="s">
        <v>17</v>
      </c>
      <c r="E115" t="s">
        <v>868</v>
      </c>
      <c r="F115" s="12" t="s">
        <v>869</v>
      </c>
      <c r="G115" t="s">
        <v>870</v>
      </c>
      <c r="H115" t="s">
        <v>871</v>
      </c>
      <c r="I115" t="s">
        <v>826</v>
      </c>
      <c r="J115" t="s">
        <v>826</v>
      </c>
      <c r="K115" t="e">
        <f>VLOOKUP($J115,'[1]Table S6'!$A:$AI,2,FALSE)</f>
        <v>#N/A</v>
      </c>
      <c r="L115" t="e">
        <f>VLOOKUP($J115,'[1]Table S6'!$A:$AI,3,FALSE)</f>
        <v>#N/A</v>
      </c>
      <c r="M115" t="e">
        <f>VLOOKUP($J115,'[1]Table S6'!$A:$AI,4,FALSE)</f>
        <v>#N/A</v>
      </c>
      <c r="N115" t="e">
        <f>VLOOKUP($J115,'[1]Table S6'!$A:$AI,5,FALSE)</f>
        <v>#N/A</v>
      </c>
      <c r="P115" t="e">
        <f>VLOOKUP($J115,'[1]Table S6'!$A:$AI,7,FALSE)</f>
        <v>#N/A</v>
      </c>
      <c r="Q115" t="e">
        <f>VLOOKUP($J115,'[1]Table S6'!$A:$AI,8,FALSE)</f>
        <v>#N/A</v>
      </c>
      <c r="R115" t="e">
        <f>VLOOKUP($J115,'[1]Table S6'!$A:$AI,9,FALSE)</f>
        <v>#N/A</v>
      </c>
      <c r="S115" t="e">
        <f>VLOOKUP($J115,'[1]Table S6'!$A:$AI,10,FALSE)</f>
        <v>#N/A</v>
      </c>
      <c r="U115" t="e">
        <f>VLOOKUP($J115,'[1]Table S6'!$A:$AI,12,FALSE)</f>
        <v>#N/A</v>
      </c>
      <c r="V115" t="e">
        <f>VLOOKUP($J115,'[1]Table S6'!$A:$AI,13,FALSE)</f>
        <v>#N/A</v>
      </c>
      <c r="W115" t="e">
        <f>VLOOKUP($J115,'[1]Table S6'!$A:$AI,14,FALSE)</f>
        <v>#N/A</v>
      </c>
      <c r="X115" t="e">
        <f>VLOOKUP($J115,'[1]Table S6'!$A:$AI,15,FALSE)</f>
        <v>#N/A</v>
      </c>
      <c r="Z115" t="e">
        <f>VLOOKUP($J115,'[1]Table S6'!$A:$AI,17,FALSE)</f>
        <v>#N/A</v>
      </c>
      <c r="AA115" t="e">
        <f>VLOOKUP($J115,'[1]Table S6'!$A:$AI,18,FALSE)</f>
        <v>#N/A</v>
      </c>
      <c r="AB115" t="e">
        <f>VLOOKUP($J115,'[1]Table S6'!$A:$AI,19,FALSE)</f>
        <v>#N/A</v>
      </c>
      <c r="AC115" t="e">
        <f>VLOOKUP($J115,'[1]Table S6'!$A:$AI,20,FALSE)</f>
        <v>#N/A</v>
      </c>
      <c r="AE115" t="e">
        <f>VLOOKUP($J115,'[1]Table S6'!$A:$AI,22,FALSE)</f>
        <v>#N/A</v>
      </c>
      <c r="AF115" t="e">
        <f>VLOOKUP($J115,'[1]Table S6'!$A:$AI,23,FALSE)</f>
        <v>#N/A</v>
      </c>
      <c r="AG115" t="e">
        <f>VLOOKUP($J115,'[1]Table S6'!$A:$AI,24,FALSE)</f>
        <v>#N/A</v>
      </c>
      <c r="AH115" t="e">
        <f>VLOOKUP($J115,'[1]Table S6'!$A:$AI,25,FALSE)</f>
        <v>#N/A</v>
      </c>
      <c r="AJ115" t="e">
        <f>VLOOKUP($J115,'[1]Table S6'!$A:$AI,27,FALSE)</f>
        <v>#N/A</v>
      </c>
      <c r="AK115" t="e">
        <f>VLOOKUP($J115,'[1]Table S6'!$A:$AI,28,FALSE)</f>
        <v>#N/A</v>
      </c>
      <c r="AL115" t="e">
        <f>VLOOKUP($J115,'[1]Table S6'!$A:$AI,29,FALSE)</f>
        <v>#N/A</v>
      </c>
      <c r="AM115" t="e">
        <f>VLOOKUP($J115,'[1]Table S6'!$A:$AI,30,FALSE)</f>
        <v>#N/A</v>
      </c>
      <c r="AO115" t="e">
        <f>VLOOKUP($J115,'[1]Table S6'!$A:$AI,32,FALSE)</f>
        <v>#N/A</v>
      </c>
      <c r="AP115" t="e">
        <f>VLOOKUP($J115,'[1]Table S6'!$A:$AI,33,FALSE)</f>
        <v>#N/A</v>
      </c>
      <c r="AQ115" t="e">
        <f>VLOOKUP($J115,'[1]Table S6'!$A:$AI,34,FALSE)</f>
        <v>#N/A</v>
      </c>
      <c r="AR115" t="e">
        <f>VLOOKUP($J115,'[1]Table S6'!$A:$AI,35,FALSE)</f>
        <v>#N/A</v>
      </c>
      <c r="AT115" t="str">
        <f>VLOOKUP($I115,'[2]Table S5'!$A:$K,8,FALSE)</f>
        <v>Resistant</v>
      </c>
      <c r="AU115" t="str">
        <f>VLOOKUP($I115,'[2]Table S5'!$A:$K,9,FALSE)</f>
        <v>Resistant</v>
      </c>
      <c r="AV115" t="str">
        <f>VLOOKUP($I115,'[2]Table S5'!$A:$K,10,FALSE)</f>
        <v>Resistant</v>
      </c>
      <c r="AW115" t="str">
        <f>VLOOKUP($I115,'[2]Table S5'!$A:$K,11,FALSE)</f>
        <v>Resistant</v>
      </c>
    </row>
    <row r="116" spans="1:49">
      <c r="A116" s="12" t="s">
        <v>872</v>
      </c>
      <c r="B116" t="s">
        <v>873</v>
      </c>
      <c r="C116" t="s">
        <v>874</v>
      </c>
      <c r="D116" t="s">
        <v>17</v>
      </c>
      <c r="E116" t="s">
        <v>875</v>
      </c>
      <c r="F116" s="12" t="s">
        <v>876</v>
      </c>
      <c r="G116" t="s">
        <v>877</v>
      </c>
      <c r="H116" t="s">
        <v>878</v>
      </c>
      <c r="I116" t="s">
        <v>879</v>
      </c>
      <c r="J116" t="s">
        <v>880</v>
      </c>
      <c r="K116">
        <f>VLOOKUP($J116,'[1]Table S6'!$A:$AI,2,FALSE)</f>
        <v>330</v>
      </c>
      <c r="L116">
        <f>VLOOKUP($J116,'[1]Table S6'!$A:$AI,3,FALSE)</f>
        <v>0.70227708022983604</v>
      </c>
      <c r="M116">
        <f>VLOOKUP($J116,'[1]Table S6'!$A:$AI,4,FALSE)</f>
        <v>3.024</v>
      </c>
      <c r="N116" t="str">
        <f>VLOOKUP($J116,'[1]Table S6'!$A:$AI,5,FALSE)</f>
        <v>Yes</v>
      </c>
      <c r="P116">
        <f>VLOOKUP($J116,'[1]Table S6'!$A:$AI,7,FALSE)</f>
        <v>393.9</v>
      </c>
      <c r="Q116">
        <f>VLOOKUP($J116,'[1]Table S6'!$A:$AI,8,FALSE)</f>
        <v>0.83826346031070398</v>
      </c>
      <c r="R116">
        <f>VLOOKUP($J116,'[1]Table S6'!$A:$AI,9,FALSE)</f>
        <v>23.23</v>
      </c>
      <c r="S116" t="str">
        <f>VLOOKUP($J116,'[1]Table S6'!$A:$AI,10,FALSE)</f>
        <v>No</v>
      </c>
      <c r="U116">
        <f>VLOOKUP($J116,'[1]Table S6'!$A:$AI,12,FALSE)</f>
        <v>355.7</v>
      </c>
      <c r="V116">
        <f>VLOOKUP($J116,'[1]Table S6'!$A:$AI,13,FALSE)</f>
        <v>0.75696956799319004</v>
      </c>
      <c r="W116">
        <f>VLOOKUP($J116,'[1]Table S6'!$A:$AI,14,FALSE)</f>
        <v>6.59</v>
      </c>
      <c r="X116" t="str">
        <f>VLOOKUP($J116,'[1]Table S6'!$A:$AI,15,FALSE)</f>
        <v>No</v>
      </c>
      <c r="Z116">
        <f>VLOOKUP($J116,'[1]Table S6'!$A:$AI,17,FALSE)</f>
        <v>387.6</v>
      </c>
      <c r="AA116">
        <f>VLOOKUP($J116,'[1]Table S6'!$A:$AI,18,FALSE)</f>
        <v>0.824856352415408</v>
      </c>
      <c r="AB116">
        <f>VLOOKUP($J116,'[1]Table S6'!$A:$AI,19,FALSE)</f>
        <v>16.78</v>
      </c>
      <c r="AC116" t="str">
        <f>VLOOKUP($J116,'[1]Table S6'!$A:$AI,20,FALSE)</f>
        <v>No</v>
      </c>
      <c r="AE116">
        <f>VLOOKUP($J116,'[1]Table S6'!$A:$AI,22,FALSE)</f>
        <v>389.8</v>
      </c>
      <c r="AF116">
        <f>VLOOKUP($J116,'[1]Table S6'!$A:$AI,23,FALSE)</f>
        <v>0.82953819961693998</v>
      </c>
      <c r="AG116">
        <f>VLOOKUP($J116,'[1]Table S6'!$A:$AI,24,FALSE)</f>
        <v>22.34</v>
      </c>
      <c r="AH116" t="str">
        <f>VLOOKUP($J116,'[1]Table S6'!$A:$AI,25,FALSE)</f>
        <v>No</v>
      </c>
      <c r="AJ116">
        <f>VLOOKUP($J116,'[1]Table S6'!$A:$AI,27,FALSE)</f>
        <v>427.2</v>
      </c>
      <c r="AK116">
        <f>VLOOKUP($J116,'[1]Table S6'!$A:$AI,28,FALSE)</f>
        <v>0.90912960204298798</v>
      </c>
      <c r="AL116">
        <f>VLOOKUP($J116,'[1]Table S6'!$A:$AI,29,FALSE)</f>
        <v>147.80000000000001</v>
      </c>
      <c r="AM116" t="str">
        <f>VLOOKUP($J116,'[1]Table S6'!$A:$AI,30,FALSE)</f>
        <v>No</v>
      </c>
      <c r="AO116">
        <f>VLOOKUP($J116,'[1]Table S6'!$A:$AI,32,FALSE)</f>
        <v>432.8</v>
      </c>
      <c r="AP116">
        <f>VLOOKUP($J116,'[1]Table S6'!$A:$AI,33,FALSE)</f>
        <v>0.92104703128325205</v>
      </c>
      <c r="AQ116">
        <f>VLOOKUP($J116,'[1]Table S6'!$A:$AI,34,FALSE)</f>
        <v>203.1</v>
      </c>
      <c r="AR116" t="str">
        <f>VLOOKUP($J116,'[1]Table S6'!$A:$AI,35,FALSE)</f>
        <v>No</v>
      </c>
      <c r="AT116" t="str">
        <f>VLOOKUP($I116,'[2]Table S5'!$A:$K,8,FALSE)</f>
        <v>Resistant</v>
      </c>
      <c r="AU116" t="str">
        <f>VLOOKUP($I116,'[2]Table S5'!$A:$K,9,FALSE)</f>
        <v>Resistant</v>
      </c>
      <c r="AV116" t="str">
        <f>VLOOKUP($I116,'[2]Table S5'!$A:$K,10,FALSE)</f>
        <v>Resistant</v>
      </c>
      <c r="AW116" t="str">
        <f>VLOOKUP($I116,'[2]Table S5'!$A:$K,11,FALSE)</f>
        <v>Resistant</v>
      </c>
    </row>
    <row r="117" spans="1:49">
      <c r="A117" s="12" t="s">
        <v>881</v>
      </c>
      <c r="B117" t="s">
        <v>882</v>
      </c>
      <c r="C117" t="s">
        <v>883</v>
      </c>
      <c r="D117" t="s">
        <v>17</v>
      </c>
      <c r="E117" t="s">
        <v>884</v>
      </c>
      <c r="F117" s="12" t="s">
        <v>885</v>
      </c>
      <c r="G117" t="s">
        <v>886</v>
      </c>
      <c r="H117" t="s">
        <v>887</v>
      </c>
      <c r="I117" t="s">
        <v>879</v>
      </c>
      <c r="J117" t="s">
        <v>888</v>
      </c>
      <c r="K117">
        <f>VLOOKUP($J117,'[1]Table S6'!$A:$AI,2,FALSE)</f>
        <v>332.9</v>
      </c>
      <c r="L117">
        <f>VLOOKUP($J117,'[1]Table S6'!$A:$AI,3,FALSE)</f>
        <v>0.70844860608640103</v>
      </c>
      <c r="M117">
        <f>VLOOKUP($J117,'[1]Table S6'!$A:$AI,4,FALSE)</f>
        <v>3.1150000000000002</v>
      </c>
      <c r="N117" t="str">
        <f>VLOOKUP($J117,'[1]Table S6'!$A:$AI,5,FALSE)</f>
        <v>No</v>
      </c>
      <c r="P117">
        <f>VLOOKUP($J117,'[1]Table S6'!$A:$AI,7,FALSE)</f>
        <v>395.2</v>
      </c>
      <c r="Q117">
        <f>VLOOKUP($J117,'[1]Table S6'!$A:$AI,8,FALSE)</f>
        <v>0.841030006384337</v>
      </c>
      <c r="R117">
        <f>VLOOKUP($J117,'[1]Table S6'!$A:$AI,9,FALSE)</f>
        <v>20.91</v>
      </c>
      <c r="S117" t="str">
        <f>VLOOKUP($J117,'[1]Table S6'!$A:$AI,10,FALSE)</f>
        <v>No</v>
      </c>
      <c r="U117">
        <f>VLOOKUP($J117,'[1]Table S6'!$A:$AI,12,FALSE)</f>
        <v>388.9</v>
      </c>
      <c r="V117">
        <f>VLOOKUP($J117,'[1]Table S6'!$A:$AI,13,FALSE)</f>
        <v>0.82762289848904003</v>
      </c>
      <c r="W117">
        <f>VLOOKUP($J117,'[1]Table S6'!$A:$AI,14,FALSE)</f>
        <v>19.89</v>
      </c>
      <c r="X117" t="str">
        <f>VLOOKUP($J117,'[1]Table S6'!$A:$AI,15,FALSE)</f>
        <v>No</v>
      </c>
      <c r="Z117">
        <f>VLOOKUP($J117,'[1]Table S6'!$A:$AI,17,FALSE)</f>
        <v>378.4</v>
      </c>
      <c r="AA117">
        <f>VLOOKUP($J117,'[1]Table S6'!$A:$AI,18,FALSE)</f>
        <v>0.80527771866354503</v>
      </c>
      <c r="AB117">
        <f>VLOOKUP($J117,'[1]Table S6'!$A:$AI,19,FALSE)</f>
        <v>12.47</v>
      </c>
      <c r="AC117" t="str">
        <f>VLOOKUP($J117,'[1]Table S6'!$A:$AI,20,FALSE)</f>
        <v>No</v>
      </c>
      <c r="AE117">
        <f>VLOOKUP($J117,'[1]Table S6'!$A:$AI,22,FALSE)</f>
        <v>354.3</v>
      </c>
      <c r="AF117">
        <f>VLOOKUP($J117,'[1]Table S6'!$A:$AI,23,FALSE)</f>
        <v>0.753990210683124</v>
      </c>
      <c r="AG117">
        <f>VLOOKUP($J117,'[1]Table S6'!$A:$AI,24,FALSE)</f>
        <v>7.8529999999999998</v>
      </c>
      <c r="AH117" t="str">
        <f>VLOOKUP($J117,'[1]Table S6'!$A:$AI,25,FALSE)</f>
        <v>No</v>
      </c>
      <c r="AJ117">
        <f>VLOOKUP($J117,'[1]Table S6'!$A:$AI,27,FALSE)</f>
        <v>464.2</v>
      </c>
      <c r="AK117">
        <f>VLOOKUP($J117,'[1]Table S6'!$A:$AI,28,FALSE)</f>
        <v>0.98786975952330303</v>
      </c>
      <c r="AL117">
        <f>VLOOKUP($J117,'[1]Table S6'!$A:$AI,29,FALSE)</f>
        <v>296</v>
      </c>
      <c r="AM117" t="str">
        <f>VLOOKUP($J117,'[1]Table S6'!$A:$AI,30,FALSE)</f>
        <v>No</v>
      </c>
      <c r="AO117">
        <f>VLOOKUP($J117,'[1]Table S6'!$A:$AI,32,FALSE)</f>
        <v>437.2</v>
      </c>
      <c r="AP117">
        <f>VLOOKUP($J117,'[1]Table S6'!$A:$AI,33,FALSE)</f>
        <v>0.930410725686316</v>
      </c>
      <c r="AQ117">
        <f>VLOOKUP($J117,'[1]Table S6'!$A:$AI,34,FALSE)</f>
        <v>195.8</v>
      </c>
      <c r="AR117" t="str">
        <f>VLOOKUP($J117,'[1]Table S6'!$A:$AI,35,FALSE)</f>
        <v>No</v>
      </c>
      <c r="AT117" t="str">
        <f>VLOOKUP($I117,'[2]Table S5'!$A:$K,8,FALSE)</f>
        <v>Resistant</v>
      </c>
      <c r="AU117" t="str">
        <f>VLOOKUP($I117,'[2]Table S5'!$A:$K,9,FALSE)</f>
        <v>Resistant</v>
      </c>
      <c r="AV117" t="str">
        <f>VLOOKUP($I117,'[2]Table S5'!$A:$K,10,FALSE)</f>
        <v>Resistant</v>
      </c>
      <c r="AW117" t="str">
        <f>VLOOKUP($I117,'[2]Table S5'!$A:$K,11,FALSE)</f>
        <v>Resistant</v>
      </c>
    </row>
    <row r="118" spans="1:49">
      <c r="A118" s="12" t="s">
        <v>889</v>
      </c>
      <c r="B118" t="s">
        <v>890</v>
      </c>
      <c r="C118" t="s">
        <v>891</v>
      </c>
      <c r="D118" t="s">
        <v>17</v>
      </c>
      <c r="E118" t="s">
        <v>892</v>
      </c>
      <c r="F118" s="12" t="s">
        <v>893</v>
      </c>
      <c r="G118" t="s">
        <v>894</v>
      </c>
      <c r="H118" t="s">
        <v>895</v>
      </c>
      <c r="I118" t="s">
        <v>879</v>
      </c>
      <c r="J118" t="s">
        <v>896</v>
      </c>
      <c r="K118">
        <f>VLOOKUP($J118,'[1]Table S6'!$A:$AI,2,FALSE)</f>
        <v>304.5</v>
      </c>
      <c r="L118">
        <f>VLOOKUP($J118,'[1]Table S6'!$A:$AI,3,FALSE)</f>
        <v>0.64801021493934896</v>
      </c>
      <c r="M118">
        <f>VLOOKUP($J118,'[1]Table S6'!$A:$AI,4,FALSE)</f>
        <v>0.97950000000000004</v>
      </c>
      <c r="N118" t="str">
        <f>VLOOKUP($J118,'[1]Table S6'!$A:$AI,5,FALSE)</f>
        <v>Yes</v>
      </c>
      <c r="P118">
        <f>VLOOKUP($J118,'[1]Table S6'!$A:$AI,7,FALSE)</f>
        <v>394.4</v>
      </c>
      <c r="Q118">
        <f>VLOOKUP($J118,'[1]Table S6'!$A:$AI,8,FALSE)</f>
        <v>0.83932751649287096</v>
      </c>
      <c r="R118">
        <f>VLOOKUP($J118,'[1]Table S6'!$A:$AI,9,FALSE)</f>
        <v>23.78</v>
      </c>
      <c r="S118" t="str">
        <f>VLOOKUP($J118,'[1]Table S6'!$A:$AI,10,FALSE)</f>
        <v>No</v>
      </c>
      <c r="U118">
        <f>VLOOKUP($J118,'[1]Table S6'!$A:$AI,12,FALSE)</f>
        <v>354.6</v>
      </c>
      <c r="V118">
        <f>VLOOKUP($J118,'[1]Table S6'!$A:$AI,13,FALSE)</f>
        <v>0.75462864439242405</v>
      </c>
      <c r="W118">
        <f>VLOOKUP($J118,'[1]Table S6'!$A:$AI,14,FALSE)</f>
        <v>8.6240000000000006</v>
      </c>
      <c r="X118" t="str">
        <f>VLOOKUP($J118,'[1]Table S6'!$A:$AI,15,FALSE)</f>
        <v>No</v>
      </c>
      <c r="Z118">
        <f>VLOOKUP($J118,'[1]Table S6'!$A:$AI,17,FALSE)</f>
        <v>335.4</v>
      </c>
      <c r="AA118">
        <f>VLOOKUP($J118,'[1]Table S6'!$A:$AI,18,FALSE)</f>
        <v>0.71376888699723295</v>
      </c>
      <c r="AB118">
        <f>VLOOKUP($J118,'[1]Table S6'!$A:$AI,19,FALSE)</f>
        <v>3.7309999999999999</v>
      </c>
      <c r="AC118" t="str">
        <f>VLOOKUP($J118,'[1]Table S6'!$A:$AI,20,FALSE)</f>
        <v>No</v>
      </c>
      <c r="AE118">
        <f>VLOOKUP($J118,'[1]Table S6'!$A:$AI,22,FALSE)</f>
        <v>307.39999999999998</v>
      </c>
      <c r="AF118">
        <f>VLOOKUP($J118,'[1]Table S6'!$A:$AI,23,FALSE)</f>
        <v>0.65418174079591396</v>
      </c>
      <c r="AG118">
        <f>VLOOKUP($J118,'[1]Table S6'!$A:$AI,24,FALSE)</f>
        <v>2.387</v>
      </c>
      <c r="AH118" t="str">
        <f>VLOOKUP($J118,'[1]Table S6'!$A:$AI,25,FALSE)</f>
        <v>Yes</v>
      </c>
      <c r="AJ118">
        <f>VLOOKUP($J118,'[1]Table S6'!$A:$AI,27,FALSE)</f>
        <v>449.2</v>
      </c>
      <c r="AK118">
        <f>VLOOKUP($J118,'[1]Table S6'!$A:$AI,28,FALSE)</f>
        <v>0.95594807405830995</v>
      </c>
      <c r="AL118">
        <f>VLOOKUP($J118,'[1]Table S6'!$A:$AI,29,FALSE)</f>
        <v>773.8</v>
      </c>
      <c r="AM118" t="str">
        <f>VLOOKUP($J118,'[1]Table S6'!$A:$AI,30,FALSE)</f>
        <v>No</v>
      </c>
      <c r="AO118">
        <f>VLOOKUP($J118,'[1]Table S6'!$A:$AI,32,FALSE)</f>
        <v>420.1</v>
      </c>
      <c r="AP118">
        <f>VLOOKUP($J118,'[1]Table S6'!$A:$AI,33,FALSE)</f>
        <v>0.89402000425622496</v>
      </c>
      <c r="AQ118">
        <f>VLOOKUP($J118,'[1]Table S6'!$A:$AI,34,FALSE)</f>
        <v>131.80000000000001</v>
      </c>
      <c r="AR118" t="str">
        <f>VLOOKUP($J118,'[1]Table S6'!$A:$AI,35,FALSE)</f>
        <v>No</v>
      </c>
      <c r="AT118" t="str">
        <f>VLOOKUP($I118,'[2]Table S5'!$A:$K,8,FALSE)</f>
        <v>Resistant</v>
      </c>
      <c r="AU118" t="str">
        <f>VLOOKUP($I118,'[2]Table S5'!$A:$K,9,FALSE)</f>
        <v>Resistant</v>
      </c>
      <c r="AV118" t="str">
        <f>VLOOKUP($I118,'[2]Table S5'!$A:$K,10,FALSE)</f>
        <v>Resistant</v>
      </c>
      <c r="AW118" t="str">
        <f>VLOOKUP($I118,'[2]Table S5'!$A:$K,11,FALSE)</f>
        <v>Resistant</v>
      </c>
    </row>
    <row r="119" spans="1:49">
      <c r="A119" s="12" t="s">
        <v>897</v>
      </c>
      <c r="B119" t="s">
        <v>898</v>
      </c>
      <c r="C119" t="s">
        <v>899</v>
      </c>
      <c r="D119" t="s">
        <v>17</v>
      </c>
      <c r="E119" t="s">
        <v>900</v>
      </c>
      <c r="F119" s="12" t="s">
        <v>901</v>
      </c>
      <c r="G119" t="s">
        <v>902</v>
      </c>
      <c r="H119" t="s">
        <v>903</v>
      </c>
      <c r="I119" t="s">
        <v>879</v>
      </c>
      <c r="J119" t="s">
        <v>880</v>
      </c>
      <c r="K119">
        <f>VLOOKUP($J119,'[1]Table S6'!$A:$AI,2,FALSE)</f>
        <v>330</v>
      </c>
      <c r="L119">
        <f>VLOOKUP($J119,'[1]Table S6'!$A:$AI,3,FALSE)</f>
        <v>0.70227708022983604</v>
      </c>
      <c r="M119">
        <f>VLOOKUP($J119,'[1]Table S6'!$A:$AI,4,FALSE)</f>
        <v>3.024</v>
      </c>
      <c r="N119" t="str">
        <f>VLOOKUP($J119,'[1]Table S6'!$A:$AI,5,FALSE)</f>
        <v>Yes</v>
      </c>
      <c r="P119">
        <f>VLOOKUP($J119,'[1]Table S6'!$A:$AI,7,FALSE)</f>
        <v>393.9</v>
      </c>
      <c r="Q119">
        <f>VLOOKUP($J119,'[1]Table S6'!$A:$AI,8,FALSE)</f>
        <v>0.83826346031070398</v>
      </c>
      <c r="R119">
        <f>VLOOKUP($J119,'[1]Table S6'!$A:$AI,9,FALSE)</f>
        <v>23.23</v>
      </c>
      <c r="S119" t="str">
        <f>VLOOKUP($J119,'[1]Table S6'!$A:$AI,10,FALSE)</f>
        <v>No</v>
      </c>
      <c r="U119">
        <f>VLOOKUP($J119,'[1]Table S6'!$A:$AI,12,FALSE)</f>
        <v>355.7</v>
      </c>
      <c r="V119">
        <f>VLOOKUP($J119,'[1]Table S6'!$A:$AI,13,FALSE)</f>
        <v>0.75696956799319004</v>
      </c>
      <c r="W119">
        <f>VLOOKUP($J119,'[1]Table S6'!$A:$AI,14,FALSE)</f>
        <v>6.59</v>
      </c>
      <c r="X119" t="str">
        <f>VLOOKUP($J119,'[1]Table S6'!$A:$AI,15,FALSE)</f>
        <v>No</v>
      </c>
      <c r="Z119">
        <f>VLOOKUP($J119,'[1]Table S6'!$A:$AI,17,FALSE)</f>
        <v>387.6</v>
      </c>
      <c r="AA119">
        <f>VLOOKUP($J119,'[1]Table S6'!$A:$AI,18,FALSE)</f>
        <v>0.824856352415408</v>
      </c>
      <c r="AB119">
        <f>VLOOKUP($J119,'[1]Table S6'!$A:$AI,19,FALSE)</f>
        <v>16.78</v>
      </c>
      <c r="AC119" t="str">
        <f>VLOOKUP($J119,'[1]Table S6'!$A:$AI,20,FALSE)</f>
        <v>No</v>
      </c>
      <c r="AE119">
        <f>VLOOKUP($J119,'[1]Table S6'!$A:$AI,22,FALSE)</f>
        <v>389.8</v>
      </c>
      <c r="AF119">
        <f>VLOOKUP($J119,'[1]Table S6'!$A:$AI,23,FALSE)</f>
        <v>0.82953819961693998</v>
      </c>
      <c r="AG119">
        <f>VLOOKUP($J119,'[1]Table S6'!$A:$AI,24,FALSE)</f>
        <v>22.34</v>
      </c>
      <c r="AH119" t="str">
        <f>VLOOKUP($J119,'[1]Table S6'!$A:$AI,25,FALSE)</f>
        <v>No</v>
      </c>
      <c r="AJ119">
        <f>VLOOKUP($J119,'[1]Table S6'!$A:$AI,27,FALSE)</f>
        <v>427.2</v>
      </c>
      <c r="AK119">
        <f>VLOOKUP($J119,'[1]Table S6'!$A:$AI,28,FALSE)</f>
        <v>0.90912960204298798</v>
      </c>
      <c r="AL119">
        <f>VLOOKUP($J119,'[1]Table S6'!$A:$AI,29,FALSE)</f>
        <v>147.80000000000001</v>
      </c>
      <c r="AM119" t="str">
        <f>VLOOKUP($J119,'[1]Table S6'!$A:$AI,30,FALSE)</f>
        <v>No</v>
      </c>
      <c r="AO119">
        <f>VLOOKUP($J119,'[1]Table S6'!$A:$AI,32,FALSE)</f>
        <v>432.8</v>
      </c>
      <c r="AP119">
        <f>VLOOKUP($J119,'[1]Table S6'!$A:$AI,33,FALSE)</f>
        <v>0.92104703128325205</v>
      </c>
      <c r="AQ119">
        <f>VLOOKUP($J119,'[1]Table S6'!$A:$AI,34,FALSE)</f>
        <v>203.1</v>
      </c>
      <c r="AR119" t="str">
        <f>VLOOKUP($J119,'[1]Table S6'!$A:$AI,35,FALSE)</f>
        <v>No</v>
      </c>
      <c r="AT119" t="str">
        <f>VLOOKUP($I119,'[2]Table S5'!$A:$K,8,FALSE)</f>
        <v>Resistant</v>
      </c>
      <c r="AU119" t="str">
        <f>VLOOKUP($I119,'[2]Table S5'!$A:$K,9,FALSE)</f>
        <v>Resistant</v>
      </c>
      <c r="AV119" t="str">
        <f>VLOOKUP($I119,'[2]Table S5'!$A:$K,10,FALSE)</f>
        <v>Resistant</v>
      </c>
      <c r="AW119" t="str">
        <f>VLOOKUP($I119,'[2]Table S5'!$A:$K,11,FALSE)</f>
        <v>Resistant</v>
      </c>
    </row>
    <row r="120" spans="1:49">
      <c r="A120" s="12" t="s">
        <v>904</v>
      </c>
      <c r="B120" t="s">
        <v>905</v>
      </c>
      <c r="C120" t="s">
        <v>906</v>
      </c>
      <c r="D120" t="s">
        <v>17</v>
      </c>
      <c r="E120" t="s">
        <v>907</v>
      </c>
      <c r="F120" s="12" t="s">
        <v>908</v>
      </c>
      <c r="G120" t="s">
        <v>909</v>
      </c>
      <c r="H120" t="s">
        <v>910</v>
      </c>
      <c r="I120" t="s">
        <v>879</v>
      </c>
      <c r="J120" t="s">
        <v>888</v>
      </c>
      <c r="K120">
        <f>VLOOKUP($J120,'[1]Table S6'!$A:$AI,2,FALSE)</f>
        <v>332.9</v>
      </c>
      <c r="L120">
        <f>VLOOKUP($J120,'[1]Table S6'!$A:$AI,3,FALSE)</f>
        <v>0.70844860608640103</v>
      </c>
      <c r="M120">
        <f>VLOOKUP($J120,'[1]Table S6'!$A:$AI,4,FALSE)</f>
        <v>3.1150000000000002</v>
      </c>
      <c r="N120" t="str">
        <f>VLOOKUP($J120,'[1]Table S6'!$A:$AI,5,FALSE)</f>
        <v>No</v>
      </c>
      <c r="P120">
        <f>VLOOKUP($J120,'[1]Table S6'!$A:$AI,7,FALSE)</f>
        <v>395.2</v>
      </c>
      <c r="Q120">
        <f>VLOOKUP($J120,'[1]Table S6'!$A:$AI,8,FALSE)</f>
        <v>0.841030006384337</v>
      </c>
      <c r="R120">
        <f>VLOOKUP($J120,'[1]Table S6'!$A:$AI,9,FALSE)</f>
        <v>20.91</v>
      </c>
      <c r="S120" t="str">
        <f>VLOOKUP($J120,'[1]Table S6'!$A:$AI,10,FALSE)</f>
        <v>No</v>
      </c>
      <c r="U120">
        <f>VLOOKUP($J120,'[1]Table S6'!$A:$AI,12,FALSE)</f>
        <v>388.9</v>
      </c>
      <c r="V120">
        <f>VLOOKUP($J120,'[1]Table S6'!$A:$AI,13,FALSE)</f>
        <v>0.82762289848904003</v>
      </c>
      <c r="W120">
        <f>VLOOKUP($J120,'[1]Table S6'!$A:$AI,14,FALSE)</f>
        <v>19.89</v>
      </c>
      <c r="X120" t="str">
        <f>VLOOKUP($J120,'[1]Table S6'!$A:$AI,15,FALSE)</f>
        <v>No</v>
      </c>
      <c r="Z120">
        <f>VLOOKUP($J120,'[1]Table S6'!$A:$AI,17,FALSE)</f>
        <v>378.4</v>
      </c>
      <c r="AA120">
        <f>VLOOKUP($J120,'[1]Table S6'!$A:$AI,18,FALSE)</f>
        <v>0.80527771866354503</v>
      </c>
      <c r="AB120">
        <f>VLOOKUP($J120,'[1]Table S6'!$A:$AI,19,FALSE)</f>
        <v>12.47</v>
      </c>
      <c r="AC120" t="str">
        <f>VLOOKUP($J120,'[1]Table S6'!$A:$AI,20,FALSE)</f>
        <v>No</v>
      </c>
      <c r="AE120">
        <f>VLOOKUP($J120,'[1]Table S6'!$A:$AI,22,FALSE)</f>
        <v>354.3</v>
      </c>
      <c r="AF120">
        <f>VLOOKUP($J120,'[1]Table S6'!$A:$AI,23,FALSE)</f>
        <v>0.753990210683124</v>
      </c>
      <c r="AG120">
        <f>VLOOKUP($J120,'[1]Table S6'!$A:$AI,24,FALSE)</f>
        <v>7.8529999999999998</v>
      </c>
      <c r="AH120" t="str">
        <f>VLOOKUP($J120,'[1]Table S6'!$A:$AI,25,FALSE)</f>
        <v>No</v>
      </c>
      <c r="AJ120">
        <f>VLOOKUP($J120,'[1]Table S6'!$A:$AI,27,FALSE)</f>
        <v>464.2</v>
      </c>
      <c r="AK120">
        <f>VLOOKUP($J120,'[1]Table S6'!$A:$AI,28,FALSE)</f>
        <v>0.98786975952330303</v>
      </c>
      <c r="AL120">
        <f>VLOOKUP($J120,'[1]Table S6'!$A:$AI,29,FALSE)</f>
        <v>296</v>
      </c>
      <c r="AM120" t="str">
        <f>VLOOKUP($J120,'[1]Table S6'!$A:$AI,30,FALSE)</f>
        <v>No</v>
      </c>
      <c r="AO120">
        <f>VLOOKUP($J120,'[1]Table S6'!$A:$AI,32,FALSE)</f>
        <v>437.2</v>
      </c>
      <c r="AP120">
        <f>VLOOKUP($J120,'[1]Table S6'!$A:$AI,33,FALSE)</f>
        <v>0.930410725686316</v>
      </c>
      <c r="AQ120">
        <f>VLOOKUP($J120,'[1]Table S6'!$A:$AI,34,FALSE)</f>
        <v>195.8</v>
      </c>
      <c r="AR120" t="str">
        <f>VLOOKUP($J120,'[1]Table S6'!$A:$AI,35,FALSE)</f>
        <v>No</v>
      </c>
      <c r="AT120" t="str">
        <f>VLOOKUP($I120,'[2]Table S5'!$A:$K,8,FALSE)</f>
        <v>Resistant</v>
      </c>
      <c r="AU120" t="str">
        <f>VLOOKUP($I120,'[2]Table S5'!$A:$K,9,FALSE)</f>
        <v>Resistant</v>
      </c>
      <c r="AV120" t="str">
        <f>VLOOKUP($I120,'[2]Table S5'!$A:$K,10,FALSE)</f>
        <v>Resistant</v>
      </c>
      <c r="AW120" t="str">
        <f>VLOOKUP($I120,'[2]Table S5'!$A:$K,11,FALSE)</f>
        <v>Resistant</v>
      </c>
    </row>
    <row r="121" spans="1:49">
      <c r="A121" s="12" t="s">
        <v>911</v>
      </c>
      <c r="B121" t="s">
        <v>912</v>
      </c>
      <c r="C121" t="s">
        <v>913</v>
      </c>
      <c r="D121" t="s">
        <v>17</v>
      </c>
      <c r="E121" t="s">
        <v>914</v>
      </c>
      <c r="F121" s="12" t="s">
        <v>915</v>
      </c>
      <c r="G121" t="s">
        <v>916</v>
      </c>
      <c r="H121" t="s">
        <v>917</v>
      </c>
      <c r="I121" t="s">
        <v>879</v>
      </c>
      <c r="J121" t="s">
        <v>896</v>
      </c>
      <c r="K121">
        <f>VLOOKUP($J121,'[1]Table S6'!$A:$AI,2,FALSE)</f>
        <v>304.5</v>
      </c>
      <c r="L121">
        <f>VLOOKUP($J121,'[1]Table S6'!$A:$AI,3,FALSE)</f>
        <v>0.64801021493934896</v>
      </c>
      <c r="M121">
        <f>VLOOKUP($J121,'[1]Table S6'!$A:$AI,4,FALSE)</f>
        <v>0.97950000000000004</v>
      </c>
      <c r="N121" t="str">
        <f>VLOOKUP($J121,'[1]Table S6'!$A:$AI,5,FALSE)</f>
        <v>Yes</v>
      </c>
      <c r="P121">
        <f>VLOOKUP($J121,'[1]Table S6'!$A:$AI,7,FALSE)</f>
        <v>394.4</v>
      </c>
      <c r="Q121">
        <f>VLOOKUP($J121,'[1]Table S6'!$A:$AI,8,FALSE)</f>
        <v>0.83932751649287096</v>
      </c>
      <c r="R121">
        <f>VLOOKUP($J121,'[1]Table S6'!$A:$AI,9,FALSE)</f>
        <v>23.78</v>
      </c>
      <c r="S121" t="str">
        <f>VLOOKUP($J121,'[1]Table S6'!$A:$AI,10,FALSE)</f>
        <v>No</v>
      </c>
      <c r="U121">
        <f>VLOOKUP($J121,'[1]Table S6'!$A:$AI,12,FALSE)</f>
        <v>354.6</v>
      </c>
      <c r="V121">
        <f>VLOOKUP($J121,'[1]Table S6'!$A:$AI,13,FALSE)</f>
        <v>0.75462864439242405</v>
      </c>
      <c r="W121">
        <f>VLOOKUP($J121,'[1]Table S6'!$A:$AI,14,FALSE)</f>
        <v>8.6240000000000006</v>
      </c>
      <c r="X121" t="str">
        <f>VLOOKUP($J121,'[1]Table S6'!$A:$AI,15,FALSE)</f>
        <v>No</v>
      </c>
      <c r="Z121">
        <f>VLOOKUP($J121,'[1]Table S6'!$A:$AI,17,FALSE)</f>
        <v>335.4</v>
      </c>
      <c r="AA121">
        <f>VLOOKUP($J121,'[1]Table S6'!$A:$AI,18,FALSE)</f>
        <v>0.71376888699723295</v>
      </c>
      <c r="AB121">
        <f>VLOOKUP($J121,'[1]Table S6'!$A:$AI,19,FALSE)</f>
        <v>3.7309999999999999</v>
      </c>
      <c r="AC121" t="str">
        <f>VLOOKUP($J121,'[1]Table S6'!$A:$AI,20,FALSE)</f>
        <v>No</v>
      </c>
      <c r="AE121">
        <f>VLOOKUP($J121,'[1]Table S6'!$A:$AI,22,FALSE)</f>
        <v>307.39999999999998</v>
      </c>
      <c r="AF121">
        <f>VLOOKUP($J121,'[1]Table S6'!$A:$AI,23,FALSE)</f>
        <v>0.65418174079591396</v>
      </c>
      <c r="AG121">
        <f>VLOOKUP($J121,'[1]Table S6'!$A:$AI,24,FALSE)</f>
        <v>2.387</v>
      </c>
      <c r="AH121" t="str">
        <f>VLOOKUP($J121,'[1]Table S6'!$A:$AI,25,FALSE)</f>
        <v>Yes</v>
      </c>
      <c r="AJ121">
        <f>VLOOKUP($J121,'[1]Table S6'!$A:$AI,27,FALSE)</f>
        <v>449.2</v>
      </c>
      <c r="AK121">
        <f>VLOOKUP($J121,'[1]Table S6'!$A:$AI,28,FALSE)</f>
        <v>0.95594807405830995</v>
      </c>
      <c r="AL121">
        <f>VLOOKUP($J121,'[1]Table S6'!$A:$AI,29,FALSE)</f>
        <v>773.8</v>
      </c>
      <c r="AM121" t="str">
        <f>VLOOKUP($J121,'[1]Table S6'!$A:$AI,30,FALSE)</f>
        <v>No</v>
      </c>
      <c r="AO121">
        <f>VLOOKUP($J121,'[1]Table S6'!$A:$AI,32,FALSE)</f>
        <v>420.1</v>
      </c>
      <c r="AP121">
        <f>VLOOKUP($J121,'[1]Table S6'!$A:$AI,33,FALSE)</f>
        <v>0.89402000425622496</v>
      </c>
      <c r="AQ121">
        <f>VLOOKUP($J121,'[1]Table S6'!$A:$AI,34,FALSE)</f>
        <v>131.80000000000001</v>
      </c>
      <c r="AR121" t="str">
        <f>VLOOKUP($J121,'[1]Table S6'!$A:$AI,35,FALSE)</f>
        <v>No</v>
      </c>
      <c r="AT121" t="str">
        <f>VLOOKUP($I121,'[2]Table S5'!$A:$K,8,FALSE)</f>
        <v>Resistant</v>
      </c>
      <c r="AU121" t="str">
        <f>VLOOKUP($I121,'[2]Table S5'!$A:$K,9,FALSE)</f>
        <v>Resistant</v>
      </c>
      <c r="AV121" t="str">
        <f>VLOOKUP($I121,'[2]Table S5'!$A:$K,10,FALSE)</f>
        <v>Resistant</v>
      </c>
      <c r="AW121" t="str">
        <f>VLOOKUP($I121,'[2]Table S5'!$A:$K,11,FALSE)</f>
        <v>Resistant</v>
      </c>
    </row>
    <row r="122" spans="1:49">
      <c r="A122" s="12" t="s">
        <v>918</v>
      </c>
      <c r="B122" t="s">
        <v>919</v>
      </c>
      <c r="C122" t="s">
        <v>920</v>
      </c>
      <c r="D122" t="s">
        <v>17</v>
      </c>
      <c r="E122" t="s">
        <v>921</v>
      </c>
      <c r="F122" s="12" t="s">
        <v>922</v>
      </c>
      <c r="G122" t="s">
        <v>923</v>
      </c>
      <c r="H122" t="s">
        <v>924</v>
      </c>
      <c r="I122" t="s">
        <v>879</v>
      </c>
      <c r="J122" t="s">
        <v>879</v>
      </c>
      <c r="K122" t="e">
        <f>VLOOKUP($J122,'[1]Table S6'!$A:$AI,2,FALSE)</f>
        <v>#N/A</v>
      </c>
      <c r="L122" t="e">
        <f>VLOOKUP($J122,'[1]Table S6'!$A:$AI,3,FALSE)</f>
        <v>#N/A</v>
      </c>
      <c r="M122" t="e">
        <f>VLOOKUP($J122,'[1]Table S6'!$A:$AI,4,FALSE)</f>
        <v>#N/A</v>
      </c>
      <c r="N122" t="e">
        <f>VLOOKUP($J122,'[1]Table S6'!$A:$AI,5,FALSE)</f>
        <v>#N/A</v>
      </c>
      <c r="P122" t="e">
        <f>VLOOKUP($J122,'[1]Table S6'!$A:$AI,7,FALSE)</f>
        <v>#N/A</v>
      </c>
      <c r="Q122" t="e">
        <f>VLOOKUP($J122,'[1]Table S6'!$A:$AI,8,FALSE)</f>
        <v>#N/A</v>
      </c>
      <c r="R122" t="e">
        <f>VLOOKUP($J122,'[1]Table S6'!$A:$AI,9,FALSE)</f>
        <v>#N/A</v>
      </c>
      <c r="S122" t="e">
        <f>VLOOKUP($J122,'[1]Table S6'!$A:$AI,10,FALSE)</f>
        <v>#N/A</v>
      </c>
      <c r="U122" t="e">
        <f>VLOOKUP($J122,'[1]Table S6'!$A:$AI,12,FALSE)</f>
        <v>#N/A</v>
      </c>
      <c r="V122" t="e">
        <f>VLOOKUP($J122,'[1]Table S6'!$A:$AI,13,FALSE)</f>
        <v>#N/A</v>
      </c>
      <c r="W122" t="e">
        <f>VLOOKUP($J122,'[1]Table S6'!$A:$AI,14,FALSE)</f>
        <v>#N/A</v>
      </c>
      <c r="X122" t="e">
        <f>VLOOKUP($J122,'[1]Table S6'!$A:$AI,15,FALSE)</f>
        <v>#N/A</v>
      </c>
      <c r="Z122" t="e">
        <f>VLOOKUP($J122,'[1]Table S6'!$A:$AI,17,FALSE)</f>
        <v>#N/A</v>
      </c>
      <c r="AA122" t="e">
        <f>VLOOKUP($J122,'[1]Table S6'!$A:$AI,18,FALSE)</f>
        <v>#N/A</v>
      </c>
      <c r="AB122" t="e">
        <f>VLOOKUP($J122,'[1]Table S6'!$A:$AI,19,FALSE)</f>
        <v>#N/A</v>
      </c>
      <c r="AC122" t="e">
        <f>VLOOKUP($J122,'[1]Table S6'!$A:$AI,20,FALSE)</f>
        <v>#N/A</v>
      </c>
      <c r="AE122" t="e">
        <f>VLOOKUP($J122,'[1]Table S6'!$A:$AI,22,FALSE)</f>
        <v>#N/A</v>
      </c>
      <c r="AF122" t="e">
        <f>VLOOKUP($J122,'[1]Table S6'!$A:$AI,23,FALSE)</f>
        <v>#N/A</v>
      </c>
      <c r="AG122" t="e">
        <f>VLOOKUP($J122,'[1]Table S6'!$A:$AI,24,FALSE)</f>
        <v>#N/A</v>
      </c>
      <c r="AH122" t="e">
        <f>VLOOKUP($J122,'[1]Table S6'!$A:$AI,25,FALSE)</f>
        <v>#N/A</v>
      </c>
      <c r="AJ122" t="e">
        <f>VLOOKUP($J122,'[1]Table S6'!$A:$AI,27,FALSE)</f>
        <v>#N/A</v>
      </c>
      <c r="AK122" t="e">
        <f>VLOOKUP($J122,'[1]Table S6'!$A:$AI,28,FALSE)</f>
        <v>#N/A</v>
      </c>
      <c r="AL122" t="e">
        <f>VLOOKUP($J122,'[1]Table S6'!$A:$AI,29,FALSE)</f>
        <v>#N/A</v>
      </c>
      <c r="AM122" t="e">
        <f>VLOOKUP($J122,'[1]Table S6'!$A:$AI,30,FALSE)</f>
        <v>#N/A</v>
      </c>
      <c r="AO122" t="e">
        <f>VLOOKUP($J122,'[1]Table S6'!$A:$AI,32,FALSE)</f>
        <v>#N/A</v>
      </c>
      <c r="AP122" t="e">
        <f>VLOOKUP($J122,'[1]Table S6'!$A:$AI,33,FALSE)</f>
        <v>#N/A</v>
      </c>
      <c r="AQ122" t="e">
        <f>VLOOKUP($J122,'[1]Table S6'!$A:$AI,34,FALSE)</f>
        <v>#N/A</v>
      </c>
      <c r="AR122" t="e">
        <f>VLOOKUP($J122,'[1]Table S6'!$A:$AI,35,FALSE)</f>
        <v>#N/A</v>
      </c>
      <c r="AT122" t="str">
        <f>VLOOKUP($I122,'[2]Table S5'!$A:$K,8,FALSE)</f>
        <v>Resistant</v>
      </c>
      <c r="AU122" t="str">
        <f>VLOOKUP($I122,'[2]Table S5'!$A:$K,9,FALSE)</f>
        <v>Resistant</v>
      </c>
      <c r="AV122" t="str">
        <f>VLOOKUP($I122,'[2]Table S5'!$A:$K,10,FALSE)</f>
        <v>Resistant</v>
      </c>
      <c r="AW122" t="str">
        <f>VLOOKUP($I122,'[2]Table S5'!$A:$K,11,FALSE)</f>
        <v>Resistant</v>
      </c>
    </row>
    <row r="123" spans="1:49">
      <c r="A123" s="12" t="s">
        <v>925</v>
      </c>
      <c r="B123" t="s">
        <v>926</v>
      </c>
      <c r="C123" t="s">
        <v>927</v>
      </c>
      <c r="D123" t="s">
        <v>17</v>
      </c>
      <c r="E123" t="s">
        <v>928</v>
      </c>
      <c r="F123" s="12" t="s">
        <v>929</v>
      </c>
      <c r="G123" t="s">
        <v>930</v>
      </c>
      <c r="H123" t="s">
        <v>931</v>
      </c>
      <c r="I123" t="s">
        <v>932</v>
      </c>
      <c r="J123" t="s">
        <v>933</v>
      </c>
      <c r="K123">
        <f>VLOOKUP($J123,'[1]Table S6'!$A:$AI,2,FALSE)</f>
        <v>304.7</v>
      </c>
      <c r="L123">
        <f>VLOOKUP($J123,'[1]Table S6'!$A:$AI,3,FALSE)</f>
        <v>0.648435837412215</v>
      </c>
      <c r="M123">
        <f>VLOOKUP($J123,'[1]Table S6'!$A:$AI,4,FALSE)</f>
        <v>1.2769999999999999</v>
      </c>
      <c r="N123" t="str">
        <f>VLOOKUP($J123,'[1]Table S6'!$A:$AI,5,FALSE)</f>
        <v>Yes</v>
      </c>
      <c r="P123">
        <f>VLOOKUP($J123,'[1]Table S6'!$A:$AI,7,FALSE)</f>
        <v>390.4</v>
      </c>
      <c r="Q123">
        <f>VLOOKUP($J123,'[1]Table S6'!$A:$AI,8,FALSE)</f>
        <v>0.83081506703553898</v>
      </c>
      <c r="R123">
        <f>VLOOKUP($J123,'[1]Table S6'!$A:$AI,9,FALSE)</f>
        <v>18.440000000000001</v>
      </c>
      <c r="S123" t="str">
        <f>VLOOKUP($J123,'[1]Table S6'!$A:$AI,10,FALSE)</f>
        <v>No</v>
      </c>
      <c r="U123">
        <f>VLOOKUP($J123,'[1]Table S6'!$A:$AI,12,FALSE)</f>
        <v>371.8</v>
      </c>
      <c r="V123">
        <f>VLOOKUP($J123,'[1]Table S6'!$A:$AI,13,FALSE)</f>
        <v>0.79123217705894899</v>
      </c>
      <c r="W123">
        <f>VLOOKUP($J123,'[1]Table S6'!$A:$AI,14,FALSE)</f>
        <v>5.7489999999999997</v>
      </c>
      <c r="X123" t="str">
        <f>VLOOKUP($J123,'[1]Table S6'!$A:$AI,15,FALSE)</f>
        <v>No</v>
      </c>
      <c r="Z123">
        <f>VLOOKUP($J123,'[1]Table S6'!$A:$AI,17,FALSE)</f>
        <v>300.3</v>
      </c>
      <c r="AA123">
        <f>VLOOKUP($J123,'[1]Table S6'!$A:$AI,18,FALSE)</f>
        <v>0.63907214300915105</v>
      </c>
      <c r="AB123">
        <f>VLOOKUP($J123,'[1]Table S6'!$A:$AI,19,FALSE)</f>
        <v>1.9239999999999999</v>
      </c>
      <c r="AC123" t="str">
        <f>VLOOKUP($J123,'[1]Table S6'!$A:$AI,20,FALSE)</f>
        <v>Yes</v>
      </c>
      <c r="AE123">
        <f>VLOOKUP($J123,'[1]Table S6'!$A:$AI,22,FALSE)</f>
        <v>394.4</v>
      </c>
      <c r="AF123">
        <f>VLOOKUP($J123,'[1]Table S6'!$A:$AI,23,FALSE)</f>
        <v>0.83932751649287096</v>
      </c>
      <c r="AG123">
        <f>VLOOKUP($J123,'[1]Table S6'!$A:$AI,24,FALSE)</f>
        <v>22.82</v>
      </c>
      <c r="AH123" t="str">
        <f>VLOOKUP($J123,'[1]Table S6'!$A:$AI,25,FALSE)</f>
        <v>No</v>
      </c>
      <c r="AJ123">
        <f>VLOOKUP($J123,'[1]Table S6'!$A:$AI,27,FALSE)</f>
        <v>443.9</v>
      </c>
      <c r="AK123">
        <f>VLOOKUP($J123,'[1]Table S6'!$A:$AI,28,FALSE)</f>
        <v>0.94466907852734605</v>
      </c>
      <c r="AL123">
        <f>VLOOKUP($J123,'[1]Table S6'!$A:$AI,29,FALSE)</f>
        <v>114</v>
      </c>
      <c r="AM123" t="str">
        <f>VLOOKUP($J123,'[1]Table S6'!$A:$AI,30,FALSE)</f>
        <v>No</v>
      </c>
      <c r="AO123">
        <f>VLOOKUP($J123,'[1]Table S6'!$A:$AI,32,FALSE)</f>
        <v>426.1</v>
      </c>
      <c r="AP123">
        <f>VLOOKUP($J123,'[1]Table S6'!$A:$AI,33,FALSE)</f>
        <v>0.906788678442222</v>
      </c>
      <c r="AQ123">
        <f>VLOOKUP($J123,'[1]Table S6'!$A:$AI,34,FALSE)</f>
        <v>64.73</v>
      </c>
      <c r="AR123" t="str">
        <f>VLOOKUP($J123,'[1]Table S6'!$A:$AI,35,FALSE)</f>
        <v>No</v>
      </c>
      <c r="AT123" t="str">
        <f>VLOOKUP($I123,'[2]Table S5'!$A:$K,8,FALSE)</f>
        <v>Sensitive</v>
      </c>
      <c r="AU123" t="str">
        <f>VLOOKUP($I123,'[2]Table S5'!$A:$K,9,FALSE)</f>
        <v>Resistant</v>
      </c>
      <c r="AV123" t="str">
        <f>VLOOKUP($I123,'[2]Table S5'!$A:$K,10,FALSE)</f>
        <v>Resistant</v>
      </c>
      <c r="AW123" t="str">
        <f>VLOOKUP($I123,'[2]Table S5'!$A:$K,11,FALSE)</f>
        <v>Sensitive</v>
      </c>
    </row>
    <row r="124" spans="1:49">
      <c r="A124" s="12" t="s">
        <v>934</v>
      </c>
      <c r="B124" t="s">
        <v>935</v>
      </c>
      <c r="C124" t="s">
        <v>936</v>
      </c>
      <c r="D124" t="s">
        <v>17</v>
      </c>
      <c r="E124" t="s">
        <v>937</v>
      </c>
      <c r="F124" s="12" t="s">
        <v>938</v>
      </c>
      <c r="G124" t="s">
        <v>939</v>
      </c>
      <c r="H124" t="s">
        <v>940</v>
      </c>
      <c r="I124" t="s">
        <v>932</v>
      </c>
      <c r="J124" t="s">
        <v>941</v>
      </c>
      <c r="K124">
        <f>VLOOKUP($J124,'[1]Table S6'!$A:$AI,2,FALSE)</f>
        <v>292</v>
      </c>
      <c r="L124">
        <f>VLOOKUP($J124,'[1]Table S6'!$A:$AI,3,FALSE)</f>
        <v>0.62140881038518803</v>
      </c>
      <c r="M124">
        <f>VLOOKUP($J124,'[1]Table S6'!$A:$AI,4,FALSE)</f>
        <v>0.9274</v>
      </c>
      <c r="N124" t="str">
        <f>VLOOKUP($J124,'[1]Table S6'!$A:$AI,5,FALSE)</f>
        <v>Yes</v>
      </c>
      <c r="P124">
        <f>VLOOKUP($J124,'[1]Table S6'!$A:$AI,7,FALSE)</f>
        <v>359.7</v>
      </c>
      <c r="Q124">
        <f>VLOOKUP($J124,'[1]Table S6'!$A:$AI,8,FALSE)</f>
        <v>0.76548201745052102</v>
      </c>
      <c r="R124">
        <f>VLOOKUP($J124,'[1]Table S6'!$A:$AI,9,FALSE)</f>
        <v>7.0439999999999996</v>
      </c>
      <c r="S124" t="str">
        <f>VLOOKUP($J124,'[1]Table S6'!$A:$AI,10,FALSE)</f>
        <v>No</v>
      </c>
      <c r="U124">
        <f>VLOOKUP($J124,'[1]Table S6'!$A:$AI,12,FALSE)</f>
        <v>347.8</v>
      </c>
      <c r="V124">
        <f>VLOOKUP($J124,'[1]Table S6'!$A:$AI,13,FALSE)</f>
        <v>0.74015748031496098</v>
      </c>
      <c r="W124">
        <f>VLOOKUP($J124,'[1]Table S6'!$A:$AI,14,FALSE)</f>
        <v>3.26</v>
      </c>
      <c r="X124" t="str">
        <f>VLOOKUP($J124,'[1]Table S6'!$A:$AI,15,FALSE)</f>
        <v>No</v>
      </c>
      <c r="Z124">
        <f>VLOOKUP($J124,'[1]Table S6'!$A:$AI,17,FALSE)</f>
        <v>307.89999999999998</v>
      </c>
      <c r="AA124">
        <f>VLOOKUP($J124,'[1]Table S6'!$A:$AI,18,FALSE)</f>
        <v>0.65524579697808005</v>
      </c>
      <c r="AB124">
        <f>VLOOKUP($J124,'[1]Table S6'!$A:$AI,19,FALSE)</f>
        <v>1.2230000000000001</v>
      </c>
      <c r="AC124" t="str">
        <f>VLOOKUP($J124,'[1]Table S6'!$A:$AI,20,FALSE)</f>
        <v>Yes</v>
      </c>
      <c r="AE124">
        <f>VLOOKUP($J124,'[1]Table S6'!$A:$AI,22,FALSE)</f>
        <v>422.9</v>
      </c>
      <c r="AF124">
        <f>VLOOKUP($J124,'[1]Table S6'!$A:$AI,23,FALSE)</f>
        <v>0.89997871887635705</v>
      </c>
      <c r="AG124">
        <f>VLOOKUP($J124,'[1]Table S6'!$A:$AI,24,FALSE)</f>
        <v>38.369999999999997</v>
      </c>
      <c r="AH124" t="str">
        <f>VLOOKUP($J124,'[1]Table S6'!$A:$AI,25,FALSE)</f>
        <v>No</v>
      </c>
      <c r="AJ124">
        <f>VLOOKUP($J124,'[1]Table S6'!$A:$AI,27,FALSE)</f>
        <v>432.4</v>
      </c>
      <c r="AK124">
        <f>VLOOKUP($J124,'[1]Table S6'!$A:$AI,28,FALSE)</f>
        <v>0.92019578633751897</v>
      </c>
      <c r="AL124">
        <f>VLOOKUP($J124,'[1]Table S6'!$A:$AI,29,FALSE)</f>
        <v>66.989999999999995</v>
      </c>
      <c r="AM124" t="str">
        <f>VLOOKUP($J124,'[1]Table S6'!$A:$AI,30,FALSE)</f>
        <v>No</v>
      </c>
      <c r="AO124">
        <f>VLOOKUP($J124,'[1]Table S6'!$A:$AI,32,FALSE)</f>
        <v>443</v>
      </c>
      <c r="AP124">
        <f>VLOOKUP($J124,'[1]Table S6'!$A:$AI,33,FALSE)</f>
        <v>0.94275377739944699</v>
      </c>
      <c r="AQ124">
        <f>VLOOKUP($J124,'[1]Table S6'!$A:$AI,34,FALSE)</f>
        <v>118.7</v>
      </c>
      <c r="AR124" t="str">
        <f>VLOOKUP($J124,'[1]Table S6'!$A:$AI,35,FALSE)</f>
        <v>No</v>
      </c>
      <c r="AT124" t="str">
        <f>VLOOKUP($I124,'[2]Table S5'!$A:$K,8,FALSE)</f>
        <v>Sensitive</v>
      </c>
      <c r="AU124" t="str">
        <f>VLOOKUP($I124,'[2]Table S5'!$A:$K,9,FALSE)</f>
        <v>Resistant</v>
      </c>
      <c r="AV124" t="str">
        <f>VLOOKUP($I124,'[2]Table S5'!$A:$K,10,FALSE)</f>
        <v>Resistant</v>
      </c>
      <c r="AW124" t="str">
        <f>VLOOKUP($I124,'[2]Table S5'!$A:$K,11,FALSE)</f>
        <v>Sensitive</v>
      </c>
    </row>
    <row r="125" spans="1:49">
      <c r="A125" s="12" t="s">
        <v>942</v>
      </c>
      <c r="B125" t="s">
        <v>943</v>
      </c>
      <c r="C125" t="s">
        <v>944</v>
      </c>
      <c r="D125" t="s">
        <v>17</v>
      </c>
      <c r="E125" t="s">
        <v>945</v>
      </c>
      <c r="F125" s="12" t="s">
        <v>946</v>
      </c>
      <c r="G125" t="s">
        <v>947</v>
      </c>
      <c r="H125" t="s">
        <v>948</v>
      </c>
      <c r="I125" t="s">
        <v>932</v>
      </c>
      <c r="J125" t="s">
        <v>933</v>
      </c>
      <c r="K125">
        <f>VLOOKUP($J125,'[1]Table S6'!$A:$AI,2,FALSE)</f>
        <v>304.7</v>
      </c>
      <c r="L125">
        <f>VLOOKUP($J125,'[1]Table S6'!$A:$AI,3,FALSE)</f>
        <v>0.648435837412215</v>
      </c>
      <c r="M125">
        <f>VLOOKUP($J125,'[1]Table S6'!$A:$AI,4,FALSE)</f>
        <v>1.2769999999999999</v>
      </c>
      <c r="N125" t="str">
        <f>VLOOKUP($J125,'[1]Table S6'!$A:$AI,5,FALSE)</f>
        <v>Yes</v>
      </c>
      <c r="P125">
        <f>VLOOKUP($J125,'[1]Table S6'!$A:$AI,7,FALSE)</f>
        <v>390.4</v>
      </c>
      <c r="Q125">
        <f>VLOOKUP($J125,'[1]Table S6'!$A:$AI,8,FALSE)</f>
        <v>0.83081506703553898</v>
      </c>
      <c r="R125">
        <f>VLOOKUP($J125,'[1]Table S6'!$A:$AI,9,FALSE)</f>
        <v>18.440000000000001</v>
      </c>
      <c r="S125" t="str">
        <f>VLOOKUP($J125,'[1]Table S6'!$A:$AI,10,FALSE)</f>
        <v>No</v>
      </c>
      <c r="U125">
        <f>VLOOKUP($J125,'[1]Table S6'!$A:$AI,12,FALSE)</f>
        <v>371.8</v>
      </c>
      <c r="V125">
        <f>VLOOKUP($J125,'[1]Table S6'!$A:$AI,13,FALSE)</f>
        <v>0.79123217705894899</v>
      </c>
      <c r="W125">
        <f>VLOOKUP($J125,'[1]Table S6'!$A:$AI,14,FALSE)</f>
        <v>5.7489999999999997</v>
      </c>
      <c r="X125" t="str">
        <f>VLOOKUP($J125,'[1]Table S6'!$A:$AI,15,FALSE)</f>
        <v>No</v>
      </c>
      <c r="Z125">
        <f>VLOOKUP($J125,'[1]Table S6'!$A:$AI,17,FALSE)</f>
        <v>300.3</v>
      </c>
      <c r="AA125">
        <f>VLOOKUP($J125,'[1]Table S6'!$A:$AI,18,FALSE)</f>
        <v>0.63907214300915105</v>
      </c>
      <c r="AB125">
        <f>VLOOKUP($J125,'[1]Table S6'!$A:$AI,19,FALSE)</f>
        <v>1.9239999999999999</v>
      </c>
      <c r="AC125" t="str">
        <f>VLOOKUP($J125,'[1]Table S6'!$A:$AI,20,FALSE)</f>
        <v>Yes</v>
      </c>
      <c r="AE125">
        <f>VLOOKUP($J125,'[1]Table S6'!$A:$AI,22,FALSE)</f>
        <v>394.4</v>
      </c>
      <c r="AF125">
        <f>VLOOKUP($J125,'[1]Table S6'!$A:$AI,23,FALSE)</f>
        <v>0.83932751649287096</v>
      </c>
      <c r="AG125">
        <f>VLOOKUP($J125,'[1]Table S6'!$A:$AI,24,FALSE)</f>
        <v>22.82</v>
      </c>
      <c r="AH125" t="str">
        <f>VLOOKUP($J125,'[1]Table S6'!$A:$AI,25,FALSE)</f>
        <v>No</v>
      </c>
      <c r="AJ125">
        <f>VLOOKUP($J125,'[1]Table S6'!$A:$AI,27,FALSE)</f>
        <v>443.9</v>
      </c>
      <c r="AK125">
        <f>VLOOKUP($J125,'[1]Table S6'!$A:$AI,28,FALSE)</f>
        <v>0.94466907852734605</v>
      </c>
      <c r="AL125">
        <f>VLOOKUP($J125,'[1]Table S6'!$A:$AI,29,FALSE)</f>
        <v>114</v>
      </c>
      <c r="AM125" t="str">
        <f>VLOOKUP($J125,'[1]Table S6'!$A:$AI,30,FALSE)</f>
        <v>No</v>
      </c>
      <c r="AO125">
        <f>VLOOKUP($J125,'[1]Table S6'!$A:$AI,32,FALSE)</f>
        <v>426.1</v>
      </c>
      <c r="AP125">
        <f>VLOOKUP($J125,'[1]Table S6'!$A:$AI,33,FALSE)</f>
        <v>0.906788678442222</v>
      </c>
      <c r="AQ125">
        <f>VLOOKUP($J125,'[1]Table S6'!$A:$AI,34,FALSE)</f>
        <v>64.73</v>
      </c>
      <c r="AR125" t="str">
        <f>VLOOKUP($J125,'[1]Table S6'!$A:$AI,35,FALSE)</f>
        <v>No</v>
      </c>
      <c r="AT125" t="str">
        <f>VLOOKUP($I125,'[2]Table S5'!$A:$K,8,FALSE)</f>
        <v>Sensitive</v>
      </c>
      <c r="AU125" t="str">
        <f>VLOOKUP($I125,'[2]Table S5'!$A:$K,9,FALSE)</f>
        <v>Resistant</v>
      </c>
      <c r="AV125" t="str">
        <f>VLOOKUP($I125,'[2]Table S5'!$A:$K,10,FALSE)</f>
        <v>Resistant</v>
      </c>
      <c r="AW125" t="str">
        <f>VLOOKUP($I125,'[2]Table S5'!$A:$K,11,FALSE)</f>
        <v>Sensitive</v>
      </c>
    </row>
    <row r="126" spans="1:49">
      <c r="A126" s="12" t="s">
        <v>949</v>
      </c>
      <c r="B126" t="s">
        <v>950</v>
      </c>
      <c r="C126" t="s">
        <v>951</v>
      </c>
      <c r="D126" t="s">
        <v>17</v>
      </c>
      <c r="E126" t="s">
        <v>952</v>
      </c>
      <c r="F126" s="12" t="s">
        <v>953</v>
      </c>
      <c r="G126" t="s">
        <v>954</v>
      </c>
      <c r="H126" t="s">
        <v>955</v>
      </c>
      <c r="I126" t="s">
        <v>932</v>
      </c>
      <c r="J126" t="s">
        <v>941</v>
      </c>
      <c r="K126">
        <f>VLOOKUP($J126,'[1]Table S6'!$A:$AI,2,FALSE)</f>
        <v>292</v>
      </c>
      <c r="L126">
        <f>VLOOKUP($J126,'[1]Table S6'!$A:$AI,3,FALSE)</f>
        <v>0.62140881038518803</v>
      </c>
      <c r="M126">
        <f>VLOOKUP($J126,'[1]Table S6'!$A:$AI,4,FALSE)</f>
        <v>0.9274</v>
      </c>
      <c r="N126" t="str">
        <f>VLOOKUP($J126,'[1]Table S6'!$A:$AI,5,FALSE)</f>
        <v>Yes</v>
      </c>
      <c r="P126">
        <f>VLOOKUP($J126,'[1]Table S6'!$A:$AI,7,FALSE)</f>
        <v>359.7</v>
      </c>
      <c r="Q126">
        <f>VLOOKUP($J126,'[1]Table S6'!$A:$AI,8,FALSE)</f>
        <v>0.76548201745052102</v>
      </c>
      <c r="R126">
        <f>VLOOKUP($J126,'[1]Table S6'!$A:$AI,9,FALSE)</f>
        <v>7.0439999999999996</v>
      </c>
      <c r="S126" t="str">
        <f>VLOOKUP($J126,'[1]Table S6'!$A:$AI,10,FALSE)</f>
        <v>No</v>
      </c>
      <c r="U126">
        <f>VLOOKUP($J126,'[1]Table S6'!$A:$AI,12,FALSE)</f>
        <v>347.8</v>
      </c>
      <c r="V126">
        <f>VLOOKUP($J126,'[1]Table S6'!$A:$AI,13,FALSE)</f>
        <v>0.74015748031496098</v>
      </c>
      <c r="W126">
        <f>VLOOKUP($J126,'[1]Table S6'!$A:$AI,14,FALSE)</f>
        <v>3.26</v>
      </c>
      <c r="X126" t="str">
        <f>VLOOKUP($J126,'[1]Table S6'!$A:$AI,15,FALSE)</f>
        <v>No</v>
      </c>
      <c r="Z126">
        <f>VLOOKUP($J126,'[1]Table S6'!$A:$AI,17,FALSE)</f>
        <v>307.89999999999998</v>
      </c>
      <c r="AA126">
        <f>VLOOKUP($J126,'[1]Table S6'!$A:$AI,18,FALSE)</f>
        <v>0.65524579697808005</v>
      </c>
      <c r="AB126">
        <f>VLOOKUP($J126,'[1]Table S6'!$A:$AI,19,FALSE)</f>
        <v>1.2230000000000001</v>
      </c>
      <c r="AC126" t="str">
        <f>VLOOKUP($J126,'[1]Table S6'!$A:$AI,20,FALSE)</f>
        <v>Yes</v>
      </c>
      <c r="AE126">
        <f>VLOOKUP($J126,'[1]Table S6'!$A:$AI,22,FALSE)</f>
        <v>422.9</v>
      </c>
      <c r="AF126">
        <f>VLOOKUP($J126,'[1]Table S6'!$A:$AI,23,FALSE)</f>
        <v>0.89997871887635705</v>
      </c>
      <c r="AG126">
        <f>VLOOKUP($J126,'[1]Table S6'!$A:$AI,24,FALSE)</f>
        <v>38.369999999999997</v>
      </c>
      <c r="AH126" t="str">
        <f>VLOOKUP($J126,'[1]Table S6'!$A:$AI,25,FALSE)</f>
        <v>No</v>
      </c>
      <c r="AJ126">
        <f>VLOOKUP($J126,'[1]Table S6'!$A:$AI,27,FALSE)</f>
        <v>432.4</v>
      </c>
      <c r="AK126">
        <f>VLOOKUP($J126,'[1]Table S6'!$A:$AI,28,FALSE)</f>
        <v>0.92019578633751897</v>
      </c>
      <c r="AL126">
        <f>VLOOKUP($J126,'[1]Table S6'!$A:$AI,29,FALSE)</f>
        <v>66.989999999999995</v>
      </c>
      <c r="AM126" t="str">
        <f>VLOOKUP($J126,'[1]Table S6'!$A:$AI,30,FALSE)</f>
        <v>No</v>
      </c>
      <c r="AO126">
        <f>VLOOKUP($J126,'[1]Table S6'!$A:$AI,32,FALSE)</f>
        <v>443</v>
      </c>
      <c r="AP126">
        <f>VLOOKUP($J126,'[1]Table S6'!$A:$AI,33,FALSE)</f>
        <v>0.94275377739944699</v>
      </c>
      <c r="AQ126">
        <f>VLOOKUP($J126,'[1]Table S6'!$A:$AI,34,FALSE)</f>
        <v>118.7</v>
      </c>
      <c r="AR126" t="str">
        <f>VLOOKUP($J126,'[1]Table S6'!$A:$AI,35,FALSE)</f>
        <v>No</v>
      </c>
      <c r="AT126" t="str">
        <f>VLOOKUP($I126,'[2]Table S5'!$A:$K,8,FALSE)</f>
        <v>Sensitive</v>
      </c>
      <c r="AU126" t="str">
        <f>VLOOKUP($I126,'[2]Table S5'!$A:$K,9,FALSE)</f>
        <v>Resistant</v>
      </c>
      <c r="AV126" t="str">
        <f>VLOOKUP($I126,'[2]Table S5'!$A:$K,10,FALSE)</f>
        <v>Resistant</v>
      </c>
      <c r="AW126" t="str">
        <f>VLOOKUP($I126,'[2]Table S5'!$A:$K,11,FALSE)</f>
        <v>Sensitive</v>
      </c>
    </row>
    <row r="127" spans="1:49">
      <c r="A127" s="12" t="s">
        <v>956</v>
      </c>
      <c r="B127" t="s">
        <v>957</v>
      </c>
      <c r="C127" t="s">
        <v>958</v>
      </c>
      <c r="D127" t="s">
        <v>17</v>
      </c>
      <c r="E127" t="s">
        <v>959</v>
      </c>
      <c r="F127" s="12" t="s">
        <v>960</v>
      </c>
      <c r="G127" t="s">
        <v>961</v>
      </c>
      <c r="H127" t="s">
        <v>962</v>
      </c>
      <c r="I127" t="s">
        <v>932</v>
      </c>
      <c r="J127" t="s">
        <v>932</v>
      </c>
      <c r="K127" t="e">
        <f>VLOOKUP($J127,'[1]Table S6'!$A:$AI,2,FALSE)</f>
        <v>#N/A</v>
      </c>
      <c r="L127" t="e">
        <f>VLOOKUP($J127,'[1]Table S6'!$A:$AI,3,FALSE)</f>
        <v>#N/A</v>
      </c>
      <c r="M127" t="e">
        <f>VLOOKUP($J127,'[1]Table S6'!$A:$AI,4,FALSE)</f>
        <v>#N/A</v>
      </c>
      <c r="N127" t="e">
        <f>VLOOKUP($J127,'[1]Table S6'!$A:$AI,5,FALSE)</f>
        <v>#N/A</v>
      </c>
      <c r="P127" t="e">
        <f>VLOOKUP($J127,'[1]Table S6'!$A:$AI,7,FALSE)</f>
        <v>#N/A</v>
      </c>
      <c r="Q127" t="e">
        <f>VLOOKUP($J127,'[1]Table S6'!$A:$AI,8,FALSE)</f>
        <v>#N/A</v>
      </c>
      <c r="R127" t="e">
        <f>VLOOKUP($J127,'[1]Table S6'!$A:$AI,9,FALSE)</f>
        <v>#N/A</v>
      </c>
      <c r="S127" t="e">
        <f>VLOOKUP($J127,'[1]Table S6'!$A:$AI,10,FALSE)</f>
        <v>#N/A</v>
      </c>
      <c r="U127" t="e">
        <f>VLOOKUP($J127,'[1]Table S6'!$A:$AI,12,FALSE)</f>
        <v>#N/A</v>
      </c>
      <c r="V127" t="e">
        <f>VLOOKUP($J127,'[1]Table S6'!$A:$AI,13,FALSE)</f>
        <v>#N/A</v>
      </c>
      <c r="W127" t="e">
        <f>VLOOKUP($J127,'[1]Table S6'!$A:$AI,14,FALSE)</f>
        <v>#N/A</v>
      </c>
      <c r="X127" t="e">
        <f>VLOOKUP($J127,'[1]Table S6'!$A:$AI,15,FALSE)</f>
        <v>#N/A</v>
      </c>
      <c r="Z127" t="e">
        <f>VLOOKUP($J127,'[1]Table S6'!$A:$AI,17,FALSE)</f>
        <v>#N/A</v>
      </c>
      <c r="AA127" t="e">
        <f>VLOOKUP($J127,'[1]Table S6'!$A:$AI,18,FALSE)</f>
        <v>#N/A</v>
      </c>
      <c r="AB127" t="e">
        <f>VLOOKUP($J127,'[1]Table S6'!$A:$AI,19,FALSE)</f>
        <v>#N/A</v>
      </c>
      <c r="AC127" t="e">
        <f>VLOOKUP($J127,'[1]Table S6'!$A:$AI,20,FALSE)</f>
        <v>#N/A</v>
      </c>
      <c r="AE127" t="e">
        <f>VLOOKUP($J127,'[1]Table S6'!$A:$AI,22,FALSE)</f>
        <v>#N/A</v>
      </c>
      <c r="AF127" t="e">
        <f>VLOOKUP($J127,'[1]Table S6'!$A:$AI,23,FALSE)</f>
        <v>#N/A</v>
      </c>
      <c r="AG127" t="e">
        <f>VLOOKUP($J127,'[1]Table S6'!$A:$AI,24,FALSE)</f>
        <v>#N/A</v>
      </c>
      <c r="AH127" t="e">
        <f>VLOOKUP($J127,'[1]Table S6'!$A:$AI,25,FALSE)</f>
        <v>#N/A</v>
      </c>
      <c r="AJ127" t="e">
        <f>VLOOKUP($J127,'[1]Table S6'!$A:$AI,27,FALSE)</f>
        <v>#N/A</v>
      </c>
      <c r="AK127" t="e">
        <f>VLOOKUP($J127,'[1]Table S6'!$A:$AI,28,FALSE)</f>
        <v>#N/A</v>
      </c>
      <c r="AL127" t="e">
        <f>VLOOKUP($J127,'[1]Table S6'!$A:$AI,29,FALSE)</f>
        <v>#N/A</v>
      </c>
      <c r="AM127" t="e">
        <f>VLOOKUP($J127,'[1]Table S6'!$A:$AI,30,FALSE)</f>
        <v>#N/A</v>
      </c>
      <c r="AO127" t="e">
        <f>VLOOKUP($J127,'[1]Table S6'!$A:$AI,32,FALSE)</f>
        <v>#N/A</v>
      </c>
      <c r="AP127" t="e">
        <f>VLOOKUP($J127,'[1]Table S6'!$A:$AI,33,FALSE)</f>
        <v>#N/A</v>
      </c>
      <c r="AQ127" t="e">
        <f>VLOOKUP($J127,'[1]Table S6'!$A:$AI,34,FALSE)</f>
        <v>#N/A</v>
      </c>
      <c r="AR127" t="e">
        <f>VLOOKUP($J127,'[1]Table S6'!$A:$AI,35,FALSE)</f>
        <v>#N/A</v>
      </c>
      <c r="AT127" t="str">
        <f>VLOOKUP($I127,'[2]Table S5'!$A:$K,8,FALSE)</f>
        <v>Sensitive</v>
      </c>
      <c r="AU127" t="str">
        <f>VLOOKUP($I127,'[2]Table S5'!$A:$K,9,FALSE)</f>
        <v>Resistant</v>
      </c>
      <c r="AV127" t="str">
        <f>VLOOKUP($I127,'[2]Table S5'!$A:$K,10,FALSE)</f>
        <v>Resistant</v>
      </c>
      <c r="AW127" t="str">
        <f>VLOOKUP($I127,'[2]Table S5'!$A:$K,11,FALSE)</f>
        <v>Sensitive</v>
      </c>
    </row>
    <row r="128" spans="1:49">
      <c r="A128" s="12" t="s">
        <v>963</v>
      </c>
      <c r="B128" t="s">
        <v>964</v>
      </c>
      <c r="C128" t="s">
        <v>965</v>
      </c>
      <c r="D128" t="s">
        <v>17</v>
      </c>
      <c r="E128" t="s">
        <v>966</v>
      </c>
      <c r="F128" s="12" t="s">
        <v>967</v>
      </c>
      <c r="G128" t="s">
        <v>968</v>
      </c>
      <c r="H128" t="s">
        <v>969</v>
      </c>
      <c r="I128" t="s">
        <v>970</v>
      </c>
      <c r="J128" t="s">
        <v>971</v>
      </c>
      <c r="K128">
        <f>VLOOKUP($J128,'[1]Table S6'!$A:$AI,2,FALSE)</f>
        <v>352.3</v>
      </c>
      <c r="L128">
        <f>VLOOKUP($J128,'[1]Table S6'!$A:$AI,3,FALSE)</f>
        <v>0.74973398595445895</v>
      </c>
      <c r="M128">
        <f>VLOOKUP($J128,'[1]Table S6'!$A:$AI,4,FALSE)</f>
        <v>4.7530000000000001</v>
      </c>
      <c r="N128" t="str">
        <f>VLOOKUP($J128,'[1]Table S6'!$A:$AI,5,FALSE)</f>
        <v>No</v>
      </c>
      <c r="P128">
        <f>VLOOKUP($J128,'[1]Table S6'!$A:$AI,7,FALSE)</f>
        <v>343.4</v>
      </c>
      <c r="Q128">
        <f>VLOOKUP($J128,'[1]Table S6'!$A:$AI,8,FALSE)</f>
        <v>0.73079378591189603</v>
      </c>
      <c r="R128">
        <f>VLOOKUP($J128,'[1]Table S6'!$A:$AI,9,FALSE)</f>
        <v>4.9379999999999997</v>
      </c>
      <c r="S128" t="str">
        <f>VLOOKUP($J128,'[1]Table S6'!$A:$AI,10,FALSE)</f>
        <v>No</v>
      </c>
      <c r="U128">
        <f>VLOOKUP($J128,'[1]Table S6'!$A:$AI,12,FALSE)</f>
        <v>404.3</v>
      </c>
      <c r="V128">
        <f>VLOOKUP($J128,'[1]Table S6'!$A:$AI,13,FALSE)</f>
        <v>0.86039582889976596</v>
      </c>
      <c r="W128">
        <f>VLOOKUP($J128,'[1]Table S6'!$A:$AI,14,FALSE)</f>
        <v>41.17</v>
      </c>
      <c r="X128" t="str">
        <f>VLOOKUP($J128,'[1]Table S6'!$A:$AI,15,FALSE)</f>
        <v>No</v>
      </c>
      <c r="Z128">
        <f>VLOOKUP($J128,'[1]Table S6'!$A:$AI,17,FALSE)</f>
        <v>394.7</v>
      </c>
      <c r="AA128">
        <f>VLOOKUP($J128,'[1]Table S6'!$A:$AI,18,FALSE)</f>
        <v>0.83996595020217102</v>
      </c>
      <c r="AB128">
        <f>VLOOKUP($J128,'[1]Table S6'!$A:$AI,19,FALSE)</f>
        <v>16.13</v>
      </c>
      <c r="AC128" t="str">
        <f>VLOOKUP($J128,'[1]Table S6'!$A:$AI,20,FALSE)</f>
        <v>No</v>
      </c>
      <c r="AE128">
        <f>VLOOKUP($J128,'[1]Table S6'!$A:$AI,22,FALSE)</f>
        <v>386.1</v>
      </c>
      <c r="AF128">
        <f>VLOOKUP($J128,'[1]Table S6'!$A:$AI,23,FALSE)</f>
        <v>0.82166418386890805</v>
      </c>
      <c r="AG128">
        <f>VLOOKUP($J128,'[1]Table S6'!$A:$AI,24,FALSE)</f>
        <v>17.25</v>
      </c>
      <c r="AH128" t="str">
        <f>VLOOKUP($J128,'[1]Table S6'!$A:$AI,25,FALSE)</f>
        <v>No</v>
      </c>
      <c r="AJ128">
        <f>VLOOKUP($J128,'[1]Table S6'!$A:$AI,27,FALSE)</f>
        <v>422</v>
      </c>
      <c r="AK128">
        <f>VLOOKUP($J128,'[1]Table S6'!$A:$AI,28,FALSE)</f>
        <v>0.89806341774845699</v>
      </c>
      <c r="AL128">
        <f>VLOOKUP($J128,'[1]Table S6'!$A:$AI,29,FALSE)</f>
        <v>190.6</v>
      </c>
      <c r="AM128" t="str">
        <f>VLOOKUP($J128,'[1]Table S6'!$A:$AI,30,FALSE)</f>
        <v>No</v>
      </c>
      <c r="AO128">
        <f>VLOOKUP($J128,'[1]Table S6'!$A:$AI,32,FALSE)</f>
        <v>432.3</v>
      </c>
      <c r="AP128">
        <f>VLOOKUP($J128,'[1]Table S6'!$A:$AI,33,FALSE)</f>
        <v>0.91998297510108495</v>
      </c>
      <c r="AQ128">
        <f>VLOOKUP($J128,'[1]Table S6'!$A:$AI,34,FALSE)</f>
        <v>215.2</v>
      </c>
      <c r="AR128" t="str">
        <f>VLOOKUP($J128,'[1]Table S6'!$A:$AI,35,FALSE)</f>
        <v>No</v>
      </c>
      <c r="AT128" t="str">
        <f>VLOOKUP($I128,'[2]Table S5'!$A:$K,8,FALSE)</f>
        <v>Resistant</v>
      </c>
      <c r="AU128" t="str">
        <f>VLOOKUP($I128,'[2]Table S5'!$A:$K,9,FALSE)</f>
        <v>Resistant</v>
      </c>
      <c r="AV128" t="str">
        <f>VLOOKUP($I128,'[2]Table S5'!$A:$K,10,FALSE)</f>
        <v>Resistant</v>
      </c>
      <c r="AW128" t="str">
        <f>VLOOKUP($I128,'[2]Table S5'!$A:$K,11,FALSE)</f>
        <v>Resistant</v>
      </c>
    </row>
    <row r="129" spans="1:49">
      <c r="A129" s="12" t="s">
        <v>972</v>
      </c>
      <c r="B129" t="s">
        <v>973</v>
      </c>
      <c r="C129" t="s">
        <v>974</v>
      </c>
      <c r="D129" t="s">
        <v>17</v>
      </c>
      <c r="E129" t="s">
        <v>975</v>
      </c>
      <c r="F129" s="12" t="s">
        <v>976</v>
      </c>
      <c r="G129" t="s">
        <v>977</v>
      </c>
      <c r="H129" t="s">
        <v>978</v>
      </c>
      <c r="I129" t="s">
        <v>970</v>
      </c>
      <c r="J129" t="s">
        <v>979</v>
      </c>
      <c r="K129">
        <f>VLOOKUP($J129,'[1]Table S6'!$A:$AI,2,FALSE)</f>
        <v>341.4</v>
      </c>
      <c r="L129">
        <f>VLOOKUP($J129,'[1]Table S6'!$A:$AI,3,FALSE)</f>
        <v>0.72653756118322999</v>
      </c>
      <c r="M129">
        <f>VLOOKUP($J129,'[1]Table S6'!$A:$AI,4,FALSE)</f>
        <v>2.9329999999999998</v>
      </c>
      <c r="N129" t="str">
        <f>VLOOKUP($J129,'[1]Table S6'!$A:$AI,5,FALSE)</f>
        <v>No</v>
      </c>
      <c r="P129">
        <f>VLOOKUP($J129,'[1]Table S6'!$A:$AI,7,FALSE)</f>
        <v>365.1</v>
      </c>
      <c r="Q129">
        <f>VLOOKUP($J129,'[1]Table S6'!$A:$AI,8,FALSE)</f>
        <v>0.77697382421791905</v>
      </c>
      <c r="R129">
        <f>VLOOKUP($J129,'[1]Table S6'!$A:$AI,9,FALSE)</f>
        <v>10.050000000000001</v>
      </c>
      <c r="S129" t="str">
        <f>VLOOKUP($J129,'[1]Table S6'!$A:$AI,10,FALSE)</f>
        <v>No</v>
      </c>
      <c r="U129">
        <f>VLOOKUP($J129,'[1]Table S6'!$A:$AI,12,FALSE)</f>
        <v>381.2</v>
      </c>
      <c r="V129">
        <f>VLOOKUP($J129,'[1]Table S6'!$A:$AI,13,FALSE)</f>
        <v>0.81123643328367701</v>
      </c>
      <c r="W129">
        <f>VLOOKUP($J129,'[1]Table S6'!$A:$AI,14,FALSE)</f>
        <v>17.72</v>
      </c>
      <c r="X129" t="str">
        <f>VLOOKUP($J129,'[1]Table S6'!$A:$AI,15,FALSE)</f>
        <v>No</v>
      </c>
      <c r="Z129">
        <f>VLOOKUP($J129,'[1]Table S6'!$A:$AI,17,FALSE)</f>
        <v>326.7</v>
      </c>
      <c r="AA129">
        <f>VLOOKUP($J129,'[1]Table S6'!$A:$AI,18,FALSE)</f>
        <v>0.69525430942753796</v>
      </c>
      <c r="AB129">
        <f>VLOOKUP($J129,'[1]Table S6'!$A:$AI,19,FALSE)</f>
        <v>2.3530000000000002</v>
      </c>
      <c r="AC129" t="str">
        <f>VLOOKUP($J129,'[1]Table S6'!$A:$AI,20,FALSE)</f>
        <v>No</v>
      </c>
      <c r="AE129">
        <f>VLOOKUP($J129,'[1]Table S6'!$A:$AI,22,FALSE)</f>
        <v>370.9</v>
      </c>
      <c r="AF129">
        <f>VLOOKUP($J129,'[1]Table S6'!$A:$AI,23,FALSE)</f>
        <v>0.78931687593104904</v>
      </c>
      <c r="AG129">
        <f>VLOOKUP($J129,'[1]Table S6'!$A:$AI,24,FALSE)</f>
        <v>10.81</v>
      </c>
      <c r="AH129" t="str">
        <f>VLOOKUP($J129,'[1]Table S6'!$A:$AI,25,FALSE)</f>
        <v>No</v>
      </c>
      <c r="AJ129">
        <f>VLOOKUP($J129,'[1]Table S6'!$A:$AI,27,FALSE)</f>
        <v>398.9</v>
      </c>
      <c r="AK129">
        <f>VLOOKUP($J129,'[1]Table S6'!$A:$AI,28,FALSE)</f>
        <v>0.84890402213236904</v>
      </c>
      <c r="AL129">
        <f>VLOOKUP($J129,'[1]Table S6'!$A:$AI,29,FALSE)</f>
        <v>80.67</v>
      </c>
      <c r="AM129" t="str">
        <f>VLOOKUP($J129,'[1]Table S6'!$A:$AI,30,FALSE)</f>
        <v>No</v>
      </c>
      <c r="AO129">
        <f>VLOOKUP($J129,'[1]Table S6'!$A:$AI,32,FALSE)</f>
        <v>417.2</v>
      </c>
      <c r="AP129">
        <f>VLOOKUP($J129,'[1]Table S6'!$A:$AI,33,FALSE)</f>
        <v>0.88784847839965997</v>
      </c>
      <c r="AQ129">
        <f>VLOOKUP($J129,'[1]Table S6'!$A:$AI,34,FALSE)</f>
        <v>100.4</v>
      </c>
      <c r="AR129" t="str">
        <f>VLOOKUP($J129,'[1]Table S6'!$A:$AI,35,FALSE)</f>
        <v>No</v>
      </c>
      <c r="AT129" t="str">
        <f>VLOOKUP($I129,'[2]Table S5'!$A:$K,8,FALSE)</f>
        <v>Resistant</v>
      </c>
      <c r="AU129" t="str">
        <f>VLOOKUP($I129,'[2]Table S5'!$A:$K,9,FALSE)</f>
        <v>Resistant</v>
      </c>
      <c r="AV129" t="str">
        <f>VLOOKUP($I129,'[2]Table S5'!$A:$K,10,FALSE)</f>
        <v>Resistant</v>
      </c>
      <c r="AW129" t="str">
        <f>VLOOKUP($I129,'[2]Table S5'!$A:$K,11,FALSE)</f>
        <v>Resistant</v>
      </c>
    </row>
    <row r="130" spans="1:49">
      <c r="A130" s="12" t="s">
        <v>980</v>
      </c>
      <c r="B130" t="s">
        <v>981</v>
      </c>
      <c r="C130" t="s">
        <v>982</v>
      </c>
      <c r="D130" t="s">
        <v>17</v>
      </c>
      <c r="E130" t="s">
        <v>983</v>
      </c>
      <c r="F130" s="12" t="s">
        <v>984</v>
      </c>
      <c r="G130" t="s">
        <v>985</v>
      </c>
      <c r="H130" t="s">
        <v>986</v>
      </c>
      <c r="I130" t="s">
        <v>970</v>
      </c>
      <c r="J130" t="s">
        <v>987</v>
      </c>
      <c r="K130">
        <f>VLOOKUP($J130,'[1]Table S6'!$A:$AI,2,FALSE)</f>
        <v>363.3</v>
      </c>
      <c r="L130">
        <f>VLOOKUP($J130,'[1]Table S6'!$A:$AI,3,FALSE)</f>
        <v>0.77314322196212004</v>
      </c>
      <c r="M130">
        <f>VLOOKUP($J130,'[1]Table S6'!$A:$AI,4,FALSE)</f>
        <v>7.702</v>
      </c>
      <c r="N130" t="str">
        <f>VLOOKUP($J130,'[1]Table S6'!$A:$AI,5,FALSE)</f>
        <v>No</v>
      </c>
      <c r="P130">
        <f>VLOOKUP($J130,'[1]Table S6'!$A:$AI,7,FALSE)</f>
        <v>341.8</v>
      </c>
      <c r="Q130">
        <f>VLOOKUP($J130,'[1]Table S6'!$A:$AI,8,FALSE)</f>
        <v>0.72738880612896395</v>
      </c>
      <c r="R130">
        <f>VLOOKUP($J130,'[1]Table S6'!$A:$AI,9,FALSE)</f>
        <v>4.7080000000000002</v>
      </c>
      <c r="S130" t="str">
        <f>VLOOKUP($J130,'[1]Table S6'!$A:$AI,10,FALSE)</f>
        <v>No</v>
      </c>
      <c r="U130">
        <f>VLOOKUP($J130,'[1]Table S6'!$A:$AI,12,FALSE)</f>
        <v>359.1</v>
      </c>
      <c r="V130">
        <f>VLOOKUP($J130,'[1]Table S6'!$A:$AI,13,FALSE)</f>
        <v>0.76420515003192202</v>
      </c>
      <c r="W130">
        <f>VLOOKUP($J130,'[1]Table S6'!$A:$AI,14,FALSE)</f>
        <v>10.39</v>
      </c>
      <c r="X130" t="str">
        <f>VLOOKUP($J130,'[1]Table S6'!$A:$AI,15,FALSE)</f>
        <v>No</v>
      </c>
      <c r="Z130">
        <f>VLOOKUP($J130,'[1]Table S6'!$A:$AI,17,FALSE)</f>
        <v>367.1</v>
      </c>
      <c r="AA130">
        <f>VLOOKUP($J130,'[1]Table S6'!$A:$AI,18,FALSE)</f>
        <v>0.78123004894658399</v>
      </c>
      <c r="AB130">
        <f>VLOOKUP($J130,'[1]Table S6'!$A:$AI,19,FALSE)</f>
        <v>11.81</v>
      </c>
      <c r="AC130" t="str">
        <f>VLOOKUP($J130,'[1]Table S6'!$A:$AI,20,FALSE)</f>
        <v>No</v>
      </c>
      <c r="AE130">
        <f>VLOOKUP($J130,'[1]Table S6'!$A:$AI,22,FALSE)</f>
        <v>321.3</v>
      </c>
      <c r="AF130">
        <f>VLOOKUP($J130,'[1]Table S6'!$A:$AI,23,FALSE)</f>
        <v>0.68376250266014005</v>
      </c>
      <c r="AG130">
        <f>VLOOKUP($J130,'[1]Table S6'!$A:$AI,24,FALSE)</f>
        <v>2.3929999999999998</v>
      </c>
      <c r="AH130" t="str">
        <f>VLOOKUP($J130,'[1]Table S6'!$A:$AI,25,FALSE)</f>
        <v>Yes</v>
      </c>
      <c r="AJ130">
        <f>VLOOKUP($J130,'[1]Table S6'!$A:$AI,27,FALSE)</f>
        <v>395.4</v>
      </c>
      <c r="AK130">
        <f>VLOOKUP($J130,'[1]Table S6'!$A:$AI,28,FALSE)</f>
        <v>0.84145562885720404</v>
      </c>
      <c r="AL130">
        <f>VLOOKUP($J130,'[1]Table S6'!$A:$AI,29,FALSE)</f>
        <v>122.5</v>
      </c>
      <c r="AM130" t="str">
        <f>VLOOKUP($J130,'[1]Table S6'!$A:$AI,30,FALSE)</f>
        <v>No</v>
      </c>
      <c r="AO130">
        <f>VLOOKUP($J130,'[1]Table S6'!$A:$AI,32,FALSE)</f>
        <v>389.9</v>
      </c>
      <c r="AP130">
        <f>VLOOKUP($J130,'[1]Table S6'!$A:$AI,33,FALSE)</f>
        <v>0.82975101085337299</v>
      </c>
      <c r="AQ130">
        <f>VLOOKUP($J130,'[1]Table S6'!$A:$AI,34,FALSE)</f>
        <v>100.4</v>
      </c>
      <c r="AR130" t="str">
        <f>VLOOKUP($J130,'[1]Table S6'!$A:$AI,35,FALSE)</f>
        <v>No</v>
      </c>
      <c r="AT130" t="str">
        <f>VLOOKUP($I130,'[2]Table S5'!$A:$K,8,FALSE)</f>
        <v>Resistant</v>
      </c>
      <c r="AU130" t="str">
        <f>VLOOKUP($I130,'[2]Table S5'!$A:$K,9,FALSE)</f>
        <v>Resistant</v>
      </c>
      <c r="AV130" t="str">
        <f>VLOOKUP($I130,'[2]Table S5'!$A:$K,10,FALSE)</f>
        <v>Resistant</v>
      </c>
      <c r="AW130" t="str">
        <f>VLOOKUP($I130,'[2]Table S5'!$A:$K,11,FALSE)</f>
        <v>Resistant</v>
      </c>
    </row>
    <row r="131" spans="1:49">
      <c r="A131" s="12" t="s">
        <v>988</v>
      </c>
      <c r="B131" t="s">
        <v>989</v>
      </c>
      <c r="C131" t="s">
        <v>990</v>
      </c>
      <c r="D131" t="s">
        <v>17</v>
      </c>
      <c r="E131" t="s">
        <v>991</v>
      </c>
      <c r="F131" s="12" t="s">
        <v>992</v>
      </c>
      <c r="G131" t="s">
        <v>993</v>
      </c>
      <c r="H131" t="s">
        <v>994</v>
      </c>
      <c r="I131" t="s">
        <v>970</v>
      </c>
      <c r="J131" t="s">
        <v>995</v>
      </c>
      <c r="K131">
        <f>VLOOKUP($J131,'[1]Table S6'!$A:$AI,2,FALSE)</f>
        <v>333.9</v>
      </c>
      <c r="L131">
        <f>VLOOKUP($J131,'[1]Table S6'!$A:$AI,3,FALSE)</f>
        <v>0.710576718450734</v>
      </c>
      <c r="M131">
        <f>VLOOKUP($J131,'[1]Table S6'!$A:$AI,4,FALSE)</f>
        <v>3.1829999999999998</v>
      </c>
      <c r="N131" t="str">
        <f>VLOOKUP($J131,'[1]Table S6'!$A:$AI,5,FALSE)</f>
        <v>No</v>
      </c>
      <c r="P131">
        <f>VLOOKUP($J131,'[1]Table S6'!$A:$AI,7,FALSE)</f>
        <v>364.2</v>
      </c>
      <c r="Q131">
        <f>VLOOKUP($J131,'[1]Table S6'!$A:$AI,8,FALSE)</f>
        <v>0.77505852309001899</v>
      </c>
      <c r="R131">
        <f>VLOOKUP($J131,'[1]Table S6'!$A:$AI,9,FALSE)</f>
        <v>7.7210000000000001</v>
      </c>
      <c r="S131" t="str">
        <f>VLOOKUP($J131,'[1]Table S6'!$A:$AI,10,FALSE)</f>
        <v>No</v>
      </c>
      <c r="U131">
        <f>VLOOKUP($J131,'[1]Table S6'!$A:$AI,12,FALSE)</f>
        <v>348.7</v>
      </c>
      <c r="V131">
        <f>VLOOKUP($J131,'[1]Table S6'!$A:$AI,13,FALSE)</f>
        <v>0.74207278144286004</v>
      </c>
      <c r="W131">
        <f>VLOOKUP($J131,'[1]Table S6'!$A:$AI,14,FALSE)</f>
        <v>7.2859999999999996</v>
      </c>
      <c r="X131" t="str">
        <f>VLOOKUP($J131,'[1]Table S6'!$A:$AI,15,FALSE)</f>
        <v>No</v>
      </c>
      <c r="Z131">
        <f>VLOOKUP($J131,'[1]Table S6'!$A:$AI,17,FALSE)</f>
        <v>323.2</v>
      </c>
      <c r="AA131">
        <f>VLOOKUP($J131,'[1]Table S6'!$A:$AI,18,FALSE)</f>
        <v>0.68780591615237296</v>
      </c>
      <c r="AB131">
        <f>VLOOKUP($J131,'[1]Table S6'!$A:$AI,19,FALSE)</f>
        <v>2.1160000000000001</v>
      </c>
      <c r="AC131" t="str">
        <f>VLOOKUP($J131,'[1]Table S6'!$A:$AI,20,FALSE)</f>
        <v>Yes</v>
      </c>
      <c r="AE131">
        <f>VLOOKUP($J131,'[1]Table S6'!$A:$AI,22,FALSE)</f>
        <v>325.5</v>
      </c>
      <c r="AF131">
        <f>VLOOKUP($J131,'[1]Table S6'!$A:$AI,23,FALSE)</f>
        <v>0.69270057459033796</v>
      </c>
      <c r="AG131">
        <f>VLOOKUP($J131,'[1]Table S6'!$A:$AI,24,FALSE)</f>
        <v>3.7759999999999998</v>
      </c>
      <c r="AH131" t="str">
        <f>VLOOKUP($J131,'[1]Table S6'!$A:$AI,25,FALSE)</f>
        <v>No</v>
      </c>
      <c r="AJ131">
        <f>VLOOKUP($J131,'[1]Table S6'!$A:$AI,27,FALSE)</f>
        <v>418.6</v>
      </c>
      <c r="AK131">
        <f>VLOOKUP($J131,'[1]Table S6'!$A:$AI,28,FALSE)</f>
        <v>0.89082783570972601</v>
      </c>
      <c r="AL131">
        <f>VLOOKUP($J131,'[1]Table S6'!$A:$AI,29,FALSE)</f>
        <v>176</v>
      </c>
      <c r="AM131" t="str">
        <f>VLOOKUP($J131,'[1]Table S6'!$A:$AI,30,FALSE)</f>
        <v>No</v>
      </c>
      <c r="AO131">
        <f>VLOOKUP($J131,'[1]Table S6'!$A:$AI,32,FALSE)</f>
        <v>409.4</v>
      </c>
      <c r="AP131">
        <f>VLOOKUP($J131,'[1]Table S6'!$A:$AI,33,FALSE)</f>
        <v>0.87124920195786304</v>
      </c>
      <c r="AQ131">
        <f>VLOOKUP($J131,'[1]Table S6'!$A:$AI,34,FALSE)</f>
        <v>177.5</v>
      </c>
      <c r="AR131" t="str">
        <f>VLOOKUP($J131,'[1]Table S6'!$A:$AI,35,FALSE)</f>
        <v>No</v>
      </c>
      <c r="AT131" t="str">
        <f>VLOOKUP($I131,'[2]Table S5'!$A:$K,8,FALSE)</f>
        <v>Resistant</v>
      </c>
      <c r="AU131" t="str">
        <f>VLOOKUP($I131,'[2]Table S5'!$A:$K,9,FALSE)</f>
        <v>Resistant</v>
      </c>
      <c r="AV131" t="str">
        <f>VLOOKUP($I131,'[2]Table S5'!$A:$K,10,FALSE)</f>
        <v>Resistant</v>
      </c>
      <c r="AW131" t="str">
        <f>VLOOKUP($I131,'[2]Table S5'!$A:$K,11,FALSE)</f>
        <v>Resistant</v>
      </c>
    </row>
    <row r="132" spans="1:49">
      <c r="A132" s="12" t="s">
        <v>996</v>
      </c>
      <c r="B132" t="s">
        <v>997</v>
      </c>
      <c r="C132" t="s">
        <v>998</v>
      </c>
      <c r="D132" t="s">
        <v>17</v>
      </c>
      <c r="E132" t="s">
        <v>999</v>
      </c>
      <c r="F132" s="12" t="s">
        <v>1000</v>
      </c>
      <c r="G132" t="s">
        <v>1001</v>
      </c>
      <c r="H132" t="s">
        <v>1002</v>
      </c>
      <c r="I132" t="s">
        <v>970</v>
      </c>
      <c r="J132" t="s">
        <v>1003</v>
      </c>
      <c r="K132">
        <f>VLOOKUP($J132,'[1]Table S6'!$A:$AI,2,FALSE)</f>
        <v>349.2</v>
      </c>
      <c r="L132">
        <f>VLOOKUP($J132,'[1]Table S6'!$A:$AI,3,FALSE)</f>
        <v>0.74313683762502702</v>
      </c>
      <c r="M132">
        <f>VLOOKUP($J132,'[1]Table S6'!$A:$AI,4,FALSE)</f>
        <v>7.742</v>
      </c>
      <c r="N132" t="str">
        <f>VLOOKUP($J132,'[1]Table S6'!$A:$AI,5,FALSE)</f>
        <v>No</v>
      </c>
      <c r="P132">
        <f>VLOOKUP($J132,'[1]Table S6'!$A:$AI,7,FALSE)</f>
        <v>361.8</v>
      </c>
      <c r="Q132">
        <f>VLOOKUP($J132,'[1]Table S6'!$A:$AI,8,FALSE)</f>
        <v>0.76995105341561998</v>
      </c>
      <c r="R132">
        <f>VLOOKUP($J132,'[1]Table S6'!$A:$AI,9,FALSE)</f>
        <v>9.2200000000000006</v>
      </c>
      <c r="S132" t="str">
        <f>VLOOKUP($J132,'[1]Table S6'!$A:$AI,10,FALSE)</f>
        <v>No</v>
      </c>
      <c r="U132">
        <f>VLOOKUP($J132,'[1]Table S6'!$A:$AI,12,FALSE)</f>
        <v>349.5</v>
      </c>
      <c r="V132">
        <f>VLOOKUP($J132,'[1]Table S6'!$A:$AI,13,FALSE)</f>
        <v>0.74377527133432697</v>
      </c>
      <c r="W132">
        <f>VLOOKUP($J132,'[1]Table S6'!$A:$AI,14,FALSE)</f>
        <v>9.02</v>
      </c>
      <c r="X132" t="str">
        <f>VLOOKUP($J132,'[1]Table S6'!$A:$AI,15,FALSE)</f>
        <v>No</v>
      </c>
      <c r="Z132">
        <f>VLOOKUP($J132,'[1]Table S6'!$A:$AI,17,FALSE)</f>
        <v>390.8</v>
      </c>
      <c r="AA132">
        <f>VLOOKUP($J132,'[1]Table S6'!$A:$AI,18,FALSE)</f>
        <v>0.83166631198127305</v>
      </c>
      <c r="AB132">
        <f>VLOOKUP($J132,'[1]Table S6'!$A:$AI,19,FALSE)</f>
        <v>16.28</v>
      </c>
      <c r="AC132" t="str">
        <f>VLOOKUP($J132,'[1]Table S6'!$A:$AI,20,FALSE)</f>
        <v>No</v>
      </c>
      <c r="AE132">
        <f>VLOOKUP($J132,'[1]Table S6'!$A:$AI,22,FALSE)</f>
        <v>304.60000000000002</v>
      </c>
      <c r="AF132">
        <f>VLOOKUP($J132,'[1]Table S6'!$A:$AI,23,FALSE)</f>
        <v>0.64822302617578198</v>
      </c>
      <c r="AG132">
        <f>VLOOKUP($J132,'[1]Table S6'!$A:$AI,24,FALSE)</f>
        <v>1.335</v>
      </c>
      <c r="AH132" t="str">
        <f>VLOOKUP($J132,'[1]Table S6'!$A:$AI,25,FALSE)</f>
        <v>Yes</v>
      </c>
      <c r="AJ132">
        <f>VLOOKUP($J132,'[1]Table S6'!$A:$AI,27,FALSE)</f>
        <v>423.8</v>
      </c>
      <c r="AK132">
        <f>VLOOKUP($J132,'[1]Table S6'!$A:$AI,28,FALSE)</f>
        <v>0.901894020004256</v>
      </c>
      <c r="AL132">
        <f>VLOOKUP($J132,'[1]Table S6'!$A:$AI,29,FALSE)</f>
        <v>132.30000000000001</v>
      </c>
      <c r="AM132" t="str">
        <f>VLOOKUP($J132,'[1]Table S6'!$A:$AI,30,FALSE)</f>
        <v>No</v>
      </c>
      <c r="AO132">
        <f>VLOOKUP($J132,'[1]Table S6'!$A:$AI,32,FALSE)</f>
        <v>363.1</v>
      </c>
      <c r="AP132">
        <f>VLOOKUP($J132,'[1]Table S6'!$A:$AI,33,FALSE)</f>
        <v>0.772717599489253</v>
      </c>
      <c r="AQ132">
        <f>VLOOKUP($J132,'[1]Table S6'!$A:$AI,34,FALSE)</f>
        <v>10.59</v>
      </c>
      <c r="AR132" t="str">
        <f>VLOOKUP($J132,'[1]Table S6'!$A:$AI,35,FALSE)</f>
        <v>No</v>
      </c>
      <c r="AT132" t="str">
        <f>VLOOKUP($I132,'[2]Table S5'!$A:$K,8,FALSE)</f>
        <v>Resistant</v>
      </c>
      <c r="AU132" t="str">
        <f>VLOOKUP($I132,'[2]Table S5'!$A:$K,9,FALSE)</f>
        <v>Resistant</v>
      </c>
      <c r="AV132" t="str">
        <f>VLOOKUP($I132,'[2]Table S5'!$A:$K,10,FALSE)</f>
        <v>Resistant</v>
      </c>
      <c r="AW132" t="str">
        <f>VLOOKUP($I132,'[2]Table S5'!$A:$K,11,FALSE)</f>
        <v>Resistant</v>
      </c>
    </row>
    <row r="133" spans="1:49">
      <c r="A133" s="12" t="s">
        <v>1004</v>
      </c>
      <c r="B133" t="s">
        <v>1005</v>
      </c>
      <c r="C133" t="s">
        <v>1006</v>
      </c>
      <c r="D133" t="s">
        <v>17</v>
      </c>
      <c r="E133" t="s">
        <v>1007</v>
      </c>
      <c r="F133" s="12" t="s">
        <v>1008</v>
      </c>
      <c r="G133" t="s">
        <v>1009</v>
      </c>
      <c r="H133" t="s">
        <v>1010</v>
      </c>
      <c r="I133" t="s">
        <v>970</v>
      </c>
      <c r="J133" t="s">
        <v>971</v>
      </c>
      <c r="K133">
        <f>VLOOKUP($J133,'[1]Table S6'!$A:$AI,2,FALSE)</f>
        <v>352.3</v>
      </c>
      <c r="L133">
        <f>VLOOKUP($J133,'[1]Table S6'!$A:$AI,3,FALSE)</f>
        <v>0.74973398595445895</v>
      </c>
      <c r="M133">
        <f>VLOOKUP($J133,'[1]Table S6'!$A:$AI,4,FALSE)</f>
        <v>4.7530000000000001</v>
      </c>
      <c r="N133" t="str">
        <f>VLOOKUP($J133,'[1]Table S6'!$A:$AI,5,FALSE)</f>
        <v>No</v>
      </c>
      <c r="P133">
        <f>VLOOKUP($J133,'[1]Table S6'!$A:$AI,7,FALSE)</f>
        <v>343.4</v>
      </c>
      <c r="Q133">
        <f>VLOOKUP($J133,'[1]Table S6'!$A:$AI,8,FALSE)</f>
        <v>0.73079378591189603</v>
      </c>
      <c r="R133">
        <f>VLOOKUP($J133,'[1]Table S6'!$A:$AI,9,FALSE)</f>
        <v>4.9379999999999997</v>
      </c>
      <c r="S133" t="str">
        <f>VLOOKUP($J133,'[1]Table S6'!$A:$AI,10,FALSE)</f>
        <v>No</v>
      </c>
      <c r="U133">
        <f>VLOOKUP($J133,'[1]Table S6'!$A:$AI,12,FALSE)</f>
        <v>404.3</v>
      </c>
      <c r="V133">
        <f>VLOOKUP($J133,'[1]Table S6'!$A:$AI,13,FALSE)</f>
        <v>0.86039582889976596</v>
      </c>
      <c r="W133">
        <f>VLOOKUP($J133,'[1]Table S6'!$A:$AI,14,FALSE)</f>
        <v>41.17</v>
      </c>
      <c r="X133" t="str">
        <f>VLOOKUP($J133,'[1]Table S6'!$A:$AI,15,FALSE)</f>
        <v>No</v>
      </c>
      <c r="Z133">
        <f>VLOOKUP($J133,'[1]Table S6'!$A:$AI,17,FALSE)</f>
        <v>394.7</v>
      </c>
      <c r="AA133">
        <f>VLOOKUP($J133,'[1]Table S6'!$A:$AI,18,FALSE)</f>
        <v>0.83996595020217102</v>
      </c>
      <c r="AB133">
        <f>VLOOKUP($J133,'[1]Table S6'!$A:$AI,19,FALSE)</f>
        <v>16.13</v>
      </c>
      <c r="AC133" t="str">
        <f>VLOOKUP($J133,'[1]Table S6'!$A:$AI,20,FALSE)</f>
        <v>No</v>
      </c>
      <c r="AE133">
        <f>VLOOKUP($J133,'[1]Table S6'!$A:$AI,22,FALSE)</f>
        <v>386.1</v>
      </c>
      <c r="AF133">
        <f>VLOOKUP($J133,'[1]Table S6'!$A:$AI,23,FALSE)</f>
        <v>0.82166418386890805</v>
      </c>
      <c r="AG133">
        <f>VLOOKUP($J133,'[1]Table S6'!$A:$AI,24,FALSE)</f>
        <v>17.25</v>
      </c>
      <c r="AH133" t="str">
        <f>VLOOKUP($J133,'[1]Table S6'!$A:$AI,25,FALSE)</f>
        <v>No</v>
      </c>
      <c r="AJ133">
        <f>VLOOKUP($J133,'[1]Table S6'!$A:$AI,27,FALSE)</f>
        <v>422</v>
      </c>
      <c r="AK133">
        <f>VLOOKUP($J133,'[1]Table S6'!$A:$AI,28,FALSE)</f>
        <v>0.89806341774845699</v>
      </c>
      <c r="AL133">
        <f>VLOOKUP($J133,'[1]Table S6'!$A:$AI,29,FALSE)</f>
        <v>190.6</v>
      </c>
      <c r="AM133" t="str">
        <f>VLOOKUP($J133,'[1]Table S6'!$A:$AI,30,FALSE)</f>
        <v>No</v>
      </c>
      <c r="AO133">
        <f>VLOOKUP($J133,'[1]Table S6'!$A:$AI,32,FALSE)</f>
        <v>432.3</v>
      </c>
      <c r="AP133">
        <f>VLOOKUP($J133,'[1]Table S6'!$A:$AI,33,FALSE)</f>
        <v>0.91998297510108495</v>
      </c>
      <c r="AQ133">
        <f>VLOOKUP($J133,'[1]Table S6'!$A:$AI,34,FALSE)</f>
        <v>215.2</v>
      </c>
      <c r="AR133" t="str">
        <f>VLOOKUP($J133,'[1]Table S6'!$A:$AI,35,FALSE)</f>
        <v>No</v>
      </c>
      <c r="AT133" t="str">
        <f>VLOOKUP($I133,'[2]Table S5'!$A:$K,8,FALSE)</f>
        <v>Resistant</v>
      </c>
      <c r="AU133" t="str">
        <f>VLOOKUP($I133,'[2]Table S5'!$A:$K,9,FALSE)</f>
        <v>Resistant</v>
      </c>
      <c r="AV133" t="str">
        <f>VLOOKUP($I133,'[2]Table S5'!$A:$K,10,FALSE)</f>
        <v>Resistant</v>
      </c>
      <c r="AW133" t="str">
        <f>VLOOKUP($I133,'[2]Table S5'!$A:$K,11,FALSE)</f>
        <v>Resistant</v>
      </c>
    </row>
    <row r="134" spans="1:49">
      <c r="A134" s="12" t="s">
        <v>1011</v>
      </c>
      <c r="B134" t="s">
        <v>1012</v>
      </c>
      <c r="C134" t="s">
        <v>1013</v>
      </c>
      <c r="D134" t="s">
        <v>17</v>
      </c>
      <c r="E134" t="s">
        <v>1014</v>
      </c>
      <c r="F134" s="12" t="s">
        <v>1015</v>
      </c>
      <c r="G134" t="s">
        <v>1016</v>
      </c>
      <c r="H134" t="s">
        <v>1017</v>
      </c>
      <c r="I134" t="s">
        <v>970</v>
      </c>
      <c r="J134" t="s">
        <v>979</v>
      </c>
      <c r="K134">
        <f>VLOOKUP($J134,'[1]Table S6'!$A:$AI,2,FALSE)</f>
        <v>341.4</v>
      </c>
      <c r="L134">
        <f>VLOOKUP($J134,'[1]Table S6'!$A:$AI,3,FALSE)</f>
        <v>0.72653756118322999</v>
      </c>
      <c r="M134">
        <f>VLOOKUP($J134,'[1]Table S6'!$A:$AI,4,FALSE)</f>
        <v>2.9329999999999998</v>
      </c>
      <c r="N134" t="str">
        <f>VLOOKUP($J134,'[1]Table S6'!$A:$AI,5,FALSE)</f>
        <v>No</v>
      </c>
      <c r="P134">
        <f>VLOOKUP($J134,'[1]Table S6'!$A:$AI,7,FALSE)</f>
        <v>365.1</v>
      </c>
      <c r="Q134">
        <f>VLOOKUP($J134,'[1]Table S6'!$A:$AI,8,FALSE)</f>
        <v>0.77697382421791905</v>
      </c>
      <c r="R134">
        <f>VLOOKUP($J134,'[1]Table S6'!$A:$AI,9,FALSE)</f>
        <v>10.050000000000001</v>
      </c>
      <c r="S134" t="str">
        <f>VLOOKUP($J134,'[1]Table S6'!$A:$AI,10,FALSE)</f>
        <v>No</v>
      </c>
      <c r="U134">
        <f>VLOOKUP($J134,'[1]Table S6'!$A:$AI,12,FALSE)</f>
        <v>381.2</v>
      </c>
      <c r="V134">
        <f>VLOOKUP($J134,'[1]Table S6'!$A:$AI,13,FALSE)</f>
        <v>0.81123643328367701</v>
      </c>
      <c r="W134">
        <f>VLOOKUP($J134,'[1]Table S6'!$A:$AI,14,FALSE)</f>
        <v>17.72</v>
      </c>
      <c r="X134" t="str">
        <f>VLOOKUP($J134,'[1]Table S6'!$A:$AI,15,FALSE)</f>
        <v>No</v>
      </c>
      <c r="Z134">
        <f>VLOOKUP($J134,'[1]Table S6'!$A:$AI,17,FALSE)</f>
        <v>326.7</v>
      </c>
      <c r="AA134">
        <f>VLOOKUP($J134,'[1]Table S6'!$A:$AI,18,FALSE)</f>
        <v>0.69525430942753796</v>
      </c>
      <c r="AB134">
        <f>VLOOKUP($J134,'[1]Table S6'!$A:$AI,19,FALSE)</f>
        <v>2.3530000000000002</v>
      </c>
      <c r="AC134" t="str">
        <f>VLOOKUP($J134,'[1]Table S6'!$A:$AI,20,FALSE)</f>
        <v>No</v>
      </c>
      <c r="AE134">
        <f>VLOOKUP($J134,'[1]Table S6'!$A:$AI,22,FALSE)</f>
        <v>370.9</v>
      </c>
      <c r="AF134">
        <f>VLOOKUP($J134,'[1]Table S6'!$A:$AI,23,FALSE)</f>
        <v>0.78931687593104904</v>
      </c>
      <c r="AG134">
        <f>VLOOKUP($J134,'[1]Table S6'!$A:$AI,24,FALSE)</f>
        <v>10.81</v>
      </c>
      <c r="AH134" t="str">
        <f>VLOOKUP($J134,'[1]Table S6'!$A:$AI,25,FALSE)</f>
        <v>No</v>
      </c>
      <c r="AJ134">
        <f>VLOOKUP($J134,'[1]Table S6'!$A:$AI,27,FALSE)</f>
        <v>398.9</v>
      </c>
      <c r="AK134">
        <f>VLOOKUP($J134,'[1]Table S6'!$A:$AI,28,FALSE)</f>
        <v>0.84890402213236904</v>
      </c>
      <c r="AL134">
        <f>VLOOKUP($J134,'[1]Table S6'!$A:$AI,29,FALSE)</f>
        <v>80.67</v>
      </c>
      <c r="AM134" t="str">
        <f>VLOOKUP($J134,'[1]Table S6'!$A:$AI,30,FALSE)</f>
        <v>No</v>
      </c>
      <c r="AO134">
        <f>VLOOKUP($J134,'[1]Table S6'!$A:$AI,32,FALSE)</f>
        <v>417.2</v>
      </c>
      <c r="AP134">
        <f>VLOOKUP($J134,'[1]Table S6'!$A:$AI,33,FALSE)</f>
        <v>0.88784847839965997</v>
      </c>
      <c r="AQ134">
        <f>VLOOKUP($J134,'[1]Table S6'!$A:$AI,34,FALSE)</f>
        <v>100.4</v>
      </c>
      <c r="AR134" t="str">
        <f>VLOOKUP($J134,'[1]Table S6'!$A:$AI,35,FALSE)</f>
        <v>No</v>
      </c>
      <c r="AT134" t="str">
        <f>VLOOKUP($I134,'[2]Table S5'!$A:$K,8,FALSE)</f>
        <v>Resistant</v>
      </c>
      <c r="AU134" t="str">
        <f>VLOOKUP($I134,'[2]Table S5'!$A:$K,9,FALSE)</f>
        <v>Resistant</v>
      </c>
      <c r="AV134" t="str">
        <f>VLOOKUP($I134,'[2]Table S5'!$A:$K,10,FALSE)</f>
        <v>Resistant</v>
      </c>
      <c r="AW134" t="str">
        <f>VLOOKUP($I134,'[2]Table S5'!$A:$K,11,FALSE)</f>
        <v>Resistant</v>
      </c>
    </row>
    <row r="135" spans="1:49">
      <c r="A135" s="12" t="s">
        <v>1018</v>
      </c>
      <c r="B135" t="s">
        <v>1019</v>
      </c>
      <c r="C135" t="s">
        <v>1020</v>
      </c>
      <c r="D135" t="s">
        <v>17</v>
      </c>
      <c r="E135" t="s">
        <v>1021</v>
      </c>
      <c r="F135" s="12" t="s">
        <v>1022</v>
      </c>
      <c r="G135" t="s">
        <v>1023</v>
      </c>
      <c r="H135" t="s">
        <v>1024</v>
      </c>
      <c r="I135" t="s">
        <v>970</v>
      </c>
      <c r="J135" t="s">
        <v>987</v>
      </c>
      <c r="K135">
        <f>VLOOKUP($J135,'[1]Table S6'!$A:$AI,2,FALSE)</f>
        <v>363.3</v>
      </c>
      <c r="L135">
        <f>VLOOKUP($J135,'[1]Table S6'!$A:$AI,3,FALSE)</f>
        <v>0.77314322196212004</v>
      </c>
      <c r="M135">
        <f>VLOOKUP($J135,'[1]Table S6'!$A:$AI,4,FALSE)</f>
        <v>7.702</v>
      </c>
      <c r="N135" t="str">
        <f>VLOOKUP($J135,'[1]Table S6'!$A:$AI,5,FALSE)</f>
        <v>No</v>
      </c>
      <c r="P135">
        <f>VLOOKUP($J135,'[1]Table S6'!$A:$AI,7,FALSE)</f>
        <v>341.8</v>
      </c>
      <c r="Q135">
        <f>VLOOKUP($J135,'[1]Table S6'!$A:$AI,8,FALSE)</f>
        <v>0.72738880612896395</v>
      </c>
      <c r="R135">
        <f>VLOOKUP($J135,'[1]Table S6'!$A:$AI,9,FALSE)</f>
        <v>4.7080000000000002</v>
      </c>
      <c r="S135" t="str">
        <f>VLOOKUP($J135,'[1]Table S6'!$A:$AI,10,FALSE)</f>
        <v>No</v>
      </c>
      <c r="U135">
        <f>VLOOKUP($J135,'[1]Table S6'!$A:$AI,12,FALSE)</f>
        <v>359.1</v>
      </c>
      <c r="V135">
        <f>VLOOKUP($J135,'[1]Table S6'!$A:$AI,13,FALSE)</f>
        <v>0.76420515003192202</v>
      </c>
      <c r="W135">
        <f>VLOOKUP($J135,'[1]Table S6'!$A:$AI,14,FALSE)</f>
        <v>10.39</v>
      </c>
      <c r="X135" t="str">
        <f>VLOOKUP($J135,'[1]Table S6'!$A:$AI,15,FALSE)</f>
        <v>No</v>
      </c>
      <c r="Z135">
        <f>VLOOKUP($J135,'[1]Table S6'!$A:$AI,17,FALSE)</f>
        <v>367.1</v>
      </c>
      <c r="AA135">
        <f>VLOOKUP($J135,'[1]Table S6'!$A:$AI,18,FALSE)</f>
        <v>0.78123004894658399</v>
      </c>
      <c r="AB135">
        <f>VLOOKUP($J135,'[1]Table S6'!$A:$AI,19,FALSE)</f>
        <v>11.81</v>
      </c>
      <c r="AC135" t="str">
        <f>VLOOKUP($J135,'[1]Table S6'!$A:$AI,20,FALSE)</f>
        <v>No</v>
      </c>
      <c r="AE135">
        <f>VLOOKUP($J135,'[1]Table S6'!$A:$AI,22,FALSE)</f>
        <v>321.3</v>
      </c>
      <c r="AF135">
        <f>VLOOKUP($J135,'[1]Table S6'!$A:$AI,23,FALSE)</f>
        <v>0.68376250266014005</v>
      </c>
      <c r="AG135">
        <f>VLOOKUP($J135,'[1]Table S6'!$A:$AI,24,FALSE)</f>
        <v>2.3929999999999998</v>
      </c>
      <c r="AH135" t="str">
        <f>VLOOKUP($J135,'[1]Table S6'!$A:$AI,25,FALSE)</f>
        <v>Yes</v>
      </c>
      <c r="AJ135">
        <f>VLOOKUP($J135,'[1]Table S6'!$A:$AI,27,FALSE)</f>
        <v>395.4</v>
      </c>
      <c r="AK135">
        <f>VLOOKUP($J135,'[1]Table S6'!$A:$AI,28,FALSE)</f>
        <v>0.84145562885720404</v>
      </c>
      <c r="AL135">
        <f>VLOOKUP($J135,'[1]Table S6'!$A:$AI,29,FALSE)</f>
        <v>122.5</v>
      </c>
      <c r="AM135" t="str">
        <f>VLOOKUP($J135,'[1]Table S6'!$A:$AI,30,FALSE)</f>
        <v>No</v>
      </c>
      <c r="AO135">
        <f>VLOOKUP($J135,'[1]Table S6'!$A:$AI,32,FALSE)</f>
        <v>389.9</v>
      </c>
      <c r="AP135">
        <f>VLOOKUP($J135,'[1]Table S6'!$A:$AI,33,FALSE)</f>
        <v>0.82975101085337299</v>
      </c>
      <c r="AQ135">
        <f>VLOOKUP($J135,'[1]Table S6'!$A:$AI,34,FALSE)</f>
        <v>100.4</v>
      </c>
      <c r="AR135" t="str">
        <f>VLOOKUP($J135,'[1]Table S6'!$A:$AI,35,FALSE)</f>
        <v>No</v>
      </c>
      <c r="AT135" t="str">
        <f>VLOOKUP($I135,'[2]Table S5'!$A:$K,8,FALSE)</f>
        <v>Resistant</v>
      </c>
      <c r="AU135" t="str">
        <f>VLOOKUP($I135,'[2]Table S5'!$A:$K,9,FALSE)</f>
        <v>Resistant</v>
      </c>
      <c r="AV135" t="str">
        <f>VLOOKUP($I135,'[2]Table S5'!$A:$K,10,FALSE)</f>
        <v>Resistant</v>
      </c>
      <c r="AW135" t="str">
        <f>VLOOKUP($I135,'[2]Table S5'!$A:$K,11,FALSE)</f>
        <v>Resistant</v>
      </c>
    </row>
    <row r="136" spans="1:49">
      <c r="A136" s="12" t="s">
        <v>1025</v>
      </c>
      <c r="B136" t="s">
        <v>1026</v>
      </c>
      <c r="C136" t="s">
        <v>1027</v>
      </c>
      <c r="D136" t="s">
        <v>17</v>
      </c>
      <c r="E136" t="s">
        <v>1028</v>
      </c>
      <c r="F136" s="12" t="s">
        <v>1029</v>
      </c>
      <c r="G136" t="s">
        <v>1030</v>
      </c>
      <c r="H136" t="s">
        <v>1031</v>
      </c>
      <c r="I136" t="s">
        <v>970</v>
      </c>
      <c r="J136" t="s">
        <v>995</v>
      </c>
      <c r="K136">
        <f>VLOOKUP($J136,'[1]Table S6'!$A:$AI,2,FALSE)</f>
        <v>333.9</v>
      </c>
      <c r="L136">
        <f>VLOOKUP($J136,'[1]Table S6'!$A:$AI,3,FALSE)</f>
        <v>0.710576718450734</v>
      </c>
      <c r="M136">
        <f>VLOOKUP($J136,'[1]Table S6'!$A:$AI,4,FALSE)</f>
        <v>3.1829999999999998</v>
      </c>
      <c r="N136" t="str">
        <f>VLOOKUP($J136,'[1]Table S6'!$A:$AI,5,FALSE)</f>
        <v>No</v>
      </c>
      <c r="P136">
        <f>VLOOKUP($J136,'[1]Table S6'!$A:$AI,7,FALSE)</f>
        <v>364.2</v>
      </c>
      <c r="Q136">
        <f>VLOOKUP($J136,'[1]Table S6'!$A:$AI,8,FALSE)</f>
        <v>0.77505852309001899</v>
      </c>
      <c r="R136">
        <f>VLOOKUP($J136,'[1]Table S6'!$A:$AI,9,FALSE)</f>
        <v>7.7210000000000001</v>
      </c>
      <c r="S136" t="str">
        <f>VLOOKUP($J136,'[1]Table S6'!$A:$AI,10,FALSE)</f>
        <v>No</v>
      </c>
      <c r="U136">
        <f>VLOOKUP($J136,'[1]Table S6'!$A:$AI,12,FALSE)</f>
        <v>348.7</v>
      </c>
      <c r="V136">
        <f>VLOOKUP($J136,'[1]Table S6'!$A:$AI,13,FALSE)</f>
        <v>0.74207278144286004</v>
      </c>
      <c r="W136">
        <f>VLOOKUP($J136,'[1]Table S6'!$A:$AI,14,FALSE)</f>
        <v>7.2859999999999996</v>
      </c>
      <c r="X136" t="str">
        <f>VLOOKUP($J136,'[1]Table S6'!$A:$AI,15,FALSE)</f>
        <v>No</v>
      </c>
      <c r="Z136">
        <f>VLOOKUP($J136,'[1]Table S6'!$A:$AI,17,FALSE)</f>
        <v>323.2</v>
      </c>
      <c r="AA136">
        <f>VLOOKUP($J136,'[1]Table S6'!$A:$AI,18,FALSE)</f>
        <v>0.68780591615237296</v>
      </c>
      <c r="AB136">
        <f>VLOOKUP($J136,'[1]Table S6'!$A:$AI,19,FALSE)</f>
        <v>2.1160000000000001</v>
      </c>
      <c r="AC136" t="str">
        <f>VLOOKUP($J136,'[1]Table S6'!$A:$AI,20,FALSE)</f>
        <v>Yes</v>
      </c>
      <c r="AE136">
        <f>VLOOKUP($J136,'[1]Table S6'!$A:$AI,22,FALSE)</f>
        <v>325.5</v>
      </c>
      <c r="AF136">
        <f>VLOOKUP($J136,'[1]Table S6'!$A:$AI,23,FALSE)</f>
        <v>0.69270057459033796</v>
      </c>
      <c r="AG136">
        <f>VLOOKUP($J136,'[1]Table S6'!$A:$AI,24,FALSE)</f>
        <v>3.7759999999999998</v>
      </c>
      <c r="AH136" t="str">
        <f>VLOOKUP($J136,'[1]Table S6'!$A:$AI,25,FALSE)</f>
        <v>No</v>
      </c>
      <c r="AJ136">
        <f>VLOOKUP($J136,'[1]Table S6'!$A:$AI,27,FALSE)</f>
        <v>418.6</v>
      </c>
      <c r="AK136">
        <f>VLOOKUP($J136,'[1]Table S6'!$A:$AI,28,FALSE)</f>
        <v>0.89082783570972601</v>
      </c>
      <c r="AL136">
        <f>VLOOKUP($J136,'[1]Table S6'!$A:$AI,29,FALSE)</f>
        <v>176</v>
      </c>
      <c r="AM136" t="str">
        <f>VLOOKUP($J136,'[1]Table S6'!$A:$AI,30,FALSE)</f>
        <v>No</v>
      </c>
      <c r="AO136">
        <f>VLOOKUP($J136,'[1]Table S6'!$A:$AI,32,FALSE)</f>
        <v>409.4</v>
      </c>
      <c r="AP136">
        <f>VLOOKUP($J136,'[1]Table S6'!$A:$AI,33,FALSE)</f>
        <v>0.87124920195786304</v>
      </c>
      <c r="AQ136">
        <f>VLOOKUP($J136,'[1]Table S6'!$A:$AI,34,FALSE)</f>
        <v>177.5</v>
      </c>
      <c r="AR136" t="str">
        <f>VLOOKUP($J136,'[1]Table S6'!$A:$AI,35,FALSE)</f>
        <v>No</v>
      </c>
      <c r="AT136" t="str">
        <f>VLOOKUP($I136,'[2]Table S5'!$A:$K,8,FALSE)</f>
        <v>Resistant</v>
      </c>
      <c r="AU136" t="str">
        <f>VLOOKUP($I136,'[2]Table S5'!$A:$K,9,FALSE)</f>
        <v>Resistant</v>
      </c>
      <c r="AV136" t="str">
        <f>VLOOKUP($I136,'[2]Table S5'!$A:$K,10,FALSE)</f>
        <v>Resistant</v>
      </c>
      <c r="AW136" t="str">
        <f>VLOOKUP($I136,'[2]Table S5'!$A:$K,11,FALSE)</f>
        <v>Resistant</v>
      </c>
    </row>
    <row r="137" spans="1:49">
      <c r="A137" s="12" t="s">
        <v>1032</v>
      </c>
      <c r="B137" t="s">
        <v>1033</v>
      </c>
      <c r="C137" t="s">
        <v>1034</v>
      </c>
      <c r="D137" t="s">
        <v>17</v>
      </c>
      <c r="E137" t="s">
        <v>1035</v>
      </c>
      <c r="F137" s="12" t="s">
        <v>1036</v>
      </c>
      <c r="G137" t="s">
        <v>1037</v>
      </c>
      <c r="H137" t="s">
        <v>1038</v>
      </c>
      <c r="I137" t="s">
        <v>970</v>
      </c>
      <c r="J137" t="s">
        <v>1003</v>
      </c>
      <c r="K137">
        <f>VLOOKUP($J137,'[1]Table S6'!$A:$AI,2,FALSE)</f>
        <v>349.2</v>
      </c>
      <c r="L137">
        <f>VLOOKUP($J137,'[1]Table S6'!$A:$AI,3,FALSE)</f>
        <v>0.74313683762502702</v>
      </c>
      <c r="M137">
        <f>VLOOKUP($J137,'[1]Table S6'!$A:$AI,4,FALSE)</f>
        <v>7.742</v>
      </c>
      <c r="N137" t="str">
        <f>VLOOKUP($J137,'[1]Table S6'!$A:$AI,5,FALSE)</f>
        <v>No</v>
      </c>
      <c r="P137">
        <f>VLOOKUP($J137,'[1]Table S6'!$A:$AI,7,FALSE)</f>
        <v>361.8</v>
      </c>
      <c r="Q137">
        <f>VLOOKUP($J137,'[1]Table S6'!$A:$AI,8,FALSE)</f>
        <v>0.76995105341561998</v>
      </c>
      <c r="R137">
        <f>VLOOKUP($J137,'[1]Table S6'!$A:$AI,9,FALSE)</f>
        <v>9.2200000000000006</v>
      </c>
      <c r="S137" t="str">
        <f>VLOOKUP($J137,'[1]Table S6'!$A:$AI,10,FALSE)</f>
        <v>No</v>
      </c>
      <c r="U137">
        <f>VLOOKUP($J137,'[1]Table S6'!$A:$AI,12,FALSE)</f>
        <v>349.5</v>
      </c>
      <c r="V137">
        <f>VLOOKUP($J137,'[1]Table S6'!$A:$AI,13,FALSE)</f>
        <v>0.74377527133432697</v>
      </c>
      <c r="W137">
        <f>VLOOKUP($J137,'[1]Table S6'!$A:$AI,14,FALSE)</f>
        <v>9.02</v>
      </c>
      <c r="X137" t="str">
        <f>VLOOKUP($J137,'[1]Table S6'!$A:$AI,15,FALSE)</f>
        <v>No</v>
      </c>
      <c r="Z137">
        <f>VLOOKUP($J137,'[1]Table S6'!$A:$AI,17,FALSE)</f>
        <v>390.8</v>
      </c>
      <c r="AA137">
        <f>VLOOKUP($J137,'[1]Table S6'!$A:$AI,18,FALSE)</f>
        <v>0.83166631198127305</v>
      </c>
      <c r="AB137">
        <f>VLOOKUP($J137,'[1]Table S6'!$A:$AI,19,FALSE)</f>
        <v>16.28</v>
      </c>
      <c r="AC137" t="str">
        <f>VLOOKUP($J137,'[1]Table S6'!$A:$AI,20,FALSE)</f>
        <v>No</v>
      </c>
      <c r="AE137">
        <f>VLOOKUP($J137,'[1]Table S6'!$A:$AI,22,FALSE)</f>
        <v>304.60000000000002</v>
      </c>
      <c r="AF137">
        <f>VLOOKUP($J137,'[1]Table S6'!$A:$AI,23,FALSE)</f>
        <v>0.64822302617578198</v>
      </c>
      <c r="AG137">
        <f>VLOOKUP($J137,'[1]Table S6'!$A:$AI,24,FALSE)</f>
        <v>1.335</v>
      </c>
      <c r="AH137" t="str">
        <f>VLOOKUP($J137,'[1]Table S6'!$A:$AI,25,FALSE)</f>
        <v>Yes</v>
      </c>
      <c r="AJ137">
        <f>VLOOKUP($J137,'[1]Table S6'!$A:$AI,27,FALSE)</f>
        <v>423.8</v>
      </c>
      <c r="AK137">
        <f>VLOOKUP($J137,'[1]Table S6'!$A:$AI,28,FALSE)</f>
        <v>0.901894020004256</v>
      </c>
      <c r="AL137">
        <f>VLOOKUP($J137,'[1]Table S6'!$A:$AI,29,FALSE)</f>
        <v>132.30000000000001</v>
      </c>
      <c r="AM137" t="str">
        <f>VLOOKUP($J137,'[1]Table S6'!$A:$AI,30,FALSE)</f>
        <v>No</v>
      </c>
      <c r="AO137">
        <f>VLOOKUP($J137,'[1]Table S6'!$A:$AI,32,FALSE)</f>
        <v>363.1</v>
      </c>
      <c r="AP137">
        <f>VLOOKUP($J137,'[1]Table S6'!$A:$AI,33,FALSE)</f>
        <v>0.772717599489253</v>
      </c>
      <c r="AQ137">
        <f>VLOOKUP($J137,'[1]Table S6'!$A:$AI,34,FALSE)</f>
        <v>10.59</v>
      </c>
      <c r="AR137" t="str">
        <f>VLOOKUP($J137,'[1]Table S6'!$A:$AI,35,FALSE)</f>
        <v>No</v>
      </c>
      <c r="AT137" t="str">
        <f>VLOOKUP($I137,'[2]Table S5'!$A:$K,8,FALSE)</f>
        <v>Resistant</v>
      </c>
      <c r="AU137" t="str">
        <f>VLOOKUP($I137,'[2]Table S5'!$A:$K,9,FALSE)</f>
        <v>Resistant</v>
      </c>
      <c r="AV137" t="str">
        <f>VLOOKUP($I137,'[2]Table S5'!$A:$K,10,FALSE)</f>
        <v>Resistant</v>
      </c>
      <c r="AW137" t="str">
        <f>VLOOKUP($I137,'[2]Table S5'!$A:$K,11,FALSE)</f>
        <v>Resistant</v>
      </c>
    </row>
    <row r="138" spans="1:49">
      <c r="A138" s="12" t="s">
        <v>1039</v>
      </c>
      <c r="B138" t="s">
        <v>1040</v>
      </c>
      <c r="C138" t="s">
        <v>1041</v>
      </c>
      <c r="D138" t="s">
        <v>17</v>
      </c>
      <c r="E138" t="s">
        <v>1042</v>
      </c>
      <c r="F138" s="12" t="s">
        <v>1043</v>
      </c>
      <c r="G138" t="s">
        <v>1044</v>
      </c>
      <c r="H138" t="s">
        <v>1045</v>
      </c>
      <c r="I138" t="s">
        <v>970</v>
      </c>
      <c r="J138" t="s">
        <v>970</v>
      </c>
      <c r="K138" t="e">
        <f>VLOOKUP($J138,'[1]Table S6'!$A:$AI,2,FALSE)</f>
        <v>#N/A</v>
      </c>
      <c r="L138" t="e">
        <f>VLOOKUP($J138,'[1]Table S6'!$A:$AI,3,FALSE)</f>
        <v>#N/A</v>
      </c>
      <c r="M138" t="e">
        <f>VLOOKUP($J138,'[1]Table S6'!$A:$AI,4,FALSE)</f>
        <v>#N/A</v>
      </c>
      <c r="N138" t="e">
        <f>VLOOKUP($J138,'[1]Table S6'!$A:$AI,5,FALSE)</f>
        <v>#N/A</v>
      </c>
      <c r="P138" t="e">
        <f>VLOOKUP($J138,'[1]Table S6'!$A:$AI,7,FALSE)</f>
        <v>#N/A</v>
      </c>
      <c r="Q138" t="e">
        <f>VLOOKUP($J138,'[1]Table S6'!$A:$AI,8,FALSE)</f>
        <v>#N/A</v>
      </c>
      <c r="R138" t="e">
        <f>VLOOKUP($J138,'[1]Table S6'!$A:$AI,9,FALSE)</f>
        <v>#N/A</v>
      </c>
      <c r="S138" t="e">
        <f>VLOOKUP($J138,'[1]Table S6'!$A:$AI,10,FALSE)</f>
        <v>#N/A</v>
      </c>
      <c r="U138" t="e">
        <f>VLOOKUP($J138,'[1]Table S6'!$A:$AI,12,FALSE)</f>
        <v>#N/A</v>
      </c>
      <c r="V138" t="e">
        <f>VLOOKUP($J138,'[1]Table S6'!$A:$AI,13,FALSE)</f>
        <v>#N/A</v>
      </c>
      <c r="W138" t="e">
        <f>VLOOKUP($J138,'[1]Table S6'!$A:$AI,14,FALSE)</f>
        <v>#N/A</v>
      </c>
      <c r="X138" t="e">
        <f>VLOOKUP($J138,'[1]Table S6'!$A:$AI,15,FALSE)</f>
        <v>#N/A</v>
      </c>
      <c r="Z138" t="e">
        <f>VLOOKUP($J138,'[1]Table S6'!$A:$AI,17,FALSE)</f>
        <v>#N/A</v>
      </c>
      <c r="AA138" t="e">
        <f>VLOOKUP($J138,'[1]Table S6'!$A:$AI,18,FALSE)</f>
        <v>#N/A</v>
      </c>
      <c r="AB138" t="e">
        <f>VLOOKUP($J138,'[1]Table S6'!$A:$AI,19,FALSE)</f>
        <v>#N/A</v>
      </c>
      <c r="AC138" t="e">
        <f>VLOOKUP($J138,'[1]Table S6'!$A:$AI,20,FALSE)</f>
        <v>#N/A</v>
      </c>
      <c r="AE138" t="e">
        <f>VLOOKUP($J138,'[1]Table S6'!$A:$AI,22,FALSE)</f>
        <v>#N/A</v>
      </c>
      <c r="AF138" t="e">
        <f>VLOOKUP($J138,'[1]Table S6'!$A:$AI,23,FALSE)</f>
        <v>#N/A</v>
      </c>
      <c r="AG138" t="e">
        <f>VLOOKUP($J138,'[1]Table S6'!$A:$AI,24,FALSE)</f>
        <v>#N/A</v>
      </c>
      <c r="AH138" t="e">
        <f>VLOOKUP($J138,'[1]Table S6'!$A:$AI,25,FALSE)</f>
        <v>#N/A</v>
      </c>
      <c r="AJ138" t="e">
        <f>VLOOKUP($J138,'[1]Table S6'!$A:$AI,27,FALSE)</f>
        <v>#N/A</v>
      </c>
      <c r="AK138" t="e">
        <f>VLOOKUP($J138,'[1]Table S6'!$A:$AI,28,FALSE)</f>
        <v>#N/A</v>
      </c>
      <c r="AL138" t="e">
        <f>VLOOKUP($J138,'[1]Table S6'!$A:$AI,29,FALSE)</f>
        <v>#N/A</v>
      </c>
      <c r="AM138" t="e">
        <f>VLOOKUP($J138,'[1]Table S6'!$A:$AI,30,FALSE)</f>
        <v>#N/A</v>
      </c>
      <c r="AO138" t="e">
        <f>VLOOKUP($J138,'[1]Table S6'!$A:$AI,32,FALSE)</f>
        <v>#N/A</v>
      </c>
      <c r="AP138" t="e">
        <f>VLOOKUP($J138,'[1]Table S6'!$A:$AI,33,FALSE)</f>
        <v>#N/A</v>
      </c>
      <c r="AQ138" t="e">
        <f>VLOOKUP($J138,'[1]Table S6'!$A:$AI,34,FALSE)</f>
        <v>#N/A</v>
      </c>
      <c r="AR138" t="e">
        <f>VLOOKUP($J138,'[1]Table S6'!$A:$AI,35,FALSE)</f>
        <v>#N/A</v>
      </c>
      <c r="AT138" t="str">
        <f>VLOOKUP($I138,'[2]Table S5'!$A:$K,8,FALSE)</f>
        <v>Resistant</v>
      </c>
      <c r="AU138" t="str">
        <f>VLOOKUP($I138,'[2]Table S5'!$A:$K,9,FALSE)</f>
        <v>Resistant</v>
      </c>
      <c r="AV138" t="str">
        <f>VLOOKUP($I138,'[2]Table S5'!$A:$K,10,FALSE)</f>
        <v>Resistant</v>
      </c>
      <c r="AW138" t="str">
        <f>VLOOKUP($I138,'[2]Table S5'!$A:$K,11,FALSE)</f>
        <v>Resistant</v>
      </c>
    </row>
    <row r="139" spans="1:49">
      <c r="A139" s="12" t="s">
        <v>1046</v>
      </c>
      <c r="B139" t="s">
        <v>1047</v>
      </c>
      <c r="C139" t="s">
        <v>1048</v>
      </c>
      <c r="D139" t="s">
        <v>17</v>
      </c>
      <c r="E139" t="s">
        <v>1049</v>
      </c>
      <c r="F139" s="12" t="s">
        <v>1050</v>
      </c>
      <c r="G139" t="s">
        <v>1051</v>
      </c>
      <c r="H139" t="s">
        <v>1052</v>
      </c>
      <c r="I139" t="s">
        <v>1053</v>
      </c>
      <c r="J139" t="s">
        <v>1054</v>
      </c>
      <c r="K139">
        <f>VLOOKUP($J139,'[1]Table S6'!$A:$AI,2,FALSE)</f>
        <v>353.7</v>
      </c>
      <c r="L139">
        <f>VLOOKUP($J139,'[1]Table S6'!$A:$AI,3,FALSE)</f>
        <v>0.75271334326452399</v>
      </c>
      <c r="M139">
        <f>VLOOKUP($J139,'[1]Table S6'!$A:$AI,4,FALSE)</f>
        <v>5.1950000000000003</v>
      </c>
      <c r="N139" t="str">
        <f>VLOOKUP($J139,'[1]Table S6'!$A:$AI,5,FALSE)</f>
        <v>No</v>
      </c>
      <c r="P139">
        <f>VLOOKUP($J139,'[1]Table S6'!$A:$AI,7,FALSE)</f>
        <v>316.60000000000002</v>
      </c>
      <c r="Q139">
        <f>VLOOKUP($J139,'[1]Table S6'!$A:$AI,8,FALSE)</f>
        <v>0.67376037454777604</v>
      </c>
      <c r="R139">
        <f>VLOOKUP($J139,'[1]Table S6'!$A:$AI,9,FALSE)</f>
        <v>1.6890000000000001</v>
      </c>
      <c r="S139" t="str">
        <f>VLOOKUP($J139,'[1]Table S6'!$A:$AI,10,FALSE)</f>
        <v>Yes</v>
      </c>
      <c r="U139">
        <f>VLOOKUP($J139,'[1]Table S6'!$A:$AI,12,FALSE)</f>
        <v>332.3</v>
      </c>
      <c r="V139">
        <f>VLOOKUP($J139,'[1]Table S6'!$A:$AI,13,FALSE)</f>
        <v>0.70717173866780203</v>
      </c>
      <c r="W139">
        <f>VLOOKUP($J139,'[1]Table S6'!$A:$AI,14,FALSE)</f>
        <v>5.266</v>
      </c>
      <c r="X139" t="str">
        <f>VLOOKUP($J139,'[1]Table S6'!$A:$AI,15,FALSE)</f>
        <v>No</v>
      </c>
      <c r="Z139">
        <f>VLOOKUP($J139,'[1]Table S6'!$A:$AI,17,FALSE)</f>
        <v>367.1</v>
      </c>
      <c r="AA139">
        <f>VLOOKUP($J139,'[1]Table S6'!$A:$AI,18,FALSE)</f>
        <v>0.78123004894658399</v>
      </c>
      <c r="AB139">
        <f>VLOOKUP($J139,'[1]Table S6'!$A:$AI,19,FALSE)</f>
        <v>6.6520000000000001</v>
      </c>
      <c r="AC139" t="str">
        <f>VLOOKUP($J139,'[1]Table S6'!$A:$AI,20,FALSE)</f>
        <v>No</v>
      </c>
      <c r="AE139">
        <f>VLOOKUP($J139,'[1]Table S6'!$A:$AI,22,FALSE)</f>
        <v>409.2</v>
      </c>
      <c r="AF139">
        <f>VLOOKUP($J139,'[1]Table S6'!$A:$AI,23,FALSE)</f>
        <v>0.870823579484997</v>
      </c>
      <c r="AG139">
        <f>VLOOKUP($J139,'[1]Table S6'!$A:$AI,24,FALSE)</f>
        <v>24.76</v>
      </c>
      <c r="AH139" t="str">
        <f>VLOOKUP($J139,'[1]Table S6'!$A:$AI,25,FALSE)</f>
        <v>No</v>
      </c>
      <c r="AJ139">
        <f>VLOOKUP($J139,'[1]Table S6'!$A:$AI,27,FALSE)</f>
        <v>409.1</v>
      </c>
      <c r="AK139">
        <f>VLOOKUP($J139,'[1]Table S6'!$A:$AI,28,FALSE)</f>
        <v>0.87061076824856398</v>
      </c>
      <c r="AL139">
        <f>VLOOKUP($J139,'[1]Table S6'!$A:$AI,29,FALSE)</f>
        <v>94.93</v>
      </c>
      <c r="AM139" t="str">
        <f>VLOOKUP($J139,'[1]Table S6'!$A:$AI,30,FALSE)</f>
        <v>No</v>
      </c>
      <c r="AO139">
        <f>VLOOKUP($J139,'[1]Table S6'!$A:$AI,32,FALSE)</f>
        <v>465.7</v>
      </c>
      <c r="AP139">
        <f>VLOOKUP($J139,'[1]Table S6'!$A:$AI,33,FALSE)</f>
        <v>0.99106192806980198</v>
      </c>
      <c r="AQ139">
        <f>VLOOKUP($J139,'[1]Table S6'!$A:$AI,34,FALSE)</f>
        <v>265.8</v>
      </c>
      <c r="AR139" t="str">
        <f>VLOOKUP($J139,'[1]Table S6'!$A:$AI,35,FALSE)</f>
        <v>No</v>
      </c>
      <c r="AT139" t="str">
        <f>VLOOKUP($I139,'[2]Table S5'!$A:$K,8,FALSE)</f>
        <v>Resistant</v>
      </c>
      <c r="AU139" t="str">
        <f>VLOOKUP($I139,'[2]Table S5'!$A:$K,9,FALSE)</f>
        <v>Sensitive</v>
      </c>
      <c r="AV139" t="str">
        <f>VLOOKUP($I139,'[2]Table S5'!$A:$K,10,FALSE)</f>
        <v>Resistant</v>
      </c>
      <c r="AW139" t="str">
        <f>VLOOKUP($I139,'[2]Table S5'!$A:$K,11,FALSE)</f>
        <v>Resistant</v>
      </c>
    </row>
    <row r="140" spans="1:49">
      <c r="A140" s="12" t="s">
        <v>1055</v>
      </c>
      <c r="B140" t="s">
        <v>1056</v>
      </c>
      <c r="C140" t="s">
        <v>1057</v>
      </c>
      <c r="D140" t="s">
        <v>17</v>
      </c>
      <c r="E140" t="s">
        <v>1058</v>
      </c>
      <c r="F140" s="12" t="s">
        <v>1059</v>
      </c>
      <c r="G140" t="s">
        <v>1060</v>
      </c>
      <c r="H140" t="s">
        <v>1061</v>
      </c>
      <c r="I140" t="s">
        <v>1053</v>
      </c>
      <c r="J140" t="s">
        <v>1062</v>
      </c>
      <c r="K140">
        <f>VLOOKUP($J140,'[1]Table S6'!$A:$AI,2,FALSE)</f>
        <v>336.8</v>
      </c>
      <c r="L140">
        <f>VLOOKUP($J140,'[1]Table S6'!$A:$AI,3,FALSE)</f>
        <v>0.716748244307299</v>
      </c>
      <c r="M140">
        <f>VLOOKUP($J140,'[1]Table S6'!$A:$AI,4,FALSE)</f>
        <v>4.6479999999999997</v>
      </c>
      <c r="N140" t="str">
        <f>VLOOKUP($J140,'[1]Table S6'!$A:$AI,5,FALSE)</f>
        <v>No</v>
      </c>
      <c r="P140">
        <f>VLOOKUP($J140,'[1]Table S6'!$A:$AI,7,FALSE)</f>
        <v>324.7</v>
      </c>
      <c r="Q140">
        <f>VLOOKUP($J140,'[1]Table S6'!$A:$AI,8,FALSE)</f>
        <v>0.69099808469887203</v>
      </c>
      <c r="R140">
        <f>VLOOKUP($J140,'[1]Table S6'!$A:$AI,9,FALSE)</f>
        <v>2.214</v>
      </c>
      <c r="S140" t="str">
        <f>VLOOKUP($J140,'[1]Table S6'!$A:$AI,10,FALSE)</f>
        <v>Yes</v>
      </c>
      <c r="U140">
        <f>VLOOKUP($J140,'[1]Table S6'!$A:$AI,12,FALSE)</f>
        <v>346.5</v>
      </c>
      <c r="V140">
        <f>VLOOKUP($J140,'[1]Table S6'!$A:$AI,13,FALSE)</f>
        <v>0.73739093424132796</v>
      </c>
      <c r="W140">
        <f>VLOOKUP($J140,'[1]Table S6'!$A:$AI,14,FALSE)</f>
        <v>8.3320000000000007</v>
      </c>
      <c r="X140" t="str">
        <f>VLOOKUP($J140,'[1]Table S6'!$A:$AI,15,FALSE)</f>
        <v>No</v>
      </c>
      <c r="Z140">
        <f>VLOOKUP($J140,'[1]Table S6'!$A:$AI,17,FALSE)</f>
        <v>382.6</v>
      </c>
      <c r="AA140">
        <f>VLOOKUP($J140,'[1]Table S6'!$A:$AI,18,FALSE)</f>
        <v>0.81421579059374305</v>
      </c>
      <c r="AB140">
        <f>VLOOKUP($J140,'[1]Table S6'!$A:$AI,19,FALSE)</f>
        <v>15.34</v>
      </c>
      <c r="AC140" t="str">
        <f>VLOOKUP($J140,'[1]Table S6'!$A:$AI,20,FALSE)</f>
        <v>No</v>
      </c>
      <c r="AE140">
        <f>VLOOKUP($J140,'[1]Table S6'!$A:$AI,22,FALSE)</f>
        <v>342.7</v>
      </c>
      <c r="AF140">
        <f>VLOOKUP($J140,'[1]Table S6'!$A:$AI,23,FALSE)</f>
        <v>0.72930410725686301</v>
      </c>
      <c r="AG140">
        <f>VLOOKUP($J140,'[1]Table S6'!$A:$AI,24,FALSE)</f>
        <v>5.7969999999999997</v>
      </c>
      <c r="AH140" t="str">
        <f>VLOOKUP($J140,'[1]Table S6'!$A:$AI,25,FALSE)</f>
        <v>No</v>
      </c>
      <c r="AJ140">
        <f>VLOOKUP($J140,'[1]Table S6'!$A:$AI,27,FALSE)</f>
        <v>445.4</v>
      </c>
      <c r="AK140">
        <f>VLOOKUP($J140,'[1]Table S6'!$A:$AI,28,FALSE)</f>
        <v>0.947861247073845</v>
      </c>
      <c r="AL140">
        <f>VLOOKUP($J140,'[1]Table S6'!$A:$AI,29,FALSE)</f>
        <v>192.2</v>
      </c>
      <c r="AM140" t="str">
        <f>VLOOKUP($J140,'[1]Table S6'!$A:$AI,30,FALSE)</f>
        <v>No</v>
      </c>
      <c r="AO140">
        <f>VLOOKUP($J140,'[1]Table S6'!$A:$AI,32,FALSE)</f>
        <v>425.4</v>
      </c>
      <c r="AP140">
        <f>VLOOKUP($J140,'[1]Table S6'!$A:$AI,33,FALSE)</f>
        <v>0.90529899978718897</v>
      </c>
      <c r="AQ140">
        <f>VLOOKUP($J140,'[1]Table S6'!$A:$AI,34,FALSE)</f>
        <v>289.10000000000002</v>
      </c>
      <c r="AR140" t="str">
        <f>VLOOKUP($J140,'[1]Table S6'!$A:$AI,35,FALSE)</f>
        <v>No</v>
      </c>
      <c r="AT140" t="str">
        <f>VLOOKUP($I140,'[2]Table S5'!$A:$K,8,FALSE)</f>
        <v>Resistant</v>
      </c>
      <c r="AU140" t="str">
        <f>VLOOKUP($I140,'[2]Table S5'!$A:$K,9,FALSE)</f>
        <v>Sensitive</v>
      </c>
      <c r="AV140" t="str">
        <f>VLOOKUP($I140,'[2]Table S5'!$A:$K,10,FALSE)</f>
        <v>Resistant</v>
      </c>
      <c r="AW140" t="str">
        <f>VLOOKUP($I140,'[2]Table S5'!$A:$K,11,FALSE)</f>
        <v>Resistant</v>
      </c>
    </row>
    <row r="141" spans="1:49">
      <c r="A141" s="12" t="s">
        <v>1063</v>
      </c>
      <c r="B141" t="s">
        <v>1064</v>
      </c>
      <c r="C141" t="s">
        <v>1065</v>
      </c>
      <c r="D141" t="s">
        <v>17</v>
      </c>
      <c r="E141" t="s">
        <v>1066</v>
      </c>
      <c r="F141" s="12" t="s">
        <v>1067</v>
      </c>
      <c r="G141" t="s">
        <v>1068</v>
      </c>
      <c r="H141" t="s">
        <v>1069</v>
      </c>
      <c r="I141" t="s">
        <v>1053</v>
      </c>
      <c r="J141" t="s">
        <v>1070</v>
      </c>
      <c r="K141">
        <f>VLOOKUP($J141,'[1]Table S6'!$A:$AI,2,FALSE)</f>
        <v>287.10000000000002</v>
      </c>
      <c r="L141">
        <f>VLOOKUP($J141,'[1]Table S6'!$A:$AI,3,FALSE)</f>
        <v>0.61098105979995798</v>
      </c>
      <c r="M141">
        <f>VLOOKUP($J141,'[1]Table S6'!$A:$AI,4,FALSE)</f>
        <v>0.80969999999999998</v>
      </c>
      <c r="N141" t="str">
        <f>VLOOKUP($J141,'[1]Table S6'!$A:$AI,5,FALSE)</f>
        <v>Yes</v>
      </c>
      <c r="P141">
        <f>VLOOKUP($J141,'[1]Table S6'!$A:$AI,7,FALSE)</f>
        <v>315.5</v>
      </c>
      <c r="Q141">
        <f>VLOOKUP($J141,'[1]Table S6'!$A:$AI,8,FALSE)</f>
        <v>0.67141945094701005</v>
      </c>
      <c r="R141">
        <f>VLOOKUP($J141,'[1]Table S6'!$A:$AI,9,FALSE)</f>
        <v>1.532</v>
      </c>
      <c r="S141" t="str">
        <f>VLOOKUP($J141,'[1]Table S6'!$A:$AI,10,FALSE)</f>
        <v>Yes</v>
      </c>
      <c r="U141">
        <f>VLOOKUP($J141,'[1]Table S6'!$A:$AI,12,FALSE)</f>
        <v>336.4</v>
      </c>
      <c r="V141">
        <f>VLOOKUP($J141,'[1]Table S6'!$A:$AI,13,FALSE)</f>
        <v>0.71589699936156603</v>
      </c>
      <c r="W141">
        <f>VLOOKUP($J141,'[1]Table S6'!$A:$AI,14,FALSE)</f>
        <v>2.6379999999999999</v>
      </c>
      <c r="X141" t="str">
        <f>VLOOKUP($J141,'[1]Table S6'!$A:$AI,15,FALSE)</f>
        <v>No</v>
      </c>
      <c r="Z141">
        <f>VLOOKUP($J141,'[1]Table S6'!$A:$AI,17,FALSE)</f>
        <v>285</v>
      </c>
      <c r="AA141">
        <f>VLOOKUP($J141,'[1]Table S6'!$A:$AI,18,FALSE)</f>
        <v>0.60651202383485803</v>
      </c>
      <c r="AB141">
        <f>VLOOKUP($J141,'[1]Table S6'!$A:$AI,19,FALSE)</f>
        <v>1.1140000000000001</v>
      </c>
      <c r="AC141" t="str">
        <f>VLOOKUP($J141,'[1]Table S6'!$A:$AI,20,FALSE)</f>
        <v>Yes</v>
      </c>
      <c r="AE141">
        <f>VLOOKUP($J141,'[1]Table S6'!$A:$AI,22,FALSE)</f>
        <v>339</v>
      </c>
      <c r="AF141">
        <f>VLOOKUP($J141,'[1]Table S6'!$A:$AI,23,FALSE)</f>
        <v>0.72143009150883197</v>
      </c>
      <c r="AG141">
        <f>VLOOKUP($J141,'[1]Table S6'!$A:$AI,24,FALSE)</f>
        <v>4.7859999999999996</v>
      </c>
      <c r="AH141" t="str">
        <f>VLOOKUP($J141,'[1]Table S6'!$A:$AI,25,FALSE)</f>
        <v>No</v>
      </c>
      <c r="AJ141">
        <f>VLOOKUP($J141,'[1]Table S6'!$A:$AI,27,FALSE)</f>
        <v>396.8</v>
      </c>
      <c r="AK141">
        <f>VLOOKUP($J141,'[1]Table S6'!$A:$AI,28,FALSE)</f>
        <v>0.84443498616726997</v>
      </c>
      <c r="AL141">
        <f>VLOOKUP($J141,'[1]Table S6'!$A:$AI,29,FALSE)</f>
        <v>112.6</v>
      </c>
      <c r="AM141" t="str">
        <f>VLOOKUP($J141,'[1]Table S6'!$A:$AI,30,FALSE)</f>
        <v>No</v>
      </c>
      <c r="AO141">
        <f>VLOOKUP($J141,'[1]Table S6'!$A:$AI,32,FALSE)</f>
        <v>387.1</v>
      </c>
      <c r="AP141">
        <f>VLOOKUP($J141,'[1]Table S6'!$A:$AI,33,FALSE)</f>
        <v>0.82379229623324102</v>
      </c>
      <c r="AQ141">
        <f>VLOOKUP($J141,'[1]Table S6'!$A:$AI,34,FALSE)</f>
        <v>59.07</v>
      </c>
      <c r="AR141" t="str">
        <f>VLOOKUP($J141,'[1]Table S6'!$A:$AI,35,FALSE)</f>
        <v>No</v>
      </c>
      <c r="AT141" t="str">
        <f>VLOOKUP($I141,'[2]Table S5'!$A:$K,8,FALSE)</f>
        <v>Resistant</v>
      </c>
      <c r="AU141" t="str">
        <f>VLOOKUP($I141,'[2]Table S5'!$A:$K,9,FALSE)</f>
        <v>Sensitive</v>
      </c>
      <c r="AV141" t="str">
        <f>VLOOKUP($I141,'[2]Table S5'!$A:$K,10,FALSE)</f>
        <v>Resistant</v>
      </c>
      <c r="AW141" t="str">
        <f>VLOOKUP($I141,'[2]Table S5'!$A:$K,11,FALSE)</f>
        <v>Resistant</v>
      </c>
    </row>
    <row r="142" spans="1:49">
      <c r="A142" s="12" t="s">
        <v>1071</v>
      </c>
      <c r="B142" t="s">
        <v>1072</v>
      </c>
      <c r="C142" t="s">
        <v>1073</v>
      </c>
      <c r="D142" t="s">
        <v>17</v>
      </c>
      <c r="E142" t="s">
        <v>1074</v>
      </c>
      <c r="F142" s="12" t="s">
        <v>1075</v>
      </c>
      <c r="G142" t="s">
        <v>1076</v>
      </c>
      <c r="H142" t="s">
        <v>1077</v>
      </c>
      <c r="I142" t="s">
        <v>1053</v>
      </c>
      <c r="J142" t="s">
        <v>1078</v>
      </c>
      <c r="K142">
        <f>VLOOKUP($J142,'[1]Table S6'!$A:$AI,2,FALSE)</f>
        <v>358.1</v>
      </c>
      <c r="L142">
        <f>VLOOKUP($J142,'[1]Table S6'!$A:$AI,3,FALSE)</f>
        <v>0.76207703766758905</v>
      </c>
      <c r="M142">
        <f>VLOOKUP($J142,'[1]Table S6'!$A:$AI,4,FALSE)</f>
        <v>8.2159999999999993</v>
      </c>
      <c r="N142" t="str">
        <f>VLOOKUP($J142,'[1]Table S6'!$A:$AI,5,FALSE)</f>
        <v>No</v>
      </c>
      <c r="P142">
        <f>VLOOKUP($J142,'[1]Table S6'!$A:$AI,7,FALSE)</f>
        <v>317.60000000000002</v>
      </c>
      <c r="Q142">
        <f>VLOOKUP($J142,'[1]Table S6'!$A:$AI,8,FALSE)</f>
        <v>0.67588848691210901</v>
      </c>
      <c r="R142">
        <f>VLOOKUP($J142,'[1]Table S6'!$A:$AI,9,FALSE)</f>
        <v>1.8640000000000001</v>
      </c>
      <c r="S142" t="str">
        <f>VLOOKUP($J142,'[1]Table S6'!$A:$AI,10,FALSE)</f>
        <v>Yes</v>
      </c>
      <c r="U142">
        <f>VLOOKUP($J142,'[1]Table S6'!$A:$AI,12,FALSE)</f>
        <v>335.6</v>
      </c>
      <c r="V142">
        <f>VLOOKUP($J142,'[1]Table S6'!$A:$AI,13,FALSE)</f>
        <v>0.71419450947009999</v>
      </c>
      <c r="W142">
        <f>VLOOKUP($J142,'[1]Table S6'!$A:$AI,14,FALSE)</f>
        <v>4.1449999999999996</v>
      </c>
      <c r="X142" t="str">
        <f>VLOOKUP($J142,'[1]Table S6'!$A:$AI,15,FALSE)</f>
        <v>No</v>
      </c>
      <c r="Z142">
        <f>VLOOKUP($J142,'[1]Table S6'!$A:$AI,17,FALSE)</f>
        <v>313.3</v>
      </c>
      <c r="AA142">
        <f>VLOOKUP($J142,'[1]Table S6'!$A:$AI,18,FALSE)</f>
        <v>0.66673760374547797</v>
      </c>
      <c r="AB142">
        <f>VLOOKUP($J142,'[1]Table S6'!$A:$AI,19,FALSE)</f>
        <v>1.855</v>
      </c>
      <c r="AC142" t="str">
        <f>VLOOKUP($J142,'[1]Table S6'!$A:$AI,20,FALSE)</f>
        <v>Yes</v>
      </c>
      <c r="AE142">
        <f>VLOOKUP($J142,'[1]Table S6'!$A:$AI,22,FALSE)</f>
        <v>331.2</v>
      </c>
      <c r="AF142">
        <f>VLOOKUP($J142,'[1]Table S6'!$A:$AI,23,FALSE)</f>
        <v>0.70483081506703604</v>
      </c>
      <c r="AG142">
        <f>VLOOKUP($J142,'[1]Table S6'!$A:$AI,24,FALSE)</f>
        <v>2.6789999999999998</v>
      </c>
      <c r="AH142" t="str">
        <f>VLOOKUP($J142,'[1]Table S6'!$A:$AI,25,FALSE)</f>
        <v>No</v>
      </c>
      <c r="AJ142">
        <f>VLOOKUP($J142,'[1]Table S6'!$A:$AI,27,FALSE)</f>
        <v>436.1</v>
      </c>
      <c r="AK142">
        <f>VLOOKUP($J142,'[1]Table S6'!$A:$AI,28,FALSE)</f>
        <v>0.92806980208555001</v>
      </c>
      <c r="AL142">
        <f>VLOOKUP($J142,'[1]Table S6'!$A:$AI,29,FALSE)</f>
        <v>273.89999999999998</v>
      </c>
      <c r="AM142" t="str">
        <f>VLOOKUP($J142,'[1]Table S6'!$A:$AI,30,FALSE)</f>
        <v>No</v>
      </c>
      <c r="AO142">
        <f>VLOOKUP($J142,'[1]Table S6'!$A:$AI,32,FALSE)</f>
        <v>422.7</v>
      </c>
      <c r="AP142">
        <f>VLOOKUP($J142,'[1]Table S6'!$A:$AI,33,FALSE)</f>
        <v>0.89955309640349002</v>
      </c>
      <c r="AQ142">
        <f>VLOOKUP($J142,'[1]Table S6'!$A:$AI,34,FALSE)</f>
        <v>164.7</v>
      </c>
      <c r="AR142" t="str">
        <f>VLOOKUP($J142,'[1]Table S6'!$A:$AI,35,FALSE)</f>
        <v>No</v>
      </c>
      <c r="AT142" t="str">
        <f>VLOOKUP($I142,'[2]Table S5'!$A:$K,8,FALSE)</f>
        <v>Resistant</v>
      </c>
      <c r="AU142" t="str">
        <f>VLOOKUP($I142,'[2]Table S5'!$A:$K,9,FALSE)</f>
        <v>Sensitive</v>
      </c>
      <c r="AV142" t="str">
        <f>VLOOKUP($I142,'[2]Table S5'!$A:$K,10,FALSE)</f>
        <v>Resistant</v>
      </c>
      <c r="AW142" t="str">
        <f>VLOOKUP($I142,'[2]Table S5'!$A:$K,11,FALSE)</f>
        <v>Resistant</v>
      </c>
    </row>
    <row r="143" spans="1:49">
      <c r="A143" s="12" t="s">
        <v>1079</v>
      </c>
      <c r="B143" t="s">
        <v>1080</v>
      </c>
      <c r="C143" t="s">
        <v>1081</v>
      </c>
      <c r="D143" t="s">
        <v>17</v>
      </c>
      <c r="E143" t="s">
        <v>1082</v>
      </c>
      <c r="F143" s="12" t="s">
        <v>1083</v>
      </c>
      <c r="G143" t="s">
        <v>1084</v>
      </c>
      <c r="H143" t="s">
        <v>1085</v>
      </c>
      <c r="I143" t="s">
        <v>1053</v>
      </c>
      <c r="J143" t="s">
        <v>1086</v>
      </c>
      <c r="K143">
        <f>VLOOKUP($J143,'[1]Table S6'!$A:$AI,2,FALSE)</f>
        <v>329.2</v>
      </c>
      <c r="L143">
        <f>VLOOKUP($J143,'[1]Table S6'!$A:$AI,3,FALSE)</f>
        <v>0.70057459033837</v>
      </c>
      <c r="M143">
        <f>VLOOKUP($J143,'[1]Table S6'!$A:$AI,4,FALSE)</f>
        <v>4.1929999999999996</v>
      </c>
      <c r="N143" t="str">
        <f>VLOOKUP($J143,'[1]Table S6'!$A:$AI,5,FALSE)</f>
        <v>Yes</v>
      </c>
      <c r="P143">
        <f>VLOOKUP($J143,'[1]Table S6'!$A:$AI,7,FALSE)</f>
        <v>324.7</v>
      </c>
      <c r="Q143">
        <f>VLOOKUP($J143,'[1]Table S6'!$A:$AI,8,FALSE)</f>
        <v>0.69099808469887203</v>
      </c>
      <c r="R143">
        <f>VLOOKUP($J143,'[1]Table S6'!$A:$AI,9,FALSE)</f>
        <v>2.206</v>
      </c>
      <c r="S143" t="str">
        <f>VLOOKUP($J143,'[1]Table S6'!$A:$AI,10,FALSE)</f>
        <v>Yes</v>
      </c>
      <c r="U143">
        <f>VLOOKUP($J143,'[1]Table S6'!$A:$AI,12,FALSE)</f>
        <v>368.7</v>
      </c>
      <c r="V143">
        <f>VLOOKUP($J143,'[1]Table S6'!$A:$AI,13,FALSE)</f>
        <v>0.78463502872951696</v>
      </c>
      <c r="W143">
        <f>VLOOKUP($J143,'[1]Table S6'!$A:$AI,14,FALSE)</f>
        <v>9.5579999999999998</v>
      </c>
      <c r="X143" t="str">
        <f>VLOOKUP($J143,'[1]Table S6'!$A:$AI,15,FALSE)</f>
        <v>No</v>
      </c>
      <c r="Z143">
        <f>VLOOKUP($J143,'[1]Table S6'!$A:$AI,17,FALSE)</f>
        <v>383.1</v>
      </c>
      <c r="AA143">
        <f>VLOOKUP($J143,'[1]Table S6'!$A:$AI,18,FALSE)</f>
        <v>0.81527984677591003</v>
      </c>
      <c r="AB143">
        <f>VLOOKUP($J143,'[1]Table S6'!$A:$AI,19,FALSE)</f>
        <v>14.55</v>
      </c>
      <c r="AC143" t="str">
        <f>VLOOKUP($J143,'[1]Table S6'!$A:$AI,20,FALSE)</f>
        <v>No</v>
      </c>
      <c r="AE143">
        <f>VLOOKUP($J143,'[1]Table S6'!$A:$AI,22,FALSE)</f>
        <v>337.4</v>
      </c>
      <c r="AF143">
        <f>VLOOKUP($J143,'[1]Table S6'!$A:$AI,23,FALSE)</f>
        <v>0.718025111725899</v>
      </c>
      <c r="AG143">
        <f>VLOOKUP($J143,'[1]Table S6'!$A:$AI,24,FALSE)</f>
        <v>4.8949999999999996</v>
      </c>
      <c r="AH143" t="str">
        <f>VLOOKUP($J143,'[1]Table S6'!$A:$AI,25,FALSE)</f>
        <v>No</v>
      </c>
      <c r="AJ143">
        <f>VLOOKUP($J143,'[1]Table S6'!$A:$AI,27,FALSE)</f>
        <v>412.8</v>
      </c>
      <c r="AK143">
        <f>VLOOKUP($J143,'[1]Table S6'!$A:$AI,28,FALSE)</f>
        <v>0.87848478399659502</v>
      </c>
      <c r="AL143">
        <f>VLOOKUP($J143,'[1]Table S6'!$A:$AI,29,FALSE)</f>
        <v>121</v>
      </c>
      <c r="AM143" t="str">
        <f>VLOOKUP($J143,'[1]Table S6'!$A:$AI,30,FALSE)</f>
        <v>No</v>
      </c>
      <c r="AO143">
        <f>VLOOKUP($J143,'[1]Table S6'!$A:$AI,32,FALSE)</f>
        <v>397.2</v>
      </c>
      <c r="AP143">
        <f>VLOOKUP($J143,'[1]Table S6'!$A:$AI,33,FALSE)</f>
        <v>0.84528623111300305</v>
      </c>
      <c r="AQ143">
        <f>VLOOKUP($J143,'[1]Table S6'!$A:$AI,34,FALSE)</f>
        <v>128.1</v>
      </c>
      <c r="AR143" t="str">
        <f>VLOOKUP($J143,'[1]Table S6'!$A:$AI,35,FALSE)</f>
        <v>No</v>
      </c>
      <c r="AT143" t="str">
        <f>VLOOKUP($I143,'[2]Table S5'!$A:$K,8,FALSE)</f>
        <v>Resistant</v>
      </c>
      <c r="AU143" t="str">
        <f>VLOOKUP($I143,'[2]Table S5'!$A:$K,9,FALSE)</f>
        <v>Sensitive</v>
      </c>
      <c r="AV143" t="str">
        <f>VLOOKUP($I143,'[2]Table S5'!$A:$K,10,FALSE)</f>
        <v>Resistant</v>
      </c>
      <c r="AW143" t="str">
        <f>VLOOKUP($I143,'[2]Table S5'!$A:$K,11,FALSE)</f>
        <v>Resistant</v>
      </c>
    </row>
    <row r="144" spans="1:49">
      <c r="A144" s="12" t="s">
        <v>1087</v>
      </c>
      <c r="B144" t="s">
        <v>1088</v>
      </c>
      <c r="C144" t="s">
        <v>1089</v>
      </c>
      <c r="D144" t="s">
        <v>17</v>
      </c>
      <c r="E144" t="s">
        <v>1090</v>
      </c>
      <c r="F144" s="12" t="s">
        <v>1091</v>
      </c>
      <c r="G144" t="s">
        <v>1092</v>
      </c>
      <c r="H144" t="s">
        <v>1093</v>
      </c>
      <c r="I144" t="s">
        <v>1053</v>
      </c>
      <c r="J144" t="s">
        <v>1054</v>
      </c>
      <c r="K144">
        <f>VLOOKUP($J144,'[1]Table S6'!$A:$AI,2,FALSE)</f>
        <v>353.7</v>
      </c>
      <c r="L144">
        <f>VLOOKUP($J144,'[1]Table S6'!$A:$AI,3,FALSE)</f>
        <v>0.75271334326452399</v>
      </c>
      <c r="M144">
        <f>VLOOKUP($J144,'[1]Table S6'!$A:$AI,4,FALSE)</f>
        <v>5.1950000000000003</v>
      </c>
      <c r="N144" t="str">
        <f>VLOOKUP($J144,'[1]Table S6'!$A:$AI,5,FALSE)</f>
        <v>No</v>
      </c>
      <c r="P144">
        <f>VLOOKUP($J144,'[1]Table S6'!$A:$AI,7,FALSE)</f>
        <v>316.60000000000002</v>
      </c>
      <c r="Q144">
        <f>VLOOKUP($J144,'[1]Table S6'!$A:$AI,8,FALSE)</f>
        <v>0.67376037454777604</v>
      </c>
      <c r="R144">
        <f>VLOOKUP($J144,'[1]Table S6'!$A:$AI,9,FALSE)</f>
        <v>1.6890000000000001</v>
      </c>
      <c r="S144" t="str">
        <f>VLOOKUP($J144,'[1]Table S6'!$A:$AI,10,FALSE)</f>
        <v>Yes</v>
      </c>
      <c r="U144">
        <f>VLOOKUP($J144,'[1]Table S6'!$A:$AI,12,FALSE)</f>
        <v>332.3</v>
      </c>
      <c r="V144">
        <f>VLOOKUP($J144,'[1]Table S6'!$A:$AI,13,FALSE)</f>
        <v>0.70717173866780203</v>
      </c>
      <c r="W144">
        <f>VLOOKUP($J144,'[1]Table S6'!$A:$AI,14,FALSE)</f>
        <v>5.266</v>
      </c>
      <c r="X144" t="str">
        <f>VLOOKUP($J144,'[1]Table S6'!$A:$AI,15,FALSE)</f>
        <v>No</v>
      </c>
      <c r="Z144">
        <f>VLOOKUP($J144,'[1]Table S6'!$A:$AI,17,FALSE)</f>
        <v>367.1</v>
      </c>
      <c r="AA144">
        <f>VLOOKUP($J144,'[1]Table S6'!$A:$AI,18,FALSE)</f>
        <v>0.78123004894658399</v>
      </c>
      <c r="AB144">
        <f>VLOOKUP($J144,'[1]Table S6'!$A:$AI,19,FALSE)</f>
        <v>6.6520000000000001</v>
      </c>
      <c r="AC144" t="str">
        <f>VLOOKUP($J144,'[1]Table S6'!$A:$AI,20,FALSE)</f>
        <v>No</v>
      </c>
      <c r="AE144">
        <f>VLOOKUP($J144,'[1]Table S6'!$A:$AI,22,FALSE)</f>
        <v>409.2</v>
      </c>
      <c r="AF144">
        <f>VLOOKUP($J144,'[1]Table S6'!$A:$AI,23,FALSE)</f>
        <v>0.870823579484997</v>
      </c>
      <c r="AG144">
        <f>VLOOKUP($J144,'[1]Table S6'!$A:$AI,24,FALSE)</f>
        <v>24.76</v>
      </c>
      <c r="AH144" t="str">
        <f>VLOOKUP($J144,'[1]Table S6'!$A:$AI,25,FALSE)</f>
        <v>No</v>
      </c>
      <c r="AJ144">
        <f>VLOOKUP($J144,'[1]Table S6'!$A:$AI,27,FALSE)</f>
        <v>409.1</v>
      </c>
      <c r="AK144">
        <f>VLOOKUP($J144,'[1]Table S6'!$A:$AI,28,FALSE)</f>
        <v>0.87061076824856398</v>
      </c>
      <c r="AL144">
        <f>VLOOKUP($J144,'[1]Table S6'!$A:$AI,29,FALSE)</f>
        <v>94.93</v>
      </c>
      <c r="AM144" t="str">
        <f>VLOOKUP($J144,'[1]Table S6'!$A:$AI,30,FALSE)</f>
        <v>No</v>
      </c>
      <c r="AO144">
        <f>VLOOKUP($J144,'[1]Table S6'!$A:$AI,32,FALSE)</f>
        <v>465.7</v>
      </c>
      <c r="AP144">
        <f>VLOOKUP($J144,'[1]Table S6'!$A:$AI,33,FALSE)</f>
        <v>0.99106192806980198</v>
      </c>
      <c r="AQ144">
        <f>VLOOKUP($J144,'[1]Table S6'!$A:$AI,34,FALSE)</f>
        <v>265.8</v>
      </c>
      <c r="AR144" t="str">
        <f>VLOOKUP($J144,'[1]Table S6'!$A:$AI,35,FALSE)</f>
        <v>No</v>
      </c>
      <c r="AT144" t="str">
        <f>VLOOKUP($I144,'[2]Table S5'!$A:$K,8,FALSE)</f>
        <v>Resistant</v>
      </c>
      <c r="AU144" t="str">
        <f>VLOOKUP($I144,'[2]Table S5'!$A:$K,9,FALSE)</f>
        <v>Sensitive</v>
      </c>
      <c r="AV144" t="str">
        <f>VLOOKUP($I144,'[2]Table S5'!$A:$K,10,FALSE)</f>
        <v>Resistant</v>
      </c>
      <c r="AW144" t="str">
        <f>VLOOKUP($I144,'[2]Table S5'!$A:$K,11,FALSE)</f>
        <v>Resistant</v>
      </c>
    </row>
    <row r="145" spans="1:49">
      <c r="A145" s="12" t="s">
        <v>1094</v>
      </c>
      <c r="B145" t="s">
        <v>1095</v>
      </c>
      <c r="C145" t="s">
        <v>1096</v>
      </c>
      <c r="D145" t="s">
        <v>17</v>
      </c>
      <c r="E145" t="s">
        <v>1097</v>
      </c>
      <c r="F145" s="12" t="s">
        <v>1098</v>
      </c>
      <c r="G145" t="s">
        <v>1099</v>
      </c>
      <c r="H145" t="s">
        <v>1100</v>
      </c>
      <c r="I145" t="s">
        <v>1053</v>
      </c>
      <c r="J145" t="s">
        <v>1062</v>
      </c>
      <c r="K145">
        <f>VLOOKUP($J145,'[1]Table S6'!$A:$AI,2,FALSE)</f>
        <v>336.8</v>
      </c>
      <c r="L145">
        <f>VLOOKUP($J145,'[1]Table S6'!$A:$AI,3,FALSE)</f>
        <v>0.716748244307299</v>
      </c>
      <c r="M145">
        <f>VLOOKUP($J145,'[1]Table S6'!$A:$AI,4,FALSE)</f>
        <v>4.6479999999999997</v>
      </c>
      <c r="N145" t="str">
        <f>VLOOKUP($J145,'[1]Table S6'!$A:$AI,5,FALSE)</f>
        <v>No</v>
      </c>
      <c r="P145">
        <f>VLOOKUP($J145,'[1]Table S6'!$A:$AI,7,FALSE)</f>
        <v>324.7</v>
      </c>
      <c r="Q145">
        <f>VLOOKUP($J145,'[1]Table S6'!$A:$AI,8,FALSE)</f>
        <v>0.69099808469887203</v>
      </c>
      <c r="R145">
        <f>VLOOKUP($J145,'[1]Table S6'!$A:$AI,9,FALSE)</f>
        <v>2.214</v>
      </c>
      <c r="S145" t="str">
        <f>VLOOKUP($J145,'[1]Table S6'!$A:$AI,10,FALSE)</f>
        <v>Yes</v>
      </c>
      <c r="U145">
        <f>VLOOKUP($J145,'[1]Table S6'!$A:$AI,12,FALSE)</f>
        <v>346.5</v>
      </c>
      <c r="V145">
        <f>VLOOKUP($J145,'[1]Table S6'!$A:$AI,13,FALSE)</f>
        <v>0.73739093424132796</v>
      </c>
      <c r="W145">
        <f>VLOOKUP($J145,'[1]Table S6'!$A:$AI,14,FALSE)</f>
        <v>8.3320000000000007</v>
      </c>
      <c r="X145" t="str">
        <f>VLOOKUP($J145,'[1]Table S6'!$A:$AI,15,FALSE)</f>
        <v>No</v>
      </c>
      <c r="Z145">
        <f>VLOOKUP($J145,'[1]Table S6'!$A:$AI,17,FALSE)</f>
        <v>382.6</v>
      </c>
      <c r="AA145">
        <f>VLOOKUP($J145,'[1]Table S6'!$A:$AI,18,FALSE)</f>
        <v>0.81421579059374305</v>
      </c>
      <c r="AB145">
        <f>VLOOKUP($J145,'[1]Table S6'!$A:$AI,19,FALSE)</f>
        <v>15.34</v>
      </c>
      <c r="AC145" t="str">
        <f>VLOOKUP($J145,'[1]Table S6'!$A:$AI,20,FALSE)</f>
        <v>No</v>
      </c>
      <c r="AE145">
        <f>VLOOKUP($J145,'[1]Table S6'!$A:$AI,22,FALSE)</f>
        <v>342.7</v>
      </c>
      <c r="AF145">
        <f>VLOOKUP($J145,'[1]Table S6'!$A:$AI,23,FALSE)</f>
        <v>0.72930410725686301</v>
      </c>
      <c r="AG145">
        <f>VLOOKUP($J145,'[1]Table S6'!$A:$AI,24,FALSE)</f>
        <v>5.7969999999999997</v>
      </c>
      <c r="AH145" t="str">
        <f>VLOOKUP($J145,'[1]Table S6'!$A:$AI,25,FALSE)</f>
        <v>No</v>
      </c>
      <c r="AJ145">
        <f>VLOOKUP($J145,'[1]Table S6'!$A:$AI,27,FALSE)</f>
        <v>445.4</v>
      </c>
      <c r="AK145">
        <f>VLOOKUP($J145,'[1]Table S6'!$A:$AI,28,FALSE)</f>
        <v>0.947861247073845</v>
      </c>
      <c r="AL145">
        <f>VLOOKUP($J145,'[1]Table S6'!$A:$AI,29,FALSE)</f>
        <v>192.2</v>
      </c>
      <c r="AM145" t="str">
        <f>VLOOKUP($J145,'[1]Table S6'!$A:$AI,30,FALSE)</f>
        <v>No</v>
      </c>
      <c r="AO145">
        <f>VLOOKUP($J145,'[1]Table S6'!$A:$AI,32,FALSE)</f>
        <v>425.4</v>
      </c>
      <c r="AP145">
        <f>VLOOKUP($J145,'[1]Table S6'!$A:$AI,33,FALSE)</f>
        <v>0.90529899978718897</v>
      </c>
      <c r="AQ145">
        <f>VLOOKUP($J145,'[1]Table S6'!$A:$AI,34,FALSE)</f>
        <v>289.10000000000002</v>
      </c>
      <c r="AR145" t="str">
        <f>VLOOKUP($J145,'[1]Table S6'!$A:$AI,35,FALSE)</f>
        <v>No</v>
      </c>
      <c r="AT145" t="str">
        <f>VLOOKUP($I145,'[2]Table S5'!$A:$K,8,FALSE)</f>
        <v>Resistant</v>
      </c>
      <c r="AU145" t="str">
        <f>VLOOKUP($I145,'[2]Table S5'!$A:$K,9,FALSE)</f>
        <v>Sensitive</v>
      </c>
      <c r="AV145" t="str">
        <f>VLOOKUP($I145,'[2]Table S5'!$A:$K,10,FALSE)</f>
        <v>Resistant</v>
      </c>
      <c r="AW145" t="str">
        <f>VLOOKUP($I145,'[2]Table S5'!$A:$K,11,FALSE)</f>
        <v>Resistant</v>
      </c>
    </row>
    <row r="146" spans="1:49">
      <c r="A146" s="12" t="s">
        <v>1101</v>
      </c>
      <c r="B146" t="s">
        <v>1102</v>
      </c>
      <c r="C146" t="s">
        <v>1103</v>
      </c>
      <c r="D146" t="s">
        <v>17</v>
      </c>
      <c r="E146" t="s">
        <v>1104</v>
      </c>
      <c r="F146" s="12" t="s">
        <v>1105</v>
      </c>
      <c r="G146" t="s">
        <v>1106</v>
      </c>
      <c r="H146" t="s">
        <v>1107</v>
      </c>
      <c r="I146" t="s">
        <v>1053</v>
      </c>
      <c r="J146" t="s">
        <v>1070</v>
      </c>
      <c r="K146">
        <f>VLOOKUP($J146,'[1]Table S6'!$A:$AI,2,FALSE)</f>
        <v>287.10000000000002</v>
      </c>
      <c r="L146">
        <f>VLOOKUP($J146,'[1]Table S6'!$A:$AI,3,FALSE)</f>
        <v>0.61098105979995798</v>
      </c>
      <c r="M146">
        <f>VLOOKUP($J146,'[1]Table S6'!$A:$AI,4,FALSE)</f>
        <v>0.80969999999999998</v>
      </c>
      <c r="N146" t="str">
        <f>VLOOKUP($J146,'[1]Table S6'!$A:$AI,5,FALSE)</f>
        <v>Yes</v>
      </c>
      <c r="P146">
        <f>VLOOKUP($J146,'[1]Table S6'!$A:$AI,7,FALSE)</f>
        <v>315.5</v>
      </c>
      <c r="Q146">
        <f>VLOOKUP($J146,'[1]Table S6'!$A:$AI,8,FALSE)</f>
        <v>0.67141945094701005</v>
      </c>
      <c r="R146">
        <f>VLOOKUP($J146,'[1]Table S6'!$A:$AI,9,FALSE)</f>
        <v>1.532</v>
      </c>
      <c r="S146" t="str">
        <f>VLOOKUP($J146,'[1]Table S6'!$A:$AI,10,FALSE)</f>
        <v>Yes</v>
      </c>
      <c r="U146">
        <f>VLOOKUP($J146,'[1]Table S6'!$A:$AI,12,FALSE)</f>
        <v>336.4</v>
      </c>
      <c r="V146">
        <f>VLOOKUP($J146,'[1]Table S6'!$A:$AI,13,FALSE)</f>
        <v>0.71589699936156603</v>
      </c>
      <c r="W146">
        <f>VLOOKUP($J146,'[1]Table S6'!$A:$AI,14,FALSE)</f>
        <v>2.6379999999999999</v>
      </c>
      <c r="X146" t="str">
        <f>VLOOKUP($J146,'[1]Table S6'!$A:$AI,15,FALSE)</f>
        <v>No</v>
      </c>
      <c r="Z146">
        <f>VLOOKUP($J146,'[1]Table S6'!$A:$AI,17,FALSE)</f>
        <v>285</v>
      </c>
      <c r="AA146">
        <f>VLOOKUP($J146,'[1]Table S6'!$A:$AI,18,FALSE)</f>
        <v>0.60651202383485803</v>
      </c>
      <c r="AB146">
        <f>VLOOKUP($J146,'[1]Table S6'!$A:$AI,19,FALSE)</f>
        <v>1.1140000000000001</v>
      </c>
      <c r="AC146" t="str">
        <f>VLOOKUP($J146,'[1]Table S6'!$A:$AI,20,FALSE)</f>
        <v>Yes</v>
      </c>
      <c r="AE146">
        <f>VLOOKUP($J146,'[1]Table S6'!$A:$AI,22,FALSE)</f>
        <v>339</v>
      </c>
      <c r="AF146">
        <f>VLOOKUP($J146,'[1]Table S6'!$A:$AI,23,FALSE)</f>
        <v>0.72143009150883197</v>
      </c>
      <c r="AG146">
        <f>VLOOKUP($J146,'[1]Table S6'!$A:$AI,24,FALSE)</f>
        <v>4.7859999999999996</v>
      </c>
      <c r="AH146" t="str">
        <f>VLOOKUP($J146,'[1]Table S6'!$A:$AI,25,FALSE)</f>
        <v>No</v>
      </c>
      <c r="AJ146">
        <f>VLOOKUP($J146,'[1]Table S6'!$A:$AI,27,FALSE)</f>
        <v>396.8</v>
      </c>
      <c r="AK146">
        <f>VLOOKUP($J146,'[1]Table S6'!$A:$AI,28,FALSE)</f>
        <v>0.84443498616726997</v>
      </c>
      <c r="AL146">
        <f>VLOOKUP($J146,'[1]Table S6'!$A:$AI,29,FALSE)</f>
        <v>112.6</v>
      </c>
      <c r="AM146" t="str">
        <f>VLOOKUP($J146,'[1]Table S6'!$A:$AI,30,FALSE)</f>
        <v>No</v>
      </c>
      <c r="AO146">
        <f>VLOOKUP($J146,'[1]Table S6'!$A:$AI,32,FALSE)</f>
        <v>387.1</v>
      </c>
      <c r="AP146">
        <f>VLOOKUP($J146,'[1]Table S6'!$A:$AI,33,FALSE)</f>
        <v>0.82379229623324102</v>
      </c>
      <c r="AQ146">
        <f>VLOOKUP($J146,'[1]Table S6'!$A:$AI,34,FALSE)</f>
        <v>59.07</v>
      </c>
      <c r="AR146" t="str">
        <f>VLOOKUP($J146,'[1]Table S6'!$A:$AI,35,FALSE)</f>
        <v>No</v>
      </c>
      <c r="AT146" t="str">
        <f>VLOOKUP($I146,'[2]Table S5'!$A:$K,8,FALSE)</f>
        <v>Resistant</v>
      </c>
      <c r="AU146" t="str">
        <f>VLOOKUP($I146,'[2]Table S5'!$A:$K,9,FALSE)</f>
        <v>Sensitive</v>
      </c>
      <c r="AV146" t="str">
        <f>VLOOKUP($I146,'[2]Table S5'!$A:$K,10,FALSE)</f>
        <v>Resistant</v>
      </c>
      <c r="AW146" t="str">
        <f>VLOOKUP($I146,'[2]Table S5'!$A:$K,11,FALSE)</f>
        <v>Resistant</v>
      </c>
    </row>
    <row r="147" spans="1:49">
      <c r="A147" s="12" t="s">
        <v>1108</v>
      </c>
      <c r="B147" t="s">
        <v>1109</v>
      </c>
      <c r="C147" t="s">
        <v>1110</v>
      </c>
      <c r="D147" t="s">
        <v>17</v>
      </c>
      <c r="E147" t="s">
        <v>1111</v>
      </c>
      <c r="F147" s="12" t="s">
        <v>1112</v>
      </c>
      <c r="G147" t="s">
        <v>1113</v>
      </c>
      <c r="H147" t="s">
        <v>1114</v>
      </c>
      <c r="I147" t="s">
        <v>1053</v>
      </c>
      <c r="J147" t="s">
        <v>1078</v>
      </c>
      <c r="K147">
        <f>VLOOKUP($J147,'[1]Table S6'!$A:$AI,2,FALSE)</f>
        <v>358.1</v>
      </c>
      <c r="L147">
        <f>VLOOKUP($J147,'[1]Table S6'!$A:$AI,3,FALSE)</f>
        <v>0.76207703766758905</v>
      </c>
      <c r="M147">
        <f>VLOOKUP($J147,'[1]Table S6'!$A:$AI,4,FALSE)</f>
        <v>8.2159999999999993</v>
      </c>
      <c r="N147" t="str">
        <f>VLOOKUP($J147,'[1]Table S6'!$A:$AI,5,FALSE)</f>
        <v>No</v>
      </c>
      <c r="P147">
        <f>VLOOKUP($J147,'[1]Table S6'!$A:$AI,7,FALSE)</f>
        <v>317.60000000000002</v>
      </c>
      <c r="Q147">
        <f>VLOOKUP($J147,'[1]Table S6'!$A:$AI,8,FALSE)</f>
        <v>0.67588848691210901</v>
      </c>
      <c r="R147">
        <f>VLOOKUP($J147,'[1]Table S6'!$A:$AI,9,FALSE)</f>
        <v>1.8640000000000001</v>
      </c>
      <c r="S147" t="str">
        <f>VLOOKUP($J147,'[1]Table S6'!$A:$AI,10,FALSE)</f>
        <v>Yes</v>
      </c>
      <c r="U147">
        <f>VLOOKUP($J147,'[1]Table S6'!$A:$AI,12,FALSE)</f>
        <v>335.6</v>
      </c>
      <c r="V147">
        <f>VLOOKUP($J147,'[1]Table S6'!$A:$AI,13,FALSE)</f>
        <v>0.71419450947009999</v>
      </c>
      <c r="W147">
        <f>VLOOKUP($J147,'[1]Table S6'!$A:$AI,14,FALSE)</f>
        <v>4.1449999999999996</v>
      </c>
      <c r="X147" t="str">
        <f>VLOOKUP($J147,'[1]Table S6'!$A:$AI,15,FALSE)</f>
        <v>No</v>
      </c>
      <c r="Z147">
        <f>VLOOKUP($J147,'[1]Table S6'!$A:$AI,17,FALSE)</f>
        <v>313.3</v>
      </c>
      <c r="AA147">
        <f>VLOOKUP($J147,'[1]Table S6'!$A:$AI,18,FALSE)</f>
        <v>0.66673760374547797</v>
      </c>
      <c r="AB147">
        <f>VLOOKUP($J147,'[1]Table S6'!$A:$AI,19,FALSE)</f>
        <v>1.855</v>
      </c>
      <c r="AC147" t="str">
        <f>VLOOKUP($J147,'[1]Table S6'!$A:$AI,20,FALSE)</f>
        <v>Yes</v>
      </c>
      <c r="AE147">
        <f>VLOOKUP($J147,'[1]Table S6'!$A:$AI,22,FALSE)</f>
        <v>331.2</v>
      </c>
      <c r="AF147">
        <f>VLOOKUP($J147,'[1]Table S6'!$A:$AI,23,FALSE)</f>
        <v>0.70483081506703604</v>
      </c>
      <c r="AG147">
        <f>VLOOKUP($J147,'[1]Table S6'!$A:$AI,24,FALSE)</f>
        <v>2.6789999999999998</v>
      </c>
      <c r="AH147" t="str">
        <f>VLOOKUP($J147,'[1]Table S6'!$A:$AI,25,FALSE)</f>
        <v>No</v>
      </c>
      <c r="AJ147">
        <f>VLOOKUP($J147,'[1]Table S6'!$A:$AI,27,FALSE)</f>
        <v>436.1</v>
      </c>
      <c r="AK147">
        <f>VLOOKUP($J147,'[1]Table S6'!$A:$AI,28,FALSE)</f>
        <v>0.92806980208555001</v>
      </c>
      <c r="AL147">
        <f>VLOOKUP($J147,'[1]Table S6'!$A:$AI,29,FALSE)</f>
        <v>273.89999999999998</v>
      </c>
      <c r="AM147" t="str">
        <f>VLOOKUP($J147,'[1]Table S6'!$A:$AI,30,FALSE)</f>
        <v>No</v>
      </c>
      <c r="AO147">
        <f>VLOOKUP($J147,'[1]Table S6'!$A:$AI,32,FALSE)</f>
        <v>422.7</v>
      </c>
      <c r="AP147">
        <f>VLOOKUP($J147,'[1]Table S6'!$A:$AI,33,FALSE)</f>
        <v>0.89955309640349002</v>
      </c>
      <c r="AQ147">
        <f>VLOOKUP($J147,'[1]Table S6'!$A:$AI,34,FALSE)</f>
        <v>164.7</v>
      </c>
      <c r="AR147" t="str">
        <f>VLOOKUP($J147,'[1]Table S6'!$A:$AI,35,FALSE)</f>
        <v>No</v>
      </c>
      <c r="AT147" t="str">
        <f>VLOOKUP($I147,'[2]Table S5'!$A:$K,8,FALSE)</f>
        <v>Resistant</v>
      </c>
      <c r="AU147" t="str">
        <f>VLOOKUP($I147,'[2]Table S5'!$A:$K,9,FALSE)</f>
        <v>Sensitive</v>
      </c>
      <c r="AV147" t="str">
        <f>VLOOKUP($I147,'[2]Table S5'!$A:$K,10,FALSE)</f>
        <v>Resistant</v>
      </c>
      <c r="AW147" t="str">
        <f>VLOOKUP($I147,'[2]Table S5'!$A:$K,11,FALSE)</f>
        <v>Resistant</v>
      </c>
    </row>
    <row r="148" spans="1:49">
      <c r="A148" s="12" t="s">
        <v>1115</v>
      </c>
      <c r="B148" t="s">
        <v>1116</v>
      </c>
      <c r="C148" t="s">
        <v>1117</v>
      </c>
      <c r="D148" t="s">
        <v>17</v>
      </c>
      <c r="E148" t="s">
        <v>1118</v>
      </c>
      <c r="F148" s="12" t="s">
        <v>1119</v>
      </c>
      <c r="G148" t="s">
        <v>1120</v>
      </c>
      <c r="H148" t="s">
        <v>1121</v>
      </c>
      <c r="I148" t="s">
        <v>1053</v>
      </c>
      <c r="J148" t="s">
        <v>1086</v>
      </c>
      <c r="K148">
        <f>VLOOKUP($J148,'[1]Table S6'!$A:$AI,2,FALSE)</f>
        <v>329.2</v>
      </c>
      <c r="L148">
        <f>VLOOKUP($J148,'[1]Table S6'!$A:$AI,3,FALSE)</f>
        <v>0.70057459033837</v>
      </c>
      <c r="M148">
        <f>VLOOKUP($J148,'[1]Table S6'!$A:$AI,4,FALSE)</f>
        <v>4.1929999999999996</v>
      </c>
      <c r="N148" t="str">
        <f>VLOOKUP($J148,'[1]Table S6'!$A:$AI,5,FALSE)</f>
        <v>Yes</v>
      </c>
      <c r="P148">
        <f>VLOOKUP($J148,'[1]Table S6'!$A:$AI,7,FALSE)</f>
        <v>324.7</v>
      </c>
      <c r="Q148">
        <f>VLOOKUP($J148,'[1]Table S6'!$A:$AI,8,FALSE)</f>
        <v>0.69099808469887203</v>
      </c>
      <c r="R148">
        <f>VLOOKUP($J148,'[1]Table S6'!$A:$AI,9,FALSE)</f>
        <v>2.206</v>
      </c>
      <c r="S148" t="str">
        <f>VLOOKUP($J148,'[1]Table S6'!$A:$AI,10,FALSE)</f>
        <v>Yes</v>
      </c>
      <c r="U148">
        <f>VLOOKUP($J148,'[1]Table S6'!$A:$AI,12,FALSE)</f>
        <v>368.7</v>
      </c>
      <c r="V148">
        <f>VLOOKUP($J148,'[1]Table S6'!$A:$AI,13,FALSE)</f>
        <v>0.78463502872951696</v>
      </c>
      <c r="W148">
        <f>VLOOKUP($J148,'[1]Table S6'!$A:$AI,14,FALSE)</f>
        <v>9.5579999999999998</v>
      </c>
      <c r="X148" t="str">
        <f>VLOOKUP($J148,'[1]Table S6'!$A:$AI,15,FALSE)</f>
        <v>No</v>
      </c>
      <c r="Z148">
        <f>VLOOKUP($J148,'[1]Table S6'!$A:$AI,17,FALSE)</f>
        <v>383.1</v>
      </c>
      <c r="AA148">
        <f>VLOOKUP($J148,'[1]Table S6'!$A:$AI,18,FALSE)</f>
        <v>0.81527984677591003</v>
      </c>
      <c r="AB148">
        <f>VLOOKUP($J148,'[1]Table S6'!$A:$AI,19,FALSE)</f>
        <v>14.55</v>
      </c>
      <c r="AC148" t="str">
        <f>VLOOKUP($J148,'[1]Table S6'!$A:$AI,20,FALSE)</f>
        <v>No</v>
      </c>
      <c r="AE148">
        <f>VLOOKUP($J148,'[1]Table S6'!$A:$AI,22,FALSE)</f>
        <v>337.4</v>
      </c>
      <c r="AF148">
        <f>VLOOKUP($J148,'[1]Table S6'!$A:$AI,23,FALSE)</f>
        <v>0.718025111725899</v>
      </c>
      <c r="AG148">
        <f>VLOOKUP($J148,'[1]Table S6'!$A:$AI,24,FALSE)</f>
        <v>4.8949999999999996</v>
      </c>
      <c r="AH148" t="str">
        <f>VLOOKUP($J148,'[1]Table S6'!$A:$AI,25,FALSE)</f>
        <v>No</v>
      </c>
      <c r="AJ148">
        <f>VLOOKUP($J148,'[1]Table S6'!$A:$AI,27,FALSE)</f>
        <v>412.8</v>
      </c>
      <c r="AK148">
        <f>VLOOKUP($J148,'[1]Table S6'!$A:$AI,28,FALSE)</f>
        <v>0.87848478399659502</v>
      </c>
      <c r="AL148">
        <f>VLOOKUP($J148,'[1]Table S6'!$A:$AI,29,FALSE)</f>
        <v>121</v>
      </c>
      <c r="AM148" t="str">
        <f>VLOOKUP($J148,'[1]Table S6'!$A:$AI,30,FALSE)</f>
        <v>No</v>
      </c>
      <c r="AO148">
        <f>VLOOKUP($J148,'[1]Table S6'!$A:$AI,32,FALSE)</f>
        <v>397.2</v>
      </c>
      <c r="AP148">
        <f>VLOOKUP($J148,'[1]Table S6'!$A:$AI,33,FALSE)</f>
        <v>0.84528623111300305</v>
      </c>
      <c r="AQ148">
        <f>VLOOKUP($J148,'[1]Table S6'!$A:$AI,34,FALSE)</f>
        <v>128.1</v>
      </c>
      <c r="AR148" t="str">
        <f>VLOOKUP($J148,'[1]Table S6'!$A:$AI,35,FALSE)</f>
        <v>No</v>
      </c>
      <c r="AT148" t="str">
        <f>VLOOKUP($I148,'[2]Table S5'!$A:$K,8,FALSE)</f>
        <v>Resistant</v>
      </c>
      <c r="AU148" t="str">
        <f>VLOOKUP($I148,'[2]Table S5'!$A:$K,9,FALSE)</f>
        <v>Sensitive</v>
      </c>
      <c r="AV148" t="str">
        <f>VLOOKUP($I148,'[2]Table S5'!$A:$K,10,FALSE)</f>
        <v>Resistant</v>
      </c>
      <c r="AW148" t="str">
        <f>VLOOKUP($I148,'[2]Table S5'!$A:$K,11,FALSE)</f>
        <v>Resistant</v>
      </c>
    </row>
    <row r="149" spans="1:49">
      <c r="A149" s="12" t="s">
        <v>1122</v>
      </c>
      <c r="B149" t="s">
        <v>1123</v>
      </c>
      <c r="C149" t="s">
        <v>1124</v>
      </c>
      <c r="D149" t="s">
        <v>17</v>
      </c>
      <c r="E149" t="s">
        <v>1125</v>
      </c>
      <c r="F149" s="12" t="s">
        <v>1126</v>
      </c>
      <c r="G149" t="s">
        <v>1127</v>
      </c>
      <c r="H149" t="s">
        <v>1128</v>
      </c>
      <c r="I149" t="s">
        <v>1053</v>
      </c>
      <c r="J149" t="s">
        <v>1053</v>
      </c>
      <c r="K149" t="e">
        <f>VLOOKUP($J149,'[1]Table S6'!$A:$AI,2,FALSE)</f>
        <v>#N/A</v>
      </c>
      <c r="L149" t="e">
        <f>VLOOKUP($J149,'[1]Table S6'!$A:$AI,3,FALSE)</f>
        <v>#N/A</v>
      </c>
      <c r="M149" t="e">
        <f>VLOOKUP($J149,'[1]Table S6'!$A:$AI,4,FALSE)</f>
        <v>#N/A</v>
      </c>
      <c r="N149" t="e">
        <f>VLOOKUP($J149,'[1]Table S6'!$A:$AI,5,FALSE)</f>
        <v>#N/A</v>
      </c>
      <c r="P149" t="e">
        <f>VLOOKUP($J149,'[1]Table S6'!$A:$AI,7,FALSE)</f>
        <v>#N/A</v>
      </c>
      <c r="Q149" t="e">
        <f>VLOOKUP($J149,'[1]Table S6'!$A:$AI,8,FALSE)</f>
        <v>#N/A</v>
      </c>
      <c r="R149" t="e">
        <f>VLOOKUP($J149,'[1]Table S6'!$A:$AI,9,FALSE)</f>
        <v>#N/A</v>
      </c>
      <c r="S149" t="e">
        <f>VLOOKUP($J149,'[1]Table S6'!$A:$AI,10,FALSE)</f>
        <v>#N/A</v>
      </c>
      <c r="U149" t="e">
        <f>VLOOKUP($J149,'[1]Table S6'!$A:$AI,12,FALSE)</f>
        <v>#N/A</v>
      </c>
      <c r="V149" t="e">
        <f>VLOOKUP($J149,'[1]Table S6'!$A:$AI,13,FALSE)</f>
        <v>#N/A</v>
      </c>
      <c r="W149" t="e">
        <f>VLOOKUP($J149,'[1]Table S6'!$A:$AI,14,FALSE)</f>
        <v>#N/A</v>
      </c>
      <c r="X149" t="e">
        <f>VLOOKUP($J149,'[1]Table S6'!$A:$AI,15,FALSE)</f>
        <v>#N/A</v>
      </c>
      <c r="Z149" t="e">
        <f>VLOOKUP($J149,'[1]Table S6'!$A:$AI,17,FALSE)</f>
        <v>#N/A</v>
      </c>
      <c r="AA149" t="e">
        <f>VLOOKUP($J149,'[1]Table S6'!$A:$AI,18,FALSE)</f>
        <v>#N/A</v>
      </c>
      <c r="AB149" t="e">
        <f>VLOOKUP($J149,'[1]Table S6'!$A:$AI,19,FALSE)</f>
        <v>#N/A</v>
      </c>
      <c r="AC149" t="e">
        <f>VLOOKUP($J149,'[1]Table S6'!$A:$AI,20,FALSE)</f>
        <v>#N/A</v>
      </c>
      <c r="AE149" t="e">
        <f>VLOOKUP($J149,'[1]Table S6'!$A:$AI,22,FALSE)</f>
        <v>#N/A</v>
      </c>
      <c r="AF149" t="e">
        <f>VLOOKUP($J149,'[1]Table S6'!$A:$AI,23,FALSE)</f>
        <v>#N/A</v>
      </c>
      <c r="AG149" t="e">
        <f>VLOOKUP($J149,'[1]Table S6'!$A:$AI,24,FALSE)</f>
        <v>#N/A</v>
      </c>
      <c r="AH149" t="e">
        <f>VLOOKUP($J149,'[1]Table S6'!$A:$AI,25,FALSE)</f>
        <v>#N/A</v>
      </c>
      <c r="AJ149" t="e">
        <f>VLOOKUP($J149,'[1]Table S6'!$A:$AI,27,FALSE)</f>
        <v>#N/A</v>
      </c>
      <c r="AK149" t="e">
        <f>VLOOKUP($J149,'[1]Table S6'!$A:$AI,28,FALSE)</f>
        <v>#N/A</v>
      </c>
      <c r="AL149" t="e">
        <f>VLOOKUP($J149,'[1]Table S6'!$A:$AI,29,FALSE)</f>
        <v>#N/A</v>
      </c>
      <c r="AM149" t="e">
        <f>VLOOKUP($J149,'[1]Table S6'!$A:$AI,30,FALSE)</f>
        <v>#N/A</v>
      </c>
      <c r="AO149" t="e">
        <f>VLOOKUP($J149,'[1]Table S6'!$A:$AI,32,FALSE)</f>
        <v>#N/A</v>
      </c>
      <c r="AP149" t="e">
        <f>VLOOKUP($J149,'[1]Table S6'!$A:$AI,33,FALSE)</f>
        <v>#N/A</v>
      </c>
      <c r="AQ149" t="e">
        <f>VLOOKUP($J149,'[1]Table S6'!$A:$AI,34,FALSE)</f>
        <v>#N/A</v>
      </c>
      <c r="AR149" t="e">
        <f>VLOOKUP($J149,'[1]Table S6'!$A:$AI,35,FALSE)</f>
        <v>#N/A</v>
      </c>
      <c r="AT149" t="str">
        <f>VLOOKUP($I149,'[2]Table S5'!$A:$K,8,FALSE)</f>
        <v>Resistant</v>
      </c>
      <c r="AU149" t="str">
        <f>VLOOKUP($I149,'[2]Table S5'!$A:$K,9,FALSE)</f>
        <v>Sensitive</v>
      </c>
      <c r="AV149" t="str">
        <f>VLOOKUP($I149,'[2]Table S5'!$A:$K,10,FALSE)</f>
        <v>Resistant</v>
      </c>
      <c r="AW149" t="str">
        <f>VLOOKUP($I149,'[2]Table S5'!$A:$K,11,FALSE)</f>
        <v>Resistant</v>
      </c>
    </row>
    <row r="150" spans="1:49">
      <c r="A150" s="12" t="s">
        <v>1129</v>
      </c>
      <c r="B150" t="s">
        <v>1130</v>
      </c>
      <c r="C150" t="s">
        <v>1131</v>
      </c>
      <c r="D150" t="s">
        <v>17</v>
      </c>
      <c r="E150" t="s">
        <v>1132</v>
      </c>
      <c r="F150" s="12" t="s">
        <v>1133</v>
      </c>
      <c r="G150" t="s">
        <v>1134</v>
      </c>
      <c r="H150" t="s">
        <v>1135</v>
      </c>
      <c r="I150" t="s">
        <v>1136</v>
      </c>
      <c r="J150" t="s">
        <v>1137</v>
      </c>
      <c r="K150">
        <f>VLOOKUP($J150,'[1]Table S6'!$A:$AI,2,FALSE)</f>
        <v>295.39999999999998</v>
      </c>
      <c r="L150">
        <f>VLOOKUP($J150,'[1]Table S6'!$A:$AI,3,FALSE)</f>
        <v>0.62864439242392001</v>
      </c>
      <c r="M150">
        <f>VLOOKUP($J150,'[1]Table S6'!$A:$AI,4,FALSE)</f>
        <v>0.94779999999999998</v>
      </c>
      <c r="N150" t="str">
        <f>VLOOKUP($J150,'[1]Table S6'!$A:$AI,5,FALSE)</f>
        <v>Yes</v>
      </c>
      <c r="P150">
        <f>VLOOKUP($J150,'[1]Table S6'!$A:$AI,7,FALSE)</f>
        <v>309.60000000000002</v>
      </c>
      <c r="Q150">
        <f>VLOOKUP($J150,'[1]Table S6'!$A:$AI,8,FALSE)</f>
        <v>0.65886358799744604</v>
      </c>
      <c r="R150">
        <f>VLOOKUP($J150,'[1]Table S6'!$A:$AI,9,FALSE)</f>
        <v>1.409</v>
      </c>
      <c r="S150" t="str">
        <f>VLOOKUP($J150,'[1]Table S6'!$A:$AI,10,FALSE)</f>
        <v>Yes</v>
      </c>
      <c r="U150">
        <f>VLOOKUP($J150,'[1]Table S6'!$A:$AI,12,FALSE)</f>
        <v>317.89999999999998</v>
      </c>
      <c r="V150">
        <f>VLOOKUP($J150,'[1]Table S6'!$A:$AI,13,FALSE)</f>
        <v>0.67652692062140896</v>
      </c>
      <c r="W150">
        <f>VLOOKUP($J150,'[1]Table S6'!$A:$AI,14,FALSE)</f>
        <v>2.0950000000000002</v>
      </c>
      <c r="X150" t="str">
        <f>VLOOKUP($J150,'[1]Table S6'!$A:$AI,15,FALSE)</f>
        <v>Yes</v>
      </c>
      <c r="Z150">
        <f>VLOOKUP($J150,'[1]Table S6'!$A:$AI,17,FALSE)</f>
        <v>307.5</v>
      </c>
      <c r="AA150">
        <f>VLOOKUP($J150,'[1]Table S6'!$A:$AI,18,FALSE)</f>
        <v>0.65439455203234698</v>
      </c>
      <c r="AB150">
        <f>VLOOKUP($J150,'[1]Table S6'!$A:$AI,19,FALSE)</f>
        <v>1.954</v>
      </c>
      <c r="AC150" t="str">
        <f>VLOOKUP($J150,'[1]Table S6'!$A:$AI,20,FALSE)</f>
        <v>Yes</v>
      </c>
      <c r="AE150">
        <f>VLOOKUP($J150,'[1]Table S6'!$A:$AI,22,FALSE)</f>
        <v>342.1</v>
      </c>
      <c r="AF150">
        <f>VLOOKUP($J150,'[1]Table S6'!$A:$AI,23,FALSE)</f>
        <v>0.72802723983826401</v>
      </c>
      <c r="AG150">
        <f>VLOOKUP($J150,'[1]Table S6'!$A:$AI,24,FALSE)</f>
        <v>3.024</v>
      </c>
      <c r="AH150" t="str">
        <f>VLOOKUP($J150,'[1]Table S6'!$A:$AI,25,FALSE)</f>
        <v>No</v>
      </c>
      <c r="AJ150">
        <f>VLOOKUP($J150,'[1]Table S6'!$A:$AI,27,FALSE)</f>
        <v>421</v>
      </c>
      <c r="AK150">
        <f>VLOOKUP($J150,'[1]Table S6'!$A:$AI,28,FALSE)</f>
        <v>0.89593530538412403</v>
      </c>
      <c r="AL150">
        <f>VLOOKUP($J150,'[1]Table S6'!$A:$AI,29,FALSE)</f>
        <v>154.1</v>
      </c>
      <c r="AM150" t="str">
        <f>VLOOKUP($J150,'[1]Table S6'!$A:$AI,30,FALSE)</f>
        <v>No</v>
      </c>
      <c r="AO150">
        <f>VLOOKUP($J150,'[1]Table S6'!$A:$AI,32,FALSE)</f>
        <v>448.4</v>
      </c>
      <c r="AP150">
        <f>VLOOKUP($J150,'[1]Table S6'!$A:$AI,33,FALSE)</f>
        <v>0.95424558416684402</v>
      </c>
      <c r="AQ150">
        <f>VLOOKUP($J150,'[1]Table S6'!$A:$AI,34,FALSE)</f>
        <v>207.1</v>
      </c>
      <c r="AR150" t="str">
        <f>VLOOKUP($J150,'[1]Table S6'!$A:$AI,35,FALSE)</f>
        <v>No</v>
      </c>
      <c r="AT150" t="str">
        <f>VLOOKUP($I150,'[2]Table S5'!$A:$K,8,FALSE)</f>
        <v>Sensitive</v>
      </c>
      <c r="AU150" t="str">
        <f>VLOOKUP($I150,'[2]Table S5'!$A:$K,9,FALSE)</f>
        <v>Sensitive</v>
      </c>
      <c r="AV150" t="str">
        <f>VLOOKUP($I150,'[2]Table S5'!$A:$K,10,FALSE)</f>
        <v>Sensitive</v>
      </c>
      <c r="AW150" t="str">
        <f>VLOOKUP($I150,'[2]Table S5'!$A:$K,11,FALSE)</f>
        <v>Resistant</v>
      </c>
    </row>
    <row r="151" spans="1:49">
      <c r="A151" s="12" t="s">
        <v>1138</v>
      </c>
      <c r="B151" t="s">
        <v>1139</v>
      </c>
      <c r="C151" t="s">
        <v>1140</v>
      </c>
      <c r="D151" t="s">
        <v>17</v>
      </c>
      <c r="E151" t="s">
        <v>1141</v>
      </c>
      <c r="F151" s="12" t="s">
        <v>1142</v>
      </c>
      <c r="G151" t="s">
        <v>1143</v>
      </c>
      <c r="H151" t="s">
        <v>1144</v>
      </c>
      <c r="I151" t="s">
        <v>1136</v>
      </c>
      <c r="J151" t="s">
        <v>1145</v>
      </c>
      <c r="K151">
        <f>VLOOKUP($J151,'[1]Table S6'!$A:$AI,2,FALSE)</f>
        <v>275.2</v>
      </c>
      <c r="L151">
        <f>VLOOKUP($J151,'[1]Table S6'!$A:$AI,3,FALSE)</f>
        <v>0.58565652266439705</v>
      </c>
      <c r="M151">
        <f>VLOOKUP($J151,'[1]Table S6'!$A:$AI,4,FALSE)</f>
        <v>0.57289999999999996</v>
      </c>
      <c r="N151" t="str">
        <f>VLOOKUP($J151,'[1]Table S6'!$A:$AI,5,FALSE)</f>
        <v>Yes</v>
      </c>
      <c r="P151">
        <f>VLOOKUP($J151,'[1]Table S6'!$A:$AI,7,FALSE)</f>
        <v>298.3</v>
      </c>
      <c r="Q151">
        <f>VLOOKUP($J151,'[1]Table S6'!$A:$AI,8,FALSE)</f>
        <v>0.634815918280485</v>
      </c>
      <c r="R151">
        <f>VLOOKUP($J151,'[1]Table S6'!$A:$AI,9,FALSE)</f>
        <v>1.0309999999999999</v>
      </c>
      <c r="S151" t="str">
        <f>VLOOKUP($J151,'[1]Table S6'!$A:$AI,10,FALSE)</f>
        <v>Yes</v>
      </c>
      <c r="U151">
        <f>VLOOKUP($J151,'[1]Table S6'!$A:$AI,12,FALSE)</f>
        <v>322.7</v>
      </c>
      <c r="V151">
        <f>VLOOKUP($J151,'[1]Table S6'!$A:$AI,13,FALSE)</f>
        <v>0.68674185997020598</v>
      </c>
      <c r="W151">
        <f>VLOOKUP($J151,'[1]Table S6'!$A:$AI,14,FALSE)</f>
        <v>2.1110000000000002</v>
      </c>
      <c r="X151" t="str">
        <f>VLOOKUP($J151,'[1]Table S6'!$A:$AI,15,FALSE)</f>
        <v>Yes</v>
      </c>
      <c r="Z151">
        <f>VLOOKUP($J151,'[1]Table S6'!$A:$AI,17,FALSE)</f>
        <v>297.10000000000002</v>
      </c>
      <c r="AA151">
        <f>VLOOKUP($J151,'[1]Table S6'!$A:$AI,18,FALSE)</f>
        <v>0.632262183443286</v>
      </c>
      <c r="AB151">
        <f>VLOOKUP($J151,'[1]Table S6'!$A:$AI,19,FALSE)</f>
        <v>1.2230000000000001</v>
      </c>
      <c r="AC151" t="str">
        <f>VLOOKUP($J151,'[1]Table S6'!$A:$AI,20,FALSE)</f>
        <v>Yes</v>
      </c>
      <c r="AE151">
        <f>VLOOKUP($J151,'[1]Table S6'!$A:$AI,22,FALSE)</f>
        <v>335</v>
      </c>
      <c r="AF151">
        <f>VLOOKUP($J151,'[1]Table S6'!$A:$AI,23,FALSE)</f>
        <v>0.71291764205149999</v>
      </c>
      <c r="AG151">
        <f>VLOOKUP($J151,'[1]Table S6'!$A:$AI,24,FALSE)</f>
        <v>3.4550000000000001</v>
      </c>
      <c r="AH151" t="str">
        <f>VLOOKUP($J151,'[1]Table S6'!$A:$AI,25,FALSE)</f>
        <v>No</v>
      </c>
      <c r="AJ151">
        <f>VLOOKUP($J151,'[1]Table S6'!$A:$AI,27,FALSE)</f>
        <v>410.1</v>
      </c>
      <c r="AK151">
        <f>VLOOKUP($J151,'[1]Table S6'!$A:$AI,28,FALSE)</f>
        <v>0.87273888061289695</v>
      </c>
      <c r="AL151">
        <f>VLOOKUP($J151,'[1]Table S6'!$A:$AI,29,FALSE)</f>
        <v>187.5</v>
      </c>
      <c r="AM151" t="str">
        <f>VLOOKUP($J151,'[1]Table S6'!$A:$AI,30,FALSE)</f>
        <v>No</v>
      </c>
      <c r="AO151">
        <f>VLOOKUP($J151,'[1]Table S6'!$A:$AI,32,FALSE)</f>
        <v>399.4</v>
      </c>
      <c r="AP151">
        <f>VLOOKUP($J151,'[1]Table S6'!$A:$AI,33,FALSE)</f>
        <v>0.84996807831453502</v>
      </c>
      <c r="AQ151">
        <f>VLOOKUP($J151,'[1]Table S6'!$A:$AI,34,FALSE)</f>
        <v>171.8</v>
      </c>
      <c r="AR151" t="str">
        <f>VLOOKUP($J151,'[1]Table S6'!$A:$AI,35,FALSE)</f>
        <v>No</v>
      </c>
      <c r="AT151" t="str">
        <f>VLOOKUP($I151,'[2]Table S5'!$A:$K,8,FALSE)</f>
        <v>Sensitive</v>
      </c>
      <c r="AU151" t="str">
        <f>VLOOKUP($I151,'[2]Table S5'!$A:$K,9,FALSE)</f>
        <v>Sensitive</v>
      </c>
      <c r="AV151" t="str">
        <f>VLOOKUP($I151,'[2]Table S5'!$A:$K,10,FALSE)</f>
        <v>Sensitive</v>
      </c>
      <c r="AW151" t="str">
        <f>VLOOKUP($I151,'[2]Table S5'!$A:$K,11,FALSE)</f>
        <v>Resistant</v>
      </c>
    </row>
    <row r="152" spans="1:49">
      <c r="A152" s="12" t="s">
        <v>1146</v>
      </c>
      <c r="B152" t="s">
        <v>1147</v>
      </c>
      <c r="C152" t="s">
        <v>1148</v>
      </c>
      <c r="D152" t="s">
        <v>17</v>
      </c>
      <c r="E152" t="s">
        <v>1149</v>
      </c>
      <c r="F152" s="12" t="s">
        <v>1150</v>
      </c>
      <c r="G152" t="s">
        <v>1151</v>
      </c>
      <c r="H152" t="s">
        <v>1152</v>
      </c>
      <c r="I152" t="s">
        <v>1136</v>
      </c>
      <c r="J152" t="s">
        <v>1153</v>
      </c>
      <c r="K152">
        <f>VLOOKUP($J152,'[1]Table S6'!$A:$AI,2,FALSE)</f>
        <v>297.39999999999998</v>
      </c>
      <c r="L152">
        <f>VLOOKUP($J152,'[1]Table S6'!$A:$AI,3,FALSE)</f>
        <v>0.63290061715258605</v>
      </c>
      <c r="M152">
        <f>VLOOKUP($J152,'[1]Table S6'!$A:$AI,4,FALSE)</f>
        <v>1.21</v>
      </c>
      <c r="N152" t="str">
        <f>VLOOKUP($J152,'[1]Table S6'!$A:$AI,5,FALSE)</f>
        <v>Yes</v>
      </c>
      <c r="P152">
        <f>VLOOKUP($J152,'[1]Table S6'!$A:$AI,7,FALSE)</f>
        <v>319.5</v>
      </c>
      <c r="Q152">
        <f>VLOOKUP($J152,'[1]Table S6'!$A:$AI,8,FALSE)</f>
        <v>0.67993190040434104</v>
      </c>
      <c r="R152">
        <f>VLOOKUP($J152,'[1]Table S6'!$A:$AI,9,FALSE)</f>
        <v>1.706</v>
      </c>
      <c r="S152" t="str">
        <f>VLOOKUP($J152,'[1]Table S6'!$A:$AI,10,FALSE)</f>
        <v>Yes</v>
      </c>
      <c r="U152">
        <f>VLOOKUP($J152,'[1]Table S6'!$A:$AI,12,FALSE)</f>
        <v>321.60000000000002</v>
      </c>
      <c r="V152">
        <f>VLOOKUP($J152,'[1]Table S6'!$A:$AI,13,FALSE)</f>
        <v>0.68440093636943999</v>
      </c>
      <c r="W152">
        <f>VLOOKUP($J152,'[1]Table S6'!$A:$AI,14,FALSE)</f>
        <v>1.9750000000000001</v>
      </c>
      <c r="X152" t="str">
        <f>VLOOKUP($J152,'[1]Table S6'!$A:$AI,15,FALSE)</f>
        <v>Yes</v>
      </c>
      <c r="Z152">
        <f>VLOOKUP($J152,'[1]Table S6'!$A:$AI,17,FALSE)</f>
        <v>319.5</v>
      </c>
      <c r="AA152">
        <f>VLOOKUP($J152,'[1]Table S6'!$A:$AI,18,FALSE)</f>
        <v>0.67993190040434104</v>
      </c>
      <c r="AB152">
        <f>VLOOKUP($J152,'[1]Table S6'!$A:$AI,19,FALSE)</f>
        <v>3.056</v>
      </c>
      <c r="AC152" t="str">
        <f>VLOOKUP($J152,'[1]Table S6'!$A:$AI,20,FALSE)</f>
        <v>Yes</v>
      </c>
      <c r="AE152">
        <f>VLOOKUP($J152,'[1]Table S6'!$A:$AI,22,FALSE)</f>
        <v>352.7</v>
      </c>
      <c r="AF152">
        <f>VLOOKUP($J152,'[1]Table S6'!$A:$AI,23,FALSE)</f>
        <v>0.75058523090019202</v>
      </c>
      <c r="AG152">
        <f>VLOOKUP($J152,'[1]Table S6'!$A:$AI,24,FALSE)</f>
        <v>6.8369999999999997</v>
      </c>
      <c r="AH152" t="str">
        <f>VLOOKUP($J152,'[1]Table S6'!$A:$AI,25,FALSE)</f>
        <v>No</v>
      </c>
      <c r="AJ152">
        <f>VLOOKUP($J152,'[1]Table S6'!$A:$AI,27,FALSE)</f>
        <v>428.1</v>
      </c>
      <c r="AK152">
        <f>VLOOKUP($J152,'[1]Table S6'!$A:$AI,28,FALSE)</f>
        <v>0.91104490317088704</v>
      </c>
      <c r="AL152">
        <f>VLOOKUP($J152,'[1]Table S6'!$A:$AI,29,FALSE)</f>
        <v>164.7</v>
      </c>
      <c r="AM152" t="str">
        <f>VLOOKUP($J152,'[1]Table S6'!$A:$AI,30,FALSE)</f>
        <v>No</v>
      </c>
      <c r="AO152">
        <f>VLOOKUP($J152,'[1]Table S6'!$A:$AI,32,FALSE)</f>
        <v>391.4</v>
      </c>
      <c r="AP152">
        <f>VLOOKUP($J152,'[1]Table S6'!$A:$AI,33,FALSE)</f>
        <v>0.83294317939987195</v>
      </c>
      <c r="AQ152">
        <f>VLOOKUP($J152,'[1]Table S6'!$A:$AI,34,FALSE)</f>
        <v>117.1</v>
      </c>
      <c r="AR152" t="str">
        <f>VLOOKUP($J152,'[1]Table S6'!$A:$AI,35,FALSE)</f>
        <v>No</v>
      </c>
      <c r="AT152" t="str">
        <f>VLOOKUP($I152,'[2]Table S5'!$A:$K,8,FALSE)</f>
        <v>Sensitive</v>
      </c>
      <c r="AU152" t="str">
        <f>VLOOKUP($I152,'[2]Table S5'!$A:$K,9,FALSE)</f>
        <v>Sensitive</v>
      </c>
      <c r="AV152" t="str">
        <f>VLOOKUP($I152,'[2]Table S5'!$A:$K,10,FALSE)</f>
        <v>Sensitive</v>
      </c>
      <c r="AW152" t="str">
        <f>VLOOKUP($I152,'[2]Table S5'!$A:$K,11,FALSE)</f>
        <v>Resistant</v>
      </c>
    </row>
    <row r="153" spans="1:49">
      <c r="A153" s="12" t="s">
        <v>1154</v>
      </c>
      <c r="B153" t="s">
        <v>1155</v>
      </c>
      <c r="C153" t="s">
        <v>1156</v>
      </c>
      <c r="D153" t="s">
        <v>17</v>
      </c>
      <c r="E153" t="s">
        <v>1157</v>
      </c>
      <c r="F153" s="12" t="s">
        <v>1158</v>
      </c>
      <c r="G153" t="s">
        <v>1159</v>
      </c>
      <c r="H153" t="s">
        <v>1160</v>
      </c>
      <c r="I153" t="s">
        <v>1136</v>
      </c>
      <c r="J153" t="s">
        <v>1137</v>
      </c>
      <c r="K153">
        <f>VLOOKUP($J153,'[1]Table S6'!$A:$AI,2,FALSE)</f>
        <v>295.39999999999998</v>
      </c>
      <c r="L153">
        <f>VLOOKUP($J153,'[1]Table S6'!$A:$AI,3,FALSE)</f>
        <v>0.62864439242392001</v>
      </c>
      <c r="M153">
        <f>VLOOKUP($J153,'[1]Table S6'!$A:$AI,4,FALSE)</f>
        <v>0.94779999999999998</v>
      </c>
      <c r="N153" t="str">
        <f>VLOOKUP($J153,'[1]Table S6'!$A:$AI,5,FALSE)</f>
        <v>Yes</v>
      </c>
      <c r="P153">
        <f>VLOOKUP($J153,'[1]Table S6'!$A:$AI,7,FALSE)</f>
        <v>309.60000000000002</v>
      </c>
      <c r="Q153">
        <f>VLOOKUP($J153,'[1]Table S6'!$A:$AI,8,FALSE)</f>
        <v>0.65886358799744604</v>
      </c>
      <c r="R153">
        <f>VLOOKUP($J153,'[1]Table S6'!$A:$AI,9,FALSE)</f>
        <v>1.409</v>
      </c>
      <c r="S153" t="str">
        <f>VLOOKUP($J153,'[1]Table S6'!$A:$AI,10,FALSE)</f>
        <v>Yes</v>
      </c>
      <c r="U153">
        <f>VLOOKUP($J153,'[1]Table S6'!$A:$AI,12,FALSE)</f>
        <v>317.89999999999998</v>
      </c>
      <c r="V153">
        <f>VLOOKUP($J153,'[1]Table S6'!$A:$AI,13,FALSE)</f>
        <v>0.67652692062140896</v>
      </c>
      <c r="W153">
        <f>VLOOKUP($J153,'[1]Table S6'!$A:$AI,14,FALSE)</f>
        <v>2.0950000000000002</v>
      </c>
      <c r="X153" t="str">
        <f>VLOOKUP($J153,'[1]Table S6'!$A:$AI,15,FALSE)</f>
        <v>Yes</v>
      </c>
      <c r="Z153">
        <f>VLOOKUP($J153,'[1]Table S6'!$A:$AI,17,FALSE)</f>
        <v>307.5</v>
      </c>
      <c r="AA153">
        <f>VLOOKUP($J153,'[1]Table S6'!$A:$AI,18,FALSE)</f>
        <v>0.65439455203234698</v>
      </c>
      <c r="AB153">
        <f>VLOOKUP($J153,'[1]Table S6'!$A:$AI,19,FALSE)</f>
        <v>1.954</v>
      </c>
      <c r="AC153" t="str">
        <f>VLOOKUP($J153,'[1]Table S6'!$A:$AI,20,FALSE)</f>
        <v>Yes</v>
      </c>
      <c r="AE153">
        <f>VLOOKUP($J153,'[1]Table S6'!$A:$AI,22,FALSE)</f>
        <v>342.1</v>
      </c>
      <c r="AF153">
        <f>VLOOKUP($J153,'[1]Table S6'!$A:$AI,23,FALSE)</f>
        <v>0.72802723983826401</v>
      </c>
      <c r="AG153">
        <f>VLOOKUP($J153,'[1]Table S6'!$A:$AI,24,FALSE)</f>
        <v>3.024</v>
      </c>
      <c r="AH153" t="str">
        <f>VLOOKUP($J153,'[1]Table S6'!$A:$AI,25,FALSE)</f>
        <v>No</v>
      </c>
      <c r="AJ153">
        <f>VLOOKUP($J153,'[1]Table S6'!$A:$AI,27,FALSE)</f>
        <v>421</v>
      </c>
      <c r="AK153">
        <f>VLOOKUP($J153,'[1]Table S6'!$A:$AI,28,FALSE)</f>
        <v>0.89593530538412403</v>
      </c>
      <c r="AL153">
        <f>VLOOKUP($J153,'[1]Table S6'!$A:$AI,29,FALSE)</f>
        <v>154.1</v>
      </c>
      <c r="AM153" t="str">
        <f>VLOOKUP($J153,'[1]Table S6'!$A:$AI,30,FALSE)</f>
        <v>No</v>
      </c>
      <c r="AO153">
        <f>VLOOKUP($J153,'[1]Table S6'!$A:$AI,32,FALSE)</f>
        <v>448.4</v>
      </c>
      <c r="AP153">
        <f>VLOOKUP($J153,'[1]Table S6'!$A:$AI,33,FALSE)</f>
        <v>0.95424558416684402</v>
      </c>
      <c r="AQ153">
        <f>VLOOKUP($J153,'[1]Table S6'!$A:$AI,34,FALSE)</f>
        <v>207.1</v>
      </c>
      <c r="AR153" t="str">
        <f>VLOOKUP($J153,'[1]Table S6'!$A:$AI,35,FALSE)</f>
        <v>No</v>
      </c>
      <c r="AT153" t="str">
        <f>VLOOKUP($I153,'[2]Table S5'!$A:$K,8,FALSE)</f>
        <v>Sensitive</v>
      </c>
      <c r="AU153" t="str">
        <f>VLOOKUP($I153,'[2]Table S5'!$A:$K,9,FALSE)</f>
        <v>Sensitive</v>
      </c>
      <c r="AV153" t="str">
        <f>VLOOKUP($I153,'[2]Table S5'!$A:$K,10,FALSE)</f>
        <v>Sensitive</v>
      </c>
      <c r="AW153" t="str">
        <f>VLOOKUP($I153,'[2]Table S5'!$A:$K,11,FALSE)</f>
        <v>Resistant</v>
      </c>
    </row>
    <row r="154" spans="1:49">
      <c r="A154" s="12" t="s">
        <v>1161</v>
      </c>
      <c r="B154" t="s">
        <v>1162</v>
      </c>
      <c r="C154" t="s">
        <v>1163</v>
      </c>
      <c r="D154" t="s">
        <v>17</v>
      </c>
      <c r="E154" t="s">
        <v>1164</v>
      </c>
      <c r="F154" s="12" t="s">
        <v>1165</v>
      </c>
      <c r="G154" t="s">
        <v>1166</v>
      </c>
      <c r="H154" t="s">
        <v>1167</v>
      </c>
      <c r="I154" t="s">
        <v>1136</v>
      </c>
      <c r="J154" t="s">
        <v>1145</v>
      </c>
      <c r="K154">
        <f>VLOOKUP($J154,'[1]Table S6'!$A:$AI,2,FALSE)</f>
        <v>275.2</v>
      </c>
      <c r="L154">
        <f>VLOOKUP($J154,'[1]Table S6'!$A:$AI,3,FALSE)</f>
        <v>0.58565652266439705</v>
      </c>
      <c r="M154">
        <f>VLOOKUP($J154,'[1]Table S6'!$A:$AI,4,FALSE)</f>
        <v>0.57289999999999996</v>
      </c>
      <c r="N154" t="str">
        <f>VLOOKUP($J154,'[1]Table S6'!$A:$AI,5,FALSE)</f>
        <v>Yes</v>
      </c>
      <c r="P154">
        <f>VLOOKUP($J154,'[1]Table S6'!$A:$AI,7,FALSE)</f>
        <v>298.3</v>
      </c>
      <c r="Q154">
        <f>VLOOKUP($J154,'[1]Table S6'!$A:$AI,8,FALSE)</f>
        <v>0.634815918280485</v>
      </c>
      <c r="R154">
        <f>VLOOKUP($J154,'[1]Table S6'!$A:$AI,9,FALSE)</f>
        <v>1.0309999999999999</v>
      </c>
      <c r="S154" t="str">
        <f>VLOOKUP($J154,'[1]Table S6'!$A:$AI,10,FALSE)</f>
        <v>Yes</v>
      </c>
      <c r="U154">
        <f>VLOOKUP($J154,'[1]Table S6'!$A:$AI,12,FALSE)</f>
        <v>322.7</v>
      </c>
      <c r="V154">
        <f>VLOOKUP($J154,'[1]Table S6'!$A:$AI,13,FALSE)</f>
        <v>0.68674185997020598</v>
      </c>
      <c r="W154">
        <f>VLOOKUP($J154,'[1]Table S6'!$A:$AI,14,FALSE)</f>
        <v>2.1110000000000002</v>
      </c>
      <c r="X154" t="str">
        <f>VLOOKUP($J154,'[1]Table S6'!$A:$AI,15,FALSE)</f>
        <v>Yes</v>
      </c>
      <c r="Z154">
        <f>VLOOKUP($J154,'[1]Table S6'!$A:$AI,17,FALSE)</f>
        <v>297.10000000000002</v>
      </c>
      <c r="AA154">
        <f>VLOOKUP($J154,'[1]Table S6'!$A:$AI,18,FALSE)</f>
        <v>0.632262183443286</v>
      </c>
      <c r="AB154">
        <f>VLOOKUP($J154,'[1]Table S6'!$A:$AI,19,FALSE)</f>
        <v>1.2230000000000001</v>
      </c>
      <c r="AC154" t="str">
        <f>VLOOKUP($J154,'[1]Table S6'!$A:$AI,20,FALSE)</f>
        <v>Yes</v>
      </c>
      <c r="AE154">
        <f>VLOOKUP($J154,'[1]Table S6'!$A:$AI,22,FALSE)</f>
        <v>335</v>
      </c>
      <c r="AF154">
        <f>VLOOKUP($J154,'[1]Table S6'!$A:$AI,23,FALSE)</f>
        <v>0.71291764205149999</v>
      </c>
      <c r="AG154">
        <f>VLOOKUP($J154,'[1]Table S6'!$A:$AI,24,FALSE)</f>
        <v>3.4550000000000001</v>
      </c>
      <c r="AH154" t="str">
        <f>VLOOKUP($J154,'[1]Table S6'!$A:$AI,25,FALSE)</f>
        <v>No</v>
      </c>
      <c r="AJ154">
        <f>VLOOKUP($J154,'[1]Table S6'!$A:$AI,27,FALSE)</f>
        <v>410.1</v>
      </c>
      <c r="AK154">
        <f>VLOOKUP($J154,'[1]Table S6'!$A:$AI,28,FALSE)</f>
        <v>0.87273888061289695</v>
      </c>
      <c r="AL154">
        <f>VLOOKUP($J154,'[1]Table S6'!$A:$AI,29,FALSE)</f>
        <v>187.5</v>
      </c>
      <c r="AM154" t="str">
        <f>VLOOKUP($J154,'[1]Table S6'!$A:$AI,30,FALSE)</f>
        <v>No</v>
      </c>
      <c r="AO154">
        <f>VLOOKUP($J154,'[1]Table S6'!$A:$AI,32,FALSE)</f>
        <v>399.4</v>
      </c>
      <c r="AP154">
        <f>VLOOKUP($J154,'[1]Table S6'!$A:$AI,33,FALSE)</f>
        <v>0.84996807831453502</v>
      </c>
      <c r="AQ154">
        <f>VLOOKUP($J154,'[1]Table S6'!$A:$AI,34,FALSE)</f>
        <v>171.8</v>
      </c>
      <c r="AR154" t="str">
        <f>VLOOKUP($J154,'[1]Table S6'!$A:$AI,35,FALSE)</f>
        <v>No</v>
      </c>
      <c r="AT154" t="str">
        <f>VLOOKUP($I154,'[2]Table S5'!$A:$K,8,FALSE)</f>
        <v>Sensitive</v>
      </c>
      <c r="AU154" t="str">
        <f>VLOOKUP($I154,'[2]Table S5'!$A:$K,9,FALSE)</f>
        <v>Sensitive</v>
      </c>
      <c r="AV154" t="str">
        <f>VLOOKUP($I154,'[2]Table S5'!$A:$K,10,FALSE)</f>
        <v>Sensitive</v>
      </c>
      <c r="AW154" t="str">
        <f>VLOOKUP($I154,'[2]Table S5'!$A:$K,11,FALSE)</f>
        <v>Resistant</v>
      </c>
    </row>
    <row r="155" spans="1:49">
      <c r="A155" s="12" t="s">
        <v>1168</v>
      </c>
      <c r="B155" t="s">
        <v>1169</v>
      </c>
      <c r="C155" t="s">
        <v>1170</v>
      </c>
      <c r="D155" t="s">
        <v>17</v>
      </c>
      <c r="E155" t="s">
        <v>1171</v>
      </c>
      <c r="F155" s="12" t="s">
        <v>1172</v>
      </c>
      <c r="G155" t="s">
        <v>1173</v>
      </c>
      <c r="H155" t="s">
        <v>1174</v>
      </c>
      <c r="I155" t="s">
        <v>1136</v>
      </c>
      <c r="J155" t="s">
        <v>1153</v>
      </c>
      <c r="K155">
        <f>VLOOKUP($J155,'[1]Table S6'!$A:$AI,2,FALSE)</f>
        <v>297.39999999999998</v>
      </c>
      <c r="L155">
        <f>VLOOKUP($J155,'[1]Table S6'!$A:$AI,3,FALSE)</f>
        <v>0.63290061715258605</v>
      </c>
      <c r="M155">
        <f>VLOOKUP($J155,'[1]Table S6'!$A:$AI,4,FALSE)</f>
        <v>1.21</v>
      </c>
      <c r="N155" t="str">
        <f>VLOOKUP($J155,'[1]Table S6'!$A:$AI,5,FALSE)</f>
        <v>Yes</v>
      </c>
      <c r="P155">
        <f>VLOOKUP($J155,'[1]Table S6'!$A:$AI,7,FALSE)</f>
        <v>319.5</v>
      </c>
      <c r="Q155">
        <f>VLOOKUP($J155,'[1]Table S6'!$A:$AI,8,FALSE)</f>
        <v>0.67993190040434104</v>
      </c>
      <c r="R155">
        <f>VLOOKUP($J155,'[1]Table S6'!$A:$AI,9,FALSE)</f>
        <v>1.706</v>
      </c>
      <c r="S155" t="str">
        <f>VLOOKUP($J155,'[1]Table S6'!$A:$AI,10,FALSE)</f>
        <v>Yes</v>
      </c>
      <c r="U155">
        <f>VLOOKUP($J155,'[1]Table S6'!$A:$AI,12,FALSE)</f>
        <v>321.60000000000002</v>
      </c>
      <c r="V155">
        <f>VLOOKUP($J155,'[1]Table S6'!$A:$AI,13,FALSE)</f>
        <v>0.68440093636943999</v>
      </c>
      <c r="W155">
        <f>VLOOKUP($J155,'[1]Table S6'!$A:$AI,14,FALSE)</f>
        <v>1.9750000000000001</v>
      </c>
      <c r="X155" t="str">
        <f>VLOOKUP($J155,'[1]Table S6'!$A:$AI,15,FALSE)</f>
        <v>Yes</v>
      </c>
      <c r="Z155">
        <f>VLOOKUP($J155,'[1]Table S6'!$A:$AI,17,FALSE)</f>
        <v>319.5</v>
      </c>
      <c r="AA155">
        <f>VLOOKUP($J155,'[1]Table S6'!$A:$AI,18,FALSE)</f>
        <v>0.67993190040434104</v>
      </c>
      <c r="AB155">
        <f>VLOOKUP($J155,'[1]Table S6'!$A:$AI,19,FALSE)</f>
        <v>3.056</v>
      </c>
      <c r="AC155" t="str">
        <f>VLOOKUP($J155,'[1]Table S6'!$A:$AI,20,FALSE)</f>
        <v>Yes</v>
      </c>
      <c r="AE155">
        <f>VLOOKUP($J155,'[1]Table S6'!$A:$AI,22,FALSE)</f>
        <v>352.7</v>
      </c>
      <c r="AF155">
        <f>VLOOKUP($J155,'[1]Table S6'!$A:$AI,23,FALSE)</f>
        <v>0.75058523090019202</v>
      </c>
      <c r="AG155">
        <f>VLOOKUP($J155,'[1]Table S6'!$A:$AI,24,FALSE)</f>
        <v>6.8369999999999997</v>
      </c>
      <c r="AH155" t="str">
        <f>VLOOKUP($J155,'[1]Table S6'!$A:$AI,25,FALSE)</f>
        <v>No</v>
      </c>
      <c r="AJ155">
        <f>VLOOKUP($J155,'[1]Table S6'!$A:$AI,27,FALSE)</f>
        <v>428.1</v>
      </c>
      <c r="AK155">
        <f>VLOOKUP($J155,'[1]Table S6'!$A:$AI,28,FALSE)</f>
        <v>0.91104490317088704</v>
      </c>
      <c r="AL155">
        <f>VLOOKUP($J155,'[1]Table S6'!$A:$AI,29,FALSE)</f>
        <v>164.7</v>
      </c>
      <c r="AM155" t="str">
        <f>VLOOKUP($J155,'[1]Table S6'!$A:$AI,30,FALSE)</f>
        <v>No</v>
      </c>
      <c r="AO155">
        <f>VLOOKUP($J155,'[1]Table S6'!$A:$AI,32,FALSE)</f>
        <v>391.4</v>
      </c>
      <c r="AP155">
        <f>VLOOKUP($J155,'[1]Table S6'!$A:$AI,33,FALSE)</f>
        <v>0.83294317939987195</v>
      </c>
      <c r="AQ155">
        <f>VLOOKUP($J155,'[1]Table S6'!$A:$AI,34,FALSE)</f>
        <v>117.1</v>
      </c>
      <c r="AR155" t="str">
        <f>VLOOKUP($J155,'[1]Table S6'!$A:$AI,35,FALSE)</f>
        <v>No</v>
      </c>
      <c r="AT155" t="str">
        <f>VLOOKUP($I155,'[2]Table S5'!$A:$K,8,FALSE)</f>
        <v>Sensitive</v>
      </c>
      <c r="AU155" t="str">
        <f>VLOOKUP($I155,'[2]Table S5'!$A:$K,9,FALSE)</f>
        <v>Sensitive</v>
      </c>
      <c r="AV155" t="str">
        <f>VLOOKUP($I155,'[2]Table S5'!$A:$K,10,FALSE)</f>
        <v>Sensitive</v>
      </c>
      <c r="AW155" t="str">
        <f>VLOOKUP($I155,'[2]Table S5'!$A:$K,11,FALSE)</f>
        <v>Resistant</v>
      </c>
    </row>
    <row r="156" spans="1:49">
      <c r="A156" s="12" t="s">
        <v>1175</v>
      </c>
      <c r="B156" t="s">
        <v>1176</v>
      </c>
      <c r="C156" t="s">
        <v>1177</v>
      </c>
      <c r="D156" t="s">
        <v>17</v>
      </c>
      <c r="E156" t="s">
        <v>1178</v>
      </c>
      <c r="F156" s="12" t="s">
        <v>1179</v>
      </c>
      <c r="G156" t="s">
        <v>1180</v>
      </c>
      <c r="H156" t="s">
        <v>1181</v>
      </c>
      <c r="I156" t="s">
        <v>1136</v>
      </c>
      <c r="J156" t="s">
        <v>1136</v>
      </c>
      <c r="K156" t="e">
        <f>VLOOKUP($J156,'[1]Table S6'!$A:$AI,2,FALSE)</f>
        <v>#N/A</v>
      </c>
      <c r="L156" t="e">
        <f>VLOOKUP($J156,'[1]Table S6'!$A:$AI,3,FALSE)</f>
        <v>#N/A</v>
      </c>
      <c r="M156" t="e">
        <f>VLOOKUP($J156,'[1]Table S6'!$A:$AI,4,FALSE)</f>
        <v>#N/A</v>
      </c>
      <c r="N156" t="e">
        <f>VLOOKUP($J156,'[1]Table S6'!$A:$AI,5,FALSE)</f>
        <v>#N/A</v>
      </c>
      <c r="P156" t="e">
        <f>VLOOKUP($J156,'[1]Table S6'!$A:$AI,7,FALSE)</f>
        <v>#N/A</v>
      </c>
      <c r="Q156" t="e">
        <f>VLOOKUP($J156,'[1]Table S6'!$A:$AI,8,FALSE)</f>
        <v>#N/A</v>
      </c>
      <c r="R156" t="e">
        <f>VLOOKUP($J156,'[1]Table S6'!$A:$AI,9,FALSE)</f>
        <v>#N/A</v>
      </c>
      <c r="S156" t="e">
        <f>VLOOKUP($J156,'[1]Table S6'!$A:$AI,10,FALSE)</f>
        <v>#N/A</v>
      </c>
      <c r="U156" t="e">
        <f>VLOOKUP($J156,'[1]Table S6'!$A:$AI,12,FALSE)</f>
        <v>#N/A</v>
      </c>
      <c r="V156" t="e">
        <f>VLOOKUP($J156,'[1]Table S6'!$A:$AI,13,FALSE)</f>
        <v>#N/A</v>
      </c>
      <c r="W156" t="e">
        <f>VLOOKUP($J156,'[1]Table S6'!$A:$AI,14,FALSE)</f>
        <v>#N/A</v>
      </c>
      <c r="X156" t="e">
        <f>VLOOKUP($J156,'[1]Table S6'!$A:$AI,15,FALSE)</f>
        <v>#N/A</v>
      </c>
      <c r="Z156" t="e">
        <f>VLOOKUP($J156,'[1]Table S6'!$A:$AI,17,FALSE)</f>
        <v>#N/A</v>
      </c>
      <c r="AA156" t="e">
        <f>VLOOKUP($J156,'[1]Table S6'!$A:$AI,18,FALSE)</f>
        <v>#N/A</v>
      </c>
      <c r="AB156" t="e">
        <f>VLOOKUP($J156,'[1]Table S6'!$A:$AI,19,FALSE)</f>
        <v>#N/A</v>
      </c>
      <c r="AC156" t="e">
        <f>VLOOKUP($J156,'[1]Table S6'!$A:$AI,20,FALSE)</f>
        <v>#N/A</v>
      </c>
      <c r="AE156" t="e">
        <f>VLOOKUP($J156,'[1]Table S6'!$A:$AI,22,FALSE)</f>
        <v>#N/A</v>
      </c>
      <c r="AF156" t="e">
        <f>VLOOKUP($J156,'[1]Table S6'!$A:$AI,23,FALSE)</f>
        <v>#N/A</v>
      </c>
      <c r="AG156" t="e">
        <f>VLOOKUP($J156,'[1]Table S6'!$A:$AI,24,FALSE)</f>
        <v>#N/A</v>
      </c>
      <c r="AH156" t="e">
        <f>VLOOKUP($J156,'[1]Table S6'!$A:$AI,25,FALSE)</f>
        <v>#N/A</v>
      </c>
      <c r="AJ156" t="e">
        <f>VLOOKUP($J156,'[1]Table S6'!$A:$AI,27,FALSE)</f>
        <v>#N/A</v>
      </c>
      <c r="AK156" t="e">
        <f>VLOOKUP($J156,'[1]Table S6'!$A:$AI,28,FALSE)</f>
        <v>#N/A</v>
      </c>
      <c r="AL156" t="e">
        <f>VLOOKUP($J156,'[1]Table S6'!$A:$AI,29,FALSE)</f>
        <v>#N/A</v>
      </c>
      <c r="AM156" t="e">
        <f>VLOOKUP($J156,'[1]Table S6'!$A:$AI,30,FALSE)</f>
        <v>#N/A</v>
      </c>
      <c r="AO156" t="e">
        <f>VLOOKUP($J156,'[1]Table S6'!$A:$AI,32,FALSE)</f>
        <v>#N/A</v>
      </c>
      <c r="AP156" t="e">
        <f>VLOOKUP($J156,'[1]Table S6'!$A:$AI,33,FALSE)</f>
        <v>#N/A</v>
      </c>
      <c r="AQ156" t="e">
        <f>VLOOKUP($J156,'[1]Table S6'!$A:$AI,34,FALSE)</f>
        <v>#N/A</v>
      </c>
      <c r="AR156" t="e">
        <f>VLOOKUP($J156,'[1]Table S6'!$A:$AI,35,FALSE)</f>
        <v>#N/A</v>
      </c>
      <c r="AT156" t="str">
        <f>VLOOKUP($I156,'[2]Table S5'!$A:$K,8,FALSE)</f>
        <v>Sensitive</v>
      </c>
      <c r="AU156" t="str">
        <f>VLOOKUP($I156,'[2]Table S5'!$A:$K,9,FALSE)</f>
        <v>Sensitive</v>
      </c>
      <c r="AV156" t="str">
        <f>VLOOKUP($I156,'[2]Table S5'!$A:$K,10,FALSE)</f>
        <v>Sensitive</v>
      </c>
      <c r="AW156" t="str">
        <f>VLOOKUP($I156,'[2]Table S5'!$A:$K,11,FALSE)</f>
        <v>Resistant</v>
      </c>
    </row>
    <row r="157" spans="1:49">
      <c r="A157" s="12" t="s">
        <v>1182</v>
      </c>
      <c r="B157" t="s">
        <v>1183</v>
      </c>
      <c r="C157" t="s">
        <v>1184</v>
      </c>
      <c r="D157" t="s">
        <v>17</v>
      </c>
      <c r="E157" t="s">
        <v>1185</v>
      </c>
      <c r="F157" s="12" t="s">
        <v>1186</v>
      </c>
      <c r="G157" t="s">
        <v>1187</v>
      </c>
      <c r="H157" t="s">
        <v>1188</v>
      </c>
      <c r="I157" t="s">
        <v>1189</v>
      </c>
      <c r="J157" t="s">
        <v>1190</v>
      </c>
      <c r="K157">
        <f>VLOOKUP($J157,'[1]Table S6'!$A:$AI,2,FALSE)</f>
        <v>352.6</v>
      </c>
      <c r="L157">
        <f>VLOOKUP($J157,'[1]Table S6'!$A:$AI,3,FALSE)</f>
        <v>0.75037241966375801</v>
      </c>
      <c r="M157">
        <f>VLOOKUP($J157,'[1]Table S6'!$A:$AI,4,FALSE)</f>
        <v>7.8170000000000002</v>
      </c>
      <c r="N157" t="str">
        <f>VLOOKUP($J157,'[1]Table S6'!$A:$AI,5,FALSE)</f>
        <v>No</v>
      </c>
      <c r="P157">
        <f>VLOOKUP($J157,'[1]Table S6'!$A:$AI,7,FALSE)</f>
        <v>397.6</v>
      </c>
      <c r="Q157">
        <f>VLOOKUP($J157,'[1]Table S6'!$A:$AI,8,FALSE)</f>
        <v>0.84613747605873602</v>
      </c>
      <c r="R157">
        <f>VLOOKUP($J157,'[1]Table S6'!$A:$AI,9,FALSE)</f>
        <v>29.4</v>
      </c>
      <c r="S157" t="str">
        <f>VLOOKUP($J157,'[1]Table S6'!$A:$AI,10,FALSE)</f>
        <v>No</v>
      </c>
      <c r="U157">
        <f>VLOOKUP($J157,'[1]Table S6'!$A:$AI,12,FALSE)</f>
        <v>369.5</v>
      </c>
      <c r="V157">
        <f>VLOOKUP($J157,'[1]Table S6'!$A:$AI,13,FALSE)</f>
        <v>0.786337518620983</v>
      </c>
      <c r="W157">
        <f>VLOOKUP($J157,'[1]Table S6'!$A:$AI,14,FALSE)</f>
        <v>8.3190000000000008</v>
      </c>
      <c r="X157" t="str">
        <f>VLOOKUP($J157,'[1]Table S6'!$A:$AI,15,FALSE)</f>
        <v>No</v>
      </c>
      <c r="Z157">
        <f>VLOOKUP($J157,'[1]Table S6'!$A:$AI,17,FALSE)</f>
        <v>381.8</v>
      </c>
      <c r="AA157">
        <f>VLOOKUP($J157,'[1]Table S6'!$A:$AI,18,FALSE)</f>
        <v>0.81251330070227701</v>
      </c>
      <c r="AB157">
        <f>VLOOKUP($J157,'[1]Table S6'!$A:$AI,19,FALSE)</f>
        <v>28.23</v>
      </c>
      <c r="AC157" t="str">
        <f>VLOOKUP($J157,'[1]Table S6'!$A:$AI,20,FALSE)</f>
        <v>No</v>
      </c>
      <c r="AE157">
        <f>VLOOKUP($J157,'[1]Table S6'!$A:$AI,22,FALSE)</f>
        <v>424.4</v>
      </c>
      <c r="AF157">
        <f>VLOOKUP($J157,'[1]Table S6'!$A:$AI,23,FALSE)</f>
        <v>0.90317088742285601</v>
      </c>
      <c r="AG157">
        <f>VLOOKUP($J157,'[1]Table S6'!$A:$AI,24,FALSE)</f>
        <v>39.56</v>
      </c>
      <c r="AH157" t="str">
        <f>VLOOKUP($J157,'[1]Table S6'!$A:$AI,25,FALSE)</f>
        <v>No</v>
      </c>
      <c r="AJ157">
        <f>VLOOKUP($J157,'[1]Table S6'!$A:$AI,27,FALSE)</f>
        <v>413</v>
      </c>
      <c r="AK157">
        <f>VLOOKUP($J157,'[1]Table S6'!$A:$AI,28,FALSE)</f>
        <v>0.87891040646946195</v>
      </c>
      <c r="AL157">
        <f>VLOOKUP($J157,'[1]Table S6'!$A:$AI,29,FALSE)</f>
        <v>23.53</v>
      </c>
      <c r="AM157" t="str">
        <f>VLOOKUP($J157,'[1]Table S6'!$A:$AI,30,FALSE)</f>
        <v>No</v>
      </c>
      <c r="AO157">
        <f>VLOOKUP($J157,'[1]Table S6'!$A:$AI,32,FALSE)</f>
        <v>391.6</v>
      </c>
      <c r="AP157">
        <f>VLOOKUP($J157,'[1]Table S6'!$A:$AI,33,FALSE)</f>
        <v>0.83336880187273898</v>
      </c>
      <c r="AQ157">
        <f>VLOOKUP($J157,'[1]Table S6'!$A:$AI,34,FALSE)</f>
        <v>13.98</v>
      </c>
      <c r="AR157" t="str">
        <f>VLOOKUP($J157,'[1]Table S6'!$A:$AI,35,FALSE)</f>
        <v>No</v>
      </c>
      <c r="AT157" t="str">
        <f>VLOOKUP($I157,'[2]Table S5'!$A:$K,8,FALSE)</f>
        <v>Resistant</v>
      </c>
      <c r="AU157" t="str">
        <f>VLOOKUP($I157,'[2]Table S5'!$A:$K,9,FALSE)</f>
        <v>Resistant</v>
      </c>
      <c r="AV157" t="str">
        <f>VLOOKUP($I157,'[2]Table S5'!$A:$K,10,FALSE)</f>
        <v>Resistant</v>
      </c>
      <c r="AW157" t="str">
        <f>VLOOKUP($I157,'[2]Table S5'!$A:$K,11,FALSE)</f>
        <v>Resistant</v>
      </c>
    </row>
    <row r="158" spans="1:49">
      <c r="A158" s="12" t="s">
        <v>1191</v>
      </c>
      <c r="B158" t="s">
        <v>1192</v>
      </c>
      <c r="C158" t="s">
        <v>1193</v>
      </c>
      <c r="D158" t="s">
        <v>17</v>
      </c>
      <c r="E158" t="s">
        <v>1194</v>
      </c>
      <c r="F158" s="12" t="s">
        <v>1195</v>
      </c>
      <c r="G158" t="s">
        <v>1196</v>
      </c>
      <c r="H158" t="s">
        <v>1197</v>
      </c>
      <c r="I158" t="s">
        <v>1189</v>
      </c>
      <c r="J158" t="s">
        <v>1198</v>
      </c>
      <c r="K158">
        <f>VLOOKUP($J158,'[1]Table S6'!$A:$AI,2,FALSE)</f>
        <v>344.3</v>
      </c>
      <c r="L158">
        <f>VLOOKUP($J158,'[1]Table S6'!$A:$AI,3,FALSE)</f>
        <v>0.73270908703979598</v>
      </c>
      <c r="M158">
        <f>VLOOKUP($J158,'[1]Table S6'!$A:$AI,4,FALSE)</f>
        <v>5.3570000000000002</v>
      </c>
      <c r="N158" t="str">
        <f>VLOOKUP($J158,'[1]Table S6'!$A:$AI,5,FALSE)</f>
        <v>No</v>
      </c>
      <c r="P158">
        <f>VLOOKUP($J158,'[1]Table S6'!$A:$AI,7,FALSE)</f>
        <v>365.8</v>
      </c>
      <c r="Q158">
        <f>VLOOKUP($J158,'[1]Table S6'!$A:$AI,8,FALSE)</f>
        <v>0.77846350287295196</v>
      </c>
      <c r="R158">
        <f>VLOOKUP($J158,'[1]Table S6'!$A:$AI,9,FALSE)</f>
        <v>7.1790000000000003</v>
      </c>
      <c r="S158" t="str">
        <f>VLOOKUP($J158,'[1]Table S6'!$A:$AI,10,FALSE)</f>
        <v>No</v>
      </c>
      <c r="U158">
        <f>VLOOKUP($J158,'[1]Table S6'!$A:$AI,12,FALSE)</f>
        <v>314.8</v>
      </c>
      <c r="V158">
        <f>VLOOKUP($J158,'[1]Table S6'!$A:$AI,13,FALSE)</f>
        <v>0.66992977229197703</v>
      </c>
      <c r="W158">
        <f>VLOOKUP($J158,'[1]Table S6'!$A:$AI,14,FALSE)</f>
        <v>1.8169999999999999</v>
      </c>
      <c r="X158" t="str">
        <f>VLOOKUP($J158,'[1]Table S6'!$A:$AI,15,FALSE)</f>
        <v>Yes</v>
      </c>
      <c r="Z158">
        <f>VLOOKUP($J158,'[1]Table S6'!$A:$AI,17,FALSE)</f>
        <v>386.6</v>
      </c>
      <c r="AA158">
        <f>VLOOKUP($J158,'[1]Table S6'!$A:$AI,18,FALSE)</f>
        <v>0.82272824005107503</v>
      </c>
      <c r="AB158">
        <f>VLOOKUP($J158,'[1]Table S6'!$A:$AI,19,FALSE)</f>
        <v>20.77</v>
      </c>
      <c r="AC158" t="str">
        <f>VLOOKUP($J158,'[1]Table S6'!$A:$AI,20,FALSE)</f>
        <v>No</v>
      </c>
      <c r="AE158">
        <f>VLOOKUP($J158,'[1]Table S6'!$A:$AI,22,FALSE)</f>
        <v>348.6</v>
      </c>
      <c r="AF158">
        <f>VLOOKUP($J158,'[1]Table S6'!$A:$AI,23,FALSE)</f>
        <v>0.74185997020642702</v>
      </c>
      <c r="AG158">
        <f>VLOOKUP($J158,'[1]Table S6'!$A:$AI,24,FALSE)</f>
        <v>7.1840000000000002</v>
      </c>
      <c r="AH158" t="str">
        <f>VLOOKUP($J158,'[1]Table S6'!$A:$AI,25,FALSE)</f>
        <v>No</v>
      </c>
      <c r="AJ158">
        <f>VLOOKUP($J158,'[1]Table S6'!$A:$AI,27,FALSE)</f>
        <v>344.3</v>
      </c>
      <c r="AK158">
        <f>VLOOKUP($J158,'[1]Table S6'!$A:$AI,28,FALSE)</f>
        <v>0.73270908703979598</v>
      </c>
      <c r="AL158">
        <f>VLOOKUP($J158,'[1]Table S6'!$A:$AI,29,FALSE)</f>
        <v>10.49</v>
      </c>
      <c r="AM158" t="str">
        <f>VLOOKUP($J158,'[1]Table S6'!$A:$AI,30,FALSE)</f>
        <v>No</v>
      </c>
      <c r="AO158">
        <f>VLOOKUP($J158,'[1]Table S6'!$A:$AI,32,FALSE)</f>
        <v>389.3</v>
      </c>
      <c r="AP158">
        <f>VLOOKUP($J158,'[1]Table S6'!$A:$AI,33,FALSE)</f>
        <v>0.82847414343477299</v>
      </c>
      <c r="AQ158">
        <f>VLOOKUP($J158,'[1]Table S6'!$A:$AI,34,FALSE)</f>
        <v>21.55</v>
      </c>
      <c r="AR158" t="str">
        <f>VLOOKUP($J158,'[1]Table S6'!$A:$AI,35,FALSE)</f>
        <v>No</v>
      </c>
      <c r="AT158" t="str">
        <f>VLOOKUP($I158,'[2]Table S5'!$A:$K,8,FALSE)</f>
        <v>Resistant</v>
      </c>
      <c r="AU158" t="str">
        <f>VLOOKUP($I158,'[2]Table S5'!$A:$K,9,FALSE)</f>
        <v>Resistant</v>
      </c>
      <c r="AV158" t="str">
        <f>VLOOKUP($I158,'[2]Table S5'!$A:$K,10,FALSE)</f>
        <v>Resistant</v>
      </c>
      <c r="AW158" t="str">
        <f>VLOOKUP($I158,'[2]Table S5'!$A:$K,11,FALSE)</f>
        <v>Resistant</v>
      </c>
    </row>
    <row r="159" spans="1:49">
      <c r="A159" s="12" t="s">
        <v>1199</v>
      </c>
      <c r="B159" t="s">
        <v>1200</v>
      </c>
      <c r="C159" t="s">
        <v>1201</v>
      </c>
      <c r="D159" t="s">
        <v>17</v>
      </c>
      <c r="E159" t="s">
        <v>1202</v>
      </c>
      <c r="F159" s="12" t="s">
        <v>1203</v>
      </c>
      <c r="G159" t="s">
        <v>1204</v>
      </c>
      <c r="H159" t="s">
        <v>1205</v>
      </c>
      <c r="I159" t="s">
        <v>1189</v>
      </c>
      <c r="J159" t="s">
        <v>1206</v>
      </c>
      <c r="K159">
        <f>VLOOKUP($J159,'[1]Table S6'!$A:$AI,2,FALSE)</f>
        <v>319.8</v>
      </c>
      <c r="L159">
        <f>VLOOKUP($J159,'[1]Table S6'!$A:$AI,3,FALSE)</f>
        <v>0.68057033411364098</v>
      </c>
      <c r="M159">
        <f>VLOOKUP($J159,'[1]Table S6'!$A:$AI,4,FALSE)</f>
        <v>2.5750000000000002</v>
      </c>
      <c r="N159" t="str">
        <f>VLOOKUP($J159,'[1]Table S6'!$A:$AI,5,FALSE)</f>
        <v>Yes</v>
      </c>
      <c r="P159">
        <f>VLOOKUP($J159,'[1]Table S6'!$A:$AI,7,FALSE)</f>
        <v>385.6</v>
      </c>
      <c r="Q159">
        <f>VLOOKUP($J159,'[1]Table S6'!$A:$AI,8,FALSE)</f>
        <v>0.82060012768674195</v>
      </c>
      <c r="R159">
        <f>VLOOKUP($J159,'[1]Table S6'!$A:$AI,9,FALSE)</f>
        <v>11.77</v>
      </c>
      <c r="S159" t="str">
        <f>VLOOKUP($J159,'[1]Table S6'!$A:$AI,10,FALSE)</f>
        <v>No</v>
      </c>
      <c r="U159">
        <f>VLOOKUP($J159,'[1]Table S6'!$A:$AI,12,FALSE)</f>
        <v>380.7</v>
      </c>
      <c r="V159">
        <f>VLOOKUP($J159,'[1]Table S6'!$A:$AI,13,FALSE)</f>
        <v>0.81017237710151102</v>
      </c>
      <c r="W159">
        <f>VLOOKUP($J159,'[1]Table S6'!$A:$AI,14,FALSE)</f>
        <v>9.5960000000000001</v>
      </c>
      <c r="X159" t="str">
        <f>VLOOKUP($J159,'[1]Table S6'!$A:$AI,15,FALSE)</f>
        <v>No</v>
      </c>
      <c r="Z159">
        <f>VLOOKUP($J159,'[1]Table S6'!$A:$AI,17,FALSE)</f>
        <v>354.6</v>
      </c>
      <c r="AA159">
        <f>VLOOKUP($J159,'[1]Table S6'!$A:$AI,18,FALSE)</f>
        <v>0.75462864439242405</v>
      </c>
      <c r="AB159">
        <f>VLOOKUP($J159,'[1]Table S6'!$A:$AI,19,FALSE)</f>
        <v>11.18</v>
      </c>
      <c r="AC159" t="str">
        <f>VLOOKUP($J159,'[1]Table S6'!$A:$AI,20,FALSE)</f>
        <v>No</v>
      </c>
      <c r="AE159">
        <f>VLOOKUP($J159,'[1]Table S6'!$A:$AI,22,FALSE)</f>
        <v>347.9</v>
      </c>
      <c r="AF159">
        <f>VLOOKUP($J159,'[1]Table S6'!$A:$AI,23,FALSE)</f>
        <v>0.740370291551394</v>
      </c>
      <c r="AG159">
        <f>VLOOKUP($J159,'[1]Table S6'!$A:$AI,24,FALSE)</f>
        <v>4.9710000000000001</v>
      </c>
      <c r="AH159" t="str">
        <f>VLOOKUP($J159,'[1]Table S6'!$A:$AI,25,FALSE)</f>
        <v>No</v>
      </c>
      <c r="AJ159">
        <f>VLOOKUP($J159,'[1]Table S6'!$A:$AI,27,FALSE)</f>
        <v>400.5</v>
      </c>
      <c r="AK159">
        <f>VLOOKUP($J159,'[1]Table S6'!$A:$AI,28,FALSE)</f>
        <v>0.85230900191530101</v>
      </c>
      <c r="AL159">
        <f>VLOOKUP($J159,'[1]Table S6'!$A:$AI,29,FALSE)</f>
        <v>17.989999999999998</v>
      </c>
      <c r="AM159" t="str">
        <f>VLOOKUP($J159,'[1]Table S6'!$A:$AI,30,FALSE)</f>
        <v>No</v>
      </c>
      <c r="AO159">
        <f>VLOOKUP($J159,'[1]Table S6'!$A:$AI,32,FALSE)</f>
        <v>295.3</v>
      </c>
      <c r="AP159">
        <f>VLOOKUP($J159,'[1]Table S6'!$A:$AI,33,FALSE)</f>
        <v>0.62843158118748699</v>
      </c>
      <c r="AQ159">
        <f>VLOOKUP($J159,'[1]Table S6'!$A:$AI,34,FALSE)</f>
        <v>0.93910000000000005</v>
      </c>
      <c r="AR159" t="str">
        <f>VLOOKUP($J159,'[1]Table S6'!$A:$AI,35,FALSE)</f>
        <v>Yes</v>
      </c>
      <c r="AT159" t="str">
        <f>VLOOKUP($I159,'[2]Table S5'!$A:$K,8,FALSE)</f>
        <v>Resistant</v>
      </c>
      <c r="AU159" t="str">
        <f>VLOOKUP($I159,'[2]Table S5'!$A:$K,9,FALSE)</f>
        <v>Resistant</v>
      </c>
      <c r="AV159" t="str">
        <f>VLOOKUP($I159,'[2]Table S5'!$A:$K,10,FALSE)</f>
        <v>Resistant</v>
      </c>
      <c r="AW159" t="str">
        <f>VLOOKUP($I159,'[2]Table S5'!$A:$K,11,FALSE)</f>
        <v>Resistant</v>
      </c>
    </row>
    <row r="160" spans="1:49">
      <c r="A160" s="12" t="s">
        <v>1207</v>
      </c>
      <c r="B160" t="s">
        <v>1208</v>
      </c>
      <c r="C160" t="s">
        <v>1209</v>
      </c>
      <c r="D160" t="s">
        <v>17</v>
      </c>
      <c r="E160" t="s">
        <v>1210</v>
      </c>
      <c r="F160" s="12" t="s">
        <v>1211</v>
      </c>
      <c r="G160" t="s">
        <v>1212</v>
      </c>
      <c r="H160" t="s">
        <v>1213</v>
      </c>
      <c r="I160" t="s">
        <v>1189</v>
      </c>
      <c r="J160" t="s">
        <v>1214</v>
      </c>
      <c r="K160">
        <f>VLOOKUP($J160,'[1]Table S6'!$A:$AI,2,FALSE)</f>
        <v>272.10000000000002</v>
      </c>
      <c r="L160">
        <f>VLOOKUP($J160,'[1]Table S6'!$A:$AI,3,FALSE)</f>
        <v>0.57905937433496502</v>
      </c>
      <c r="M160">
        <f>VLOOKUP($J160,'[1]Table S6'!$A:$AI,4,FALSE)</f>
        <v>0.59750000000000003</v>
      </c>
      <c r="N160" t="str">
        <f>VLOOKUP($J160,'[1]Table S6'!$A:$AI,5,FALSE)</f>
        <v>Yes</v>
      </c>
      <c r="P160">
        <f>VLOOKUP($J160,'[1]Table S6'!$A:$AI,7,FALSE)</f>
        <v>392.6</v>
      </c>
      <c r="Q160">
        <f>VLOOKUP($J160,'[1]Table S6'!$A:$AI,8,FALSE)</f>
        <v>0.83549691423707195</v>
      </c>
      <c r="R160">
        <f>VLOOKUP($J160,'[1]Table S6'!$A:$AI,9,FALSE)</f>
        <v>22.52</v>
      </c>
      <c r="S160" t="str">
        <f>VLOOKUP($J160,'[1]Table S6'!$A:$AI,10,FALSE)</f>
        <v>No</v>
      </c>
      <c r="U160">
        <f>VLOOKUP($J160,'[1]Table S6'!$A:$AI,12,FALSE)</f>
        <v>305.89999999999998</v>
      </c>
      <c r="V160">
        <f>VLOOKUP($J160,'[1]Table S6'!$A:$AI,13,FALSE)</f>
        <v>0.650989572249415</v>
      </c>
      <c r="W160">
        <f>VLOOKUP($J160,'[1]Table S6'!$A:$AI,14,FALSE)</f>
        <v>1.5109999999999999</v>
      </c>
      <c r="X160" t="str">
        <f>VLOOKUP($J160,'[1]Table S6'!$A:$AI,15,FALSE)</f>
        <v>Yes</v>
      </c>
      <c r="Z160">
        <f>VLOOKUP($J160,'[1]Table S6'!$A:$AI,17,FALSE)</f>
        <v>389.9</v>
      </c>
      <c r="AA160">
        <f>VLOOKUP($J160,'[1]Table S6'!$A:$AI,18,FALSE)</f>
        <v>0.82975101085337299</v>
      </c>
      <c r="AB160">
        <f>VLOOKUP($J160,'[1]Table S6'!$A:$AI,19,FALSE)</f>
        <v>24.34</v>
      </c>
      <c r="AC160" t="str">
        <f>VLOOKUP($J160,'[1]Table S6'!$A:$AI,20,FALSE)</f>
        <v>No</v>
      </c>
      <c r="AE160">
        <f>VLOOKUP($J160,'[1]Table S6'!$A:$AI,22,FALSE)</f>
        <v>326.5</v>
      </c>
      <c r="AF160">
        <f>VLOOKUP($J160,'[1]Table S6'!$A:$AI,23,FALSE)</f>
        <v>0.69482868695467104</v>
      </c>
      <c r="AG160">
        <f>VLOOKUP($J160,'[1]Table S6'!$A:$AI,24,FALSE)</f>
        <v>3.2759999999999998</v>
      </c>
      <c r="AH160" t="str">
        <f>VLOOKUP($J160,'[1]Table S6'!$A:$AI,25,FALSE)</f>
        <v>No</v>
      </c>
      <c r="AJ160">
        <f>VLOOKUP($J160,'[1]Table S6'!$A:$AI,27,FALSE)</f>
        <v>338</v>
      </c>
      <c r="AK160">
        <f>VLOOKUP($J160,'[1]Table S6'!$A:$AI,28,FALSE)</f>
        <v>0.719301979144499</v>
      </c>
      <c r="AL160">
        <f>VLOOKUP($J160,'[1]Table S6'!$A:$AI,29,FALSE)</f>
        <v>5.782</v>
      </c>
      <c r="AM160" t="str">
        <f>VLOOKUP($J160,'[1]Table S6'!$A:$AI,30,FALSE)</f>
        <v>No</v>
      </c>
      <c r="AO160">
        <f>VLOOKUP($J160,'[1]Table S6'!$A:$AI,32,FALSE)</f>
        <v>350.9</v>
      </c>
      <c r="AP160">
        <f>VLOOKUP($J160,'[1]Table S6'!$A:$AI,33,FALSE)</f>
        <v>0.74675462864439202</v>
      </c>
      <c r="AQ160">
        <f>VLOOKUP($J160,'[1]Table S6'!$A:$AI,34,FALSE)</f>
        <v>9.984</v>
      </c>
      <c r="AR160" t="str">
        <f>VLOOKUP($J160,'[1]Table S6'!$A:$AI,35,FALSE)</f>
        <v>No</v>
      </c>
      <c r="AT160" t="str">
        <f>VLOOKUP($I160,'[2]Table S5'!$A:$K,8,FALSE)</f>
        <v>Resistant</v>
      </c>
      <c r="AU160" t="str">
        <f>VLOOKUP($I160,'[2]Table S5'!$A:$K,9,FALSE)</f>
        <v>Resistant</v>
      </c>
      <c r="AV160" t="str">
        <f>VLOOKUP($I160,'[2]Table S5'!$A:$K,10,FALSE)</f>
        <v>Resistant</v>
      </c>
      <c r="AW160" t="str">
        <f>VLOOKUP($I160,'[2]Table S5'!$A:$K,11,FALSE)</f>
        <v>Resistant</v>
      </c>
    </row>
    <row r="161" spans="1:49">
      <c r="A161" s="12" t="s">
        <v>1215</v>
      </c>
      <c r="B161" t="s">
        <v>1216</v>
      </c>
      <c r="C161" t="s">
        <v>1217</v>
      </c>
      <c r="D161" t="s">
        <v>17</v>
      </c>
      <c r="E161" t="s">
        <v>1218</v>
      </c>
      <c r="F161" s="12" t="s">
        <v>1219</v>
      </c>
      <c r="G161" t="s">
        <v>1220</v>
      </c>
      <c r="H161" t="s">
        <v>1221</v>
      </c>
      <c r="I161" t="s">
        <v>1189</v>
      </c>
      <c r="J161" t="s">
        <v>1189</v>
      </c>
      <c r="K161" t="e">
        <f>VLOOKUP($J161,'[1]Table S6'!$A:$AI,2,FALSE)</f>
        <v>#N/A</v>
      </c>
      <c r="L161" t="e">
        <f>VLOOKUP($J161,'[1]Table S6'!$A:$AI,3,FALSE)</f>
        <v>#N/A</v>
      </c>
      <c r="M161" t="e">
        <f>VLOOKUP($J161,'[1]Table S6'!$A:$AI,4,FALSE)</f>
        <v>#N/A</v>
      </c>
      <c r="N161" t="e">
        <f>VLOOKUP($J161,'[1]Table S6'!$A:$AI,5,FALSE)</f>
        <v>#N/A</v>
      </c>
      <c r="P161" t="e">
        <f>VLOOKUP($J161,'[1]Table S6'!$A:$AI,7,FALSE)</f>
        <v>#N/A</v>
      </c>
      <c r="Q161" t="e">
        <f>VLOOKUP($J161,'[1]Table S6'!$A:$AI,8,FALSE)</f>
        <v>#N/A</v>
      </c>
      <c r="R161" t="e">
        <f>VLOOKUP($J161,'[1]Table S6'!$A:$AI,9,FALSE)</f>
        <v>#N/A</v>
      </c>
      <c r="S161" t="e">
        <f>VLOOKUP($J161,'[1]Table S6'!$A:$AI,10,FALSE)</f>
        <v>#N/A</v>
      </c>
      <c r="U161" t="e">
        <f>VLOOKUP($J161,'[1]Table S6'!$A:$AI,12,FALSE)</f>
        <v>#N/A</v>
      </c>
      <c r="V161" t="e">
        <f>VLOOKUP($J161,'[1]Table S6'!$A:$AI,13,FALSE)</f>
        <v>#N/A</v>
      </c>
      <c r="W161" t="e">
        <f>VLOOKUP($J161,'[1]Table S6'!$A:$AI,14,FALSE)</f>
        <v>#N/A</v>
      </c>
      <c r="X161" t="e">
        <f>VLOOKUP($J161,'[1]Table S6'!$A:$AI,15,FALSE)</f>
        <v>#N/A</v>
      </c>
      <c r="Z161" t="e">
        <f>VLOOKUP($J161,'[1]Table S6'!$A:$AI,17,FALSE)</f>
        <v>#N/A</v>
      </c>
      <c r="AA161" t="e">
        <f>VLOOKUP($J161,'[1]Table S6'!$A:$AI,18,FALSE)</f>
        <v>#N/A</v>
      </c>
      <c r="AB161" t="e">
        <f>VLOOKUP($J161,'[1]Table S6'!$A:$AI,19,FALSE)</f>
        <v>#N/A</v>
      </c>
      <c r="AC161" t="e">
        <f>VLOOKUP($J161,'[1]Table S6'!$A:$AI,20,FALSE)</f>
        <v>#N/A</v>
      </c>
      <c r="AE161" t="e">
        <f>VLOOKUP($J161,'[1]Table S6'!$A:$AI,22,FALSE)</f>
        <v>#N/A</v>
      </c>
      <c r="AF161" t="e">
        <f>VLOOKUP($J161,'[1]Table S6'!$A:$AI,23,FALSE)</f>
        <v>#N/A</v>
      </c>
      <c r="AG161" t="e">
        <f>VLOOKUP($J161,'[1]Table S6'!$A:$AI,24,FALSE)</f>
        <v>#N/A</v>
      </c>
      <c r="AH161" t="e">
        <f>VLOOKUP($J161,'[1]Table S6'!$A:$AI,25,FALSE)</f>
        <v>#N/A</v>
      </c>
      <c r="AJ161" t="e">
        <f>VLOOKUP($J161,'[1]Table S6'!$A:$AI,27,FALSE)</f>
        <v>#N/A</v>
      </c>
      <c r="AK161" t="e">
        <f>VLOOKUP($J161,'[1]Table S6'!$A:$AI,28,FALSE)</f>
        <v>#N/A</v>
      </c>
      <c r="AL161" t="e">
        <f>VLOOKUP($J161,'[1]Table S6'!$A:$AI,29,FALSE)</f>
        <v>#N/A</v>
      </c>
      <c r="AM161" t="e">
        <f>VLOOKUP($J161,'[1]Table S6'!$A:$AI,30,FALSE)</f>
        <v>#N/A</v>
      </c>
      <c r="AO161" t="e">
        <f>VLOOKUP($J161,'[1]Table S6'!$A:$AI,32,FALSE)</f>
        <v>#N/A</v>
      </c>
      <c r="AP161" t="e">
        <f>VLOOKUP($J161,'[1]Table S6'!$A:$AI,33,FALSE)</f>
        <v>#N/A</v>
      </c>
      <c r="AQ161" t="e">
        <f>VLOOKUP($J161,'[1]Table S6'!$A:$AI,34,FALSE)</f>
        <v>#N/A</v>
      </c>
      <c r="AR161" t="e">
        <f>VLOOKUP($J161,'[1]Table S6'!$A:$AI,35,FALSE)</f>
        <v>#N/A</v>
      </c>
      <c r="AT161" t="str">
        <f>VLOOKUP($I161,'[2]Table S5'!$A:$K,8,FALSE)</f>
        <v>Resistant</v>
      </c>
      <c r="AU161" t="str">
        <f>VLOOKUP($I161,'[2]Table S5'!$A:$K,9,FALSE)</f>
        <v>Resistant</v>
      </c>
      <c r="AV161" t="str">
        <f>VLOOKUP($I161,'[2]Table S5'!$A:$K,10,FALSE)</f>
        <v>Resistant</v>
      </c>
      <c r="AW161" t="str">
        <f>VLOOKUP($I161,'[2]Table S5'!$A:$K,11,FALSE)</f>
        <v>Resistant</v>
      </c>
    </row>
    <row r="162" spans="1:49">
      <c r="A162" s="12" t="s">
        <v>1222</v>
      </c>
      <c r="B162" t="s">
        <v>1223</v>
      </c>
      <c r="C162" t="s">
        <v>1224</v>
      </c>
      <c r="D162" t="s">
        <v>17</v>
      </c>
      <c r="E162" t="s">
        <v>1225</v>
      </c>
      <c r="F162" s="12" t="s">
        <v>1226</v>
      </c>
      <c r="G162" t="s">
        <v>1227</v>
      </c>
      <c r="H162" t="s">
        <v>1228</v>
      </c>
      <c r="I162" t="s">
        <v>1189</v>
      </c>
      <c r="J162" t="s">
        <v>1190</v>
      </c>
      <c r="K162">
        <f>VLOOKUP($J162,'[1]Table S6'!$A:$AI,2,FALSE)</f>
        <v>352.6</v>
      </c>
      <c r="L162">
        <f>VLOOKUP($J162,'[1]Table S6'!$A:$AI,3,FALSE)</f>
        <v>0.75037241966375801</v>
      </c>
      <c r="M162">
        <f>VLOOKUP($J162,'[1]Table S6'!$A:$AI,4,FALSE)</f>
        <v>7.8170000000000002</v>
      </c>
      <c r="N162" t="str">
        <f>VLOOKUP($J162,'[1]Table S6'!$A:$AI,5,FALSE)</f>
        <v>No</v>
      </c>
      <c r="P162">
        <f>VLOOKUP($J162,'[1]Table S6'!$A:$AI,7,FALSE)</f>
        <v>397.6</v>
      </c>
      <c r="Q162">
        <f>VLOOKUP($J162,'[1]Table S6'!$A:$AI,8,FALSE)</f>
        <v>0.84613747605873602</v>
      </c>
      <c r="R162">
        <f>VLOOKUP($J162,'[1]Table S6'!$A:$AI,9,FALSE)</f>
        <v>29.4</v>
      </c>
      <c r="S162" t="str">
        <f>VLOOKUP($J162,'[1]Table S6'!$A:$AI,10,FALSE)</f>
        <v>No</v>
      </c>
      <c r="U162">
        <f>VLOOKUP($J162,'[1]Table S6'!$A:$AI,12,FALSE)</f>
        <v>369.5</v>
      </c>
      <c r="V162">
        <f>VLOOKUP($J162,'[1]Table S6'!$A:$AI,13,FALSE)</f>
        <v>0.786337518620983</v>
      </c>
      <c r="W162">
        <f>VLOOKUP($J162,'[1]Table S6'!$A:$AI,14,FALSE)</f>
        <v>8.3190000000000008</v>
      </c>
      <c r="X162" t="str">
        <f>VLOOKUP($J162,'[1]Table S6'!$A:$AI,15,FALSE)</f>
        <v>No</v>
      </c>
      <c r="Z162">
        <f>VLOOKUP($J162,'[1]Table S6'!$A:$AI,17,FALSE)</f>
        <v>381.8</v>
      </c>
      <c r="AA162">
        <f>VLOOKUP($J162,'[1]Table S6'!$A:$AI,18,FALSE)</f>
        <v>0.81251330070227701</v>
      </c>
      <c r="AB162">
        <f>VLOOKUP($J162,'[1]Table S6'!$A:$AI,19,FALSE)</f>
        <v>28.23</v>
      </c>
      <c r="AC162" t="str">
        <f>VLOOKUP($J162,'[1]Table S6'!$A:$AI,20,FALSE)</f>
        <v>No</v>
      </c>
      <c r="AE162">
        <f>VLOOKUP($J162,'[1]Table S6'!$A:$AI,22,FALSE)</f>
        <v>424.4</v>
      </c>
      <c r="AF162">
        <f>VLOOKUP($J162,'[1]Table S6'!$A:$AI,23,FALSE)</f>
        <v>0.90317088742285601</v>
      </c>
      <c r="AG162">
        <f>VLOOKUP($J162,'[1]Table S6'!$A:$AI,24,FALSE)</f>
        <v>39.56</v>
      </c>
      <c r="AH162" t="str">
        <f>VLOOKUP($J162,'[1]Table S6'!$A:$AI,25,FALSE)</f>
        <v>No</v>
      </c>
      <c r="AJ162">
        <f>VLOOKUP($J162,'[1]Table S6'!$A:$AI,27,FALSE)</f>
        <v>413</v>
      </c>
      <c r="AK162">
        <f>VLOOKUP($J162,'[1]Table S6'!$A:$AI,28,FALSE)</f>
        <v>0.87891040646946195</v>
      </c>
      <c r="AL162">
        <f>VLOOKUP($J162,'[1]Table S6'!$A:$AI,29,FALSE)</f>
        <v>23.53</v>
      </c>
      <c r="AM162" t="str">
        <f>VLOOKUP($J162,'[1]Table S6'!$A:$AI,30,FALSE)</f>
        <v>No</v>
      </c>
      <c r="AO162">
        <f>VLOOKUP($J162,'[1]Table S6'!$A:$AI,32,FALSE)</f>
        <v>391.6</v>
      </c>
      <c r="AP162">
        <f>VLOOKUP($J162,'[1]Table S6'!$A:$AI,33,FALSE)</f>
        <v>0.83336880187273898</v>
      </c>
      <c r="AQ162">
        <f>VLOOKUP($J162,'[1]Table S6'!$A:$AI,34,FALSE)</f>
        <v>13.98</v>
      </c>
      <c r="AR162" t="str">
        <f>VLOOKUP($J162,'[1]Table S6'!$A:$AI,35,FALSE)</f>
        <v>No</v>
      </c>
      <c r="AT162" t="str">
        <f>VLOOKUP($I162,'[2]Table S5'!$A:$K,8,FALSE)</f>
        <v>Resistant</v>
      </c>
      <c r="AU162" t="str">
        <f>VLOOKUP($I162,'[2]Table S5'!$A:$K,9,FALSE)</f>
        <v>Resistant</v>
      </c>
      <c r="AV162" t="str">
        <f>VLOOKUP($I162,'[2]Table S5'!$A:$K,10,FALSE)</f>
        <v>Resistant</v>
      </c>
      <c r="AW162" t="str">
        <f>VLOOKUP($I162,'[2]Table S5'!$A:$K,11,FALSE)</f>
        <v>Resistant</v>
      </c>
    </row>
    <row r="163" spans="1:49">
      <c r="A163" s="12" t="s">
        <v>1229</v>
      </c>
      <c r="B163" t="s">
        <v>1230</v>
      </c>
      <c r="C163" t="s">
        <v>1231</v>
      </c>
      <c r="D163" t="s">
        <v>17</v>
      </c>
      <c r="E163" t="s">
        <v>1232</v>
      </c>
      <c r="F163" s="12" t="s">
        <v>1233</v>
      </c>
      <c r="G163" t="s">
        <v>1234</v>
      </c>
      <c r="H163" t="s">
        <v>1235</v>
      </c>
      <c r="I163" t="s">
        <v>1189</v>
      </c>
      <c r="J163" t="s">
        <v>1198</v>
      </c>
      <c r="K163">
        <f>VLOOKUP($J163,'[1]Table S6'!$A:$AI,2,FALSE)</f>
        <v>344.3</v>
      </c>
      <c r="L163">
        <f>VLOOKUP($J163,'[1]Table S6'!$A:$AI,3,FALSE)</f>
        <v>0.73270908703979598</v>
      </c>
      <c r="M163">
        <f>VLOOKUP($J163,'[1]Table S6'!$A:$AI,4,FALSE)</f>
        <v>5.3570000000000002</v>
      </c>
      <c r="N163" t="str">
        <f>VLOOKUP($J163,'[1]Table S6'!$A:$AI,5,FALSE)</f>
        <v>No</v>
      </c>
      <c r="P163">
        <f>VLOOKUP($J163,'[1]Table S6'!$A:$AI,7,FALSE)</f>
        <v>365.8</v>
      </c>
      <c r="Q163">
        <f>VLOOKUP($J163,'[1]Table S6'!$A:$AI,8,FALSE)</f>
        <v>0.77846350287295196</v>
      </c>
      <c r="R163">
        <f>VLOOKUP($J163,'[1]Table S6'!$A:$AI,9,FALSE)</f>
        <v>7.1790000000000003</v>
      </c>
      <c r="S163" t="str">
        <f>VLOOKUP($J163,'[1]Table S6'!$A:$AI,10,FALSE)</f>
        <v>No</v>
      </c>
      <c r="U163">
        <f>VLOOKUP($J163,'[1]Table S6'!$A:$AI,12,FALSE)</f>
        <v>314.8</v>
      </c>
      <c r="V163">
        <f>VLOOKUP($J163,'[1]Table S6'!$A:$AI,13,FALSE)</f>
        <v>0.66992977229197703</v>
      </c>
      <c r="W163">
        <f>VLOOKUP($J163,'[1]Table S6'!$A:$AI,14,FALSE)</f>
        <v>1.8169999999999999</v>
      </c>
      <c r="X163" t="str">
        <f>VLOOKUP($J163,'[1]Table S6'!$A:$AI,15,FALSE)</f>
        <v>Yes</v>
      </c>
      <c r="Z163">
        <f>VLOOKUP($J163,'[1]Table S6'!$A:$AI,17,FALSE)</f>
        <v>386.6</v>
      </c>
      <c r="AA163">
        <f>VLOOKUP($J163,'[1]Table S6'!$A:$AI,18,FALSE)</f>
        <v>0.82272824005107503</v>
      </c>
      <c r="AB163">
        <f>VLOOKUP($J163,'[1]Table S6'!$A:$AI,19,FALSE)</f>
        <v>20.77</v>
      </c>
      <c r="AC163" t="str">
        <f>VLOOKUP($J163,'[1]Table S6'!$A:$AI,20,FALSE)</f>
        <v>No</v>
      </c>
      <c r="AE163">
        <f>VLOOKUP($J163,'[1]Table S6'!$A:$AI,22,FALSE)</f>
        <v>348.6</v>
      </c>
      <c r="AF163">
        <f>VLOOKUP($J163,'[1]Table S6'!$A:$AI,23,FALSE)</f>
        <v>0.74185997020642702</v>
      </c>
      <c r="AG163">
        <f>VLOOKUP($J163,'[1]Table S6'!$A:$AI,24,FALSE)</f>
        <v>7.1840000000000002</v>
      </c>
      <c r="AH163" t="str">
        <f>VLOOKUP($J163,'[1]Table S6'!$A:$AI,25,FALSE)</f>
        <v>No</v>
      </c>
      <c r="AJ163">
        <f>VLOOKUP($J163,'[1]Table S6'!$A:$AI,27,FALSE)</f>
        <v>344.3</v>
      </c>
      <c r="AK163">
        <f>VLOOKUP($J163,'[1]Table S6'!$A:$AI,28,FALSE)</f>
        <v>0.73270908703979598</v>
      </c>
      <c r="AL163">
        <f>VLOOKUP($J163,'[1]Table S6'!$A:$AI,29,FALSE)</f>
        <v>10.49</v>
      </c>
      <c r="AM163" t="str">
        <f>VLOOKUP($J163,'[1]Table S6'!$A:$AI,30,FALSE)</f>
        <v>No</v>
      </c>
      <c r="AO163">
        <f>VLOOKUP($J163,'[1]Table S6'!$A:$AI,32,FALSE)</f>
        <v>389.3</v>
      </c>
      <c r="AP163">
        <f>VLOOKUP($J163,'[1]Table S6'!$A:$AI,33,FALSE)</f>
        <v>0.82847414343477299</v>
      </c>
      <c r="AQ163">
        <f>VLOOKUP($J163,'[1]Table S6'!$A:$AI,34,FALSE)</f>
        <v>21.55</v>
      </c>
      <c r="AR163" t="str">
        <f>VLOOKUP($J163,'[1]Table S6'!$A:$AI,35,FALSE)</f>
        <v>No</v>
      </c>
      <c r="AT163" t="str">
        <f>VLOOKUP($I163,'[2]Table S5'!$A:$K,8,FALSE)</f>
        <v>Resistant</v>
      </c>
      <c r="AU163" t="str">
        <f>VLOOKUP($I163,'[2]Table S5'!$A:$K,9,FALSE)</f>
        <v>Resistant</v>
      </c>
      <c r="AV163" t="str">
        <f>VLOOKUP($I163,'[2]Table S5'!$A:$K,10,FALSE)</f>
        <v>Resistant</v>
      </c>
      <c r="AW163" t="str">
        <f>VLOOKUP($I163,'[2]Table S5'!$A:$K,11,FALSE)</f>
        <v>Resistant</v>
      </c>
    </row>
    <row r="164" spans="1:49">
      <c r="A164" s="12" t="s">
        <v>1236</v>
      </c>
      <c r="B164" t="s">
        <v>1237</v>
      </c>
      <c r="C164" t="s">
        <v>1238</v>
      </c>
      <c r="D164" t="s">
        <v>17</v>
      </c>
      <c r="E164" t="s">
        <v>1239</v>
      </c>
      <c r="F164" s="12" t="s">
        <v>1240</v>
      </c>
      <c r="G164" t="s">
        <v>1241</v>
      </c>
      <c r="H164" t="s">
        <v>1242</v>
      </c>
      <c r="I164" t="s">
        <v>1189</v>
      </c>
      <c r="J164" t="s">
        <v>1206</v>
      </c>
      <c r="K164">
        <f>VLOOKUP($J164,'[1]Table S6'!$A:$AI,2,FALSE)</f>
        <v>319.8</v>
      </c>
      <c r="L164">
        <f>VLOOKUP($J164,'[1]Table S6'!$A:$AI,3,FALSE)</f>
        <v>0.68057033411364098</v>
      </c>
      <c r="M164">
        <f>VLOOKUP($J164,'[1]Table S6'!$A:$AI,4,FALSE)</f>
        <v>2.5750000000000002</v>
      </c>
      <c r="N164" t="str">
        <f>VLOOKUP($J164,'[1]Table S6'!$A:$AI,5,FALSE)</f>
        <v>Yes</v>
      </c>
      <c r="P164">
        <f>VLOOKUP($J164,'[1]Table S6'!$A:$AI,7,FALSE)</f>
        <v>385.6</v>
      </c>
      <c r="Q164">
        <f>VLOOKUP($J164,'[1]Table S6'!$A:$AI,8,FALSE)</f>
        <v>0.82060012768674195</v>
      </c>
      <c r="R164">
        <f>VLOOKUP($J164,'[1]Table S6'!$A:$AI,9,FALSE)</f>
        <v>11.77</v>
      </c>
      <c r="S164" t="str">
        <f>VLOOKUP($J164,'[1]Table S6'!$A:$AI,10,FALSE)</f>
        <v>No</v>
      </c>
      <c r="U164">
        <f>VLOOKUP($J164,'[1]Table S6'!$A:$AI,12,FALSE)</f>
        <v>380.7</v>
      </c>
      <c r="V164">
        <f>VLOOKUP($J164,'[1]Table S6'!$A:$AI,13,FALSE)</f>
        <v>0.81017237710151102</v>
      </c>
      <c r="W164">
        <f>VLOOKUP($J164,'[1]Table S6'!$A:$AI,14,FALSE)</f>
        <v>9.5960000000000001</v>
      </c>
      <c r="X164" t="str">
        <f>VLOOKUP($J164,'[1]Table S6'!$A:$AI,15,FALSE)</f>
        <v>No</v>
      </c>
      <c r="Z164">
        <f>VLOOKUP($J164,'[1]Table S6'!$A:$AI,17,FALSE)</f>
        <v>354.6</v>
      </c>
      <c r="AA164">
        <f>VLOOKUP($J164,'[1]Table S6'!$A:$AI,18,FALSE)</f>
        <v>0.75462864439242405</v>
      </c>
      <c r="AB164">
        <f>VLOOKUP($J164,'[1]Table S6'!$A:$AI,19,FALSE)</f>
        <v>11.18</v>
      </c>
      <c r="AC164" t="str">
        <f>VLOOKUP($J164,'[1]Table S6'!$A:$AI,20,FALSE)</f>
        <v>No</v>
      </c>
      <c r="AE164">
        <f>VLOOKUP($J164,'[1]Table S6'!$A:$AI,22,FALSE)</f>
        <v>347.9</v>
      </c>
      <c r="AF164">
        <f>VLOOKUP($J164,'[1]Table S6'!$A:$AI,23,FALSE)</f>
        <v>0.740370291551394</v>
      </c>
      <c r="AG164">
        <f>VLOOKUP($J164,'[1]Table S6'!$A:$AI,24,FALSE)</f>
        <v>4.9710000000000001</v>
      </c>
      <c r="AH164" t="str">
        <f>VLOOKUP($J164,'[1]Table S6'!$A:$AI,25,FALSE)</f>
        <v>No</v>
      </c>
      <c r="AJ164">
        <f>VLOOKUP($J164,'[1]Table S6'!$A:$AI,27,FALSE)</f>
        <v>400.5</v>
      </c>
      <c r="AK164">
        <f>VLOOKUP($J164,'[1]Table S6'!$A:$AI,28,FALSE)</f>
        <v>0.85230900191530101</v>
      </c>
      <c r="AL164">
        <f>VLOOKUP($J164,'[1]Table S6'!$A:$AI,29,FALSE)</f>
        <v>17.989999999999998</v>
      </c>
      <c r="AM164" t="str">
        <f>VLOOKUP($J164,'[1]Table S6'!$A:$AI,30,FALSE)</f>
        <v>No</v>
      </c>
      <c r="AO164">
        <f>VLOOKUP($J164,'[1]Table S6'!$A:$AI,32,FALSE)</f>
        <v>295.3</v>
      </c>
      <c r="AP164">
        <f>VLOOKUP($J164,'[1]Table S6'!$A:$AI,33,FALSE)</f>
        <v>0.62843158118748699</v>
      </c>
      <c r="AQ164">
        <f>VLOOKUP($J164,'[1]Table S6'!$A:$AI,34,FALSE)</f>
        <v>0.93910000000000005</v>
      </c>
      <c r="AR164" t="str">
        <f>VLOOKUP($J164,'[1]Table S6'!$A:$AI,35,FALSE)</f>
        <v>Yes</v>
      </c>
      <c r="AT164" t="str">
        <f>VLOOKUP($I164,'[2]Table S5'!$A:$K,8,FALSE)</f>
        <v>Resistant</v>
      </c>
      <c r="AU164" t="str">
        <f>VLOOKUP($I164,'[2]Table S5'!$A:$K,9,FALSE)</f>
        <v>Resistant</v>
      </c>
      <c r="AV164" t="str">
        <f>VLOOKUP($I164,'[2]Table S5'!$A:$K,10,FALSE)</f>
        <v>Resistant</v>
      </c>
      <c r="AW164" t="str">
        <f>VLOOKUP($I164,'[2]Table S5'!$A:$K,11,FALSE)</f>
        <v>Resistant</v>
      </c>
    </row>
    <row r="165" spans="1:49">
      <c r="A165" s="12" t="s">
        <v>1243</v>
      </c>
      <c r="B165" t="s">
        <v>1244</v>
      </c>
      <c r="C165" t="s">
        <v>1245</v>
      </c>
      <c r="D165" t="s">
        <v>17</v>
      </c>
      <c r="E165" t="s">
        <v>1246</v>
      </c>
      <c r="F165" s="12" t="s">
        <v>1247</v>
      </c>
      <c r="G165" t="s">
        <v>1248</v>
      </c>
      <c r="H165" t="s">
        <v>1249</v>
      </c>
      <c r="I165" t="s">
        <v>1189</v>
      </c>
      <c r="J165" t="s">
        <v>1214</v>
      </c>
      <c r="K165">
        <f>VLOOKUP($J165,'[1]Table S6'!$A:$AI,2,FALSE)</f>
        <v>272.10000000000002</v>
      </c>
      <c r="L165">
        <f>VLOOKUP($J165,'[1]Table S6'!$A:$AI,3,FALSE)</f>
        <v>0.57905937433496502</v>
      </c>
      <c r="M165">
        <f>VLOOKUP($J165,'[1]Table S6'!$A:$AI,4,FALSE)</f>
        <v>0.59750000000000003</v>
      </c>
      <c r="N165" t="str">
        <f>VLOOKUP($J165,'[1]Table S6'!$A:$AI,5,FALSE)</f>
        <v>Yes</v>
      </c>
      <c r="P165">
        <f>VLOOKUP($J165,'[1]Table S6'!$A:$AI,7,FALSE)</f>
        <v>392.6</v>
      </c>
      <c r="Q165">
        <f>VLOOKUP($J165,'[1]Table S6'!$A:$AI,8,FALSE)</f>
        <v>0.83549691423707195</v>
      </c>
      <c r="R165">
        <f>VLOOKUP($J165,'[1]Table S6'!$A:$AI,9,FALSE)</f>
        <v>22.52</v>
      </c>
      <c r="S165" t="str">
        <f>VLOOKUP($J165,'[1]Table S6'!$A:$AI,10,FALSE)</f>
        <v>No</v>
      </c>
      <c r="U165">
        <f>VLOOKUP($J165,'[1]Table S6'!$A:$AI,12,FALSE)</f>
        <v>305.89999999999998</v>
      </c>
      <c r="V165">
        <f>VLOOKUP($J165,'[1]Table S6'!$A:$AI,13,FALSE)</f>
        <v>0.650989572249415</v>
      </c>
      <c r="W165">
        <f>VLOOKUP($J165,'[1]Table S6'!$A:$AI,14,FALSE)</f>
        <v>1.5109999999999999</v>
      </c>
      <c r="X165" t="str">
        <f>VLOOKUP($J165,'[1]Table S6'!$A:$AI,15,FALSE)</f>
        <v>Yes</v>
      </c>
      <c r="Z165">
        <f>VLOOKUP($J165,'[1]Table S6'!$A:$AI,17,FALSE)</f>
        <v>389.9</v>
      </c>
      <c r="AA165">
        <f>VLOOKUP($J165,'[1]Table S6'!$A:$AI,18,FALSE)</f>
        <v>0.82975101085337299</v>
      </c>
      <c r="AB165">
        <f>VLOOKUP($J165,'[1]Table S6'!$A:$AI,19,FALSE)</f>
        <v>24.34</v>
      </c>
      <c r="AC165" t="str">
        <f>VLOOKUP($J165,'[1]Table S6'!$A:$AI,20,FALSE)</f>
        <v>No</v>
      </c>
      <c r="AE165">
        <f>VLOOKUP($J165,'[1]Table S6'!$A:$AI,22,FALSE)</f>
        <v>326.5</v>
      </c>
      <c r="AF165">
        <f>VLOOKUP($J165,'[1]Table S6'!$A:$AI,23,FALSE)</f>
        <v>0.69482868695467104</v>
      </c>
      <c r="AG165">
        <f>VLOOKUP($J165,'[1]Table S6'!$A:$AI,24,FALSE)</f>
        <v>3.2759999999999998</v>
      </c>
      <c r="AH165" t="str">
        <f>VLOOKUP($J165,'[1]Table S6'!$A:$AI,25,FALSE)</f>
        <v>No</v>
      </c>
      <c r="AJ165">
        <f>VLOOKUP($J165,'[1]Table S6'!$A:$AI,27,FALSE)</f>
        <v>338</v>
      </c>
      <c r="AK165">
        <f>VLOOKUP($J165,'[1]Table S6'!$A:$AI,28,FALSE)</f>
        <v>0.719301979144499</v>
      </c>
      <c r="AL165">
        <f>VLOOKUP($J165,'[1]Table S6'!$A:$AI,29,FALSE)</f>
        <v>5.782</v>
      </c>
      <c r="AM165" t="str">
        <f>VLOOKUP($J165,'[1]Table S6'!$A:$AI,30,FALSE)</f>
        <v>No</v>
      </c>
      <c r="AO165">
        <f>VLOOKUP($J165,'[1]Table S6'!$A:$AI,32,FALSE)</f>
        <v>350.9</v>
      </c>
      <c r="AP165">
        <f>VLOOKUP($J165,'[1]Table S6'!$A:$AI,33,FALSE)</f>
        <v>0.74675462864439202</v>
      </c>
      <c r="AQ165">
        <f>VLOOKUP($J165,'[1]Table S6'!$A:$AI,34,FALSE)</f>
        <v>9.984</v>
      </c>
      <c r="AR165" t="str">
        <f>VLOOKUP($J165,'[1]Table S6'!$A:$AI,35,FALSE)</f>
        <v>No</v>
      </c>
      <c r="AT165" t="str">
        <f>VLOOKUP($I165,'[2]Table S5'!$A:$K,8,FALSE)</f>
        <v>Resistant</v>
      </c>
      <c r="AU165" t="str">
        <f>VLOOKUP($I165,'[2]Table S5'!$A:$K,9,FALSE)</f>
        <v>Resistant</v>
      </c>
      <c r="AV165" t="str">
        <f>VLOOKUP($I165,'[2]Table S5'!$A:$K,10,FALSE)</f>
        <v>Resistant</v>
      </c>
      <c r="AW165" t="str">
        <f>VLOOKUP($I165,'[2]Table S5'!$A:$K,11,FALSE)</f>
        <v>Resistant</v>
      </c>
    </row>
    <row r="166" spans="1:49">
      <c r="A166" s="12" t="s">
        <v>1250</v>
      </c>
      <c r="B166" t="s">
        <v>1251</v>
      </c>
      <c r="C166" t="s">
        <v>1252</v>
      </c>
      <c r="D166" t="s">
        <v>17</v>
      </c>
      <c r="E166" t="s">
        <v>1253</v>
      </c>
      <c r="F166" s="12" t="s">
        <v>1254</v>
      </c>
      <c r="G166" t="s">
        <v>1255</v>
      </c>
      <c r="H166" t="s">
        <v>1256</v>
      </c>
      <c r="I166" t="s">
        <v>1257</v>
      </c>
      <c r="J166" t="s">
        <v>1258</v>
      </c>
      <c r="K166">
        <f>VLOOKUP($J166,'[1]Table S6'!$A:$AI,2,FALSE)</f>
        <v>314.89999999999998</v>
      </c>
      <c r="L166">
        <f>VLOOKUP($J166,'[1]Table S6'!$A:$AI,3,FALSE)</f>
        <v>0.67014258352841005</v>
      </c>
      <c r="M166">
        <f>VLOOKUP($J166,'[1]Table S6'!$A:$AI,4,FALSE)</f>
        <v>1.4019999999999999</v>
      </c>
      <c r="N166" t="str">
        <f>VLOOKUP($J166,'[1]Table S6'!$A:$AI,5,FALSE)</f>
        <v>Yes</v>
      </c>
      <c r="P166">
        <f>VLOOKUP($J166,'[1]Table S6'!$A:$AI,7,FALSE)</f>
        <v>314.5</v>
      </c>
      <c r="Q166">
        <f>VLOOKUP($J166,'[1]Table S6'!$A:$AI,8,FALSE)</f>
        <v>0.66929133858267698</v>
      </c>
      <c r="R166">
        <f>VLOOKUP($J166,'[1]Table S6'!$A:$AI,9,FALSE)</f>
        <v>1.99</v>
      </c>
      <c r="S166" t="str">
        <f>VLOOKUP($J166,'[1]Table S6'!$A:$AI,10,FALSE)</f>
        <v>Yes</v>
      </c>
      <c r="U166">
        <f>VLOOKUP($J166,'[1]Table S6'!$A:$AI,12,FALSE)</f>
        <v>393.1</v>
      </c>
      <c r="V166">
        <f>VLOOKUP($J166,'[1]Table S6'!$A:$AI,13,FALSE)</f>
        <v>0.83656097041923805</v>
      </c>
      <c r="W166">
        <f>VLOOKUP($J166,'[1]Table S6'!$A:$AI,14,FALSE)</f>
        <v>20.440000000000001</v>
      </c>
      <c r="X166" t="str">
        <f>VLOOKUP($J166,'[1]Table S6'!$A:$AI,15,FALSE)</f>
        <v>No</v>
      </c>
      <c r="Z166">
        <f>VLOOKUP($J166,'[1]Table S6'!$A:$AI,17,FALSE)</f>
        <v>316.8</v>
      </c>
      <c r="AA166">
        <f>VLOOKUP($J166,'[1]Table S6'!$A:$AI,18,FALSE)</f>
        <v>0.67418599702064297</v>
      </c>
      <c r="AB166">
        <f>VLOOKUP($J166,'[1]Table S6'!$A:$AI,19,FALSE)</f>
        <v>1.456</v>
      </c>
      <c r="AC166" t="str">
        <f>VLOOKUP($J166,'[1]Table S6'!$A:$AI,20,FALSE)</f>
        <v>Yes</v>
      </c>
      <c r="AE166">
        <f>VLOOKUP($J166,'[1]Table S6'!$A:$AI,22,FALSE)</f>
        <v>396</v>
      </c>
      <c r="AF166">
        <f>VLOOKUP($J166,'[1]Table S6'!$A:$AI,23,FALSE)</f>
        <v>0.84273249627580304</v>
      </c>
      <c r="AG166">
        <f>VLOOKUP($J166,'[1]Table S6'!$A:$AI,24,FALSE)</f>
        <v>20.03</v>
      </c>
      <c r="AH166" t="str">
        <f>VLOOKUP($J166,'[1]Table S6'!$A:$AI,25,FALSE)</f>
        <v>No</v>
      </c>
      <c r="AJ166">
        <f>VLOOKUP($J166,'[1]Table S6'!$A:$AI,27,FALSE)</f>
        <v>411.7</v>
      </c>
      <c r="AK166">
        <f>VLOOKUP($J166,'[1]Table S6'!$A:$AI,28,FALSE)</f>
        <v>0.87614386039582903</v>
      </c>
      <c r="AL166">
        <f>VLOOKUP($J166,'[1]Table S6'!$A:$AI,29,FALSE)</f>
        <v>46.63</v>
      </c>
      <c r="AM166" t="str">
        <f>VLOOKUP($J166,'[1]Table S6'!$A:$AI,30,FALSE)</f>
        <v>No</v>
      </c>
      <c r="AO166">
        <f>VLOOKUP($J166,'[1]Table S6'!$A:$AI,32,FALSE)</f>
        <v>413.9</v>
      </c>
      <c r="AP166">
        <f>VLOOKUP($J166,'[1]Table S6'!$A:$AI,33,FALSE)</f>
        <v>0.88082570759736101</v>
      </c>
      <c r="AQ166">
        <f>VLOOKUP($J166,'[1]Table S6'!$A:$AI,34,FALSE)</f>
        <v>26.56</v>
      </c>
      <c r="AR166" t="str">
        <f>VLOOKUP($J166,'[1]Table S6'!$A:$AI,35,FALSE)</f>
        <v>No</v>
      </c>
      <c r="AT166" t="str">
        <f>VLOOKUP($I166,'[2]Table S5'!$A:$K,8,FALSE)</f>
        <v>Resistant</v>
      </c>
      <c r="AU166" t="str">
        <f>VLOOKUP($I166,'[2]Table S5'!$A:$K,9,FALSE)</f>
        <v>Sensitive</v>
      </c>
      <c r="AV166" t="str">
        <f>VLOOKUP($I166,'[2]Table S5'!$A:$K,10,FALSE)</f>
        <v>Resistant</v>
      </c>
      <c r="AW166" t="str">
        <f>VLOOKUP($I166,'[2]Table S5'!$A:$K,11,FALSE)</f>
        <v>Resistant</v>
      </c>
    </row>
    <row r="167" spans="1:49">
      <c r="A167" s="12" t="s">
        <v>1259</v>
      </c>
      <c r="B167" t="s">
        <v>1260</v>
      </c>
      <c r="C167" t="s">
        <v>1261</v>
      </c>
      <c r="D167" t="s">
        <v>17</v>
      </c>
      <c r="E167" t="s">
        <v>1262</v>
      </c>
      <c r="F167" s="12" t="s">
        <v>1263</v>
      </c>
      <c r="G167" t="s">
        <v>1264</v>
      </c>
      <c r="H167" t="s">
        <v>1265</v>
      </c>
      <c r="I167" t="s">
        <v>1257</v>
      </c>
      <c r="J167" t="s">
        <v>1266</v>
      </c>
      <c r="K167">
        <f>VLOOKUP($J167,'[1]Table S6'!$A:$AI,2,FALSE)</f>
        <v>291.8</v>
      </c>
      <c r="L167">
        <f>VLOOKUP($J167,'[1]Table S6'!$A:$AI,3,FALSE)</f>
        <v>0.62098318791232199</v>
      </c>
      <c r="M167">
        <f>VLOOKUP($J167,'[1]Table S6'!$A:$AI,4,FALSE)</f>
        <v>0.83260000000000001</v>
      </c>
      <c r="N167" t="str">
        <f>VLOOKUP($J167,'[1]Table S6'!$A:$AI,5,FALSE)</f>
        <v>Yes</v>
      </c>
      <c r="P167">
        <f>VLOOKUP($J167,'[1]Table S6'!$A:$AI,7,FALSE)</f>
        <v>273.7</v>
      </c>
      <c r="Q167">
        <f>VLOOKUP($J167,'[1]Table S6'!$A:$AI,8,FALSE)</f>
        <v>0.58246435411789699</v>
      </c>
      <c r="R167">
        <f>VLOOKUP($J167,'[1]Table S6'!$A:$AI,9,FALSE)</f>
        <v>0.55689999999999995</v>
      </c>
      <c r="S167" t="str">
        <f>VLOOKUP($J167,'[1]Table S6'!$A:$AI,10,FALSE)</f>
        <v>Yes</v>
      </c>
      <c r="U167">
        <f>VLOOKUP($J167,'[1]Table S6'!$A:$AI,12,FALSE)</f>
        <v>370</v>
      </c>
      <c r="V167">
        <f>VLOOKUP($J167,'[1]Table S6'!$A:$AI,13,FALSE)</f>
        <v>0.78740157480314998</v>
      </c>
      <c r="W167">
        <f>VLOOKUP($J167,'[1]Table S6'!$A:$AI,14,FALSE)</f>
        <v>19.57</v>
      </c>
      <c r="X167" t="str">
        <f>VLOOKUP($J167,'[1]Table S6'!$A:$AI,15,FALSE)</f>
        <v>No</v>
      </c>
      <c r="Z167">
        <f>VLOOKUP($J167,'[1]Table S6'!$A:$AI,17,FALSE)</f>
        <v>383.7</v>
      </c>
      <c r="AA167">
        <f>VLOOKUP($J167,'[1]Table S6'!$A:$AI,18,FALSE)</f>
        <v>0.81655671419450904</v>
      </c>
      <c r="AB167">
        <f>VLOOKUP($J167,'[1]Table S6'!$A:$AI,19,FALSE)</f>
        <v>17.100000000000001</v>
      </c>
      <c r="AC167" t="str">
        <f>VLOOKUP($J167,'[1]Table S6'!$A:$AI,20,FALSE)</f>
        <v>No</v>
      </c>
      <c r="AE167">
        <f>VLOOKUP($J167,'[1]Table S6'!$A:$AI,22,FALSE)</f>
        <v>368.5</v>
      </c>
      <c r="AF167">
        <f>VLOOKUP($J167,'[1]Table S6'!$A:$AI,23,FALSE)</f>
        <v>0.78420940625665003</v>
      </c>
      <c r="AG167">
        <f>VLOOKUP($J167,'[1]Table S6'!$A:$AI,24,FALSE)</f>
        <v>12.35</v>
      </c>
      <c r="AH167" t="str">
        <f>VLOOKUP($J167,'[1]Table S6'!$A:$AI,25,FALSE)</f>
        <v>No</v>
      </c>
      <c r="AJ167">
        <f>VLOOKUP($J167,'[1]Table S6'!$A:$AI,27,FALSE)</f>
        <v>407</v>
      </c>
      <c r="AK167">
        <f>VLOOKUP($J167,'[1]Table S6'!$A:$AI,28,FALSE)</f>
        <v>0.86614173228346503</v>
      </c>
      <c r="AL167">
        <f>VLOOKUP($J167,'[1]Table S6'!$A:$AI,29,FALSE)</f>
        <v>25.8</v>
      </c>
      <c r="AM167" t="str">
        <f>VLOOKUP($J167,'[1]Table S6'!$A:$AI,30,FALSE)</f>
        <v>No</v>
      </c>
      <c r="AO167">
        <f>VLOOKUP($J167,'[1]Table S6'!$A:$AI,32,FALSE)</f>
        <v>371.1</v>
      </c>
      <c r="AP167">
        <f>VLOOKUP($J167,'[1]Table S6'!$A:$AI,33,FALSE)</f>
        <v>0.78974249840391597</v>
      </c>
      <c r="AQ167">
        <f>VLOOKUP($J167,'[1]Table S6'!$A:$AI,34,FALSE)</f>
        <v>9.4770000000000003</v>
      </c>
      <c r="AR167" t="str">
        <f>VLOOKUP($J167,'[1]Table S6'!$A:$AI,35,FALSE)</f>
        <v>No</v>
      </c>
      <c r="AT167" t="str">
        <f>VLOOKUP($I167,'[2]Table S5'!$A:$K,8,FALSE)</f>
        <v>Resistant</v>
      </c>
      <c r="AU167" t="str">
        <f>VLOOKUP($I167,'[2]Table S5'!$A:$K,9,FALSE)</f>
        <v>Sensitive</v>
      </c>
      <c r="AV167" t="str">
        <f>VLOOKUP($I167,'[2]Table S5'!$A:$K,10,FALSE)</f>
        <v>Resistant</v>
      </c>
      <c r="AW167" t="str">
        <f>VLOOKUP($I167,'[2]Table S5'!$A:$K,11,FALSE)</f>
        <v>Resistant</v>
      </c>
    </row>
    <row r="168" spans="1:49">
      <c r="A168" s="12" t="s">
        <v>1267</v>
      </c>
      <c r="B168" t="s">
        <v>1268</v>
      </c>
      <c r="C168" t="s">
        <v>1269</v>
      </c>
      <c r="D168" t="s">
        <v>17</v>
      </c>
      <c r="E168" t="s">
        <v>1270</v>
      </c>
      <c r="F168" s="12" t="s">
        <v>1271</v>
      </c>
      <c r="G168" t="s">
        <v>1272</v>
      </c>
      <c r="H168" t="s">
        <v>1273</v>
      </c>
      <c r="I168" t="s">
        <v>1257</v>
      </c>
      <c r="J168" t="s">
        <v>1274</v>
      </c>
      <c r="K168">
        <f>VLOOKUP($J168,'[1]Table S6'!$A:$AI,2,FALSE)</f>
        <v>327.9</v>
      </c>
      <c r="L168">
        <f>VLOOKUP($J168,'[1]Table S6'!$A:$AI,3,FALSE)</f>
        <v>0.69780804426473697</v>
      </c>
      <c r="M168">
        <f>VLOOKUP($J168,'[1]Table S6'!$A:$AI,4,FALSE)</f>
        <v>1.5820000000000001</v>
      </c>
      <c r="N168" t="str">
        <f>VLOOKUP($J168,'[1]Table S6'!$A:$AI,5,FALSE)</f>
        <v>Yes</v>
      </c>
      <c r="P168">
        <f>VLOOKUP($J168,'[1]Table S6'!$A:$AI,7,FALSE)</f>
        <v>338.5</v>
      </c>
      <c r="Q168">
        <f>VLOOKUP($J168,'[1]Table S6'!$A:$AI,8,FALSE)</f>
        <v>0.72036603532666499</v>
      </c>
      <c r="R168">
        <f>VLOOKUP($J168,'[1]Table S6'!$A:$AI,9,FALSE)</f>
        <v>2.2080000000000002</v>
      </c>
      <c r="S168" t="str">
        <f>VLOOKUP($J168,'[1]Table S6'!$A:$AI,10,FALSE)</f>
        <v>No</v>
      </c>
      <c r="U168">
        <f>VLOOKUP($J168,'[1]Table S6'!$A:$AI,12,FALSE)</f>
        <v>379.7</v>
      </c>
      <c r="V168">
        <f>VLOOKUP($J168,'[1]Table S6'!$A:$AI,13,FALSE)</f>
        <v>0.80804426473717805</v>
      </c>
      <c r="W168">
        <f>VLOOKUP($J168,'[1]Table S6'!$A:$AI,14,FALSE)</f>
        <v>7.7930000000000001</v>
      </c>
      <c r="X168" t="str">
        <f>VLOOKUP($J168,'[1]Table S6'!$A:$AI,15,FALSE)</f>
        <v>No</v>
      </c>
      <c r="Z168">
        <f>VLOOKUP($J168,'[1]Table S6'!$A:$AI,17,FALSE)</f>
        <v>383.4</v>
      </c>
      <c r="AA168">
        <f>VLOOKUP($J168,'[1]Table S6'!$A:$AI,18,FALSE)</f>
        <v>0.81591828048520998</v>
      </c>
      <c r="AB168">
        <f>VLOOKUP($J168,'[1]Table S6'!$A:$AI,19,FALSE)</f>
        <v>15.93</v>
      </c>
      <c r="AC168" t="str">
        <f>VLOOKUP($J168,'[1]Table S6'!$A:$AI,20,FALSE)</f>
        <v>No</v>
      </c>
      <c r="AE168">
        <f>VLOOKUP($J168,'[1]Table S6'!$A:$AI,22,FALSE)</f>
        <v>415.2</v>
      </c>
      <c r="AF168">
        <f>VLOOKUP($J168,'[1]Table S6'!$A:$AI,23,FALSE)</f>
        <v>0.88359225367099403</v>
      </c>
      <c r="AG168">
        <f>VLOOKUP($J168,'[1]Table S6'!$A:$AI,24,FALSE)</f>
        <v>28.96</v>
      </c>
      <c r="AH168" t="str">
        <f>VLOOKUP($J168,'[1]Table S6'!$A:$AI,25,FALSE)</f>
        <v>No</v>
      </c>
      <c r="AJ168">
        <f>VLOOKUP($J168,'[1]Table S6'!$A:$AI,27,FALSE)</f>
        <v>437.6</v>
      </c>
      <c r="AK168">
        <f>VLOOKUP($J168,'[1]Table S6'!$A:$AI,28,FALSE)</f>
        <v>0.93126197063204996</v>
      </c>
      <c r="AL168">
        <f>VLOOKUP($J168,'[1]Table S6'!$A:$AI,29,FALSE)</f>
        <v>70.27</v>
      </c>
      <c r="AM168" t="str">
        <f>VLOOKUP($J168,'[1]Table S6'!$A:$AI,30,FALSE)</f>
        <v>No</v>
      </c>
      <c r="AO168">
        <f>VLOOKUP($J168,'[1]Table S6'!$A:$AI,32,FALSE)</f>
        <v>437.3</v>
      </c>
      <c r="AP168">
        <f>VLOOKUP($J168,'[1]Table S6'!$A:$AI,33,FALSE)</f>
        <v>0.93062353692275002</v>
      </c>
      <c r="AQ168">
        <f>VLOOKUP($J168,'[1]Table S6'!$A:$AI,34,FALSE)</f>
        <v>68.95</v>
      </c>
      <c r="AR168" t="str">
        <f>VLOOKUP($J168,'[1]Table S6'!$A:$AI,35,FALSE)</f>
        <v>No</v>
      </c>
      <c r="AT168" t="str">
        <f>VLOOKUP($I168,'[2]Table S5'!$A:$K,8,FALSE)</f>
        <v>Resistant</v>
      </c>
      <c r="AU168" t="str">
        <f>VLOOKUP($I168,'[2]Table S5'!$A:$K,9,FALSE)</f>
        <v>Sensitive</v>
      </c>
      <c r="AV168" t="str">
        <f>VLOOKUP($I168,'[2]Table S5'!$A:$K,10,FALSE)</f>
        <v>Resistant</v>
      </c>
      <c r="AW168" t="str">
        <f>VLOOKUP($I168,'[2]Table S5'!$A:$K,11,FALSE)</f>
        <v>Resistant</v>
      </c>
    </row>
    <row r="169" spans="1:49">
      <c r="A169" s="12" t="s">
        <v>1275</v>
      </c>
      <c r="B169" t="s">
        <v>1276</v>
      </c>
      <c r="C169" t="s">
        <v>1277</v>
      </c>
      <c r="D169" t="s">
        <v>17</v>
      </c>
      <c r="E169" t="s">
        <v>1278</v>
      </c>
      <c r="F169" s="12" t="s">
        <v>1279</v>
      </c>
      <c r="G169" t="s">
        <v>1280</v>
      </c>
      <c r="H169" t="s">
        <v>1281</v>
      </c>
      <c r="I169" t="s">
        <v>1257</v>
      </c>
      <c r="J169" t="s">
        <v>1258</v>
      </c>
      <c r="K169">
        <f>VLOOKUP($J169,'[1]Table S6'!$A:$AI,2,FALSE)</f>
        <v>314.89999999999998</v>
      </c>
      <c r="L169">
        <f>VLOOKUP($J169,'[1]Table S6'!$A:$AI,3,FALSE)</f>
        <v>0.67014258352841005</v>
      </c>
      <c r="M169">
        <f>VLOOKUP($J169,'[1]Table S6'!$A:$AI,4,FALSE)</f>
        <v>1.4019999999999999</v>
      </c>
      <c r="N169" t="str">
        <f>VLOOKUP($J169,'[1]Table S6'!$A:$AI,5,FALSE)</f>
        <v>Yes</v>
      </c>
      <c r="P169">
        <f>VLOOKUP($J169,'[1]Table S6'!$A:$AI,7,FALSE)</f>
        <v>314.5</v>
      </c>
      <c r="Q169">
        <f>VLOOKUP($J169,'[1]Table S6'!$A:$AI,8,FALSE)</f>
        <v>0.66929133858267698</v>
      </c>
      <c r="R169">
        <f>VLOOKUP($J169,'[1]Table S6'!$A:$AI,9,FALSE)</f>
        <v>1.99</v>
      </c>
      <c r="S169" t="str">
        <f>VLOOKUP($J169,'[1]Table S6'!$A:$AI,10,FALSE)</f>
        <v>Yes</v>
      </c>
      <c r="U169">
        <f>VLOOKUP($J169,'[1]Table S6'!$A:$AI,12,FALSE)</f>
        <v>393.1</v>
      </c>
      <c r="V169">
        <f>VLOOKUP($J169,'[1]Table S6'!$A:$AI,13,FALSE)</f>
        <v>0.83656097041923805</v>
      </c>
      <c r="W169">
        <f>VLOOKUP($J169,'[1]Table S6'!$A:$AI,14,FALSE)</f>
        <v>20.440000000000001</v>
      </c>
      <c r="X169" t="str">
        <f>VLOOKUP($J169,'[1]Table S6'!$A:$AI,15,FALSE)</f>
        <v>No</v>
      </c>
      <c r="Z169">
        <f>VLOOKUP($J169,'[1]Table S6'!$A:$AI,17,FALSE)</f>
        <v>316.8</v>
      </c>
      <c r="AA169">
        <f>VLOOKUP($J169,'[1]Table S6'!$A:$AI,18,FALSE)</f>
        <v>0.67418599702064297</v>
      </c>
      <c r="AB169">
        <f>VLOOKUP($J169,'[1]Table S6'!$A:$AI,19,FALSE)</f>
        <v>1.456</v>
      </c>
      <c r="AC169" t="str">
        <f>VLOOKUP($J169,'[1]Table S6'!$A:$AI,20,FALSE)</f>
        <v>Yes</v>
      </c>
      <c r="AE169">
        <f>VLOOKUP($J169,'[1]Table S6'!$A:$AI,22,FALSE)</f>
        <v>396</v>
      </c>
      <c r="AF169">
        <f>VLOOKUP($J169,'[1]Table S6'!$A:$AI,23,FALSE)</f>
        <v>0.84273249627580304</v>
      </c>
      <c r="AG169">
        <f>VLOOKUP($J169,'[1]Table S6'!$A:$AI,24,FALSE)</f>
        <v>20.03</v>
      </c>
      <c r="AH169" t="str">
        <f>VLOOKUP($J169,'[1]Table S6'!$A:$AI,25,FALSE)</f>
        <v>No</v>
      </c>
      <c r="AJ169">
        <f>VLOOKUP($J169,'[1]Table S6'!$A:$AI,27,FALSE)</f>
        <v>411.7</v>
      </c>
      <c r="AK169">
        <f>VLOOKUP($J169,'[1]Table S6'!$A:$AI,28,FALSE)</f>
        <v>0.87614386039582903</v>
      </c>
      <c r="AL169">
        <f>VLOOKUP($J169,'[1]Table S6'!$A:$AI,29,FALSE)</f>
        <v>46.63</v>
      </c>
      <c r="AM169" t="str">
        <f>VLOOKUP($J169,'[1]Table S6'!$A:$AI,30,FALSE)</f>
        <v>No</v>
      </c>
      <c r="AO169">
        <f>VLOOKUP($J169,'[1]Table S6'!$A:$AI,32,FALSE)</f>
        <v>413.9</v>
      </c>
      <c r="AP169">
        <f>VLOOKUP($J169,'[1]Table S6'!$A:$AI,33,FALSE)</f>
        <v>0.88082570759736101</v>
      </c>
      <c r="AQ169">
        <f>VLOOKUP($J169,'[1]Table S6'!$A:$AI,34,FALSE)</f>
        <v>26.56</v>
      </c>
      <c r="AR169" t="str">
        <f>VLOOKUP($J169,'[1]Table S6'!$A:$AI,35,FALSE)</f>
        <v>No</v>
      </c>
      <c r="AT169" t="str">
        <f>VLOOKUP($I169,'[2]Table S5'!$A:$K,8,FALSE)</f>
        <v>Resistant</v>
      </c>
      <c r="AU169" t="str">
        <f>VLOOKUP($I169,'[2]Table S5'!$A:$K,9,FALSE)</f>
        <v>Sensitive</v>
      </c>
      <c r="AV169" t="str">
        <f>VLOOKUP($I169,'[2]Table S5'!$A:$K,10,FALSE)</f>
        <v>Resistant</v>
      </c>
      <c r="AW169" t="str">
        <f>VLOOKUP($I169,'[2]Table S5'!$A:$K,11,FALSE)</f>
        <v>Resistant</v>
      </c>
    </row>
    <row r="170" spans="1:49">
      <c r="A170" s="12" t="s">
        <v>1282</v>
      </c>
      <c r="B170" t="s">
        <v>1283</v>
      </c>
      <c r="C170" t="s">
        <v>1284</v>
      </c>
      <c r="D170" t="s">
        <v>17</v>
      </c>
      <c r="E170" t="s">
        <v>1285</v>
      </c>
      <c r="F170" s="12" t="s">
        <v>1286</v>
      </c>
      <c r="G170" t="s">
        <v>1287</v>
      </c>
      <c r="H170" t="s">
        <v>1288</v>
      </c>
      <c r="I170" t="s">
        <v>1257</v>
      </c>
      <c r="J170" t="s">
        <v>1266</v>
      </c>
      <c r="K170">
        <f>VLOOKUP($J170,'[1]Table S6'!$A:$AI,2,FALSE)</f>
        <v>291.8</v>
      </c>
      <c r="L170">
        <f>VLOOKUP($J170,'[1]Table S6'!$A:$AI,3,FALSE)</f>
        <v>0.62098318791232199</v>
      </c>
      <c r="M170">
        <f>VLOOKUP($J170,'[1]Table S6'!$A:$AI,4,FALSE)</f>
        <v>0.83260000000000001</v>
      </c>
      <c r="N170" t="str">
        <f>VLOOKUP($J170,'[1]Table S6'!$A:$AI,5,FALSE)</f>
        <v>Yes</v>
      </c>
      <c r="P170">
        <f>VLOOKUP($J170,'[1]Table S6'!$A:$AI,7,FALSE)</f>
        <v>273.7</v>
      </c>
      <c r="Q170">
        <f>VLOOKUP($J170,'[1]Table S6'!$A:$AI,8,FALSE)</f>
        <v>0.58246435411789699</v>
      </c>
      <c r="R170">
        <f>VLOOKUP($J170,'[1]Table S6'!$A:$AI,9,FALSE)</f>
        <v>0.55689999999999995</v>
      </c>
      <c r="S170" t="str">
        <f>VLOOKUP($J170,'[1]Table S6'!$A:$AI,10,FALSE)</f>
        <v>Yes</v>
      </c>
      <c r="U170">
        <f>VLOOKUP($J170,'[1]Table S6'!$A:$AI,12,FALSE)</f>
        <v>370</v>
      </c>
      <c r="V170">
        <f>VLOOKUP($J170,'[1]Table S6'!$A:$AI,13,FALSE)</f>
        <v>0.78740157480314998</v>
      </c>
      <c r="W170">
        <f>VLOOKUP($J170,'[1]Table S6'!$A:$AI,14,FALSE)</f>
        <v>19.57</v>
      </c>
      <c r="X170" t="str">
        <f>VLOOKUP($J170,'[1]Table S6'!$A:$AI,15,FALSE)</f>
        <v>No</v>
      </c>
      <c r="Z170">
        <f>VLOOKUP($J170,'[1]Table S6'!$A:$AI,17,FALSE)</f>
        <v>383.7</v>
      </c>
      <c r="AA170">
        <f>VLOOKUP($J170,'[1]Table S6'!$A:$AI,18,FALSE)</f>
        <v>0.81655671419450904</v>
      </c>
      <c r="AB170">
        <f>VLOOKUP($J170,'[1]Table S6'!$A:$AI,19,FALSE)</f>
        <v>17.100000000000001</v>
      </c>
      <c r="AC170" t="str">
        <f>VLOOKUP($J170,'[1]Table S6'!$A:$AI,20,FALSE)</f>
        <v>No</v>
      </c>
      <c r="AE170">
        <f>VLOOKUP($J170,'[1]Table S6'!$A:$AI,22,FALSE)</f>
        <v>368.5</v>
      </c>
      <c r="AF170">
        <f>VLOOKUP($J170,'[1]Table S6'!$A:$AI,23,FALSE)</f>
        <v>0.78420940625665003</v>
      </c>
      <c r="AG170">
        <f>VLOOKUP($J170,'[1]Table S6'!$A:$AI,24,FALSE)</f>
        <v>12.35</v>
      </c>
      <c r="AH170" t="str">
        <f>VLOOKUP($J170,'[1]Table S6'!$A:$AI,25,FALSE)</f>
        <v>No</v>
      </c>
      <c r="AJ170">
        <f>VLOOKUP($J170,'[1]Table S6'!$A:$AI,27,FALSE)</f>
        <v>407</v>
      </c>
      <c r="AK170">
        <f>VLOOKUP($J170,'[1]Table S6'!$A:$AI,28,FALSE)</f>
        <v>0.86614173228346503</v>
      </c>
      <c r="AL170">
        <f>VLOOKUP($J170,'[1]Table S6'!$A:$AI,29,FALSE)</f>
        <v>25.8</v>
      </c>
      <c r="AM170" t="str">
        <f>VLOOKUP($J170,'[1]Table S6'!$A:$AI,30,FALSE)</f>
        <v>No</v>
      </c>
      <c r="AO170">
        <f>VLOOKUP($J170,'[1]Table S6'!$A:$AI,32,FALSE)</f>
        <v>371.1</v>
      </c>
      <c r="AP170">
        <f>VLOOKUP($J170,'[1]Table S6'!$A:$AI,33,FALSE)</f>
        <v>0.78974249840391597</v>
      </c>
      <c r="AQ170">
        <f>VLOOKUP($J170,'[1]Table S6'!$A:$AI,34,FALSE)</f>
        <v>9.4770000000000003</v>
      </c>
      <c r="AR170" t="str">
        <f>VLOOKUP($J170,'[1]Table S6'!$A:$AI,35,FALSE)</f>
        <v>No</v>
      </c>
      <c r="AT170" t="str">
        <f>VLOOKUP($I170,'[2]Table S5'!$A:$K,8,FALSE)</f>
        <v>Resistant</v>
      </c>
      <c r="AU170" t="str">
        <f>VLOOKUP($I170,'[2]Table S5'!$A:$K,9,FALSE)</f>
        <v>Sensitive</v>
      </c>
      <c r="AV170" t="str">
        <f>VLOOKUP($I170,'[2]Table S5'!$A:$K,10,FALSE)</f>
        <v>Resistant</v>
      </c>
      <c r="AW170" t="str">
        <f>VLOOKUP($I170,'[2]Table S5'!$A:$K,11,FALSE)</f>
        <v>Resistant</v>
      </c>
    </row>
    <row r="171" spans="1:49">
      <c r="A171" s="12" t="s">
        <v>1289</v>
      </c>
      <c r="B171" t="s">
        <v>1290</v>
      </c>
      <c r="C171" t="s">
        <v>1291</v>
      </c>
      <c r="D171" t="s">
        <v>17</v>
      </c>
      <c r="E171" t="s">
        <v>1292</v>
      </c>
      <c r="F171" s="12" t="s">
        <v>1293</v>
      </c>
      <c r="G171" t="s">
        <v>1294</v>
      </c>
      <c r="H171" t="s">
        <v>1295</v>
      </c>
      <c r="I171" t="s">
        <v>1257</v>
      </c>
      <c r="J171" t="s">
        <v>1274</v>
      </c>
      <c r="K171">
        <f>VLOOKUP($J171,'[1]Table S6'!$A:$AI,2,FALSE)</f>
        <v>327.9</v>
      </c>
      <c r="L171">
        <f>VLOOKUP($J171,'[1]Table S6'!$A:$AI,3,FALSE)</f>
        <v>0.69780804426473697</v>
      </c>
      <c r="M171">
        <f>VLOOKUP($J171,'[1]Table S6'!$A:$AI,4,FALSE)</f>
        <v>1.5820000000000001</v>
      </c>
      <c r="N171" t="str">
        <f>VLOOKUP($J171,'[1]Table S6'!$A:$AI,5,FALSE)</f>
        <v>Yes</v>
      </c>
      <c r="P171">
        <f>VLOOKUP($J171,'[1]Table S6'!$A:$AI,7,FALSE)</f>
        <v>338.5</v>
      </c>
      <c r="Q171">
        <f>VLOOKUP($J171,'[1]Table S6'!$A:$AI,8,FALSE)</f>
        <v>0.72036603532666499</v>
      </c>
      <c r="R171">
        <f>VLOOKUP($J171,'[1]Table S6'!$A:$AI,9,FALSE)</f>
        <v>2.2080000000000002</v>
      </c>
      <c r="S171" t="str">
        <f>VLOOKUP($J171,'[1]Table S6'!$A:$AI,10,FALSE)</f>
        <v>No</v>
      </c>
      <c r="U171">
        <f>VLOOKUP($J171,'[1]Table S6'!$A:$AI,12,FALSE)</f>
        <v>379.7</v>
      </c>
      <c r="V171">
        <f>VLOOKUP($J171,'[1]Table S6'!$A:$AI,13,FALSE)</f>
        <v>0.80804426473717805</v>
      </c>
      <c r="W171">
        <f>VLOOKUP($J171,'[1]Table S6'!$A:$AI,14,FALSE)</f>
        <v>7.7930000000000001</v>
      </c>
      <c r="X171" t="str">
        <f>VLOOKUP($J171,'[1]Table S6'!$A:$AI,15,FALSE)</f>
        <v>No</v>
      </c>
      <c r="Z171">
        <f>VLOOKUP($J171,'[1]Table S6'!$A:$AI,17,FALSE)</f>
        <v>383.4</v>
      </c>
      <c r="AA171">
        <f>VLOOKUP($J171,'[1]Table S6'!$A:$AI,18,FALSE)</f>
        <v>0.81591828048520998</v>
      </c>
      <c r="AB171">
        <f>VLOOKUP($J171,'[1]Table S6'!$A:$AI,19,FALSE)</f>
        <v>15.93</v>
      </c>
      <c r="AC171" t="str">
        <f>VLOOKUP($J171,'[1]Table S6'!$A:$AI,20,FALSE)</f>
        <v>No</v>
      </c>
      <c r="AE171">
        <f>VLOOKUP($J171,'[1]Table S6'!$A:$AI,22,FALSE)</f>
        <v>415.2</v>
      </c>
      <c r="AF171">
        <f>VLOOKUP($J171,'[1]Table S6'!$A:$AI,23,FALSE)</f>
        <v>0.88359225367099403</v>
      </c>
      <c r="AG171">
        <f>VLOOKUP($J171,'[1]Table S6'!$A:$AI,24,FALSE)</f>
        <v>28.96</v>
      </c>
      <c r="AH171" t="str">
        <f>VLOOKUP($J171,'[1]Table S6'!$A:$AI,25,FALSE)</f>
        <v>No</v>
      </c>
      <c r="AJ171">
        <f>VLOOKUP($J171,'[1]Table S6'!$A:$AI,27,FALSE)</f>
        <v>437.6</v>
      </c>
      <c r="AK171">
        <f>VLOOKUP($J171,'[1]Table S6'!$A:$AI,28,FALSE)</f>
        <v>0.93126197063204996</v>
      </c>
      <c r="AL171">
        <f>VLOOKUP($J171,'[1]Table S6'!$A:$AI,29,FALSE)</f>
        <v>70.27</v>
      </c>
      <c r="AM171" t="str">
        <f>VLOOKUP($J171,'[1]Table S6'!$A:$AI,30,FALSE)</f>
        <v>No</v>
      </c>
      <c r="AO171">
        <f>VLOOKUP($J171,'[1]Table S6'!$A:$AI,32,FALSE)</f>
        <v>437.3</v>
      </c>
      <c r="AP171">
        <f>VLOOKUP($J171,'[1]Table S6'!$A:$AI,33,FALSE)</f>
        <v>0.93062353692275002</v>
      </c>
      <c r="AQ171">
        <f>VLOOKUP($J171,'[1]Table S6'!$A:$AI,34,FALSE)</f>
        <v>68.95</v>
      </c>
      <c r="AR171" t="str">
        <f>VLOOKUP($J171,'[1]Table S6'!$A:$AI,35,FALSE)</f>
        <v>No</v>
      </c>
      <c r="AT171" t="str">
        <f>VLOOKUP($I171,'[2]Table S5'!$A:$K,8,FALSE)</f>
        <v>Resistant</v>
      </c>
      <c r="AU171" t="str">
        <f>VLOOKUP($I171,'[2]Table S5'!$A:$K,9,FALSE)</f>
        <v>Sensitive</v>
      </c>
      <c r="AV171" t="str">
        <f>VLOOKUP($I171,'[2]Table S5'!$A:$K,10,FALSE)</f>
        <v>Resistant</v>
      </c>
      <c r="AW171" t="str">
        <f>VLOOKUP($I171,'[2]Table S5'!$A:$K,11,FALSE)</f>
        <v>Resistant</v>
      </c>
    </row>
    <row r="172" spans="1:49">
      <c r="A172" s="12" t="s">
        <v>1296</v>
      </c>
      <c r="B172" t="s">
        <v>1297</v>
      </c>
      <c r="C172" t="s">
        <v>1298</v>
      </c>
      <c r="D172" t="s">
        <v>17</v>
      </c>
      <c r="E172" t="s">
        <v>1299</v>
      </c>
      <c r="F172" s="12" t="s">
        <v>1300</v>
      </c>
      <c r="G172" t="s">
        <v>1301</v>
      </c>
      <c r="H172" t="s">
        <v>1302</v>
      </c>
      <c r="I172" t="s">
        <v>1257</v>
      </c>
      <c r="J172" t="s">
        <v>1257</v>
      </c>
      <c r="K172" t="e">
        <f>VLOOKUP($J172,'[1]Table S6'!$A:$AI,2,FALSE)</f>
        <v>#N/A</v>
      </c>
      <c r="L172" t="e">
        <f>VLOOKUP($J172,'[1]Table S6'!$A:$AI,3,FALSE)</f>
        <v>#N/A</v>
      </c>
      <c r="M172" t="e">
        <f>VLOOKUP($J172,'[1]Table S6'!$A:$AI,4,FALSE)</f>
        <v>#N/A</v>
      </c>
      <c r="N172" t="e">
        <f>VLOOKUP($J172,'[1]Table S6'!$A:$AI,5,FALSE)</f>
        <v>#N/A</v>
      </c>
      <c r="P172" t="e">
        <f>VLOOKUP($J172,'[1]Table S6'!$A:$AI,7,FALSE)</f>
        <v>#N/A</v>
      </c>
      <c r="Q172" t="e">
        <f>VLOOKUP($J172,'[1]Table S6'!$A:$AI,8,FALSE)</f>
        <v>#N/A</v>
      </c>
      <c r="R172" t="e">
        <f>VLOOKUP($J172,'[1]Table S6'!$A:$AI,9,FALSE)</f>
        <v>#N/A</v>
      </c>
      <c r="S172" t="e">
        <f>VLOOKUP($J172,'[1]Table S6'!$A:$AI,10,FALSE)</f>
        <v>#N/A</v>
      </c>
      <c r="U172" t="e">
        <f>VLOOKUP($J172,'[1]Table S6'!$A:$AI,12,FALSE)</f>
        <v>#N/A</v>
      </c>
      <c r="V172" t="e">
        <f>VLOOKUP($J172,'[1]Table S6'!$A:$AI,13,FALSE)</f>
        <v>#N/A</v>
      </c>
      <c r="W172" t="e">
        <f>VLOOKUP($J172,'[1]Table S6'!$A:$AI,14,FALSE)</f>
        <v>#N/A</v>
      </c>
      <c r="X172" t="e">
        <f>VLOOKUP($J172,'[1]Table S6'!$A:$AI,15,FALSE)</f>
        <v>#N/A</v>
      </c>
      <c r="Z172" t="e">
        <f>VLOOKUP($J172,'[1]Table S6'!$A:$AI,17,FALSE)</f>
        <v>#N/A</v>
      </c>
      <c r="AA172" t="e">
        <f>VLOOKUP($J172,'[1]Table S6'!$A:$AI,18,FALSE)</f>
        <v>#N/A</v>
      </c>
      <c r="AB172" t="e">
        <f>VLOOKUP($J172,'[1]Table S6'!$A:$AI,19,FALSE)</f>
        <v>#N/A</v>
      </c>
      <c r="AC172" t="e">
        <f>VLOOKUP($J172,'[1]Table S6'!$A:$AI,20,FALSE)</f>
        <v>#N/A</v>
      </c>
      <c r="AE172" t="e">
        <f>VLOOKUP($J172,'[1]Table S6'!$A:$AI,22,FALSE)</f>
        <v>#N/A</v>
      </c>
      <c r="AF172" t="e">
        <f>VLOOKUP($J172,'[1]Table S6'!$A:$AI,23,FALSE)</f>
        <v>#N/A</v>
      </c>
      <c r="AG172" t="e">
        <f>VLOOKUP($J172,'[1]Table S6'!$A:$AI,24,FALSE)</f>
        <v>#N/A</v>
      </c>
      <c r="AH172" t="e">
        <f>VLOOKUP($J172,'[1]Table S6'!$A:$AI,25,FALSE)</f>
        <v>#N/A</v>
      </c>
      <c r="AJ172" t="e">
        <f>VLOOKUP($J172,'[1]Table S6'!$A:$AI,27,FALSE)</f>
        <v>#N/A</v>
      </c>
      <c r="AK172" t="e">
        <f>VLOOKUP($J172,'[1]Table S6'!$A:$AI,28,FALSE)</f>
        <v>#N/A</v>
      </c>
      <c r="AL172" t="e">
        <f>VLOOKUP($J172,'[1]Table S6'!$A:$AI,29,FALSE)</f>
        <v>#N/A</v>
      </c>
      <c r="AM172" t="e">
        <f>VLOOKUP($J172,'[1]Table S6'!$A:$AI,30,FALSE)</f>
        <v>#N/A</v>
      </c>
      <c r="AO172" t="e">
        <f>VLOOKUP($J172,'[1]Table S6'!$A:$AI,32,FALSE)</f>
        <v>#N/A</v>
      </c>
      <c r="AP172" t="e">
        <f>VLOOKUP($J172,'[1]Table S6'!$A:$AI,33,FALSE)</f>
        <v>#N/A</v>
      </c>
      <c r="AQ172" t="e">
        <f>VLOOKUP($J172,'[1]Table S6'!$A:$AI,34,FALSE)</f>
        <v>#N/A</v>
      </c>
      <c r="AR172" t="e">
        <f>VLOOKUP($J172,'[1]Table S6'!$A:$AI,35,FALSE)</f>
        <v>#N/A</v>
      </c>
      <c r="AT172" t="str">
        <f>VLOOKUP($I172,'[2]Table S5'!$A:$K,8,FALSE)</f>
        <v>Resistant</v>
      </c>
      <c r="AU172" t="str">
        <f>VLOOKUP($I172,'[2]Table S5'!$A:$K,9,FALSE)</f>
        <v>Sensitive</v>
      </c>
      <c r="AV172" t="str">
        <f>VLOOKUP($I172,'[2]Table S5'!$A:$K,10,FALSE)</f>
        <v>Resistant</v>
      </c>
      <c r="AW172" t="str">
        <f>VLOOKUP($I172,'[2]Table S5'!$A:$K,11,FALSE)</f>
        <v>Resistant</v>
      </c>
    </row>
    <row r="173" spans="1:49">
      <c r="A173" s="12" t="s">
        <v>1303</v>
      </c>
      <c r="B173" t="s">
        <v>1304</v>
      </c>
      <c r="C173" t="s">
        <v>1305</v>
      </c>
      <c r="D173" t="s">
        <v>17</v>
      </c>
      <c r="E173" t="s">
        <v>1306</v>
      </c>
      <c r="F173" s="12" t="s">
        <v>1307</v>
      </c>
      <c r="G173" t="s">
        <v>1308</v>
      </c>
      <c r="H173" t="s">
        <v>1309</v>
      </c>
      <c r="I173" t="s">
        <v>1310</v>
      </c>
      <c r="J173" t="s">
        <v>1310</v>
      </c>
      <c r="K173" t="e">
        <f>VLOOKUP($J173,'[1]Table S6'!$A:$AI,2,FALSE)</f>
        <v>#N/A</v>
      </c>
      <c r="L173" t="e">
        <f>VLOOKUP($J173,'[1]Table S6'!$A:$AI,3,FALSE)</f>
        <v>#N/A</v>
      </c>
      <c r="M173" t="e">
        <f>VLOOKUP($J173,'[1]Table S6'!$A:$AI,4,FALSE)</f>
        <v>#N/A</v>
      </c>
      <c r="N173" t="e">
        <f>VLOOKUP($J173,'[1]Table S6'!$A:$AI,5,FALSE)</f>
        <v>#N/A</v>
      </c>
      <c r="P173" t="e">
        <f>VLOOKUP($J173,'[1]Table S6'!$A:$AI,7,FALSE)</f>
        <v>#N/A</v>
      </c>
      <c r="Q173" t="e">
        <f>VLOOKUP($J173,'[1]Table S6'!$A:$AI,8,FALSE)</f>
        <v>#N/A</v>
      </c>
      <c r="R173" t="e">
        <f>VLOOKUP($J173,'[1]Table S6'!$A:$AI,9,FALSE)</f>
        <v>#N/A</v>
      </c>
      <c r="S173" t="e">
        <f>VLOOKUP($J173,'[1]Table S6'!$A:$AI,10,FALSE)</f>
        <v>#N/A</v>
      </c>
      <c r="U173" t="e">
        <f>VLOOKUP($J173,'[1]Table S6'!$A:$AI,12,FALSE)</f>
        <v>#N/A</v>
      </c>
      <c r="V173" t="e">
        <f>VLOOKUP($J173,'[1]Table S6'!$A:$AI,13,FALSE)</f>
        <v>#N/A</v>
      </c>
      <c r="W173" t="e">
        <f>VLOOKUP($J173,'[1]Table S6'!$A:$AI,14,FALSE)</f>
        <v>#N/A</v>
      </c>
      <c r="X173" t="e">
        <f>VLOOKUP($J173,'[1]Table S6'!$A:$AI,15,FALSE)</f>
        <v>#N/A</v>
      </c>
      <c r="Z173" t="e">
        <f>VLOOKUP($J173,'[1]Table S6'!$A:$AI,17,FALSE)</f>
        <v>#N/A</v>
      </c>
      <c r="AA173" t="e">
        <f>VLOOKUP($J173,'[1]Table S6'!$A:$AI,18,FALSE)</f>
        <v>#N/A</v>
      </c>
      <c r="AB173" t="e">
        <f>VLOOKUP($J173,'[1]Table S6'!$A:$AI,19,FALSE)</f>
        <v>#N/A</v>
      </c>
      <c r="AC173" t="e">
        <f>VLOOKUP($J173,'[1]Table S6'!$A:$AI,20,FALSE)</f>
        <v>#N/A</v>
      </c>
      <c r="AE173" t="e">
        <f>VLOOKUP($J173,'[1]Table S6'!$A:$AI,22,FALSE)</f>
        <v>#N/A</v>
      </c>
      <c r="AF173" t="e">
        <f>VLOOKUP($J173,'[1]Table S6'!$A:$AI,23,FALSE)</f>
        <v>#N/A</v>
      </c>
      <c r="AG173" t="e">
        <f>VLOOKUP($J173,'[1]Table S6'!$A:$AI,24,FALSE)</f>
        <v>#N/A</v>
      </c>
      <c r="AH173" t="e">
        <f>VLOOKUP($J173,'[1]Table S6'!$A:$AI,25,FALSE)</f>
        <v>#N/A</v>
      </c>
      <c r="AJ173" t="e">
        <f>VLOOKUP($J173,'[1]Table S6'!$A:$AI,27,FALSE)</f>
        <v>#N/A</v>
      </c>
      <c r="AK173" t="e">
        <f>VLOOKUP($J173,'[1]Table S6'!$A:$AI,28,FALSE)</f>
        <v>#N/A</v>
      </c>
      <c r="AL173" t="e">
        <f>VLOOKUP($J173,'[1]Table S6'!$A:$AI,29,FALSE)</f>
        <v>#N/A</v>
      </c>
      <c r="AM173" t="e">
        <f>VLOOKUP($J173,'[1]Table S6'!$A:$AI,30,FALSE)</f>
        <v>#N/A</v>
      </c>
      <c r="AO173" t="e">
        <f>VLOOKUP($J173,'[1]Table S6'!$A:$AI,32,FALSE)</f>
        <v>#N/A</v>
      </c>
      <c r="AP173" t="e">
        <f>VLOOKUP($J173,'[1]Table S6'!$A:$AI,33,FALSE)</f>
        <v>#N/A</v>
      </c>
      <c r="AQ173" t="e">
        <f>VLOOKUP($J173,'[1]Table S6'!$A:$AI,34,FALSE)</f>
        <v>#N/A</v>
      </c>
      <c r="AR173" t="e">
        <f>VLOOKUP($J173,'[1]Table S6'!$A:$AI,35,FALSE)</f>
        <v>#N/A</v>
      </c>
      <c r="AT173" t="str">
        <f>VLOOKUP($I173,'[2]Table S5'!$A:$K,8,FALSE)</f>
        <v>Resistant</v>
      </c>
      <c r="AU173" t="str">
        <f>VLOOKUP($I173,'[2]Table S5'!$A:$K,9,FALSE)</f>
        <v>Resistant</v>
      </c>
      <c r="AV173" t="str">
        <f>VLOOKUP($I173,'[2]Table S5'!$A:$K,10,FALSE)</f>
        <v>Resistant</v>
      </c>
      <c r="AW173" t="str">
        <f>VLOOKUP($I173,'[2]Table S5'!$A:$K,11,FALSE)</f>
        <v>Resistant</v>
      </c>
    </row>
    <row r="174" spans="1:49">
      <c r="A174" s="12" t="s">
        <v>1311</v>
      </c>
      <c r="B174" t="s">
        <v>1312</v>
      </c>
      <c r="C174" t="s">
        <v>1313</v>
      </c>
      <c r="D174" t="s">
        <v>17</v>
      </c>
      <c r="E174" t="s">
        <v>1314</v>
      </c>
      <c r="F174" s="12" t="s">
        <v>1315</v>
      </c>
      <c r="G174" t="s">
        <v>1316</v>
      </c>
      <c r="H174" t="s">
        <v>1317</v>
      </c>
      <c r="I174" t="s">
        <v>1310</v>
      </c>
      <c r="J174" t="s">
        <v>1318</v>
      </c>
      <c r="K174">
        <f>VLOOKUP($J174,'[1]Table S6'!$A:$AI,2,FALSE)</f>
        <v>343.7</v>
      </c>
      <c r="L174">
        <f>VLOOKUP($J174,'[1]Table S6'!$A:$AI,3,FALSE)</f>
        <v>0.73143221962119598</v>
      </c>
      <c r="M174">
        <f>VLOOKUP($J174,'[1]Table S6'!$A:$AI,4,FALSE)</f>
        <v>10.99</v>
      </c>
      <c r="N174" t="str">
        <f>VLOOKUP($J174,'[1]Table S6'!$A:$AI,5,FALSE)</f>
        <v>No</v>
      </c>
      <c r="P174">
        <f>VLOOKUP($J174,'[1]Table S6'!$A:$AI,7,FALSE)</f>
        <v>359.8</v>
      </c>
      <c r="Q174">
        <f>VLOOKUP($J174,'[1]Table S6'!$A:$AI,8,FALSE)</f>
        <v>0.76569482868695504</v>
      </c>
      <c r="R174">
        <f>VLOOKUP($J174,'[1]Table S6'!$A:$AI,9,FALSE)</f>
        <v>5.742</v>
      </c>
      <c r="S174" t="str">
        <f>VLOOKUP($J174,'[1]Table S6'!$A:$AI,10,FALSE)</f>
        <v>No</v>
      </c>
      <c r="U174">
        <f>VLOOKUP($J174,'[1]Table S6'!$A:$AI,12,FALSE)</f>
        <v>398.2</v>
      </c>
      <c r="V174">
        <f>VLOOKUP($J174,'[1]Table S6'!$A:$AI,13,FALSE)</f>
        <v>0.84741434347733602</v>
      </c>
      <c r="W174">
        <f>VLOOKUP($J174,'[1]Table S6'!$A:$AI,14,FALSE)</f>
        <v>26.81</v>
      </c>
      <c r="X174" t="str">
        <f>VLOOKUP($J174,'[1]Table S6'!$A:$AI,15,FALSE)</f>
        <v>No</v>
      </c>
      <c r="Z174">
        <f>VLOOKUP($J174,'[1]Table S6'!$A:$AI,17,FALSE)</f>
        <v>407.2</v>
      </c>
      <c r="AA174">
        <f>VLOOKUP($J174,'[1]Table S6'!$A:$AI,18,FALSE)</f>
        <v>0.86656735475633095</v>
      </c>
      <c r="AB174">
        <f>VLOOKUP($J174,'[1]Table S6'!$A:$AI,19,FALSE)</f>
        <v>28.32</v>
      </c>
      <c r="AC174" t="str">
        <f>VLOOKUP($J174,'[1]Table S6'!$A:$AI,20,FALSE)</f>
        <v>No</v>
      </c>
      <c r="AE174">
        <f>VLOOKUP($J174,'[1]Table S6'!$A:$AI,22,FALSE)</f>
        <v>369.6</v>
      </c>
      <c r="AF174">
        <f>VLOOKUP($J174,'[1]Table S6'!$A:$AI,23,FALSE)</f>
        <v>0.78655032985741702</v>
      </c>
      <c r="AG174">
        <f>VLOOKUP($J174,'[1]Table S6'!$A:$AI,24,FALSE)</f>
        <v>12.5</v>
      </c>
      <c r="AH174" t="str">
        <f>VLOOKUP($J174,'[1]Table S6'!$A:$AI,25,FALSE)</f>
        <v>No</v>
      </c>
      <c r="AJ174">
        <f>VLOOKUP($J174,'[1]Table S6'!$A:$AI,27,FALSE)</f>
        <v>329.9</v>
      </c>
      <c r="AK174">
        <f>VLOOKUP($J174,'[1]Table S6'!$A:$AI,28,FALSE)</f>
        <v>0.70206426899340302</v>
      </c>
      <c r="AL174">
        <f>VLOOKUP($J174,'[1]Table S6'!$A:$AI,29,FALSE)</f>
        <v>2.7829999999999999</v>
      </c>
      <c r="AM174" t="str">
        <f>VLOOKUP($J174,'[1]Table S6'!$A:$AI,30,FALSE)</f>
        <v>No</v>
      </c>
      <c r="AO174">
        <f>VLOOKUP($J174,'[1]Table S6'!$A:$AI,32,FALSE)</f>
        <v>381.4</v>
      </c>
      <c r="AP174">
        <f>VLOOKUP($J174,'[1]Table S6'!$A:$AI,33,FALSE)</f>
        <v>0.81166205575654404</v>
      </c>
      <c r="AQ174">
        <f>VLOOKUP($J174,'[1]Table S6'!$A:$AI,34,FALSE)</f>
        <v>12.01</v>
      </c>
      <c r="AR174" t="str">
        <f>VLOOKUP($J174,'[1]Table S6'!$A:$AI,35,FALSE)</f>
        <v>No</v>
      </c>
      <c r="AT174" t="str">
        <f>VLOOKUP($I174,'[2]Table S5'!$A:$K,8,FALSE)</f>
        <v>Resistant</v>
      </c>
      <c r="AU174" t="str">
        <f>VLOOKUP($I174,'[2]Table S5'!$A:$K,9,FALSE)</f>
        <v>Resistant</v>
      </c>
      <c r="AV174" t="str">
        <f>VLOOKUP($I174,'[2]Table S5'!$A:$K,10,FALSE)</f>
        <v>Resistant</v>
      </c>
      <c r="AW174" t="str">
        <f>VLOOKUP($I174,'[2]Table S5'!$A:$K,11,FALSE)</f>
        <v>Resistant</v>
      </c>
    </row>
    <row r="175" spans="1:49">
      <c r="A175" s="12" t="s">
        <v>1319</v>
      </c>
      <c r="B175" t="s">
        <v>1320</v>
      </c>
      <c r="C175" t="s">
        <v>1321</v>
      </c>
      <c r="D175" t="s">
        <v>17</v>
      </c>
      <c r="E175" t="s">
        <v>1322</v>
      </c>
      <c r="F175" s="12" t="s">
        <v>1323</v>
      </c>
      <c r="G175" t="s">
        <v>1324</v>
      </c>
      <c r="H175" t="s">
        <v>1325</v>
      </c>
      <c r="I175" t="s">
        <v>1310</v>
      </c>
      <c r="J175" t="s">
        <v>1326</v>
      </c>
      <c r="K175">
        <f>VLOOKUP($J175,'[1]Table S6'!$A:$AI,2,FALSE)</f>
        <v>334.6</v>
      </c>
      <c r="L175">
        <f>VLOOKUP($J175,'[1]Table S6'!$A:$AI,3,FALSE)</f>
        <v>0.71206639710576702</v>
      </c>
      <c r="M175">
        <f>VLOOKUP($J175,'[1]Table S6'!$A:$AI,4,FALSE)</f>
        <v>4.9290000000000003</v>
      </c>
      <c r="N175" t="str">
        <f>VLOOKUP($J175,'[1]Table S6'!$A:$AI,5,FALSE)</f>
        <v>No</v>
      </c>
      <c r="P175">
        <f>VLOOKUP($J175,'[1]Table S6'!$A:$AI,7,FALSE)</f>
        <v>361.4</v>
      </c>
      <c r="Q175">
        <f>VLOOKUP($J175,'[1]Table S6'!$A:$AI,8,FALSE)</f>
        <v>0.76909980846988701</v>
      </c>
      <c r="R175">
        <f>VLOOKUP($J175,'[1]Table S6'!$A:$AI,9,FALSE)</f>
        <v>7.8209999999999997</v>
      </c>
      <c r="S175" t="str">
        <f>VLOOKUP($J175,'[1]Table S6'!$A:$AI,10,FALSE)</f>
        <v>No</v>
      </c>
      <c r="U175">
        <f>VLOOKUP($J175,'[1]Table S6'!$A:$AI,12,FALSE)</f>
        <v>351.5</v>
      </c>
      <c r="V175">
        <f>VLOOKUP($J175,'[1]Table S6'!$A:$AI,13,FALSE)</f>
        <v>0.74803149606299202</v>
      </c>
      <c r="W175">
        <f>VLOOKUP($J175,'[1]Table S6'!$A:$AI,14,FALSE)</f>
        <v>7.2729999999999997</v>
      </c>
      <c r="X175" t="str">
        <f>VLOOKUP($J175,'[1]Table S6'!$A:$AI,15,FALSE)</f>
        <v>No</v>
      </c>
      <c r="Z175">
        <f>VLOOKUP($J175,'[1]Table S6'!$A:$AI,17,FALSE)</f>
        <v>413.1</v>
      </c>
      <c r="AA175">
        <f>VLOOKUP($J175,'[1]Table S6'!$A:$AI,18,FALSE)</f>
        <v>0.87912321770589497</v>
      </c>
      <c r="AB175">
        <f>VLOOKUP($J175,'[1]Table S6'!$A:$AI,19,FALSE)</f>
        <v>26.38</v>
      </c>
      <c r="AC175" t="str">
        <f>VLOOKUP($J175,'[1]Table S6'!$A:$AI,20,FALSE)</f>
        <v>No</v>
      </c>
      <c r="AE175">
        <f>VLOOKUP($J175,'[1]Table S6'!$A:$AI,22,FALSE)</f>
        <v>345.7</v>
      </c>
      <c r="AF175">
        <f>VLOOKUP($J175,'[1]Table S6'!$A:$AI,23,FALSE)</f>
        <v>0.73568844434986203</v>
      </c>
      <c r="AG175">
        <f>VLOOKUP($J175,'[1]Table S6'!$A:$AI,24,FALSE)</f>
        <v>7.633</v>
      </c>
      <c r="AH175" t="str">
        <f>VLOOKUP($J175,'[1]Table S6'!$A:$AI,25,FALSE)</f>
        <v>No</v>
      </c>
      <c r="AJ175">
        <f>VLOOKUP($J175,'[1]Table S6'!$A:$AI,27,FALSE)</f>
        <v>371.4</v>
      </c>
      <c r="AK175">
        <f>VLOOKUP($J175,'[1]Table S6'!$A:$AI,28,FALSE)</f>
        <v>0.79038093211321603</v>
      </c>
      <c r="AL175">
        <f>VLOOKUP($J175,'[1]Table S6'!$A:$AI,29,FALSE)</f>
        <v>18.55</v>
      </c>
      <c r="AM175" t="str">
        <f>VLOOKUP($J175,'[1]Table S6'!$A:$AI,30,FALSE)</f>
        <v>No</v>
      </c>
      <c r="AO175">
        <f>VLOOKUP($J175,'[1]Table S6'!$A:$AI,32,FALSE)</f>
        <v>361</v>
      </c>
      <c r="AP175">
        <f>VLOOKUP($J175,'[1]Table S6'!$A:$AI,33,FALSE)</f>
        <v>0.76824856352415405</v>
      </c>
      <c r="AQ175">
        <f>VLOOKUP($J175,'[1]Table S6'!$A:$AI,34,FALSE)</f>
        <v>21.68</v>
      </c>
      <c r="AR175" t="str">
        <f>VLOOKUP($J175,'[1]Table S6'!$A:$AI,35,FALSE)</f>
        <v>No</v>
      </c>
      <c r="AT175" t="str">
        <f>VLOOKUP($I175,'[2]Table S5'!$A:$K,8,FALSE)</f>
        <v>Resistant</v>
      </c>
      <c r="AU175" t="str">
        <f>VLOOKUP($I175,'[2]Table S5'!$A:$K,9,FALSE)</f>
        <v>Resistant</v>
      </c>
      <c r="AV175" t="str">
        <f>VLOOKUP($I175,'[2]Table S5'!$A:$K,10,FALSE)</f>
        <v>Resistant</v>
      </c>
      <c r="AW175" t="str">
        <f>VLOOKUP($I175,'[2]Table S5'!$A:$K,11,FALSE)</f>
        <v>Resistant</v>
      </c>
    </row>
    <row r="176" spans="1:49">
      <c r="A176" s="12" t="s">
        <v>1327</v>
      </c>
      <c r="B176" t="s">
        <v>1328</v>
      </c>
      <c r="C176" t="s">
        <v>1329</v>
      </c>
      <c r="D176" t="s">
        <v>17</v>
      </c>
      <c r="E176" t="s">
        <v>1330</v>
      </c>
      <c r="F176" s="12" t="s">
        <v>1331</v>
      </c>
      <c r="G176" t="s">
        <v>1332</v>
      </c>
      <c r="H176" t="s">
        <v>1333</v>
      </c>
      <c r="I176" t="s">
        <v>1310</v>
      </c>
      <c r="J176" t="s">
        <v>1334</v>
      </c>
      <c r="K176">
        <f>VLOOKUP($J176,'[1]Table S6'!$A:$AI,2,FALSE)</f>
        <v>295.8</v>
      </c>
      <c r="L176">
        <f>VLOOKUP($J176,'[1]Table S6'!$A:$AI,3,FALSE)</f>
        <v>0.62949563736965297</v>
      </c>
      <c r="M176">
        <f>VLOOKUP($J176,'[1]Table S6'!$A:$AI,4,FALSE)</f>
        <v>0.97250000000000003</v>
      </c>
      <c r="N176" t="str">
        <f>VLOOKUP($J176,'[1]Table S6'!$A:$AI,5,FALSE)</f>
        <v>Yes</v>
      </c>
      <c r="P176">
        <f>VLOOKUP($J176,'[1]Table S6'!$A:$AI,7,FALSE)</f>
        <v>290.5</v>
      </c>
      <c r="Q176">
        <f>VLOOKUP($J176,'[1]Table S6'!$A:$AI,8,FALSE)</f>
        <v>0.61821664183868896</v>
      </c>
      <c r="R176">
        <f>VLOOKUP($J176,'[1]Table S6'!$A:$AI,9,FALSE)</f>
        <v>0.8024</v>
      </c>
      <c r="S176" t="str">
        <f>VLOOKUP($J176,'[1]Table S6'!$A:$AI,10,FALSE)</f>
        <v>Yes</v>
      </c>
      <c r="U176">
        <f>VLOOKUP($J176,'[1]Table S6'!$A:$AI,12,FALSE)</f>
        <v>337</v>
      </c>
      <c r="V176">
        <f>VLOOKUP($J176,'[1]Table S6'!$A:$AI,13,FALSE)</f>
        <v>0.71717386678016604</v>
      </c>
      <c r="W176">
        <f>VLOOKUP($J176,'[1]Table S6'!$A:$AI,14,FALSE)</f>
        <v>3.9039999999999999</v>
      </c>
      <c r="X176" t="str">
        <f>VLOOKUP($J176,'[1]Table S6'!$A:$AI,15,FALSE)</f>
        <v>No</v>
      </c>
      <c r="Z176">
        <f>VLOOKUP($J176,'[1]Table S6'!$A:$AI,17,FALSE)</f>
        <v>391.2</v>
      </c>
      <c r="AA176">
        <f>VLOOKUP($J176,'[1]Table S6'!$A:$AI,18,FALSE)</f>
        <v>0.83251755692700602</v>
      </c>
      <c r="AB176">
        <f>VLOOKUP($J176,'[1]Table S6'!$A:$AI,19,FALSE)</f>
        <v>16.579999999999998</v>
      </c>
      <c r="AC176" t="str">
        <f>VLOOKUP($J176,'[1]Table S6'!$A:$AI,20,FALSE)</f>
        <v>No</v>
      </c>
      <c r="AE176">
        <f>VLOOKUP($J176,'[1]Table S6'!$A:$AI,22,FALSE)</f>
        <v>367.2</v>
      </c>
      <c r="AF176">
        <f>VLOOKUP($J176,'[1]Table S6'!$A:$AI,23,FALSE)</f>
        <v>0.78144286018301801</v>
      </c>
      <c r="AG176">
        <f>VLOOKUP($J176,'[1]Table S6'!$A:$AI,24,FALSE)</f>
        <v>8.6120000000000001</v>
      </c>
      <c r="AH176" t="str">
        <f>VLOOKUP($J176,'[1]Table S6'!$A:$AI,25,FALSE)</f>
        <v>No</v>
      </c>
      <c r="AJ176">
        <f>VLOOKUP($J176,'[1]Table S6'!$A:$AI,27,FALSE)</f>
        <v>377.4</v>
      </c>
      <c r="AK176">
        <f>VLOOKUP($J176,'[1]Table S6'!$A:$AI,28,FALSE)</f>
        <v>0.80314960629921295</v>
      </c>
      <c r="AL176">
        <f>VLOOKUP($J176,'[1]Table S6'!$A:$AI,29,FALSE)</f>
        <v>12.63</v>
      </c>
      <c r="AM176" t="str">
        <f>VLOOKUP($J176,'[1]Table S6'!$A:$AI,30,FALSE)</f>
        <v>No</v>
      </c>
      <c r="AO176">
        <f>VLOOKUP($J176,'[1]Table S6'!$A:$AI,32,FALSE)</f>
        <v>383.9</v>
      </c>
      <c r="AP176">
        <f>VLOOKUP($J176,'[1]Table S6'!$A:$AI,33,FALSE)</f>
        <v>0.81698233666737596</v>
      </c>
      <c r="AQ176">
        <f>VLOOKUP($J176,'[1]Table S6'!$A:$AI,34,FALSE)</f>
        <v>21.41</v>
      </c>
      <c r="AR176" t="str">
        <f>VLOOKUP($J176,'[1]Table S6'!$A:$AI,35,FALSE)</f>
        <v>No</v>
      </c>
      <c r="AT176" t="str">
        <f>VLOOKUP($I176,'[2]Table S5'!$A:$K,8,FALSE)</f>
        <v>Resistant</v>
      </c>
      <c r="AU176" t="str">
        <f>VLOOKUP($I176,'[2]Table S5'!$A:$K,9,FALSE)</f>
        <v>Resistant</v>
      </c>
      <c r="AV176" t="str">
        <f>VLOOKUP($I176,'[2]Table S5'!$A:$K,10,FALSE)</f>
        <v>Resistant</v>
      </c>
      <c r="AW176" t="str">
        <f>VLOOKUP($I176,'[2]Table S5'!$A:$K,11,FALSE)</f>
        <v>Resistant</v>
      </c>
    </row>
    <row r="177" spans="1:49">
      <c r="A177" s="12" t="s">
        <v>1335</v>
      </c>
      <c r="B177" t="s">
        <v>1336</v>
      </c>
      <c r="C177" t="s">
        <v>1337</v>
      </c>
      <c r="D177" t="s">
        <v>17</v>
      </c>
      <c r="E177" t="s">
        <v>1338</v>
      </c>
      <c r="F177" s="12" t="s">
        <v>1339</v>
      </c>
      <c r="G177" t="s">
        <v>1340</v>
      </c>
      <c r="H177" t="s">
        <v>1341</v>
      </c>
      <c r="I177" t="s">
        <v>1310</v>
      </c>
      <c r="J177" t="s">
        <v>1342</v>
      </c>
      <c r="K177">
        <f>VLOOKUP($J177,'[1]Table S6'!$A:$AI,2,FALSE)</f>
        <v>299.7</v>
      </c>
      <c r="L177">
        <f>VLOOKUP($J177,'[1]Table S6'!$A:$AI,3,FALSE)</f>
        <v>0.63779527559055105</v>
      </c>
      <c r="M177">
        <f>VLOOKUP($J177,'[1]Table S6'!$A:$AI,4,FALSE)</f>
        <v>0.999</v>
      </c>
      <c r="N177" t="str">
        <f>VLOOKUP($J177,'[1]Table S6'!$A:$AI,5,FALSE)</f>
        <v>Yes</v>
      </c>
      <c r="P177">
        <f>VLOOKUP($J177,'[1]Table S6'!$A:$AI,7,FALSE)</f>
        <v>280.89999999999998</v>
      </c>
      <c r="Q177">
        <f>VLOOKUP($J177,'[1]Table S6'!$A:$AI,8,FALSE)</f>
        <v>0.59778676314109402</v>
      </c>
      <c r="R177">
        <f>VLOOKUP($J177,'[1]Table S6'!$A:$AI,9,FALSE)</f>
        <v>0.71250000000000002</v>
      </c>
      <c r="S177" t="str">
        <f>VLOOKUP($J177,'[1]Table S6'!$A:$AI,10,FALSE)</f>
        <v>Yes</v>
      </c>
      <c r="U177">
        <f>VLOOKUP($J177,'[1]Table S6'!$A:$AI,12,FALSE)</f>
        <v>314.8</v>
      </c>
      <c r="V177">
        <f>VLOOKUP($J177,'[1]Table S6'!$A:$AI,13,FALSE)</f>
        <v>0.66992977229197703</v>
      </c>
      <c r="W177">
        <f>VLOOKUP($J177,'[1]Table S6'!$A:$AI,14,FALSE)</f>
        <v>1.673</v>
      </c>
      <c r="X177" t="str">
        <f>VLOOKUP($J177,'[1]Table S6'!$A:$AI,15,FALSE)</f>
        <v>Yes</v>
      </c>
      <c r="Z177">
        <f>VLOOKUP($J177,'[1]Table S6'!$A:$AI,17,FALSE)</f>
        <v>393.7</v>
      </c>
      <c r="AA177">
        <f>VLOOKUP($J177,'[1]Table S6'!$A:$AI,18,FALSE)</f>
        <v>0.83783783783783805</v>
      </c>
      <c r="AB177">
        <f>VLOOKUP($J177,'[1]Table S6'!$A:$AI,19,FALSE)</f>
        <v>24.96</v>
      </c>
      <c r="AC177" t="str">
        <f>VLOOKUP($J177,'[1]Table S6'!$A:$AI,20,FALSE)</f>
        <v>No</v>
      </c>
      <c r="AE177">
        <f>VLOOKUP($J177,'[1]Table S6'!$A:$AI,22,FALSE)</f>
        <v>383.9</v>
      </c>
      <c r="AF177">
        <f>VLOOKUP($J177,'[1]Table S6'!$A:$AI,23,FALSE)</f>
        <v>0.81698233666737596</v>
      </c>
      <c r="AG177">
        <f>VLOOKUP($J177,'[1]Table S6'!$A:$AI,24,FALSE)</f>
        <v>15.66</v>
      </c>
      <c r="AH177" t="str">
        <f>VLOOKUP($J177,'[1]Table S6'!$A:$AI,25,FALSE)</f>
        <v>No</v>
      </c>
      <c r="AJ177">
        <f>VLOOKUP($J177,'[1]Table S6'!$A:$AI,27,FALSE)</f>
        <v>291</v>
      </c>
      <c r="AK177">
        <f>VLOOKUP($J177,'[1]Table S6'!$A:$AI,28,FALSE)</f>
        <v>0.61928069802085595</v>
      </c>
      <c r="AL177">
        <f>VLOOKUP($J177,'[1]Table S6'!$A:$AI,29,FALSE)</f>
        <v>0.93240000000000001</v>
      </c>
      <c r="AM177" t="str">
        <f>VLOOKUP($J177,'[1]Table S6'!$A:$AI,30,FALSE)</f>
        <v>Yes</v>
      </c>
      <c r="AO177">
        <f>VLOOKUP($J177,'[1]Table S6'!$A:$AI,32,FALSE)</f>
        <v>322.89999999999998</v>
      </c>
      <c r="AP177">
        <f>VLOOKUP($J177,'[1]Table S6'!$A:$AI,33,FALSE)</f>
        <v>0.68716748244307302</v>
      </c>
      <c r="AQ177">
        <f>VLOOKUP($J177,'[1]Table S6'!$A:$AI,34,FALSE)</f>
        <v>3.8809999999999998</v>
      </c>
      <c r="AR177" t="str">
        <f>VLOOKUP($J177,'[1]Table S6'!$A:$AI,35,FALSE)</f>
        <v>No</v>
      </c>
      <c r="AT177" t="str">
        <f>VLOOKUP($I177,'[2]Table S5'!$A:$K,8,FALSE)</f>
        <v>Resistant</v>
      </c>
      <c r="AU177" t="str">
        <f>VLOOKUP($I177,'[2]Table S5'!$A:$K,9,FALSE)</f>
        <v>Resistant</v>
      </c>
      <c r="AV177" t="str">
        <f>VLOOKUP($I177,'[2]Table S5'!$A:$K,10,FALSE)</f>
        <v>Resistant</v>
      </c>
      <c r="AW177" t="str">
        <f>VLOOKUP($I177,'[2]Table S5'!$A:$K,11,FALSE)</f>
        <v>Resistant</v>
      </c>
    </row>
    <row r="178" spans="1:49">
      <c r="A178" s="12" t="s">
        <v>1343</v>
      </c>
      <c r="B178" t="s">
        <v>1344</v>
      </c>
      <c r="C178" t="s">
        <v>1345</v>
      </c>
      <c r="D178" t="s">
        <v>17</v>
      </c>
      <c r="E178" t="s">
        <v>1346</v>
      </c>
      <c r="F178" s="12" t="s">
        <v>1347</v>
      </c>
      <c r="G178" t="s">
        <v>1348</v>
      </c>
      <c r="H178" t="s">
        <v>1349</v>
      </c>
      <c r="I178" t="s">
        <v>1310</v>
      </c>
      <c r="J178" t="s">
        <v>1318</v>
      </c>
      <c r="K178">
        <f>VLOOKUP($J178,'[1]Table S6'!$A:$AI,2,FALSE)</f>
        <v>343.7</v>
      </c>
      <c r="L178">
        <f>VLOOKUP($J178,'[1]Table S6'!$A:$AI,3,FALSE)</f>
        <v>0.73143221962119598</v>
      </c>
      <c r="M178">
        <f>VLOOKUP($J178,'[1]Table S6'!$A:$AI,4,FALSE)</f>
        <v>10.99</v>
      </c>
      <c r="N178" t="str">
        <f>VLOOKUP($J178,'[1]Table S6'!$A:$AI,5,FALSE)</f>
        <v>No</v>
      </c>
      <c r="P178">
        <f>VLOOKUP($J178,'[1]Table S6'!$A:$AI,7,FALSE)</f>
        <v>359.8</v>
      </c>
      <c r="Q178">
        <f>VLOOKUP($J178,'[1]Table S6'!$A:$AI,8,FALSE)</f>
        <v>0.76569482868695504</v>
      </c>
      <c r="R178">
        <f>VLOOKUP($J178,'[1]Table S6'!$A:$AI,9,FALSE)</f>
        <v>5.742</v>
      </c>
      <c r="S178" t="str">
        <f>VLOOKUP($J178,'[1]Table S6'!$A:$AI,10,FALSE)</f>
        <v>No</v>
      </c>
      <c r="U178">
        <f>VLOOKUP($J178,'[1]Table S6'!$A:$AI,12,FALSE)</f>
        <v>398.2</v>
      </c>
      <c r="V178">
        <f>VLOOKUP($J178,'[1]Table S6'!$A:$AI,13,FALSE)</f>
        <v>0.84741434347733602</v>
      </c>
      <c r="W178">
        <f>VLOOKUP($J178,'[1]Table S6'!$A:$AI,14,FALSE)</f>
        <v>26.81</v>
      </c>
      <c r="X178" t="str">
        <f>VLOOKUP($J178,'[1]Table S6'!$A:$AI,15,FALSE)</f>
        <v>No</v>
      </c>
      <c r="Z178">
        <f>VLOOKUP($J178,'[1]Table S6'!$A:$AI,17,FALSE)</f>
        <v>407.2</v>
      </c>
      <c r="AA178">
        <f>VLOOKUP($J178,'[1]Table S6'!$A:$AI,18,FALSE)</f>
        <v>0.86656735475633095</v>
      </c>
      <c r="AB178">
        <f>VLOOKUP($J178,'[1]Table S6'!$A:$AI,19,FALSE)</f>
        <v>28.32</v>
      </c>
      <c r="AC178" t="str">
        <f>VLOOKUP($J178,'[1]Table S6'!$A:$AI,20,FALSE)</f>
        <v>No</v>
      </c>
      <c r="AE178">
        <f>VLOOKUP($J178,'[1]Table S6'!$A:$AI,22,FALSE)</f>
        <v>369.6</v>
      </c>
      <c r="AF178">
        <f>VLOOKUP($J178,'[1]Table S6'!$A:$AI,23,FALSE)</f>
        <v>0.78655032985741702</v>
      </c>
      <c r="AG178">
        <f>VLOOKUP($J178,'[1]Table S6'!$A:$AI,24,FALSE)</f>
        <v>12.5</v>
      </c>
      <c r="AH178" t="str">
        <f>VLOOKUP($J178,'[1]Table S6'!$A:$AI,25,FALSE)</f>
        <v>No</v>
      </c>
      <c r="AJ178">
        <f>VLOOKUP($J178,'[1]Table S6'!$A:$AI,27,FALSE)</f>
        <v>329.9</v>
      </c>
      <c r="AK178">
        <f>VLOOKUP($J178,'[1]Table S6'!$A:$AI,28,FALSE)</f>
        <v>0.70206426899340302</v>
      </c>
      <c r="AL178">
        <f>VLOOKUP($J178,'[1]Table S6'!$A:$AI,29,FALSE)</f>
        <v>2.7829999999999999</v>
      </c>
      <c r="AM178" t="str">
        <f>VLOOKUP($J178,'[1]Table S6'!$A:$AI,30,FALSE)</f>
        <v>No</v>
      </c>
      <c r="AO178">
        <f>VLOOKUP($J178,'[1]Table S6'!$A:$AI,32,FALSE)</f>
        <v>381.4</v>
      </c>
      <c r="AP178">
        <f>VLOOKUP($J178,'[1]Table S6'!$A:$AI,33,FALSE)</f>
        <v>0.81166205575654404</v>
      </c>
      <c r="AQ178">
        <f>VLOOKUP($J178,'[1]Table S6'!$A:$AI,34,FALSE)</f>
        <v>12.01</v>
      </c>
      <c r="AR178" t="str">
        <f>VLOOKUP($J178,'[1]Table S6'!$A:$AI,35,FALSE)</f>
        <v>No</v>
      </c>
      <c r="AT178" t="str">
        <f>VLOOKUP($I178,'[2]Table S5'!$A:$K,8,FALSE)</f>
        <v>Resistant</v>
      </c>
      <c r="AU178" t="str">
        <f>VLOOKUP($I178,'[2]Table S5'!$A:$K,9,FALSE)</f>
        <v>Resistant</v>
      </c>
      <c r="AV178" t="str">
        <f>VLOOKUP($I178,'[2]Table S5'!$A:$K,10,FALSE)</f>
        <v>Resistant</v>
      </c>
      <c r="AW178" t="str">
        <f>VLOOKUP($I178,'[2]Table S5'!$A:$K,11,FALSE)</f>
        <v>Resistant</v>
      </c>
    </row>
    <row r="179" spans="1:49">
      <c r="A179" s="12" t="s">
        <v>1350</v>
      </c>
      <c r="B179" t="s">
        <v>1351</v>
      </c>
      <c r="C179" t="s">
        <v>1352</v>
      </c>
      <c r="D179" t="s">
        <v>17</v>
      </c>
      <c r="E179" t="s">
        <v>1353</v>
      </c>
      <c r="F179" s="12" t="s">
        <v>1354</v>
      </c>
      <c r="G179" t="s">
        <v>1355</v>
      </c>
      <c r="H179" t="s">
        <v>1356</v>
      </c>
      <c r="I179" t="s">
        <v>1310</v>
      </c>
      <c r="J179" t="s">
        <v>1326</v>
      </c>
      <c r="K179">
        <f>VLOOKUP($J179,'[1]Table S6'!$A:$AI,2,FALSE)</f>
        <v>334.6</v>
      </c>
      <c r="L179">
        <f>VLOOKUP($J179,'[1]Table S6'!$A:$AI,3,FALSE)</f>
        <v>0.71206639710576702</v>
      </c>
      <c r="M179">
        <f>VLOOKUP($J179,'[1]Table S6'!$A:$AI,4,FALSE)</f>
        <v>4.9290000000000003</v>
      </c>
      <c r="N179" t="str">
        <f>VLOOKUP($J179,'[1]Table S6'!$A:$AI,5,FALSE)</f>
        <v>No</v>
      </c>
      <c r="P179">
        <f>VLOOKUP($J179,'[1]Table S6'!$A:$AI,7,FALSE)</f>
        <v>361.4</v>
      </c>
      <c r="Q179">
        <f>VLOOKUP($J179,'[1]Table S6'!$A:$AI,8,FALSE)</f>
        <v>0.76909980846988701</v>
      </c>
      <c r="R179">
        <f>VLOOKUP($J179,'[1]Table S6'!$A:$AI,9,FALSE)</f>
        <v>7.8209999999999997</v>
      </c>
      <c r="S179" t="str">
        <f>VLOOKUP($J179,'[1]Table S6'!$A:$AI,10,FALSE)</f>
        <v>No</v>
      </c>
      <c r="U179">
        <f>VLOOKUP($J179,'[1]Table S6'!$A:$AI,12,FALSE)</f>
        <v>351.5</v>
      </c>
      <c r="V179">
        <f>VLOOKUP($J179,'[1]Table S6'!$A:$AI,13,FALSE)</f>
        <v>0.74803149606299202</v>
      </c>
      <c r="W179">
        <f>VLOOKUP($J179,'[1]Table S6'!$A:$AI,14,FALSE)</f>
        <v>7.2729999999999997</v>
      </c>
      <c r="X179" t="str">
        <f>VLOOKUP($J179,'[1]Table S6'!$A:$AI,15,FALSE)</f>
        <v>No</v>
      </c>
      <c r="Z179">
        <f>VLOOKUP($J179,'[1]Table S6'!$A:$AI,17,FALSE)</f>
        <v>413.1</v>
      </c>
      <c r="AA179">
        <f>VLOOKUP($J179,'[1]Table S6'!$A:$AI,18,FALSE)</f>
        <v>0.87912321770589497</v>
      </c>
      <c r="AB179">
        <f>VLOOKUP($J179,'[1]Table S6'!$A:$AI,19,FALSE)</f>
        <v>26.38</v>
      </c>
      <c r="AC179" t="str">
        <f>VLOOKUP($J179,'[1]Table S6'!$A:$AI,20,FALSE)</f>
        <v>No</v>
      </c>
      <c r="AE179">
        <f>VLOOKUP($J179,'[1]Table S6'!$A:$AI,22,FALSE)</f>
        <v>345.7</v>
      </c>
      <c r="AF179">
        <f>VLOOKUP($J179,'[1]Table S6'!$A:$AI,23,FALSE)</f>
        <v>0.73568844434986203</v>
      </c>
      <c r="AG179">
        <f>VLOOKUP($J179,'[1]Table S6'!$A:$AI,24,FALSE)</f>
        <v>7.633</v>
      </c>
      <c r="AH179" t="str">
        <f>VLOOKUP($J179,'[1]Table S6'!$A:$AI,25,FALSE)</f>
        <v>No</v>
      </c>
      <c r="AJ179">
        <f>VLOOKUP($J179,'[1]Table S6'!$A:$AI,27,FALSE)</f>
        <v>371.4</v>
      </c>
      <c r="AK179">
        <f>VLOOKUP($J179,'[1]Table S6'!$A:$AI,28,FALSE)</f>
        <v>0.79038093211321603</v>
      </c>
      <c r="AL179">
        <f>VLOOKUP($J179,'[1]Table S6'!$A:$AI,29,FALSE)</f>
        <v>18.55</v>
      </c>
      <c r="AM179" t="str">
        <f>VLOOKUP($J179,'[1]Table S6'!$A:$AI,30,FALSE)</f>
        <v>No</v>
      </c>
      <c r="AO179">
        <f>VLOOKUP($J179,'[1]Table S6'!$A:$AI,32,FALSE)</f>
        <v>361</v>
      </c>
      <c r="AP179">
        <f>VLOOKUP($J179,'[1]Table S6'!$A:$AI,33,FALSE)</f>
        <v>0.76824856352415405</v>
      </c>
      <c r="AQ179">
        <f>VLOOKUP($J179,'[1]Table S6'!$A:$AI,34,FALSE)</f>
        <v>21.68</v>
      </c>
      <c r="AR179" t="str">
        <f>VLOOKUP($J179,'[1]Table S6'!$A:$AI,35,FALSE)</f>
        <v>No</v>
      </c>
      <c r="AT179" t="str">
        <f>VLOOKUP($I179,'[2]Table S5'!$A:$K,8,FALSE)</f>
        <v>Resistant</v>
      </c>
      <c r="AU179" t="str">
        <f>VLOOKUP($I179,'[2]Table S5'!$A:$K,9,FALSE)</f>
        <v>Resistant</v>
      </c>
      <c r="AV179" t="str">
        <f>VLOOKUP($I179,'[2]Table S5'!$A:$K,10,FALSE)</f>
        <v>Resistant</v>
      </c>
      <c r="AW179" t="str">
        <f>VLOOKUP($I179,'[2]Table S5'!$A:$K,11,FALSE)</f>
        <v>Resistant</v>
      </c>
    </row>
    <row r="180" spans="1:49">
      <c r="A180" s="12" t="s">
        <v>1357</v>
      </c>
      <c r="B180" t="s">
        <v>1358</v>
      </c>
      <c r="C180" t="s">
        <v>1359</v>
      </c>
      <c r="D180" t="s">
        <v>17</v>
      </c>
      <c r="E180" t="s">
        <v>1360</v>
      </c>
      <c r="F180" s="12" t="s">
        <v>1361</v>
      </c>
      <c r="G180" t="s">
        <v>1362</v>
      </c>
      <c r="H180" t="s">
        <v>1363</v>
      </c>
      <c r="I180" t="s">
        <v>1310</v>
      </c>
      <c r="J180" t="s">
        <v>1334</v>
      </c>
      <c r="K180">
        <f>VLOOKUP($J180,'[1]Table S6'!$A:$AI,2,FALSE)</f>
        <v>295.8</v>
      </c>
      <c r="L180">
        <f>VLOOKUP($J180,'[1]Table S6'!$A:$AI,3,FALSE)</f>
        <v>0.62949563736965297</v>
      </c>
      <c r="M180">
        <f>VLOOKUP($J180,'[1]Table S6'!$A:$AI,4,FALSE)</f>
        <v>0.97250000000000003</v>
      </c>
      <c r="N180" t="str">
        <f>VLOOKUP($J180,'[1]Table S6'!$A:$AI,5,FALSE)</f>
        <v>Yes</v>
      </c>
      <c r="P180">
        <f>VLOOKUP($J180,'[1]Table S6'!$A:$AI,7,FALSE)</f>
        <v>290.5</v>
      </c>
      <c r="Q180">
        <f>VLOOKUP($J180,'[1]Table S6'!$A:$AI,8,FALSE)</f>
        <v>0.61821664183868896</v>
      </c>
      <c r="R180">
        <f>VLOOKUP($J180,'[1]Table S6'!$A:$AI,9,FALSE)</f>
        <v>0.8024</v>
      </c>
      <c r="S180" t="str">
        <f>VLOOKUP($J180,'[1]Table S6'!$A:$AI,10,FALSE)</f>
        <v>Yes</v>
      </c>
      <c r="U180">
        <f>VLOOKUP($J180,'[1]Table S6'!$A:$AI,12,FALSE)</f>
        <v>337</v>
      </c>
      <c r="V180">
        <f>VLOOKUP($J180,'[1]Table S6'!$A:$AI,13,FALSE)</f>
        <v>0.71717386678016604</v>
      </c>
      <c r="W180">
        <f>VLOOKUP($J180,'[1]Table S6'!$A:$AI,14,FALSE)</f>
        <v>3.9039999999999999</v>
      </c>
      <c r="X180" t="str">
        <f>VLOOKUP($J180,'[1]Table S6'!$A:$AI,15,FALSE)</f>
        <v>No</v>
      </c>
      <c r="Z180">
        <f>VLOOKUP($J180,'[1]Table S6'!$A:$AI,17,FALSE)</f>
        <v>391.2</v>
      </c>
      <c r="AA180">
        <f>VLOOKUP($J180,'[1]Table S6'!$A:$AI,18,FALSE)</f>
        <v>0.83251755692700602</v>
      </c>
      <c r="AB180">
        <f>VLOOKUP($J180,'[1]Table S6'!$A:$AI,19,FALSE)</f>
        <v>16.579999999999998</v>
      </c>
      <c r="AC180" t="str">
        <f>VLOOKUP($J180,'[1]Table S6'!$A:$AI,20,FALSE)</f>
        <v>No</v>
      </c>
      <c r="AE180">
        <f>VLOOKUP($J180,'[1]Table S6'!$A:$AI,22,FALSE)</f>
        <v>367.2</v>
      </c>
      <c r="AF180">
        <f>VLOOKUP($J180,'[1]Table S6'!$A:$AI,23,FALSE)</f>
        <v>0.78144286018301801</v>
      </c>
      <c r="AG180">
        <f>VLOOKUP($J180,'[1]Table S6'!$A:$AI,24,FALSE)</f>
        <v>8.6120000000000001</v>
      </c>
      <c r="AH180" t="str">
        <f>VLOOKUP($J180,'[1]Table S6'!$A:$AI,25,FALSE)</f>
        <v>No</v>
      </c>
      <c r="AJ180">
        <f>VLOOKUP($J180,'[1]Table S6'!$A:$AI,27,FALSE)</f>
        <v>377.4</v>
      </c>
      <c r="AK180">
        <f>VLOOKUP($J180,'[1]Table S6'!$A:$AI,28,FALSE)</f>
        <v>0.80314960629921295</v>
      </c>
      <c r="AL180">
        <f>VLOOKUP($J180,'[1]Table S6'!$A:$AI,29,FALSE)</f>
        <v>12.63</v>
      </c>
      <c r="AM180" t="str">
        <f>VLOOKUP($J180,'[1]Table S6'!$A:$AI,30,FALSE)</f>
        <v>No</v>
      </c>
      <c r="AO180">
        <f>VLOOKUP($J180,'[1]Table S6'!$A:$AI,32,FALSE)</f>
        <v>383.9</v>
      </c>
      <c r="AP180">
        <f>VLOOKUP($J180,'[1]Table S6'!$A:$AI,33,FALSE)</f>
        <v>0.81698233666737596</v>
      </c>
      <c r="AQ180">
        <f>VLOOKUP($J180,'[1]Table S6'!$A:$AI,34,FALSE)</f>
        <v>21.41</v>
      </c>
      <c r="AR180" t="str">
        <f>VLOOKUP($J180,'[1]Table S6'!$A:$AI,35,FALSE)</f>
        <v>No</v>
      </c>
      <c r="AT180" t="str">
        <f>VLOOKUP($I180,'[2]Table S5'!$A:$K,8,FALSE)</f>
        <v>Resistant</v>
      </c>
      <c r="AU180" t="str">
        <f>VLOOKUP($I180,'[2]Table S5'!$A:$K,9,FALSE)</f>
        <v>Resistant</v>
      </c>
      <c r="AV180" t="str">
        <f>VLOOKUP($I180,'[2]Table S5'!$A:$K,10,FALSE)</f>
        <v>Resistant</v>
      </c>
      <c r="AW180" t="str">
        <f>VLOOKUP($I180,'[2]Table S5'!$A:$K,11,FALSE)</f>
        <v>Resistant</v>
      </c>
    </row>
    <row r="181" spans="1:49">
      <c r="A181" s="12" t="s">
        <v>1364</v>
      </c>
      <c r="B181" t="s">
        <v>1365</v>
      </c>
      <c r="C181" t="s">
        <v>1366</v>
      </c>
      <c r="D181" t="s">
        <v>17</v>
      </c>
      <c r="E181" t="s">
        <v>1367</v>
      </c>
      <c r="F181" s="12" t="s">
        <v>1368</v>
      </c>
      <c r="G181" t="s">
        <v>1369</v>
      </c>
      <c r="H181" t="s">
        <v>1370</v>
      </c>
      <c r="I181" t="s">
        <v>1310</v>
      </c>
      <c r="J181" t="s">
        <v>1342</v>
      </c>
      <c r="K181">
        <f>VLOOKUP($J181,'[1]Table S6'!$A:$AI,2,FALSE)</f>
        <v>299.7</v>
      </c>
      <c r="L181">
        <f>VLOOKUP($J181,'[1]Table S6'!$A:$AI,3,FALSE)</f>
        <v>0.63779527559055105</v>
      </c>
      <c r="M181">
        <f>VLOOKUP($J181,'[1]Table S6'!$A:$AI,4,FALSE)</f>
        <v>0.999</v>
      </c>
      <c r="N181" t="str">
        <f>VLOOKUP($J181,'[1]Table S6'!$A:$AI,5,FALSE)</f>
        <v>Yes</v>
      </c>
      <c r="P181">
        <f>VLOOKUP($J181,'[1]Table S6'!$A:$AI,7,FALSE)</f>
        <v>280.89999999999998</v>
      </c>
      <c r="Q181">
        <f>VLOOKUP($J181,'[1]Table S6'!$A:$AI,8,FALSE)</f>
        <v>0.59778676314109402</v>
      </c>
      <c r="R181">
        <f>VLOOKUP($J181,'[1]Table S6'!$A:$AI,9,FALSE)</f>
        <v>0.71250000000000002</v>
      </c>
      <c r="S181" t="str">
        <f>VLOOKUP($J181,'[1]Table S6'!$A:$AI,10,FALSE)</f>
        <v>Yes</v>
      </c>
      <c r="U181">
        <f>VLOOKUP($J181,'[1]Table S6'!$A:$AI,12,FALSE)</f>
        <v>314.8</v>
      </c>
      <c r="V181">
        <f>VLOOKUP($J181,'[1]Table S6'!$A:$AI,13,FALSE)</f>
        <v>0.66992977229197703</v>
      </c>
      <c r="W181">
        <f>VLOOKUP($J181,'[1]Table S6'!$A:$AI,14,FALSE)</f>
        <v>1.673</v>
      </c>
      <c r="X181" t="str">
        <f>VLOOKUP($J181,'[1]Table S6'!$A:$AI,15,FALSE)</f>
        <v>Yes</v>
      </c>
      <c r="Z181">
        <f>VLOOKUP($J181,'[1]Table S6'!$A:$AI,17,FALSE)</f>
        <v>393.7</v>
      </c>
      <c r="AA181">
        <f>VLOOKUP($J181,'[1]Table S6'!$A:$AI,18,FALSE)</f>
        <v>0.83783783783783805</v>
      </c>
      <c r="AB181">
        <f>VLOOKUP($J181,'[1]Table S6'!$A:$AI,19,FALSE)</f>
        <v>24.96</v>
      </c>
      <c r="AC181" t="str">
        <f>VLOOKUP($J181,'[1]Table S6'!$A:$AI,20,FALSE)</f>
        <v>No</v>
      </c>
      <c r="AE181">
        <f>VLOOKUP($J181,'[1]Table S6'!$A:$AI,22,FALSE)</f>
        <v>383.9</v>
      </c>
      <c r="AF181">
        <f>VLOOKUP($J181,'[1]Table S6'!$A:$AI,23,FALSE)</f>
        <v>0.81698233666737596</v>
      </c>
      <c r="AG181">
        <f>VLOOKUP($J181,'[1]Table S6'!$A:$AI,24,FALSE)</f>
        <v>15.66</v>
      </c>
      <c r="AH181" t="str">
        <f>VLOOKUP($J181,'[1]Table S6'!$A:$AI,25,FALSE)</f>
        <v>No</v>
      </c>
      <c r="AJ181">
        <f>VLOOKUP($J181,'[1]Table S6'!$A:$AI,27,FALSE)</f>
        <v>291</v>
      </c>
      <c r="AK181">
        <f>VLOOKUP($J181,'[1]Table S6'!$A:$AI,28,FALSE)</f>
        <v>0.61928069802085595</v>
      </c>
      <c r="AL181">
        <f>VLOOKUP($J181,'[1]Table S6'!$A:$AI,29,FALSE)</f>
        <v>0.93240000000000001</v>
      </c>
      <c r="AM181" t="str">
        <f>VLOOKUP($J181,'[1]Table S6'!$A:$AI,30,FALSE)</f>
        <v>Yes</v>
      </c>
      <c r="AO181">
        <f>VLOOKUP($J181,'[1]Table S6'!$A:$AI,32,FALSE)</f>
        <v>322.89999999999998</v>
      </c>
      <c r="AP181">
        <f>VLOOKUP($J181,'[1]Table S6'!$A:$AI,33,FALSE)</f>
        <v>0.68716748244307302</v>
      </c>
      <c r="AQ181">
        <f>VLOOKUP($J181,'[1]Table S6'!$A:$AI,34,FALSE)</f>
        <v>3.8809999999999998</v>
      </c>
      <c r="AR181" t="str">
        <f>VLOOKUP($J181,'[1]Table S6'!$A:$AI,35,FALSE)</f>
        <v>No</v>
      </c>
      <c r="AT181" t="str">
        <f>VLOOKUP($I181,'[2]Table S5'!$A:$K,8,FALSE)</f>
        <v>Resistant</v>
      </c>
      <c r="AU181" t="str">
        <f>VLOOKUP($I181,'[2]Table S5'!$A:$K,9,FALSE)</f>
        <v>Resistant</v>
      </c>
      <c r="AV181" t="str">
        <f>VLOOKUP($I181,'[2]Table S5'!$A:$K,10,FALSE)</f>
        <v>Resistant</v>
      </c>
      <c r="AW181" t="str">
        <f>VLOOKUP($I181,'[2]Table S5'!$A:$K,11,FALSE)</f>
        <v>Resistant</v>
      </c>
    </row>
    <row r="182" spans="1:49">
      <c r="A182" s="12" t="s">
        <v>1371</v>
      </c>
      <c r="B182" t="s">
        <v>1372</v>
      </c>
      <c r="C182" t="s">
        <v>1373</v>
      </c>
      <c r="D182" t="s">
        <v>17</v>
      </c>
      <c r="E182" t="s">
        <v>1374</v>
      </c>
      <c r="F182" s="12" t="s">
        <v>1375</v>
      </c>
      <c r="G182" t="s">
        <v>1376</v>
      </c>
      <c r="H182" t="s">
        <v>1377</v>
      </c>
      <c r="I182" t="s">
        <v>1378</v>
      </c>
      <c r="J182" t="s">
        <v>1379</v>
      </c>
      <c r="K182">
        <f>VLOOKUP($J182,'[1]Table S6'!$A:$AI,2,FALSE)</f>
        <v>416.5</v>
      </c>
      <c r="L182">
        <f>VLOOKUP($J182,'[1]Table S6'!$A:$AI,3,FALSE)</f>
        <v>0.88635879974462695</v>
      </c>
      <c r="M182">
        <f>VLOOKUP($J182,'[1]Table S6'!$A:$AI,4,FALSE)</f>
        <v>63.21</v>
      </c>
      <c r="N182" t="str">
        <f>VLOOKUP($J182,'[1]Table S6'!$A:$AI,5,FALSE)</f>
        <v>No</v>
      </c>
      <c r="P182">
        <f>VLOOKUP($J182,'[1]Table S6'!$A:$AI,7,FALSE)</f>
        <v>362.5</v>
      </c>
      <c r="Q182">
        <f>VLOOKUP($J182,'[1]Table S6'!$A:$AI,8,FALSE)</f>
        <v>0.771440732070653</v>
      </c>
      <c r="R182">
        <f>VLOOKUP($J182,'[1]Table S6'!$A:$AI,9,FALSE)</f>
        <v>9.7430000000000003</v>
      </c>
      <c r="S182" t="str">
        <f>VLOOKUP($J182,'[1]Table S6'!$A:$AI,10,FALSE)</f>
        <v>No</v>
      </c>
      <c r="U182">
        <f>VLOOKUP($J182,'[1]Table S6'!$A:$AI,12,FALSE)</f>
        <v>417.4</v>
      </c>
      <c r="V182">
        <f>VLOOKUP($J182,'[1]Table S6'!$A:$AI,13,FALSE)</f>
        <v>0.88827410087252601</v>
      </c>
      <c r="W182">
        <f>VLOOKUP($J182,'[1]Table S6'!$A:$AI,14,FALSE)</f>
        <v>41.53</v>
      </c>
      <c r="X182" t="str">
        <f>VLOOKUP($J182,'[1]Table S6'!$A:$AI,15,FALSE)</f>
        <v>No</v>
      </c>
      <c r="Z182">
        <f>VLOOKUP($J182,'[1]Table S6'!$A:$AI,17,FALSE)</f>
        <v>435</v>
      </c>
      <c r="AA182">
        <f>VLOOKUP($J182,'[1]Table S6'!$A:$AI,18,FALSE)</f>
        <v>0.92572887848478402</v>
      </c>
      <c r="AB182">
        <f>VLOOKUP($J182,'[1]Table S6'!$A:$AI,19,FALSE)</f>
        <v>75.87</v>
      </c>
      <c r="AC182" t="str">
        <f>VLOOKUP($J182,'[1]Table S6'!$A:$AI,20,FALSE)</f>
        <v>No</v>
      </c>
      <c r="AE182">
        <f>VLOOKUP($J182,'[1]Table S6'!$A:$AI,22,FALSE)</f>
        <v>439.9</v>
      </c>
      <c r="AF182">
        <f>VLOOKUP($J182,'[1]Table S6'!$A:$AI,23,FALSE)</f>
        <v>0.93615662907001496</v>
      </c>
      <c r="AG182">
        <f>VLOOKUP($J182,'[1]Table S6'!$A:$AI,24,FALSE)</f>
        <v>299.39999999999998</v>
      </c>
      <c r="AH182" t="str">
        <f>VLOOKUP($J182,'[1]Table S6'!$A:$AI,25,FALSE)</f>
        <v>No</v>
      </c>
      <c r="AJ182">
        <f>VLOOKUP($J182,'[1]Table S6'!$A:$AI,27,FALSE)</f>
        <v>397.2</v>
      </c>
      <c r="AK182">
        <f>VLOOKUP($J182,'[1]Table S6'!$A:$AI,28,FALSE)</f>
        <v>0.84528623111300305</v>
      </c>
      <c r="AL182">
        <f>VLOOKUP($J182,'[1]Table S6'!$A:$AI,29,FALSE)</f>
        <v>14.61</v>
      </c>
      <c r="AM182" t="str">
        <f>VLOOKUP($J182,'[1]Table S6'!$A:$AI,30,FALSE)</f>
        <v>No</v>
      </c>
      <c r="AO182">
        <f>VLOOKUP($J182,'[1]Table S6'!$A:$AI,32,FALSE)</f>
        <v>406.5</v>
      </c>
      <c r="AP182">
        <f>VLOOKUP($J182,'[1]Table S6'!$A:$AI,33,FALSE)</f>
        <v>0.86507767610129804</v>
      </c>
      <c r="AQ182">
        <f>VLOOKUP($J182,'[1]Table S6'!$A:$AI,34,FALSE)</f>
        <v>22.8</v>
      </c>
      <c r="AR182" t="str">
        <f>VLOOKUP($J182,'[1]Table S6'!$A:$AI,35,FALSE)</f>
        <v>No</v>
      </c>
      <c r="AT182" t="e">
        <f>VLOOKUP($I182,'[2]Table S5'!$A:$K,8,FALSE)</f>
        <v>#N/A</v>
      </c>
      <c r="AU182" t="e">
        <f>VLOOKUP($I182,'[2]Table S5'!$A:$K,9,FALSE)</f>
        <v>#N/A</v>
      </c>
      <c r="AV182" t="e">
        <f>VLOOKUP($I182,'[2]Table S5'!$A:$K,10,FALSE)</f>
        <v>#N/A</v>
      </c>
      <c r="AW182" t="e">
        <f>VLOOKUP($I182,'[2]Table S5'!$A:$K,11,FALSE)</f>
        <v>#N/A</v>
      </c>
    </row>
    <row r="183" spans="1:49">
      <c r="A183" s="12" t="s">
        <v>1380</v>
      </c>
      <c r="B183" t="s">
        <v>1381</v>
      </c>
      <c r="C183" t="s">
        <v>1382</v>
      </c>
      <c r="D183" t="s">
        <v>17</v>
      </c>
      <c r="E183" t="s">
        <v>1383</v>
      </c>
      <c r="F183" s="12" t="s">
        <v>1384</v>
      </c>
      <c r="G183" t="s">
        <v>1385</v>
      </c>
      <c r="H183" t="s">
        <v>1386</v>
      </c>
      <c r="I183" t="s">
        <v>1378</v>
      </c>
      <c r="J183" t="s">
        <v>1379</v>
      </c>
      <c r="K183">
        <f>VLOOKUP($J183,'[1]Table S6'!$A:$AI,2,FALSE)</f>
        <v>416.5</v>
      </c>
      <c r="L183">
        <f>VLOOKUP($J183,'[1]Table S6'!$A:$AI,3,FALSE)</f>
        <v>0.88635879974462695</v>
      </c>
      <c r="M183">
        <f>VLOOKUP($J183,'[1]Table S6'!$A:$AI,4,FALSE)</f>
        <v>63.21</v>
      </c>
      <c r="N183" t="str">
        <f>VLOOKUP($J183,'[1]Table S6'!$A:$AI,5,FALSE)</f>
        <v>No</v>
      </c>
      <c r="P183">
        <f>VLOOKUP($J183,'[1]Table S6'!$A:$AI,7,FALSE)</f>
        <v>362.5</v>
      </c>
      <c r="Q183">
        <f>VLOOKUP($J183,'[1]Table S6'!$A:$AI,8,FALSE)</f>
        <v>0.771440732070653</v>
      </c>
      <c r="R183">
        <f>VLOOKUP($J183,'[1]Table S6'!$A:$AI,9,FALSE)</f>
        <v>9.7430000000000003</v>
      </c>
      <c r="S183" t="str">
        <f>VLOOKUP($J183,'[1]Table S6'!$A:$AI,10,FALSE)</f>
        <v>No</v>
      </c>
      <c r="U183">
        <f>VLOOKUP($J183,'[1]Table S6'!$A:$AI,12,FALSE)</f>
        <v>417.4</v>
      </c>
      <c r="V183">
        <f>VLOOKUP($J183,'[1]Table S6'!$A:$AI,13,FALSE)</f>
        <v>0.88827410087252601</v>
      </c>
      <c r="W183">
        <f>VLOOKUP($J183,'[1]Table S6'!$A:$AI,14,FALSE)</f>
        <v>41.53</v>
      </c>
      <c r="X183" t="str">
        <f>VLOOKUP($J183,'[1]Table S6'!$A:$AI,15,FALSE)</f>
        <v>No</v>
      </c>
      <c r="Z183">
        <f>VLOOKUP($J183,'[1]Table S6'!$A:$AI,17,FALSE)</f>
        <v>435</v>
      </c>
      <c r="AA183">
        <f>VLOOKUP($J183,'[1]Table S6'!$A:$AI,18,FALSE)</f>
        <v>0.92572887848478402</v>
      </c>
      <c r="AB183">
        <f>VLOOKUP($J183,'[1]Table S6'!$A:$AI,19,FALSE)</f>
        <v>75.87</v>
      </c>
      <c r="AC183" t="str">
        <f>VLOOKUP($J183,'[1]Table S6'!$A:$AI,20,FALSE)</f>
        <v>No</v>
      </c>
      <c r="AE183">
        <f>VLOOKUP($J183,'[1]Table S6'!$A:$AI,22,FALSE)</f>
        <v>439.9</v>
      </c>
      <c r="AF183">
        <f>VLOOKUP($J183,'[1]Table S6'!$A:$AI,23,FALSE)</f>
        <v>0.93615662907001496</v>
      </c>
      <c r="AG183">
        <f>VLOOKUP($J183,'[1]Table S6'!$A:$AI,24,FALSE)</f>
        <v>299.39999999999998</v>
      </c>
      <c r="AH183" t="str">
        <f>VLOOKUP($J183,'[1]Table S6'!$A:$AI,25,FALSE)</f>
        <v>No</v>
      </c>
      <c r="AJ183">
        <f>VLOOKUP($J183,'[1]Table S6'!$A:$AI,27,FALSE)</f>
        <v>397.2</v>
      </c>
      <c r="AK183">
        <f>VLOOKUP($J183,'[1]Table S6'!$A:$AI,28,FALSE)</f>
        <v>0.84528623111300305</v>
      </c>
      <c r="AL183">
        <f>VLOOKUP($J183,'[1]Table S6'!$A:$AI,29,FALSE)</f>
        <v>14.61</v>
      </c>
      <c r="AM183" t="str">
        <f>VLOOKUP($J183,'[1]Table S6'!$A:$AI,30,FALSE)</f>
        <v>No</v>
      </c>
      <c r="AO183">
        <f>VLOOKUP($J183,'[1]Table S6'!$A:$AI,32,FALSE)</f>
        <v>406.5</v>
      </c>
      <c r="AP183">
        <f>VLOOKUP($J183,'[1]Table S6'!$A:$AI,33,FALSE)</f>
        <v>0.86507767610129804</v>
      </c>
      <c r="AQ183">
        <f>VLOOKUP($J183,'[1]Table S6'!$A:$AI,34,FALSE)</f>
        <v>22.8</v>
      </c>
      <c r="AR183" t="str">
        <f>VLOOKUP($J183,'[1]Table S6'!$A:$AI,35,FALSE)</f>
        <v>No</v>
      </c>
      <c r="AT183" t="e">
        <f>VLOOKUP($I183,'[2]Table S5'!$A:$K,8,FALSE)</f>
        <v>#N/A</v>
      </c>
      <c r="AU183" t="e">
        <f>VLOOKUP($I183,'[2]Table S5'!$A:$K,9,FALSE)</f>
        <v>#N/A</v>
      </c>
      <c r="AV183" t="e">
        <f>VLOOKUP($I183,'[2]Table S5'!$A:$K,10,FALSE)</f>
        <v>#N/A</v>
      </c>
      <c r="AW183" t="e">
        <f>VLOOKUP($I183,'[2]Table S5'!$A:$K,11,FALSE)</f>
        <v>#N/A</v>
      </c>
    </row>
    <row r="184" spans="1:49">
      <c r="A184" s="12" t="s">
        <v>1387</v>
      </c>
      <c r="B184" t="s">
        <v>1388</v>
      </c>
      <c r="C184" t="s">
        <v>1389</v>
      </c>
      <c r="D184" t="s">
        <v>17</v>
      </c>
      <c r="E184" t="s">
        <v>1390</v>
      </c>
      <c r="F184" s="12" t="s">
        <v>1391</v>
      </c>
      <c r="G184" t="s">
        <v>1392</v>
      </c>
      <c r="H184" t="s">
        <v>1393</v>
      </c>
      <c r="I184" t="s">
        <v>1378</v>
      </c>
      <c r="J184" t="s">
        <v>1378</v>
      </c>
      <c r="K184" t="e">
        <f>VLOOKUP($J184,'[1]Table S6'!$A:$AI,2,FALSE)</f>
        <v>#N/A</v>
      </c>
      <c r="L184" t="e">
        <f>VLOOKUP($J184,'[1]Table S6'!$A:$AI,3,FALSE)</f>
        <v>#N/A</v>
      </c>
      <c r="M184" t="e">
        <f>VLOOKUP($J184,'[1]Table S6'!$A:$AI,4,FALSE)</f>
        <v>#N/A</v>
      </c>
      <c r="N184" t="e">
        <f>VLOOKUP($J184,'[1]Table S6'!$A:$AI,5,FALSE)</f>
        <v>#N/A</v>
      </c>
      <c r="P184" t="e">
        <f>VLOOKUP($J184,'[1]Table S6'!$A:$AI,7,FALSE)</f>
        <v>#N/A</v>
      </c>
      <c r="Q184" t="e">
        <f>VLOOKUP($J184,'[1]Table S6'!$A:$AI,8,FALSE)</f>
        <v>#N/A</v>
      </c>
      <c r="R184" t="e">
        <f>VLOOKUP($J184,'[1]Table S6'!$A:$AI,9,FALSE)</f>
        <v>#N/A</v>
      </c>
      <c r="S184" t="e">
        <f>VLOOKUP($J184,'[1]Table S6'!$A:$AI,10,FALSE)</f>
        <v>#N/A</v>
      </c>
      <c r="U184" t="e">
        <f>VLOOKUP($J184,'[1]Table S6'!$A:$AI,12,FALSE)</f>
        <v>#N/A</v>
      </c>
      <c r="V184" t="e">
        <f>VLOOKUP($J184,'[1]Table S6'!$A:$AI,13,FALSE)</f>
        <v>#N/A</v>
      </c>
      <c r="W184" t="e">
        <f>VLOOKUP($J184,'[1]Table S6'!$A:$AI,14,FALSE)</f>
        <v>#N/A</v>
      </c>
      <c r="X184" t="e">
        <f>VLOOKUP($J184,'[1]Table S6'!$A:$AI,15,FALSE)</f>
        <v>#N/A</v>
      </c>
      <c r="Z184" t="e">
        <f>VLOOKUP($J184,'[1]Table S6'!$A:$AI,17,FALSE)</f>
        <v>#N/A</v>
      </c>
      <c r="AA184" t="e">
        <f>VLOOKUP($J184,'[1]Table S6'!$A:$AI,18,FALSE)</f>
        <v>#N/A</v>
      </c>
      <c r="AB184" t="e">
        <f>VLOOKUP($J184,'[1]Table S6'!$A:$AI,19,FALSE)</f>
        <v>#N/A</v>
      </c>
      <c r="AC184" t="e">
        <f>VLOOKUP($J184,'[1]Table S6'!$A:$AI,20,FALSE)</f>
        <v>#N/A</v>
      </c>
      <c r="AE184" t="e">
        <f>VLOOKUP($J184,'[1]Table S6'!$A:$AI,22,FALSE)</f>
        <v>#N/A</v>
      </c>
      <c r="AF184" t="e">
        <f>VLOOKUP($J184,'[1]Table S6'!$A:$AI,23,FALSE)</f>
        <v>#N/A</v>
      </c>
      <c r="AG184" t="e">
        <f>VLOOKUP($J184,'[1]Table S6'!$A:$AI,24,FALSE)</f>
        <v>#N/A</v>
      </c>
      <c r="AH184" t="e">
        <f>VLOOKUP($J184,'[1]Table S6'!$A:$AI,25,FALSE)</f>
        <v>#N/A</v>
      </c>
      <c r="AJ184" t="e">
        <f>VLOOKUP($J184,'[1]Table S6'!$A:$AI,27,FALSE)</f>
        <v>#N/A</v>
      </c>
      <c r="AK184" t="e">
        <f>VLOOKUP($J184,'[1]Table S6'!$A:$AI,28,FALSE)</f>
        <v>#N/A</v>
      </c>
      <c r="AL184" t="e">
        <f>VLOOKUP($J184,'[1]Table S6'!$A:$AI,29,FALSE)</f>
        <v>#N/A</v>
      </c>
      <c r="AM184" t="e">
        <f>VLOOKUP($J184,'[1]Table S6'!$A:$AI,30,FALSE)</f>
        <v>#N/A</v>
      </c>
      <c r="AO184" t="e">
        <f>VLOOKUP($J184,'[1]Table S6'!$A:$AI,32,FALSE)</f>
        <v>#N/A</v>
      </c>
      <c r="AP184" t="e">
        <f>VLOOKUP($J184,'[1]Table S6'!$A:$AI,33,FALSE)</f>
        <v>#N/A</v>
      </c>
      <c r="AQ184" t="e">
        <f>VLOOKUP($J184,'[1]Table S6'!$A:$AI,34,FALSE)</f>
        <v>#N/A</v>
      </c>
      <c r="AR184" t="e">
        <f>VLOOKUP($J184,'[1]Table S6'!$A:$AI,35,FALSE)</f>
        <v>#N/A</v>
      </c>
      <c r="AT184" t="e">
        <f>VLOOKUP($I184,'[2]Table S5'!$A:$K,8,FALSE)</f>
        <v>#N/A</v>
      </c>
      <c r="AU184" t="e">
        <f>VLOOKUP($I184,'[2]Table S5'!$A:$K,9,FALSE)</f>
        <v>#N/A</v>
      </c>
      <c r="AV184" t="e">
        <f>VLOOKUP($I184,'[2]Table S5'!$A:$K,10,FALSE)</f>
        <v>#N/A</v>
      </c>
      <c r="AW184" t="e">
        <f>VLOOKUP($I184,'[2]Table S5'!$A:$K,11,FALSE)</f>
        <v>#N/A</v>
      </c>
    </row>
    <row r="185" spans="1:49">
      <c r="A185" s="12" t="s">
        <v>1394</v>
      </c>
      <c r="B185" t="s">
        <v>1395</v>
      </c>
      <c r="C185" t="s">
        <v>1396</v>
      </c>
      <c r="D185" t="s">
        <v>17</v>
      </c>
      <c r="E185" t="s">
        <v>1397</v>
      </c>
      <c r="F185" s="12" t="s">
        <v>1398</v>
      </c>
      <c r="G185" t="s">
        <v>1399</v>
      </c>
      <c r="H185" t="s">
        <v>1400</v>
      </c>
      <c r="I185" t="s">
        <v>1401</v>
      </c>
      <c r="J185" t="s">
        <v>1402</v>
      </c>
      <c r="K185">
        <f>VLOOKUP($J185,'[1]Table S6'!$A:$AI,2,FALSE)</f>
        <v>351.7</v>
      </c>
      <c r="L185">
        <f>VLOOKUP($J185,'[1]Table S6'!$A:$AI,3,FALSE)</f>
        <v>0.74845711853585895</v>
      </c>
      <c r="M185">
        <f>VLOOKUP($J185,'[1]Table S6'!$A:$AI,4,FALSE)</f>
        <v>7.6639999999999997</v>
      </c>
      <c r="N185" t="str">
        <f>VLOOKUP($J185,'[1]Table S6'!$A:$AI,5,FALSE)</f>
        <v>No</v>
      </c>
      <c r="P185">
        <f>VLOOKUP($J185,'[1]Table S6'!$A:$AI,7,FALSE)</f>
        <v>406.3</v>
      </c>
      <c r="Q185">
        <f>VLOOKUP($J185,'[1]Table S6'!$A:$AI,8,FALSE)</f>
        <v>0.864652053628432</v>
      </c>
      <c r="R185">
        <f>VLOOKUP($J185,'[1]Table S6'!$A:$AI,9,FALSE)</f>
        <v>62.69</v>
      </c>
      <c r="S185" t="str">
        <f>VLOOKUP($J185,'[1]Table S6'!$A:$AI,10,FALSE)</f>
        <v>No</v>
      </c>
      <c r="U185">
        <f>VLOOKUP($J185,'[1]Table S6'!$A:$AI,12,FALSE)</f>
        <v>390.8</v>
      </c>
      <c r="V185">
        <f>VLOOKUP($J185,'[1]Table S6'!$A:$AI,13,FALSE)</f>
        <v>0.83166631198127305</v>
      </c>
      <c r="W185">
        <f>VLOOKUP($J185,'[1]Table S6'!$A:$AI,14,FALSE)</f>
        <v>28.37</v>
      </c>
      <c r="X185" t="str">
        <f>VLOOKUP($J185,'[1]Table S6'!$A:$AI,15,FALSE)</f>
        <v>No</v>
      </c>
      <c r="Z185">
        <f>VLOOKUP($J185,'[1]Table S6'!$A:$AI,17,FALSE)</f>
        <v>375.5</v>
      </c>
      <c r="AA185">
        <f>VLOOKUP($J185,'[1]Table S6'!$A:$AI,18,FALSE)</f>
        <v>0.79910619280698003</v>
      </c>
      <c r="AB185">
        <f>VLOOKUP($J185,'[1]Table S6'!$A:$AI,19,FALSE)</f>
        <v>13.58</v>
      </c>
      <c r="AC185" t="str">
        <f>VLOOKUP($J185,'[1]Table S6'!$A:$AI,20,FALSE)</f>
        <v>No</v>
      </c>
      <c r="AE185">
        <f>VLOOKUP($J185,'[1]Table S6'!$A:$AI,22,FALSE)</f>
        <v>362.5</v>
      </c>
      <c r="AF185">
        <f>VLOOKUP($J185,'[1]Table S6'!$A:$AI,23,FALSE)</f>
        <v>0.771440732070653</v>
      </c>
      <c r="AG185">
        <f>VLOOKUP($J185,'[1]Table S6'!$A:$AI,24,FALSE)</f>
        <v>18.61</v>
      </c>
      <c r="AH185" t="str">
        <f>VLOOKUP($J185,'[1]Table S6'!$A:$AI,25,FALSE)</f>
        <v>No</v>
      </c>
      <c r="AJ185">
        <f>VLOOKUP($J185,'[1]Table S6'!$A:$AI,27,FALSE)</f>
        <v>417.3</v>
      </c>
      <c r="AK185">
        <f>VLOOKUP($J185,'[1]Table S6'!$A:$AI,28,FALSE)</f>
        <v>0.88806128963609299</v>
      </c>
      <c r="AL185">
        <f>VLOOKUP($J185,'[1]Table S6'!$A:$AI,29,FALSE)</f>
        <v>58.75</v>
      </c>
      <c r="AM185" t="str">
        <f>VLOOKUP($J185,'[1]Table S6'!$A:$AI,30,FALSE)</f>
        <v>No</v>
      </c>
      <c r="AO185">
        <f>VLOOKUP($J185,'[1]Table S6'!$A:$AI,32,FALSE)</f>
        <v>398.3</v>
      </c>
      <c r="AP185">
        <f>VLOOKUP($J185,'[1]Table S6'!$A:$AI,33,FALSE)</f>
        <v>0.84762715471376904</v>
      </c>
      <c r="AQ185">
        <f>VLOOKUP($J185,'[1]Table S6'!$A:$AI,34,FALSE)</f>
        <v>131.1</v>
      </c>
      <c r="AR185" t="str">
        <f>VLOOKUP($J185,'[1]Table S6'!$A:$AI,35,FALSE)</f>
        <v>No</v>
      </c>
      <c r="AT185" t="str">
        <f>VLOOKUP($I185,'[2]Table S5'!$A:$K,8,FALSE)</f>
        <v>Resistant</v>
      </c>
      <c r="AU185" t="str">
        <f>VLOOKUP($I185,'[2]Table S5'!$A:$K,9,FALSE)</f>
        <v>Resistant</v>
      </c>
      <c r="AV185" t="str">
        <f>VLOOKUP($I185,'[2]Table S5'!$A:$K,10,FALSE)</f>
        <v>Resistant</v>
      </c>
      <c r="AW185" t="str">
        <f>VLOOKUP($I185,'[2]Table S5'!$A:$K,11,FALSE)</f>
        <v>Resistant</v>
      </c>
    </row>
    <row r="186" spans="1:49">
      <c r="A186" s="12" t="s">
        <v>1403</v>
      </c>
      <c r="B186" t="s">
        <v>1404</v>
      </c>
      <c r="C186" t="s">
        <v>1405</v>
      </c>
      <c r="D186" t="s">
        <v>17</v>
      </c>
      <c r="E186" t="s">
        <v>1406</v>
      </c>
      <c r="F186" s="12" t="s">
        <v>1407</v>
      </c>
      <c r="G186" t="s">
        <v>1408</v>
      </c>
      <c r="H186" t="s">
        <v>1409</v>
      </c>
      <c r="I186" t="s">
        <v>1401</v>
      </c>
      <c r="J186" t="s">
        <v>1410</v>
      </c>
      <c r="K186">
        <f>VLOOKUP($J186,'[1]Table S6'!$A:$AI,2,FALSE)</f>
        <v>306.5</v>
      </c>
      <c r="L186">
        <f>VLOOKUP($J186,'[1]Table S6'!$A:$AI,3,FALSE)</f>
        <v>0.65226643966801401</v>
      </c>
      <c r="M186">
        <f>VLOOKUP($J186,'[1]Table S6'!$A:$AI,4,FALSE)</f>
        <v>1.339</v>
      </c>
      <c r="N186" t="str">
        <f>VLOOKUP($J186,'[1]Table S6'!$A:$AI,5,FALSE)</f>
        <v>Yes</v>
      </c>
      <c r="P186">
        <f>VLOOKUP($J186,'[1]Table S6'!$A:$AI,7,FALSE)</f>
        <v>395.4</v>
      </c>
      <c r="Q186">
        <f>VLOOKUP($J186,'[1]Table S6'!$A:$AI,8,FALSE)</f>
        <v>0.84145562885720404</v>
      </c>
      <c r="R186">
        <f>VLOOKUP($J186,'[1]Table S6'!$A:$AI,9,FALSE)</f>
        <v>33.08</v>
      </c>
      <c r="S186" t="str">
        <f>VLOOKUP($J186,'[1]Table S6'!$A:$AI,10,FALSE)</f>
        <v>No</v>
      </c>
      <c r="U186">
        <f>VLOOKUP($J186,'[1]Table S6'!$A:$AI,12,FALSE)</f>
        <v>367.2</v>
      </c>
      <c r="V186">
        <f>VLOOKUP($J186,'[1]Table S6'!$A:$AI,13,FALSE)</f>
        <v>0.78144286018301801</v>
      </c>
      <c r="W186">
        <f>VLOOKUP($J186,'[1]Table S6'!$A:$AI,14,FALSE)</f>
        <v>14.68</v>
      </c>
      <c r="X186" t="str">
        <f>VLOOKUP($J186,'[1]Table S6'!$A:$AI,15,FALSE)</f>
        <v>No</v>
      </c>
      <c r="Z186">
        <f>VLOOKUP($J186,'[1]Table S6'!$A:$AI,17,FALSE)</f>
        <v>397.1</v>
      </c>
      <c r="AA186">
        <f>VLOOKUP($J186,'[1]Table S6'!$A:$AI,18,FALSE)</f>
        <v>0.84507341987657003</v>
      </c>
      <c r="AB186">
        <f>VLOOKUP($J186,'[1]Table S6'!$A:$AI,19,FALSE)</f>
        <v>21.54</v>
      </c>
      <c r="AC186" t="str">
        <f>VLOOKUP($J186,'[1]Table S6'!$A:$AI,20,FALSE)</f>
        <v>No</v>
      </c>
      <c r="AE186">
        <f>VLOOKUP($J186,'[1]Table S6'!$A:$AI,22,FALSE)</f>
        <v>351.8</v>
      </c>
      <c r="AF186">
        <f>VLOOKUP($J186,'[1]Table S6'!$A:$AI,23,FALSE)</f>
        <v>0.74866992977229196</v>
      </c>
      <c r="AG186">
        <f>VLOOKUP($J186,'[1]Table S6'!$A:$AI,24,FALSE)</f>
        <v>6.0659999999999998</v>
      </c>
      <c r="AH186" t="str">
        <f>VLOOKUP($J186,'[1]Table S6'!$A:$AI,25,FALSE)</f>
        <v>No</v>
      </c>
      <c r="AJ186">
        <f>VLOOKUP($J186,'[1]Table S6'!$A:$AI,27,FALSE)</f>
        <v>376.9</v>
      </c>
      <c r="AK186">
        <f>VLOOKUP($J186,'[1]Table S6'!$A:$AI,28,FALSE)</f>
        <v>0.80208555011704596</v>
      </c>
      <c r="AL186">
        <f>VLOOKUP($J186,'[1]Table S6'!$A:$AI,29,FALSE)</f>
        <v>13.09</v>
      </c>
      <c r="AM186" t="str">
        <f>VLOOKUP($J186,'[1]Table S6'!$A:$AI,30,FALSE)</f>
        <v>No</v>
      </c>
      <c r="AO186">
        <f>VLOOKUP($J186,'[1]Table S6'!$A:$AI,32,FALSE)</f>
        <v>400</v>
      </c>
      <c r="AP186">
        <f>VLOOKUP($J186,'[1]Table S6'!$A:$AI,33,FALSE)</f>
        <v>0.85124494573313503</v>
      </c>
      <c r="AQ186">
        <f>VLOOKUP($J186,'[1]Table S6'!$A:$AI,34,FALSE)</f>
        <v>82.86</v>
      </c>
      <c r="AR186" t="str">
        <f>VLOOKUP($J186,'[1]Table S6'!$A:$AI,35,FALSE)</f>
        <v>No</v>
      </c>
      <c r="AT186" t="str">
        <f>VLOOKUP($I186,'[2]Table S5'!$A:$K,8,FALSE)</f>
        <v>Resistant</v>
      </c>
      <c r="AU186" t="str">
        <f>VLOOKUP($I186,'[2]Table S5'!$A:$K,9,FALSE)</f>
        <v>Resistant</v>
      </c>
      <c r="AV186" t="str">
        <f>VLOOKUP($I186,'[2]Table S5'!$A:$K,10,FALSE)</f>
        <v>Resistant</v>
      </c>
      <c r="AW186" t="str">
        <f>VLOOKUP($I186,'[2]Table S5'!$A:$K,11,FALSE)</f>
        <v>Resistant</v>
      </c>
    </row>
    <row r="187" spans="1:49">
      <c r="A187" s="12" t="s">
        <v>1411</v>
      </c>
      <c r="B187" t="s">
        <v>1412</v>
      </c>
      <c r="C187" t="s">
        <v>1413</v>
      </c>
      <c r="D187" t="s">
        <v>17</v>
      </c>
      <c r="E187" t="s">
        <v>1414</v>
      </c>
      <c r="F187" s="12" t="s">
        <v>1415</v>
      </c>
      <c r="G187" t="s">
        <v>1416</v>
      </c>
      <c r="H187" t="s">
        <v>1417</v>
      </c>
      <c r="I187" t="s">
        <v>1401</v>
      </c>
      <c r="J187" t="s">
        <v>1402</v>
      </c>
      <c r="K187">
        <f>VLOOKUP($J187,'[1]Table S6'!$A:$AI,2,FALSE)</f>
        <v>351.7</v>
      </c>
      <c r="L187">
        <f>VLOOKUP($J187,'[1]Table S6'!$A:$AI,3,FALSE)</f>
        <v>0.74845711853585895</v>
      </c>
      <c r="M187">
        <f>VLOOKUP($J187,'[1]Table S6'!$A:$AI,4,FALSE)</f>
        <v>7.6639999999999997</v>
      </c>
      <c r="N187" t="str">
        <f>VLOOKUP($J187,'[1]Table S6'!$A:$AI,5,FALSE)</f>
        <v>No</v>
      </c>
      <c r="P187">
        <f>VLOOKUP($J187,'[1]Table S6'!$A:$AI,7,FALSE)</f>
        <v>406.3</v>
      </c>
      <c r="Q187">
        <f>VLOOKUP($J187,'[1]Table S6'!$A:$AI,8,FALSE)</f>
        <v>0.864652053628432</v>
      </c>
      <c r="R187">
        <f>VLOOKUP($J187,'[1]Table S6'!$A:$AI,9,FALSE)</f>
        <v>62.69</v>
      </c>
      <c r="S187" t="str">
        <f>VLOOKUP($J187,'[1]Table S6'!$A:$AI,10,FALSE)</f>
        <v>No</v>
      </c>
      <c r="U187">
        <f>VLOOKUP($J187,'[1]Table S6'!$A:$AI,12,FALSE)</f>
        <v>390.8</v>
      </c>
      <c r="V187">
        <f>VLOOKUP($J187,'[1]Table S6'!$A:$AI,13,FALSE)</f>
        <v>0.83166631198127305</v>
      </c>
      <c r="W187">
        <f>VLOOKUP($J187,'[1]Table S6'!$A:$AI,14,FALSE)</f>
        <v>28.37</v>
      </c>
      <c r="X187" t="str">
        <f>VLOOKUP($J187,'[1]Table S6'!$A:$AI,15,FALSE)</f>
        <v>No</v>
      </c>
      <c r="Z187">
        <f>VLOOKUP($J187,'[1]Table S6'!$A:$AI,17,FALSE)</f>
        <v>375.5</v>
      </c>
      <c r="AA187">
        <f>VLOOKUP($J187,'[1]Table S6'!$A:$AI,18,FALSE)</f>
        <v>0.79910619280698003</v>
      </c>
      <c r="AB187">
        <f>VLOOKUP($J187,'[1]Table S6'!$A:$AI,19,FALSE)</f>
        <v>13.58</v>
      </c>
      <c r="AC187" t="str">
        <f>VLOOKUP($J187,'[1]Table S6'!$A:$AI,20,FALSE)</f>
        <v>No</v>
      </c>
      <c r="AE187">
        <f>VLOOKUP($J187,'[1]Table S6'!$A:$AI,22,FALSE)</f>
        <v>362.5</v>
      </c>
      <c r="AF187">
        <f>VLOOKUP($J187,'[1]Table S6'!$A:$AI,23,FALSE)</f>
        <v>0.771440732070653</v>
      </c>
      <c r="AG187">
        <f>VLOOKUP($J187,'[1]Table S6'!$A:$AI,24,FALSE)</f>
        <v>18.61</v>
      </c>
      <c r="AH187" t="str">
        <f>VLOOKUP($J187,'[1]Table S6'!$A:$AI,25,FALSE)</f>
        <v>No</v>
      </c>
      <c r="AJ187">
        <f>VLOOKUP($J187,'[1]Table S6'!$A:$AI,27,FALSE)</f>
        <v>417.3</v>
      </c>
      <c r="AK187">
        <f>VLOOKUP($J187,'[1]Table S6'!$A:$AI,28,FALSE)</f>
        <v>0.88806128963609299</v>
      </c>
      <c r="AL187">
        <f>VLOOKUP($J187,'[1]Table S6'!$A:$AI,29,FALSE)</f>
        <v>58.75</v>
      </c>
      <c r="AM187" t="str">
        <f>VLOOKUP($J187,'[1]Table S6'!$A:$AI,30,FALSE)</f>
        <v>No</v>
      </c>
      <c r="AO187">
        <f>VLOOKUP($J187,'[1]Table S6'!$A:$AI,32,FALSE)</f>
        <v>398.3</v>
      </c>
      <c r="AP187">
        <f>VLOOKUP($J187,'[1]Table S6'!$A:$AI,33,FALSE)</f>
        <v>0.84762715471376904</v>
      </c>
      <c r="AQ187">
        <f>VLOOKUP($J187,'[1]Table S6'!$A:$AI,34,FALSE)</f>
        <v>131.1</v>
      </c>
      <c r="AR187" t="str">
        <f>VLOOKUP($J187,'[1]Table S6'!$A:$AI,35,FALSE)</f>
        <v>No</v>
      </c>
      <c r="AT187" t="str">
        <f>VLOOKUP($I187,'[2]Table S5'!$A:$K,8,FALSE)</f>
        <v>Resistant</v>
      </c>
      <c r="AU187" t="str">
        <f>VLOOKUP($I187,'[2]Table S5'!$A:$K,9,FALSE)</f>
        <v>Resistant</v>
      </c>
      <c r="AV187" t="str">
        <f>VLOOKUP($I187,'[2]Table S5'!$A:$K,10,FALSE)</f>
        <v>Resistant</v>
      </c>
      <c r="AW187" t="str">
        <f>VLOOKUP($I187,'[2]Table S5'!$A:$K,11,FALSE)</f>
        <v>Resistant</v>
      </c>
    </row>
    <row r="188" spans="1:49">
      <c r="A188" s="12" t="s">
        <v>1418</v>
      </c>
      <c r="B188" t="s">
        <v>1419</v>
      </c>
      <c r="C188" t="s">
        <v>1420</v>
      </c>
      <c r="D188" t="s">
        <v>17</v>
      </c>
      <c r="E188" t="s">
        <v>1421</v>
      </c>
      <c r="F188" s="12" t="s">
        <v>1422</v>
      </c>
      <c r="G188" t="s">
        <v>1423</v>
      </c>
      <c r="H188" t="s">
        <v>1424</v>
      </c>
      <c r="I188" t="s">
        <v>1401</v>
      </c>
      <c r="J188" t="s">
        <v>1410</v>
      </c>
      <c r="K188">
        <f>VLOOKUP($J188,'[1]Table S6'!$A:$AI,2,FALSE)</f>
        <v>306.5</v>
      </c>
      <c r="L188">
        <f>VLOOKUP($J188,'[1]Table S6'!$A:$AI,3,FALSE)</f>
        <v>0.65226643966801401</v>
      </c>
      <c r="M188">
        <f>VLOOKUP($J188,'[1]Table S6'!$A:$AI,4,FALSE)</f>
        <v>1.339</v>
      </c>
      <c r="N188" t="str">
        <f>VLOOKUP($J188,'[1]Table S6'!$A:$AI,5,FALSE)</f>
        <v>Yes</v>
      </c>
      <c r="P188">
        <f>VLOOKUP($J188,'[1]Table S6'!$A:$AI,7,FALSE)</f>
        <v>395.4</v>
      </c>
      <c r="Q188">
        <f>VLOOKUP($J188,'[1]Table S6'!$A:$AI,8,FALSE)</f>
        <v>0.84145562885720404</v>
      </c>
      <c r="R188">
        <f>VLOOKUP($J188,'[1]Table S6'!$A:$AI,9,FALSE)</f>
        <v>33.08</v>
      </c>
      <c r="S188" t="str">
        <f>VLOOKUP($J188,'[1]Table S6'!$A:$AI,10,FALSE)</f>
        <v>No</v>
      </c>
      <c r="U188">
        <f>VLOOKUP($J188,'[1]Table S6'!$A:$AI,12,FALSE)</f>
        <v>367.2</v>
      </c>
      <c r="V188">
        <f>VLOOKUP($J188,'[1]Table S6'!$A:$AI,13,FALSE)</f>
        <v>0.78144286018301801</v>
      </c>
      <c r="W188">
        <f>VLOOKUP($J188,'[1]Table S6'!$A:$AI,14,FALSE)</f>
        <v>14.68</v>
      </c>
      <c r="X188" t="str">
        <f>VLOOKUP($J188,'[1]Table S6'!$A:$AI,15,FALSE)</f>
        <v>No</v>
      </c>
      <c r="Z188">
        <f>VLOOKUP($J188,'[1]Table S6'!$A:$AI,17,FALSE)</f>
        <v>397.1</v>
      </c>
      <c r="AA188">
        <f>VLOOKUP($J188,'[1]Table S6'!$A:$AI,18,FALSE)</f>
        <v>0.84507341987657003</v>
      </c>
      <c r="AB188">
        <f>VLOOKUP($J188,'[1]Table S6'!$A:$AI,19,FALSE)</f>
        <v>21.54</v>
      </c>
      <c r="AC188" t="str">
        <f>VLOOKUP($J188,'[1]Table S6'!$A:$AI,20,FALSE)</f>
        <v>No</v>
      </c>
      <c r="AE188">
        <f>VLOOKUP($J188,'[1]Table S6'!$A:$AI,22,FALSE)</f>
        <v>351.8</v>
      </c>
      <c r="AF188">
        <f>VLOOKUP($J188,'[1]Table S6'!$A:$AI,23,FALSE)</f>
        <v>0.74866992977229196</v>
      </c>
      <c r="AG188">
        <f>VLOOKUP($J188,'[1]Table S6'!$A:$AI,24,FALSE)</f>
        <v>6.0659999999999998</v>
      </c>
      <c r="AH188" t="str">
        <f>VLOOKUP($J188,'[1]Table S6'!$A:$AI,25,FALSE)</f>
        <v>No</v>
      </c>
      <c r="AJ188">
        <f>VLOOKUP($J188,'[1]Table S6'!$A:$AI,27,FALSE)</f>
        <v>376.9</v>
      </c>
      <c r="AK188">
        <f>VLOOKUP($J188,'[1]Table S6'!$A:$AI,28,FALSE)</f>
        <v>0.80208555011704596</v>
      </c>
      <c r="AL188">
        <f>VLOOKUP($J188,'[1]Table S6'!$A:$AI,29,FALSE)</f>
        <v>13.09</v>
      </c>
      <c r="AM188" t="str">
        <f>VLOOKUP($J188,'[1]Table S6'!$A:$AI,30,FALSE)</f>
        <v>No</v>
      </c>
      <c r="AO188">
        <f>VLOOKUP($J188,'[1]Table S6'!$A:$AI,32,FALSE)</f>
        <v>400</v>
      </c>
      <c r="AP188">
        <f>VLOOKUP($J188,'[1]Table S6'!$A:$AI,33,FALSE)</f>
        <v>0.85124494573313503</v>
      </c>
      <c r="AQ188">
        <f>VLOOKUP($J188,'[1]Table S6'!$A:$AI,34,FALSE)</f>
        <v>82.86</v>
      </c>
      <c r="AR188" t="str">
        <f>VLOOKUP($J188,'[1]Table S6'!$A:$AI,35,FALSE)</f>
        <v>No</v>
      </c>
      <c r="AT188" t="str">
        <f>VLOOKUP($I188,'[2]Table S5'!$A:$K,8,FALSE)</f>
        <v>Resistant</v>
      </c>
      <c r="AU188" t="str">
        <f>VLOOKUP($I188,'[2]Table S5'!$A:$K,9,FALSE)</f>
        <v>Resistant</v>
      </c>
      <c r="AV188" t="str">
        <f>VLOOKUP($I188,'[2]Table S5'!$A:$K,10,FALSE)</f>
        <v>Resistant</v>
      </c>
      <c r="AW188" t="str">
        <f>VLOOKUP($I188,'[2]Table S5'!$A:$K,11,FALSE)</f>
        <v>Resistant</v>
      </c>
    </row>
    <row r="189" spans="1:49">
      <c r="A189" s="12" t="s">
        <v>1425</v>
      </c>
      <c r="B189" t="s">
        <v>1426</v>
      </c>
      <c r="C189" t="s">
        <v>1427</v>
      </c>
      <c r="D189" t="s">
        <v>17</v>
      </c>
      <c r="E189" t="s">
        <v>1428</v>
      </c>
      <c r="F189" s="12" t="s">
        <v>1429</v>
      </c>
      <c r="G189" t="s">
        <v>1430</v>
      </c>
      <c r="H189" t="s">
        <v>1431</v>
      </c>
      <c r="I189" t="s">
        <v>1401</v>
      </c>
      <c r="J189" t="s">
        <v>1401</v>
      </c>
      <c r="K189" t="e">
        <f>VLOOKUP($J189,'[1]Table S6'!$A:$AI,2,FALSE)</f>
        <v>#N/A</v>
      </c>
      <c r="L189" t="e">
        <f>VLOOKUP($J189,'[1]Table S6'!$A:$AI,3,FALSE)</f>
        <v>#N/A</v>
      </c>
      <c r="M189" t="e">
        <f>VLOOKUP($J189,'[1]Table S6'!$A:$AI,4,FALSE)</f>
        <v>#N/A</v>
      </c>
      <c r="N189" t="e">
        <f>VLOOKUP($J189,'[1]Table S6'!$A:$AI,5,FALSE)</f>
        <v>#N/A</v>
      </c>
      <c r="P189" t="e">
        <f>VLOOKUP($J189,'[1]Table S6'!$A:$AI,7,FALSE)</f>
        <v>#N/A</v>
      </c>
      <c r="Q189" t="e">
        <f>VLOOKUP($J189,'[1]Table S6'!$A:$AI,8,FALSE)</f>
        <v>#N/A</v>
      </c>
      <c r="R189" t="e">
        <f>VLOOKUP($J189,'[1]Table S6'!$A:$AI,9,FALSE)</f>
        <v>#N/A</v>
      </c>
      <c r="S189" t="e">
        <f>VLOOKUP($J189,'[1]Table S6'!$A:$AI,10,FALSE)</f>
        <v>#N/A</v>
      </c>
      <c r="U189" t="e">
        <f>VLOOKUP($J189,'[1]Table S6'!$A:$AI,12,FALSE)</f>
        <v>#N/A</v>
      </c>
      <c r="V189" t="e">
        <f>VLOOKUP($J189,'[1]Table S6'!$A:$AI,13,FALSE)</f>
        <v>#N/A</v>
      </c>
      <c r="W189" t="e">
        <f>VLOOKUP($J189,'[1]Table S6'!$A:$AI,14,FALSE)</f>
        <v>#N/A</v>
      </c>
      <c r="X189" t="e">
        <f>VLOOKUP($J189,'[1]Table S6'!$A:$AI,15,FALSE)</f>
        <v>#N/A</v>
      </c>
      <c r="Z189" t="e">
        <f>VLOOKUP($J189,'[1]Table S6'!$A:$AI,17,FALSE)</f>
        <v>#N/A</v>
      </c>
      <c r="AA189" t="e">
        <f>VLOOKUP($J189,'[1]Table S6'!$A:$AI,18,FALSE)</f>
        <v>#N/A</v>
      </c>
      <c r="AB189" t="e">
        <f>VLOOKUP($J189,'[1]Table S6'!$A:$AI,19,FALSE)</f>
        <v>#N/A</v>
      </c>
      <c r="AC189" t="e">
        <f>VLOOKUP($J189,'[1]Table S6'!$A:$AI,20,FALSE)</f>
        <v>#N/A</v>
      </c>
      <c r="AE189" t="e">
        <f>VLOOKUP($J189,'[1]Table S6'!$A:$AI,22,FALSE)</f>
        <v>#N/A</v>
      </c>
      <c r="AF189" t="e">
        <f>VLOOKUP($J189,'[1]Table S6'!$A:$AI,23,FALSE)</f>
        <v>#N/A</v>
      </c>
      <c r="AG189" t="e">
        <f>VLOOKUP($J189,'[1]Table S6'!$A:$AI,24,FALSE)</f>
        <v>#N/A</v>
      </c>
      <c r="AH189" t="e">
        <f>VLOOKUP($J189,'[1]Table S6'!$A:$AI,25,FALSE)</f>
        <v>#N/A</v>
      </c>
      <c r="AJ189" t="e">
        <f>VLOOKUP($J189,'[1]Table S6'!$A:$AI,27,FALSE)</f>
        <v>#N/A</v>
      </c>
      <c r="AK189" t="e">
        <f>VLOOKUP($J189,'[1]Table S6'!$A:$AI,28,FALSE)</f>
        <v>#N/A</v>
      </c>
      <c r="AL189" t="e">
        <f>VLOOKUP($J189,'[1]Table S6'!$A:$AI,29,FALSE)</f>
        <v>#N/A</v>
      </c>
      <c r="AM189" t="e">
        <f>VLOOKUP($J189,'[1]Table S6'!$A:$AI,30,FALSE)</f>
        <v>#N/A</v>
      </c>
      <c r="AO189" t="e">
        <f>VLOOKUP($J189,'[1]Table S6'!$A:$AI,32,FALSE)</f>
        <v>#N/A</v>
      </c>
      <c r="AP189" t="e">
        <f>VLOOKUP($J189,'[1]Table S6'!$A:$AI,33,FALSE)</f>
        <v>#N/A</v>
      </c>
      <c r="AQ189" t="e">
        <f>VLOOKUP($J189,'[1]Table S6'!$A:$AI,34,FALSE)</f>
        <v>#N/A</v>
      </c>
      <c r="AR189" t="e">
        <f>VLOOKUP($J189,'[1]Table S6'!$A:$AI,35,FALSE)</f>
        <v>#N/A</v>
      </c>
      <c r="AT189" t="str">
        <f>VLOOKUP($I189,'[2]Table S5'!$A:$K,8,FALSE)</f>
        <v>Resistant</v>
      </c>
      <c r="AU189" t="str">
        <f>VLOOKUP($I189,'[2]Table S5'!$A:$K,9,FALSE)</f>
        <v>Resistant</v>
      </c>
      <c r="AV189" t="str">
        <f>VLOOKUP($I189,'[2]Table S5'!$A:$K,10,FALSE)</f>
        <v>Resistant</v>
      </c>
      <c r="AW189" t="str">
        <f>VLOOKUP($I189,'[2]Table S5'!$A:$K,11,FALSE)</f>
        <v>Resistant</v>
      </c>
    </row>
    <row r="190" spans="1:49">
      <c r="A190" s="12" t="s">
        <v>1432</v>
      </c>
      <c r="B190" t="s">
        <v>1433</v>
      </c>
      <c r="C190" t="s">
        <v>1434</v>
      </c>
      <c r="D190" t="s">
        <v>17</v>
      </c>
      <c r="E190" t="s">
        <v>1435</v>
      </c>
      <c r="F190" s="12" t="s">
        <v>1436</v>
      </c>
      <c r="G190" t="s">
        <v>1437</v>
      </c>
      <c r="H190" t="s">
        <v>1438</v>
      </c>
      <c r="I190" t="s">
        <v>1439</v>
      </c>
      <c r="J190" t="s">
        <v>1439</v>
      </c>
      <c r="K190" t="e">
        <f>VLOOKUP($J190,'[1]Table S6'!$A:$AI,2,FALSE)</f>
        <v>#N/A</v>
      </c>
      <c r="L190" t="e">
        <f>VLOOKUP($J190,'[1]Table S6'!$A:$AI,3,FALSE)</f>
        <v>#N/A</v>
      </c>
      <c r="M190" t="e">
        <f>VLOOKUP($J190,'[1]Table S6'!$A:$AI,4,FALSE)</f>
        <v>#N/A</v>
      </c>
      <c r="N190" t="e">
        <f>VLOOKUP($J190,'[1]Table S6'!$A:$AI,5,FALSE)</f>
        <v>#N/A</v>
      </c>
      <c r="P190" t="e">
        <f>VLOOKUP($J190,'[1]Table S6'!$A:$AI,7,FALSE)</f>
        <v>#N/A</v>
      </c>
      <c r="Q190" t="e">
        <f>VLOOKUP($J190,'[1]Table S6'!$A:$AI,8,FALSE)</f>
        <v>#N/A</v>
      </c>
      <c r="R190" t="e">
        <f>VLOOKUP($J190,'[1]Table S6'!$A:$AI,9,FALSE)</f>
        <v>#N/A</v>
      </c>
      <c r="S190" t="e">
        <f>VLOOKUP($J190,'[1]Table S6'!$A:$AI,10,FALSE)</f>
        <v>#N/A</v>
      </c>
      <c r="U190" t="e">
        <f>VLOOKUP($J190,'[1]Table S6'!$A:$AI,12,FALSE)</f>
        <v>#N/A</v>
      </c>
      <c r="V190" t="e">
        <f>VLOOKUP($J190,'[1]Table S6'!$A:$AI,13,FALSE)</f>
        <v>#N/A</v>
      </c>
      <c r="W190" t="e">
        <f>VLOOKUP($J190,'[1]Table S6'!$A:$AI,14,FALSE)</f>
        <v>#N/A</v>
      </c>
      <c r="X190" t="e">
        <f>VLOOKUP($J190,'[1]Table S6'!$A:$AI,15,FALSE)</f>
        <v>#N/A</v>
      </c>
      <c r="Z190" t="e">
        <f>VLOOKUP($J190,'[1]Table S6'!$A:$AI,17,FALSE)</f>
        <v>#N/A</v>
      </c>
      <c r="AA190" t="e">
        <f>VLOOKUP($J190,'[1]Table S6'!$A:$AI,18,FALSE)</f>
        <v>#N/A</v>
      </c>
      <c r="AB190" t="e">
        <f>VLOOKUP($J190,'[1]Table S6'!$A:$AI,19,FALSE)</f>
        <v>#N/A</v>
      </c>
      <c r="AC190" t="e">
        <f>VLOOKUP($J190,'[1]Table S6'!$A:$AI,20,FALSE)</f>
        <v>#N/A</v>
      </c>
      <c r="AE190" t="e">
        <f>VLOOKUP($J190,'[1]Table S6'!$A:$AI,22,FALSE)</f>
        <v>#N/A</v>
      </c>
      <c r="AF190" t="e">
        <f>VLOOKUP($J190,'[1]Table S6'!$A:$AI,23,FALSE)</f>
        <v>#N/A</v>
      </c>
      <c r="AG190" t="e">
        <f>VLOOKUP($J190,'[1]Table S6'!$A:$AI,24,FALSE)</f>
        <v>#N/A</v>
      </c>
      <c r="AH190" t="e">
        <f>VLOOKUP($J190,'[1]Table S6'!$A:$AI,25,FALSE)</f>
        <v>#N/A</v>
      </c>
      <c r="AJ190" t="e">
        <f>VLOOKUP($J190,'[1]Table S6'!$A:$AI,27,FALSE)</f>
        <v>#N/A</v>
      </c>
      <c r="AK190" t="e">
        <f>VLOOKUP($J190,'[1]Table S6'!$A:$AI,28,FALSE)</f>
        <v>#N/A</v>
      </c>
      <c r="AL190" t="e">
        <f>VLOOKUP($J190,'[1]Table S6'!$A:$AI,29,FALSE)</f>
        <v>#N/A</v>
      </c>
      <c r="AM190" t="e">
        <f>VLOOKUP($J190,'[1]Table S6'!$A:$AI,30,FALSE)</f>
        <v>#N/A</v>
      </c>
      <c r="AO190" t="e">
        <f>VLOOKUP($J190,'[1]Table S6'!$A:$AI,32,FALSE)</f>
        <v>#N/A</v>
      </c>
      <c r="AP190" t="e">
        <f>VLOOKUP($J190,'[1]Table S6'!$A:$AI,33,FALSE)</f>
        <v>#N/A</v>
      </c>
      <c r="AQ190" t="e">
        <f>VLOOKUP($J190,'[1]Table S6'!$A:$AI,34,FALSE)</f>
        <v>#N/A</v>
      </c>
      <c r="AR190" t="e">
        <f>VLOOKUP($J190,'[1]Table S6'!$A:$AI,35,FALSE)</f>
        <v>#N/A</v>
      </c>
      <c r="AT190" t="str">
        <f>VLOOKUP($I190,'[2]Table S5'!$A:$K,8,FALSE)</f>
        <v>Resistant</v>
      </c>
      <c r="AU190" t="str">
        <f>VLOOKUP($I190,'[2]Table S5'!$A:$K,9,FALSE)</f>
        <v>Resistant</v>
      </c>
      <c r="AV190" t="str">
        <f>VLOOKUP($I190,'[2]Table S5'!$A:$K,10,FALSE)</f>
        <v>Resistant</v>
      </c>
      <c r="AW190" t="str">
        <f>VLOOKUP($I190,'[2]Table S5'!$A:$K,11,FALSE)</f>
        <v>Resistant</v>
      </c>
    </row>
    <row r="191" spans="1:49">
      <c r="A191" s="12" t="s">
        <v>1440</v>
      </c>
      <c r="B191" t="s">
        <v>1441</v>
      </c>
      <c r="C191" t="s">
        <v>1442</v>
      </c>
      <c r="D191" t="s">
        <v>17</v>
      </c>
      <c r="E191" t="s">
        <v>1443</v>
      </c>
      <c r="F191" s="12" t="s">
        <v>1444</v>
      </c>
      <c r="G191" t="s">
        <v>1445</v>
      </c>
      <c r="H191" t="s">
        <v>1446</v>
      </c>
      <c r="I191" t="s">
        <v>1439</v>
      </c>
      <c r="J191" t="s">
        <v>1447</v>
      </c>
      <c r="K191">
        <f>VLOOKUP($J191,'[1]Table S6'!$A:$AI,2,FALSE)</f>
        <v>276.5</v>
      </c>
      <c r="L191">
        <f>VLOOKUP($J191,'[1]Table S6'!$A:$AI,3,FALSE)</f>
        <v>0.58842306873802896</v>
      </c>
      <c r="M191">
        <f>VLOOKUP($J191,'[1]Table S6'!$A:$AI,4,FALSE)</f>
        <v>0.75770000000000004</v>
      </c>
      <c r="N191" t="str">
        <f>VLOOKUP($J191,'[1]Table S6'!$A:$AI,5,FALSE)</f>
        <v>Yes</v>
      </c>
      <c r="P191">
        <f>VLOOKUP($J191,'[1]Table S6'!$A:$AI,7,FALSE)</f>
        <v>390.5</v>
      </c>
      <c r="Q191">
        <f>VLOOKUP($J191,'[1]Table S6'!$A:$AI,8,FALSE)</f>
        <v>0.831027878271973</v>
      </c>
      <c r="R191">
        <f>VLOOKUP($J191,'[1]Table S6'!$A:$AI,9,FALSE)</f>
        <v>21.43</v>
      </c>
      <c r="S191" t="str">
        <f>VLOOKUP($J191,'[1]Table S6'!$A:$AI,10,FALSE)</f>
        <v>No</v>
      </c>
      <c r="U191">
        <f>VLOOKUP($J191,'[1]Table S6'!$A:$AI,12,FALSE)</f>
        <v>382.4</v>
      </c>
      <c r="V191">
        <f>VLOOKUP($J191,'[1]Table S6'!$A:$AI,13,FALSE)</f>
        <v>0.81379016812087701</v>
      </c>
      <c r="W191">
        <f>VLOOKUP($J191,'[1]Table S6'!$A:$AI,14,FALSE)</f>
        <v>13.99</v>
      </c>
      <c r="X191" t="str">
        <f>VLOOKUP($J191,'[1]Table S6'!$A:$AI,15,FALSE)</f>
        <v>No</v>
      </c>
      <c r="Z191">
        <f>VLOOKUP($J191,'[1]Table S6'!$A:$AI,17,FALSE)</f>
        <v>401.6</v>
      </c>
      <c r="AA191">
        <f>VLOOKUP($J191,'[1]Table S6'!$A:$AI,18,FALSE)</f>
        <v>0.854649925516067</v>
      </c>
      <c r="AB191">
        <f>VLOOKUP($J191,'[1]Table S6'!$A:$AI,19,FALSE)</f>
        <v>35.43</v>
      </c>
      <c r="AC191" t="str">
        <f>VLOOKUP($J191,'[1]Table S6'!$A:$AI,20,FALSE)</f>
        <v>No</v>
      </c>
      <c r="AE191">
        <f>VLOOKUP($J191,'[1]Table S6'!$A:$AI,22,FALSE)</f>
        <v>340.8</v>
      </c>
      <c r="AF191">
        <f>VLOOKUP($J191,'[1]Table S6'!$A:$AI,23,FALSE)</f>
        <v>0.72526069376463098</v>
      </c>
      <c r="AG191">
        <f>VLOOKUP($J191,'[1]Table S6'!$A:$AI,24,FALSE)</f>
        <v>8.0120000000000005</v>
      </c>
      <c r="AH191" t="str">
        <f>VLOOKUP($J191,'[1]Table S6'!$A:$AI,25,FALSE)</f>
        <v>No</v>
      </c>
      <c r="AJ191">
        <f>VLOOKUP($J191,'[1]Table S6'!$A:$AI,27,FALSE)</f>
        <v>423.9</v>
      </c>
      <c r="AK191">
        <f>VLOOKUP($J191,'[1]Table S6'!$A:$AI,28,FALSE)</f>
        <v>0.90210683124068902</v>
      </c>
      <c r="AL191">
        <f>VLOOKUP($J191,'[1]Table S6'!$A:$AI,29,FALSE)</f>
        <v>87.84</v>
      </c>
      <c r="AM191" t="str">
        <f>VLOOKUP($J191,'[1]Table S6'!$A:$AI,30,FALSE)</f>
        <v>No</v>
      </c>
      <c r="AO191">
        <f>VLOOKUP($J191,'[1]Table S6'!$A:$AI,32,FALSE)</f>
        <v>381.5</v>
      </c>
      <c r="AP191">
        <f>VLOOKUP($J191,'[1]Table S6'!$A:$AI,33,FALSE)</f>
        <v>0.81187486699297695</v>
      </c>
      <c r="AQ191">
        <f>VLOOKUP($J191,'[1]Table S6'!$A:$AI,34,FALSE)</f>
        <v>38.76</v>
      </c>
      <c r="AR191" t="str">
        <f>VLOOKUP($J191,'[1]Table S6'!$A:$AI,35,FALSE)</f>
        <v>No</v>
      </c>
      <c r="AT191" t="str">
        <f>VLOOKUP($I191,'[2]Table S5'!$A:$K,8,FALSE)</f>
        <v>Resistant</v>
      </c>
      <c r="AU191" t="str">
        <f>VLOOKUP($I191,'[2]Table S5'!$A:$K,9,FALSE)</f>
        <v>Resistant</v>
      </c>
      <c r="AV191" t="str">
        <f>VLOOKUP($I191,'[2]Table S5'!$A:$K,10,FALSE)</f>
        <v>Resistant</v>
      </c>
      <c r="AW191" t="str">
        <f>VLOOKUP($I191,'[2]Table S5'!$A:$K,11,FALSE)</f>
        <v>Resistant</v>
      </c>
    </row>
    <row r="192" spans="1:49">
      <c r="A192" s="12" t="s">
        <v>1448</v>
      </c>
      <c r="B192" t="s">
        <v>1449</v>
      </c>
      <c r="C192" t="s">
        <v>1450</v>
      </c>
      <c r="D192" t="s">
        <v>17</v>
      </c>
      <c r="E192" t="s">
        <v>1451</v>
      </c>
      <c r="F192" s="12" t="s">
        <v>1452</v>
      </c>
      <c r="G192" t="s">
        <v>1453</v>
      </c>
      <c r="H192" t="s">
        <v>1454</v>
      </c>
      <c r="I192" t="s">
        <v>1439</v>
      </c>
      <c r="J192" t="s">
        <v>1455</v>
      </c>
      <c r="K192">
        <f>VLOOKUP($J192,'[1]Table S6'!$A:$AI,2,FALSE)</f>
        <v>262.3</v>
      </c>
      <c r="L192">
        <f>VLOOKUP($J192,'[1]Table S6'!$A:$AI,3,FALSE)</f>
        <v>0.55820387316450304</v>
      </c>
      <c r="M192">
        <f>VLOOKUP($J192,'[1]Table S6'!$A:$AI,4,FALSE)</f>
        <v>0.56269999999999998</v>
      </c>
      <c r="N192" t="str">
        <f>VLOOKUP($J192,'[1]Table S6'!$A:$AI,5,FALSE)</f>
        <v>Yes</v>
      </c>
      <c r="P192">
        <f>VLOOKUP($J192,'[1]Table S6'!$A:$AI,7,FALSE)</f>
        <v>406.6</v>
      </c>
      <c r="Q192">
        <f>VLOOKUP($J192,'[1]Table S6'!$A:$AI,8,FALSE)</f>
        <v>0.86529048733773195</v>
      </c>
      <c r="R192">
        <f>VLOOKUP($J192,'[1]Table S6'!$A:$AI,9,FALSE)</f>
        <v>34.869999999999997</v>
      </c>
      <c r="S192" t="str">
        <f>VLOOKUP($J192,'[1]Table S6'!$A:$AI,10,FALSE)</f>
        <v>No</v>
      </c>
      <c r="U192">
        <f>VLOOKUP($J192,'[1]Table S6'!$A:$AI,12,FALSE)</f>
        <v>321.39999999999998</v>
      </c>
      <c r="V192">
        <f>VLOOKUP($J192,'[1]Table S6'!$A:$AI,13,FALSE)</f>
        <v>0.68397531389657396</v>
      </c>
      <c r="W192">
        <f>VLOOKUP($J192,'[1]Table S6'!$A:$AI,14,FALSE)</f>
        <v>2.4630000000000001</v>
      </c>
      <c r="X192" t="str">
        <f>VLOOKUP($J192,'[1]Table S6'!$A:$AI,15,FALSE)</f>
        <v>Yes</v>
      </c>
      <c r="Z192">
        <f>VLOOKUP($J192,'[1]Table S6'!$A:$AI,17,FALSE)</f>
        <v>390.5</v>
      </c>
      <c r="AA192">
        <f>VLOOKUP($J192,'[1]Table S6'!$A:$AI,18,FALSE)</f>
        <v>0.831027878271973</v>
      </c>
      <c r="AB192">
        <f>VLOOKUP($J192,'[1]Table S6'!$A:$AI,19,FALSE)</f>
        <v>20.55</v>
      </c>
      <c r="AC192" t="str">
        <f>VLOOKUP($J192,'[1]Table S6'!$A:$AI,20,FALSE)</f>
        <v>No</v>
      </c>
      <c r="AE192">
        <f>VLOOKUP($J192,'[1]Table S6'!$A:$AI,22,FALSE)</f>
        <v>359.8</v>
      </c>
      <c r="AF192">
        <f>VLOOKUP($J192,'[1]Table S6'!$A:$AI,23,FALSE)</f>
        <v>0.76569482868695504</v>
      </c>
      <c r="AG192">
        <f>VLOOKUP($J192,'[1]Table S6'!$A:$AI,24,FALSE)</f>
        <v>9.4489999999999998</v>
      </c>
      <c r="AH192" t="str">
        <f>VLOOKUP($J192,'[1]Table S6'!$A:$AI,25,FALSE)</f>
        <v>No</v>
      </c>
      <c r="AJ192">
        <f>VLOOKUP($J192,'[1]Table S6'!$A:$AI,27,FALSE)</f>
        <v>393.8</v>
      </c>
      <c r="AK192">
        <f>VLOOKUP($J192,'[1]Table S6'!$A:$AI,28,FALSE)</f>
        <v>0.83805064907427096</v>
      </c>
      <c r="AL192">
        <f>VLOOKUP($J192,'[1]Table S6'!$A:$AI,29,FALSE)</f>
        <v>22.88</v>
      </c>
      <c r="AM192" t="str">
        <f>VLOOKUP($J192,'[1]Table S6'!$A:$AI,30,FALSE)</f>
        <v>No</v>
      </c>
      <c r="AO192">
        <f>VLOOKUP($J192,'[1]Table S6'!$A:$AI,32,FALSE)</f>
        <v>373.9</v>
      </c>
      <c r="AP192">
        <f>VLOOKUP($J192,'[1]Table S6'!$A:$AI,33,FALSE)</f>
        <v>0.79570121302404795</v>
      </c>
      <c r="AQ192">
        <f>VLOOKUP($J192,'[1]Table S6'!$A:$AI,34,FALSE)</f>
        <v>64.62</v>
      </c>
      <c r="AR192" t="str">
        <f>VLOOKUP($J192,'[1]Table S6'!$A:$AI,35,FALSE)</f>
        <v>No</v>
      </c>
      <c r="AT192" t="str">
        <f>VLOOKUP($I192,'[2]Table S5'!$A:$K,8,FALSE)</f>
        <v>Resistant</v>
      </c>
      <c r="AU192" t="str">
        <f>VLOOKUP($I192,'[2]Table S5'!$A:$K,9,FALSE)</f>
        <v>Resistant</v>
      </c>
      <c r="AV192" t="str">
        <f>VLOOKUP($I192,'[2]Table S5'!$A:$K,10,FALSE)</f>
        <v>Resistant</v>
      </c>
      <c r="AW192" t="str">
        <f>VLOOKUP($I192,'[2]Table S5'!$A:$K,11,FALSE)</f>
        <v>Resistant</v>
      </c>
    </row>
    <row r="193" spans="1:49">
      <c r="A193" s="12" t="s">
        <v>1456</v>
      </c>
      <c r="B193" t="s">
        <v>1457</v>
      </c>
      <c r="C193" t="s">
        <v>1458</v>
      </c>
      <c r="D193" t="s">
        <v>17</v>
      </c>
      <c r="E193" t="s">
        <v>1459</v>
      </c>
      <c r="F193" s="12" t="s">
        <v>1460</v>
      </c>
      <c r="G193" t="s">
        <v>1461</v>
      </c>
      <c r="H193" t="s">
        <v>1462</v>
      </c>
      <c r="I193" t="s">
        <v>1439</v>
      </c>
      <c r="J193" t="s">
        <v>1447</v>
      </c>
      <c r="K193">
        <f>VLOOKUP($J193,'[1]Table S6'!$A:$AI,2,FALSE)</f>
        <v>276.5</v>
      </c>
      <c r="L193">
        <f>VLOOKUP($J193,'[1]Table S6'!$A:$AI,3,FALSE)</f>
        <v>0.58842306873802896</v>
      </c>
      <c r="M193">
        <f>VLOOKUP($J193,'[1]Table S6'!$A:$AI,4,FALSE)</f>
        <v>0.75770000000000004</v>
      </c>
      <c r="N193" t="str">
        <f>VLOOKUP($J193,'[1]Table S6'!$A:$AI,5,FALSE)</f>
        <v>Yes</v>
      </c>
      <c r="P193">
        <f>VLOOKUP($J193,'[1]Table S6'!$A:$AI,7,FALSE)</f>
        <v>390.5</v>
      </c>
      <c r="Q193">
        <f>VLOOKUP($J193,'[1]Table S6'!$A:$AI,8,FALSE)</f>
        <v>0.831027878271973</v>
      </c>
      <c r="R193">
        <f>VLOOKUP($J193,'[1]Table S6'!$A:$AI,9,FALSE)</f>
        <v>21.43</v>
      </c>
      <c r="S193" t="str">
        <f>VLOOKUP($J193,'[1]Table S6'!$A:$AI,10,FALSE)</f>
        <v>No</v>
      </c>
      <c r="U193">
        <f>VLOOKUP($J193,'[1]Table S6'!$A:$AI,12,FALSE)</f>
        <v>382.4</v>
      </c>
      <c r="V193">
        <f>VLOOKUP($J193,'[1]Table S6'!$A:$AI,13,FALSE)</f>
        <v>0.81379016812087701</v>
      </c>
      <c r="W193">
        <f>VLOOKUP($J193,'[1]Table S6'!$A:$AI,14,FALSE)</f>
        <v>13.99</v>
      </c>
      <c r="X193" t="str">
        <f>VLOOKUP($J193,'[1]Table S6'!$A:$AI,15,FALSE)</f>
        <v>No</v>
      </c>
      <c r="Z193">
        <f>VLOOKUP($J193,'[1]Table S6'!$A:$AI,17,FALSE)</f>
        <v>401.6</v>
      </c>
      <c r="AA193">
        <f>VLOOKUP($J193,'[1]Table S6'!$A:$AI,18,FALSE)</f>
        <v>0.854649925516067</v>
      </c>
      <c r="AB193">
        <f>VLOOKUP($J193,'[1]Table S6'!$A:$AI,19,FALSE)</f>
        <v>35.43</v>
      </c>
      <c r="AC193" t="str">
        <f>VLOOKUP($J193,'[1]Table S6'!$A:$AI,20,FALSE)</f>
        <v>No</v>
      </c>
      <c r="AE193">
        <f>VLOOKUP($J193,'[1]Table S6'!$A:$AI,22,FALSE)</f>
        <v>340.8</v>
      </c>
      <c r="AF193">
        <f>VLOOKUP($J193,'[1]Table S6'!$A:$AI,23,FALSE)</f>
        <v>0.72526069376463098</v>
      </c>
      <c r="AG193">
        <f>VLOOKUP($J193,'[1]Table S6'!$A:$AI,24,FALSE)</f>
        <v>8.0120000000000005</v>
      </c>
      <c r="AH193" t="str">
        <f>VLOOKUP($J193,'[1]Table S6'!$A:$AI,25,FALSE)</f>
        <v>No</v>
      </c>
      <c r="AJ193">
        <f>VLOOKUP($J193,'[1]Table S6'!$A:$AI,27,FALSE)</f>
        <v>423.9</v>
      </c>
      <c r="AK193">
        <f>VLOOKUP($J193,'[1]Table S6'!$A:$AI,28,FALSE)</f>
        <v>0.90210683124068902</v>
      </c>
      <c r="AL193">
        <f>VLOOKUP($J193,'[1]Table S6'!$A:$AI,29,FALSE)</f>
        <v>87.84</v>
      </c>
      <c r="AM193" t="str">
        <f>VLOOKUP($J193,'[1]Table S6'!$A:$AI,30,FALSE)</f>
        <v>No</v>
      </c>
      <c r="AO193">
        <f>VLOOKUP($J193,'[1]Table S6'!$A:$AI,32,FALSE)</f>
        <v>381.5</v>
      </c>
      <c r="AP193">
        <f>VLOOKUP($J193,'[1]Table S6'!$A:$AI,33,FALSE)</f>
        <v>0.81187486699297695</v>
      </c>
      <c r="AQ193">
        <f>VLOOKUP($J193,'[1]Table S6'!$A:$AI,34,FALSE)</f>
        <v>38.76</v>
      </c>
      <c r="AR193" t="str">
        <f>VLOOKUP($J193,'[1]Table S6'!$A:$AI,35,FALSE)</f>
        <v>No</v>
      </c>
      <c r="AT193" t="str">
        <f>VLOOKUP($I193,'[2]Table S5'!$A:$K,8,FALSE)</f>
        <v>Resistant</v>
      </c>
      <c r="AU193" t="str">
        <f>VLOOKUP($I193,'[2]Table S5'!$A:$K,9,FALSE)</f>
        <v>Resistant</v>
      </c>
      <c r="AV193" t="str">
        <f>VLOOKUP($I193,'[2]Table S5'!$A:$K,10,FALSE)</f>
        <v>Resistant</v>
      </c>
      <c r="AW193" t="str">
        <f>VLOOKUP($I193,'[2]Table S5'!$A:$K,11,FALSE)</f>
        <v>Resistant</v>
      </c>
    </row>
    <row r="194" spans="1:49">
      <c r="A194" s="12" t="s">
        <v>1463</v>
      </c>
      <c r="B194" t="s">
        <v>1464</v>
      </c>
      <c r="C194" t="s">
        <v>1465</v>
      </c>
      <c r="D194" t="s">
        <v>17</v>
      </c>
      <c r="E194" t="s">
        <v>1466</v>
      </c>
      <c r="F194" s="12" t="s">
        <v>1467</v>
      </c>
      <c r="G194" t="s">
        <v>1468</v>
      </c>
      <c r="H194" t="s">
        <v>1469</v>
      </c>
      <c r="I194" t="s">
        <v>1439</v>
      </c>
      <c r="J194" t="s">
        <v>1455</v>
      </c>
      <c r="K194">
        <f>VLOOKUP($J194,'[1]Table S6'!$A:$AI,2,FALSE)</f>
        <v>262.3</v>
      </c>
      <c r="L194">
        <f>VLOOKUP($J194,'[1]Table S6'!$A:$AI,3,FALSE)</f>
        <v>0.55820387316450304</v>
      </c>
      <c r="M194">
        <f>VLOOKUP($J194,'[1]Table S6'!$A:$AI,4,FALSE)</f>
        <v>0.56269999999999998</v>
      </c>
      <c r="N194" t="str">
        <f>VLOOKUP($J194,'[1]Table S6'!$A:$AI,5,FALSE)</f>
        <v>Yes</v>
      </c>
      <c r="P194">
        <f>VLOOKUP($J194,'[1]Table S6'!$A:$AI,7,FALSE)</f>
        <v>406.6</v>
      </c>
      <c r="Q194">
        <f>VLOOKUP($J194,'[1]Table S6'!$A:$AI,8,FALSE)</f>
        <v>0.86529048733773195</v>
      </c>
      <c r="R194">
        <f>VLOOKUP($J194,'[1]Table S6'!$A:$AI,9,FALSE)</f>
        <v>34.869999999999997</v>
      </c>
      <c r="S194" t="str">
        <f>VLOOKUP($J194,'[1]Table S6'!$A:$AI,10,FALSE)</f>
        <v>No</v>
      </c>
      <c r="U194">
        <f>VLOOKUP($J194,'[1]Table S6'!$A:$AI,12,FALSE)</f>
        <v>321.39999999999998</v>
      </c>
      <c r="V194">
        <f>VLOOKUP($J194,'[1]Table S6'!$A:$AI,13,FALSE)</f>
        <v>0.68397531389657396</v>
      </c>
      <c r="W194">
        <f>VLOOKUP($J194,'[1]Table S6'!$A:$AI,14,FALSE)</f>
        <v>2.4630000000000001</v>
      </c>
      <c r="X194" t="str">
        <f>VLOOKUP($J194,'[1]Table S6'!$A:$AI,15,FALSE)</f>
        <v>Yes</v>
      </c>
      <c r="Z194">
        <f>VLOOKUP($J194,'[1]Table S6'!$A:$AI,17,FALSE)</f>
        <v>390.5</v>
      </c>
      <c r="AA194">
        <f>VLOOKUP($J194,'[1]Table S6'!$A:$AI,18,FALSE)</f>
        <v>0.831027878271973</v>
      </c>
      <c r="AB194">
        <f>VLOOKUP($J194,'[1]Table S6'!$A:$AI,19,FALSE)</f>
        <v>20.55</v>
      </c>
      <c r="AC194" t="str">
        <f>VLOOKUP($J194,'[1]Table S6'!$A:$AI,20,FALSE)</f>
        <v>No</v>
      </c>
      <c r="AE194">
        <f>VLOOKUP($J194,'[1]Table S6'!$A:$AI,22,FALSE)</f>
        <v>359.8</v>
      </c>
      <c r="AF194">
        <f>VLOOKUP($J194,'[1]Table S6'!$A:$AI,23,FALSE)</f>
        <v>0.76569482868695504</v>
      </c>
      <c r="AG194">
        <f>VLOOKUP($J194,'[1]Table S6'!$A:$AI,24,FALSE)</f>
        <v>9.4489999999999998</v>
      </c>
      <c r="AH194" t="str">
        <f>VLOOKUP($J194,'[1]Table S6'!$A:$AI,25,FALSE)</f>
        <v>No</v>
      </c>
      <c r="AJ194">
        <f>VLOOKUP($J194,'[1]Table S6'!$A:$AI,27,FALSE)</f>
        <v>393.8</v>
      </c>
      <c r="AK194">
        <f>VLOOKUP($J194,'[1]Table S6'!$A:$AI,28,FALSE)</f>
        <v>0.83805064907427096</v>
      </c>
      <c r="AL194">
        <f>VLOOKUP($J194,'[1]Table S6'!$A:$AI,29,FALSE)</f>
        <v>22.88</v>
      </c>
      <c r="AM194" t="str">
        <f>VLOOKUP($J194,'[1]Table S6'!$A:$AI,30,FALSE)</f>
        <v>No</v>
      </c>
      <c r="AO194">
        <f>VLOOKUP($J194,'[1]Table S6'!$A:$AI,32,FALSE)</f>
        <v>373.9</v>
      </c>
      <c r="AP194">
        <f>VLOOKUP($J194,'[1]Table S6'!$A:$AI,33,FALSE)</f>
        <v>0.79570121302404795</v>
      </c>
      <c r="AQ194">
        <f>VLOOKUP($J194,'[1]Table S6'!$A:$AI,34,FALSE)</f>
        <v>64.62</v>
      </c>
      <c r="AR194" t="str">
        <f>VLOOKUP($J194,'[1]Table S6'!$A:$AI,35,FALSE)</f>
        <v>No</v>
      </c>
      <c r="AT194" t="str">
        <f>VLOOKUP($I194,'[2]Table S5'!$A:$K,8,FALSE)</f>
        <v>Resistant</v>
      </c>
      <c r="AU194" t="str">
        <f>VLOOKUP($I194,'[2]Table S5'!$A:$K,9,FALSE)</f>
        <v>Resistant</v>
      </c>
      <c r="AV194" t="str">
        <f>VLOOKUP($I194,'[2]Table S5'!$A:$K,10,FALSE)</f>
        <v>Resistant</v>
      </c>
      <c r="AW194" t="str">
        <f>VLOOKUP($I194,'[2]Table S5'!$A:$K,11,FALSE)</f>
        <v>Resistant</v>
      </c>
    </row>
    <row r="195" spans="1:49">
      <c r="A195" s="12" t="s">
        <v>1470</v>
      </c>
      <c r="B195" t="s">
        <v>1471</v>
      </c>
      <c r="C195" t="s">
        <v>1472</v>
      </c>
      <c r="D195" t="s">
        <v>17</v>
      </c>
      <c r="E195" t="s">
        <v>1473</v>
      </c>
      <c r="F195" s="12" t="s">
        <v>1474</v>
      </c>
      <c r="G195" t="s">
        <v>1475</v>
      </c>
      <c r="H195" t="s">
        <v>1476</v>
      </c>
      <c r="I195" t="s">
        <v>1477</v>
      </c>
      <c r="J195" t="s">
        <v>1477</v>
      </c>
      <c r="K195" t="e">
        <f>VLOOKUP($J195,'[1]Table S6'!$A:$AI,2,FALSE)</f>
        <v>#N/A</v>
      </c>
      <c r="L195" t="e">
        <f>VLOOKUP($J195,'[1]Table S6'!$A:$AI,3,FALSE)</f>
        <v>#N/A</v>
      </c>
      <c r="M195" t="e">
        <f>VLOOKUP($J195,'[1]Table S6'!$A:$AI,4,FALSE)</f>
        <v>#N/A</v>
      </c>
      <c r="N195" t="e">
        <f>VLOOKUP($J195,'[1]Table S6'!$A:$AI,5,FALSE)</f>
        <v>#N/A</v>
      </c>
      <c r="P195" t="e">
        <f>VLOOKUP($J195,'[1]Table S6'!$A:$AI,7,FALSE)</f>
        <v>#N/A</v>
      </c>
      <c r="Q195" t="e">
        <f>VLOOKUP($J195,'[1]Table S6'!$A:$AI,8,FALSE)</f>
        <v>#N/A</v>
      </c>
      <c r="R195" t="e">
        <f>VLOOKUP($J195,'[1]Table S6'!$A:$AI,9,FALSE)</f>
        <v>#N/A</v>
      </c>
      <c r="S195" t="e">
        <f>VLOOKUP($J195,'[1]Table S6'!$A:$AI,10,FALSE)</f>
        <v>#N/A</v>
      </c>
      <c r="U195" t="e">
        <f>VLOOKUP($J195,'[1]Table S6'!$A:$AI,12,FALSE)</f>
        <v>#N/A</v>
      </c>
      <c r="V195" t="e">
        <f>VLOOKUP($J195,'[1]Table S6'!$A:$AI,13,FALSE)</f>
        <v>#N/A</v>
      </c>
      <c r="W195" t="e">
        <f>VLOOKUP($J195,'[1]Table S6'!$A:$AI,14,FALSE)</f>
        <v>#N/A</v>
      </c>
      <c r="X195" t="e">
        <f>VLOOKUP($J195,'[1]Table S6'!$A:$AI,15,FALSE)</f>
        <v>#N/A</v>
      </c>
      <c r="Z195" t="e">
        <f>VLOOKUP($J195,'[1]Table S6'!$A:$AI,17,FALSE)</f>
        <v>#N/A</v>
      </c>
      <c r="AA195" t="e">
        <f>VLOOKUP($J195,'[1]Table S6'!$A:$AI,18,FALSE)</f>
        <v>#N/A</v>
      </c>
      <c r="AB195" t="e">
        <f>VLOOKUP($J195,'[1]Table S6'!$A:$AI,19,FALSE)</f>
        <v>#N/A</v>
      </c>
      <c r="AC195" t="e">
        <f>VLOOKUP($J195,'[1]Table S6'!$A:$AI,20,FALSE)</f>
        <v>#N/A</v>
      </c>
      <c r="AE195" t="e">
        <f>VLOOKUP($J195,'[1]Table S6'!$A:$AI,22,FALSE)</f>
        <v>#N/A</v>
      </c>
      <c r="AF195" t="e">
        <f>VLOOKUP($J195,'[1]Table S6'!$A:$AI,23,FALSE)</f>
        <v>#N/A</v>
      </c>
      <c r="AG195" t="e">
        <f>VLOOKUP($J195,'[1]Table S6'!$A:$AI,24,FALSE)</f>
        <v>#N/A</v>
      </c>
      <c r="AH195" t="e">
        <f>VLOOKUP($J195,'[1]Table S6'!$A:$AI,25,FALSE)</f>
        <v>#N/A</v>
      </c>
      <c r="AJ195" t="e">
        <f>VLOOKUP($J195,'[1]Table S6'!$A:$AI,27,FALSE)</f>
        <v>#N/A</v>
      </c>
      <c r="AK195" t="e">
        <f>VLOOKUP($J195,'[1]Table S6'!$A:$AI,28,FALSE)</f>
        <v>#N/A</v>
      </c>
      <c r="AL195" t="e">
        <f>VLOOKUP($J195,'[1]Table S6'!$A:$AI,29,FALSE)</f>
        <v>#N/A</v>
      </c>
      <c r="AM195" t="e">
        <f>VLOOKUP($J195,'[1]Table S6'!$A:$AI,30,FALSE)</f>
        <v>#N/A</v>
      </c>
      <c r="AO195" t="e">
        <f>VLOOKUP($J195,'[1]Table S6'!$A:$AI,32,FALSE)</f>
        <v>#N/A</v>
      </c>
      <c r="AP195" t="e">
        <f>VLOOKUP($J195,'[1]Table S6'!$A:$AI,33,FALSE)</f>
        <v>#N/A</v>
      </c>
      <c r="AQ195" t="e">
        <f>VLOOKUP($J195,'[1]Table S6'!$A:$AI,34,FALSE)</f>
        <v>#N/A</v>
      </c>
      <c r="AR195" t="e">
        <f>VLOOKUP($J195,'[1]Table S6'!$A:$AI,35,FALSE)</f>
        <v>#N/A</v>
      </c>
      <c r="AT195" t="str">
        <f>VLOOKUP($I195,'[2]Table S5'!$A:$K,8,FALSE)</f>
        <v>Resistant</v>
      </c>
      <c r="AU195" t="str">
        <f>VLOOKUP($I195,'[2]Table S5'!$A:$K,9,FALSE)</f>
        <v>Resistant</v>
      </c>
      <c r="AV195" t="str">
        <f>VLOOKUP($I195,'[2]Table S5'!$A:$K,10,FALSE)</f>
        <v>Resistant</v>
      </c>
      <c r="AW195" t="str">
        <f>VLOOKUP($I195,'[2]Table S5'!$A:$K,11,FALSE)</f>
        <v>Resistant</v>
      </c>
    </row>
    <row r="196" spans="1:49">
      <c r="A196" s="12" t="s">
        <v>1478</v>
      </c>
      <c r="B196" t="s">
        <v>1479</v>
      </c>
      <c r="C196" t="s">
        <v>1480</v>
      </c>
      <c r="D196" t="s">
        <v>17</v>
      </c>
      <c r="E196" t="s">
        <v>1481</v>
      </c>
      <c r="F196" s="12" t="s">
        <v>1482</v>
      </c>
      <c r="G196" t="s">
        <v>1483</v>
      </c>
      <c r="H196" t="s">
        <v>1484</v>
      </c>
      <c r="I196" t="s">
        <v>1477</v>
      </c>
      <c r="J196" t="s">
        <v>1485</v>
      </c>
      <c r="K196">
        <f>VLOOKUP($J196,'[1]Table S6'!$A:$AI,2,FALSE)</f>
        <v>356.7</v>
      </c>
      <c r="L196">
        <f>VLOOKUP($J196,'[1]Table S6'!$A:$AI,3,FALSE)</f>
        <v>0.75909768035752301</v>
      </c>
      <c r="M196">
        <f>VLOOKUP($J196,'[1]Table S6'!$A:$AI,4,FALSE)</f>
        <v>5.79</v>
      </c>
      <c r="N196" t="str">
        <f>VLOOKUP($J196,'[1]Table S6'!$A:$AI,5,FALSE)</f>
        <v>No</v>
      </c>
      <c r="P196">
        <f>VLOOKUP($J196,'[1]Table S6'!$A:$AI,7,FALSE)</f>
        <v>408.8</v>
      </c>
      <c r="Q196">
        <f>VLOOKUP($J196,'[1]Table S6'!$A:$AI,8,FALSE)</f>
        <v>0.86997233453926404</v>
      </c>
      <c r="R196">
        <f>VLOOKUP($J196,'[1]Table S6'!$A:$AI,9,FALSE)</f>
        <v>40.1</v>
      </c>
      <c r="S196" t="str">
        <f>VLOOKUP($J196,'[1]Table S6'!$A:$AI,10,FALSE)</f>
        <v>No</v>
      </c>
      <c r="U196">
        <f>VLOOKUP($J196,'[1]Table S6'!$A:$AI,12,FALSE)</f>
        <v>423.9</v>
      </c>
      <c r="V196">
        <f>VLOOKUP($J196,'[1]Table S6'!$A:$AI,13,FALSE)</f>
        <v>0.90210683124068902</v>
      </c>
      <c r="W196">
        <f>VLOOKUP($J196,'[1]Table S6'!$A:$AI,14,FALSE)</f>
        <v>34.82</v>
      </c>
      <c r="X196" t="str">
        <f>VLOOKUP($J196,'[1]Table S6'!$A:$AI,15,FALSE)</f>
        <v>No</v>
      </c>
      <c r="Z196">
        <f>VLOOKUP($J196,'[1]Table S6'!$A:$AI,17,FALSE)</f>
        <v>408.2</v>
      </c>
      <c r="AA196">
        <f>VLOOKUP($J196,'[1]Table S6'!$A:$AI,18,FALSE)</f>
        <v>0.86869546712066403</v>
      </c>
      <c r="AB196">
        <f>VLOOKUP($J196,'[1]Table S6'!$A:$AI,19,FALSE)</f>
        <v>26.44</v>
      </c>
      <c r="AC196" t="str">
        <f>VLOOKUP($J196,'[1]Table S6'!$A:$AI,20,FALSE)</f>
        <v>No</v>
      </c>
      <c r="AE196">
        <f>VLOOKUP($J196,'[1]Table S6'!$A:$AI,22,FALSE)</f>
        <v>393.8</v>
      </c>
      <c r="AF196">
        <f>VLOOKUP($J196,'[1]Table S6'!$A:$AI,23,FALSE)</f>
        <v>0.83805064907427096</v>
      </c>
      <c r="AG196">
        <f>VLOOKUP($J196,'[1]Table S6'!$A:$AI,24,FALSE)</f>
        <v>22.98</v>
      </c>
      <c r="AH196" t="str">
        <f>VLOOKUP($J196,'[1]Table S6'!$A:$AI,25,FALSE)</f>
        <v>No</v>
      </c>
      <c r="AJ196">
        <f>VLOOKUP($J196,'[1]Table S6'!$A:$AI,27,FALSE)</f>
        <v>425.9</v>
      </c>
      <c r="AK196">
        <f>VLOOKUP($J196,'[1]Table S6'!$A:$AI,28,FALSE)</f>
        <v>0.90636305596935496</v>
      </c>
      <c r="AL196">
        <f>VLOOKUP($J196,'[1]Table S6'!$A:$AI,29,FALSE)</f>
        <v>91.47</v>
      </c>
      <c r="AM196" t="str">
        <f>VLOOKUP($J196,'[1]Table S6'!$A:$AI,30,FALSE)</f>
        <v>No</v>
      </c>
      <c r="AO196">
        <f>VLOOKUP($J196,'[1]Table S6'!$A:$AI,32,FALSE)</f>
        <v>439.5</v>
      </c>
      <c r="AP196">
        <f>VLOOKUP($J196,'[1]Table S6'!$A:$AI,33,FALSE)</f>
        <v>0.93530538412428199</v>
      </c>
      <c r="AQ196">
        <f>VLOOKUP($J196,'[1]Table S6'!$A:$AI,34,FALSE)</f>
        <v>230.7</v>
      </c>
      <c r="AR196" t="str">
        <f>VLOOKUP($J196,'[1]Table S6'!$A:$AI,35,FALSE)</f>
        <v>No</v>
      </c>
      <c r="AT196" t="str">
        <f>VLOOKUP($I196,'[2]Table S5'!$A:$K,8,FALSE)</f>
        <v>Resistant</v>
      </c>
      <c r="AU196" t="str">
        <f>VLOOKUP($I196,'[2]Table S5'!$A:$K,9,FALSE)</f>
        <v>Resistant</v>
      </c>
      <c r="AV196" t="str">
        <f>VLOOKUP($I196,'[2]Table S5'!$A:$K,10,FALSE)</f>
        <v>Resistant</v>
      </c>
      <c r="AW196" t="str">
        <f>VLOOKUP($I196,'[2]Table S5'!$A:$K,11,FALSE)</f>
        <v>Resistant</v>
      </c>
    </row>
    <row r="197" spans="1:49">
      <c r="A197" s="12" t="s">
        <v>1486</v>
      </c>
      <c r="B197" t="s">
        <v>1487</v>
      </c>
      <c r="C197" t="s">
        <v>1488</v>
      </c>
      <c r="D197" t="s">
        <v>17</v>
      </c>
      <c r="E197" t="s">
        <v>1489</v>
      </c>
      <c r="F197" s="12" t="s">
        <v>1490</v>
      </c>
      <c r="G197" t="s">
        <v>1491</v>
      </c>
      <c r="H197" t="s">
        <v>1492</v>
      </c>
      <c r="I197" t="s">
        <v>1477</v>
      </c>
      <c r="J197" t="s">
        <v>1493</v>
      </c>
      <c r="K197">
        <f>VLOOKUP($J197,'[1]Table S6'!$A:$AI,2,FALSE)</f>
        <v>370.8</v>
      </c>
      <c r="L197">
        <f>VLOOKUP($J197,'[1]Table S6'!$A:$AI,3,FALSE)</f>
        <v>0.78910406469461603</v>
      </c>
      <c r="M197">
        <f>VLOOKUP($J197,'[1]Table S6'!$A:$AI,4,FALSE)</f>
        <v>10.35</v>
      </c>
      <c r="N197" t="str">
        <f>VLOOKUP($J197,'[1]Table S6'!$A:$AI,5,FALSE)</f>
        <v>No</v>
      </c>
      <c r="P197">
        <f>VLOOKUP($J197,'[1]Table S6'!$A:$AI,7,FALSE)</f>
        <v>414.6</v>
      </c>
      <c r="Q197">
        <f>VLOOKUP($J197,'[1]Table S6'!$A:$AI,8,FALSE)</f>
        <v>0.88231538625239403</v>
      </c>
      <c r="R197">
        <f>VLOOKUP($J197,'[1]Table S6'!$A:$AI,9,FALSE)</f>
        <v>57.39</v>
      </c>
      <c r="S197" t="str">
        <f>VLOOKUP($J197,'[1]Table S6'!$A:$AI,10,FALSE)</f>
        <v>No</v>
      </c>
      <c r="U197">
        <f>VLOOKUP($J197,'[1]Table S6'!$A:$AI,12,FALSE)</f>
        <v>409.6</v>
      </c>
      <c r="V197">
        <f>VLOOKUP($J197,'[1]Table S6'!$A:$AI,13,FALSE)</f>
        <v>0.87167482443072997</v>
      </c>
      <c r="W197">
        <f>VLOOKUP($J197,'[1]Table S6'!$A:$AI,14,FALSE)</f>
        <v>27.69</v>
      </c>
      <c r="X197" t="str">
        <f>VLOOKUP($J197,'[1]Table S6'!$A:$AI,15,FALSE)</f>
        <v>No</v>
      </c>
      <c r="Z197">
        <f>VLOOKUP($J197,'[1]Table S6'!$A:$AI,17,FALSE)</f>
        <v>377.6</v>
      </c>
      <c r="AA197">
        <f>VLOOKUP($J197,'[1]Table S6'!$A:$AI,18,FALSE)</f>
        <v>0.80357522877207899</v>
      </c>
      <c r="AB197">
        <f>VLOOKUP($J197,'[1]Table S6'!$A:$AI,19,FALSE)</f>
        <v>15.59</v>
      </c>
      <c r="AC197" t="str">
        <f>VLOOKUP($J197,'[1]Table S6'!$A:$AI,20,FALSE)</f>
        <v>No</v>
      </c>
      <c r="AE197">
        <f>VLOOKUP($J197,'[1]Table S6'!$A:$AI,22,FALSE)</f>
        <v>382.5</v>
      </c>
      <c r="AF197">
        <f>VLOOKUP($J197,'[1]Table S6'!$A:$AI,23,FALSE)</f>
        <v>0.81400297935731003</v>
      </c>
      <c r="AG197">
        <f>VLOOKUP($J197,'[1]Table S6'!$A:$AI,24,FALSE)</f>
        <v>14.86</v>
      </c>
      <c r="AH197" t="str">
        <f>VLOOKUP($J197,'[1]Table S6'!$A:$AI,25,FALSE)</f>
        <v>No</v>
      </c>
      <c r="AJ197">
        <f>VLOOKUP($J197,'[1]Table S6'!$A:$AI,27,FALSE)</f>
        <v>424.5</v>
      </c>
      <c r="AK197">
        <f>VLOOKUP($J197,'[1]Table S6'!$A:$AI,28,FALSE)</f>
        <v>0.90338369865928903</v>
      </c>
      <c r="AL197">
        <f>VLOOKUP($J197,'[1]Table S6'!$A:$AI,29,FALSE)</f>
        <v>81.72</v>
      </c>
      <c r="AM197" t="str">
        <f>VLOOKUP($J197,'[1]Table S6'!$A:$AI,30,FALSE)</f>
        <v>No</v>
      </c>
      <c r="AO197">
        <f>VLOOKUP($J197,'[1]Table S6'!$A:$AI,32,FALSE)</f>
        <v>323.60000000000002</v>
      </c>
      <c r="AP197">
        <f>VLOOKUP($J197,'[1]Table S6'!$A:$AI,33,FALSE)</f>
        <v>0.68865716109810604</v>
      </c>
      <c r="AQ197">
        <f>VLOOKUP($J197,'[1]Table S6'!$A:$AI,34,FALSE)</f>
        <v>2.29</v>
      </c>
      <c r="AR197" t="str">
        <f>VLOOKUP($J197,'[1]Table S6'!$A:$AI,35,FALSE)</f>
        <v>No</v>
      </c>
      <c r="AT197" t="str">
        <f>VLOOKUP($I197,'[2]Table S5'!$A:$K,8,FALSE)</f>
        <v>Resistant</v>
      </c>
      <c r="AU197" t="str">
        <f>VLOOKUP($I197,'[2]Table S5'!$A:$K,9,FALSE)</f>
        <v>Resistant</v>
      </c>
      <c r="AV197" t="str">
        <f>VLOOKUP($I197,'[2]Table S5'!$A:$K,10,FALSE)</f>
        <v>Resistant</v>
      </c>
      <c r="AW197" t="str">
        <f>VLOOKUP($I197,'[2]Table S5'!$A:$K,11,FALSE)</f>
        <v>Resistant</v>
      </c>
    </row>
    <row r="198" spans="1:49">
      <c r="A198" s="12" t="s">
        <v>1494</v>
      </c>
      <c r="B198" t="s">
        <v>1495</v>
      </c>
      <c r="C198" t="s">
        <v>1496</v>
      </c>
      <c r="D198" t="s">
        <v>17</v>
      </c>
      <c r="E198" t="s">
        <v>1497</v>
      </c>
      <c r="F198" s="12" t="s">
        <v>1498</v>
      </c>
      <c r="G198" t="s">
        <v>1499</v>
      </c>
      <c r="H198" t="s">
        <v>1500</v>
      </c>
      <c r="I198" t="s">
        <v>1477</v>
      </c>
      <c r="J198" t="s">
        <v>1501</v>
      </c>
      <c r="K198">
        <f>VLOOKUP($J198,'[1]Table S6'!$A:$AI,2,FALSE)</f>
        <v>398.2</v>
      </c>
      <c r="L198">
        <f>VLOOKUP($J198,'[1]Table S6'!$A:$AI,3,FALSE)</f>
        <v>0.84741434347733602</v>
      </c>
      <c r="M198">
        <f>VLOOKUP($J198,'[1]Table S6'!$A:$AI,4,FALSE)</f>
        <v>19.34</v>
      </c>
      <c r="N198" t="str">
        <f>VLOOKUP($J198,'[1]Table S6'!$A:$AI,5,FALSE)</f>
        <v>No</v>
      </c>
      <c r="P198">
        <f>VLOOKUP($J198,'[1]Table S6'!$A:$AI,7,FALSE)</f>
        <v>418.3</v>
      </c>
      <c r="Q198">
        <f>VLOOKUP($J198,'[1]Table S6'!$A:$AI,8,FALSE)</f>
        <v>0.89018940200042596</v>
      </c>
      <c r="R198">
        <f>VLOOKUP($J198,'[1]Table S6'!$A:$AI,9,FALSE)</f>
        <v>68.099999999999994</v>
      </c>
      <c r="S198" t="str">
        <f>VLOOKUP($J198,'[1]Table S6'!$A:$AI,10,FALSE)</f>
        <v>No</v>
      </c>
      <c r="U198">
        <f>VLOOKUP($J198,'[1]Table S6'!$A:$AI,12,FALSE)</f>
        <v>381.1</v>
      </c>
      <c r="V198">
        <f>VLOOKUP($J198,'[1]Table S6'!$A:$AI,13,FALSE)</f>
        <v>0.81102362204724399</v>
      </c>
      <c r="W198">
        <f>VLOOKUP($J198,'[1]Table S6'!$A:$AI,14,FALSE)</f>
        <v>15.65</v>
      </c>
      <c r="X198" t="str">
        <f>VLOOKUP($J198,'[1]Table S6'!$A:$AI,15,FALSE)</f>
        <v>No</v>
      </c>
      <c r="Z198">
        <f>VLOOKUP($J198,'[1]Table S6'!$A:$AI,17,FALSE)</f>
        <v>392.2</v>
      </c>
      <c r="AA198">
        <f>VLOOKUP($J198,'[1]Table S6'!$A:$AI,18,FALSE)</f>
        <v>0.83464566929133899</v>
      </c>
      <c r="AB198">
        <f>VLOOKUP($J198,'[1]Table S6'!$A:$AI,19,FALSE)</f>
        <v>19.29</v>
      </c>
      <c r="AC198" t="str">
        <f>VLOOKUP($J198,'[1]Table S6'!$A:$AI,20,FALSE)</f>
        <v>No</v>
      </c>
      <c r="AE198">
        <f>VLOOKUP($J198,'[1]Table S6'!$A:$AI,22,FALSE)</f>
        <v>391</v>
      </c>
      <c r="AF198">
        <f>VLOOKUP($J198,'[1]Table S6'!$A:$AI,23,FALSE)</f>
        <v>0.83209193445413898</v>
      </c>
      <c r="AG198">
        <f>VLOOKUP($J198,'[1]Table S6'!$A:$AI,24,FALSE)</f>
        <v>18.09</v>
      </c>
      <c r="AH198" t="str">
        <f>VLOOKUP($J198,'[1]Table S6'!$A:$AI,25,FALSE)</f>
        <v>No</v>
      </c>
      <c r="AJ198">
        <f>VLOOKUP($J198,'[1]Table S6'!$A:$AI,27,FALSE)</f>
        <v>427.2</v>
      </c>
      <c r="AK198">
        <f>VLOOKUP($J198,'[1]Table S6'!$A:$AI,28,FALSE)</f>
        <v>0.90912960204298798</v>
      </c>
      <c r="AL198">
        <f>VLOOKUP($J198,'[1]Table S6'!$A:$AI,29,FALSE)</f>
        <v>132.19999999999999</v>
      </c>
      <c r="AM198" t="str">
        <f>VLOOKUP($J198,'[1]Table S6'!$A:$AI,30,FALSE)</f>
        <v>No</v>
      </c>
      <c r="AO198">
        <f>VLOOKUP($J198,'[1]Table S6'!$A:$AI,32,FALSE)</f>
        <v>329</v>
      </c>
      <c r="AP198">
        <f>VLOOKUP($J198,'[1]Table S6'!$A:$AI,33,FALSE)</f>
        <v>0.70014896786550296</v>
      </c>
      <c r="AQ198">
        <f>VLOOKUP($J198,'[1]Table S6'!$A:$AI,34,FALSE)</f>
        <v>2.1739999999999999</v>
      </c>
      <c r="AR198" t="str">
        <f>VLOOKUP($J198,'[1]Table S6'!$A:$AI,35,FALSE)</f>
        <v>No</v>
      </c>
      <c r="AT198" t="str">
        <f>VLOOKUP($I198,'[2]Table S5'!$A:$K,8,FALSE)</f>
        <v>Resistant</v>
      </c>
      <c r="AU198" t="str">
        <f>VLOOKUP($I198,'[2]Table S5'!$A:$K,9,FALSE)</f>
        <v>Resistant</v>
      </c>
      <c r="AV198" t="str">
        <f>VLOOKUP($I198,'[2]Table S5'!$A:$K,10,FALSE)</f>
        <v>Resistant</v>
      </c>
      <c r="AW198" t="str">
        <f>VLOOKUP($I198,'[2]Table S5'!$A:$K,11,FALSE)</f>
        <v>Resistant</v>
      </c>
    </row>
    <row r="199" spans="1:49">
      <c r="A199" s="12" t="s">
        <v>1502</v>
      </c>
      <c r="B199" t="s">
        <v>1503</v>
      </c>
      <c r="C199" t="s">
        <v>1504</v>
      </c>
      <c r="D199" t="s">
        <v>17</v>
      </c>
      <c r="E199" t="s">
        <v>1505</v>
      </c>
      <c r="F199" s="12" t="s">
        <v>1506</v>
      </c>
      <c r="G199" t="s">
        <v>1507</v>
      </c>
      <c r="H199" t="s">
        <v>1508</v>
      </c>
      <c r="I199" t="s">
        <v>1477</v>
      </c>
      <c r="J199" t="s">
        <v>1485</v>
      </c>
      <c r="K199">
        <f>VLOOKUP($J199,'[1]Table S6'!$A:$AI,2,FALSE)</f>
        <v>356.7</v>
      </c>
      <c r="L199">
        <f>VLOOKUP($J199,'[1]Table S6'!$A:$AI,3,FALSE)</f>
        <v>0.75909768035752301</v>
      </c>
      <c r="M199">
        <f>VLOOKUP($J199,'[1]Table S6'!$A:$AI,4,FALSE)</f>
        <v>5.79</v>
      </c>
      <c r="N199" t="str">
        <f>VLOOKUP($J199,'[1]Table S6'!$A:$AI,5,FALSE)</f>
        <v>No</v>
      </c>
      <c r="P199">
        <f>VLOOKUP($J199,'[1]Table S6'!$A:$AI,7,FALSE)</f>
        <v>408.8</v>
      </c>
      <c r="Q199">
        <f>VLOOKUP($J199,'[1]Table S6'!$A:$AI,8,FALSE)</f>
        <v>0.86997233453926404</v>
      </c>
      <c r="R199">
        <f>VLOOKUP($J199,'[1]Table S6'!$A:$AI,9,FALSE)</f>
        <v>40.1</v>
      </c>
      <c r="S199" t="str">
        <f>VLOOKUP($J199,'[1]Table S6'!$A:$AI,10,FALSE)</f>
        <v>No</v>
      </c>
      <c r="U199">
        <f>VLOOKUP($J199,'[1]Table S6'!$A:$AI,12,FALSE)</f>
        <v>423.9</v>
      </c>
      <c r="V199">
        <f>VLOOKUP($J199,'[1]Table S6'!$A:$AI,13,FALSE)</f>
        <v>0.90210683124068902</v>
      </c>
      <c r="W199">
        <f>VLOOKUP($J199,'[1]Table S6'!$A:$AI,14,FALSE)</f>
        <v>34.82</v>
      </c>
      <c r="X199" t="str">
        <f>VLOOKUP($J199,'[1]Table S6'!$A:$AI,15,FALSE)</f>
        <v>No</v>
      </c>
      <c r="Z199">
        <f>VLOOKUP($J199,'[1]Table S6'!$A:$AI,17,FALSE)</f>
        <v>408.2</v>
      </c>
      <c r="AA199">
        <f>VLOOKUP($J199,'[1]Table S6'!$A:$AI,18,FALSE)</f>
        <v>0.86869546712066403</v>
      </c>
      <c r="AB199">
        <f>VLOOKUP($J199,'[1]Table S6'!$A:$AI,19,FALSE)</f>
        <v>26.44</v>
      </c>
      <c r="AC199" t="str">
        <f>VLOOKUP($J199,'[1]Table S6'!$A:$AI,20,FALSE)</f>
        <v>No</v>
      </c>
      <c r="AE199">
        <f>VLOOKUP($J199,'[1]Table S6'!$A:$AI,22,FALSE)</f>
        <v>393.8</v>
      </c>
      <c r="AF199">
        <f>VLOOKUP($J199,'[1]Table S6'!$A:$AI,23,FALSE)</f>
        <v>0.83805064907427096</v>
      </c>
      <c r="AG199">
        <f>VLOOKUP($J199,'[1]Table S6'!$A:$AI,24,FALSE)</f>
        <v>22.98</v>
      </c>
      <c r="AH199" t="str">
        <f>VLOOKUP($J199,'[1]Table S6'!$A:$AI,25,FALSE)</f>
        <v>No</v>
      </c>
      <c r="AJ199">
        <f>VLOOKUP($J199,'[1]Table S6'!$A:$AI,27,FALSE)</f>
        <v>425.9</v>
      </c>
      <c r="AK199">
        <f>VLOOKUP($J199,'[1]Table S6'!$A:$AI,28,FALSE)</f>
        <v>0.90636305596935496</v>
      </c>
      <c r="AL199">
        <f>VLOOKUP($J199,'[1]Table S6'!$A:$AI,29,FALSE)</f>
        <v>91.47</v>
      </c>
      <c r="AM199" t="str">
        <f>VLOOKUP($J199,'[1]Table S6'!$A:$AI,30,FALSE)</f>
        <v>No</v>
      </c>
      <c r="AO199">
        <f>VLOOKUP($J199,'[1]Table S6'!$A:$AI,32,FALSE)</f>
        <v>439.5</v>
      </c>
      <c r="AP199">
        <f>VLOOKUP($J199,'[1]Table S6'!$A:$AI,33,FALSE)</f>
        <v>0.93530538412428199</v>
      </c>
      <c r="AQ199">
        <f>VLOOKUP($J199,'[1]Table S6'!$A:$AI,34,FALSE)</f>
        <v>230.7</v>
      </c>
      <c r="AR199" t="str">
        <f>VLOOKUP($J199,'[1]Table S6'!$A:$AI,35,FALSE)</f>
        <v>No</v>
      </c>
      <c r="AT199" t="str">
        <f>VLOOKUP($I199,'[2]Table S5'!$A:$K,8,FALSE)</f>
        <v>Resistant</v>
      </c>
      <c r="AU199" t="str">
        <f>VLOOKUP($I199,'[2]Table S5'!$A:$K,9,FALSE)</f>
        <v>Resistant</v>
      </c>
      <c r="AV199" t="str">
        <f>VLOOKUP($I199,'[2]Table S5'!$A:$K,10,FALSE)</f>
        <v>Resistant</v>
      </c>
      <c r="AW199" t="str">
        <f>VLOOKUP($I199,'[2]Table S5'!$A:$K,11,FALSE)</f>
        <v>Resistant</v>
      </c>
    </row>
    <row r="200" spans="1:49">
      <c r="A200" s="12" t="s">
        <v>1509</v>
      </c>
      <c r="B200" t="s">
        <v>1510</v>
      </c>
      <c r="C200" t="s">
        <v>1511</v>
      </c>
      <c r="D200" t="s">
        <v>17</v>
      </c>
      <c r="E200" t="s">
        <v>1512</v>
      </c>
      <c r="F200" s="12" t="s">
        <v>1513</v>
      </c>
      <c r="G200" t="s">
        <v>1514</v>
      </c>
      <c r="H200" t="s">
        <v>1515</v>
      </c>
      <c r="I200" t="s">
        <v>1477</v>
      </c>
      <c r="J200" t="s">
        <v>1493</v>
      </c>
      <c r="K200">
        <f>VLOOKUP($J200,'[1]Table S6'!$A:$AI,2,FALSE)</f>
        <v>370.8</v>
      </c>
      <c r="L200">
        <f>VLOOKUP($J200,'[1]Table S6'!$A:$AI,3,FALSE)</f>
        <v>0.78910406469461603</v>
      </c>
      <c r="M200">
        <f>VLOOKUP($J200,'[1]Table S6'!$A:$AI,4,FALSE)</f>
        <v>10.35</v>
      </c>
      <c r="N200" t="str">
        <f>VLOOKUP($J200,'[1]Table S6'!$A:$AI,5,FALSE)</f>
        <v>No</v>
      </c>
      <c r="P200">
        <f>VLOOKUP($J200,'[1]Table S6'!$A:$AI,7,FALSE)</f>
        <v>414.6</v>
      </c>
      <c r="Q200">
        <f>VLOOKUP($J200,'[1]Table S6'!$A:$AI,8,FALSE)</f>
        <v>0.88231538625239403</v>
      </c>
      <c r="R200">
        <f>VLOOKUP($J200,'[1]Table S6'!$A:$AI,9,FALSE)</f>
        <v>57.39</v>
      </c>
      <c r="S200" t="str">
        <f>VLOOKUP($J200,'[1]Table S6'!$A:$AI,10,FALSE)</f>
        <v>No</v>
      </c>
      <c r="U200">
        <f>VLOOKUP($J200,'[1]Table S6'!$A:$AI,12,FALSE)</f>
        <v>409.6</v>
      </c>
      <c r="V200">
        <f>VLOOKUP($J200,'[1]Table S6'!$A:$AI,13,FALSE)</f>
        <v>0.87167482443072997</v>
      </c>
      <c r="W200">
        <f>VLOOKUP($J200,'[1]Table S6'!$A:$AI,14,FALSE)</f>
        <v>27.69</v>
      </c>
      <c r="X200" t="str">
        <f>VLOOKUP($J200,'[1]Table S6'!$A:$AI,15,FALSE)</f>
        <v>No</v>
      </c>
      <c r="Z200">
        <f>VLOOKUP($J200,'[1]Table S6'!$A:$AI,17,FALSE)</f>
        <v>377.6</v>
      </c>
      <c r="AA200">
        <f>VLOOKUP($J200,'[1]Table S6'!$A:$AI,18,FALSE)</f>
        <v>0.80357522877207899</v>
      </c>
      <c r="AB200">
        <f>VLOOKUP($J200,'[1]Table S6'!$A:$AI,19,FALSE)</f>
        <v>15.59</v>
      </c>
      <c r="AC200" t="str">
        <f>VLOOKUP($J200,'[1]Table S6'!$A:$AI,20,FALSE)</f>
        <v>No</v>
      </c>
      <c r="AE200">
        <f>VLOOKUP($J200,'[1]Table S6'!$A:$AI,22,FALSE)</f>
        <v>382.5</v>
      </c>
      <c r="AF200">
        <f>VLOOKUP($J200,'[1]Table S6'!$A:$AI,23,FALSE)</f>
        <v>0.81400297935731003</v>
      </c>
      <c r="AG200">
        <f>VLOOKUP($J200,'[1]Table S6'!$A:$AI,24,FALSE)</f>
        <v>14.86</v>
      </c>
      <c r="AH200" t="str">
        <f>VLOOKUP($J200,'[1]Table S6'!$A:$AI,25,FALSE)</f>
        <v>No</v>
      </c>
      <c r="AJ200">
        <f>VLOOKUP($J200,'[1]Table S6'!$A:$AI,27,FALSE)</f>
        <v>424.5</v>
      </c>
      <c r="AK200">
        <f>VLOOKUP($J200,'[1]Table S6'!$A:$AI,28,FALSE)</f>
        <v>0.90338369865928903</v>
      </c>
      <c r="AL200">
        <f>VLOOKUP($J200,'[1]Table S6'!$A:$AI,29,FALSE)</f>
        <v>81.72</v>
      </c>
      <c r="AM200" t="str">
        <f>VLOOKUP($J200,'[1]Table S6'!$A:$AI,30,FALSE)</f>
        <v>No</v>
      </c>
      <c r="AO200">
        <f>VLOOKUP($J200,'[1]Table S6'!$A:$AI,32,FALSE)</f>
        <v>323.60000000000002</v>
      </c>
      <c r="AP200">
        <f>VLOOKUP($J200,'[1]Table S6'!$A:$AI,33,FALSE)</f>
        <v>0.68865716109810604</v>
      </c>
      <c r="AQ200">
        <f>VLOOKUP($J200,'[1]Table S6'!$A:$AI,34,FALSE)</f>
        <v>2.29</v>
      </c>
      <c r="AR200" t="str">
        <f>VLOOKUP($J200,'[1]Table S6'!$A:$AI,35,FALSE)</f>
        <v>No</v>
      </c>
      <c r="AT200" t="str">
        <f>VLOOKUP($I200,'[2]Table S5'!$A:$K,8,FALSE)</f>
        <v>Resistant</v>
      </c>
      <c r="AU200" t="str">
        <f>VLOOKUP($I200,'[2]Table S5'!$A:$K,9,FALSE)</f>
        <v>Resistant</v>
      </c>
      <c r="AV200" t="str">
        <f>VLOOKUP($I200,'[2]Table S5'!$A:$K,10,FALSE)</f>
        <v>Resistant</v>
      </c>
      <c r="AW200" t="str">
        <f>VLOOKUP($I200,'[2]Table S5'!$A:$K,11,FALSE)</f>
        <v>Resistant</v>
      </c>
    </row>
    <row r="201" spans="1:49">
      <c r="A201" s="12" t="s">
        <v>1516</v>
      </c>
      <c r="B201" t="s">
        <v>1517</v>
      </c>
      <c r="C201" t="s">
        <v>1518</v>
      </c>
      <c r="D201" t="s">
        <v>17</v>
      </c>
      <c r="E201" t="s">
        <v>1519</v>
      </c>
      <c r="F201" s="12" t="s">
        <v>1520</v>
      </c>
      <c r="G201" t="s">
        <v>1521</v>
      </c>
      <c r="H201" t="s">
        <v>1522</v>
      </c>
      <c r="I201" t="s">
        <v>1477</v>
      </c>
      <c r="J201" t="s">
        <v>1501</v>
      </c>
      <c r="K201">
        <f>VLOOKUP($J201,'[1]Table S6'!$A:$AI,2,FALSE)</f>
        <v>398.2</v>
      </c>
      <c r="L201">
        <f>VLOOKUP($J201,'[1]Table S6'!$A:$AI,3,FALSE)</f>
        <v>0.84741434347733602</v>
      </c>
      <c r="M201">
        <f>VLOOKUP($J201,'[1]Table S6'!$A:$AI,4,FALSE)</f>
        <v>19.34</v>
      </c>
      <c r="N201" t="str">
        <f>VLOOKUP($J201,'[1]Table S6'!$A:$AI,5,FALSE)</f>
        <v>No</v>
      </c>
      <c r="P201">
        <f>VLOOKUP($J201,'[1]Table S6'!$A:$AI,7,FALSE)</f>
        <v>418.3</v>
      </c>
      <c r="Q201">
        <f>VLOOKUP($J201,'[1]Table S6'!$A:$AI,8,FALSE)</f>
        <v>0.89018940200042596</v>
      </c>
      <c r="R201">
        <f>VLOOKUP($J201,'[1]Table S6'!$A:$AI,9,FALSE)</f>
        <v>68.099999999999994</v>
      </c>
      <c r="S201" t="str">
        <f>VLOOKUP($J201,'[1]Table S6'!$A:$AI,10,FALSE)</f>
        <v>No</v>
      </c>
      <c r="U201">
        <f>VLOOKUP($J201,'[1]Table S6'!$A:$AI,12,FALSE)</f>
        <v>381.1</v>
      </c>
      <c r="V201">
        <f>VLOOKUP($J201,'[1]Table S6'!$A:$AI,13,FALSE)</f>
        <v>0.81102362204724399</v>
      </c>
      <c r="W201">
        <f>VLOOKUP($J201,'[1]Table S6'!$A:$AI,14,FALSE)</f>
        <v>15.65</v>
      </c>
      <c r="X201" t="str">
        <f>VLOOKUP($J201,'[1]Table S6'!$A:$AI,15,FALSE)</f>
        <v>No</v>
      </c>
      <c r="Z201">
        <f>VLOOKUP($J201,'[1]Table S6'!$A:$AI,17,FALSE)</f>
        <v>392.2</v>
      </c>
      <c r="AA201">
        <f>VLOOKUP($J201,'[1]Table S6'!$A:$AI,18,FALSE)</f>
        <v>0.83464566929133899</v>
      </c>
      <c r="AB201">
        <f>VLOOKUP($J201,'[1]Table S6'!$A:$AI,19,FALSE)</f>
        <v>19.29</v>
      </c>
      <c r="AC201" t="str">
        <f>VLOOKUP($J201,'[1]Table S6'!$A:$AI,20,FALSE)</f>
        <v>No</v>
      </c>
      <c r="AE201">
        <f>VLOOKUP($J201,'[1]Table S6'!$A:$AI,22,FALSE)</f>
        <v>391</v>
      </c>
      <c r="AF201">
        <f>VLOOKUP($J201,'[1]Table S6'!$A:$AI,23,FALSE)</f>
        <v>0.83209193445413898</v>
      </c>
      <c r="AG201">
        <f>VLOOKUP($J201,'[1]Table S6'!$A:$AI,24,FALSE)</f>
        <v>18.09</v>
      </c>
      <c r="AH201" t="str">
        <f>VLOOKUP($J201,'[1]Table S6'!$A:$AI,25,FALSE)</f>
        <v>No</v>
      </c>
      <c r="AJ201">
        <f>VLOOKUP($J201,'[1]Table S6'!$A:$AI,27,FALSE)</f>
        <v>427.2</v>
      </c>
      <c r="AK201">
        <f>VLOOKUP($J201,'[1]Table S6'!$A:$AI,28,FALSE)</f>
        <v>0.90912960204298798</v>
      </c>
      <c r="AL201">
        <f>VLOOKUP($J201,'[1]Table S6'!$A:$AI,29,FALSE)</f>
        <v>132.19999999999999</v>
      </c>
      <c r="AM201" t="str">
        <f>VLOOKUP($J201,'[1]Table S6'!$A:$AI,30,FALSE)</f>
        <v>No</v>
      </c>
      <c r="AO201">
        <f>VLOOKUP($J201,'[1]Table S6'!$A:$AI,32,FALSE)</f>
        <v>329</v>
      </c>
      <c r="AP201">
        <f>VLOOKUP($J201,'[1]Table S6'!$A:$AI,33,FALSE)</f>
        <v>0.70014896786550296</v>
      </c>
      <c r="AQ201">
        <f>VLOOKUP($J201,'[1]Table S6'!$A:$AI,34,FALSE)</f>
        <v>2.1739999999999999</v>
      </c>
      <c r="AR201" t="str">
        <f>VLOOKUP($J201,'[1]Table S6'!$A:$AI,35,FALSE)</f>
        <v>No</v>
      </c>
      <c r="AT201" t="str">
        <f>VLOOKUP($I201,'[2]Table S5'!$A:$K,8,FALSE)</f>
        <v>Resistant</v>
      </c>
      <c r="AU201" t="str">
        <f>VLOOKUP($I201,'[2]Table S5'!$A:$K,9,FALSE)</f>
        <v>Resistant</v>
      </c>
      <c r="AV201" t="str">
        <f>VLOOKUP($I201,'[2]Table S5'!$A:$K,10,FALSE)</f>
        <v>Resistant</v>
      </c>
      <c r="AW201" t="str">
        <f>VLOOKUP($I201,'[2]Table S5'!$A:$K,11,FALSE)</f>
        <v>Resistant</v>
      </c>
    </row>
    <row r="202" spans="1:49">
      <c r="A202" s="12" t="s">
        <v>1523</v>
      </c>
      <c r="B202" t="s">
        <v>1524</v>
      </c>
      <c r="C202" t="s">
        <v>1525</v>
      </c>
      <c r="D202" t="s">
        <v>17</v>
      </c>
      <c r="E202" t="s">
        <v>1526</v>
      </c>
      <c r="F202" s="12" t="s">
        <v>1527</v>
      </c>
      <c r="G202" t="s">
        <v>1528</v>
      </c>
      <c r="H202" t="s">
        <v>1529</v>
      </c>
      <c r="I202" t="s">
        <v>1530</v>
      </c>
      <c r="J202" t="s">
        <v>1530</v>
      </c>
      <c r="K202" t="e">
        <f>VLOOKUP($J202,'[1]Table S6'!$A:$AI,2,FALSE)</f>
        <v>#N/A</v>
      </c>
      <c r="L202" t="e">
        <f>VLOOKUP($J202,'[1]Table S6'!$A:$AI,3,FALSE)</f>
        <v>#N/A</v>
      </c>
      <c r="M202" t="e">
        <f>VLOOKUP($J202,'[1]Table S6'!$A:$AI,4,FALSE)</f>
        <v>#N/A</v>
      </c>
      <c r="N202" t="e">
        <f>VLOOKUP($J202,'[1]Table S6'!$A:$AI,5,FALSE)</f>
        <v>#N/A</v>
      </c>
      <c r="P202" t="e">
        <f>VLOOKUP($J202,'[1]Table S6'!$A:$AI,7,FALSE)</f>
        <v>#N/A</v>
      </c>
      <c r="Q202" t="e">
        <f>VLOOKUP($J202,'[1]Table S6'!$A:$AI,8,FALSE)</f>
        <v>#N/A</v>
      </c>
      <c r="R202" t="e">
        <f>VLOOKUP($J202,'[1]Table S6'!$A:$AI,9,FALSE)</f>
        <v>#N/A</v>
      </c>
      <c r="S202" t="e">
        <f>VLOOKUP($J202,'[1]Table S6'!$A:$AI,10,FALSE)</f>
        <v>#N/A</v>
      </c>
      <c r="U202" t="e">
        <f>VLOOKUP($J202,'[1]Table S6'!$A:$AI,12,FALSE)</f>
        <v>#N/A</v>
      </c>
      <c r="V202" t="e">
        <f>VLOOKUP($J202,'[1]Table S6'!$A:$AI,13,FALSE)</f>
        <v>#N/A</v>
      </c>
      <c r="W202" t="e">
        <f>VLOOKUP($J202,'[1]Table S6'!$A:$AI,14,FALSE)</f>
        <v>#N/A</v>
      </c>
      <c r="X202" t="e">
        <f>VLOOKUP($J202,'[1]Table S6'!$A:$AI,15,FALSE)</f>
        <v>#N/A</v>
      </c>
      <c r="Z202" t="e">
        <f>VLOOKUP($J202,'[1]Table S6'!$A:$AI,17,FALSE)</f>
        <v>#N/A</v>
      </c>
      <c r="AA202" t="e">
        <f>VLOOKUP($J202,'[1]Table S6'!$A:$AI,18,FALSE)</f>
        <v>#N/A</v>
      </c>
      <c r="AB202" t="e">
        <f>VLOOKUP($J202,'[1]Table S6'!$A:$AI,19,FALSE)</f>
        <v>#N/A</v>
      </c>
      <c r="AC202" t="e">
        <f>VLOOKUP($J202,'[1]Table S6'!$A:$AI,20,FALSE)</f>
        <v>#N/A</v>
      </c>
      <c r="AE202" t="e">
        <f>VLOOKUP($J202,'[1]Table S6'!$A:$AI,22,FALSE)</f>
        <v>#N/A</v>
      </c>
      <c r="AF202" t="e">
        <f>VLOOKUP($J202,'[1]Table S6'!$A:$AI,23,FALSE)</f>
        <v>#N/A</v>
      </c>
      <c r="AG202" t="e">
        <f>VLOOKUP($J202,'[1]Table S6'!$A:$AI,24,FALSE)</f>
        <v>#N/A</v>
      </c>
      <c r="AH202" t="e">
        <f>VLOOKUP($J202,'[1]Table S6'!$A:$AI,25,FALSE)</f>
        <v>#N/A</v>
      </c>
      <c r="AJ202" t="e">
        <f>VLOOKUP($J202,'[1]Table S6'!$A:$AI,27,FALSE)</f>
        <v>#N/A</v>
      </c>
      <c r="AK202" t="e">
        <f>VLOOKUP($J202,'[1]Table S6'!$A:$AI,28,FALSE)</f>
        <v>#N/A</v>
      </c>
      <c r="AL202" t="e">
        <f>VLOOKUP($J202,'[1]Table S6'!$A:$AI,29,FALSE)</f>
        <v>#N/A</v>
      </c>
      <c r="AM202" t="e">
        <f>VLOOKUP($J202,'[1]Table S6'!$A:$AI,30,FALSE)</f>
        <v>#N/A</v>
      </c>
      <c r="AO202" t="e">
        <f>VLOOKUP($J202,'[1]Table S6'!$A:$AI,32,FALSE)</f>
        <v>#N/A</v>
      </c>
      <c r="AP202" t="e">
        <f>VLOOKUP($J202,'[1]Table S6'!$A:$AI,33,FALSE)</f>
        <v>#N/A</v>
      </c>
      <c r="AQ202" t="e">
        <f>VLOOKUP($J202,'[1]Table S6'!$A:$AI,34,FALSE)</f>
        <v>#N/A</v>
      </c>
      <c r="AR202" t="e">
        <f>VLOOKUP($J202,'[1]Table S6'!$A:$AI,35,FALSE)</f>
        <v>#N/A</v>
      </c>
      <c r="AT202" t="e">
        <f>VLOOKUP($I202,'[2]Table S5'!$A:$K,8,FALSE)</f>
        <v>#N/A</v>
      </c>
      <c r="AU202" t="e">
        <f>VLOOKUP($I202,'[2]Table S5'!$A:$K,9,FALSE)</f>
        <v>#N/A</v>
      </c>
      <c r="AV202" t="e">
        <f>VLOOKUP($I202,'[2]Table S5'!$A:$K,10,FALSE)</f>
        <v>#N/A</v>
      </c>
      <c r="AW202" t="e">
        <f>VLOOKUP($I202,'[2]Table S5'!$A:$K,11,FALSE)</f>
        <v>#N/A</v>
      </c>
    </row>
    <row r="203" spans="1:49">
      <c r="A203" s="12" t="s">
        <v>1531</v>
      </c>
      <c r="B203" t="s">
        <v>1532</v>
      </c>
      <c r="C203" t="s">
        <v>1533</v>
      </c>
      <c r="D203" t="s">
        <v>17</v>
      </c>
      <c r="E203" t="s">
        <v>1534</v>
      </c>
      <c r="F203" s="12" t="s">
        <v>1535</v>
      </c>
      <c r="G203" t="s">
        <v>1536</v>
      </c>
      <c r="H203" t="s">
        <v>1537</v>
      </c>
      <c r="I203" t="s">
        <v>1530</v>
      </c>
      <c r="J203" t="s">
        <v>1538</v>
      </c>
      <c r="K203">
        <f>VLOOKUP($J203,'[1]Table S6'!$A:$AI,2,FALSE)</f>
        <v>418</v>
      </c>
      <c r="L203">
        <f>VLOOKUP($J203,'[1]Table S6'!$A:$AI,3,FALSE)</f>
        <v>0.88955096829112601</v>
      </c>
      <c r="M203">
        <f>VLOOKUP($J203,'[1]Table S6'!$A:$AI,4,FALSE)</f>
        <v>84.48</v>
      </c>
      <c r="N203" t="str">
        <f>VLOOKUP($J203,'[1]Table S6'!$A:$AI,5,FALSE)</f>
        <v>No</v>
      </c>
      <c r="P203">
        <f>VLOOKUP($J203,'[1]Table S6'!$A:$AI,7,FALSE)</f>
        <v>389.6</v>
      </c>
      <c r="Q203">
        <f>VLOOKUP($J203,'[1]Table S6'!$A:$AI,8,FALSE)</f>
        <v>0.82911257714407305</v>
      </c>
      <c r="R203">
        <f>VLOOKUP($J203,'[1]Table S6'!$A:$AI,9,FALSE)</f>
        <v>16.940000000000001</v>
      </c>
      <c r="S203" t="str">
        <f>VLOOKUP($J203,'[1]Table S6'!$A:$AI,10,FALSE)</f>
        <v>No</v>
      </c>
      <c r="U203">
        <f>VLOOKUP($J203,'[1]Table S6'!$A:$AI,12,FALSE)</f>
        <v>387.4</v>
      </c>
      <c r="V203">
        <f>VLOOKUP($J203,'[1]Table S6'!$A:$AI,13,FALSE)</f>
        <v>0.82443072994254096</v>
      </c>
      <c r="W203">
        <f>VLOOKUP($J203,'[1]Table S6'!$A:$AI,14,FALSE)</f>
        <v>18.96</v>
      </c>
      <c r="X203" t="str">
        <f>VLOOKUP($J203,'[1]Table S6'!$A:$AI,15,FALSE)</f>
        <v>No</v>
      </c>
      <c r="Z203">
        <f>VLOOKUP($J203,'[1]Table S6'!$A:$AI,17,FALSE)</f>
        <v>409.4</v>
      </c>
      <c r="AA203">
        <f>VLOOKUP($J203,'[1]Table S6'!$A:$AI,18,FALSE)</f>
        <v>0.87124920195786304</v>
      </c>
      <c r="AB203">
        <f>VLOOKUP($J203,'[1]Table S6'!$A:$AI,19,FALSE)</f>
        <v>51.78</v>
      </c>
      <c r="AC203" t="str">
        <f>VLOOKUP($J203,'[1]Table S6'!$A:$AI,20,FALSE)</f>
        <v>No</v>
      </c>
      <c r="AE203">
        <f>VLOOKUP($J203,'[1]Table S6'!$A:$AI,22,FALSE)</f>
        <v>390.8</v>
      </c>
      <c r="AF203">
        <f>VLOOKUP($J203,'[1]Table S6'!$A:$AI,23,FALSE)</f>
        <v>0.83166631198127305</v>
      </c>
      <c r="AG203">
        <f>VLOOKUP($J203,'[1]Table S6'!$A:$AI,24,FALSE)</f>
        <v>15.81</v>
      </c>
      <c r="AH203" t="str">
        <f>VLOOKUP($J203,'[1]Table S6'!$A:$AI,25,FALSE)</f>
        <v>No</v>
      </c>
      <c r="AJ203">
        <f>VLOOKUP($J203,'[1]Table S6'!$A:$AI,27,FALSE)</f>
        <v>438.7</v>
      </c>
      <c r="AK203">
        <f>VLOOKUP($J203,'[1]Table S6'!$A:$AI,28,FALSE)</f>
        <v>0.93360289423281595</v>
      </c>
      <c r="AL203">
        <f>VLOOKUP($J203,'[1]Table S6'!$A:$AI,29,FALSE)</f>
        <v>154.6</v>
      </c>
      <c r="AM203" t="str">
        <f>VLOOKUP($J203,'[1]Table S6'!$A:$AI,30,FALSE)</f>
        <v>No</v>
      </c>
      <c r="AO203">
        <f>VLOOKUP($J203,'[1]Table S6'!$A:$AI,32,FALSE)</f>
        <v>421</v>
      </c>
      <c r="AP203">
        <f>VLOOKUP($J203,'[1]Table S6'!$A:$AI,33,FALSE)</f>
        <v>0.89593530538412403</v>
      </c>
      <c r="AQ203">
        <f>VLOOKUP($J203,'[1]Table S6'!$A:$AI,34,FALSE)</f>
        <v>129.69999999999999</v>
      </c>
      <c r="AR203" t="str">
        <f>VLOOKUP($J203,'[1]Table S6'!$A:$AI,35,FALSE)</f>
        <v>No</v>
      </c>
      <c r="AT203" t="e">
        <f>VLOOKUP($I203,'[2]Table S5'!$A:$K,8,FALSE)</f>
        <v>#N/A</v>
      </c>
      <c r="AU203" t="e">
        <f>VLOOKUP($I203,'[2]Table S5'!$A:$K,9,FALSE)</f>
        <v>#N/A</v>
      </c>
      <c r="AV203" t="e">
        <f>VLOOKUP($I203,'[2]Table S5'!$A:$K,10,FALSE)</f>
        <v>#N/A</v>
      </c>
      <c r="AW203" t="e">
        <f>VLOOKUP($I203,'[2]Table S5'!$A:$K,11,FALSE)</f>
        <v>#N/A</v>
      </c>
    </row>
    <row r="204" spans="1:49">
      <c r="A204" s="12" t="s">
        <v>1539</v>
      </c>
      <c r="B204" t="s">
        <v>1540</v>
      </c>
      <c r="C204" t="s">
        <v>1541</v>
      </c>
      <c r="D204" t="s">
        <v>17</v>
      </c>
      <c r="E204" t="s">
        <v>1542</v>
      </c>
      <c r="F204" s="12" t="s">
        <v>1543</v>
      </c>
      <c r="G204" t="s">
        <v>1544</v>
      </c>
      <c r="H204" t="s">
        <v>1545</v>
      </c>
      <c r="I204" t="s">
        <v>1530</v>
      </c>
      <c r="J204" t="s">
        <v>1538</v>
      </c>
      <c r="K204">
        <f>VLOOKUP($J204,'[1]Table S6'!$A:$AI,2,FALSE)</f>
        <v>418</v>
      </c>
      <c r="L204">
        <f>VLOOKUP($J204,'[1]Table S6'!$A:$AI,3,FALSE)</f>
        <v>0.88955096829112601</v>
      </c>
      <c r="M204">
        <f>VLOOKUP($J204,'[1]Table S6'!$A:$AI,4,FALSE)</f>
        <v>84.48</v>
      </c>
      <c r="N204" t="str">
        <f>VLOOKUP($J204,'[1]Table S6'!$A:$AI,5,FALSE)</f>
        <v>No</v>
      </c>
      <c r="P204">
        <f>VLOOKUP($J204,'[1]Table S6'!$A:$AI,7,FALSE)</f>
        <v>389.6</v>
      </c>
      <c r="Q204">
        <f>VLOOKUP($J204,'[1]Table S6'!$A:$AI,8,FALSE)</f>
        <v>0.82911257714407305</v>
      </c>
      <c r="R204">
        <f>VLOOKUP($J204,'[1]Table S6'!$A:$AI,9,FALSE)</f>
        <v>16.940000000000001</v>
      </c>
      <c r="S204" t="str">
        <f>VLOOKUP($J204,'[1]Table S6'!$A:$AI,10,FALSE)</f>
        <v>No</v>
      </c>
      <c r="U204">
        <f>VLOOKUP($J204,'[1]Table S6'!$A:$AI,12,FALSE)</f>
        <v>387.4</v>
      </c>
      <c r="V204">
        <f>VLOOKUP($J204,'[1]Table S6'!$A:$AI,13,FALSE)</f>
        <v>0.82443072994254096</v>
      </c>
      <c r="W204">
        <f>VLOOKUP($J204,'[1]Table S6'!$A:$AI,14,FALSE)</f>
        <v>18.96</v>
      </c>
      <c r="X204" t="str">
        <f>VLOOKUP($J204,'[1]Table S6'!$A:$AI,15,FALSE)</f>
        <v>No</v>
      </c>
      <c r="Z204">
        <f>VLOOKUP($J204,'[1]Table S6'!$A:$AI,17,FALSE)</f>
        <v>409.4</v>
      </c>
      <c r="AA204">
        <f>VLOOKUP($J204,'[1]Table S6'!$A:$AI,18,FALSE)</f>
        <v>0.87124920195786304</v>
      </c>
      <c r="AB204">
        <f>VLOOKUP($J204,'[1]Table S6'!$A:$AI,19,FALSE)</f>
        <v>51.78</v>
      </c>
      <c r="AC204" t="str">
        <f>VLOOKUP($J204,'[1]Table S6'!$A:$AI,20,FALSE)</f>
        <v>No</v>
      </c>
      <c r="AE204">
        <f>VLOOKUP($J204,'[1]Table S6'!$A:$AI,22,FALSE)</f>
        <v>390.8</v>
      </c>
      <c r="AF204">
        <f>VLOOKUP($J204,'[1]Table S6'!$A:$AI,23,FALSE)</f>
        <v>0.83166631198127305</v>
      </c>
      <c r="AG204">
        <f>VLOOKUP($J204,'[1]Table S6'!$A:$AI,24,FALSE)</f>
        <v>15.81</v>
      </c>
      <c r="AH204" t="str">
        <f>VLOOKUP($J204,'[1]Table S6'!$A:$AI,25,FALSE)</f>
        <v>No</v>
      </c>
      <c r="AJ204">
        <f>VLOOKUP($J204,'[1]Table S6'!$A:$AI,27,FALSE)</f>
        <v>438.7</v>
      </c>
      <c r="AK204">
        <f>VLOOKUP($J204,'[1]Table S6'!$A:$AI,28,FALSE)</f>
        <v>0.93360289423281595</v>
      </c>
      <c r="AL204">
        <f>VLOOKUP($J204,'[1]Table S6'!$A:$AI,29,FALSE)</f>
        <v>154.6</v>
      </c>
      <c r="AM204" t="str">
        <f>VLOOKUP($J204,'[1]Table S6'!$A:$AI,30,FALSE)</f>
        <v>No</v>
      </c>
      <c r="AO204">
        <f>VLOOKUP($J204,'[1]Table S6'!$A:$AI,32,FALSE)</f>
        <v>421</v>
      </c>
      <c r="AP204">
        <f>VLOOKUP($J204,'[1]Table S6'!$A:$AI,33,FALSE)</f>
        <v>0.89593530538412403</v>
      </c>
      <c r="AQ204">
        <f>VLOOKUP($J204,'[1]Table S6'!$A:$AI,34,FALSE)</f>
        <v>129.69999999999999</v>
      </c>
      <c r="AR204" t="str">
        <f>VLOOKUP($J204,'[1]Table S6'!$A:$AI,35,FALSE)</f>
        <v>No</v>
      </c>
      <c r="AT204" t="e">
        <f>VLOOKUP($I204,'[2]Table S5'!$A:$K,8,FALSE)</f>
        <v>#N/A</v>
      </c>
      <c r="AU204" t="e">
        <f>VLOOKUP($I204,'[2]Table S5'!$A:$K,9,FALSE)</f>
        <v>#N/A</v>
      </c>
      <c r="AV204" t="e">
        <f>VLOOKUP($I204,'[2]Table S5'!$A:$K,10,FALSE)</f>
        <v>#N/A</v>
      </c>
      <c r="AW204" t="e">
        <f>VLOOKUP($I204,'[2]Table S5'!$A:$K,11,FALSE)</f>
        <v>#N/A</v>
      </c>
    </row>
    <row r="205" spans="1:49">
      <c r="A205" s="12" t="s">
        <v>1546</v>
      </c>
      <c r="B205" t="s">
        <v>1547</v>
      </c>
      <c r="C205" t="s">
        <v>1548</v>
      </c>
      <c r="D205" t="s">
        <v>17</v>
      </c>
      <c r="E205" t="s">
        <v>1549</v>
      </c>
      <c r="F205" s="12" t="s">
        <v>1550</v>
      </c>
      <c r="G205" t="s">
        <v>1551</v>
      </c>
      <c r="H205" t="s">
        <v>1552</v>
      </c>
      <c r="I205" t="s">
        <v>1553</v>
      </c>
      <c r="J205" t="s">
        <v>1553</v>
      </c>
      <c r="K205" t="e">
        <f>VLOOKUP($J205,'[1]Table S6'!$A:$AI,2,FALSE)</f>
        <v>#N/A</v>
      </c>
      <c r="L205" t="e">
        <f>VLOOKUP($J205,'[1]Table S6'!$A:$AI,3,FALSE)</f>
        <v>#N/A</v>
      </c>
      <c r="M205" t="e">
        <f>VLOOKUP($J205,'[1]Table S6'!$A:$AI,4,FALSE)</f>
        <v>#N/A</v>
      </c>
      <c r="N205" t="e">
        <f>VLOOKUP($J205,'[1]Table S6'!$A:$AI,5,FALSE)</f>
        <v>#N/A</v>
      </c>
      <c r="P205" t="e">
        <f>VLOOKUP($J205,'[1]Table S6'!$A:$AI,7,FALSE)</f>
        <v>#N/A</v>
      </c>
      <c r="Q205" t="e">
        <f>VLOOKUP($J205,'[1]Table S6'!$A:$AI,8,FALSE)</f>
        <v>#N/A</v>
      </c>
      <c r="R205" t="e">
        <f>VLOOKUP($J205,'[1]Table S6'!$A:$AI,9,FALSE)</f>
        <v>#N/A</v>
      </c>
      <c r="S205" t="e">
        <f>VLOOKUP($J205,'[1]Table S6'!$A:$AI,10,FALSE)</f>
        <v>#N/A</v>
      </c>
      <c r="U205" t="e">
        <f>VLOOKUP($J205,'[1]Table S6'!$A:$AI,12,FALSE)</f>
        <v>#N/A</v>
      </c>
      <c r="V205" t="e">
        <f>VLOOKUP($J205,'[1]Table S6'!$A:$AI,13,FALSE)</f>
        <v>#N/A</v>
      </c>
      <c r="W205" t="e">
        <f>VLOOKUP($J205,'[1]Table S6'!$A:$AI,14,FALSE)</f>
        <v>#N/A</v>
      </c>
      <c r="X205" t="e">
        <f>VLOOKUP($J205,'[1]Table S6'!$A:$AI,15,FALSE)</f>
        <v>#N/A</v>
      </c>
      <c r="Z205" t="e">
        <f>VLOOKUP($J205,'[1]Table S6'!$A:$AI,17,FALSE)</f>
        <v>#N/A</v>
      </c>
      <c r="AA205" t="e">
        <f>VLOOKUP($J205,'[1]Table S6'!$A:$AI,18,FALSE)</f>
        <v>#N/A</v>
      </c>
      <c r="AB205" t="e">
        <f>VLOOKUP($J205,'[1]Table S6'!$A:$AI,19,FALSE)</f>
        <v>#N/A</v>
      </c>
      <c r="AC205" t="e">
        <f>VLOOKUP($J205,'[1]Table S6'!$A:$AI,20,FALSE)</f>
        <v>#N/A</v>
      </c>
      <c r="AE205" t="e">
        <f>VLOOKUP($J205,'[1]Table S6'!$A:$AI,22,FALSE)</f>
        <v>#N/A</v>
      </c>
      <c r="AF205" t="e">
        <f>VLOOKUP($J205,'[1]Table S6'!$A:$AI,23,FALSE)</f>
        <v>#N/A</v>
      </c>
      <c r="AG205" t="e">
        <f>VLOOKUP($J205,'[1]Table S6'!$A:$AI,24,FALSE)</f>
        <v>#N/A</v>
      </c>
      <c r="AH205" t="e">
        <f>VLOOKUP($J205,'[1]Table S6'!$A:$AI,25,FALSE)</f>
        <v>#N/A</v>
      </c>
      <c r="AJ205" t="e">
        <f>VLOOKUP($J205,'[1]Table S6'!$A:$AI,27,FALSE)</f>
        <v>#N/A</v>
      </c>
      <c r="AK205" t="e">
        <f>VLOOKUP($J205,'[1]Table S6'!$A:$AI,28,FALSE)</f>
        <v>#N/A</v>
      </c>
      <c r="AL205" t="e">
        <f>VLOOKUP($J205,'[1]Table S6'!$A:$AI,29,FALSE)</f>
        <v>#N/A</v>
      </c>
      <c r="AM205" t="e">
        <f>VLOOKUP($J205,'[1]Table S6'!$A:$AI,30,FALSE)</f>
        <v>#N/A</v>
      </c>
      <c r="AO205" t="e">
        <f>VLOOKUP($J205,'[1]Table S6'!$A:$AI,32,FALSE)</f>
        <v>#N/A</v>
      </c>
      <c r="AP205" t="e">
        <f>VLOOKUP($J205,'[1]Table S6'!$A:$AI,33,FALSE)</f>
        <v>#N/A</v>
      </c>
      <c r="AQ205" t="e">
        <f>VLOOKUP($J205,'[1]Table S6'!$A:$AI,34,FALSE)</f>
        <v>#N/A</v>
      </c>
      <c r="AR205" t="e">
        <f>VLOOKUP($J205,'[1]Table S6'!$A:$AI,35,FALSE)</f>
        <v>#N/A</v>
      </c>
      <c r="AT205" t="str">
        <f>VLOOKUP($I205,'[2]Table S5'!$A:$K,8,FALSE)</f>
        <v>Resistant</v>
      </c>
      <c r="AU205" t="str">
        <f>VLOOKUP($I205,'[2]Table S5'!$A:$K,9,FALSE)</f>
        <v>Resistant</v>
      </c>
      <c r="AV205" t="str">
        <f>VLOOKUP($I205,'[2]Table S5'!$A:$K,10,FALSE)</f>
        <v>Resistant</v>
      </c>
      <c r="AW205" t="str">
        <f>VLOOKUP($I205,'[2]Table S5'!$A:$K,11,FALSE)</f>
        <v>Resistant</v>
      </c>
    </row>
    <row r="206" spans="1:49">
      <c r="A206" s="12" t="s">
        <v>1554</v>
      </c>
      <c r="B206" t="s">
        <v>1555</v>
      </c>
      <c r="C206" t="s">
        <v>1556</v>
      </c>
      <c r="D206" t="s">
        <v>17</v>
      </c>
      <c r="E206" t="s">
        <v>1557</v>
      </c>
      <c r="F206" s="12" t="s">
        <v>1558</v>
      </c>
      <c r="G206" t="s">
        <v>1559</v>
      </c>
      <c r="H206" t="s">
        <v>1560</v>
      </c>
      <c r="I206" t="s">
        <v>1553</v>
      </c>
      <c r="J206" t="s">
        <v>1561</v>
      </c>
      <c r="K206">
        <f>VLOOKUP($J206,'[1]Table S6'!$A:$AI,2,FALSE)</f>
        <v>372.7</v>
      </c>
      <c r="L206">
        <f>VLOOKUP($J206,'[1]Table S6'!$A:$AI,3,FALSE)</f>
        <v>0.79314747818684805</v>
      </c>
      <c r="M206">
        <f>VLOOKUP($J206,'[1]Table S6'!$A:$AI,4,FALSE)</f>
        <v>11.15</v>
      </c>
      <c r="N206" t="str">
        <f>VLOOKUP($J206,'[1]Table S6'!$A:$AI,5,FALSE)</f>
        <v>No</v>
      </c>
      <c r="P206">
        <f>VLOOKUP($J206,'[1]Table S6'!$A:$AI,7,FALSE)</f>
        <v>325.2</v>
      </c>
      <c r="Q206">
        <f>VLOOKUP($J206,'[1]Table S6'!$A:$AI,8,FALSE)</f>
        <v>0.69206214088103901</v>
      </c>
      <c r="R206">
        <f>VLOOKUP($J206,'[1]Table S6'!$A:$AI,9,FALSE)</f>
        <v>1.905</v>
      </c>
      <c r="S206" t="str">
        <f>VLOOKUP($J206,'[1]Table S6'!$A:$AI,10,FALSE)</f>
        <v>Yes</v>
      </c>
      <c r="U206">
        <f>VLOOKUP($J206,'[1]Table S6'!$A:$AI,12,FALSE)</f>
        <v>381.2</v>
      </c>
      <c r="V206">
        <f>VLOOKUP($J206,'[1]Table S6'!$A:$AI,13,FALSE)</f>
        <v>0.81123643328367701</v>
      </c>
      <c r="W206">
        <f>VLOOKUP($J206,'[1]Table S6'!$A:$AI,14,FALSE)</f>
        <v>20.5</v>
      </c>
      <c r="X206" t="str">
        <f>VLOOKUP($J206,'[1]Table S6'!$A:$AI,15,FALSE)</f>
        <v>No</v>
      </c>
      <c r="Z206">
        <f>VLOOKUP($J206,'[1]Table S6'!$A:$AI,17,FALSE)</f>
        <v>388.3</v>
      </c>
      <c r="AA206">
        <f>VLOOKUP($J206,'[1]Table S6'!$A:$AI,18,FALSE)</f>
        <v>0.82634603107044102</v>
      </c>
      <c r="AB206">
        <f>VLOOKUP($J206,'[1]Table S6'!$A:$AI,19,FALSE)</f>
        <v>17.82</v>
      </c>
      <c r="AC206" t="str">
        <f>VLOOKUP($J206,'[1]Table S6'!$A:$AI,20,FALSE)</f>
        <v>No</v>
      </c>
      <c r="AE206">
        <f>VLOOKUP($J206,'[1]Table S6'!$A:$AI,22,FALSE)</f>
        <v>418</v>
      </c>
      <c r="AF206">
        <f>VLOOKUP($J206,'[1]Table S6'!$A:$AI,23,FALSE)</f>
        <v>0.88955096829112601</v>
      </c>
      <c r="AG206">
        <f>VLOOKUP($J206,'[1]Table S6'!$A:$AI,24,FALSE)</f>
        <v>52.82</v>
      </c>
      <c r="AH206" t="str">
        <f>VLOOKUP($J206,'[1]Table S6'!$A:$AI,25,FALSE)</f>
        <v>No</v>
      </c>
      <c r="AJ206">
        <f>VLOOKUP($J206,'[1]Table S6'!$A:$AI,27,FALSE)</f>
        <v>389.9</v>
      </c>
      <c r="AK206">
        <f>VLOOKUP($J206,'[1]Table S6'!$A:$AI,28,FALSE)</f>
        <v>0.82975101085337299</v>
      </c>
      <c r="AL206">
        <f>VLOOKUP($J206,'[1]Table S6'!$A:$AI,29,FALSE)</f>
        <v>20.61</v>
      </c>
      <c r="AM206" t="str">
        <f>VLOOKUP($J206,'[1]Table S6'!$A:$AI,30,FALSE)</f>
        <v>No</v>
      </c>
      <c r="AO206">
        <f>VLOOKUP($J206,'[1]Table S6'!$A:$AI,32,FALSE)</f>
        <v>425.5</v>
      </c>
      <c r="AP206">
        <f>VLOOKUP($J206,'[1]Table S6'!$A:$AI,33,FALSE)</f>
        <v>0.90551181102362199</v>
      </c>
      <c r="AQ206">
        <f>VLOOKUP($J206,'[1]Table S6'!$A:$AI,34,FALSE)</f>
        <v>110.3</v>
      </c>
      <c r="AR206" t="str">
        <f>VLOOKUP($J206,'[1]Table S6'!$A:$AI,35,FALSE)</f>
        <v>No</v>
      </c>
      <c r="AT206" t="str">
        <f>VLOOKUP($I206,'[2]Table S5'!$A:$K,8,FALSE)</f>
        <v>Resistant</v>
      </c>
      <c r="AU206" t="str">
        <f>VLOOKUP($I206,'[2]Table S5'!$A:$K,9,FALSE)</f>
        <v>Resistant</v>
      </c>
      <c r="AV206" t="str">
        <f>VLOOKUP($I206,'[2]Table S5'!$A:$K,10,FALSE)</f>
        <v>Resistant</v>
      </c>
      <c r="AW206" t="str">
        <f>VLOOKUP($I206,'[2]Table S5'!$A:$K,11,FALSE)</f>
        <v>Resistant</v>
      </c>
    </row>
    <row r="207" spans="1:49">
      <c r="A207" s="12" t="s">
        <v>1562</v>
      </c>
      <c r="B207" t="s">
        <v>1563</v>
      </c>
      <c r="C207" t="s">
        <v>1564</v>
      </c>
      <c r="D207" t="s">
        <v>17</v>
      </c>
      <c r="E207" t="s">
        <v>1565</v>
      </c>
      <c r="F207" s="12" t="s">
        <v>1566</v>
      </c>
      <c r="G207" t="s">
        <v>1567</v>
      </c>
      <c r="H207" t="s">
        <v>1568</v>
      </c>
      <c r="I207" t="s">
        <v>1553</v>
      </c>
      <c r="J207" t="s">
        <v>1569</v>
      </c>
      <c r="K207">
        <f>VLOOKUP($J207,'[1]Table S6'!$A:$AI,2,FALSE)</f>
        <v>354.6</v>
      </c>
      <c r="L207">
        <f>VLOOKUP($J207,'[1]Table S6'!$A:$AI,3,FALSE)</f>
        <v>0.75462864439242405</v>
      </c>
      <c r="M207">
        <f>VLOOKUP($J207,'[1]Table S6'!$A:$AI,4,FALSE)</f>
        <v>7.16</v>
      </c>
      <c r="N207" t="str">
        <f>VLOOKUP($J207,'[1]Table S6'!$A:$AI,5,FALSE)</f>
        <v>No</v>
      </c>
      <c r="P207">
        <f>VLOOKUP($J207,'[1]Table S6'!$A:$AI,7,FALSE)</f>
        <v>343.4</v>
      </c>
      <c r="Q207">
        <f>VLOOKUP($J207,'[1]Table S6'!$A:$AI,8,FALSE)</f>
        <v>0.73079378591189603</v>
      </c>
      <c r="R207">
        <f>VLOOKUP($J207,'[1]Table S6'!$A:$AI,9,FALSE)</f>
        <v>4.1210000000000004</v>
      </c>
      <c r="S207" t="str">
        <f>VLOOKUP($J207,'[1]Table S6'!$A:$AI,10,FALSE)</f>
        <v>No</v>
      </c>
      <c r="U207">
        <f>VLOOKUP($J207,'[1]Table S6'!$A:$AI,12,FALSE)</f>
        <v>376</v>
      </c>
      <c r="V207">
        <f>VLOOKUP($J207,'[1]Table S6'!$A:$AI,13,FALSE)</f>
        <v>0.80017024898914701</v>
      </c>
      <c r="W207">
        <f>VLOOKUP($J207,'[1]Table S6'!$A:$AI,14,FALSE)</f>
        <v>19.8</v>
      </c>
      <c r="X207" t="str">
        <f>VLOOKUP($J207,'[1]Table S6'!$A:$AI,15,FALSE)</f>
        <v>No</v>
      </c>
      <c r="Z207">
        <f>VLOOKUP($J207,'[1]Table S6'!$A:$AI,17,FALSE)</f>
        <v>357.9</v>
      </c>
      <c r="AA207">
        <f>VLOOKUP($J207,'[1]Table S6'!$A:$AI,18,FALSE)</f>
        <v>0.76165141519472201</v>
      </c>
      <c r="AB207">
        <f>VLOOKUP($J207,'[1]Table S6'!$A:$AI,19,FALSE)</f>
        <v>11.92</v>
      </c>
      <c r="AC207" t="str">
        <f>VLOOKUP($J207,'[1]Table S6'!$A:$AI,20,FALSE)</f>
        <v>No</v>
      </c>
      <c r="AE207">
        <f>VLOOKUP($J207,'[1]Table S6'!$A:$AI,22,FALSE)</f>
        <v>408.3</v>
      </c>
      <c r="AF207">
        <f>VLOOKUP($J207,'[1]Table S6'!$A:$AI,23,FALSE)</f>
        <v>0.86890827835709705</v>
      </c>
      <c r="AG207">
        <f>VLOOKUP($J207,'[1]Table S6'!$A:$AI,24,FALSE)</f>
        <v>39.479999999999997</v>
      </c>
      <c r="AH207" t="str">
        <f>VLOOKUP($J207,'[1]Table S6'!$A:$AI,25,FALSE)</f>
        <v>No</v>
      </c>
      <c r="AJ207">
        <f>VLOOKUP($J207,'[1]Table S6'!$A:$AI,27,FALSE)</f>
        <v>421</v>
      </c>
      <c r="AK207">
        <f>VLOOKUP($J207,'[1]Table S6'!$A:$AI,28,FALSE)</f>
        <v>0.89593530538412403</v>
      </c>
      <c r="AL207">
        <f>VLOOKUP($J207,'[1]Table S6'!$A:$AI,29,FALSE)</f>
        <v>34.520000000000003</v>
      </c>
      <c r="AM207" t="str">
        <f>VLOOKUP($J207,'[1]Table S6'!$A:$AI,30,FALSE)</f>
        <v>No</v>
      </c>
      <c r="AO207">
        <f>VLOOKUP($J207,'[1]Table S6'!$A:$AI,32,FALSE)</f>
        <v>443.9</v>
      </c>
      <c r="AP207">
        <f>VLOOKUP($J207,'[1]Table S6'!$A:$AI,33,FALSE)</f>
        <v>0.94466907852734605</v>
      </c>
      <c r="AQ207">
        <f>VLOOKUP($J207,'[1]Table S6'!$A:$AI,34,FALSE)</f>
        <v>120.6</v>
      </c>
      <c r="AR207" t="str">
        <f>VLOOKUP($J207,'[1]Table S6'!$A:$AI,35,FALSE)</f>
        <v>No</v>
      </c>
      <c r="AT207" t="str">
        <f>VLOOKUP($I207,'[2]Table S5'!$A:$K,8,FALSE)</f>
        <v>Resistant</v>
      </c>
      <c r="AU207" t="str">
        <f>VLOOKUP($I207,'[2]Table S5'!$A:$K,9,FALSE)</f>
        <v>Resistant</v>
      </c>
      <c r="AV207" t="str">
        <f>VLOOKUP($I207,'[2]Table S5'!$A:$K,10,FALSE)</f>
        <v>Resistant</v>
      </c>
      <c r="AW207" t="str">
        <f>VLOOKUP($I207,'[2]Table S5'!$A:$K,11,FALSE)</f>
        <v>Resistant</v>
      </c>
    </row>
    <row r="208" spans="1:49">
      <c r="A208" s="12" t="s">
        <v>1570</v>
      </c>
      <c r="B208" t="s">
        <v>1571</v>
      </c>
      <c r="C208" t="s">
        <v>1572</v>
      </c>
      <c r="D208" t="s">
        <v>17</v>
      </c>
      <c r="E208" t="s">
        <v>1573</v>
      </c>
      <c r="F208" s="12" t="s">
        <v>1574</v>
      </c>
      <c r="G208" t="s">
        <v>1575</v>
      </c>
      <c r="H208" t="s">
        <v>1576</v>
      </c>
      <c r="I208" t="s">
        <v>1553</v>
      </c>
      <c r="J208" t="s">
        <v>1561</v>
      </c>
      <c r="K208">
        <f>VLOOKUP($J208,'[1]Table S6'!$A:$AI,2,FALSE)</f>
        <v>372.7</v>
      </c>
      <c r="L208">
        <f>VLOOKUP($J208,'[1]Table S6'!$A:$AI,3,FALSE)</f>
        <v>0.79314747818684805</v>
      </c>
      <c r="M208">
        <f>VLOOKUP($J208,'[1]Table S6'!$A:$AI,4,FALSE)</f>
        <v>11.15</v>
      </c>
      <c r="N208" t="str">
        <f>VLOOKUP($J208,'[1]Table S6'!$A:$AI,5,FALSE)</f>
        <v>No</v>
      </c>
      <c r="P208">
        <f>VLOOKUP($J208,'[1]Table S6'!$A:$AI,7,FALSE)</f>
        <v>325.2</v>
      </c>
      <c r="Q208">
        <f>VLOOKUP($J208,'[1]Table S6'!$A:$AI,8,FALSE)</f>
        <v>0.69206214088103901</v>
      </c>
      <c r="R208">
        <f>VLOOKUP($J208,'[1]Table S6'!$A:$AI,9,FALSE)</f>
        <v>1.905</v>
      </c>
      <c r="S208" t="str">
        <f>VLOOKUP($J208,'[1]Table S6'!$A:$AI,10,FALSE)</f>
        <v>Yes</v>
      </c>
      <c r="U208">
        <f>VLOOKUP($J208,'[1]Table S6'!$A:$AI,12,FALSE)</f>
        <v>381.2</v>
      </c>
      <c r="V208">
        <f>VLOOKUP($J208,'[1]Table S6'!$A:$AI,13,FALSE)</f>
        <v>0.81123643328367701</v>
      </c>
      <c r="W208">
        <f>VLOOKUP($J208,'[1]Table S6'!$A:$AI,14,FALSE)</f>
        <v>20.5</v>
      </c>
      <c r="X208" t="str">
        <f>VLOOKUP($J208,'[1]Table S6'!$A:$AI,15,FALSE)</f>
        <v>No</v>
      </c>
      <c r="Z208">
        <f>VLOOKUP($J208,'[1]Table S6'!$A:$AI,17,FALSE)</f>
        <v>388.3</v>
      </c>
      <c r="AA208">
        <f>VLOOKUP($J208,'[1]Table S6'!$A:$AI,18,FALSE)</f>
        <v>0.82634603107044102</v>
      </c>
      <c r="AB208">
        <f>VLOOKUP($J208,'[1]Table S6'!$A:$AI,19,FALSE)</f>
        <v>17.82</v>
      </c>
      <c r="AC208" t="str">
        <f>VLOOKUP($J208,'[1]Table S6'!$A:$AI,20,FALSE)</f>
        <v>No</v>
      </c>
      <c r="AE208">
        <f>VLOOKUP($J208,'[1]Table S6'!$A:$AI,22,FALSE)</f>
        <v>418</v>
      </c>
      <c r="AF208">
        <f>VLOOKUP($J208,'[1]Table S6'!$A:$AI,23,FALSE)</f>
        <v>0.88955096829112601</v>
      </c>
      <c r="AG208">
        <f>VLOOKUP($J208,'[1]Table S6'!$A:$AI,24,FALSE)</f>
        <v>52.82</v>
      </c>
      <c r="AH208" t="str">
        <f>VLOOKUP($J208,'[1]Table S6'!$A:$AI,25,FALSE)</f>
        <v>No</v>
      </c>
      <c r="AJ208">
        <f>VLOOKUP($J208,'[1]Table S6'!$A:$AI,27,FALSE)</f>
        <v>389.9</v>
      </c>
      <c r="AK208">
        <f>VLOOKUP($J208,'[1]Table S6'!$A:$AI,28,FALSE)</f>
        <v>0.82975101085337299</v>
      </c>
      <c r="AL208">
        <f>VLOOKUP($J208,'[1]Table S6'!$A:$AI,29,FALSE)</f>
        <v>20.61</v>
      </c>
      <c r="AM208" t="str">
        <f>VLOOKUP($J208,'[1]Table S6'!$A:$AI,30,FALSE)</f>
        <v>No</v>
      </c>
      <c r="AO208">
        <f>VLOOKUP($J208,'[1]Table S6'!$A:$AI,32,FALSE)</f>
        <v>425.5</v>
      </c>
      <c r="AP208">
        <f>VLOOKUP($J208,'[1]Table S6'!$A:$AI,33,FALSE)</f>
        <v>0.90551181102362199</v>
      </c>
      <c r="AQ208">
        <f>VLOOKUP($J208,'[1]Table S6'!$A:$AI,34,FALSE)</f>
        <v>110.3</v>
      </c>
      <c r="AR208" t="str">
        <f>VLOOKUP($J208,'[1]Table S6'!$A:$AI,35,FALSE)</f>
        <v>No</v>
      </c>
      <c r="AT208" t="str">
        <f>VLOOKUP($I208,'[2]Table S5'!$A:$K,8,FALSE)</f>
        <v>Resistant</v>
      </c>
      <c r="AU208" t="str">
        <f>VLOOKUP($I208,'[2]Table S5'!$A:$K,9,FALSE)</f>
        <v>Resistant</v>
      </c>
      <c r="AV208" t="str">
        <f>VLOOKUP($I208,'[2]Table S5'!$A:$K,10,FALSE)</f>
        <v>Resistant</v>
      </c>
      <c r="AW208" t="str">
        <f>VLOOKUP($I208,'[2]Table S5'!$A:$K,11,FALSE)</f>
        <v>Resistant</v>
      </c>
    </row>
    <row r="209" spans="1:49">
      <c r="A209" s="12" t="s">
        <v>1577</v>
      </c>
      <c r="B209" t="s">
        <v>1578</v>
      </c>
      <c r="C209" t="s">
        <v>1579</v>
      </c>
      <c r="D209" t="s">
        <v>17</v>
      </c>
      <c r="E209" t="s">
        <v>1580</v>
      </c>
      <c r="F209" s="12" t="s">
        <v>1581</v>
      </c>
      <c r="G209" t="s">
        <v>1582</v>
      </c>
      <c r="H209" t="s">
        <v>1583</v>
      </c>
      <c r="I209" t="s">
        <v>1553</v>
      </c>
      <c r="J209" t="s">
        <v>1569</v>
      </c>
      <c r="K209">
        <f>VLOOKUP($J209,'[1]Table S6'!$A:$AI,2,FALSE)</f>
        <v>354.6</v>
      </c>
      <c r="L209">
        <f>VLOOKUP($J209,'[1]Table S6'!$A:$AI,3,FALSE)</f>
        <v>0.75462864439242405</v>
      </c>
      <c r="M209">
        <f>VLOOKUP($J209,'[1]Table S6'!$A:$AI,4,FALSE)</f>
        <v>7.16</v>
      </c>
      <c r="N209" t="str">
        <f>VLOOKUP($J209,'[1]Table S6'!$A:$AI,5,FALSE)</f>
        <v>No</v>
      </c>
      <c r="P209">
        <f>VLOOKUP($J209,'[1]Table S6'!$A:$AI,7,FALSE)</f>
        <v>343.4</v>
      </c>
      <c r="Q209">
        <f>VLOOKUP($J209,'[1]Table S6'!$A:$AI,8,FALSE)</f>
        <v>0.73079378591189603</v>
      </c>
      <c r="R209">
        <f>VLOOKUP($J209,'[1]Table S6'!$A:$AI,9,FALSE)</f>
        <v>4.1210000000000004</v>
      </c>
      <c r="S209" t="str">
        <f>VLOOKUP($J209,'[1]Table S6'!$A:$AI,10,FALSE)</f>
        <v>No</v>
      </c>
      <c r="U209">
        <f>VLOOKUP($J209,'[1]Table S6'!$A:$AI,12,FALSE)</f>
        <v>376</v>
      </c>
      <c r="V209">
        <f>VLOOKUP($J209,'[1]Table S6'!$A:$AI,13,FALSE)</f>
        <v>0.80017024898914701</v>
      </c>
      <c r="W209">
        <f>VLOOKUP($J209,'[1]Table S6'!$A:$AI,14,FALSE)</f>
        <v>19.8</v>
      </c>
      <c r="X209" t="str">
        <f>VLOOKUP($J209,'[1]Table S6'!$A:$AI,15,FALSE)</f>
        <v>No</v>
      </c>
      <c r="Z209">
        <f>VLOOKUP($J209,'[1]Table S6'!$A:$AI,17,FALSE)</f>
        <v>357.9</v>
      </c>
      <c r="AA209">
        <f>VLOOKUP($J209,'[1]Table S6'!$A:$AI,18,FALSE)</f>
        <v>0.76165141519472201</v>
      </c>
      <c r="AB209">
        <f>VLOOKUP($J209,'[1]Table S6'!$A:$AI,19,FALSE)</f>
        <v>11.92</v>
      </c>
      <c r="AC209" t="str">
        <f>VLOOKUP($J209,'[1]Table S6'!$A:$AI,20,FALSE)</f>
        <v>No</v>
      </c>
      <c r="AE209">
        <f>VLOOKUP($J209,'[1]Table S6'!$A:$AI,22,FALSE)</f>
        <v>408.3</v>
      </c>
      <c r="AF209">
        <f>VLOOKUP($J209,'[1]Table S6'!$A:$AI,23,FALSE)</f>
        <v>0.86890827835709705</v>
      </c>
      <c r="AG209">
        <f>VLOOKUP($J209,'[1]Table S6'!$A:$AI,24,FALSE)</f>
        <v>39.479999999999997</v>
      </c>
      <c r="AH209" t="str">
        <f>VLOOKUP($J209,'[1]Table S6'!$A:$AI,25,FALSE)</f>
        <v>No</v>
      </c>
      <c r="AJ209">
        <f>VLOOKUP($J209,'[1]Table S6'!$A:$AI,27,FALSE)</f>
        <v>421</v>
      </c>
      <c r="AK209">
        <f>VLOOKUP($J209,'[1]Table S6'!$A:$AI,28,FALSE)</f>
        <v>0.89593530538412403</v>
      </c>
      <c r="AL209">
        <f>VLOOKUP($J209,'[1]Table S6'!$A:$AI,29,FALSE)</f>
        <v>34.520000000000003</v>
      </c>
      <c r="AM209" t="str">
        <f>VLOOKUP($J209,'[1]Table S6'!$A:$AI,30,FALSE)</f>
        <v>No</v>
      </c>
      <c r="AO209">
        <f>VLOOKUP($J209,'[1]Table S6'!$A:$AI,32,FALSE)</f>
        <v>443.9</v>
      </c>
      <c r="AP209">
        <f>VLOOKUP($J209,'[1]Table S6'!$A:$AI,33,FALSE)</f>
        <v>0.94466907852734605</v>
      </c>
      <c r="AQ209">
        <f>VLOOKUP($J209,'[1]Table S6'!$A:$AI,34,FALSE)</f>
        <v>120.6</v>
      </c>
      <c r="AR209" t="str">
        <f>VLOOKUP($J209,'[1]Table S6'!$A:$AI,35,FALSE)</f>
        <v>No</v>
      </c>
      <c r="AT209" t="str">
        <f>VLOOKUP($I209,'[2]Table S5'!$A:$K,8,FALSE)</f>
        <v>Resistant</v>
      </c>
      <c r="AU209" t="str">
        <f>VLOOKUP($I209,'[2]Table S5'!$A:$K,9,FALSE)</f>
        <v>Resistant</v>
      </c>
      <c r="AV209" t="str">
        <f>VLOOKUP($I209,'[2]Table S5'!$A:$K,10,FALSE)</f>
        <v>Resistant</v>
      </c>
      <c r="AW209" t="str">
        <f>VLOOKUP($I209,'[2]Table S5'!$A:$K,11,FALSE)</f>
        <v>Resistant</v>
      </c>
    </row>
    <row r="210" spans="1:49">
      <c r="A210" s="12" t="s">
        <v>1584</v>
      </c>
      <c r="B210" t="s">
        <v>1585</v>
      </c>
      <c r="C210" t="s">
        <v>1586</v>
      </c>
      <c r="D210" t="s">
        <v>17</v>
      </c>
      <c r="E210" t="s">
        <v>1587</v>
      </c>
      <c r="F210" s="12" t="s">
        <v>1588</v>
      </c>
      <c r="G210" t="s">
        <v>1589</v>
      </c>
      <c r="H210" t="s">
        <v>1590</v>
      </c>
      <c r="I210" t="s">
        <v>1591</v>
      </c>
      <c r="J210" t="s">
        <v>1592</v>
      </c>
      <c r="K210">
        <f>VLOOKUP($J210,'[1]Table S6'!$A:$AI,2,FALSE)</f>
        <v>281.10000000000002</v>
      </c>
      <c r="L210">
        <f>VLOOKUP($J210,'[1]Table S6'!$A:$AI,3,FALSE)</f>
        <v>0.59821238561396095</v>
      </c>
      <c r="M210">
        <f>VLOOKUP($J210,'[1]Table S6'!$A:$AI,4,FALSE)</f>
        <v>0.63690000000000002</v>
      </c>
      <c r="N210" t="str">
        <f>VLOOKUP($J210,'[1]Table S6'!$A:$AI,5,FALSE)</f>
        <v>Yes</v>
      </c>
      <c r="P210">
        <f>VLOOKUP($J210,'[1]Table S6'!$A:$AI,7,FALSE)</f>
        <v>282.2</v>
      </c>
      <c r="Q210">
        <f>VLOOKUP($J210,'[1]Table S6'!$A:$AI,8,FALSE)</f>
        <v>0.60055330921472605</v>
      </c>
      <c r="R210">
        <f>VLOOKUP($J210,'[1]Table S6'!$A:$AI,9,FALSE)</f>
        <v>0.84440000000000004</v>
      </c>
      <c r="S210" t="str">
        <f>VLOOKUP($J210,'[1]Table S6'!$A:$AI,10,FALSE)</f>
        <v>Yes</v>
      </c>
      <c r="U210">
        <f>VLOOKUP($J210,'[1]Table S6'!$A:$AI,12,FALSE)</f>
        <v>289.3</v>
      </c>
      <c r="V210">
        <f>VLOOKUP($J210,'[1]Table S6'!$A:$AI,13,FALSE)</f>
        <v>0.61566290700148996</v>
      </c>
      <c r="W210">
        <f>VLOOKUP($J210,'[1]Table S6'!$A:$AI,14,FALSE)</f>
        <v>0.67879999999999996</v>
      </c>
      <c r="X210" t="str">
        <f>VLOOKUP($J210,'[1]Table S6'!$A:$AI,15,FALSE)</f>
        <v>Yes</v>
      </c>
      <c r="Z210">
        <f>VLOOKUP($J210,'[1]Table S6'!$A:$AI,17,FALSE)</f>
        <v>310.10000000000002</v>
      </c>
      <c r="AA210">
        <f>VLOOKUP($J210,'[1]Table S6'!$A:$AI,18,FALSE)</f>
        <v>0.65992764417961303</v>
      </c>
      <c r="AB210">
        <f>VLOOKUP($J210,'[1]Table S6'!$A:$AI,19,FALSE)</f>
        <v>1.5069999999999999</v>
      </c>
      <c r="AC210" t="str">
        <f>VLOOKUP($J210,'[1]Table S6'!$A:$AI,20,FALSE)</f>
        <v>Yes</v>
      </c>
      <c r="AE210">
        <f>VLOOKUP($J210,'[1]Table S6'!$A:$AI,22,FALSE)</f>
        <v>305.39999999999998</v>
      </c>
      <c r="AF210">
        <f>VLOOKUP($J210,'[1]Table S6'!$A:$AI,23,FALSE)</f>
        <v>0.64992551606724802</v>
      </c>
      <c r="AG210">
        <f>VLOOKUP($J210,'[1]Table S6'!$A:$AI,24,FALSE)</f>
        <v>1.2450000000000001</v>
      </c>
      <c r="AH210" t="str">
        <f>VLOOKUP($J210,'[1]Table S6'!$A:$AI,25,FALSE)</f>
        <v>Yes</v>
      </c>
      <c r="AJ210">
        <f>VLOOKUP($J210,'[1]Table S6'!$A:$AI,27,FALSE)</f>
        <v>388.2</v>
      </c>
      <c r="AK210">
        <f>VLOOKUP($J210,'[1]Table S6'!$A:$AI,28,FALSE)</f>
        <v>0.826133219834007</v>
      </c>
      <c r="AL210">
        <f>VLOOKUP($J210,'[1]Table S6'!$A:$AI,29,FALSE)</f>
        <v>49.89</v>
      </c>
      <c r="AM210" t="str">
        <f>VLOOKUP($J210,'[1]Table S6'!$A:$AI,30,FALSE)</f>
        <v>No</v>
      </c>
      <c r="AO210">
        <f>VLOOKUP($J210,'[1]Table S6'!$A:$AI,32,FALSE)</f>
        <v>449.2</v>
      </c>
      <c r="AP210">
        <f>VLOOKUP($J210,'[1]Table S6'!$A:$AI,33,FALSE)</f>
        <v>0.95594807405830995</v>
      </c>
      <c r="AQ210">
        <f>VLOOKUP($J210,'[1]Table S6'!$A:$AI,34,FALSE)</f>
        <v>125.1</v>
      </c>
      <c r="AR210" t="str">
        <f>VLOOKUP($J210,'[1]Table S6'!$A:$AI,35,FALSE)</f>
        <v>No</v>
      </c>
      <c r="AT210" t="e">
        <f>VLOOKUP($I210,'[2]Table S5'!$A:$K,8,FALSE)</f>
        <v>#N/A</v>
      </c>
      <c r="AU210" t="e">
        <f>VLOOKUP($I210,'[2]Table S5'!$A:$K,9,FALSE)</f>
        <v>#N/A</v>
      </c>
      <c r="AV210" t="e">
        <f>VLOOKUP($I210,'[2]Table S5'!$A:$K,10,FALSE)</f>
        <v>#N/A</v>
      </c>
      <c r="AW210" t="e">
        <f>VLOOKUP($I210,'[2]Table S5'!$A:$K,11,FALSE)</f>
        <v>#N/A</v>
      </c>
    </row>
    <row r="211" spans="1:49">
      <c r="A211" s="12" t="s">
        <v>1593</v>
      </c>
      <c r="B211" t="s">
        <v>1594</v>
      </c>
      <c r="C211" t="s">
        <v>1595</v>
      </c>
      <c r="D211" t="s">
        <v>17</v>
      </c>
      <c r="E211" t="s">
        <v>1596</v>
      </c>
      <c r="F211" s="12" t="s">
        <v>1597</v>
      </c>
      <c r="G211" t="s">
        <v>1598</v>
      </c>
      <c r="H211" t="s">
        <v>1599</v>
      </c>
      <c r="I211" t="s">
        <v>1591</v>
      </c>
      <c r="J211" t="s">
        <v>1600</v>
      </c>
      <c r="K211">
        <f>VLOOKUP($J211,'[1]Table S6'!$A:$AI,2,FALSE)</f>
        <v>336.4</v>
      </c>
      <c r="L211">
        <f>VLOOKUP($J211,'[1]Table S6'!$A:$AI,3,FALSE)</f>
        <v>0.71589699936156603</v>
      </c>
      <c r="M211">
        <f>VLOOKUP($J211,'[1]Table S6'!$A:$AI,4,FALSE)</f>
        <v>2.8969999999999998</v>
      </c>
      <c r="N211" t="str">
        <f>VLOOKUP($J211,'[1]Table S6'!$A:$AI,5,FALSE)</f>
        <v>No</v>
      </c>
      <c r="P211">
        <f>VLOOKUP($J211,'[1]Table S6'!$A:$AI,7,FALSE)</f>
        <v>329.9</v>
      </c>
      <c r="Q211">
        <f>VLOOKUP($J211,'[1]Table S6'!$A:$AI,8,FALSE)</f>
        <v>0.70206426899340302</v>
      </c>
      <c r="R211">
        <f>VLOOKUP($J211,'[1]Table S6'!$A:$AI,9,FALSE)</f>
        <v>2.0939999999999999</v>
      </c>
      <c r="S211" t="str">
        <f>VLOOKUP($J211,'[1]Table S6'!$A:$AI,10,FALSE)</f>
        <v>No</v>
      </c>
      <c r="U211">
        <f>VLOOKUP($J211,'[1]Table S6'!$A:$AI,12,FALSE)</f>
        <v>329.3</v>
      </c>
      <c r="V211">
        <f>VLOOKUP($J211,'[1]Table S6'!$A:$AI,13,FALSE)</f>
        <v>0.70078740157480301</v>
      </c>
      <c r="W211">
        <f>VLOOKUP($J211,'[1]Table S6'!$A:$AI,14,FALSE)</f>
        <v>2.2250000000000001</v>
      </c>
      <c r="X211" t="str">
        <f>VLOOKUP($J211,'[1]Table S6'!$A:$AI,15,FALSE)</f>
        <v>Yes</v>
      </c>
      <c r="Z211">
        <f>VLOOKUP($J211,'[1]Table S6'!$A:$AI,17,FALSE)</f>
        <v>342.7</v>
      </c>
      <c r="AA211">
        <f>VLOOKUP($J211,'[1]Table S6'!$A:$AI,18,FALSE)</f>
        <v>0.72930410725686301</v>
      </c>
      <c r="AB211">
        <f>VLOOKUP($J211,'[1]Table S6'!$A:$AI,19,FALSE)</f>
        <v>5.694</v>
      </c>
      <c r="AC211" t="str">
        <f>VLOOKUP($J211,'[1]Table S6'!$A:$AI,20,FALSE)</f>
        <v>No</v>
      </c>
      <c r="AE211">
        <f>VLOOKUP($J211,'[1]Table S6'!$A:$AI,22,FALSE)</f>
        <v>330</v>
      </c>
      <c r="AF211">
        <f>VLOOKUP($J211,'[1]Table S6'!$A:$AI,23,FALSE)</f>
        <v>0.70227708022983604</v>
      </c>
      <c r="AG211">
        <f>VLOOKUP($J211,'[1]Table S6'!$A:$AI,24,FALSE)</f>
        <v>4.0309999999999997</v>
      </c>
      <c r="AH211" t="str">
        <f>VLOOKUP($J211,'[1]Table S6'!$A:$AI,25,FALSE)</f>
        <v>No</v>
      </c>
      <c r="AJ211">
        <f>VLOOKUP($J211,'[1]Table S6'!$A:$AI,27,FALSE)</f>
        <v>469.2</v>
      </c>
      <c r="AK211">
        <f>VLOOKUP($J211,'[1]Table S6'!$A:$AI,28,FALSE)</f>
        <v>0.99851032134496698</v>
      </c>
      <c r="AL211">
        <f>VLOOKUP($J211,'[1]Table S6'!$A:$AI,29,FALSE)</f>
        <v>330.9</v>
      </c>
      <c r="AM211" t="str">
        <f>VLOOKUP($J211,'[1]Table S6'!$A:$AI,30,FALSE)</f>
        <v>No</v>
      </c>
      <c r="AO211">
        <f>VLOOKUP($J211,'[1]Table S6'!$A:$AI,32,FALSE)</f>
        <v>444.4</v>
      </c>
      <c r="AP211">
        <f>VLOOKUP($J211,'[1]Table S6'!$A:$AI,33,FALSE)</f>
        <v>0.94573313470951303</v>
      </c>
      <c r="AQ211">
        <f>VLOOKUP($J211,'[1]Table S6'!$A:$AI,34,FALSE)</f>
        <v>283.8</v>
      </c>
      <c r="AR211" t="str">
        <f>VLOOKUP($J211,'[1]Table S6'!$A:$AI,35,FALSE)</f>
        <v>No</v>
      </c>
      <c r="AT211" t="e">
        <f>VLOOKUP($I211,'[2]Table S5'!$A:$K,8,FALSE)</f>
        <v>#N/A</v>
      </c>
      <c r="AU211" t="e">
        <f>VLOOKUP($I211,'[2]Table S5'!$A:$K,9,FALSE)</f>
        <v>#N/A</v>
      </c>
      <c r="AV211" t="e">
        <f>VLOOKUP($I211,'[2]Table S5'!$A:$K,10,FALSE)</f>
        <v>#N/A</v>
      </c>
      <c r="AW211" t="e">
        <f>VLOOKUP($I211,'[2]Table S5'!$A:$K,11,FALSE)</f>
        <v>#N/A</v>
      </c>
    </row>
    <row r="212" spans="1:49">
      <c r="A212" s="12" t="s">
        <v>1601</v>
      </c>
      <c r="B212" t="s">
        <v>1602</v>
      </c>
      <c r="C212" t="s">
        <v>1603</v>
      </c>
      <c r="D212" t="s">
        <v>17</v>
      </c>
      <c r="E212" t="s">
        <v>1604</v>
      </c>
      <c r="F212" s="12" t="s">
        <v>1605</v>
      </c>
      <c r="G212" t="s">
        <v>1606</v>
      </c>
      <c r="H212" t="s">
        <v>1607</v>
      </c>
      <c r="I212" t="s">
        <v>1591</v>
      </c>
      <c r="J212" t="s">
        <v>1592</v>
      </c>
      <c r="K212">
        <f>VLOOKUP($J212,'[1]Table S6'!$A:$AI,2,FALSE)</f>
        <v>281.10000000000002</v>
      </c>
      <c r="L212">
        <f>VLOOKUP($J212,'[1]Table S6'!$A:$AI,3,FALSE)</f>
        <v>0.59821238561396095</v>
      </c>
      <c r="M212">
        <f>VLOOKUP($J212,'[1]Table S6'!$A:$AI,4,FALSE)</f>
        <v>0.63690000000000002</v>
      </c>
      <c r="N212" t="str">
        <f>VLOOKUP($J212,'[1]Table S6'!$A:$AI,5,FALSE)</f>
        <v>Yes</v>
      </c>
      <c r="P212">
        <f>VLOOKUP($J212,'[1]Table S6'!$A:$AI,7,FALSE)</f>
        <v>282.2</v>
      </c>
      <c r="Q212">
        <f>VLOOKUP($J212,'[1]Table S6'!$A:$AI,8,FALSE)</f>
        <v>0.60055330921472605</v>
      </c>
      <c r="R212">
        <f>VLOOKUP($J212,'[1]Table S6'!$A:$AI,9,FALSE)</f>
        <v>0.84440000000000004</v>
      </c>
      <c r="S212" t="str">
        <f>VLOOKUP($J212,'[1]Table S6'!$A:$AI,10,FALSE)</f>
        <v>Yes</v>
      </c>
      <c r="U212">
        <f>VLOOKUP($J212,'[1]Table S6'!$A:$AI,12,FALSE)</f>
        <v>289.3</v>
      </c>
      <c r="V212">
        <f>VLOOKUP($J212,'[1]Table S6'!$A:$AI,13,FALSE)</f>
        <v>0.61566290700148996</v>
      </c>
      <c r="W212">
        <f>VLOOKUP($J212,'[1]Table S6'!$A:$AI,14,FALSE)</f>
        <v>0.67879999999999996</v>
      </c>
      <c r="X212" t="str">
        <f>VLOOKUP($J212,'[1]Table S6'!$A:$AI,15,FALSE)</f>
        <v>Yes</v>
      </c>
      <c r="Z212">
        <f>VLOOKUP($J212,'[1]Table S6'!$A:$AI,17,FALSE)</f>
        <v>310.10000000000002</v>
      </c>
      <c r="AA212">
        <f>VLOOKUP($J212,'[1]Table S6'!$A:$AI,18,FALSE)</f>
        <v>0.65992764417961303</v>
      </c>
      <c r="AB212">
        <f>VLOOKUP($J212,'[1]Table S6'!$A:$AI,19,FALSE)</f>
        <v>1.5069999999999999</v>
      </c>
      <c r="AC212" t="str">
        <f>VLOOKUP($J212,'[1]Table S6'!$A:$AI,20,FALSE)</f>
        <v>Yes</v>
      </c>
      <c r="AE212">
        <f>VLOOKUP($J212,'[1]Table S6'!$A:$AI,22,FALSE)</f>
        <v>305.39999999999998</v>
      </c>
      <c r="AF212">
        <f>VLOOKUP($J212,'[1]Table S6'!$A:$AI,23,FALSE)</f>
        <v>0.64992551606724802</v>
      </c>
      <c r="AG212">
        <f>VLOOKUP($J212,'[1]Table S6'!$A:$AI,24,FALSE)</f>
        <v>1.2450000000000001</v>
      </c>
      <c r="AH212" t="str">
        <f>VLOOKUP($J212,'[1]Table S6'!$A:$AI,25,FALSE)</f>
        <v>Yes</v>
      </c>
      <c r="AJ212">
        <f>VLOOKUP($J212,'[1]Table S6'!$A:$AI,27,FALSE)</f>
        <v>388.2</v>
      </c>
      <c r="AK212">
        <f>VLOOKUP($J212,'[1]Table S6'!$A:$AI,28,FALSE)</f>
        <v>0.826133219834007</v>
      </c>
      <c r="AL212">
        <f>VLOOKUP($J212,'[1]Table S6'!$A:$AI,29,FALSE)</f>
        <v>49.89</v>
      </c>
      <c r="AM212" t="str">
        <f>VLOOKUP($J212,'[1]Table S6'!$A:$AI,30,FALSE)</f>
        <v>No</v>
      </c>
      <c r="AO212">
        <f>VLOOKUP($J212,'[1]Table S6'!$A:$AI,32,FALSE)</f>
        <v>449.2</v>
      </c>
      <c r="AP212">
        <f>VLOOKUP($J212,'[1]Table S6'!$A:$AI,33,FALSE)</f>
        <v>0.95594807405830995</v>
      </c>
      <c r="AQ212">
        <f>VLOOKUP($J212,'[1]Table S6'!$A:$AI,34,FALSE)</f>
        <v>125.1</v>
      </c>
      <c r="AR212" t="str">
        <f>VLOOKUP($J212,'[1]Table S6'!$A:$AI,35,FALSE)</f>
        <v>No</v>
      </c>
      <c r="AT212" t="e">
        <f>VLOOKUP($I212,'[2]Table S5'!$A:$K,8,FALSE)</f>
        <v>#N/A</v>
      </c>
      <c r="AU212" t="e">
        <f>VLOOKUP($I212,'[2]Table S5'!$A:$K,9,FALSE)</f>
        <v>#N/A</v>
      </c>
      <c r="AV212" t="e">
        <f>VLOOKUP($I212,'[2]Table S5'!$A:$K,10,FALSE)</f>
        <v>#N/A</v>
      </c>
      <c r="AW212" t="e">
        <f>VLOOKUP($I212,'[2]Table S5'!$A:$K,11,FALSE)</f>
        <v>#N/A</v>
      </c>
    </row>
    <row r="213" spans="1:49">
      <c r="A213" s="12" t="s">
        <v>1608</v>
      </c>
      <c r="B213" t="s">
        <v>1609</v>
      </c>
      <c r="C213" t="s">
        <v>1610</v>
      </c>
      <c r="D213" t="s">
        <v>17</v>
      </c>
      <c r="E213" t="s">
        <v>1611</v>
      </c>
      <c r="F213" s="12" t="s">
        <v>1612</v>
      </c>
      <c r="G213" t="s">
        <v>1613</v>
      </c>
      <c r="H213" t="s">
        <v>1614</v>
      </c>
      <c r="I213" t="s">
        <v>1591</v>
      </c>
      <c r="J213" t="s">
        <v>1600</v>
      </c>
      <c r="K213">
        <f>VLOOKUP($J213,'[1]Table S6'!$A:$AI,2,FALSE)</f>
        <v>336.4</v>
      </c>
      <c r="L213">
        <f>VLOOKUP($J213,'[1]Table S6'!$A:$AI,3,FALSE)</f>
        <v>0.71589699936156603</v>
      </c>
      <c r="M213">
        <f>VLOOKUP($J213,'[1]Table S6'!$A:$AI,4,FALSE)</f>
        <v>2.8969999999999998</v>
      </c>
      <c r="N213" t="str">
        <f>VLOOKUP($J213,'[1]Table S6'!$A:$AI,5,FALSE)</f>
        <v>No</v>
      </c>
      <c r="P213">
        <f>VLOOKUP($J213,'[1]Table S6'!$A:$AI,7,FALSE)</f>
        <v>329.9</v>
      </c>
      <c r="Q213">
        <f>VLOOKUP($J213,'[1]Table S6'!$A:$AI,8,FALSE)</f>
        <v>0.70206426899340302</v>
      </c>
      <c r="R213">
        <f>VLOOKUP($J213,'[1]Table S6'!$A:$AI,9,FALSE)</f>
        <v>2.0939999999999999</v>
      </c>
      <c r="S213" t="str">
        <f>VLOOKUP($J213,'[1]Table S6'!$A:$AI,10,FALSE)</f>
        <v>No</v>
      </c>
      <c r="U213">
        <f>VLOOKUP($J213,'[1]Table S6'!$A:$AI,12,FALSE)</f>
        <v>329.3</v>
      </c>
      <c r="V213">
        <f>VLOOKUP($J213,'[1]Table S6'!$A:$AI,13,FALSE)</f>
        <v>0.70078740157480301</v>
      </c>
      <c r="W213">
        <f>VLOOKUP($J213,'[1]Table S6'!$A:$AI,14,FALSE)</f>
        <v>2.2250000000000001</v>
      </c>
      <c r="X213" t="str">
        <f>VLOOKUP($J213,'[1]Table S6'!$A:$AI,15,FALSE)</f>
        <v>Yes</v>
      </c>
      <c r="Z213">
        <f>VLOOKUP($J213,'[1]Table S6'!$A:$AI,17,FALSE)</f>
        <v>342.7</v>
      </c>
      <c r="AA213">
        <f>VLOOKUP($J213,'[1]Table S6'!$A:$AI,18,FALSE)</f>
        <v>0.72930410725686301</v>
      </c>
      <c r="AB213">
        <f>VLOOKUP($J213,'[1]Table S6'!$A:$AI,19,FALSE)</f>
        <v>5.694</v>
      </c>
      <c r="AC213" t="str">
        <f>VLOOKUP($J213,'[1]Table S6'!$A:$AI,20,FALSE)</f>
        <v>No</v>
      </c>
      <c r="AE213">
        <f>VLOOKUP($J213,'[1]Table S6'!$A:$AI,22,FALSE)</f>
        <v>330</v>
      </c>
      <c r="AF213">
        <f>VLOOKUP($J213,'[1]Table S6'!$A:$AI,23,FALSE)</f>
        <v>0.70227708022983604</v>
      </c>
      <c r="AG213">
        <f>VLOOKUP($J213,'[1]Table S6'!$A:$AI,24,FALSE)</f>
        <v>4.0309999999999997</v>
      </c>
      <c r="AH213" t="str">
        <f>VLOOKUP($J213,'[1]Table S6'!$A:$AI,25,FALSE)</f>
        <v>No</v>
      </c>
      <c r="AJ213">
        <f>VLOOKUP($J213,'[1]Table S6'!$A:$AI,27,FALSE)</f>
        <v>469.2</v>
      </c>
      <c r="AK213">
        <f>VLOOKUP($J213,'[1]Table S6'!$A:$AI,28,FALSE)</f>
        <v>0.99851032134496698</v>
      </c>
      <c r="AL213">
        <f>VLOOKUP($J213,'[1]Table S6'!$A:$AI,29,FALSE)</f>
        <v>330.9</v>
      </c>
      <c r="AM213" t="str">
        <f>VLOOKUP($J213,'[1]Table S6'!$A:$AI,30,FALSE)</f>
        <v>No</v>
      </c>
      <c r="AO213">
        <f>VLOOKUP($J213,'[1]Table S6'!$A:$AI,32,FALSE)</f>
        <v>444.4</v>
      </c>
      <c r="AP213">
        <f>VLOOKUP($J213,'[1]Table S6'!$A:$AI,33,FALSE)</f>
        <v>0.94573313470951303</v>
      </c>
      <c r="AQ213">
        <f>VLOOKUP($J213,'[1]Table S6'!$A:$AI,34,FALSE)</f>
        <v>283.8</v>
      </c>
      <c r="AR213" t="str">
        <f>VLOOKUP($J213,'[1]Table S6'!$A:$AI,35,FALSE)</f>
        <v>No</v>
      </c>
      <c r="AT213" t="e">
        <f>VLOOKUP($I213,'[2]Table S5'!$A:$K,8,FALSE)</f>
        <v>#N/A</v>
      </c>
      <c r="AU213" t="e">
        <f>VLOOKUP($I213,'[2]Table S5'!$A:$K,9,FALSE)</f>
        <v>#N/A</v>
      </c>
      <c r="AV213" t="e">
        <f>VLOOKUP($I213,'[2]Table S5'!$A:$K,10,FALSE)</f>
        <v>#N/A</v>
      </c>
      <c r="AW213" t="e">
        <f>VLOOKUP($I213,'[2]Table S5'!$A:$K,11,FALSE)</f>
        <v>#N/A</v>
      </c>
    </row>
    <row r="214" spans="1:49">
      <c r="A214" s="12" t="s">
        <v>1615</v>
      </c>
      <c r="B214" t="s">
        <v>1616</v>
      </c>
      <c r="C214" t="s">
        <v>1617</v>
      </c>
      <c r="D214" t="s">
        <v>17</v>
      </c>
      <c r="E214" t="s">
        <v>1618</v>
      </c>
      <c r="F214" s="12" t="s">
        <v>1619</v>
      </c>
      <c r="G214" t="s">
        <v>1620</v>
      </c>
      <c r="H214" t="s">
        <v>1621</v>
      </c>
      <c r="I214" t="s">
        <v>1591</v>
      </c>
      <c r="J214" t="s">
        <v>1591</v>
      </c>
      <c r="K214" t="e">
        <f>VLOOKUP($J214,'[1]Table S6'!$A:$AI,2,FALSE)</f>
        <v>#N/A</v>
      </c>
      <c r="L214" t="e">
        <f>VLOOKUP($J214,'[1]Table S6'!$A:$AI,3,FALSE)</f>
        <v>#N/A</v>
      </c>
      <c r="M214" t="e">
        <f>VLOOKUP($J214,'[1]Table S6'!$A:$AI,4,FALSE)</f>
        <v>#N/A</v>
      </c>
      <c r="N214" t="e">
        <f>VLOOKUP($J214,'[1]Table S6'!$A:$AI,5,FALSE)</f>
        <v>#N/A</v>
      </c>
      <c r="P214" t="e">
        <f>VLOOKUP($J214,'[1]Table S6'!$A:$AI,7,FALSE)</f>
        <v>#N/A</v>
      </c>
      <c r="Q214" t="e">
        <f>VLOOKUP($J214,'[1]Table S6'!$A:$AI,8,FALSE)</f>
        <v>#N/A</v>
      </c>
      <c r="R214" t="e">
        <f>VLOOKUP($J214,'[1]Table S6'!$A:$AI,9,FALSE)</f>
        <v>#N/A</v>
      </c>
      <c r="S214" t="e">
        <f>VLOOKUP($J214,'[1]Table S6'!$A:$AI,10,FALSE)</f>
        <v>#N/A</v>
      </c>
      <c r="U214" t="e">
        <f>VLOOKUP($J214,'[1]Table S6'!$A:$AI,12,FALSE)</f>
        <v>#N/A</v>
      </c>
      <c r="V214" t="e">
        <f>VLOOKUP($J214,'[1]Table S6'!$A:$AI,13,FALSE)</f>
        <v>#N/A</v>
      </c>
      <c r="W214" t="e">
        <f>VLOOKUP($J214,'[1]Table S6'!$A:$AI,14,FALSE)</f>
        <v>#N/A</v>
      </c>
      <c r="X214" t="e">
        <f>VLOOKUP($J214,'[1]Table S6'!$A:$AI,15,FALSE)</f>
        <v>#N/A</v>
      </c>
      <c r="Z214" t="e">
        <f>VLOOKUP($J214,'[1]Table S6'!$A:$AI,17,FALSE)</f>
        <v>#N/A</v>
      </c>
      <c r="AA214" t="e">
        <f>VLOOKUP($J214,'[1]Table S6'!$A:$AI,18,FALSE)</f>
        <v>#N/A</v>
      </c>
      <c r="AB214" t="e">
        <f>VLOOKUP($J214,'[1]Table S6'!$A:$AI,19,FALSE)</f>
        <v>#N/A</v>
      </c>
      <c r="AC214" t="e">
        <f>VLOOKUP($J214,'[1]Table S6'!$A:$AI,20,FALSE)</f>
        <v>#N/A</v>
      </c>
      <c r="AE214" t="e">
        <f>VLOOKUP($J214,'[1]Table S6'!$A:$AI,22,FALSE)</f>
        <v>#N/A</v>
      </c>
      <c r="AF214" t="e">
        <f>VLOOKUP($J214,'[1]Table S6'!$A:$AI,23,FALSE)</f>
        <v>#N/A</v>
      </c>
      <c r="AG214" t="e">
        <f>VLOOKUP($J214,'[1]Table S6'!$A:$AI,24,FALSE)</f>
        <v>#N/A</v>
      </c>
      <c r="AH214" t="e">
        <f>VLOOKUP($J214,'[1]Table S6'!$A:$AI,25,FALSE)</f>
        <v>#N/A</v>
      </c>
      <c r="AJ214" t="e">
        <f>VLOOKUP($J214,'[1]Table S6'!$A:$AI,27,FALSE)</f>
        <v>#N/A</v>
      </c>
      <c r="AK214" t="e">
        <f>VLOOKUP($J214,'[1]Table S6'!$A:$AI,28,FALSE)</f>
        <v>#N/A</v>
      </c>
      <c r="AL214" t="e">
        <f>VLOOKUP($J214,'[1]Table S6'!$A:$AI,29,FALSE)</f>
        <v>#N/A</v>
      </c>
      <c r="AM214" t="e">
        <f>VLOOKUP($J214,'[1]Table S6'!$A:$AI,30,FALSE)</f>
        <v>#N/A</v>
      </c>
      <c r="AO214" t="e">
        <f>VLOOKUP($J214,'[1]Table S6'!$A:$AI,32,FALSE)</f>
        <v>#N/A</v>
      </c>
      <c r="AP214" t="e">
        <f>VLOOKUP($J214,'[1]Table S6'!$A:$AI,33,FALSE)</f>
        <v>#N/A</v>
      </c>
      <c r="AQ214" t="e">
        <f>VLOOKUP($J214,'[1]Table S6'!$A:$AI,34,FALSE)</f>
        <v>#N/A</v>
      </c>
      <c r="AR214" t="e">
        <f>VLOOKUP($J214,'[1]Table S6'!$A:$AI,35,FALSE)</f>
        <v>#N/A</v>
      </c>
      <c r="AT214" t="e">
        <f>VLOOKUP($I214,'[2]Table S5'!$A:$K,8,FALSE)</f>
        <v>#N/A</v>
      </c>
      <c r="AU214" t="e">
        <f>VLOOKUP($I214,'[2]Table S5'!$A:$K,9,FALSE)</f>
        <v>#N/A</v>
      </c>
      <c r="AV214" t="e">
        <f>VLOOKUP($I214,'[2]Table S5'!$A:$K,10,FALSE)</f>
        <v>#N/A</v>
      </c>
      <c r="AW214" t="e">
        <f>VLOOKUP($I214,'[2]Table S5'!$A:$K,11,FALSE)</f>
        <v>#N/A</v>
      </c>
    </row>
    <row r="215" spans="1:49">
      <c r="A215" s="12" t="s">
        <v>1622</v>
      </c>
      <c r="B215" t="s">
        <v>1623</v>
      </c>
      <c r="C215" t="s">
        <v>1624</v>
      </c>
      <c r="D215" t="s">
        <v>17</v>
      </c>
      <c r="E215" t="s">
        <v>1625</v>
      </c>
      <c r="F215" s="12" t="s">
        <v>1626</v>
      </c>
      <c r="G215" t="s">
        <v>1627</v>
      </c>
      <c r="H215" t="s">
        <v>1628</v>
      </c>
      <c r="I215" t="s">
        <v>1629</v>
      </c>
      <c r="J215" t="s">
        <v>1630</v>
      </c>
      <c r="K215">
        <f>VLOOKUP($J215,'[1]Table S6'!$A:$AI,2,FALSE)</f>
        <v>395.6</v>
      </c>
      <c r="L215">
        <f>VLOOKUP($J215,'[1]Table S6'!$A:$AI,3,FALSE)</f>
        <v>0.84188125133006997</v>
      </c>
      <c r="M215">
        <f>VLOOKUP($J215,'[1]Table S6'!$A:$AI,4,FALSE)</f>
        <v>19.91</v>
      </c>
      <c r="N215" t="str">
        <f>VLOOKUP($J215,'[1]Table S6'!$A:$AI,5,FALSE)</f>
        <v>No</v>
      </c>
      <c r="P215">
        <f>VLOOKUP($J215,'[1]Table S6'!$A:$AI,7,FALSE)</f>
        <v>324.7</v>
      </c>
      <c r="Q215">
        <f>VLOOKUP($J215,'[1]Table S6'!$A:$AI,8,FALSE)</f>
        <v>0.69099808469887203</v>
      </c>
      <c r="R215">
        <f>VLOOKUP($J215,'[1]Table S6'!$A:$AI,9,FALSE)</f>
        <v>2.109</v>
      </c>
      <c r="S215" t="str">
        <f>VLOOKUP($J215,'[1]Table S6'!$A:$AI,10,FALSE)</f>
        <v>Yes</v>
      </c>
      <c r="U215">
        <f>VLOOKUP($J215,'[1]Table S6'!$A:$AI,12,FALSE)</f>
        <v>326.60000000000002</v>
      </c>
      <c r="V215">
        <f>VLOOKUP($J215,'[1]Table S6'!$A:$AI,13,FALSE)</f>
        <v>0.69504149819110495</v>
      </c>
      <c r="W215">
        <f>VLOOKUP($J215,'[1]Table S6'!$A:$AI,14,FALSE)</f>
        <v>2.3380000000000001</v>
      </c>
      <c r="X215" t="str">
        <f>VLOOKUP($J215,'[1]Table S6'!$A:$AI,15,FALSE)</f>
        <v>Yes</v>
      </c>
      <c r="Z215">
        <f>VLOOKUP($J215,'[1]Table S6'!$A:$AI,17,FALSE)</f>
        <v>321.5</v>
      </c>
      <c r="AA215">
        <f>VLOOKUP($J215,'[1]Table S6'!$A:$AI,18,FALSE)</f>
        <v>0.68418812513300697</v>
      </c>
      <c r="AB215">
        <f>VLOOKUP($J215,'[1]Table S6'!$A:$AI,19,FALSE)</f>
        <v>1.81</v>
      </c>
      <c r="AC215" t="str">
        <f>VLOOKUP($J215,'[1]Table S6'!$A:$AI,20,FALSE)</f>
        <v>Yes</v>
      </c>
      <c r="AE215">
        <f>VLOOKUP($J215,'[1]Table S6'!$A:$AI,22,FALSE)</f>
        <v>404.9</v>
      </c>
      <c r="AF215">
        <f>VLOOKUP($J215,'[1]Table S6'!$A:$AI,23,FALSE)</f>
        <v>0.86167269631836596</v>
      </c>
      <c r="AG215">
        <f>VLOOKUP($J215,'[1]Table S6'!$A:$AI,24,FALSE)</f>
        <v>36.71</v>
      </c>
      <c r="AH215" t="str">
        <f>VLOOKUP($J215,'[1]Table S6'!$A:$AI,25,FALSE)</f>
        <v>No</v>
      </c>
      <c r="AJ215">
        <f>VLOOKUP($J215,'[1]Table S6'!$A:$AI,27,FALSE)</f>
        <v>413.1</v>
      </c>
      <c r="AK215">
        <f>VLOOKUP($J215,'[1]Table S6'!$A:$AI,28,FALSE)</f>
        <v>0.87912321770589497</v>
      </c>
      <c r="AL215">
        <f>VLOOKUP($J215,'[1]Table S6'!$A:$AI,29,FALSE)</f>
        <v>58.85</v>
      </c>
      <c r="AM215" t="str">
        <f>VLOOKUP($J215,'[1]Table S6'!$A:$AI,30,FALSE)</f>
        <v>No</v>
      </c>
      <c r="AO215">
        <f>VLOOKUP($J215,'[1]Table S6'!$A:$AI,32,FALSE)</f>
        <v>411.3</v>
      </c>
      <c r="AP215">
        <f>VLOOKUP($J215,'[1]Table S6'!$A:$AI,33,FALSE)</f>
        <v>0.87529261545009596</v>
      </c>
      <c r="AQ215">
        <f>VLOOKUP($J215,'[1]Table S6'!$A:$AI,34,FALSE)</f>
        <v>45.32</v>
      </c>
      <c r="AR215" t="str">
        <f>VLOOKUP($J215,'[1]Table S6'!$A:$AI,35,FALSE)</f>
        <v>No</v>
      </c>
      <c r="AT215" t="e">
        <f>VLOOKUP($I215,'[2]Table S5'!$A:$K,8,FALSE)</f>
        <v>#N/A</v>
      </c>
      <c r="AU215" t="e">
        <f>VLOOKUP($I215,'[2]Table S5'!$A:$K,9,FALSE)</f>
        <v>#N/A</v>
      </c>
      <c r="AV215" t="e">
        <f>VLOOKUP($I215,'[2]Table S5'!$A:$K,10,FALSE)</f>
        <v>#N/A</v>
      </c>
      <c r="AW215" t="e">
        <f>VLOOKUP($I215,'[2]Table S5'!$A:$K,11,FALSE)</f>
        <v>#N/A</v>
      </c>
    </row>
    <row r="216" spans="1:49">
      <c r="A216" s="12" t="s">
        <v>1631</v>
      </c>
      <c r="B216" t="s">
        <v>1632</v>
      </c>
      <c r="C216" t="s">
        <v>1633</v>
      </c>
      <c r="D216" t="s">
        <v>17</v>
      </c>
      <c r="E216" t="s">
        <v>1634</v>
      </c>
      <c r="F216" s="12" t="s">
        <v>1635</v>
      </c>
      <c r="G216" t="s">
        <v>1636</v>
      </c>
      <c r="H216" t="s">
        <v>1637</v>
      </c>
      <c r="I216" t="s">
        <v>1629</v>
      </c>
      <c r="J216" t="s">
        <v>1630</v>
      </c>
      <c r="K216">
        <f>VLOOKUP($J216,'[1]Table S6'!$A:$AI,2,FALSE)</f>
        <v>395.6</v>
      </c>
      <c r="L216">
        <f>VLOOKUP($J216,'[1]Table S6'!$A:$AI,3,FALSE)</f>
        <v>0.84188125133006997</v>
      </c>
      <c r="M216">
        <f>VLOOKUP($J216,'[1]Table S6'!$A:$AI,4,FALSE)</f>
        <v>19.91</v>
      </c>
      <c r="N216" t="str">
        <f>VLOOKUP($J216,'[1]Table S6'!$A:$AI,5,FALSE)</f>
        <v>No</v>
      </c>
      <c r="P216">
        <f>VLOOKUP($J216,'[1]Table S6'!$A:$AI,7,FALSE)</f>
        <v>324.7</v>
      </c>
      <c r="Q216">
        <f>VLOOKUP($J216,'[1]Table S6'!$A:$AI,8,FALSE)</f>
        <v>0.69099808469887203</v>
      </c>
      <c r="R216">
        <f>VLOOKUP($J216,'[1]Table S6'!$A:$AI,9,FALSE)</f>
        <v>2.109</v>
      </c>
      <c r="S216" t="str">
        <f>VLOOKUP($J216,'[1]Table S6'!$A:$AI,10,FALSE)</f>
        <v>Yes</v>
      </c>
      <c r="U216">
        <f>VLOOKUP($J216,'[1]Table S6'!$A:$AI,12,FALSE)</f>
        <v>326.60000000000002</v>
      </c>
      <c r="V216">
        <f>VLOOKUP($J216,'[1]Table S6'!$A:$AI,13,FALSE)</f>
        <v>0.69504149819110495</v>
      </c>
      <c r="W216">
        <f>VLOOKUP($J216,'[1]Table S6'!$A:$AI,14,FALSE)</f>
        <v>2.3380000000000001</v>
      </c>
      <c r="X216" t="str">
        <f>VLOOKUP($J216,'[1]Table S6'!$A:$AI,15,FALSE)</f>
        <v>Yes</v>
      </c>
      <c r="Z216">
        <f>VLOOKUP($J216,'[1]Table S6'!$A:$AI,17,FALSE)</f>
        <v>321.5</v>
      </c>
      <c r="AA216">
        <f>VLOOKUP($J216,'[1]Table S6'!$A:$AI,18,FALSE)</f>
        <v>0.68418812513300697</v>
      </c>
      <c r="AB216">
        <f>VLOOKUP($J216,'[1]Table S6'!$A:$AI,19,FALSE)</f>
        <v>1.81</v>
      </c>
      <c r="AC216" t="str">
        <f>VLOOKUP($J216,'[1]Table S6'!$A:$AI,20,FALSE)</f>
        <v>Yes</v>
      </c>
      <c r="AE216">
        <f>VLOOKUP($J216,'[1]Table S6'!$A:$AI,22,FALSE)</f>
        <v>404.9</v>
      </c>
      <c r="AF216">
        <f>VLOOKUP($J216,'[1]Table S6'!$A:$AI,23,FALSE)</f>
        <v>0.86167269631836596</v>
      </c>
      <c r="AG216">
        <f>VLOOKUP($J216,'[1]Table S6'!$A:$AI,24,FALSE)</f>
        <v>36.71</v>
      </c>
      <c r="AH216" t="str">
        <f>VLOOKUP($J216,'[1]Table S6'!$A:$AI,25,FALSE)</f>
        <v>No</v>
      </c>
      <c r="AJ216">
        <f>VLOOKUP($J216,'[1]Table S6'!$A:$AI,27,FALSE)</f>
        <v>413.1</v>
      </c>
      <c r="AK216">
        <f>VLOOKUP($J216,'[1]Table S6'!$A:$AI,28,FALSE)</f>
        <v>0.87912321770589497</v>
      </c>
      <c r="AL216">
        <f>VLOOKUP($J216,'[1]Table S6'!$A:$AI,29,FALSE)</f>
        <v>58.85</v>
      </c>
      <c r="AM216" t="str">
        <f>VLOOKUP($J216,'[1]Table S6'!$A:$AI,30,FALSE)</f>
        <v>No</v>
      </c>
      <c r="AO216">
        <f>VLOOKUP($J216,'[1]Table S6'!$A:$AI,32,FALSE)</f>
        <v>411.3</v>
      </c>
      <c r="AP216">
        <f>VLOOKUP($J216,'[1]Table S6'!$A:$AI,33,FALSE)</f>
        <v>0.87529261545009596</v>
      </c>
      <c r="AQ216">
        <f>VLOOKUP($J216,'[1]Table S6'!$A:$AI,34,FALSE)</f>
        <v>45.32</v>
      </c>
      <c r="AR216" t="str">
        <f>VLOOKUP($J216,'[1]Table S6'!$A:$AI,35,FALSE)</f>
        <v>No</v>
      </c>
      <c r="AT216" t="e">
        <f>VLOOKUP($I216,'[2]Table S5'!$A:$K,8,FALSE)</f>
        <v>#N/A</v>
      </c>
      <c r="AU216" t="e">
        <f>VLOOKUP($I216,'[2]Table S5'!$A:$K,9,FALSE)</f>
        <v>#N/A</v>
      </c>
      <c r="AV216" t="e">
        <f>VLOOKUP($I216,'[2]Table S5'!$A:$K,10,FALSE)</f>
        <v>#N/A</v>
      </c>
      <c r="AW216" t="e">
        <f>VLOOKUP($I216,'[2]Table S5'!$A:$K,11,FALSE)</f>
        <v>#N/A</v>
      </c>
    </row>
    <row r="217" spans="1:49">
      <c r="A217" s="12" t="s">
        <v>1638</v>
      </c>
      <c r="B217" t="s">
        <v>1639</v>
      </c>
      <c r="C217" t="s">
        <v>1640</v>
      </c>
      <c r="D217" t="s">
        <v>17</v>
      </c>
      <c r="E217" t="s">
        <v>1641</v>
      </c>
      <c r="F217" s="12" t="s">
        <v>1642</v>
      </c>
      <c r="G217" t="s">
        <v>1643</v>
      </c>
      <c r="H217" t="s">
        <v>1644</v>
      </c>
      <c r="I217" t="s">
        <v>1629</v>
      </c>
      <c r="J217" t="s">
        <v>1630</v>
      </c>
      <c r="K217">
        <f>VLOOKUP($J217,'[1]Table S6'!$A:$AI,2,FALSE)</f>
        <v>395.6</v>
      </c>
      <c r="L217">
        <f>VLOOKUP($J217,'[1]Table S6'!$A:$AI,3,FALSE)</f>
        <v>0.84188125133006997</v>
      </c>
      <c r="M217">
        <f>VLOOKUP($J217,'[1]Table S6'!$A:$AI,4,FALSE)</f>
        <v>19.91</v>
      </c>
      <c r="N217" t="str">
        <f>VLOOKUP($J217,'[1]Table S6'!$A:$AI,5,FALSE)</f>
        <v>No</v>
      </c>
      <c r="P217">
        <f>VLOOKUP($J217,'[1]Table S6'!$A:$AI,7,FALSE)</f>
        <v>324.7</v>
      </c>
      <c r="Q217">
        <f>VLOOKUP($J217,'[1]Table S6'!$A:$AI,8,FALSE)</f>
        <v>0.69099808469887203</v>
      </c>
      <c r="R217">
        <f>VLOOKUP($J217,'[1]Table S6'!$A:$AI,9,FALSE)</f>
        <v>2.109</v>
      </c>
      <c r="S217" t="str">
        <f>VLOOKUP($J217,'[1]Table S6'!$A:$AI,10,FALSE)</f>
        <v>Yes</v>
      </c>
      <c r="U217">
        <f>VLOOKUP($J217,'[1]Table S6'!$A:$AI,12,FALSE)</f>
        <v>326.60000000000002</v>
      </c>
      <c r="V217">
        <f>VLOOKUP($J217,'[1]Table S6'!$A:$AI,13,FALSE)</f>
        <v>0.69504149819110495</v>
      </c>
      <c r="W217">
        <f>VLOOKUP($J217,'[1]Table S6'!$A:$AI,14,FALSE)</f>
        <v>2.3380000000000001</v>
      </c>
      <c r="X217" t="str">
        <f>VLOOKUP($J217,'[1]Table S6'!$A:$AI,15,FALSE)</f>
        <v>Yes</v>
      </c>
      <c r="Z217">
        <f>VLOOKUP($J217,'[1]Table S6'!$A:$AI,17,FALSE)</f>
        <v>321.5</v>
      </c>
      <c r="AA217">
        <f>VLOOKUP($J217,'[1]Table S6'!$A:$AI,18,FALSE)</f>
        <v>0.68418812513300697</v>
      </c>
      <c r="AB217">
        <f>VLOOKUP($J217,'[1]Table S6'!$A:$AI,19,FALSE)</f>
        <v>1.81</v>
      </c>
      <c r="AC217" t="str">
        <f>VLOOKUP($J217,'[1]Table S6'!$A:$AI,20,FALSE)</f>
        <v>Yes</v>
      </c>
      <c r="AE217">
        <f>VLOOKUP($J217,'[1]Table S6'!$A:$AI,22,FALSE)</f>
        <v>404.9</v>
      </c>
      <c r="AF217">
        <f>VLOOKUP($J217,'[1]Table S6'!$A:$AI,23,FALSE)</f>
        <v>0.86167269631836596</v>
      </c>
      <c r="AG217">
        <f>VLOOKUP($J217,'[1]Table S6'!$A:$AI,24,FALSE)</f>
        <v>36.71</v>
      </c>
      <c r="AH217" t="str">
        <f>VLOOKUP($J217,'[1]Table S6'!$A:$AI,25,FALSE)</f>
        <v>No</v>
      </c>
      <c r="AJ217">
        <f>VLOOKUP($J217,'[1]Table S6'!$A:$AI,27,FALSE)</f>
        <v>413.1</v>
      </c>
      <c r="AK217">
        <f>VLOOKUP($J217,'[1]Table S6'!$A:$AI,28,FALSE)</f>
        <v>0.87912321770589497</v>
      </c>
      <c r="AL217">
        <f>VLOOKUP($J217,'[1]Table S6'!$A:$AI,29,FALSE)</f>
        <v>58.85</v>
      </c>
      <c r="AM217" t="str">
        <f>VLOOKUP($J217,'[1]Table S6'!$A:$AI,30,FALSE)</f>
        <v>No</v>
      </c>
      <c r="AO217">
        <f>VLOOKUP($J217,'[1]Table S6'!$A:$AI,32,FALSE)</f>
        <v>411.3</v>
      </c>
      <c r="AP217">
        <f>VLOOKUP($J217,'[1]Table S6'!$A:$AI,33,FALSE)</f>
        <v>0.87529261545009596</v>
      </c>
      <c r="AQ217">
        <f>VLOOKUP($J217,'[1]Table S6'!$A:$AI,34,FALSE)</f>
        <v>45.32</v>
      </c>
      <c r="AR217" t="str">
        <f>VLOOKUP($J217,'[1]Table S6'!$A:$AI,35,FALSE)</f>
        <v>No</v>
      </c>
      <c r="AT217" t="e">
        <f>VLOOKUP($I217,'[2]Table S5'!$A:$K,8,FALSE)</f>
        <v>#N/A</v>
      </c>
      <c r="AU217" t="e">
        <f>VLOOKUP($I217,'[2]Table S5'!$A:$K,9,FALSE)</f>
        <v>#N/A</v>
      </c>
      <c r="AV217" t="e">
        <f>VLOOKUP($I217,'[2]Table S5'!$A:$K,10,FALSE)</f>
        <v>#N/A</v>
      </c>
      <c r="AW217" t="e">
        <f>VLOOKUP($I217,'[2]Table S5'!$A:$K,11,FALSE)</f>
        <v>#N/A</v>
      </c>
    </row>
    <row r="218" spans="1:49">
      <c r="A218" s="12" t="s">
        <v>1645</v>
      </c>
      <c r="B218" t="s">
        <v>1646</v>
      </c>
      <c r="C218" t="s">
        <v>1647</v>
      </c>
      <c r="D218" t="s">
        <v>17</v>
      </c>
      <c r="E218" t="s">
        <v>1648</v>
      </c>
      <c r="F218" s="12" t="s">
        <v>1649</v>
      </c>
      <c r="G218" t="s">
        <v>1650</v>
      </c>
      <c r="H218" t="s">
        <v>1651</v>
      </c>
      <c r="I218" t="s">
        <v>1629</v>
      </c>
      <c r="J218" t="s">
        <v>1652</v>
      </c>
      <c r="K218">
        <f>VLOOKUP($J218,'[1]Table S6'!$A:$AI,2,FALSE)</f>
        <v>397</v>
      </c>
      <c r="L218">
        <f>VLOOKUP($J218,'[1]Table S6'!$A:$AI,3,FALSE)</f>
        <v>0.84486060864013601</v>
      </c>
      <c r="M218">
        <f>VLOOKUP($J218,'[1]Table S6'!$A:$AI,4,FALSE)</f>
        <v>23.04</v>
      </c>
      <c r="N218" t="str">
        <f>VLOOKUP($J218,'[1]Table S6'!$A:$AI,5,FALSE)</f>
        <v>No</v>
      </c>
      <c r="P218">
        <f>VLOOKUP($J218,'[1]Table S6'!$A:$AI,7,FALSE)</f>
        <v>393.4</v>
      </c>
      <c r="Q218">
        <f>VLOOKUP($J218,'[1]Table S6'!$A:$AI,8,FALSE)</f>
        <v>0.83719940412853799</v>
      </c>
      <c r="R218">
        <f>VLOOKUP($J218,'[1]Table S6'!$A:$AI,9,FALSE)</f>
        <v>20.97</v>
      </c>
      <c r="S218" t="str">
        <f>VLOOKUP($J218,'[1]Table S6'!$A:$AI,10,FALSE)</f>
        <v>No</v>
      </c>
      <c r="U218">
        <f>VLOOKUP($J218,'[1]Table S6'!$A:$AI,12,FALSE)</f>
        <v>388.3</v>
      </c>
      <c r="V218">
        <f>VLOOKUP($J218,'[1]Table S6'!$A:$AI,13,FALSE)</f>
        <v>0.82634603107044102</v>
      </c>
      <c r="W218">
        <f>VLOOKUP($J218,'[1]Table S6'!$A:$AI,14,FALSE)</f>
        <v>15.9</v>
      </c>
      <c r="X218" t="str">
        <f>VLOOKUP($J218,'[1]Table S6'!$A:$AI,15,FALSE)</f>
        <v>No</v>
      </c>
      <c r="Z218">
        <f>VLOOKUP($J218,'[1]Table S6'!$A:$AI,17,FALSE)</f>
        <v>379.9</v>
      </c>
      <c r="AA218">
        <f>VLOOKUP($J218,'[1]Table S6'!$A:$AI,18,FALSE)</f>
        <v>0.80846988721004498</v>
      </c>
      <c r="AB218">
        <f>VLOOKUP($J218,'[1]Table S6'!$A:$AI,19,FALSE)</f>
        <v>14.56</v>
      </c>
      <c r="AC218" t="str">
        <f>VLOOKUP($J218,'[1]Table S6'!$A:$AI,20,FALSE)</f>
        <v>No</v>
      </c>
      <c r="AE218">
        <f>VLOOKUP($J218,'[1]Table S6'!$A:$AI,22,FALSE)</f>
        <v>411</v>
      </c>
      <c r="AF218">
        <f>VLOOKUP($J218,'[1]Table S6'!$A:$AI,23,FALSE)</f>
        <v>0.87465418174079601</v>
      </c>
      <c r="AG218">
        <f>VLOOKUP($J218,'[1]Table S6'!$A:$AI,24,FALSE)</f>
        <v>49.34</v>
      </c>
      <c r="AH218" t="str">
        <f>VLOOKUP($J218,'[1]Table S6'!$A:$AI,25,FALSE)</f>
        <v>No</v>
      </c>
      <c r="AJ218">
        <f>VLOOKUP($J218,'[1]Table S6'!$A:$AI,27,FALSE)</f>
        <v>417.5</v>
      </c>
      <c r="AK218">
        <f>VLOOKUP($J218,'[1]Table S6'!$A:$AI,28,FALSE)</f>
        <v>0.88848691210895903</v>
      </c>
      <c r="AL218">
        <f>VLOOKUP($J218,'[1]Table S6'!$A:$AI,29,FALSE)</f>
        <v>63.33</v>
      </c>
      <c r="AM218" t="str">
        <f>VLOOKUP($J218,'[1]Table S6'!$A:$AI,30,FALSE)</f>
        <v>No</v>
      </c>
      <c r="AO218">
        <f>VLOOKUP($J218,'[1]Table S6'!$A:$AI,32,FALSE)</f>
        <v>385.4</v>
      </c>
      <c r="AP218">
        <f>VLOOKUP($J218,'[1]Table S6'!$A:$AI,33,FALSE)</f>
        <v>0.82017450521387503</v>
      </c>
      <c r="AQ218">
        <f>VLOOKUP($J218,'[1]Table S6'!$A:$AI,34,FALSE)</f>
        <v>17.11</v>
      </c>
      <c r="AR218" t="str">
        <f>VLOOKUP($J218,'[1]Table S6'!$A:$AI,35,FALSE)</f>
        <v>No</v>
      </c>
      <c r="AT218" t="e">
        <f>VLOOKUP($I218,'[2]Table S5'!$A:$K,8,FALSE)</f>
        <v>#N/A</v>
      </c>
      <c r="AU218" t="e">
        <f>VLOOKUP($I218,'[2]Table S5'!$A:$K,9,FALSE)</f>
        <v>#N/A</v>
      </c>
      <c r="AV218" t="e">
        <f>VLOOKUP($I218,'[2]Table S5'!$A:$K,10,FALSE)</f>
        <v>#N/A</v>
      </c>
      <c r="AW218" t="e">
        <f>VLOOKUP($I218,'[2]Table S5'!$A:$K,11,FALSE)</f>
        <v>#N/A</v>
      </c>
    </row>
    <row r="219" spans="1:49">
      <c r="A219" s="12" t="s">
        <v>1653</v>
      </c>
      <c r="B219" t="s">
        <v>1654</v>
      </c>
      <c r="C219" t="s">
        <v>1655</v>
      </c>
      <c r="D219" t="s">
        <v>17</v>
      </c>
      <c r="E219" t="s">
        <v>1656</v>
      </c>
      <c r="F219" s="12" t="s">
        <v>1657</v>
      </c>
      <c r="G219" t="s">
        <v>1658</v>
      </c>
      <c r="H219" t="s">
        <v>1659</v>
      </c>
      <c r="I219" t="s">
        <v>1629</v>
      </c>
      <c r="J219" t="s">
        <v>1652</v>
      </c>
      <c r="K219">
        <f>VLOOKUP($J219,'[1]Table S6'!$A:$AI,2,FALSE)</f>
        <v>397</v>
      </c>
      <c r="L219">
        <f>VLOOKUP($J219,'[1]Table S6'!$A:$AI,3,FALSE)</f>
        <v>0.84486060864013601</v>
      </c>
      <c r="M219">
        <f>VLOOKUP($J219,'[1]Table S6'!$A:$AI,4,FALSE)</f>
        <v>23.04</v>
      </c>
      <c r="N219" t="str">
        <f>VLOOKUP($J219,'[1]Table S6'!$A:$AI,5,FALSE)</f>
        <v>No</v>
      </c>
      <c r="P219">
        <f>VLOOKUP($J219,'[1]Table S6'!$A:$AI,7,FALSE)</f>
        <v>393.4</v>
      </c>
      <c r="Q219">
        <f>VLOOKUP($J219,'[1]Table S6'!$A:$AI,8,FALSE)</f>
        <v>0.83719940412853799</v>
      </c>
      <c r="R219">
        <f>VLOOKUP($J219,'[1]Table S6'!$A:$AI,9,FALSE)</f>
        <v>20.97</v>
      </c>
      <c r="S219" t="str">
        <f>VLOOKUP($J219,'[1]Table S6'!$A:$AI,10,FALSE)</f>
        <v>No</v>
      </c>
      <c r="U219">
        <f>VLOOKUP($J219,'[1]Table S6'!$A:$AI,12,FALSE)</f>
        <v>388.3</v>
      </c>
      <c r="V219">
        <f>VLOOKUP($J219,'[1]Table S6'!$A:$AI,13,FALSE)</f>
        <v>0.82634603107044102</v>
      </c>
      <c r="W219">
        <f>VLOOKUP($J219,'[1]Table S6'!$A:$AI,14,FALSE)</f>
        <v>15.9</v>
      </c>
      <c r="X219" t="str">
        <f>VLOOKUP($J219,'[1]Table S6'!$A:$AI,15,FALSE)</f>
        <v>No</v>
      </c>
      <c r="Z219">
        <f>VLOOKUP($J219,'[1]Table S6'!$A:$AI,17,FALSE)</f>
        <v>379.9</v>
      </c>
      <c r="AA219">
        <f>VLOOKUP($J219,'[1]Table S6'!$A:$AI,18,FALSE)</f>
        <v>0.80846988721004498</v>
      </c>
      <c r="AB219">
        <f>VLOOKUP($J219,'[1]Table S6'!$A:$AI,19,FALSE)</f>
        <v>14.56</v>
      </c>
      <c r="AC219" t="str">
        <f>VLOOKUP($J219,'[1]Table S6'!$A:$AI,20,FALSE)</f>
        <v>No</v>
      </c>
      <c r="AE219">
        <f>VLOOKUP($J219,'[1]Table S6'!$A:$AI,22,FALSE)</f>
        <v>411</v>
      </c>
      <c r="AF219">
        <f>VLOOKUP($J219,'[1]Table S6'!$A:$AI,23,FALSE)</f>
        <v>0.87465418174079601</v>
      </c>
      <c r="AG219">
        <f>VLOOKUP($J219,'[1]Table S6'!$A:$AI,24,FALSE)</f>
        <v>49.34</v>
      </c>
      <c r="AH219" t="str">
        <f>VLOOKUP($J219,'[1]Table S6'!$A:$AI,25,FALSE)</f>
        <v>No</v>
      </c>
      <c r="AJ219">
        <f>VLOOKUP($J219,'[1]Table S6'!$A:$AI,27,FALSE)</f>
        <v>417.5</v>
      </c>
      <c r="AK219">
        <f>VLOOKUP($J219,'[1]Table S6'!$A:$AI,28,FALSE)</f>
        <v>0.88848691210895903</v>
      </c>
      <c r="AL219">
        <f>VLOOKUP($J219,'[1]Table S6'!$A:$AI,29,FALSE)</f>
        <v>63.33</v>
      </c>
      <c r="AM219" t="str">
        <f>VLOOKUP($J219,'[1]Table S6'!$A:$AI,30,FALSE)</f>
        <v>No</v>
      </c>
      <c r="AO219">
        <f>VLOOKUP($J219,'[1]Table S6'!$A:$AI,32,FALSE)</f>
        <v>385.4</v>
      </c>
      <c r="AP219">
        <f>VLOOKUP($J219,'[1]Table S6'!$A:$AI,33,FALSE)</f>
        <v>0.82017450521387503</v>
      </c>
      <c r="AQ219">
        <f>VLOOKUP($J219,'[1]Table S6'!$A:$AI,34,FALSE)</f>
        <v>17.11</v>
      </c>
      <c r="AR219" t="str">
        <f>VLOOKUP($J219,'[1]Table S6'!$A:$AI,35,FALSE)</f>
        <v>No</v>
      </c>
      <c r="AT219" t="e">
        <f>VLOOKUP($I219,'[2]Table S5'!$A:$K,8,FALSE)</f>
        <v>#N/A</v>
      </c>
      <c r="AU219" t="e">
        <f>VLOOKUP($I219,'[2]Table S5'!$A:$K,9,FALSE)</f>
        <v>#N/A</v>
      </c>
      <c r="AV219" t="e">
        <f>VLOOKUP($I219,'[2]Table S5'!$A:$K,10,FALSE)</f>
        <v>#N/A</v>
      </c>
      <c r="AW219" t="e">
        <f>VLOOKUP($I219,'[2]Table S5'!$A:$K,11,FALSE)</f>
        <v>#N/A</v>
      </c>
    </row>
    <row r="220" spans="1:49">
      <c r="A220" s="12" t="s">
        <v>1660</v>
      </c>
      <c r="B220" t="s">
        <v>1661</v>
      </c>
      <c r="C220" t="s">
        <v>1662</v>
      </c>
      <c r="D220" t="s">
        <v>17</v>
      </c>
      <c r="E220" t="s">
        <v>1663</v>
      </c>
      <c r="F220" s="12" t="s">
        <v>1664</v>
      </c>
      <c r="G220" t="s">
        <v>1665</v>
      </c>
      <c r="H220" t="s">
        <v>1666</v>
      </c>
      <c r="I220" t="s">
        <v>1629</v>
      </c>
      <c r="J220" t="s">
        <v>1652</v>
      </c>
      <c r="K220">
        <f>VLOOKUP($J220,'[1]Table S6'!$A:$AI,2,FALSE)</f>
        <v>397</v>
      </c>
      <c r="L220">
        <f>VLOOKUP($J220,'[1]Table S6'!$A:$AI,3,FALSE)</f>
        <v>0.84486060864013601</v>
      </c>
      <c r="M220">
        <f>VLOOKUP($J220,'[1]Table S6'!$A:$AI,4,FALSE)</f>
        <v>23.04</v>
      </c>
      <c r="N220" t="str">
        <f>VLOOKUP($J220,'[1]Table S6'!$A:$AI,5,FALSE)</f>
        <v>No</v>
      </c>
      <c r="P220">
        <f>VLOOKUP($J220,'[1]Table S6'!$A:$AI,7,FALSE)</f>
        <v>393.4</v>
      </c>
      <c r="Q220">
        <f>VLOOKUP($J220,'[1]Table S6'!$A:$AI,8,FALSE)</f>
        <v>0.83719940412853799</v>
      </c>
      <c r="R220">
        <f>VLOOKUP($J220,'[1]Table S6'!$A:$AI,9,FALSE)</f>
        <v>20.97</v>
      </c>
      <c r="S220" t="str">
        <f>VLOOKUP($J220,'[1]Table S6'!$A:$AI,10,FALSE)</f>
        <v>No</v>
      </c>
      <c r="U220">
        <f>VLOOKUP($J220,'[1]Table S6'!$A:$AI,12,FALSE)</f>
        <v>388.3</v>
      </c>
      <c r="V220">
        <f>VLOOKUP($J220,'[1]Table S6'!$A:$AI,13,FALSE)</f>
        <v>0.82634603107044102</v>
      </c>
      <c r="W220">
        <f>VLOOKUP($J220,'[1]Table S6'!$A:$AI,14,FALSE)</f>
        <v>15.9</v>
      </c>
      <c r="X220" t="str">
        <f>VLOOKUP($J220,'[1]Table S6'!$A:$AI,15,FALSE)</f>
        <v>No</v>
      </c>
      <c r="Z220">
        <f>VLOOKUP($J220,'[1]Table S6'!$A:$AI,17,FALSE)</f>
        <v>379.9</v>
      </c>
      <c r="AA220">
        <f>VLOOKUP($J220,'[1]Table S6'!$A:$AI,18,FALSE)</f>
        <v>0.80846988721004498</v>
      </c>
      <c r="AB220">
        <f>VLOOKUP($J220,'[1]Table S6'!$A:$AI,19,FALSE)</f>
        <v>14.56</v>
      </c>
      <c r="AC220" t="str">
        <f>VLOOKUP($J220,'[1]Table S6'!$A:$AI,20,FALSE)</f>
        <v>No</v>
      </c>
      <c r="AE220">
        <f>VLOOKUP($J220,'[1]Table S6'!$A:$AI,22,FALSE)</f>
        <v>411</v>
      </c>
      <c r="AF220">
        <f>VLOOKUP($J220,'[1]Table S6'!$A:$AI,23,FALSE)</f>
        <v>0.87465418174079601</v>
      </c>
      <c r="AG220">
        <f>VLOOKUP($J220,'[1]Table S6'!$A:$AI,24,FALSE)</f>
        <v>49.34</v>
      </c>
      <c r="AH220" t="str">
        <f>VLOOKUP($J220,'[1]Table S6'!$A:$AI,25,FALSE)</f>
        <v>No</v>
      </c>
      <c r="AJ220">
        <f>VLOOKUP($J220,'[1]Table S6'!$A:$AI,27,FALSE)</f>
        <v>417.5</v>
      </c>
      <c r="AK220">
        <f>VLOOKUP($J220,'[1]Table S6'!$A:$AI,28,FALSE)</f>
        <v>0.88848691210895903</v>
      </c>
      <c r="AL220">
        <f>VLOOKUP($J220,'[1]Table S6'!$A:$AI,29,FALSE)</f>
        <v>63.33</v>
      </c>
      <c r="AM220" t="str">
        <f>VLOOKUP($J220,'[1]Table S6'!$A:$AI,30,FALSE)</f>
        <v>No</v>
      </c>
      <c r="AO220">
        <f>VLOOKUP($J220,'[1]Table S6'!$A:$AI,32,FALSE)</f>
        <v>385.4</v>
      </c>
      <c r="AP220">
        <f>VLOOKUP($J220,'[1]Table S6'!$A:$AI,33,FALSE)</f>
        <v>0.82017450521387503</v>
      </c>
      <c r="AQ220">
        <f>VLOOKUP($J220,'[1]Table S6'!$A:$AI,34,FALSE)</f>
        <v>17.11</v>
      </c>
      <c r="AR220" t="str">
        <f>VLOOKUP($J220,'[1]Table S6'!$A:$AI,35,FALSE)</f>
        <v>No</v>
      </c>
      <c r="AT220" t="e">
        <f>VLOOKUP($I220,'[2]Table S5'!$A:$K,8,FALSE)</f>
        <v>#N/A</v>
      </c>
      <c r="AU220" t="e">
        <f>VLOOKUP($I220,'[2]Table S5'!$A:$K,9,FALSE)</f>
        <v>#N/A</v>
      </c>
      <c r="AV220" t="e">
        <f>VLOOKUP($I220,'[2]Table S5'!$A:$K,10,FALSE)</f>
        <v>#N/A</v>
      </c>
      <c r="AW220" t="e">
        <f>VLOOKUP($I220,'[2]Table S5'!$A:$K,11,FALSE)</f>
        <v>#N/A</v>
      </c>
    </row>
    <row r="221" spans="1:49">
      <c r="A221" s="12" t="s">
        <v>1667</v>
      </c>
      <c r="B221" t="s">
        <v>1668</v>
      </c>
      <c r="C221" t="s">
        <v>1669</v>
      </c>
      <c r="D221" t="s">
        <v>17</v>
      </c>
      <c r="E221" t="s">
        <v>1670</v>
      </c>
      <c r="F221" s="12" t="s">
        <v>1671</v>
      </c>
      <c r="G221" t="s">
        <v>1672</v>
      </c>
      <c r="H221" t="s">
        <v>1673</v>
      </c>
      <c r="I221" t="s">
        <v>1629</v>
      </c>
      <c r="J221" t="s">
        <v>1629</v>
      </c>
      <c r="K221" t="e">
        <f>VLOOKUP($J221,'[1]Table S6'!$A:$AI,2,FALSE)</f>
        <v>#N/A</v>
      </c>
      <c r="L221" t="e">
        <f>VLOOKUP($J221,'[1]Table S6'!$A:$AI,3,FALSE)</f>
        <v>#N/A</v>
      </c>
      <c r="M221" t="e">
        <f>VLOOKUP($J221,'[1]Table S6'!$A:$AI,4,FALSE)</f>
        <v>#N/A</v>
      </c>
      <c r="N221" t="e">
        <f>VLOOKUP($J221,'[1]Table S6'!$A:$AI,5,FALSE)</f>
        <v>#N/A</v>
      </c>
      <c r="P221" t="e">
        <f>VLOOKUP($J221,'[1]Table S6'!$A:$AI,7,FALSE)</f>
        <v>#N/A</v>
      </c>
      <c r="Q221" t="e">
        <f>VLOOKUP($J221,'[1]Table S6'!$A:$AI,8,FALSE)</f>
        <v>#N/A</v>
      </c>
      <c r="R221" t="e">
        <f>VLOOKUP($J221,'[1]Table S6'!$A:$AI,9,FALSE)</f>
        <v>#N/A</v>
      </c>
      <c r="S221" t="e">
        <f>VLOOKUP($J221,'[1]Table S6'!$A:$AI,10,FALSE)</f>
        <v>#N/A</v>
      </c>
      <c r="U221" t="e">
        <f>VLOOKUP($J221,'[1]Table S6'!$A:$AI,12,FALSE)</f>
        <v>#N/A</v>
      </c>
      <c r="V221" t="e">
        <f>VLOOKUP($J221,'[1]Table S6'!$A:$AI,13,FALSE)</f>
        <v>#N/A</v>
      </c>
      <c r="W221" t="e">
        <f>VLOOKUP($J221,'[1]Table S6'!$A:$AI,14,FALSE)</f>
        <v>#N/A</v>
      </c>
      <c r="X221" t="e">
        <f>VLOOKUP($J221,'[1]Table S6'!$A:$AI,15,FALSE)</f>
        <v>#N/A</v>
      </c>
      <c r="Z221" t="e">
        <f>VLOOKUP($J221,'[1]Table S6'!$A:$AI,17,FALSE)</f>
        <v>#N/A</v>
      </c>
      <c r="AA221" t="e">
        <f>VLOOKUP($J221,'[1]Table S6'!$A:$AI,18,FALSE)</f>
        <v>#N/A</v>
      </c>
      <c r="AB221" t="e">
        <f>VLOOKUP($J221,'[1]Table S6'!$A:$AI,19,FALSE)</f>
        <v>#N/A</v>
      </c>
      <c r="AC221" t="e">
        <f>VLOOKUP($J221,'[1]Table S6'!$A:$AI,20,FALSE)</f>
        <v>#N/A</v>
      </c>
      <c r="AE221" t="e">
        <f>VLOOKUP($J221,'[1]Table S6'!$A:$AI,22,FALSE)</f>
        <v>#N/A</v>
      </c>
      <c r="AF221" t="e">
        <f>VLOOKUP($J221,'[1]Table S6'!$A:$AI,23,FALSE)</f>
        <v>#N/A</v>
      </c>
      <c r="AG221" t="e">
        <f>VLOOKUP($J221,'[1]Table S6'!$A:$AI,24,FALSE)</f>
        <v>#N/A</v>
      </c>
      <c r="AH221" t="e">
        <f>VLOOKUP($J221,'[1]Table S6'!$A:$AI,25,FALSE)</f>
        <v>#N/A</v>
      </c>
      <c r="AJ221" t="e">
        <f>VLOOKUP($J221,'[1]Table S6'!$A:$AI,27,FALSE)</f>
        <v>#N/A</v>
      </c>
      <c r="AK221" t="e">
        <f>VLOOKUP($J221,'[1]Table S6'!$A:$AI,28,FALSE)</f>
        <v>#N/A</v>
      </c>
      <c r="AL221" t="e">
        <f>VLOOKUP($J221,'[1]Table S6'!$A:$AI,29,FALSE)</f>
        <v>#N/A</v>
      </c>
      <c r="AM221" t="e">
        <f>VLOOKUP($J221,'[1]Table S6'!$A:$AI,30,FALSE)</f>
        <v>#N/A</v>
      </c>
      <c r="AO221" t="e">
        <f>VLOOKUP($J221,'[1]Table S6'!$A:$AI,32,FALSE)</f>
        <v>#N/A</v>
      </c>
      <c r="AP221" t="e">
        <f>VLOOKUP($J221,'[1]Table S6'!$A:$AI,33,FALSE)</f>
        <v>#N/A</v>
      </c>
      <c r="AQ221" t="e">
        <f>VLOOKUP($J221,'[1]Table S6'!$A:$AI,34,FALSE)</f>
        <v>#N/A</v>
      </c>
      <c r="AR221" t="e">
        <f>VLOOKUP($J221,'[1]Table S6'!$A:$AI,35,FALSE)</f>
        <v>#N/A</v>
      </c>
      <c r="AT221" t="e">
        <f>VLOOKUP($I221,'[2]Table S5'!$A:$K,8,FALSE)</f>
        <v>#N/A</v>
      </c>
      <c r="AU221" t="e">
        <f>VLOOKUP($I221,'[2]Table S5'!$A:$K,9,FALSE)</f>
        <v>#N/A</v>
      </c>
      <c r="AV221" t="e">
        <f>VLOOKUP($I221,'[2]Table S5'!$A:$K,10,FALSE)</f>
        <v>#N/A</v>
      </c>
      <c r="AW221" t="e">
        <f>VLOOKUP($I221,'[2]Table S5'!$A:$K,11,FALSE)</f>
        <v>#N/A</v>
      </c>
    </row>
    <row r="222" spans="1:49">
      <c r="A222" s="12" t="s">
        <v>1674</v>
      </c>
      <c r="B222" t="s">
        <v>1675</v>
      </c>
      <c r="C222" t="s">
        <v>1676</v>
      </c>
      <c r="D222" t="s">
        <v>17</v>
      </c>
      <c r="E222" t="s">
        <v>1677</v>
      </c>
      <c r="F222" s="12" t="s">
        <v>1678</v>
      </c>
      <c r="G222" t="s">
        <v>1679</v>
      </c>
      <c r="H222" t="s">
        <v>1680</v>
      </c>
      <c r="I222" t="s">
        <v>1681</v>
      </c>
      <c r="J222" t="s">
        <v>1682</v>
      </c>
      <c r="K222">
        <f>VLOOKUP($J222,'[1]Table S6'!$A:$AI,2,FALSE)</f>
        <v>398.5</v>
      </c>
      <c r="L222">
        <f>VLOOKUP($J222,'[1]Table S6'!$A:$AI,3,FALSE)</f>
        <v>0.84805277718663596</v>
      </c>
      <c r="M222">
        <f>VLOOKUP($J222,'[1]Table S6'!$A:$AI,4,FALSE)</f>
        <v>24.52</v>
      </c>
      <c r="N222" t="str">
        <f>VLOOKUP($J222,'[1]Table S6'!$A:$AI,5,FALSE)</f>
        <v>No</v>
      </c>
      <c r="P222">
        <f>VLOOKUP($J222,'[1]Table S6'!$A:$AI,7,FALSE)</f>
        <v>361.9</v>
      </c>
      <c r="Q222">
        <f>VLOOKUP($J222,'[1]Table S6'!$A:$AI,8,FALSE)</f>
        <v>0.770163864652054</v>
      </c>
      <c r="R222">
        <f>VLOOKUP($J222,'[1]Table S6'!$A:$AI,9,FALSE)</f>
        <v>7.8929999999999998</v>
      </c>
      <c r="S222" t="str">
        <f>VLOOKUP($J222,'[1]Table S6'!$A:$AI,10,FALSE)</f>
        <v>No</v>
      </c>
      <c r="U222">
        <f>VLOOKUP($J222,'[1]Table S6'!$A:$AI,12,FALSE)</f>
        <v>397.2</v>
      </c>
      <c r="V222">
        <f>VLOOKUP($J222,'[1]Table S6'!$A:$AI,13,FALSE)</f>
        <v>0.84528623111300305</v>
      </c>
      <c r="W222">
        <f>VLOOKUP($J222,'[1]Table S6'!$A:$AI,14,FALSE)</f>
        <v>26.74</v>
      </c>
      <c r="X222" t="str">
        <f>VLOOKUP($J222,'[1]Table S6'!$A:$AI,15,FALSE)</f>
        <v>No</v>
      </c>
      <c r="Z222">
        <f>VLOOKUP($J222,'[1]Table S6'!$A:$AI,17,FALSE)</f>
        <v>397.4</v>
      </c>
      <c r="AA222">
        <f>VLOOKUP($J222,'[1]Table S6'!$A:$AI,18,FALSE)</f>
        <v>0.84571185358586898</v>
      </c>
      <c r="AB222">
        <f>VLOOKUP($J222,'[1]Table S6'!$A:$AI,19,FALSE)</f>
        <v>25.13</v>
      </c>
      <c r="AC222" t="str">
        <f>VLOOKUP($J222,'[1]Table S6'!$A:$AI,20,FALSE)</f>
        <v>No</v>
      </c>
      <c r="AE222">
        <f>VLOOKUP($J222,'[1]Table S6'!$A:$AI,22,FALSE)</f>
        <v>383.7</v>
      </c>
      <c r="AF222">
        <f>VLOOKUP($J222,'[1]Table S6'!$A:$AI,23,FALSE)</f>
        <v>0.81655671419450904</v>
      </c>
      <c r="AG222">
        <f>VLOOKUP($J222,'[1]Table S6'!$A:$AI,24,FALSE)</f>
        <v>15.65</v>
      </c>
      <c r="AH222" t="str">
        <f>VLOOKUP($J222,'[1]Table S6'!$A:$AI,25,FALSE)</f>
        <v>No</v>
      </c>
      <c r="AJ222">
        <f>VLOOKUP($J222,'[1]Table S6'!$A:$AI,27,FALSE)</f>
        <v>405.1</v>
      </c>
      <c r="AK222">
        <f>VLOOKUP($J222,'[1]Table S6'!$A:$AI,28,FALSE)</f>
        <v>0.862098318791232</v>
      </c>
      <c r="AL222">
        <f>VLOOKUP($J222,'[1]Table S6'!$A:$AI,29,FALSE)</f>
        <v>37.85</v>
      </c>
      <c r="AM222" t="str">
        <f>VLOOKUP($J222,'[1]Table S6'!$A:$AI,30,FALSE)</f>
        <v>No</v>
      </c>
      <c r="AO222">
        <f>VLOOKUP($J222,'[1]Table S6'!$A:$AI,32,FALSE)</f>
        <v>390.2</v>
      </c>
      <c r="AP222">
        <f>VLOOKUP($J222,'[1]Table S6'!$A:$AI,33,FALSE)</f>
        <v>0.83038944456267305</v>
      </c>
      <c r="AQ222">
        <f>VLOOKUP($J222,'[1]Table S6'!$A:$AI,34,FALSE)</f>
        <v>17.93</v>
      </c>
      <c r="AR222" t="str">
        <f>VLOOKUP($J222,'[1]Table S6'!$A:$AI,35,FALSE)</f>
        <v>No</v>
      </c>
      <c r="AT222" t="e">
        <f>VLOOKUP($I222,'[2]Table S5'!$A:$K,8,FALSE)</f>
        <v>#N/A</v>
      </c>
      <c r="AU222" t="e">
        <f>VLOOKUP($I222,'[2]Table S5'!$A:$K,9,FALSE)</f>
        <v>#N/A</v>
      </c>
      <c r="AV222" t="e">
        <f>VLOOKUP($I222,'[2]Table S5'!$A:$K,10,FALSE)</f>
        <v>#N/A</v>
      </c>
      <c r="AW222" t="e">
        <f>VLOOKUP($I222,'[2]Table S5'!$A:$K,11,FALSE)</f>
        <v>#N/A</v>
      </c>
    </row>
    <row r="223" spans="1:49">
      <c r="A223" s="12" t="s">
        <v>1683</v>
      </c>
      <c r="B223" t="s">
        <v>1684</v>
      </c>
      <c r="C223" t="s">
        <v>1685</v>
      </c>
      <c r="D223" t="s">
        <v>17</v>
      </c>
      <c r="E223" t="s">
        <v>1686</v>
      </c>
      <c r="F223" s="12" t="s">
        <v>1687</v>
      </c>
      <c r="G223" t="s">
        <v>1688</v>
      </c>
      <c r="H223" t="s">
        <v>1689</v>
      </c>
      <c r="I223" t="s">
        <v>1681</v>
      </c>
      <c r="J223" t="s">
        <v>1682</v>
      </c>
      <c r="K223">
        <f>VLOOKUP($J223,'[1]Table S6'!$A:$AI,2,FALSE)</f>
        <v>398.5</v>
      </c>
      <c r="L223">
        <f>VLOOKUP($J223,'[1]Table S6'!$A:$AI,3,FALSE)</f>
        <v>0.84805277718663596</v>
      </c>
      <c r="M223">
        <f>VLOOKUP($J223,'[1]Table S6'!$A:$AI,4,FALSE)</f>
        <v>24.52</v>
      </c>
      <c r="N223" t="str">
        <f>VLOOKUP($J223,'[1]Table S6'!$A:$AI,5,FALSE)</f>
        <v>No</v>
      </c>
      <c r="P223">
        <f>VLOOKUP($J223,'[1]Table S6'!$A:$AI,7,FALSE)</f>
        <v>361.9</v>
      </c>
      <c r="Q223">
        <f>VLOOKUP($J223,'[1]Table S6'!$A:$AI,8,FALSE)</f>
        <v>0.770163864652054</v>
      </c>
      <c r="R223">
        <f>VLOOKUP($J223,'[1]Table S6'!$A:$AI,9,FALSE)</f>
        <v>7.8929999999999998</v>
      </c>
      <c r="S223" t="str">
        <f>VLOOKUP($J223,'[1]Table S6'!$A:$AI,10,FALSE)</f>
        <v>No</v>
      </c>
      <c r="U223">
        <f>VLOOKUP($J223,'[1]Table S6'!$A:$AI,12,FALSE)</f>
        <v>397.2</v>
      </c>
      <c r="V223">
        <f>VLOOKUP($J223,'[1]Table S6'!$A:$AI,13,FALSE)</f>
        <v>0.84528623111300305</v>
      </c>
      <c r="W223">
        <f>VLOOKUP($J223,'[1]Table S6'!$A:$AI,14,FALSE)</f>
        <v>26.74</v>
      </c>
      <c r="X223" t="str">
        <f>VLOOKUP($J223,'[1]Table S6'!$A:$AI,15,FALSE)</f>
        <v>No</v>
      </c>
      <c r="Z223">
        <f>VLOOKUP($J223,'[1]Table S6'!$A:$AI,17,FALSE)</f>
        <v>397.4</v>
      </c>
      <c r="AA223">
        <f>VLOOKUP($J223,'[1]Table S6'!$A:$AI,18,FALSE)</f>
        <v>0.84571185358586898</v>
      </c>
      <c r="AB223">
        <f>VLOOKUP($J223,'[1]Table S6'!$A:$AI,19,FALSE)</f>
        <v>25.13</v>
      </c>
      <c r="AC223" t="str">
        <f>VLOOKUP($J223,'[1]Table S6'!$A:$AI,20,FALSE)</f>
        <v>No</v>
      </c>
      <c r="AE223">
        <f>VLOOKUP($J223,'[1]Table S6'!$A:$AI,22,FALSE)</f>
        <v>383.7</v>
      </c>
      <c r="AF223">
        <f>VLOOKUP($J223,'[1]Table S6'!$A:$AI,23,FALSE)</f>
        <v>0.81655671419450904</v>
      </c>
      <c r="AG223">
        <f>VLOOKUP($J223,'[1]Table S6'!$A:$AI,24,FALSE)</f>
        <v>15.65</v>
      </c>
      <c r="AH223" t="str">
        <f>VLOOKUP($J223,'[1]Table S6'!$A:$AI,25,FALSE)</f>
        <v>No</v>
      </c>
      <c r="AJ223">
        <f>VLOOKUP($J223,'[1]Table S6'!$A:$AI,27,FALSE)</f>
        <v>405.1</v>
      </c>
      <c r="AK223">
        <f>VLOOKUP($J223,'[1]Table S6'!$A:$AI,28,FALSE)</f>
        <v>0.862098318791232</v>
      </c>
      <c r="AL223">
        <f>VLOOKUP($J223,'[1]Table S6'!$A:$AI,29,FALSE)</f>
        <v>37.85</v>
      </c>
      <c r="AM223" t="str">
        <f>VLOOKUP($J223,'[1]Table S6'!$A:$AI,30,FALSE)</f>
        <v>No</v>
      </c>
      <c r="AO223">
        <f>VLOOKUP($J223,'[1]Table S6'!$A:$AI,32,FALSE)</f>
        <v>390.2</v>
      </c>
      <c r="AP223">
        <f>VLOOKUP($J223,'[1]Table S6'!$A:$AI,33,FALSE)</f>
        <v>0.83038944456267305</v>
      </c>
      <c r="AQ223">
        <f>VLOOKUP($J223,'[1]Table S6'!$A:$AI,34,FALSE)</f>
        <v>17.93</v>
      </c>
      <c r="AR223" t="str">
        <f>VLOOKUP($J223,'[1]Table S6'!$A:$AI,35,FALSE)</f>
        <v>No</v>
      </c>
      <c r="AT223" t="e">
        <f>VLOOKUP($I223,'[2]Table S5'!$A:$K,8,FALSE)</f>
        <v>#N/A</v>
      </c>
      <c r="AU223" t="e">
        <f>VLOOKUP($I223,'[2]Table S5'!$A:$K,9,FALSE)</f>
        <v>#N/A</v>
      </c>
      <c r="AV223" t="e">
        <f>VLOOKUP($I223,'[2]Table S5'!$A:$K,10,FALSE)</f>
        <v>#N/A</v>
      </c>
      <c r="AW223" t="e">
        <f>VLOOKUP($I223,'[2]Table S5'!$A:$K,11,FALSE)</f>
        <v>#N/A</v>
      </c>
    </row>
    <row r="224" spans="1:49">
      <c r="A224" s="12" t="s">
        <v>1690</v>
      </c>
      <c r="B224" t="s">
        <v>1691</v>
      </c>
      <c r="C224" t="s">
        <v>1692</v>
      </c>
      <c r="D224" t="s">
        <v>17</v>
      </c>
      <c r="E224" t="s">
        <v>1693</v>
      </c>
      <c r="F224" s="12" t="s">
        <v>1694</v>
      </c>
      <c r="G224" t="s">
        <v>1695</v>
      </c>
      <c r="H224" t="s">
        <v>1696</v>
      </c>
      <c r="I224" t="s">
        <v>1681</v>
      </c>
      <c r="J224" t="s">
        <v>1682</v>
      </c>
      <c r="K224">
        <f>VLOOKUP($J224,'[1]Table S6'!$A:$AI,2,FALSE)</f>
        <v>398.5</v>
      </c>
      <c r="L224">
        <f>VLOOKUP($J224,'[1]Table S6'!$A:$AI,3,FALSE)</f>
        <v>0.84805277718663596</v>
      </c>
      <c r="M224">
        <f>VLOOKUP($J224,'[1]Table S6'!$A:$AI,4,FALSE)</f>
        <v>24.52</v>
      </c>
      <c r="N224" t="str">
        <f>VLOOKUP($J224,'[1]Table S6'!$A:$AI,5,FALSE)</f>
        <v>No</v>
      </c>
      <c r="P224">
        <f>VLOOKUP($J224,'[1]Table S6'!$A:$AI,7,FALSE)</f>
        <v>361.9</v>
      </c>
      <c r="Q224">
        <f>VLOOKUP($J224,'[1]Table S6'!$A:$AI,8,FALSE)</f>
        <v>0.770163864652054</v>
      </c>
      <c r="R224">
        <f>VLOOKUP($J224,'[1]Table S6'!$A:$AI,9,FALSE)</f>
        <v>7.8929999999999998</v>
      </c>
      <c r="S224" t="str">
        <f>VLOOKUP($J224,'[1]Table S6'!$A:$AI,10,FALSE)</f>
        <v>No</v>
      </c>
      <c r="U224">
        <f>VLOOKUP($J224,'[1]Table S6'!$A:$AI,12,FALSE)</f>
        <v>397.2</v>
      </c>
      <c r="V224">
        <f>VLOOKUP($J224,'[1]Table S6'!$A:$AI,13,FALSE)</f>
        <v>0.84528623111300305</v>
      </c>
      <c r="W224">
        <f>VLOOKUP($J224,'[1]Table S6'!$A:$AI,14,FALSE)</f>
        <v>26.74</v>
      </c>
      <c r="X224" t="str">
        <f>VLOOKUP($J224,'[1]Table S6'!$A:$AI,15,FALSE)</f>
        <v>No</v>
      </c>
      <c r="Z224">
        <f>VLOOKUP($J224,'[1]Table S6'!$A:$AI,17,FALSE)</f>
        <v>397.4</v>
      </c>
      <c r="AA224">
        <f>VLOOKUP($J224,'[1]Table S6'!$A:$AI,18,FALSE)</f>
        <v>0.84571185358586898</v>
      </c>
      <c r="AB224">
        <f>VLOOKUP($J224,'[1]Table S6'!$A:$AI,19,FALSE)</f>
        <v>25.13</v>
      </c>
      <c r="AC224" t="str">
        <f>VLOOKUP($J224,'[1]Table S6'!$A:$AI,20,FALSE)</f>
        <v>No</v>
      </c>
      <c r="AE224">
        <f>VLOOKUP($J224,'[1]Table S6'!$A:$AI,22,FALSE)</f>
        <v>383.7</v>
      </c>
      <c r="AF224">
        <f>VLOOKUP($J224,'[1]Table S6'!$A:$AI,23,FALSE)</f>
        <v>0.81655671419450904</v>
      </c>
      <c r="AG224">
        <f>VLOOKUP($J224,'[1]Table S6'!$A:$AI,24,FALSE)</f>
        <v>15.65</v>
      </c>
      <c r="AH224" t="str">
        <f>VLOOKUP($J224,'[1]Table S6'!$A:$AI,25,FALSE)</f>
        <v>No</v>
      </c>
      <c r="AJ224">
        <f>VLOOKUP($J224,'[1]Table S6'!$A:$AI,27,FALSE)</f>
        <v>405.1</v>
      </c>
      <c r="AK224">
        <f>VLOOKUP($J224,'[1]Table S6'!$A:$AI,28,FALSE)</f>
        <v>0.862098318791232</v>
      </c>
      <c r="AL224">
        <f>VLOOKUP($J224,'[1]Table S6'!$A:$AI,29,FALSE)</f>
        <v>37.85</v>
      </c>
      <c r="AM224" t="str">
        <f>VLOOKUP($J224,'[1]Table S6'!$A:$AI,30,FALSE)</f>
        <v>No</v>
      </c>
      <c r="AO224">
        <f>VLOOKUP($J224,'[1]Table S6'!$A:$AI,32,FALSE)</f>
        <v>390.2</v>
      </c>
      <c r="AP224">
        <f>VLOOKUP($J224,'[1]Table S6'!$A:$AI,33,FALSE)</f>
        <v>0.83038944456267305</v>
      </c>
      <c r="AQ224">
        <f>VLOOKUP($J224,'[1]Table S6'!$A:$AI,34,FALSE)</f>
        <v>17.93</v>
      </c>
      <c r="AR224" t="str">
        <f>VLOOKUP($J224,'[1]Table S6'!$A:$AI,35,FALSE)</f>
        <v>No</v>
      </c>
      <c r="AT224" t="e">
        <f>VLOOKUP($I224,'[2]Table S5'!$A:$K,8,FALSE)</f>
        <v>#N/A</v>
      </c>
      <c r="AU224" t="e">
        <f>VLOOKUP($I224,'[2]Table S5'!$A:$K,9,FALSE)</f>
        <v>#N/A</v>
      </c>
      <c r="AV224" t="e">
        <f>VLOOKUP($I224,'[2]Table S5'!$A:$K,10,FALSE)</f>
        <v>#N/A</v>
      </c>
      <c r="AW224" t="e">
        <f>VLOOKUP($I224,'[2]Table S5'!$A:$K,11,FALSE)</f>
        <v>#N/A</v>
      </c>
    </row>
    <row r="225" spans="1:49">
      <c r="A225" s="12" t="s">
        <v>1697</v>
      </c>
      <c r="B225" t="s">
        <v>1698</v>
      </c>
      <c r="C225" t="s">
        <v>1699</v>
      </c>
      <c r="D225" t="s">
        <v>17</v>
      </c>
      <c r="E225" t="s">
        <v>1700</v>
      </c>
      <c r="F225" s="12" t="s">
        <v>1701</v>
      </c>
      <c r="G225" t="s">
        <v>1702</v>
      </c>
      <c r="H225" t="s">
        <v>1703</v>
      </c>
      <c r="I225" t="s">
        <v>1681</v>
      </c>
      <c r="J225" t="s">
        <v>1681</v>
      </c>
      <c r="K225" t="e">
        <f>VLOOKUP($J225,'[1]Table S6'!$A:$AI,2,FALSE)</f>
        <v>#N/A</v>
      </c>
      <c r="L225" t="e">
        <f>VLOOKUP($J225,'[1]Table S6'!$A:$AI,3,FALSE)</f>
        <v>#N/A</v>
      </c>
      <c r="M225" t="e">
        <f>VLOOKUP($J225,'[1]Table S6'!$A:$AI,4,FALSE)</f>
        <v>#N/A</v>
      </c>
      <c r="N225" t="e">
        <f>VLOOKUP($J225,'[1]Table S6'!$A:$AI,5,FALSE)</f>
        <v>#N/A</v>
      </c>
      <c r="P225" t="e">
        <f>VLOOKUP($J225,'[1]Table S6'!$A:$AI,7,FALSE)</f>
        <v>#N/A</v>
      </c>
      <c r="Q225" t="e">
        <f>VLOOKUP($J225,'[1]Table S6'!$A:$AI,8,FALSE)</f>
        <v>#N/A</v>
      </c>
      <c r="R225" t="e">
        <f>VLOOKUP($J225,'[1]Table S6'!$A:$AI,9,FALSE)</f>
        <v>#N/A</v>
      </c>
      <c r="S225" t="e">
        <f>VLOOKUP($J225,'[1]Table S6'!$A:$AI,10,FALSE)</f>
        <v>#N/A</v>
      </c>
      <c r="U225" t="e">
        <f>VLOOKUP($J225,'[1]Table S6'!$A:$AI,12,FALSE)</f>
        <v>#N/A</v>
      </c>
      <c r="V225" t="e">
        <f>VLOOKUP($J225,'[1]Table S6'!$A:$AI,13,FALSE)</f>
        <v>#N/A</v>
      </c>
      <c r="W225" t="e">
        <f>VLOOKUP($J225,'[1]Table S6'!$A:$AI,14,FALSE)</f>
        <v>#N/A</v>
      </c>
      <c r="X225" t="e">
        <f>VLOOKUP($J225,'[1]Table S6'!$A:$AI,15,FALSE)</f>
        <v>#N/A</v>
      </c>
      <c r="Z225" t="e">
        <f>VLOOKUP($J225,'[1]Table S6'!$A:$AI,17,FALSE)</f>
        <v>#N/A</v>
      </c>
      <c r="AA225" t="e">
        <f>VLOOKUP($J225,'[1]Table S6'!$A:$AI,18,FALSE)</f>
        <v>#N/A</v>
      </c>
      <c r="AB225" t="e">
        <f>VLOOKUP($J225,'[1]Table S6'!$A:$AI,19,FALSE)</f>
        <v>#N/A</v>
      </c>
      <c r="AC225" t="e">
        <f>VLOOKUP($J225,'[1]Table S6'!$A:$AI,20,FALSE)</f>
        <v>#N/A</v>
      </c>
      <c r="AE225" t="e">
        <f>VLOOKUP($J225,'[1]Table S6'!$A:$AI,22,FALSE)</f>
        <v>#N/A</v>
      </c>
      <c r="AF225" t="e">
        <f>VLOOKUP($J225,'[1]Table S6'!$A:$AI,23,FALSE)</f>
        <v>#N/A</v>
      </c>
      <c r="AG225" t="e">
        <f>VLOOKUP($J225,'[1]Table S6'!$A:$AI,24,FALSE)</f>
        <v>#N/A</v>
      </c>
      <c r="AH225" t="e">
        <f>VLOOKUP($J225,'[1]Table S6'!$A:$AI,25,FALSE)</f>
        <v>#N/A</v>
      </c>
      <c r="AJ225" t="e">
        <f>VLOOKUP($J225,'[1]Table S6'!$A:$AI,27,FALSE)</f>
        <v>#N/A</v>
      </c>
      <c r="AK225" t="e">
        <f>VLOOKUP($J225,'[1]Table S6'!$A:$AI,28,FALSE)</f>
        <v>#N/A</v>
      </c>
      <c r="AL225" t="e">
        <f>VLOOKUP($J225,'[1]Table S6'!$A:$AI,29,FALSE)</f>
        <v>#N/A</v>
      </c>
      <c r="AM225" t="e">
        <f>VLOOKUP($J225,'[1]Table S6'!$A:$AI,30,FALSE)</f>
        <v>#N/A</v>
      </c>
      <c r="AO225" t="e">
        <f>VLOOKUP($J225,'[1]Table S6'!$A:$AI,32,FALSE)</f>
        <v>#N/A</v>
      </c>
      <c r="AP225" t="e">
        <f>VLOOKUP($J225,'[1]Table S6'!$A:$AI,33,FALSE)</f>
        <v>#N/A</v>
      </c>
      <c r="AQ225" t="e">
        <f>VLOOKUP($J225,'[1]Table S6'!$A:$AI,34,FALSE)</f>
        <v>#N/A</v>
      </c>
      <c r="AR225" t="e">
        <f>VLOOKUP($J225,'[1]Table S6'!$A:$AI,35,FALSE)</f>
        <v>#N/A</v>
      </c>
      <c r="AT225" t="e">
        <f>VLOOKUP($I225,'[2]Table S5'!$A:$K,8,FALSE)</f>
        <v>#N/A</v>
      </c>
      <c r="AU225" t="e">
        <f>VLOOKUP($I225,'[2]Table S5'!$A:$K,9,FALSE)</f>
        <v>#N/A</v>
      </c>
      <c r="AV225" t="e">
        <f>VLOOKUP($I225,'[2]Table S5'!$A:$K,10,FALSE)</f>
        <v>#N/A</v>
      </c>
      <c r="AW225" t="e">
        <f>VLOOKUP($I225,'[2]Table S5'!$A:$K,11,FALSE)</f>
        <v>#N/A</v>
      </c>
    </row>
    <row r="226" spans="1:49">
      <c r="A226" s="12" t="s">
        <v>1704</v>
      </c>
      <c r="B226" t="s">
        <v>1705</v>
      </c>
      <c r="C226" t="s">
        <v>1706</v>
      </c>
      <c r="D226" t="s">
        <v>17</v>
      </c>
      <c r="E226" t="s">
        <v>1707</v>
      </c>
      <c r="F226" s="12" t="s">
        <v>1708</v>
      </c>
      <c r="G226" t="s">
        <v>1709</v>
      </c>
      <c r="H226" t="s">
        <v>1710</v>
      </c>
      <c r="I226" t="s">
        <v>1711</v>
      </c>
      <c r="J226" t="s">
        <v>1712</v>
      </c>
      <c r="K226">
        <f>VLOOKUP($J226,'[1]Table S6'!$A:$AI,2,FALSE)</f>
        <v>379.3</v>
      </c>
      <c r="L226">
        <f>VLOOKUP($J226,'[1]Table S6'!$A:$AI,3,FALSE)</f>
        <v>0.80719301979144498</v>
      </c>
      <c r="M226">
        <f>VLOOKUP($J226,'[1]Table S6'!$A:$AI,4,FALSE)</f>
        <v>13.15</v>
      </c>
      <c r="N226" t="str">
        <f>VLOOKUP($J226,'[1]Table S6'!$A:$AI,5,FALSE)</f>
        <v>No</v>
      </c>
      <c r="P226">
        <f>VLOOKUP($J226,'[1]Table S6'!$A:$AI,7,FALSE)</f>
        <v>400.4</v>
      </c>
      <c r="Q226">
        <f>VLOOKUP($J226,'[1]Table S6'!$A:$AI,8,FALSE)</f>
        <v>0.85209619067886799</v>
      </c>
      <c r="R226">
        <f>VLOOKUP($J226,'[1]Table S6'!$A:$AI,9,FALSE)</f>
        <v>28.42</v>
      </c>
      <c r="S226" t="str">
        <f>VLOOKUP($J226,'[1]Table S6'!$A:$AI,10,FALSE)</f>
        <v>No</v>
      </c>
      <c r="U226">
        <f>VLOOKUP($J226,'[1]Table S6'!$A:$AI,12,FALSE)</f>
        <v>408.9</v>
      </c>
      <c r="V226">
        <f>VLOOKUP($J226,'[1]Table S6'!$A:$AI,13,FALSE)</f>
        <v>0.87018514577569706</v>
      </c>
      <c r="W226">
        <f>VLOOKUP($J226,'[1]Table S6'!$A:$AI,14,FALSE)</f>
        <v>33.5</v>
      </c>
      <c r="X226" t="str">
        <f>VLOOKUP($J226,'[1]Table S6'!$A:$AI,15,FALSE)</f>
        <v>No</v>
      </c>
      <c r="Z226">
        <f>VLOOKUP($J226,'[1]Table S6'!$A:$AI,17,FALSE)</f>
        <v>376.9</v>
      </c>
      <c r="AA226">
        <f>VLOOKUP($J226,'[1]Table S6'!$A:$AI,18,FALSE)</f>
        <v>0.80208555011704596</v>
      </c>
      <c r="AB226">
        <f>VLOOKUP($J226,'[1]Table S6'!$A:$AI,19,FALSE)</f>
        <v>12.58</v>
      </c>
      <c r="AC226" t="str">
        <f>VLOOKUP($J226,'[1]Table S6'!$A:$AI,20,FALSE)</f>
        <v>No</v>
      </c>
      <c r="AE226">
        <f>VLOOKUP($J226,'[1]Table S6'!$A:$AI,22,FALSE)</f>
        <v>388.6</v>
      </c>
      <c r="AF226">
        <f>VLOOKUP($J226,'[1]Table S6'!$A:$AI,23,FALSE)</f>
        <v>0.82698446477973997</v>
      </c>
      <c r="AG226">
        <f>VLOOKUP($J226,'[1]Table S6'!$A:$AI,24,FALSE)</f>
        <v>18.55</v>
      </c>
      <c r="AH226" t="str">
        <f>VLOOKUP($J226,'[1]Table S6'!$A:$AI,25,FALSE)</f>
        <v>No</v>
      </c>
      <c r="AJ226">
        <f>VLOOKUP($J226,'[1]Table S6'!$A:$AI,27,FALSE)</f>
        <v>392.5</v>
      </c>
      <c r="AK226">
        <f>VLOOKUP($J226,'[1]Table S6'!$A:$AI,28,FALSE)</f>
        <v>0.83528410300063805</v>
      </c>
      <c r="AL226">
        <f>VLOOKUP($J226,'[1]Table S6'!$A:$AI,29,FALSE)</f>
        <v>21.55</v>
      </c>
      <c r="AM226" t="str">
        <f>VLOOKUP($J226,'[1]Table S6'!$A:$AI,30,FALSE)</f>
        <v>No</v>
      </c>
      <c r="AO226">
        <f>VLOOKUP($J226,'[1]Table S6'!$A:$AI,32,FALSE)</f>
        <v>399.2</v>
      </c>
      <c r="AP226">
        <f>VLOOKUP($J226,'[1]Table S6'!$A:$AI,33,FALSE)</f>
        <v>0.84954245584166799</v>
      </c>
      <c r="AQ226">
        <f>VLOOKUP($J226,'[1]Table S6'!$A:$AI,34,FALSE)</f>
        <v>33.76</v>
      </c>
      <c r="AR226" t="str">
        <f>VLOOKUP($J226,'[1]Table S6'!$A:$AI,35,FALSE)</f>
        <v>No</v>
      </c>
      <c r="AT226" t="e">
        <f>VLOOKUP($I226,'[2]Table S5'!$A:$K,8,FALSE)</f>
        <v>#N/A</v>
      </c>
      <c r="AU226" t="e">
        <f>VLOOKUP($I226,'[2]Table S5'!$A:$K,9,FALSE)</f>
        <v>#N/A</v>
      </c>
      <c r="AV226" t="e">
        <f>VLOOKUP($I226,'[2]Table S5'!$A:$K,10,FALSE)</f>
        <v>#N/A</v>
      </c>
      <c r="AW226" t="e">
        <f>VLOOKUP($I226,'[2]Table S5'!$A:$K,11,FALSE)</f>
        <v>#N/A</v>
      </c>
    </row>
    <row r="227" spans="1:49">
      <c r="A227" s="12" t="s">
        <v>1713</v>
      </c>
      <c r="B227" t="s">
        <v>1714</v>
      </c>
      <c r="C227" t="s">
        <v>1715</v>
      </c>
      <c r="D227" t="s">
        <v>17</v>
      </c>
      <c r="E227" t="s">
        <v>1716</v>
      </c>
      <c r="F227" s="12" t="s">
        <v>1717</v>
      </c>
      <c r="G227" t="s">
        <v>1718</v>
      </c>
      <c r="H227" t="s">
        <v>1719</v>
      </c>
      <c r="I227" t="s">
        <v>1711</v>
      </c>
      <c r="J227" t="s">
        <v>1712</v>
      </c>
      <c r="K227">
        <f>VLOOKUP($J227,'[1]Table S6'!$A:$AI,2,FALSE)</f>
        <v>379.3</v>
      </c>
      <c r="L227">
        <f>VLOOKUP($J227,'[1]Table S6'!$A:$AI,3,FALSE)</f>
        <v>0.80719301979144498</v>
      </c>
      <c r="M227">
        <f>VLOOKUP($J227,'[1]Table S6'!$A:$AI,4,FALSE)</f>
        <v>13.15</v>
      </c>
      <c r="N227" t="str">
        <f>VLOOKUP($J227,'[1]Table S6'!$A:$AI,5,FALSE)</f>
        <v>No</v>
      </c>
      <c r="P227">
        <f>VLOOKUP($J227,'[1]Table S6'!$A:$AI,7,FALSE)</f>
        <v>400.4</v>
      </c>
      <c r="Q227">
        <f>VLOOKUP($J227,'[1]Table S6'!$A:$AI,8,FALSE)</f>
        <v>0.85209619067886799</v>
      </c>
      <c r="R227">
        <f>VLOOKUP($J227,'[1]Table S6'!$A:$AI,9,FALSE)</f>
        <v>28.42</v>
      </c>
      <c r="S227" t="str">
        <f>VLOOKUP($J227,'[1]Table S6'!$A:$AI,10,FALSE)</f>
        <v>No</v>
      </c>
      <c r="U227">
        <f>VLOOKUP($J227,'[1]Table S6'!$A:$AI,12,FALSE)</f>
        <v>408.9</v>
      </c>
      <c r="V227">
        <f>VLOOKUP($J227,'[1]Table S6'!$A:$AI,13,FALSE)</f>
        <v>0.87018514577569706</v>
      </c>
      <c r="W227">
        <f>VLOOKUP($J227,'[1]Table S6'!$A:$AI,14,FALSE)</f>
        <v>33.5</v>
      </c>
      <c r="X227" t="str">
        <f>VLOOKUP($J227,'[1]Table S6'!$A:$AI,15,FALSE)</f>
        <v>No</v>
      </c>
      <c r="Z227">
        <f>VLOOKUP($J227,'[1]Table S6'!$A:$AI,17,FALSE)</f>
        <v>376.9</v>
      </c>
      <c r="AA227">
        <f>VLOOKUP($J227,'[1]Table S6'!$A:$AI,18,FALSE)</f>
        <v>0.80208555011704596</v>
      </c>
      <c r="AB227">
        <f>VLOOKUP($J227,'[1]Table S6'!$A:$AI,19,FALSE)</f>
        <v>12.58</v>
      </c>
      <c r="AC227" t="str">
        <f>VLOOKUP($J227,'[1]Table S6'!$A:$AI,20,FALSE)</f>
        <v>No</v>
      </c>
      <c r="AE227">
        <f>VLOOKUP($J227,'[1]Table S6'!$A:$AI,22,FALSE)</f>
        <v>388.6</v>
      </c>
      <c r="AF227">
        <f>VLOOKUP($J227,'[1]Table S6'!$A:$AI,23,FALSE)</f>
        <v>0.82698446477973997</v>
      </c>
      <c r="AG227">
        <f>VLOOKUP($J227,'[1]Table S6'!$A:$AI,24,FALSE)</f>
        <v>18.55</v>
      </c>
      <c r="AH227" t="str">
        <f>VLOOKUP($J227,'[1]Table S6'!$A:$AI,25,FALSE)</f>
        <v>No</v>
      </c>
      <c r="AJ227">
        <f>VLOOKUP($J227,'[1]Table S6'!$A:$AI,27,FALSE)</f>
        <v>392.5</v>
      </c>
      <c r="AK227">
        <f>VLOOKUP($J227,'[1]Table S6'!$A:$AI,28,FALSE)</f>
        <v>0.83528410300063805</v>
      </c>
      <c r="AL227">
        <f>VLOOKUP($J227,'[1]Table S6'!$A:$AI,29,FALSE)</f>
        <v>21.55</v>
      </c>
      <c r="AM227" t="str">
        <f>VLOOKUP($J227,'[1]Table S6'!$A:$AI,30,FALSE)</f>
        <v>No</v>
      </c>
      <c r="AO227">
        <f>VLOOKUP($J227,'[1]Table S6'!$A:$AI,32,FALSE)</f>
        <v>399.2</v>
      </c>
      <c r="AP227">
        <f>VLOOKUP($J227,'[1]Table S6'!$A:$AI,33,FALSE)</f>
        <v>0.84954245584166799</v>
      </c>
      <c r="AQ227">
        <f>VLOOKUP($J227,'[1]Table S6'!$A:$AI,34,FALSE)</f>
        <v>33.76</v>
      </c>
      <c r="AR227" t="str">
        <f>VLOOKUP($J227,'[1]Table S6'!$A:$AI,35,FALSE)</f>
        <v>No</v>
      </c>
      <c r="AT227" t="e">
        <f>VLOOKUP($I227,'[2]Table S5'!$A:$K,8,FALSE)</f>
        <v>#N/A</v>
      </c>
      <c r="AU227" t="e">
        <f>VLOOKUP($I227,'[2]Table S5'!$A:$K,9,FALSE)</f>
        <v>#N/A</v>
      </c>
      <c r="AV227" t="e">
        <f>VLOOKUP($I227,'[2]Table S5'!$A:$K,10,FALSE)</f>
        <v>#N/A</v>
      </c>
      <c r="AW227" t="e">
        <f>VLOOKUP($I227,'[2]Table S5'!$A:$K,11,FALSE)</f>
        <v>#N/A</v>
      </c>
    </row>
    <row r="228" spans="1:49">
      <c r="A228" s="12" t="s">
        <v>1720</v>
      </c>
      <c r="B228" t="s">
        <v>1721</v>
      </c>
      <c r="C228" t="s">
        <v>1722</v>
      </c>
      <c r="D228" t="s">
        <v>17</v>
      </c>
      <c r="E228" t="s">
        <v>1723</v>
      </c>
      <c r="F228" s="12" t="s">
        <v>1724</v>
      </c>
      <c r="G228" t="s">
        <v>1725</v>
      </c>
      <c r="H228" t="s">
        <v>1726</v>
      </c>
      <c r="I228" t="s">
        <v>1711</v>
      </c>
      <c r="J228" t="s">
        <v>1712</v>
      </c>
      <c r="K228">
        <f>VLOOKUP($J228,'[1]Table S6'!$A:$AI,2,FALSE)</f>
        <v>379.3</v>
      </c>
      <c r="L228">
        <f>VLOOKUP($J228,'[1]Table S6'!$A:$AI,3,FALSE)</f>
        <v>0.80719301979144498</v>
      </c>
      <c r="M228">
        <f>VLOOKUP($J228,'[1]Table S6'!$A:$AI,4,FALSE)</f>
        <v>13.15</v>
      </c>
      <c r="N228" t="str">
        <f>VLOOKUP($J228,'[1]Table S6'!$A:$AI,5,FALSE)</f>
        <v>No</v>
      </c>
      <c r="P228">
        <f>VLOOKUP($J228,'[1]Table S6'!$A:$AI,7,FALSE)</f>
        <v>400.4</v>
      </c>
      <c r="Q228">
        <f>VLOOKUP($J228,'[1]Table S6'!$A:$AI,8,FALSE)</f>
        <v>0.85209619067886799</v>
      </c>
      <c r="R228">
        <f>VLOOKUP($J228,'[1]Table S6'!$A:$AI,9,FALSE)</f>
        <v>28.42</v>
      </c>
      <c r="S228" t="str">
        <f>VLOOKUP($J228,'[1]Table S6'!$A:$AI,10,FALSE)</f>
        <v>No</v>
      </c>
      <c r="U228">
        <f>VLOOKUP($J228,'[1]Table S6'!$A:$AI,12,FALSE)</f>
        <v>408.9</v>
      </c>
      <c r="V228">
        <f>VLOOKUP($J228,'[1]Table S6'!$A:$AI,13,FALSE)</f>
        <v>0.87018514577569706</v>
      </c>
      <c r="W228">
        <f>VLOOKUP($J228,'[1]Table S6'!$A:$AI,14,FALSE)</f>
        <v>33.5</v>
      </c>
      <c r="X228" t="str">
        <f>VLOOKUP($J228,'[1]Table S6'!$A:$AI,15,FALSE)</f>
        <v>No</v>
      </c>
      <c r="Z228">
        <f>VLOOKUP($J228,'[1]Table S6'!$A:$AI,17,FALSE)</f>
        <v>376.9</v>
      </c>
      <c r="AA228">
        <f>VLOOKUP($J228,'[1]Table S6'!$A:$AI,18,FALSE)</f>
        <v>0.80208555011704596</v>
      </c>
      <c r="AB228">
        <f>VLOOKUP($J228,'[1]Table S6'!$A:$AI,19,FALSE)</f>
        <v>12.58</v>
      </c>
      <c r="AC228" t="str">
        <f>VLOOKUP($J228,'[1]Table S6'!$A:$AI,20,FALSE)</f>
        <v>No</v>
      </c>
      <c r="AE228">
        <f>VLOOKUP($J228,'[1]Table S6'!$A:$AI,22,FALSE)</f>
        <v>388.6</v>
      </c>
      <c r="AF228">
        <f>VLOOKUP($J228,'[1]Table S6'!$A:$AI,23,FALSE)</f>
        <v>0.82698446477973997</v>
      </c>
      <c r="AG228">
        <f>VLOOKUP($J228,'[1]Table S6'!$A:$AI,24,FALSE)</f>
        <v>18.55</v>
      </c>
      <c r="AH228" t="str">
        <f>VLOOKUP($J228,'[1]Table S6'!$A:$AI,25,FALSE)</f>
        <v>No</v>
      </c>
      <c r="AJ228">
        <f>VLOOKUP($J228,'[1]Table S6'!$A:$AI,27,FALSE)</f>
        <v>392.5</v>
      </c>
      <c r="AK228">
        <f>VLOOKUP($J228,'[1]Table S6'!$A:$AI,28,FALSE)</f>
        <v>0.83528410300063805</v>
      </c>
      <c r="AL228">
        <f>VLOOKUP($J228,'[1]Table S6'!$A:$AI,29,FALSE)</f>
        <v>21.55</v>
      </c>
      <c r="AM228" t="str">
        <f>VLOOKUP($J228,'[1]Table S6'!$A:$AI,30,FALSE)</f>
        <v>No</v>
      </c>
      <c r="AO228">
        <f>VLOOKUP($J228,'[1]Table S6'!$A:$AI,32,FALSE)</f>
        <v>399.2</v>
      </c>
      <c r="AP228">
        <f>VLOOKUP($J228,'[1]Table S6'!$A:$AI,33,FALSE)</f>
        <v>0.84954245584166799</v>
      </c>
      <c r="AQ228">
        <f>VLOOKUP($J228,'[1]Table S6'!$A:$AI,34,FALSE)</f>
        <v>33.76</v>
      </c>
      <c r="AR228" t="str">
        <f>VLOOKUP($J228,'[1]Table S6'!$A:$AI,35,FALSE)</f>
        <v>No</v>
      </c>
      <c r="AT228" t="e">
        <f>VLOOKUP($I228,'[2]Table S5'!$A:$K,8,FALSE)</f>
        <v>#N/A</v>
      </c>
      <c r="AU228" t="e">
        <f>VLOOKUP($I228,'[2]Table S5'!$A:$K,9,FALSE)</f>
        <v>#N/A</v>
      </c>
      <c r="AV228" t="e">
        <f>VLOOKUP($I228,'[2]Table S5'!$A:$K,10,FALSE)</f>
        <v>#N/A</v>
      </c>
      <c r="AW228" t="e">
        <f>VLOOKUP($I228,'[2]Table S5'!$A:$K,11,FALSE)</f>
        <v>#N/A</v>
      </c>
    </row>
    <row r="229" spans="1:49">
      <c r="A229" s="12" t="s">
        <v>1727</v>
      </c>
      <c r="B229" t="s">
        <v>1728</v>
      </c>
      <c r="C229" t="s">
        <v>1729</v>
      </c>
      <c r="D229" t="s">
        <v>17</v>
      </c>
      <c r="E229" t="s">
        <v>1730</v>
      </c>
      <c r="F229" s="12" t="s">
        <v>1731</v>
      </c>
      <c r="G229" t="s">
        <v>1732</v>
      </c>
      <c r="H229" t="s">
        <v>1733</v>
      </c>
      <c r="I229" t="s">
        <v>1711</v>
      </c>
      <c r="J229" t="s">
        <v>1711</v>
      </c>
      <c r="K229" t="e">
        <f>VLOOKUP($J229,'[1]Table S6'!$A:$AI,2,FALSE)</f>
        <v>#N/A</v>
      </c>
      <c r="L229" t="e">
        <f>VLOOKUP($J229,'[1]Table S6'!$A:$AI,3,FALSE)</f>
        <v>#N/A</v>
      </c>
      <c r="M229" t="e">
        <f>VLOOKUP($J229,'[1]Table S6'!$A:$AI,4,FALSE)</f>
        <v>#N/A</v>
      </c>
      <c r="N229" t="e">
        <f>VLOOKUP($J229,'[1]Table S6'!$A:$AI,5,FALSE)</f>
        <v>#N/A</v>
      </c>
      <c r="P229" t="e">
        <f>VLOOKUP($J229,'[1]Table S6'!$A:$AI,7,FALSE)</f>
        <v>#N/A</v>
      </c>
      <c r="Q229" t="e">
        <f>VLOOKUP($J229,'[1]Table S6'!$A:$AI,8,FALSE)</f>
        <v>#N/A</v>
      </c>
      <c r="R229" t="e">
        <f>VLOOKUP($J229,'[1]Table S6'!$A:$AI,9,FALSE)</f>
        <v>#N/A</v>
      </c>
      <c r="S229" t="e">
        <f>VLOOKUP($J229,'[1]Table S6'!$A:$AI,10,FALSE)</f>
        <v>#N/A</v>
      </c>
      <c r="U229" t="e">
        <f>VLOOKUP($J229,'[1]Table S6'!$A:$AI,12,FALSE)</f>
        <v>#N/A</v>
      </c>
      <c r="V229" t="e">
        <f>VLOOKUP($J229,'[1]Table S6'!$A:$AI,13,FALSE)</f>
        <v>#N/A</v>
      </c>
      <c r="W229" t="e">
        <f>VLOOKUP($J229,'[1]Table S6'!$A:$AI,14,FALSE)</f>
        <v>#N/A</v>
      </c>
      <c r="X229" t="e">
        <f>VLOOKUP($J229,'[1]Table S6'!$A:$AI,15,FALSE)</f>
        <v>#N/A</v>
      </c>
      <c r="Z229" t="e">
        <f>VLOOKUP($J229,'[1]Table S6'!$A:$AI,17,FALSE)</f>
        <v>#N/A</v>
      </c>
      <c r="AA229" t="e">
        <f>VLOOKUP($J229,'[1]Table S6'!$A:$AI,18,FALSE)</f>
        <v>#N/A</v>
      </c>
      <c r="AB229" t="e">
        <f>VLOOKUP($J229,'[1]Table S6'!$A:$AI,19,FALSE)</f>
        <v>#N/A</v>
      </c>
      <c r="AC229" t="e">
        <f>VLOOKUP($J229,'[1]Table S6'!$A:$AI,20,FALSE)</f>
        <v>#N/A</v>
      </c>
      <c r="AE229" t="e">
        <f>VLOOKUP($J229,'[1]Table S6'!$A:$AI,22,FALSE)</f>
        <v>#N/A</v>
      </c>
      <c r="AF229" t="e">
        <f>VLOOKUP($J229,'[1]Table S6'!$A:$AI,23,FALSE)</f>
        <v>#N/A</v>
      </c>
      <c r="AG229" t="e">
        <f>VLOOKUP($J229,'[1]Table S6'!$A:$AI,24,FALSE)</f>
        <v>#N/A</v>
      </c>
      <c r="AH229" t="e">
        <f>VLOOKUP($J229,'[1]Table S6'!$A:$AI,25,FALSE)</f>
        <v>#N/A</v>
      </c>
      <c r="AJ229" t="e">
        <f>VLOOKUP($J229,'[1]Table S6'!$A:$AI,27,FALSE)</f>
        <v>#N/A</v>
      </c>
      <c r="AK229" t="e">
        <f>VLOOKUP($J229,'[1]Table S6'!$A:$AI,28,FALSE)</f>
        <v>#N/A</v>
      </c>
      <c r="AL229" t="e">
        <f>VLOOKUP($J229,'[1]Table S6'!$A:$AI,29,FALSE)</f>
        <v>#N/A</v>
      </c>
      <c r="AM229" t="e">
        <f>VLOOKUP($J229,'[1]Table S6'!$A:$AI,30,FALSE)</f>
        <v>#N/A</v>
      </c>
      <c r="AO229" t="e">
        <f>VLOOKUP($J229,'[1]Table S6'!$A:$AI,32,FALSE)</f>
        <v>#N/A</v>
      </c>
      <c r="AP229" t="e">
        <f>VLOOKUP($J229,'[1]Table S6'!$A:$AI,33,FALSE)</f>
        <v>#N/A</v>
      </c>
      <c r="AQ229" t="e">
        <f>VLOOKUP($J229,'[1]Table S6'!$A:$AI,34,FALSE)</f>
        <v>#N/A</v>
      </c>
      <c r="AR229" t="e">
        <f>VLOOKUP($J229,'[1]Table S6'!$A:$AI,35,FALSE)</f>
        <v>#N/A</v>
      </c>
      <c r="AT229" t="e">
        <f>VLOOKUP($I229,'[2]Table S5'!$A:$K,8,FALSE)</f>
        <v>#N/A</v>
      </c>
      <c r="AU229" t="e">
        <f>VLOOKUP($I229,'[2]Table S5'!$A:$K,9,FALSE)</f>
        <v>#N/A</v>
      </c>
      <c r="AV229" t="e">
        <f>VLOOKUP($I229,'[2]Table S5'!$A:$K,10,FALSE)</f>
        <v>#N/A</v>
      </c>
      <c r="AW229" t="e">
        <f>VLOOKUP($I229,'[2]Table S5'!$A:$K,11,FALSE)</f>
        <v>#N/A</v>
      </c>
    </row>
    <row r="230" spans="1:49">
      <c r="A230" s="12" t="s">
        <v>1734</v>
      </c>
      <c r="B230" t="s">
        <v>1735</v>
      </c>
      <c r="C230" t="s">
        <v>1736</v>
      </c>
      <c r="D230" t="s">
        <v>17</v>
      </c>
      <c r="E230" t="s">
        <v>1737</v>
      </c>
      <c r="F230" s="12" t="s">
        <v>1738</v>
      </c>
      <c r="G230" t="s">
        <v>1739</v>
      </c>
      <c r="H230" t="s">
        <v>1740</v>
      </c>
      <c r="I230" t="s">
        <v>1741</v>
      </c>
      <c r="J230" t="s">
        <v>1742</v>
      </c>
      <c r="K230">
        <f>VLOOKUP($J230,'[1]Table S6'!$A:$AI,2,FALSE)</f>
        <v>354</v>
      </c>
      <c r="L230">
        <f>VLOOKUP($J230,'[1]Table S6'!$A:$AI,3,FALSE)</f>
        <v>0.75335177697382405</v>
      </c>
      <c r="M230">
        <f>VLOOKUP($J230,'[1]Table S6'!$A:$AI,4,FALSE)</f>
        <v>5.6849999999999996</v>
      </c>
      <c r="N230" t="str">
        <f>VLOOKUP($J230,'[1]Table S6'!$A:$AI,5,FALSE)</f>
        <v>No</v>
      </c>
      <c r="P230">
        <f>VLOOKUP($J230,'[1]Table S6'!$A:$AI,7,FALSE)</f>
        <v>404.5</v>
      </c>
      <c r="Q230">
        <f>VLOOKUP($J230,'[1]Table S6'!$A:$AI,8,FALSE)</f>
        <v>0.860821451372633</v>
      </c>
      <c r="R230">
        <f>VLOOKUP($J230,'[1]Table S6'!$A:$AI,9,FALSE)</f>
        <v>34.31</v>
      </c>
      <c r="S230" t="str">
        <f>VLOOKUP($J230,'[1]Table S6'!$A:$AI,10,FALSE)</f>
        <v>No</v>
      </c>
      <c r="U230">
        <f>VLOOKUP($J230,'[1]Table S6'!$A:$AI,12,FALSE)</f>
        <v>336.7</v>
      </c>
      <c r="V230">
        <f>VLOOKUP($J230,'[1]Table S6'!$A:$AI,13,FALSE)</f>
        <v>0.71653543307086598</v>
      </c>
      <c r="W230">
        <f>VLOOKUP($J230,'[1]Table S6'!$A:$AI,14,FALSE)</f>
        <v>3.2090000000000001</v>
      </c>
      <c r="X230" t="str">
        <f>VLOOKUP($J230,'[1]Table S6'!$A:$AI,15,FALSE)</f>
        <v>No</v>
      </c>
      <c r="Z230">
        <f>VLOOKUP($J230,'[1]Table S6'!$A:$AI,17,FALSE)</f>
        <v>337</v>
      </c>
      <c r="AA230">
        <f>VLOOKUP($J230,'[1]Table S6'!$A:$AI,18,FALSE)</f>
        <v>0.71717386678016604</v>
      </c>
      <c r="AB230">
        <f>VLOOKUP($J230,'[1]Table S6'!$A:$AI,19,FALSE)</f>
        <v>3.581</v>
      </c>
      <c r="AC230" t="str">
        <f>VLOOKUP($J230,'[1]Table S6'!$A:$AI,20,FALSE)</f>
        <v>No</v>
      </c>
      <c r="AE230">
        <f>VLOOKUP($J230,'[1]Table S6'!$A:$AI,22,FALSE)</f>
        <v>406.7</v>
      </c>
      <c r="AF230">
        <f>VLOOKUP($J230,'[1]Table S6'!$A:$AI,23,FALSE)</f>
        <v>0.86550329857416497</v>
      </c>
      <c r="AG230">
        <f>VLOOKUP($J230,'[1]Table S6'!$A:$AI,24,FALSE)</f>
        <v>35.590000000000003</v>
      </c>
      <c r="AH230" t="str">
        <f>VLOOKUP($J230,'[1]Table S6'!$A:$AI,25,FALSE)</f>
        <v>No</v>
      </c>
      <c r="AJ230">
        <f>VLOOKUP($J230,'[1]Table S6'!$A:$AI,27,FALSE)</f>
        <v>406</v>
      </c>
      <c r="AK230">
        <f>VLOOKUP($J230,'[1]Table S6'!$A:$AI,28,FALSE)</f>
        <v>0.86401361991913195</v>
      </c>
      <c r="AL230">
        <f>VLOOKUP($J230,'[1]Table S6'!$A:$AI,29,FALSE)</f>
        <v>35.159999999999997</v>
      </c>
      <c r="AM230" t="str">
        <f>VLOOKUP($J230,'[1]Table S6'!$A:$AI,30,FALSE)</f>
        <v>No</v>
      </c>
      <c r="AO230">
        <f>VLOOKUP($J230,'[1]Table S6'!$A:$AI,32,FALSE)</f>
        <v>395.1</v>
      </c>
      <c r="AP230">
        <f>VLOOKUP($J230,'[1]Table S6'!$A:$AI,33,FALSE)</f>
        <v>0.84081719514790398</v>
      </c>
      <c r="AQ230">
        <f>VLOOKUP($J230,'[1]Table S6'!$A:$AI,34,FALSE)</f>
        <v>25.01</v>
      </c>
      <c r="AR230" t="str">
        <f>VLOOKUP($J230,'[1]Table S6'!$A:$AI,35,FALSE)</f>
        <v>No</v>
      </c>
      <c r="AT230" t="e">
        <f>VLOOKUP($I230,'[2]Table S5'!$A:$K,8,FALSE)</f>
        <v>#N/A</v>
      </c>
      <c r="AU230" t="e">
        <f>VLOOKUP($I230,'[2]Table S5'!$A:$K,9,FALSE)</f>
        <v>#N/A</v>
      </c>
      <c r="AV230" t="e">
        <f>VLOOKUP($I230,'[2]Table S5'!$A:$K,10,FALSE)</f>
        <v>#N/A</v>
      </c>
      <c r="AW230" t="e">
        <f>VLOOKUP($I230,'[2]Table S5'!$A:$K,11,FALSE)</f>
        <v>#N/A</v>
      </c>
    </row>
    <row r="231" spans="1:49">
      <c r="A231" s="12" t="s">
        <v>1743</v>
      </c>
      <c r="B231" t="s">
        <v>1744</v>
      </c>
      <c r="C231" t="s">
        <v>1745</v>
      </c>
      <c r="D231" t="s">
        <v>17</v>
      </c>
      <c r="E231" t="s">
        <v>1746</v>
      </c>
      <c r="F231" s="12" t="s">
        <v>1747</v>
      </c>
      <c r="G231" t="s">
        <v>1748</v>
      </c>
      <c r="H231" t="s">
        <v>1749</v>
      </c>
      <c r="I231" t="s">
        <v>1741</v>
      </c>
      <c r="J231" t="s">
        <v>1742</v>
      </c>
      <c r="K231">
        <f>VLOOKUP($J231,'[1]Table S6'!$A:$AI,2,FALSE)</f>
        <v>354</v>
      </c>
      <c r="L231">
        <f>VLOOKUP($J231,'[1]Table S6'!$A:$AI,3,FALSE)</f>
        <v>0.75335177697382405</v>
      </c>
      <c r="M231">
        <f>VLOOKUP($J231,'[1]Table S6'!$A:$AI,4,FALSE)</f>
        <v>5.6849999999999996</v>
      </c>
      <c r="N231" t="str">
        <f>VLOOKUP($J231,'[1]Table S6'!$A:$AI,5,FALSE)</f>
        <v>No</v>
      </c>
      <c r="P231">
        <f>VLOOKUP($J231,'[1]Table S6'!$A:$AI,7,FALSE)</f>
        <v>404.5</v>
      </c>
      <c r="Q231">
        <f>VLOOKUP($J231,'[1]Table S6'!$A:$AI,8,FALSE)</f>
        <v>0.860821451372633</v>
      </c>
      <c r="R231">
        <f>VLOOKUP($J231,'[1]Table S6'!$A:$AI,9,FALSE)</f>
        <v>34.31</v>
      </c>
      <c r="S231" t="str">
        <f>VLOOKUP($J231,'[1]Table S6'!$A:$AI,10,FALSE)</f>
        <v>No</v>
      </c>
      <c r="U231">
        <f>VLOOKUP($J231,'[1]Table S6'!$A:$AI,12,FALSE)</f>
        <v>336.7</v>
      </c>
      <c r="V231">
        <f>VLOOKUP($J231,'[1]Table S6'!$A:$AI,13,FALSE)</f>
        <v>0.71653543307086598</v>
      </c>
      <c r="W231">
        <f>VLOOKUP($J231,'[1]Table S6'!$A:$AI,14,FALSE)</f>
        <v>3.2090000000000001</v>
      </c>
      <c r="X231" t="str">
        <f>VLOOKUP($J231,'[1]Table S6'!$A:$AI,15,FALSE)</f>
        <v>No</v>
      </c>
      <c r="Z231">
        <f>VLOOKUP($J231,'[1]Table S6'!$A:$AI,17,FALSE)</f>
        <v>337</v>
      </c>
      <c r="AA231">
        <f>VLOOKUP($J231,'[1]Table S6'!$A:$AI,18,FALSE)</f>
        <v>0.71717386678016604</v>
      </c>
      <c r="AB231">
        <f>VLOOKUP($J231,'[1]Table S6'!$A:$AI,19,FALSE)</f>
        <v>3.581</v>
      </c>
      <c r="AC231" t="str">
        <f>VLOOKUP($J231,'[1]Table S6'!$A:$AI,20,FALSE)</f>
        <v>No</v>
      </c>
      <c r="AE231">
        <f>VLOOKUP($J231,'[1]Table S6'!$A:$AI,22,FALSE)</f>
        <v>406.7</v>
      </c>
      <c r="AF231">
        <f>VLOOKUP($J231,'[1]Table S6'!$A:$AI,23,FALSE)</f>
        <v>0.86550329857416497</v>
      </c>
      <c r="AG231">
        <f>VLOOKUP($J231,'[1]Table S6'!$A:$AI,24,FALSE)</f>
        <v>35.590000000000003</v>
      </c>
      <c r="AH231" t="str">
        <f>VLOOKUP($J231,'[1]Table S6'!$A:$AI,25,FALSE)</f>
        <v>No</v>
      </c>
      <c r="AJ231">
        <f>VLOOKUP($J231,'[1]Table S6'!$A:$AI,27,FALSE)</f>
        <v>406</v>
      </c>
      <c r="AK231">
        <f>VLOOKUP($J231,'[1]Table S6'!$A:$AI,28,FALSE)</f>
        <v>0.86401361991913195</v>
      </c>
      <c r="AL231">
        <f>VLOOKUP($J231,'[1]Table S6'!$A:$AI,29,FALSE)</f>
        <v>35.159999999999997</v>
      </c>
      <c r="AM231" t="str">
        <f>VLOOKUP($J231,'[1]Table S6'!$A:$AI,30,FALSE)</f>
        <v>No</v>
      </c>
      <c r="AO231">
        <f>VLOOKUP($J231,'[1]Table S6'!$A:$AI,32,FALSE)</f>
        <v>395.1</v>
      </c>
      <c r="AP231">
        <f>VLOOKUP($J231,'[1]Table S6'!$A:$AI,33,FALSE)</f>
        <v>0.84081719514790398</v>
      </c>
      <c r="AQ231">
        <f>VLOOKUP($J231,'[1]Table S6'!$A:$AI,34,FALSE)</f>
        <v>25.01</v>
      </c>
      <c r="AR231" t="str">
        <f>VLOOKUP($J231,'[1]Table S6'!$A:$AI,35,FALSE)</f>
        <v>No</v>
      </c>
      <c r="AT231" t="e">
        <f>VLOOKUP($I231,'[2]Table S5'!$A:$K,8,FALSE)</f>
        <v>#N/A</v>
      </c>
      <c r="AU231" t="e">
        <f>VLOOKUP($I231,'[2]Table S5'!$A:$K,9,FALSE)</f>
        <v>#N/A</v>
      </c>
      <c r="AV231" t="e">
        <f>VLOOKUP($I231,'[2]Table S5'!$A:$K,10,FALSE)</f>
        <v>#N/A</v>
      </c>
      <c r="AW231" t="e">
        <f>VLOOKUP($I231,'[2]Table S5'!$A:$K,11,FALSE)</f>
        <v>#N/A</v>
      </c>
    </row>
    <row r="232" spans="1:49">
      <c r="A232" s="12" t="s">
        <v>1750</v>
      </c>
      <c r="B232" t="s">
        <v>1751</v>
      </c>
      <c r="C232" t="s">
        <v>1752</v>
      </c>
      <c r="D232" t="s">
        <v>17</v>
      </c>
      <c r="E232" t="s">
        <v>1753</v>
      </c>
      <c r="F232" s="12" t="s">
        <v>1754</v>
      </c>
      <c r="G232" t="s">
        <v>1755</v>
      </c>
      <c r="H232" t="s">
        <v>1756</v>
      </c>
      <c r="I232" t="s">
        <v>1741</v>
      </c>
      <c r="J232" t="s">
        <v>1742</v>
      </c>
      <c r="K232">
        <f>VLOOKUP($J232,'[1]Table S6'!$A:$AI,2,FALSE)</f>
        <v>354</v>
      </c>
      <c r="L232">
        <f>VLOOKUP($J232,'[1]Table S6'!$A:$AI,3,FALSE)</f>
        <v>0.75335177697382405</v>
      </c>
      <c r="M232">
        <f>VLOOKUP($J232,'[1]Table S6'!$A:$AI,4,FALSE)</f>
        <v>5.6849999999999996</v>
      </c>
      <c r="N232" t="str">
        <f>VLOOKUP($J232,'[1]Table S6'!$A:$AI,5,FALSE)</f>
        <v>No</v>
      </c>
      <c r="P232">
        <f>VLOOKUP($J232,'[1]Table S6'!$A:$AI,7,FALSE)</f>
        <v>404.5</v>
      </c>
      <c r="Q232">
        <f>VLOOKUP($J232,'[1]Table S6'!$A:$AI,8,FALSE)</f>
        <v>0.860821451372633</v>
      </c>
      <c r="R232">
        <f>VLOOKUP($J232,'[1]Table S6'!$A:$AI,9,FALSE)</f>
        <v>34.31</v>
      </c>
      <c r="S232" t="str">
        <f>VLOOKUP($J232,'[1]Table S6'!$A:$AI,10,FALSE)</f>
        <v>No</v>
      </c>
      <c r="U232">
        <f>VLOOKUP($J232,'[1]Table S6'!$A:$AI,12,FALSE)</f>
        <v>336.7</v>
      </c>
      <c r="V232">
        <f>VLOOKUP($J232,'[1]Table S6'!$A:$AI,13,FALSE)</f>
        <v>0.71653543307086598</v>
      </c>
      <c r="W232">
        <f>VLOOKUP($J232,'[1]Table S6'!$A:$AI,14,FALSE)</f>
        <v>3.2090000000000001</v>
      </c>
      <c r="X232" t="str">
        <f>VLOOKUP($J232,'[1]Table S6'!$A:$AI,15,FALSE)</f>
        <v>No</v>
      </c>
      <c r="Z232">
        <f>VLOOKUP($J232,'[1]Table S6'!$A:$AI,17,FALSE)</f>
        <v>337</v>
      </c>
      <c r="AA232">
        <f>VLOOKUP($J232,'[1]Table S6'!$A:$AI,18,FALSE)</f>
        <v>0.71717386678016604</v>
      </c>
      <c r="AB232">
        <f>VLOOKUP($J232,'[1]Table S6'!$A:$AI,19,FALSE)</f>
        <v>3.581</v>
      </c>
      <c r="AC232" t="str">
        <f>VLOOKUP($J232,'[1]Table S6'!$A:$AI,20,FALSE)</f>
        <v>No</v>
      </c>
      <c r="AE232">
        <f>VLOOKUP($J232,'[1]Table S6'!$A:$AI,22,FALSE)</f>
        <v>406.7</v>
      </c>
      <c r="AF232">
        <f>VLOOKUP($J232,'[1]Table S6'!$A:$AI,23,FALSE)</f>
        <v>0.86550329857416497</v>
      </c>
      <c r="AG232">
        <f>VLOOKUP($J232,'[1]Table S6'!$A:$AI,24,FALSE)</f>
        <v>35.590000000000003</v>
      </c>
      <c r="AH232" t="str">
        <f>VLOOKUP($J232,'[1]Table S6'!$A:$AI,25,FALSE)</f>
        <v>No</v>
      </c>
      <c r="AJ232">
        <f>VLOOKUP($J232,'[1]Table S6'!$A:$AI,27,FALSE)</f>
        <v>406</v>
      </c>
      <c r="AK232">
        <f>VLOOKUP($J232,'[1]Table S6'!$A:$AI,28,FALSE)</f>
        <v>0.86401361991913195</v>
      </c>
      <c r="AL232">
        <f>VLOOKUP($J232,'[1]Table S6'!$A:$AI,29,FALSE)</f>
        <v>35.159999999999997</v>
      </c>
      <c r="AM232" t="str">
        <f>VLOOKUP($J232,'[1]Table S6'!$A:$AI,30,FALSE)</f>
        <v>No</v>
      </c>
      <c r="AO232">
        <f>VLOOKUP($J232,'[1]Table S6'!$A:$AI,32,FALSE)</f>
        <v>395.1</v>
      </c>
      <c r="AP232">
        <f>VLOOKUP($J232,'[1]Table S6'!$A:$AI,33,FALSE)</f>
        <v>0.84081719514790398</v>
      </c>
      <c r="AQ232">
        <f>VLOOKUP($J232,'[1]Table S6'!$A:$AI,34,FALSE)</f>
        <v>25.01</v>
      </c>
      <c r="AR232" t="str">
        <f>VLOOKUP($J232,'[1]Table S6'!$A:$AI,35,FALSE)</f>
        <v>No</v>
      </c>
      <c r="AT232" t="e">
        <f>VLOOKUP($I232,'[2]Table S5'!$A:$K,8,FALSE)</f>
        <v>#N/A</v>
      </c>
      <c r="AU232" t="e">
        <f>VLOOKUP($I232,'[2]Table S5'!$A:$K,9,FALSE)</f>
        <v>#N/A</v>
      </c>
      <c r="AV232" t="e">
        <f>VLOOKUP($I232,'[2]Table S5'!$A:$K,10,FALSE)</f>
        <v>#N/A</v>
      </c>
      <c r="AW232" t="e">
        <f>VLOOKUP($I232,'[2]Table S5'!$A:$K,11,FALSE)</f>
        <v>#N/A</v>
      </c>
    </row>
    <row r="233" spans="1:49">
      <c r="A233" s="12" t="s">
        <v>1757</v>
      </c>
      <c r="B233" t="s">
        <v>1758</v>
      </c>
      <c r="C233" t="s">
        <v>1759</v>
      </c>
      <c r="D233" t="s">
        <v>17</v>
      </c>
      <c r="E233" t="s">
        <v>1760</v>
      </c>
      <c r="F233" s="12" t="s">
        <v>1761</v>
      </c>
      <c r="G233" t="s">
        <v>1762</v>
      </c>
      <c r="H233" t="s">
        <v>1763</v>
      </c>
      <c r="I233" t="s">
        <v>1741</v>
      </c>
      <c r="J233" t="s">
        <v>1764</v>
      </c>
      <c r="K233">
        <f>VLOOKUP($J233,'[1]Table S6'!$A:$AI,2,FALSE)</f>
        <v>338</v>
      </c>
      <c r="L233">
        <f>VLOOKUP($J233,'[1]Table S6'!$A:$AI,3,FALSE)</f>
        <v>0.719301979144499</v>
      </c>
      <c r="M233">
        <f>VLOOKUP($J233,'[1]Table S6'!$A:$AI,4,FALSE)</f>
        <v>3.6880000000000002</v>
      </c>
      <c r="N233" t="str">
        <f>VLOOKUP($J233,'[1]Table S6'!$A:$AI,5,FALSE)</f>
        <v>No</v>
      </c>
      <c r="P233">
        <f>VLOOKUP($J233,'[1]Table S6'!$A:$AI,7,FALSE)</f>
        <v>400.8</v>
      </c>
      <c r="Q233">
        <f>VLOOKUP($J233,'[1]Table S6'!$A:$AI,8,FALSE)</f>
        <v>0.85294743562460096</v>
      </c>
      <c r="R233">
        <f>VLOOKUP($J233,'[1]Table S6'!$A:$AI,9,FALSE)</f>
        <v>32.46</v>
      </c>
      <c r="S233" t="str">
        <f>VLOOKUP($J233,'[1]Table S6'!$A:$AI,10,FALSE)</f>
        <v>No</v>
      </c>
      <c r="U233">
        <f>VLOOKUP($J233,'[1]Table S6'!$A:$AI,12,FALSE)</f>
        <v>314.8</v>
      </c>
      <c r="V233">
        <f>VLOOKUP($J233,'[1]Table S6'!$A:$AI,13,FALSE)</f>
        <v>0.66992977229197703</v>
      </c>
      <c r="W233">
        <f>VLOOKUP($J233,'[1]Table S6'!$A:$AI,14,FALSE)</f>
        <v>1.69</v>
      </c>
      <c r="X233" t="str">
        <f>VLOOKUP($J233,'[1]Table S6'!$A:$AI,15,FALSE)</f>
        <v>Yes</v>
      </c>
      <c r="Z233">
        <f>VLOOKUP($J233,'[1]Table S6'!$A:$AI,17,FALSE)</f>
        <v>377.6</v>
      </c>
      <c r="AA233">
        <f>VLOOKUP($J233,'[1]Table S6'!$A:$AI,18,FALSE)</f>
        <v>0.80357522877207899</v>
      </c>
      <c r="AB233">
        <f>VLOOKUP($J233,'[1]Table S6'!$A:$AI,19,FALSE)</f>
        <v>12.17</v>
      </c>
      <c r="AC233" t="str">
        <f>VLOOKUP($J233,'[1]Table S6'!$A:$AI,20,FALSE)</f>
        <v>No</v>
      </c>
      <c r="AE233">
        <f>VLOOKUP($J233,'[1]Table S6'!$A:$AI,22,FALSE)</f>
        <v>395.6</v>
      </c>
      <c r="AF233">
        <f>VLOOKUP($J233,'[1]Table S6'!$A:$AI,23,FALSE)</f>
        <v>0.84188125133006997</v>
      </c>
      <c r="AG233">
        <f>VLOOKUP($J233,'[1]Table S6'!$A:$AI,24,FALSE)</f>
        <v>25.05</v>
      </c>
      <c r="AH233" t="str">
        <f>VLOOKUP($J233,'[1]Table S6'!$A:$AI,25,FALSE)</f>
        <v>No</v>
      </c>
      <c r="AJ233">
        <f>VLOOKUP($J233,'[1]Table S6'!$A:$AI,27,FALSE)</f>
        <v>420.5</v>
      </c>
      <c r="AK233">
        <f>VLOOKUP($J233,'[1]Table S6'!$A:$AI,28,FALSE)</f>
        <v>0.89487124920195804</v>
      </c>
      <c r="AL233">
        <f>VLOOKUP($J233,'[1]Table S6'!$A:$AI,29,FALSE)</f>
        <v>63.93</v>
      </c>
      <c r="AM233" t="str">
        <f>VLOOKUP($J233,'[1]Table S6'!$A:$AI,30,FALSE)</f>
        <v>No</v>
      </c>
      <c r="AO233">
        <f>VLOOKUP($J233,'[1]Table S6'!$A:$AI,32,FALSE)</f>
        <v>400.6</v>
      </c>
      <c r="AP233">
        <f>VLOOKUP($J233,'[1]Table S6'!$A:$AI,33,FALSE)</f>
        <v>0.85252181315173403</v>
      </c>
      <c r="AQ233">
        <f>VLOOKUP($J233,'[1]Table S6'!$A:$AI,34,FALSE)</f>
        <v>27.04</v>
      </c>
      <c r="AR233" t="str">
        <f>VLOOKUP($J233,'[1]Table S6'!$A:$AI,35,FALSE)</f>
        <v>No</v>
      </c>
      <c r="AT233" t="e">
        <f>VLOOKUP($I233,'[2]Table S5'!$A:$K,8,FALSE)</f>
        <v>#N/A</v>
      </c>
      <c r="AU233" t="e">
        <f>VLOOKUP($I233,'[2]Table S5'!$A:$K,9,FALSE)</f>
        <v>#N/A</v>
      </c>
      <c r="AV233" t="e">
        <f>VLOOKUP($I233,'[2]Table S5'!$A:$K,10,FALSE)</f>
        <v>#N/A</v>
      </c>
      <c r="AW233" t="e">
        <f>VLOOKUP($I233,'[2]Table S5'!$A:$K,11,FALSE)</f>
        <v>#N/A</v>
      </c>
    </row>
    <row r="234" spans="1:49">
      <c r="A234" s="12" t="s">
        <v>1765</v>
      </c>
      <c r="B234" t="s">
        <v>1766</v>
      </c>
      <c r="C234" t="s">
        <v>1767</v>
      </c>
      <c r="D234" t="s">
        <v>17</v>
      </c>
      <c r="E234" t="s">
        <v>1768</v>
      </c>
      <c r="F234" s="12" t="s">
        <v>1769</v>
      </c>
      <c r="G234" t="s">
        <v>1770</v>
      </c>
      <c r="H234" t="s">
        <v>1771</v>
      </c>
      <c r="I234" t="s">
        <v>1741</v>
      </c>
      <c r="J234" t="s">
        <v>1764</v>
      </c>
      <c r="K234">
        <f>VLOOKUP($J234,'[1]Table S6'!$A:$AI,2,FALSE)</f>
        <v>338</v>
      </c>
      <c r="L234">
        <f>VLOOKUP($J234,'[1]Table S6'!$A:$AI,3,FALSE)</f>
        <v>0.719301979144499</v>
      </c>
      <c r="M234">
        <f>VLOOKUP($J234,'[1]Table S6'!$A:$AI,4,FALSE)</f>
        <v>3.6880000000000002</v>
      </c>
      <c r="N234" t="str">
        <f>VLOOKUP($J234,'[1]Table S6'!$A:$AI,5,FALSE)</f>
        <v>No</v>
      </c>
      <c r="P234">
        <f>VLOOKUP($J234,'[1]Table S6'!$A:$AI,7,FALSE)</f>
        <v>400.8</v>
      </c>
      <c r="Q234">
        <f>VLOOKUP($J234,'[1]Table S6'!$A:$AI,8,FALSE)</f>
        <v>0.85294743562460096</v>
      </c>
      <c r="R234">
        <f>VLOOKUP($J234,'[1]Table S6'!$A:$AI,9,FALSE)</f>
        <v>32.46</v>
      </c>
      <c r="S234" t="str">
        <f>VLOOKUP($J234,'[1]Table S6'!$A:$AI,10,FALSE)</f>
        <v>No</v>
      </c>
      <c r="U234">
        <f>VLOOKUP($J234,'[1]Table S6'!$A:$AI,12,FALSE)</f>
        <v>314.8</v>
      </c>
      <c r="V234">
        <f>VLOOKUP($J234,'[1]Table S6'!$A:$AI,13,FALSE)</f>
        <v>0.66992977229197703</v>
      </c>
      <c r="W234">
        <f>VLOOKUP($J234,'[1]Table S6'!$A:$AI,14,FALSE)</f>
        <v>1.69</v>
      </c>
      <c r="X234" t="str">
        <f>VLOOKUP($J234,'[1]Table S6'!$A:$AI,15,FALSE)</f>
        <v>Yes</v>
      </c>
      <c r="Z234">
        <f>VLOOKUP($J234,'[1]Table S6'!$A:$AI,17,FALSE)</f>
        <v>377.6</v>
      </c>
      <c r="AA234">
        <f>VLOOKUP($J234,'[1]Table S6'!$A:$AI,18,FALSE)</f>
        <v>0.80357522877207899</v>
      </c>
      <c r="AB234">
        <f>VLOOKUP($J234,'[1]Table S6'!$A:$AI,19,FALSE)</f>
        <v>12.17</v>
      </c>
      <c r="AC234" t="str">
        <f>VLOOKUP($J234,'[1]Table S6'!$A:$AI,20,FALSE)</f>
        <v>No</v>
      </c>
      <c r="AE234">
        <f>VLOOKUP($J234,'[1]Table S6'!$A:$AI,22,FALSE)</f>
        <v>395.6</v>
      </c>
      <c r="AF234">
        <f>VLOOKUP($J234,'[1]Table S6'!$A:$AI,23,FALSE)</f>
        <v>0.84188125133006997</v>
      </c>
      <c r="AG234">
        <f>VLOOKUP($J234,'[1]Table S6'!$A:$AI,24,FALSE)</f>
        <v>25.05</v>
      </c>
      <c r="AH234" t="str">
        <f>VLOOKUP($J234,'[1]Table S6'!$A:$AI,25,FALSE)</f>
        <v>No</v>
      </c>
      <c r="AJ234">
        <f>VLOOKUP($J234,'[1]Table S6'!$A:$AI,27,FALSE)</f>
        <v>420.5</v>
      </c>
      <c r="AK234">
        <f>VLOOKUP($J234,'[1]Table S6'!$A:$AI,28,FALSE)</f>
        <v>0.89487124920195804</v>
      </c>
      <c r="AL234">
        <f>VLOOKUP($J234,'[1]Table S6'!$A:$AI,29,FALSE)</f>
        <v>63.93</v>
      </c>
      <c r="AM234" t="str">
        <f>VLOOKUP($J234,'[1]Table S6'!$A:$AI,30,FALSE)</f>
        <v>No</v>
      </c>
      <c r="AO234">
        <f>VLOOKUP($J234,'[1]Table S6'!$A:$AI,32,FALSE)</f>
        <v>400.6</v>
      </c>
      <c r="AP234">
        <f>VLOOKUP($J234,'[1]Table S6'!$A:$AI,33,FALSE)</f>
        <v>0.85252181315173403</v>
      </c>
      <c r="AQ234">
        <f>VLOOKUP($J234,'[1]Table S6'!$A:$AI,34,FALSE)</f>
        <v>27.04</v>
      </c>
      <c r="AR234" t="str">
        <f>VLOOKUP($J234,'[1]Table S6'!$A:$AI,35,FALSE)</f>
        <v>No</v>
      </c>
      <c r="AT234" t="e">
        <f>VLOOKUP($I234,'[2]Table S5'!$A:$K,8,FALSE)</f>
        <v>#N/A</v>
      </c>
      <c r="AU234" t="e">
        <f>VLOOKUP($I234,'[2]Table S5'!$A:$K,9,FALSE)</f>
        <v>#N/A</v>
      </c>
      <c r="AV234" t="e">
        <f>VLOOKUP($I234,'[2]Table S5'!$A:$K,10,FALSE)</f>
        <v>#N/A</v>
      </c>
      <c r="AW234" t="e">
        <f>VLOOKUP($I234,'[2]Table S5'!$A:$K,11,FALSE)</f>
        <v>#N/A</v>
      </c>
    </row>
    <row r="235" spans="1:49">
      <c r="A235" s="12" t="s">
        <v>1772</v>
      </c>
      <c r="B235" t="s">
        <v>1773</v>
      </c>
      <c r="C235" t="s">
        <v>1774</v>
      </c>
      <c r="D235" t="s">
        <v>17</v>
      </c>
      <c r="E235" t="s">
        <v>1775</v>
      </c>
      <c r="F235" s="12" t="s">
        <v>1776</v>
      </c>
      <c r="G235" t="s">
        <v>1777</v>
      </c>
      <c r="H235" t="s">
        <v>1778</v>
      </c>
      <c r="I235" t="s">
        <v>1741</v>
      </c>
      <c r="J235" t="s">
        <v>1764</v>
      </c>
      <c r="K235">
        <f>VLOOKUP($J235,'[1]Table S6'!$A:$AI,2,FALSE)</f>
        <v>338</v>
      </c>
      <c r="L235">
        <f>VLOOKUP($J235,'[1]Table S6'!$A:$AI,3,FALSE)</f>
        <v>0.719301979144499</v>
      </c>
      <c r="M235">
        <f>VLOOKUP($J235,'[1]Table S6'!$A:$AI,4,FALSE)</f>
        <v>3.6880000000000002</v>
      </c>
      <c r="N235" t="str">
        <f>VLOOKUP($J235,'[1]Table S6'!$A:$AI,5,FALSE)</f>
        <v>No</v>
      </c>
      <c r="P235">
        <f>VLOOKUP($J235,'[1]Table S6'!$A:$AI,7,FALSE)</f>
        <v>400.8</v>
      </c>
      <c r="Q235">
        <f>VLOOKUP($J235,'[1]Table S6'!$A:$AI,8,FALSE)</f>
        <v>0.85294743562460096</v>
      </c>
      <c r="R235">
        <f>VLOOKUP($J235,'[1]Table S6'!$A:$AI,9,FALSE)</f>
        <v>32.46</v>
      </c>
      <c r="S235" t="str">
        <f>VLOOKUP($J235,'[1]Table S6'!$A:$AI,10,FALSE)</f>
        <v>No</v>
      </c>
      <c r="U235">
        <f>VLOOKUP($J235,'[1]Table S6'!$A:$AI,12,FALSE)</f>
        <v>314.8</v>
      </c>
      <c r="V235">
        <f>VLOOKUP($J235,'[1]Table S6'!$A:$AI,13,FALSE)</f>
        <v>0.66992977229197703</v>
      </c>
      <c r="W235">
        <f>VLOOKUP($J235,'[1]Table S6'!$A:$AI,14,FALSE)</f>
        <v>1.69</v>
      </c>
      <c r="X235" t="str">
        <f>VLOOKUP($J235,'[1]Table S6'!$A:$AI,15,FALSE)</f>
        <v>Yes</v>
      </c>
      <c r="Z235">
        <f>VLOOKUP($J235,'[1]Table S6'!$A:$AI,17,FALSE)</f>
        <v>377.6</v>
      </c>
      <c r="AA235">
        <f>VLOOKUP($J235,'[1]Table S6'!$A:$AI,18,FALSE)</f>
        <v>0.80357522877207899</v>
      </c>
      <c r="AB235">
        <f>VLOOKUP($J235,'[1]Table S6'!$A:$AI,19,FALSE)</f>
        <v>12.17</v>
      </c>
      <c r="AC235" t="str">
        <f>VLOOKUP($J235,'[1]Table S6'!$A:$AI,20,FALSE)</f>
        <v>No</v>
      </c>
      <c r="AE235">
        <f>VLOOKUP($J235,'[1]Table S6'!$A:$AI,22,FALSE)</f>
        <v>395.6</v>
      </c>
      <c r="AF235">
        <f>VLOOKUP($J235,'[1]Table S6'!$A:$AI,23,FALSE)</f>
        <v>0.84188125133006997</v>
      </c>
      <c r="AG235">
        <f>VLOOKUP($J235,'[1]Table S6'!$A:$AI,24,FALSE)</f>
        <v>25.05</v>
      </c>
      <c r="AH235" t="str">
        <f>VLOOKUP($J235,'[1]Table S6'!$A:$AI,25,FALSE)</f>
        <v>No</v>
      </c>
      <c r="AJ235">
        <f>VLOOKUP($J235,'[1]Table S6'!$A:$AI,27,FALSE)</f>
        <v>420.5</v>
      </c>
      <c r="AK235">
        <f>VLOOKUP($J235,'[1]Table S6'!$A:$AI,28,FALSE)</f>
        <v>0.89487124920195804</v>
      </c>
      <c r="AL235">
        <f>VLOOKUP($J235,'[1]Table S6'!$A:$AI,29,FALSE)</f>
        <v>63.93</v>
      </c>
      <c r="AM235" t="str">
        <f>VLOOKUP($J235,'[1]Table S6'!$A:$AI,30,FALSE)</f>
        <v>No</v>
      </c>
      <c r="AO235">
        <f>VLOOKUP($J235,'[1]Table S6'!$A:$AI,32,FALSE)</f>
        <v>400.6</v>
      </c>
      <c r="AP235">
        <f>VLOOKUP($J235,'[1]Table S6'!$A:$AI,33,FALSE)</f>
        <v>0.85252181315173403</v>
      </c>
      <c r="AQ235">
        <f>VLOOKUP($J235,'[1]Table S6'!$A:$AI,34,FALSE)</f>
        <v>27.04</v>
      </c>
      <c r="AR235" t="str">
        <f>VLOOKUP($J235,'[1]Table S6'!$A:$AI,35,FALSE)</f>
        <v>No</v>
      </c>
      <c r="AT235" t="e">
        <f>VLOOKUP($I235,'[2]Table S5'!$A:$K,8,FALSE)</f>
        <v>#N/A</v>
      </c>
      <c r="AU235" t="e">
        <f>VLOOKUP($I235,'[2]Table S5'!$A:$K,9,FALSE)</f>
        <v>#N/A</v>
      </c>
      <c r="AV235" t="e">
        <f>VLOOKUP($I235,'[2]Table S5'!$A:$K,10,FALSE)</f>
        <v>#N/A</v>
      </c>
      <c r="AW235" t="e">
        <f>VLOOKUP($I235,'[2]Table S5'!$A:$K,11,FALSE)</f>
        <v>#N/A</v>
      </c>
    </row>
    <row r="236" spans="1:49">
      <c r="A236" s="12" t="s">
        <v>1779</v>
      </c>
      <c r="B236" t="s">
        <v>1780</v>
      </c>
      <c r="C236" t="s">
        <v>1781</v>
      </c>
      <c r="D236" t="s">
        <v>17</v>
      </c>
      <c r="E236" t="s">
        <v>1782</v>
      </c>
      <c r="F236" s="12" t="s">
        <v>1783</v>
      </c>
      <c r="G236" t="s">
        <v>1784</v>
      </c>
      <c r="H236" t="s">
        <v>1785</v>
      </c>
      <c r="I236" t="s">
        <v>1741</v>
      </c>
      <c r="J236" t="s">
        <v>1786</v>
      </c>
      <c r="K236">
        <f>VLOOKUP($J236,'[1]Table S6'!$A:$AI,2,FALSE)</f>
        <v>394.9</v>
      </c>
      <c r="L236">
        <f>VLOOKUP($J236,'[1]Table S6'!$A:$AI,3,FALSE)</f>
        <v>0.84039157267503695</v>
      </c>
      <c r="M236">
        <f>VLOOKUP($J236,'[1]Table S6'!$A:$AI,4,FALSE)</f>
        <v>25.17</v>
      </c>
      <c r="N236" t="str">
        <f>VLOOKUP($J236,'[1]Table S6'!$A:$AI,5,FALSE)</f>
        <v>No</v>
      </c>
      <c r="P236">
        <f>VLOOKUP($J236,'[1]Table S6'!$A:$AI,7,FALSE)</f>
        <v>407.9</v>
      </c>
      <c r="Q236">
        <f>VLOOKUP($J236,'[1]Table S6'!$A:$AI,8,FALSE)</f>
        <v>0.86805703341136398</v>
      </c>
      <c r="R236">
        <f>VLOOKUP($J236,'[1]Table S6'!$A:$AI,9,FALSE)</f>
        <v>42.59</v>
      </c>
      <c r="S236" t="str">
        <f>VLOOKUP($J236,'[1]Table S6'!$A:$AI,10,FALSE)</f>
        <v>No</v>
      </c>
      <c r="U236">
        <f>VLOOKUP($J236,'[1]Table S6'!$A:$AI,12,FALSE)</f>
        <v>378.8</v>
      </c>
      <c r="V236">
        <f>VLOOKUP($J236,'[1]Table S6'!$A:$AI,13,FALSE)</f>
        <v>0.80612896360927899</v>
      </c>
      <c r="W236">
        <f>VLOOKUP($J236,'[1]Table S6'!$A:$AI,14,FALSE)</f>
        <v>12.3</v>
      </c>
      <c r="X236" t="str">
        <f>VLOOKUP($J236,'[1]Table S6'!$A:$AI,15,FALSE)</f>
        <v>No</v>
      </c>
      <c r="Z236">
        <f>VLOOKUP($J236,'[1]Table S6'!$A:$AI,17,FALSE)</f>
        <v>352</v>
      </c>
      <c r="AA236">
        <f>VLOOKUP($J236,'[1]Table S6'!$A:$AI,18,FALSE)</f>
        <v>0.749095552245159</v>
      </c>
      <c r="AB236">
        <f>VLOOKUP($J236,'[1]Table S6'!$A:$AI,19,FALSE)</f>
        <v>5.9779999999999998</v>
      </c>
      <c r="AC236" t="str">
        <f>VLOOKUP($J236,'[1]Table S6'!$A:$AI,20,FALSE)</f>
        <v>No</v>
      </c>
      <c r="AE236">
        <f>VLOOKUP($J236,'[1]Table S6'!$A:$AI,22,FALSE)</f>
        <v>377.1</v>
      </c>
      <c r="AF236">
        <f>VLOOKUP($J236,'[1]Table S6'!$A:$AI,23,FALSE)</f>
        <v>0.802511172589913</v>
      </c>
      <c r="AG236">
        <f>VLOOKUP($J236,'[1]Table S6'!$A:$AI,24,FALSE)</f>
        <v>11.72</v>
      </c>
      <c r="AH236" t="str">
        <f>VLOOKUP($J236,'[1]Table S6'!$A:$AI,25,FALSE)</f>
        <v>No</v>
      </c>
      <c r="AJ236">
        <f>VLOOKUP($J236,'[1]Table S6'!$A:$AI,27,FALSE)</f>
        <v>410.6</v>
      </c>
      <c r="AK236">
        <f>VLOOKUP($J236,'[1]Table S6'!$A:$AI,28,FALSE)</f>
        <v>0.87380293679506305</v>
      </c>
      <c r="AL236">
        <f>VLOOKUP($J236,'[1]Table S6'!$A:$AI,29,FALSE)</f>
        <v>50.77</v>
      </c>
      <c r="AM236" t="str">
        <f>VLOOKUP($J236,'[1]Table S6'!$A:$AI,30,FALSE)</f>
        <v>No</v>
      </c>
      <c r="AO236">
        <f>VLOOKUP($J236,'[1]Table S6'!$A:$AI,32,FALSE)</f>
        <v>338.9</v>
      </c>
      <c r="AP236">
        <f>VLOOKUP($J236,'[1]Table S6'!$A:$AI,33,FALSE)</f>
        <v>0.72121728027239795</v>
      </c>
      <c r="AQ236">
        <f>VLOOKUP($J236,'[1]Table S6'!$A:$AI,34,FALSE)</f>
        <v>3.4740000000000002</v>
      </c>
      <c r="AR236" t="str">
        <f>VLOOKUP($J236,'[1]Table S6'!$A:$AI,35,FALSE)</f>
        <v>No</v>
      </c>
      <c r="AT236" t="e">
        <f>VLOOKUP($I236,'[2]Table S5'!$A:$K,8,FALSE)</f>
        <v>#N/A</v>
      </c>
      <c r="AU236" t="e">
        <f>VLOOKUP($I236,'[2]Table S5'!$A:$K,9,FALSE)</f>
        <v>#N/A</v>
      </c>
      <c r="AV236" t="e">
        <f>VLOOKUP($I236,'[2]Table S5'!$A:$K,10,FALSE)</f>
        <v>#N/A</v>
      </c>
      <c r="AW236" t="e">
        <f>VLOOKUP($I236,'[2]Table S5'!$A:$K,11,FALSE)</f>
        <v>#N/A</v>
      </c>
    </row>
    <row r="237" spans="1:49">
      <c r="A237" s="12" t="s">
        <v>1787</v>
      </c>
      <c r="B237" t="s">
        <v>1788</v>
      </c>
      <c r="C237" t="s">
        <v>1789</v>
      </c>
      <c r="D237" t="s">
        <v>17</v>
      </c>
      <c r="E237" t="s">
        <v>1790</v>
      </c>
      <c r="F237" s="12" t="s">
        <v>1791</v>
      </c>
      <c r="G237" t="s">
        <v>1792</v>
      </c>
      <c r="H237" t="s">
        <v>1793</v>
      </c>
      <c r="I237" t="s">
        <v>1741</v>
      </c>
      <c r="J237" t="s">
        <v>1786</v>
      </c>
      <c r="K237">
        <f>VLOOKUP($J237,'[1]Table S6'!$A:$AI,2,FALSE)</f>
        <v>394.9</v>
      </c>
      <c r="L237">
        <f>VLOOKUP($J237,'[1]Table S6'!$A:$AI,3,FALSE)</f>
        <v>0.84039157267503695</v>
      </c>
      <c r="M237">
        <f>VLOOKUP($J237,'[1]Table S6'!$A:$AI,4,FALSE)</f>
        <v>25.17</v>
      </c>
      <c r="N237" t="str">
        <f>VLOOKUP($J237,'[1]Table S6'!$A:$AI,5,FALSE)</f>
        <v>No</v>
      </c>
      <c r="P237">
        <f>VLOOKUP($J237,'[1]Table S6'!$A:$AI,7,FALSE)</f>
        <v>407.9</v>
      </c>
      <c r="Q237">
        <f>VLOOKUP($J237,'[1]Table S6'!$A:$AI,8,FALSE)</f>
        <v>0.86805703341136398</v>
      </c>
      <c r="R237">
        <f>VLOOKUP($J237,'[1]Table S6'!$A:$AI,9,FALSE)</f>
        <v>42.59</v>
      </c>
      <c r="S237" t="str">
        <f>VLOOKUP($J237,'[1]Table S6'!$A:$AI,10,FALSE)</f>
        <v>No</v>
      </c>
      <c r="U237">
        <f>VLOOKUP($J237,'[1]Table S6'!$A:$AI,12,FALSE)</f>
        <v>378.8</v>
      </c>
      <c r="V237">
        <f>VLOOKUP($J237,'[1]Table S6'!$A:$AI,13,FALSE)</f>
        <v>0.80612896360927899</v>
      </c>
      <c r="W237">
        <f>VLOOKUP($J237,'[1]Table S6'!$A:$AI,14,FALSE)</f>
        <v>12.3</v>
      </c>
      <c r="X237" t="str">
        <f>VLOOKUP($J237,'[1]Table S6'!$A:$AI,15,FALSE)</f>
        <v>No</v>
      </c>
      <c r="Z237">
        <f>VLOOKUP($J237,'[1]Table S6'!$A:$AI,17,FALSE)</f>
        <v>352</v>
      </c>
      <c r="AA237">
        <f>VLOOKUP($J237,'[1]Table S6'!$A:$AI,18,FALSE)</f>
        <v>0.749095552245159</v>
      </c>
      <c r="AB237">
        <f>VLOOKUP($J237,'[1]Table S6'!$A:$AI,19,FALSE)</f>
        <v>5.9779999999999998</v>
      </c>
      <c r="AC237" t="str">
        <f>VLOOKUP($J237,'[1]Table S6'!$A:$AI,20,FALSE)</f>
        <v>No</v>
      </c>
      <c r="AE237">
        <f>VLOOKUP($J237,'[1]Table S6'!$A:$AI,22,FALSE)</f>
        <v>377.1</v>
      </c>
      <c r="AF237">
        <f>VLOOKUP($J237,'[1]Table S6'!$A:$AI,23,FALSE)</f>
        <v>0.802511172589913</v>
      </c>
      <c r="AG237">
        <f>VLOOKUP($J237,'[1]Table S6'!$A:$AI,24,FALSE)</f>
        <v>11.72</v>
      </c>
      <c r="AH237" t="str">
        <f>VLOOKUP($J237,'[1]Table S6'!$A:$AI,25,FALSE)</f>
        <v>No</v>
      </c>
      <c r="AJ237">
        <f>VLOOKUP($J237,'[1]Table S6'!$A:$AI,27,FALSE)</f>
        <v>410.6</v>
      </c>
      <c r="AK237">
        <f>VLOOKUP($J237,'[1]Table S6'!$A:$AI,28,FALSE)</f>
        <v>0.87380293679506305</v>
      </c>
      <c r="AL237">
        <f>VLOOKUP($J237,'[1]Table S6'!$A:$AI,29,FALSE)</f>
        <v>50.77</v>
      </c>
      <c r="AM237" t="str">
        <f>VLOOKUP($J237,'[1]Table S6'!$A:$AI,30,FALSE)</f>
        <v>No</v>
      </c>
      <c r="AO237">
        <f>VLOOKUP($J237,'[1]Table S6'!$A:$AI,32,FALSE)</f>
        <v>338.9</v>
      </c>
      <c r="AP237">
        <f>VLOOKUP($J237,'[1]Table S6'!$A:$AI,33,FALSE)</f>
        <v>0.72121728027239795</v>
      </c>
      <c r="AQ237">
        <f>VLOOKUP($J237,'[1]Table S6'!$A:$AI,34,FALSE)</f>
        <v>3.4740000000000002</v>
      </c>
      <c r="AR237" t="str">
        <f>VLOOKUP($J237,'[1]Table S6'!$A:$AI,35,FALSE)</f>
        <v>No</v>
      </c>
      <c r="AT237" t="e">
        <f>VLOOKUP($I237,'[2]Table S5'!$A:$K,8,FALSE)</f>
        <v>#N/A</v>
      </c>
      <c r="AU237" t="e">
        <f>VLOOKUP($I237,'[2]Table S5'!$A:$K,9,FALSE)</f>
        <v>#N/A</v>
      </c>
      <c r="AV237" t="e">
        <f>VLOOKUP($I237,'[2]Table S5'!$A:$K,10,FALSE)</f>
        <v>#N/A</v>
      </c>
      <c r="AW237" t="e">
        <f>VLOOKUP($I237,'[2]Table S5'!$A:$K,11,FALSE)</f>
        <v>#N/A</v>
      </c>
    </row>
    <row r="238" spans="1:49">
      <c r="A238" s="12" t="s">
        <v>1794</v>
      </c>
      <c r="B238" t="s">
        <v>1795</v>
      </c>
      <c r="C238" t="s">
        <v>1796</v>
      </c>
      <c r="D238" t="s">
        <v>17</v>
      </c>
      <c r="E238" t="s">
        <v>1797</v>
      </c>
      <c r="F238" s="12" t="s">
        <v>1798</v>
      </c>
      <c r="G238" t="s">
        <v>1799</v>
      </c>
      <c r="H238" t="s">
        <v>1800</v>
      </c>
      <c r="I238" t="s">
        <v>1741</v>
      </c>
      <c r="J238" t="s">
        <v>1786</v>
      </c>
      <c r="K238">
        <f>VLOOKUP($J238,'[1]Table S6'!$A:$AI,2,FALSE)</f>
        <v>394.9</v>
      </c>
      <c r="L238">
        <f>VLOOKUP($J238,'[1]Table S6'!$A:$AI,3,FALSE)</f>
        <v>0.84039157267503695</v>
      </c>
      <c r="M238">
        <f>VLOOKUP($J238,'[1]Table S6'!$A:$AI,4,FALSE)</f>
        <v>25.17</v>
      </c>
      <c r="N238" t="str">
        <f>VLOOKUP($J238,'[1]Table S6'!$A:$AI,5,FALSE)</f>
        <v>No</v>
      </c>
      <c r="P238">
        <f>VLOOKUP($J238,'[1]Table S6'!$A:$AI,7,FALSE)</f>
        <v>407.9</v>
      </c>
      <c r="Q238">
        <f>VLOOKUP($J238,'[1]Table S6'!$A:$AI,8,FALSE)</f>
        <v>0.86805703341136398</v>
      </c>
      <c r="R238">
        <f>VLOOKUP($J238,'[1]Table S6'!$A:$AI,9,FALSE)</f>
        <v>42.59</v>
      </c>
      <c r="S238" t="str">
        <f>VLOOKUP($J238,'[1]Table S6'!$A:$AI,10,FALSE)</f>
        <v>No</v>
      </c>
      <c r="U238">
        <f>VLOOKUP($J238,'[1]Table S6'!$A:$AI,12,FALSE)</f>
        <v>378.8</v>
      </c>
      <c r="V238">
        <f>VLOOKUP($J238,'[1]Table S6'!$A:$AI,13,FALSE)</f>
        <v>0.80612896360927899</v>
      </c>
      <c r="W238">
        <f>VLOOKUP($J238,'[1]Table S6'!$A:$AI,14,FALSE)</f>
        <v>12.3</v>
      </c>
      <c r="X238" t="str">
        <f>VLOOKUP($J238,'[1]Table S6'!$A:$AI,15,FALSE)</f>
        <v>No</v>
      </c>
      <c r="Z238">
        <f>VLOOKUP($J238,'[1]Table S6'!$A:$AI,17,FALSE)</f>
        <v>352</v>
      </c>
      <c r="AA238">
        <f>VLOOKUP($J238,'[1]Table S6'!$A:$AI,18,FALSE)</f>
        <v>0.749095552245159</v>
      </c>
      <c r="AB238">
        <f>VLOOKUP($J238,'[1]Table S6'!$A:$AI,19,FALSE)</f>
        <v>5.9779999999999998</v>
      </c>
      <c r="AC238" t="str">
        <f>VLOOKUP($J238,'[1]Table S6'!$A:$AI,20,FALSE)</f>
        <v>No</v>
      </c>
      <c r="AE238">
        <f>VLOOKUP($J238,'[1]Table S6'!$A:$AI,22,FALSE)</f>
        <v>377.1</v>
      </c>
      <c r="AF238">
        <f>VLOOKUP($J238,'[1]Table S6'!$A:$AI,23,FALSE)</f>
        <v>0.802511172589913</v>
      </c>
      <c r="AG238">
        <f>VLOOKUP($J238,'[1]Table S6'!$A:$AI,24,FALSE)</f>
        <v>11.72</v>
      </c>
      <c r="AH238" t="str">
        <f>VLOOKUP($J238,'[1]Table S6'!$A:$AI,25,FALSE)</f>
        <v>No</v>
      </c>
      <c r="AJ238">
        <f>VLOOKUP($J238,'[1]Table S6'!$A:$AI,27,FALSE)</f>
        <v>410.6</v>
      </c>
      <c r="AK238">
        <f>VLOOKUP($J238,'[1]Table S6'!$A:$AI,28,FALSE)</f>
        <v>0.87380293679506305</v>
      </c>
      <c r="AL238">
        <f>VLOOKUP($J238,'[1]Table S6'!$A:$AI,29,FALSE)</f>
        <v>50.77</v>
      </c>
      <c r="AM238" t="str">
        <f>VLOOKUP($J238,'[1]Table S6'!$A:$AI,30,FALSE)</f>
        <v>No</v>
      </c>
      <c r="AO238">
        <f>VLOOKUP($J238,'[1]Table S6'!$A:$AI,32,FALSE)</f>
        <v>338.9</v>
      </c>
      <c r="AP238">
        <f>VLOOKUP($J238,'[1]Table S6'!$A:$AI,33,FALSE)</f>
        <v>0.72121728027239795</v>
      </c>
      <c r="AQ238">
        <f>VLOOKUP($J238,'[1]Table S6'!$A:$AI,34,FALSE)</f>
        <v>3.4740000000000002</v>
      </c>
      <c r="AR238" t="str">
        <f>VLOOKUP($J238,'[1]Table S6'!$A:$AI,35,FALSE)</f>
        <v>No</v>
      </c>
      <c r="AT238" t="e">
        <f>VLOOKUP($I238,'[2]Table S5'!$A:$K,8,FALSE)</f>
        <v>#N/A</v>
      </c>
      <c r="AU238" t="e">
        <f>VLOOKUP($I238,'[2]Table S5'!$A:$K,9,FALSE)</f>
        <v>#N/A</v>
      </c>
      <c r="AV238" t="e">
        <f>VLOOKUP($I238,'[2]Table S5'!$A:$K,10,FALSE)</f>
        <v>#N/A</v>
      </c>
      <c r="AW238" t="e">
        <f>VLOOKUP($I238,'[2]Table S5'!$A:$K,11,FALSE)</f>
        <v>#N/A</v>
      </c>
    </row>
    <row r="239" spans="1:49">
      <c r="A239" s="12" t="s">
        <v>1801</v>
      </c>
      <c r="B239" t="s">
        <v>1802</v>
      </c>
      <c r="C239" t="s">
        <v>1803</v>
      </c>
      <c r="D239" t="s">
        <v>17</v>
      </c>
      <c r="E239" t="s">
        <v>1804</v>
      </c>
      <c r="F239" s="12" t="s">
        <v>1805</v>
      </c>
      <c r="G239" t="s">
        <v>1806</v>
      </c>
      <c r="H239" t="s">
        <v>1807</v>
      </c>
      <c r="I239" t="s">
        <v>1741</v>
      </c>
      <c r="J239" t="s">
        <v>1741</v>
      </c>
      <c r="K239" t="e">
        <f>VLOOKUP($J239,'[1]Table S6'!$A:$AI,2,FALSE)</f>
        <v>#N/A</v>
      </c>
      <c r="L239" t="e">
        <f>VLOOKUP($J239,'[1]Table S6'!$A:$AI,3,FALSE)</f>
        <v>#N/A</v>
      </c>
      <c r="M239" t="e">
        <f>VLOOKUP($J239,'[1]Table S6'!$A:$AI,4,FALSE)</f>
        <v>#N/A</v>
      </c>
      <c r="N239" t="e">
        <f>VLOOKUP($J239,'[1]Table S6'!$A:$AI,5,FALSE)</f>
        <v>#N/A</v>
      </c>
      <c r="P239" t="e">
        <f>VLOOKUP($J239,'[1]Table S6'!$A:$AI,7,FALSE)</f>
        <v>#N/A</v>
      </c>
      <c r="Q239" t="e">
        <f>VLOOKUP($J239,'[1]Table S6'!$A:$AI,8,FALSE)</f>
        <v>#N/A</v>
      </c>
      <c r="R239" t="e">
        <f>VLOOKUP($J239,'[1]Table S6'!$A:$AI,9,FALSE)</f>
        <v>#N/A</v>
      </c>
      <c r="S239" t="e">
        <f>VLOOKUP($J239,'[1]Table S6'!$A:$AI,10,FALSE)</f>
        <v>#N/A</v>
      </c>
      <c r="U239" t="e">
        <f>VLOOKUP($J239,'[1]Table S6'!$A:$AI,12,FALSE)</f>
        <v>#N/A</v>
      </c>
      <c r="V239" t="e">
        <f>VLOOKUP($J239,'[1]Table S6'!$A:$AI,13,FALSE)</f>
        <v>#N/A</v>
      </c>
      <c r="W239" t="e">
        <f>VLOOKUP($J239,'[1]Table S6'!$A:$AI,14,FALSE)</f>
        <v>#N/A</v>
      </c>
      <c r="X239" t="e">
        <f>VLOOKUP($J239,'[1]Table S6'!$A:$AI,15,FALSE)</f>
        <v>#N/A</v>
      </c>
      <c r="Z239" t="e">
        <f>VLOOKUP($J239,'[1]Table S6'!$A:$AI,17,FALSE)</f>
        <v>#N/A</v>
      </c>
      <c r="AA239" t="e">
        <f>VLOOKUP($J239,'[1]Table S6'!$A:$AI,18,FALSE)</f>
        <v>#N/A</v>
      </c>
      <c r="AB239" t="e">
        <f>VLOOKUP($J239,'[1]Table S6'!$A:$AI,19,FALSE)</f>
        <v>#N/A</v>
      </c>
      <c r="AC239" t="e">
        <f>VLOOKUP($J239,'[1]Table S6'!$A:$AI,20,FALSE)</f>
        <v>#N/A</v>
      </c>
      <c r="AE239" t="e">
        <f>VLOOKUP($J239,'[1]Table S6'!$A:$AI,22,FALSE)</f>
        <v>#N/A</v>
      </c>
      <c r="AF239" t="e">
        <f>VLOOKUP($J239,'[1]Table S6'!$A:$AI,23,FALSE)</f>
        <v>#N/A</v>
      </c>
      <c r="AG239" t="e">
        <f>VLOOKUP($J239,'[1]Table S6'!$A:$AI,24,FALSE)</f>
        <v>#N/A</v>
      </c>
      <c r="AH239" t="e">
        <f>VLOOKUP($J239,'[1]Table S6'!$A:$AI,25,FALSE)</f>
        <v>#N/A</v>
      </c>
      <c r="AJ239" t="e">
        <f>VLOOKUP($J239,'[1]Table S6'!$A:$AI,27,FALSE)</f>
        <v>#N/A</v>
      </c>
      <c r="AK239" t="e">
        <f>VLOOKUP($J239,'[1]Table S6'!$A:$AI,28,FALSE)</f>
        <v>#N/A</v>
      </c>
      <c r="AL239" t="e">
        <f>VLOOKUP($J239,'[1]Table S6'!$A:$AI,29,FALSE)</f>
        <v>#N/A</v>
      </c>
      <c r="AM239" t="e">
        <f>VLOOKUP($J239,'[1]Table S6'!$A:$AI,30,FALSE)</f>
        <v>#N/A</v>
      </c>
      <c r="AO239" t="e">
        <f>VLOOKUP($J239,'[1]Table S6'!$A:$AI,32,FALSE)</f>
        <v>#N/A</v>
      </c>
      <c r="AP239" t="e">
        <f>VLOOKUP($J239,'[1]Table S6'!$A:$AI,33,FALSE)</f>
        <v>#N/A</v>
      </c>
      <c r="AQ239" t="e">
        <f>VLOOKUP($J239,'[1]Table S6'!$A:$AI,34,FALSE)</f>
        <v>#N/A</v>
      </c>
      <c r="AR239" t="e">
        <f>VLOOKUP($J239,'[1]Table S6'!$A:$AI,35,FALSE)</f>
        <v>#N/A</v>
      </c>
      <c r="AT239" t="e">
        <f>VLOOKUP($I239,'[2]Table S5'!$A:$K,8,FALSE)</f>
        <v>#N/A</v>
      </c>
      <c r="AU239" t="e">
        <f>VLOOKUP($I239,'[2]Table S5'!$A:$K,9,FALSE)</f>
        <v>#N/A</v>
      </c>
      <c r="AV239" t="e">
        <f>VLOOKUP($I239,'[2]Table S5'!$A:$K,10,FALSE)</f>
        <v>#N/A</v>
      </c>
      <c r="AW239" t="e">
        <f>VLOOKUP($I239,'[2]Table S5'!$A:$K,11,FALSE)</f>
        <v>#N/A</v>
      </c>
    </row>
    <row r="240" spans="1:49">
      <c r="A240" s="12" t="s">
        <v>1808</v>
      </c>
      <c r="B240" t="s">
        <v>1809</v>
      </c>
      <c r="C240" t="s">
        <v>1810</v>
      </c>
      <c r="D240" t="s">
        <v>17</v>
      </c>
      <c r="E240" t="s">
        <v>1811</v>
      </c>
      <c r="F240" s="12" t="s">
        <v>1812</v>
      </c>
      <c r="G240" t="s">
        <v>1813</v>
      </c>
      <c r="H240" t="s">
        <v>1814</v>
      </c>
      <c r="I240" t="s">
        <v>1815</v>
      </c>
      <c r="J240" t="s">
        <v>1816</v>
      </c>
      <c r="K240">
        <f>VLOOKUP($J240,'[1]Table S6'!$A:$AI,2,FALSE)</f>
        <v>353.1</v>
      </c>
      <c r="L240">
        <f>VLOOKUP($J240,'[1]Table S6'!$A:$AI,3,FALSE)</f>
        <v>0.75143647584592499</v>
      </c>
      <c r="M240">
        <f>VLOOKUP($J240,'[1]Table S6'!$A:$AI,4,FALSE)</f>
        <v>6.13</v>
      </c>
      <c r="N240" t="str">
        <f>VLOOKUP($J240,'[1]Table S6'!$A:$AI,5,FALSE)</f>
        <v>No</v>
      </c>
      <c r="P240">
        <f>VLOOKUP($J240,'[1]Table S6'!$A:$AI,7,FALSE)</f>
        <v>352.1</v>
      </c>
      <c r="Q240">
        <f>VLOOKUP($J240,'[1]Table S6'!$A:$AI,8,FALSE)</f>
        <v>0.74930836348159202</v>
      </c>
      <c r="R240">
        <f>VLOOKUP($J240,'[1]Table S6'!$A:$AI,9,FALSE)</f>
        <v>5.86</v>
      </c>
      <c r="S240" t="str">
        <f>VLOOKUP($J240,'[1]Table S6'!$A:$AI,10,FALSE)</f>
        <v>No</v>
      </c>
      <c r="U240">
        <f>VLOOKUP($J240,'[1]Table S6'!$A:$AI,12,FALSE)</f>
        <v>380.2</v>
      </c>
      <c r="V240">
        <f>VLOOKUP($J240,'[1]Table S6'!$A:$AI,13,FALSE)</f>
        <v>0.80910832091934504</v>
      </c>
      <c r="W240">
        <f>VLOOKUP($J240,'[1]Table S6'!$A:$AI,14,FALSE)</f>
        <v>14.39</v>
      </c>
      <c r="X240" t="str">
        <f>VLOOKUP($J240,'[1]Table S6'!$A:$AI,15,FALSE)</f>
        <v>No</v>
      </c>
      <c r="Z240">
        <f>VLOOKUP($J240,'[1]Table S6'!$A:$AI,17,FALSE)</f>
        <v>379.4</v>
      </c>
      <c r="AA240">
        <f>VLOOKUP($J240,'[1]Table S6'!$A:$AI,18,FALSE)</f>
        <v>0.807405831027878</v>
      </c>
      <c r="AB240">
        <f>VLOOKUP($J240,'[1]Table S6'!$A:$AI,19,FALSE)</f>
        <v>12.83</v>
      </c>
      <c r="AC240" t="str">
        <f>VLOOKUP($J240,'[1]Table S6'!$A:$AI,20,FALSE)</f>
        <v>No</v>
      </c>
      <c r="AE240">
        <f>VLOOKUP($J240,'[1]Table S6'!$A:$AI,22,FALSE)</f>
        <v>399.2</v>
      </c>
      <c r="AF240">
        <f>VLOOKUP($J240,'[1]Table S6'!$A:$AI,23,FALSE)</f>
        <v>0.84954245584166799</v>
      </c>
      <c r="AG240">
        <f>VLOOKUP($J240,'[1]Table S6'!$A:$AI,24,FALSE)</f>
        <v>29.84</v>
      </c>
      <c r="AH240" t="str">
        <f>VLOOKUP($J240,'[1]Table S6'!$A:$AI,25,FALSE)</f>
        <v>No</v>
      </c>
      <c r="AJ240">
        <f>VLOOKUP($J240,'[1]Table S6'!$A:$AI,27,FALSE)</f>
        <v>411.8</v>
      </c>
      <c r="AK240">
        <f>VLOOKUP($J240,'[1]Table S6'!$A:$AI,28,FALSE)</f>
        <v>0.87635667163226205</v>
      </c>
      <c r="AL240">
        <f>VLOOKUP($J240,'[1]Table S6'!$A:$AI,29,FALSE)</f>
        <v>43.58</v>
      </c>
      <c r="AM240" t="str">
        <f>VLOOKUP($J240,'[1]Table S6'!$A:$AI,30,FALSE)</f>
        <v>No</v>
      </c>
      <c r="AO240">
        <f>VLOOKUP($J240,'[1]Table S6'!$A:$AI,32,FALSE)</f>
        <v>396.8</v>
      </c>
      <c r="AP240">
        <f>VLOOKUP($J240,'[1]Table S6'!$A:$AI,33,FALSE)</f>
        <v>0.84443498616726997</v>
      </c>
      <c r="AQ240">
        <f>VLOOKUP($J240,'[1]Table S6'!$A:$AI,34,FALSE)</f>
        <v>21.5</v>
      </c>
      <c r="AR240" t="str">
        <f>VLOOKUP($J240,'[1]Table S6'!$A:$AI,35,FALSE)</f>
        <v>No</v>
      </c>
      <c r="AT240" t="e">
        <f>VLOOKUP($I240,'[2]Table S5'!$A:$K,8,FALSE)</f>
        <v>#N/A</v>
      </c>
      <c r="AU240" t="e">
        <f>VLOOKUP($I240,'[2]Table S5'!$A:$K,9,FALSE)</f>
        <v>#N/A</v>
      </c>
      <c r="AV240" t="e">
        <f>VLOOKUP($I240,'[2]Table S5'!$A:$K,10,FALSE)</f>
        <v>#N/A</v>
      </c>
      <c r="AW240" t="e">
        <f>VLOOKUP($I240,'[2]Table S5'!$A:$K,11,FALSE)</f>
        <v>#N/A</v>
      </c>
    </row>
    <row r="241" spans="1:49">
      <c r="A241" s="12" t="s">
        <v>1817</v>
      </c>
      <c r="B241" t="s">
        <v>1818</v>
      </c>
      <c r="C241" t="s">
        <v>1819</v>
      </c>
      <c r="D241" t="s">
        <v>17</v>
      </c>
      <c r="E241" t="s">
        <v>1820</v>
      </c>
      <c r="F241" s="12" t="s">
        <v>1821</v>
      </c>
      <c r="G241" t="s">
        <v>1822</v>
      </c>
      <c r="H241" t="s">
        <v>1823</v>
      </c>
      <c r="I241" t="s">
        <v>1815</v>
      </c>
      <c r="J241" t="s">
        <v>1816</v>
      </c>
      <c r="K241">
        <f>VLOOKUP($J241,'[1]Table S6'!$A:$AI,2,FALSE)</f>
        <v>353.1</v>
      </c>
      <c r="L241">
        <f>VLOOKUP($J241,'[1]Table S6'!$A:$AI,3,FALSE)</f>
        <v>0.75143647584592499</v>
      </c>
      <c r="M241">
        <f>VLOOKUP($J241,'[1]Table S6'!$A:$AI,4,FALSE)</f>
        <v>6.13</v>
      </c>
      <c r="N241" t="str">
        <f>VLOOKUP($J241,'[1]Table S6'!$A:$AI,5,FALSE)</f>
        <v>No</v>
      </c>
      <c r="P241">
        <f>VLOOKUP($J241,'[1]Table S6'!$A:$AI,7,FALSE)</f>
        <v>352.1</v>
      </c>
      <c r="Q241">
        <f>VLOOKUP($J241,'[1]Table S6'!$A:$AI,8,FALSE)</f>
        <v>0.74930836348159202</v>
      </c>
      <c r="R241">
        <f>VLOOKUP($J241,'[1]Table S6'!$A:$AI,9,FALSE)</f>
        <v>5.86</v>
      </c>
      <c r="S241" t="str">
        <f>VLOOKUP($J241,'[1]Table S6'!$A:$AI,10,FALSE)</f>
        <v>No</v>
      </c>
      <c r="U241">
        <f>VLOOKUP($J241,'[1]Table S6'!$A:$AI,12,FALSE)</f>
        <v>380.2</v>
      </c>
      <c r="V241">
        <f>VLOOKUP($J241,'[1]Table S6'!$A:$AI,13,FALSE)</f>
        <v>0.80910832091934504</v>
      </c>
      <c r="W241">
        <f>VLOOKUP($J241,'[1]Table S6'!$A:$AI,14,FALSE)</f>
        <v>14.39</v>
      </c>
      <c r="X241" t="str">
        <f>VLOOKUP($J241,'[1]Table S6'!$A:$AI,15,FALSE)</f>
        <v>No</v>
      </c>
      <c r="Z241">
        <f>VLOOKUP($J241,'[1]Table S6'!$A:$AI,17,FALSE)</f>
        <v>379.4</v>
      </c>
      <c r="AA241">
        <f>VLOOKUP($J241,'[1]Table S6'!$A:$AI,18,FALSE)</f>
        <v>0.807405831027878</v>
      </c>
      <c r="AB241">
        <f>VLOOKUP($J241,'[1]Table S6'!$A:$AI,19,FALSE)</f>
        <v>12.83</v>
      </c>
      <c r="AC241" t="str">
        <f>VLOOKUP($J241,'[1]Table S6'!$A:$AI,20,FALSE)</f>
        <v>No</v>
      </c>
      <c r="AE241">
        <f>VLOOKUP($J241,'[1]Table S6'!$A:$AI,22,FALSE)</f>
        <v>399.2</v>
      </c>
      <c r="AF241">
        <f>VLOOKUP($J241,'[1]Table S6'!$A:$AI,23,FALSE)</f>
        <v>0.84954245584166799</v>
      </c>
      <c r="AG241">
        <f>VLOOKUP($J241,'[1]Table S6'!$A:$AI,24,FALSE)</f>
        <v>29.84</v>
      </c>
      <c r="AH241" t="str">
        <f>VLOOKUP($J241,'[1]Table S6'!$A:$AI,25,FALSE)</f>
        <v>No</v>
      </c>
      <c r="AJ241">
        <f>VLOOKUP($J241,'[1]Table S6'!$A:$AI,27,FALSE)</f>
        <v>411.8</v>
      </c>
      <c r="AK241">
        <f>VLOOKUP($J241,'[1]Table S6'!$A:$AI,28,FALSE)</f>
        <v>0.87635667163226205</v>
      </c>
      <c r="AL241">
        <f>VLOOKUP($J241,'[1]Table S6'!$A:$AI,29,FALSE)</f>
        <v>43.58</v>
      </c>
      <c r="AM241" t="str">
        <f>VLOOKUP($J241,'[1]Table S6'!$A:$AI,30,FALSE)</f>
        <v>No</v>
      </c>
      <c r="AO241">
        <f>VLOOKUP($J241,'[1]Table S6'!$A:$AI,32,FALSE)</f>
        <v>396.8</v>
      </c>
      <c r="AP241">
        <f>VLOOKUP($J241,'[1]Table S6'!$A:$AI,33,FALSE)</f>
        <v>0.84443498616726997</v>
      </c>
      <c r="AQ241">
        <f>VLOOKUP($J241,'[1]Table S6'!$A:$AI,34,FALSE)</f>
        <v>21.5</v>
      </c>
      <c r="AR241" t="str">
        <f>VLOOKUP($J241,'[1]Table S6'!$A:$AI,35,FALSE)</f>
        <v>No</v>
      </c>
      <c r="AT241" t="e">
        <f>VLOOKUP($I241,'[2]Table S5'!$A:$K,8,FALSE)</f>
        <v>#N/A</v>
      </c>
      <c r="AU241" t="e">
        <f>VLOOKUP($I241,'[2]Table S5'!$A:$K,9,FALSE)</f>
        <v>#N/A</v>
      </c>
      <c r="AV241" t="e">
        <f>VLOOKUP($I241,'[2]Table S5'!$A:$K,10,FALSE)</f>
        <v>#N/A</v>
      </c>
      <c r="AW241" t="e">
        <f>VLOOKUP($I241,'[2]Table S5'!$A:$K,11,FALSE)</f>
        <v>#N/A</v>
      </c>
    </row>
    <row r="242" spans="1:49">
      <c r="A242" s="12" t="s">
        <v>1824</v>
      </c>
      <c r="B242" t="s">
        <v>1825</v>
      </c>
      <c r="C242" t="s">
        <v>1826</v>
      </c>
      <c r="D242" t="s">
        <v>17</v>
      </c>
      <c r="E242" t="s">
        <v>1827</v>
      </c>
      <c r="F242" s="12" t="s">
        <v>1828</v>
      </c>
      <c r="G242" t="s">
        <v>1829</v>
      </c>
      <c r="H242" t="s">
        <v>1830</v>
      </c>
      <c r="I242" t="s">
        <v>1815</v>
      </c>
      <c r="J242" t="s">
        <v>1816</v>
      </c>
      <c r="K242">
        <f>VLOOKUP($J242,'[1]Table S6'!$A:$AI,2,FALSE)</f>
        <v>353.1</v>
      </c>
      <c r="L242">
        <f>VLOOKUP($J242,'[1]Table S6'!$A:$AI,3,FALSE)</f>
        <v>0.75143647584592499</v>
      </c>
      <c r="M242">
        <f>VLOOKUP($J242,'[1]Table S6'!$A:$AI,4,FALSE)</f>
        <v>6.13</v>
      </c>
      <c r="N242" t="str">
        <f>VLOOKUP($J242,'[1]Table S6'!$A:$AI,5,FALSE)</f>
        <v>No</v>
      </c>
      <c r="P242">
        <f>VLOOKUP($J242,'[1]Table S6'!$A:$AI,7,FALSE)</f>
        <v>352.1</v>
      </c>
      <c r="Q242">
        <f>VLOOKUP($J242,'[1]Table S6'!$A:$AI,8,FALSE)</f>
        <v>0.74930836348159202</v>
      </c>
      <c r="R242">
        <f>VLOOKUP($J242,'[1]Table S6'!$A:$AI,9,FALSE)</f>
        <v>5.86</v>
      </c>
      <c r="S242" t="str">
        <f>VLOOKUP($J242,'[1]Table S6'!$A:$AI,10,FALSE)</f>
        <v>No</v>
      </c>
      <c r="U242">
        <f>VLOOKUP($J242,'[1]Table S6'!$A:$AI,12,FALSE)</f>
        <v>380.2</v>
      </c>
      <c r="V242">
        <f>VLOOKUP($J242,'[1]Table S6'!$A:$AI,13,FALSE)</f>
        <v>0.80910832091934504</v>
      </c>
      <c r="W242">
        <f>VLOOKUP($J242,'[1]Table S6'!$A:$AI,14,FALSE)</f>
        <v>14.39</v>
      </c>
      <c r="X242" t="str">
        <f>VLOOKUP($J242,'[1]Table S6'!$A:$AI,15,FALSE)</f>
        <v>No</v>
      </c>
      <c r="Z242">
        <f>VLOOKUP($J242,'[1]Table S6'!$A:$AI,17,FALSE)</f>
        <v>379.4</v>
      </c>
      <c r="AA242">
        <f>VLOOKUP($J242,'[1]Table S6'!$A:$AI,18,FALSE)</f>
        <v>0.807405831027878</v>
      </c>
      <c r="AB242">
        <f>VLOOKUP($J242,'[1]Table S6'!$A:$AI,19,FALSE)</f>
        <v>12.83</v>
      </c>
      <c r="AC242" t="str">
        <f>VLOOKUP($J242,'[1]Table S6'!$A:$AI,20,FALSE)</f>
        <v>No</v>
      </c>
      <c r="AE242">
        <f>VLOOKUP($J242,'[1]Table S6'!$A:$AI,22,FALSE)</f>
        <v>399.2</v>
      </c>
      <c r="AF242">
        <f>VLOOKUP($J242,'[1]Table S6'!$A:$AI,23,FALSE)</f>
        <v>0.84954245584166799</v>
      </c>
      <c r="AG242">
        <f>VLOOKUP($J242,'[1]Table S6'!$A:$AI,24,FALSE)</f>
        <v>29.84</v>
      </c>
      <c r="AH242" t="str">
        <f>VLOOKUP($J242,'[1]Table S6'!$A:$AI,25,FALSE)</f>
        <v>No</v>
      </c>
      <c r="AJ242">
        <f>VLOOKUP($J242,'[1]Table S6'!$A:$AI,27,FALSE)</f>
        <v>411.8</v>
      </c>
      <c r="AK242">
        <f>VLOOKUP($J242,'[1]Table S6'!$A:$AI,28,FALSE)</f>
        <v>0.87635667163226205</v>
      </c>
      <c r="AL242">
        <f>VLOOKUP($J242,'[1]Table S6'!$A:$AI,29,FALSE)</f>
        <v>43.58</v>
      </c>
      <c r="AM242" t="str">
        <f>VLOOKUP($J242,'[1]Table S6'!$A:$AI,30,FALSE)</f>
        <v>No</v>
      </c>
      <c r="AO242">
        <f>VLOOKUP($J242,'[1]Table S6'!$A:$AI,32,FALSE)</f>
        <v>396.8</v>
      </c>
      <c r="AP242">
        <f>VLOOKUP($J242,'[1]Table S6'!$A:$AI,33,FALSE)</f>
        <v>0.84443498616726997</v>
      </c>
      <c r="AQ242">
        <f>VLOOKUP($J242,'[1]Table S6'!$A:$AI,34,FALSE)</f>
        <v>21.5</v>
      </c>
      <c r="AR242" t="str">
        <f>VLOOKUP($J242,'[1]Table S6'!$A:$AI,35,FALSE)</f>
        <v>No</v>
      </c>
      <c r="AT242" t="e">
        <f>VLOOKUP($I242,'[2]Table S5'!$A:$K,8,FALSE)</f>
        <v>#N/A</v>
      </c>
      <c r="AU242" t="e">
        <f>VLOOKUP($I242,'[2]Table S5'!$A:$K,9,FALSE)</f>
        <v>#N/A</v>
      </c>
      <c r="AV242" t="e">
        <f>VLOOKUP($I242,'[2]Table S5'!$A:$K,10,FALSE)</f>
        <v>#N/A</v>
      </c>
      <c r="AW242" t="e">
        <f>VLOOKUP($I242,'[2]Table S5'!$A:$K,11,FALSE)</f>
        <v>#N/A</v>
      </c>
    </row>
    <row r="243" spans="1:49">
      <c r="A243" s="12" t="s">
        <v>1831</v>
      </c>
      <c r="B243" t="s">
        <v>1832</v>
      </c>
      <c r="C243" t="s">
        <v>1833</v>
      </c>
      <c r="D243" t="s">
        <v>17</v>
      </c>
      <c r="E243" t="s">
        <v>1834</v>
      </c>
      <c r="F243" s="12" t="s">
        <v>1835</v>
      </c>
      <c r="G243" t="s">
        <v>1836</v>
      </c>
      <c r="H243" t="s">
        <v>1837</v>
      </c>
      <c r="I243" t="s">
        <v>1815</v>
      </c>
      <c r="J243" t="s">
        <v>1815</v>
      </c>
      <c r="K243" t="e">
        <f>VLOOKUP($J243,'[1]Table S6'!$A:$AI,2,FALSE)</f>
        <v>#N/A</v>
      </c>
      <c r="L243" t="e">
        <f>VLOOKUP($J243,'[1]Table S6'!$A:$AI,3,FALSE)</f>
        <v>#N/A</v>
      </c>
      <c r="M243" t="e">
        <f>VLOOKUP($J243,'[1]Table S6'!$A:$AI,4,FALSE)</f>
        <v>#N/A</v>
      </c>
      <c r="N243" t="e">
        <f>VLOOKUP($J243,'[1]Table S6'!$A:$AI,5,FALSE)</f>
        <v>#N/A</v>
      </c>
      <c r="P243" t="e">
        <f>VLOOKUP($J243,'[1]Table S6'!$A:$AI,7,FALSE)</f>
        <v>#N/A</v>
      </c>
      <c r="Q243" t="e">
        <f>VLOOKUP($J243,'[1]Table S6'!$A:$AI,8,FALSE)</f>
        <v>#N/A</v>
      </c>
      <c r="R243" t="e">
        <f>VLOOKUP($J243,'[1]Table S6'!$A:$AI,9,FALSE)</f>
        <v>#N/A</v>
      </c>
      <c r="S243" t="e">
        <f>VLOOKUP($J243,'[1]Table S6'!$A:$AI,10,FALSE)</f>
        <v>#N/A</v>
      </c>
      <c r="U243" t="e">
        <f>VLOOKUP($J243,'[1]Table S6'!$A:$AI,12,FALSE)</f>
        <v>#N/A</v>
      </c>
      <c r="V243" t="e">
        <f>VLOOKUP($J243,'[1]Table S6'!$A:$AI,13,FALSE)</f>
        <v>#N/A</v>
      </c>
      <c r="W243" t="e">
        <f>VLOOKUP($J243,'[1]Table S6'!$A:$AI,14,FALSE)</f>
        <v>#N/A</v>
      </c>
      <c r="X243" t="e">
        <f>VLOOKUP($J243,'[1]Table S6'!$A:$AI,15,FALSE)</f>
        <v>#N/A</v>
      </c>
      <c r="Z243" t="e">
        <f>VLOOKUP($J243,'[1]Table S6'!$A:$AI,17,FALSE)</f>
        <v>#N/A</v>
      </c>
      <c r="AA243" t="e">
        <f>VLOOKUP($J243,'[1]Table S6'!$A:$AI,18,FALSE)</f>
        <v>#N/A</v>
      </c>
      <c r="AB243" t="e">
        <f>VLOOKUP($J243,'[1]Table S6'!$A:$AI,19,FALSE)</f>
        <v>#N/A</v>
      </c>
      <c r="AC243" t="e">
        <f>VLOOKUP($J243,'[1]Table S6'!$A:$AI,20,FALSE)</f>
        <v>#N/A</v>
      </c>
      <c r="AE243" t="e">
        <f>VLOOKUP($J243,'[1]Table S6'!$A:$AI,22,FALSE)</f>
        <v>#N/A</v>
      </c>
      <c r="AF243" t="e">
        <f>VLOOKUP($J243,'[1]Table S6'!$A:$AI,23,FALSE)</f>
        <v>#N/A</v>
      </c>
      <c r="AG243" t="e">
        <f>VLOOKUP($J243,'[1]Table S6'!$A:$AI,24,FALSE)</f>
        <v>#N/A</v>
      </c>
      <c r="AH243" t="e">
        <f>VLOOKUP($J243,'[1]Table S6'!$A:$AI,25,FALSE)</f>
        <v>#N/A</v>
      </c>
      <c r="AJ243" t="e">
        <f>VLOOKUP($J243,'[1]Table S6'!$A:$AI,27,FALSE)</f>
        <v>#N/A</v>
      </c>
      <c r="AK243" t="e">
        <f>VLOOKUP($J243,'[1]Table S6'!$A:$AI,28,FALSE)</f>
        <v>#N/A</v>
      </c>
      <c r="AL243" t="e">
        <f>VLOOKUP($J243,'[1]Table S6'!$A:$AI,29,FALSE)</f>
        <v>#N/A</v>
      </c>
      <c r="AM243" t="e">
        <f>VLOOKUP($J243,'[1]Table S6'!$A:$AI,30,FALSE)</f>
        <v>#N/A</v>
      </c>
      <c r="AO243" t="e">
        <f>VLOOKUP($J243,'[1]Table S6'!$A:$AI,32,FALSE)</f>
        <v>#N/A</v>
      </c>
      <c r="AP243" t="e">
        <f>VLOOKUP($J243,'[1]Table S6'!$A:$AI,33,FALSE)</f>
        <v>#N/A</v>
      </c>
      <c r="AQ243" t="e">
        <f>VLOOKUP($J243,'[1]Table S6'!$A:$AI,34,FALSE)</f>
        <v>#N/A</v>
      </c>
      <c r="AR243" t="e">
        <f>VLOOKUP($J243,'[1]Table S6'!$A:$AI,35,FALSE)</f>
        <v>#N/A</v>
      </c>
      <c r="AT243" t="e">
        <f>VLOOKUP($I243,'[2]Table S5'!$A:$K,8,FALSE)</f>
        <v>#N/A</v>
      </c>
      <c r="AU243" t="e">
        <f>VLOOKUP($I243,'[2]Table S5'!$A:$K,9,FALSE)</f>
        <v>#N/A</v>
      </c>
      <c r="AV243" t="e">
        <f>VLOOKUP($I243,'[2]Table S5'!$A:$K,10,FALSE)</f>
        <v>#N/A</v>
      </c>
      <c r="AW243" t="e">
        <f>VLOOKUP($I243,'[2]Table S5'!$A:$K,11,FALSE)</f>
        <v>#N/A</v>
      </c>
    </row>
    <row r="244" spans="1:49">
      <c r="A244" s="12" t="s">
        <v>1838</v>
      </c>
      <c r="B244" t="s">
        <v>1839</v>
      </c>
      <c r="C244" t="s">
        <v>1840</v>
      </c>
      <c r="D244" t="s">
        <v>17</v>
      </c>
      <c r="E244" t="s">
        <v>1841</v>
      </c>
      <c r="F244" s="12" t="s">
        <v>1842</v>
      </c>
      <c r="G244" t="s">
        <v>1843</v>
      </c>
      <c r="H244" t="s">
        <v>1844</v>
      </c>
      <c r="I244" t="s">
        <v>1845</v>
      </c>
      <c r="J244" t="s">
        <v>1846</v>
      </c>
      <c r="K244">
        <f>VLOOKUP($J244,'[1]Table S6'!$A:$AI,2,FALSE)</f>
        <v>368.3</v>
      </c>
      <c r="L244">
        <f>VLOOKUP($J244,'[1]Table S6'!$A:$AI,3,FALSE)</f>
        <v>0.78378378378378399</v>
      </c>
      <c r="M244">
        <f>VLOOKUP($J244,'[1]Table S6'!$A:$AI,4,FALSE)</f>
        <v>9.5289999999999999</v>
      </c>
      <c r="N244" t="str">
        <f>VLOOKUP($J244,'[1]Table S6'!$A:$AI,5,FALSE)</f>
        <v>No</v>
      </c>
      <c r="P244">
        <f>VLOOKUP($J244,'[1]Table S6'!$A:$AI,7,FALSE)</f>
        <v>376.4</v>
      </c>
      <c r="Q244">
        <f>VLOOKUP($J244,'[1]Table S6'!$A:$AI,8,FALSE)</f>
        <v>0.80102149393487998</v>
      </c>
      <c r="R244">
        <f>VLOOKUP($J244,'[1]Table S6'!$A:$AI,9,FALSE)</f>
        <v>13.22</v>
      </c>
      <c r="S244" t="str">
        <f>VLOOKUP($J244,'[1]Table S6'!$A:$AI,10,FALSE)</f>
        <v>No</v>
      </c>
      <c r="U244">
        <f>VLOOKUP($J244,'[1]Table S6'!$A:$AI,12,FALSE)</f>
        <v>389.9</v>
      </c>
      <c r="V244">
        <f>VLOOKUP($J244,'[1]Table S6'!$A:$AI,13,FALSE)</f>
        <v>0.82975101085337299</v>
      </c>
      <c r="W244">
        <f>VLOOKUP($J244,'[1]Table S6'!$A:$AI,14,FALSE)</f>
        <v>17.64</v>
      </c>
      <c r="X244" t="str">
        <f>VLOOKUP($J244,'[1]Table S6'!$A:$AI,15,FALSE)</f>
        <v>No</v>
      </c>
      <c r="Z244">
        <f>VLOOKUP($J244,'[1]Table S6'!$A:$AI,17,FALSE)</f>
        <v>379.9</v>
      </c>
      <c r="AA244">
        <f>VLOOKUP($J244,'[1]Table S6'!$A:$AI,18,FALSE)</f>
        <v>0.80846988721004498</v>
      </c>
      <c r="AB244">
        <f>VLOOKUP($J244,'[1]Table S6'!$A:$AI,19,FALSE)</f>
        <v>13.1</v>
      </c>
      <c r="AC244" t="str">
        <f>VLOOKUP($J244,'[1]Table S6'!$A:$AI,20,FALSE)</f>
        <v>No</v>
      </c>
      <c r="AE244">
        <f>VLOOKUP($J244,'[1]Table S6'!$A:$AI,22,FALSE)</f>
        <v>327.9</v>
      </c>
      <c r="AF244">
        <f>VLOOKUP($J244,'[1]Table S6'!$A:$AI,23,FALSE)</f>
        <v>0.69780804426473697</v>
      </c>
      <c r="AG244">
        <f>VLOOKUP($J244,'[1]Table S6'!$A:$AI,24,FALSE)</f>
        <v>2.4980000000000002</v>
      </c>
      <c r="AH244" t="str">
        <f>VLOOKUP($J244,'[1]Table S6'!$A:$AI,25,FALSE)</f>
        <v>No</v>
      </c>
      <c r="AJ244">
        <f>VLOOKUP($J244,'[1]Table S6'!$A:$AI,27,FALSE)</f>
        <v>399.3</v>
      </c>
      <c r="AK244">
        <f>VLOOKUP($J244,'[1]Table S6'!$A:$AI,28,FALSE)</f>
        <v>0.84975526707810201</v>
      </c>
      <c r="AL244">
        <f>VLOOKUP($J244,'[1]Table S6'!$A:$AI,29,FALSE)</f>
        <v>27.7</v>
      </c>
      <c r="AM244" t="str">
        <f>VLOOKUP($J244,'[1]Table S6'!$A:$AI,30,FALSE)</f>
        <v>No</v>
      </c>
      <c r="AO244">
        <f>VLOOKUP($J244,'[1]Table S6'!$A:$AI,32,FALSE)</f>
        <v>397.9</v>
      </c>
      <c r="AP244">
        <f>VLOOKUP($J244,'[1]Table S6'!$A:$AI,33,FALSE)</f>
        <v>0.84677590976803596</v>
      </c>
      <c r="AQ244">
        <f>VLOOKUP($J244,'[1]Table S6'!$A:$AI,34,FALSE)</f>
        <v>23.59</v>
      </c>
      <c r="AR244" t="str">
        <f>VLOOKUP($J244,'[1]Table S6'!$A:$AI,35,FALSE)</f>
        <v>No</v>
      </c>
      <c r="AT244" t="e">
        <f>VLOOKUP($I244,'[2]Table S5'!$A:$K,8,FALSE)</f>
        <v>#N/A</v>
      </c>
      <c r="AU244" t="e">
        <f>VLOOKUP($I244,'[2]Table S5'!$A:$K,9,FALSE)</f>
        <v>#N/A</v>
      </c>
      <c r="AV244" t="e">
        <f>VLOOKUP($I244,'[2]Table S5'!$A:$K,10,FALSE)</f>
        <v>#N/A</v>
      </c>
      <c r="AW244" t="e">
        <f>VLOOKUP($I244,'[2]Table S5'!$A:$K,11,FALSE)</f>
        <v>#N/A</v>
      </c>
    </row>
    <row r="245" spans="1:49">
      <c r="A245" s="12" t="s">
        <v>1847</v>
      </c>
      <c r="B245" t="s">
        <v>1848</v>
      </c>
      <c r="C245" t="s">
        <v>1849</v>
      </c>
      <c r="D245" t="s">
        <v>17</v>
      </c>
      <c r="E245" t="s">
        <v>1850</v>
      </c>
      <c r="F245" s="12" t="s">
        <v>1851</v>
      </c>
      <c r="G245" t="s">
        <v>1852</v>
      </c>
      <c r="H245" t="s">
        <v>1853</v>
      </c>
      <c r="I245" t="s">
        <v>1845</v>
      </c>
      <c r="J245" t="s">
        <v>1846</v>
      </c>
      <c r="K245">
        <f>VLOOKUP($J245,'[1]Table S6'!$A:$AI,2,FALSE)</f>
        <v>368.3</v>
      </c>
      <c r="L245">
        <f>VLOOKUP($J245,'[1]Table S6'!$A:$AI,3,FALSE)</f>
        <v>0.78378378378378399</v>
      </c>
      <c r="M245">
        <f>VLOOKUP($J245,'[1]Table S6'!$A:$AI,4,FALSE)</f>
        <v>9.5289999999999999</v>
      </c>
      <c r="N245" t="str">
        <f>VLOOKUP($J245,'[1]Table S6'!$A:$AI,5,FALSE)</f>
        <v>No</v>
      </c>
      <c r="P245">
        <f>VLOOKUP($J245,'[1]Table S6'!$A:$AI,7,FALSE)</f>
        <v>376.4</v>
      </c>
      <c r="Q245">
        <f>VLOOKUP($J245,'[1]Table S6'!$A:$AI,8,FALSE)</f>
        <v>0.80102149393487998</v>
      </c>
      <c r="R245">
        <f>VLOOKUP($J245,'[1]Table S6'!$A:$AI,9,FALSE)</f>
        <v>13.22</v>
      </c>
      <c r="S245" t="str">
        <f>VLOOKUP($J245,'[1]Table S6'!$A:$AI,10,FALSE)</f>
        <v>No</v>
      </c>
      <c r="U245">
        <f>VLOOKUP($J245,'[1]Table S6'!$A:$AI,12,FALSE)</f>
        <v>389.9</v>
      </c>
      <c r="V245">
        <f>VLOOKUP($J245,'[1]Table S6'!$A:$AI,13,FALSE)</f>
        <v>0.82975101085337299</v>
      </c>
      <c r="W245">
        <f>VLOOKUP($J245,'[1]Table S6'!$A:$AI,14,FALSE)</f>
        <v>17.64</v>
      </c>
      <c r="X245" t="str">
        <f>VLOOKUP($J245,'[1]Table S6'!$A:$AI,15,FALSE)</f>
        <v>No</v>
      </c>
      <c r="Z245">
        <f>VLOOKUP($J245,'[1]Table S6'!$A:$AI,17,FALSE)</f>
        <v>379.9</v>
      </c>
      <c r="AA245">
        <f>VLOOKUP($J245,'[1]Table S6'!$A:$AI,18,FALSE)</f>
        <v>0.80846988721004498</v>
      </c>
      <c r="AB245">
        <f>VLOOKUP($J245,'[1]Table S6'!$A:$AI,19,FALSE)</f>
        <v>13.1</v>
      </c>
      <c r="AC245" t="str">
        <f>VLOOKUP($J245,'[1]Table S6'!$A:$AI,20,FALSE)</f>
        <v>No</v>
      </c>
      <c r="AE245">
        <f>VLOOKUP($J245,'[1]Table S6'!$A:$AI,22,FALSE)</f>
        <v>327.9</v>
      </c>
      <c r="AF245">
        <f>VLOOKUP($J245,'[1]Table S6'!$A:$AI,23,FALSE)</f>
        <v>0.69780804426473697</v>
      </c>
      <c r="AG245">
        <f>VLOOKUP($J245,'[1]Table S6'!$A:$AI,24,FALSE)</f>
        <v>2.4980000000000002</v>
      </c>
      <c r="AH245" t="str">
        <f>VLOOKUP($J245,'[1]Table S6'!$A:$AI,25,FALSE)</f>
        <v>No</v>
      </c>
      <c r="AJ245">
        <f>VLOOKUP($J245,'[1]Table S6'!$A:$AI,27,FALSE)</f>
        <v>399.3</v>
      </c>
      <c r="AK245">
        <f>VLOOKUP($J245,'[1]Table S6'!$A:$AI,28,FALSE)</f>
        <v>0.84975526707810201</v>
      </c>
      <c r="AL245">
        <f>VLOOKUP($J245,'[1]Table S6'!$A:$AI,29,FALSE)</f>
        <v>27.7</v>
      </c>
      <c r="AM245" t="str">
        <f>VLOOKUP($J245,'[1]Table S6'!$A:$AI,30,FALSE)</f>
        <v>No</v>
      </c>
      <c r="AO245">
        <f>VLOOKUP($J245,'[1]Table S6'!$A:$AI,32,FALSE)</f>
        <v>397.9</v>
      </c>
      <c r="AP245">
        <f>VLOOKUP($J245,'[1]Table S6'!$A:$AI,33,FALSE)</f>
        <v>0.84677590976803596</v>
      </c>
      <c r="AQ245">
        <f>VLOOKUP($J245,'[1]Table S6'!$A:$AI,34,FALSE)</f>
        <v>23.59</v>
      </c>
      <c r="AR245" t="str">
        <f>VLOOKUP($J245,'[1]Table S6'!$A:$AI,35,FALSE)</f>
        <v>No</v>
      </c>
      <c r="AT245" t="e">
        <f>VLOOKUP($I245,'[2]Table S5'!$A:$K,8,FALSE)</f>
        <v>#N/A</v>
      </c>
      <c r="AU245" t="e">
        <f>VLOOKUP($I245,'[2]Table S5'!$A:$K,9,FALSE)</f>
        <v>#N/A</v>
      </c>
      <c r="AV245" t="e">
        <f>VLOOKUP($I245,'[2]Table S5'!$A:$K,10,FALSE)</f>
        <v>#N/A</v>
      </c>
      <c r="AW245" t="e">
        <f>VLOOKUP($I245,'[2]Table S5'!$A:$K,11,FALSE)</f>
        <v>#N/A</v>
      </c>
    </row>
    <row r="246" spans="1:49">
      <c r="A246" s="12" t="s">
        <v>1854</v>
      </c>
      <c r="B246" t="s">
        <v>1855</v>
      </c>
      <c r="C246" t="s">
        <v>1856</v>
      </c>
      <c r="D246" t="s">
        <v>17</v>
      </c>
      <c r="E246" t="s">
        <v>1857</v>
      </c>
      <c r="F246" s="12" t="s">
        <v>1858</v>
      </c>
      <c r="G246" t="s">
        <v>1859</v>
      </c>
      <c r="H246" t="s">
        <v>1860</v>
      </c>
      <c r="I246" t="s">
        <v>1845</v>
      </c>
      <c r="J246" t="s">
        <v>1846</v>
      </c>
      <c r="K246">
        <f>VLOOKUP($J246,'[1]Table S6'!$A:$AI,2,FALSE)</f>
        <v>368.3</v>
      </c>
      <c r="L246">
        <f>VLOOKUP($J246,'[1]Table S6'!$A:$AI,3,FALSE)</f>
        <v>0.78378378378378399</v>
      </c>
      <c r="M246">
        <f>VLOOKUP($J246,'[1]Table S6'!$A:$AI,4,FALSE)</f>
        <v>9.5289999999999999</v>
      </c>
      <c r="N246" t="str">
        <f>VLOOKUP($J246,'[1]Table S6'!$A:$AI,5,FALSE)</f>
        <v>No</v>
      </c>
      <c r="P246">
        <f>VLOOKUP($J246,'[1]Table S6'!$A:$AI,7,FALSE)</f>
        <v>376.4</v>
      </c>
      <c r="Q246">
        <f>VLOOKUP($J246,'[1]Table S6'!$A:$AI,8,FALSE)</f>
        <v>0.80102149393487998</v>
      </c>
      <c r="R246">
        <f>VLOOKUP($J246,'[1]Table S6'!$A:$AI,9,FALSE)</f>
        <v>13.22</v>
      </c>
      <c r="S246" t="str">
        <f>VLOOKUP($J246,'[1]Table S6'!$A:$AI,10,FALSE)</f>
        <v>No</v>
      </c>
      <c r="U246">
        <f>VLOOKUP($J246,'[1]Table S6'!$A:$AI,12,FALSE)</f>
        <v>389.9</v>
      </c>
      <c r="V246">
        <f>VLOOKUP($J246,'[1]Table S6'!$A:$AI,13,FALSE)</f>
        <v>0.82975101085337299</v>
      </c>
      <c r="W246">
        <f>VLOOKUP($J246,'[1]Table S6'!$A:$AI,14,FALSE)</f>
        <v>17.64</v>
      </c>
      <c r="X246" t="str">
        <f>VLOOKUP($J246,'[1]Table S6'!$A:$AI,15,FALSE)</f>
        <v>No</v>
      </c>
      <c r="Z246">
        <f>VLOOKUP($J246,'[1]Table S6'!$A:$AI,17,FALSE)</f>
        <v>379.9</v>
      </c>
      <c r="AA246">
        <f>VLOOKUP($J246,'[1]Table S6'!$A:$AI,18,FALSE)</f>
        <v>0.80846988721004498</v>
      </c>
      <c r="AB246">
        <f>VLOOKUP($J246,'[1]Table S6'!$A:$AI,19,FALSE)</f>
        <v>13.1</v>
      </c>
      <c r="AC246" t="str">
        <f>VLOOKUP($J246,'[1]Table S6'!$A:$AI,20,FALSE)</f>
        <v>No</v>
      </c>
      <c r="AE246">
        <f>VLOOKUP($J246,'[1]Table S6'!$A:$AI,22,FALSE)</f>
        <v>327.9</v>
      </c>
      <c r="AF246">
        <f>VLOOKUP($J246,'[1]Table S6'!$A:$AI,23,FALSE)</f>
        <v>0.69780804426473697</v>
      </c>
      <c r="AG246">
        <f>VLOOKUP($J246,'[1]Table S6'!$A:$AI,24,FALSE)</f>
        <v>2.4980000000000002</v>
      </c>
      <c r="AH246" t="str">
        <f>VLOOKUP($J246,'[1]Table S6'!$A:$AI,25,FALSE)</f>
        <v>No</v>
      </c>
      <c r="AJ246">
        <f>VLOOKUP($J246,'[1]Table S6'!$A:$AI,27,FALSE)</f>
        <v>399.3</v>
      </c>
      <c r="AK246">
        <f>VLOOKUP($J246,'[1]Table S6'!$A:$AI,28,FALSE)</f>
        <v>0.84975526707810201</v>
      </c>
      <c r="AL246">
        <f>VLOOKUP($J246,'[1]Table S6'!$A:$AI,29,FALSE)</f>
        <v>27.7</v>
      </c>
      <c r="AM246" t="str">
        <f>VLOOKUP($J246,'[1]Table S6'!$A:$AI,30,FALSE)</f>
        <v>No</v>
      </c>
      <c r="AO246">
        <f>VLOOKUP($J246,'[1]Table S6'!$A:$AI,32,FALSE)</f>
        <v>397.9</v>
      </c>
      <c r="AP246">
        <f>VLOOKUP($J246,'[1]Table S6'!$A:$AI,33,FALSE)</f>
        <v>0.84677590976803596</v>
      </c>
      <c r="AQ246">
        <f>VLOOKUP($J246,'[1]Table S6'!$A:$AI,34,FALSE)</f>
        <v>23.59</v>
      </c>
      <c r="AR246" t="str">
        <f>VLOOKUP($J246,'[1]Table S6'!$A:$AI,35,FALSE)</f>
        <v>No</v>
      </c>
      <c r="AT246" t="e">
        <f>VLOOKUP($I246,'[2]Table S5'!$A:$K,8,FALSE)</f>
        <v>#N/A</v>
      </c>
      <c r="AU246" t="e">
        <f>VLOOKUP($I246,'[2]Table S5'!$A:$K,9,FALSE)</f>
        <v>#N/A</v>
      </c>
      <c r="AV246" t="e">
        <f>VLOOKUP($I246,'[2]Table S5'!$A:$K,10,FALSE)</f>
        <v>#N/A</v>
      </c>
      <c r="AW246" t="e">
        <f>VLOOKUP($I246,'[2]Table S5'!$A:$K,11,FALSE)</f>
        <v>#N/A</v>
      </c>
    </row>
    <row r="247" spans="1:49">
      <c r="A247" s="12" t="s">
        <v>1861</v>
      </c>
      <c r="B247" t="s">
        <v>1862</v>
      </c>
      <c r="C247" t="s">
        <v>1863</v>
      </c>
      <c r="D247" t="s">
        <v>17</v>
      </c>
      <c r="E247" t="s">
        <v>1864</v>
      </c>
      <c r="F247" s="12" t="s">
        <v>1865</v>
      </c>
      <c r="G247" t="s">
        <v>1866</v>
      </c>
      <c r="H247" t="s">
        <v>1867</v>
      </c>
      <c r="I247" t="s">
        <v>1845</v>
      </c>
      <c r="J247" t="s">
        <v>1845</v>
      </c>
      <c r="K247" t="e">
        <f>VLOOKUP($J247,'[1]Table S6'!$A:$AI,2,FALSE)</f>
        <v>#N/A</v>
      </c>
      <c r="L247" t="e">
        <f>VLOOKUP($J247,'[1]Table S6'!$A:$AI,3,FALSE)</f>
        <v>#N/A</v>
      </c>
      <c r="M247" t="e">
        <f>VLOOKUP($J247,'[1]Table S6'!$A:$AI,4,FALSE)</f>
        <v>#N/A</v>
      </c>
      <c r="N247" t="e">
        <f>VLOOKUP($J247,'[1]Table S6'!$A:$AI,5,FALSE)</f>
        <v>#N/A</v>
      </c>
      <c r="P247" t="e">
        <f>VLOOKUP($J247,'[1]Table S6'!$A:$AI,7,FALSE)</f>
        <v>#N/A</v>
      </c>
      <c r="Q247" t="e">
        <f>VLOOKUP($J247,'[1]Table S6'!$A:$AI,8,FALSE)</f>
        <v>#N/A</v>
      </c>
      <c r="R247" t="e">
        <f>VLOOKUP($J247,'[1]Table S6'!$A:$AI,9,FALSE)</f>
        <v>#N/A</v>
      </c>
      <c r="S247" t="e">
        <f>VLOOKUP($J247,'[1]Table S6'!$A:$AI,10,FALSE)</f>
        <v>#N/A</v>
      </c>
      <c r="U247" t="e">
        <f>VLOOKUP($J247,'[1]Table S6'!$A:$AI,12,FALSE)</f>
        <v>#N/A</v>
      </c>
      <c r="V247" t="e">
        <f>VLOOKUP($J247,'[1]Table S6'!$A:$AI,13,FALSE)</f>
        <v>#N/A</v>
      </c>
      <c r="W247" t="e">
        <f>VLOOKUP($J247,'[1]Table S6'!$A:$AI,14,FALSE)</f>
        <v>#N/A</v>
      </c>
      <c r="X247" t="e">
        <f>VLOOKUP($J247,'[1]Table S6'!$A:$AI,15,FALSE)</f>
        <v>#N/A</v>
      </c>
      <c r="Z247" t="e">
        <f>VLOOKUP($J247,'[1]Table S6'!$A:$AI,17,FALSE)</f>
        <v>#N/A</v>
      </c>
      <c r="AA247" t="e">
        <f>VLOOKUP($J247,'[1]Table S6'!$A:$AI,18,FALSE)</f>
        <v>#N/A</v>
      </c>
      <c r="AB247" t="e">
        <f>VLOOKUP($J247,'[1]Table S6'!$A:$AI,19,FALSE)</f>
        <v>#N/A</v>
      </c>
      <c r="AC247" t="e">
        <f>VLOOKUP($J247,'[1]Table S6'!$A:$AI,20,FALSE)</f>
        <v>#N/A</v>
      </c>
      <c r="AE247" t="e">
        <f>VLOOKUP($J247,'[1]Table S6'!$A:$AI,22,FALSE)</f>
        <v>#N/A</v>
      </c>
      <c r="AF247" t="e">
        <f>VLOOKUP($J247,'[1]Table S6'!$A:$AI,23,FALSE)</f>
        <v>#N/A</v>
      </c>
      <c r="AG247" t="e">
        <f>VLOOKUP($J247,'[1]Table S6'!$A:$AI,24,FALSE)</f>
        <v>#N/A</v>
      </c>
      <c r="AH247" t="e">
        <f>VLOOKUP($J247,'[1]Table S6'!$A:$AI,25,FALSE)</f>
        <v>#N/A</v>
      </c>
      <c r="AJ247" t="e">
        <f>VLOOKUP($J247,'[1]Table S6'!$A:$AI,27,FALSE)</f>
        <v>#N/A</v>
      </c>
      <c r="AK247" t="e">
        <f>VLOOKUP($J247,'[1]Table S6'!$A:$AI,28,FALSE)</f>
        <v>#N/A</v>
      </c>
      <c r="AL247" t="e">
        <f>VLOOKUP($J247,'[1]Table S6'!$A:$AI,29,FALSE)</f>
        <v>#N/A</v>
      </c>
      <c r="AM247" t="e">
        <f>VLOOKUP($J247,'[1]Table S6'!$A:$AI,30,FALSE)</f>
        <v>#N/A</v>
      </c>
      <c r="AO247" t="e">
        <f>VLOOKUP($J247,'[1]Table S6'!$A:$AI,32,FALSE)</f>
        <v>#N/A</v>
      </c>
      <c r="AP247" t="e">
        <f>VLOOKUP($J247,'[1]Table S6'!$A:$AI,33,FALSE)</f>
        <v>#N/A</v>
      </c>
      <c r="AQ247" t="e">
        <f>VLOOKUP($J247,'[1]Table S6'!$A:$AI,34,FALSE)</f>
        <v>#N/A</v>
      </c>
      <c r="AR247" t="e">
        <f>VLOOKUP($J247,'[1]Table S6'!$A:$AI,35,FALSE)</f>
        <v>#N/A</v>
      </c>
      <c r="AT247" t="e">
        <f>VLOOKUP($I247,'[2]Table S5'!$A:$K,8,FALSE)</f>
        <v>#N/A</v>
      </c>
      <c r="AU247" t="e">
        <f>VLOOKUP($I247,'[2]Table S5'!$A:$K,9,FALSE)</f>
        <v>#N/A</v>
      </c>
      <c r="AV247" t="e">
        <f>VLOOKUP($I247,'[2]Table S5'!$A:$K,10,FALSE)</f>
        <v>#N/A</v>
      </c>
      <c r="AW247" t="e">
        <f>VLOOKUP($I247,'[2]Table S5'!$A:$K,11,FALSE)</f>
        <v>#N/A</v>
      </c>
    </row>
    <row r="248" spans="1:49">
      <c r="A248" s="12" t="s">
        <v>1868</v>
      </c>
      <c r="B248" t="s">
        <v>1869</v>
      </c>
      <c r="C248" t="s">
        <v>1870</v>
      </c>
      <c r="D248" t="s">
        <v>17</v>
      </c>
      <c r="E248" t="s">
        <v>1871</v>
      </c>
      <c r="F248" s="12" t="s">
        <v>1872</v>
      </c>
      <c r="G248" t="s">
        <v>1873</v>
      </c>
      <c r="H248" t="s">
        <v>1874</v>
      </c>
      <c r="I248" t="s">
        <v>1875</v>
      </c>
      <c r="J248" t="s">
        <v>1876</v>
      </c>
      <c r="K248">
        <f>VLOOKUP($J248,'[1]Table S6'!$A:$AI,2,FALSE)</f>
        <v>347.5</v>
      </c>
      <c r="L248">
        <f>VLOOKUP($J248,'[1]Table S6'!$A:$AI,3,FALSE)</f>
        <v>0.73951904660566103</v>
      </c>
      <c r="M248">
        <f>VLOOKUP($J248,'[1]Table S6'!$A:$AI,4,FALSE)</f>
        <v>4.9109999999999996</v>
      </c>
      <c r="N248" t="str">
        <f>VLOOKUP($J248,'[1]Table S6'!$A:$AI,5,FALSE)</f>
        <v>No</v>
      </c>
      <c r="P248">
        <f>VLOOKUP($J248,'[1]Table S6'!$A:$AI,7,FALSE)</f>
        <v>341.8</v>
      </c>
      <c r="Q248">
        <f>VLOOKUP($J248,'[1]Table S6'!$A:$AI,8,FALSE)</f>
        <v>0.72738880612896395</v>
      </c>
      <c r="R248">
        <f>VLOOKUP($J248,'[1]Table S6'!$A:$AI,9,FALSE)</f>
        <v>3.91</v>
      </c>
      <c r="S248" t="str">
        <f>VLOOKUP($J248,'[1]Table S6'!$A:$AI,10,FALSE)</f>
        <v>No</v>
      </c>
      <c r="U248">
        <f>VLOOKUP($J248,'[1]Table S6'!$A:$AI,12,FALSE)</f>
        <v>322.7</v>
      </c>
      <c r="V248">
        <f>VLOOKUP($J248,'[1]Table S6'!$A:$AI,13,FALSE)</f>
        <v>0.68674185997020598</v>
      </c>
      <c r="W248">
        <f>VLOOKUP($J248,'[1]Table S6'!$A:$AI,14,FALSE)</f>
        <v>1.9810000000000001</v>
      </c>
      <c r="X248" t="str">
        <f>VLOOKUP($J248,'[1]Table S6'!$A:$AI,15,FALSE)</f>
        <v>Yes</v>
      </c>
      <c r="Z248">
        <f>VLOOKUP($J248,'[1]Table S6'!$A:$AI,17,FALSE)</f>
        <v>322.60000000000002</v>
      </c>
      <c r="AA248">
        <f>VLOOKUP($J248,'[1]Table S6'!$A:$AI,18,FALSE)</f>
        <v>0.68652904873377296</v>
      </c>
      <c r="AB248">
        <f>VLOOKUP($J248,'[1]Table S6'!$A:$AI,19,FALSE)</f>
        <v>2.21</v>
      </c>
      <c r="AC248" t="str">
        <f>VLOOKUP($J248,'[1]Table S6'!$A:$AI,20,FALSE)</f>
        <v>Yes</v>
      </c>
      <c r="AE248">
        <f>VLOOKUP($J248,'[1]Table S6'!$A:$AI,22,FALSE)</f>
        <v>427.5</v>
      </c>
      <c r="AF248">
        <f>VLOOKUP($J248,'[1]Table S6'!$A:$AI,23,FALSE)</f>
        <v>0.90976803575228804</v>
      </c>
      <c r="AG248">
        <f>VLOOKUP($J248,'[1]Table S6'!$A:$AI,24,FALSE)</f>
        <v>98.19</v>
      </c>
      <c r="AH248" t="str">
        <f>VLOOKUP($J248,'[1]Table S6'!$A:$AI,25,FALSE)</f>
        <v>No</v>
      </c>
      <c r="AJ248">
        <f>VLOOKUP($J248,'[1]Table S6'!$A:$AI,27,FALSE)</f>
        <v>425.2</v>
      </c>
      <c r="AK248">
        <f>VLOOKUP($J248,'[1]Table S6'!$A:$AI,28,FALSE)</f>
        <v>0.90487337731432205</v>
      </c>
      <c r="AL248">
        <f>VLOOKUP($J248,'[1]Table S6'!$A:$AI,29,FALSE)</f>
        <v>72.319999999999993</v>
      </c>
      <c r="AM248" t="str">
        <f>VLOOKUP($J248,'[1]Table S6'!$A:$AI,30,FALSE)</f>
        <v>No</v>
      </c>
      <c r="AO248">
        <f>VLOOKUP($J248,'[1]Table S6'!$A:$AI,32,FALSE)</f>
        <v>419.7</v>
      </c>
      <c r="AP248">
        <f>VLOOKUP($J248,'[1]Table S6'!$A:$AI,33,FALSE)</f>
        <v>0.893168759310492</v>
      </c>
      <c r="AQ248">
        <f>VLOOKUP($J248,'[1]Table S6'!$A:$AI,34,FALSE)</f>
        <v>67.319999999999993</v>
      </c>
      <c r="AR248" t="str">
        <f>VLOOKUP($J248,'[1]Table S6'!$A:$AI,35,FALSE)</f>
        <v>No</v>
      </c>
      <c r="AT248" t="e">
        <f>VLOOKUP($I248,'[2]Table S5'!$A:$K,8,FALSE)</f>
        <v>#N/A</v>
      </c>
      <c r="AU248" t="e">
        <f>VLOOKUP($I248,'[2]Table S5'!$A:$K,9,FALSE)</f>
        <v>#N/A</v>
      </c>
      <c r="AV248" t="e">
        <f>VLOOKUP($I248,'[2]Table S5'!$A:$K,10,FALSE)</f>
        <v>#N/A</v>
      </c>
      <c r="AW248" t="e">
        <f>VLOOKUP($I248,'[2]Table S5'!$A:$K,11,FALSE)</f>
        <v>#N/A</v>
      </c>
    </row>
    <row r="249" spans="1:49">
      <c r="A249" s="12" t="s">
        <v>1877</v>
      </c>
      <c r="B249" t="s">
        <v>1878</v>
      </c>
      <c r="C249" t="s">
        <v>1879</v>
      </c>
      <c r="D249" t="s">
        <v>17</v>
      </c>
      <c r="E249" t="s">
        <v>1880</v>
      </c>
      <c r="F249" s="12" t="s">
        <v>1881</v>
      </c>
      <c r="G249" t="s">
        <v>1882</v>
      </c>
      <c r="H249" t="s">
        <v>1883</v>
      </c>
      <c r="I249" t="s">
        <v>1875</v>
      </c>
      <c r="J249" t="s">
        <v>1876</v>
      </c>
      <c r="K249">
        <f>VLOOKUP($J249,'[1]Table S6'!$A:$AI,2,FALSE)</f>
        <v>347.5</v>
      </c>
      <c r="L249">
        <f>VLOOKUP($J249,'[1]Table S6'!$A:$AI,3,FALSE)</f>
        <v>0.73951904660566103</v>
      </c>
      <c r="M249">
        <f>VLOOKUP($J249,'[1]Table S6'!$A:$AI,4,FALSE)</f>
        <v>4.9109999999999996</v>
      </c>
      <c r="N249" t="str">
        <f>VLOOKUP($J249,'[1]Table S6'!$A:$AI,5,FALSE)</f>
        <v>No</v>
      </c>
      <c r="P249">
        <f>VLOOKUP($J249,'[1]Table S6'!$A:$AI,7,FALSE)</f>
        <v>341.8</v>
      </c>
      <c r="Q249">
        <f>VLOOKUP($J249,'[1]Table S6'!$A:$AI,8,FALSE)</f>
        <v>0.72738880612896395</v>
      </c>
      <c r="R249">
        <f>VLOOKUP($J249,'[1]Table S6'!$A:$AI,9,FALSE)</f>
        <v>3.91</v>
      </c>
      <c r="S249" t="str">
        <f>VLOOKUP($J249,'[1]Table S6'!$A:$AI,10,FALSE)</f>
        <v>No</v>
      </c>
      <c r="U249">
        <f>VLOOKUP($J249,'[1]Table S6'!$A:$AI,12,FALSE)</f>
        <v>322.7</v>
      </c>
      <c r="V249">
        <f>VLOOKUP($J249,'[1]Table S6'!$A:$AI,13,FALSE)</f>
        <v>0.68674185997020598</v>
      </c>
      <c r="W249">
        <f>VLOOKUP($J249,'[1]Table S6'!$A:$AI,14,FALSE)</f>
        <v>1.9810000000000001</v>
      </c>
      <c r="X249" t="str">
        <f>VLOOKUP($J249,'[1]Table S6'!$A:$AI,15,FALSE)</f>
        <v>Yes</v>
      </c>
      <c r="Z249">
        <f>VLOOKUP($J249,'[1]Table S6'!$A:$AI,17,FALSE)</f>
        <v>322.60000000000002</v>
      </c>
      <c r="AA249">
        <f>VLOOKUP($J249,'[1]Table S6'!$A:$AI,18,FALSE)</f>
        <v>0.68652904873377296</v>
      </c>
      <c r="AB249">
        <f>VLOOKUP($J249,'[1]Table S6'!$A:$AI,19,FALSE)</f>
        <v>2.21</v>
      </c>
      <c r="AC249" t="str">
        <f>VLOOKUP($J249,'[1]Table S6'!$A:$AI,20,FALSE)</f>
        <v>Yes</v>
      </c>
      <c r="AE249">
        <f>VLOOKUP($J249,'[1]Table S6'!$A:$AI,22,FALSE)</f>
        <v>427.5</v>
      </c>
      <c r="AF249">
        <f>VLOOKUP($J249,'[1]Table S6'!$A:$AI,23,FALSE)</f>
        <v>0.90976803575228804</v>
      </c>
      <c r="AG249">
        <f>VLOOKUP($J249,'[1]Table S6'!$A:$AI,24,FALSE)</f>
        <v>98.19</v>
      </c>
      <c r="AH249" t="str">
        <f>VLOOKUP($J249,'[1]Table S6'!$A:$AI,25,FALSE)</f>
        <v>No</v>
      </c>
      <c r="AJ249">
        <f>VLOOKUP($J249,'[1]Table S6'!$A:$AI,27,FALSE)</f>
        <v>425.2</v>
      </c>
      <c r="AK249">
        <f>VLOOKUP($J249,'[1]Table S6'!$A:$AI,28,FALSE)</f>
        <v>0.90487337731432205</v>
      </c>
      <c r="AL249">
        <f>VLOOKUP($J249,'[1]Table S6'!$A:$AI,29,FALSE)</f>
        <v>72.319999999999993</v>
      </c>
      <c r="AM249" t="str">
        <f>VLOOKUP($J249,'[1]Table S6'!$A:$AI,30,FALSE)</f>
        <v>No</v>
      </c>
      <c r="AO249">
        <f>VLOOKUP($J249,'[1]Table S6'!$A:$AI,32,FALSE)</f>
        <v>419.7</v>
      </c>
      <c r="AP249">
        <f>VLOOKUP($J249,'[1]Table S6'!$A:$AI,33,FALSE)</f>
        <v>0.893168759310492</v>
      </c>
      <c r="AQ249">
        <f>VLOOKUP($J249,'[1]Table S6'!$A:$AI,34,FALSE)</f>
        <v>67.319999999999993</v>
      </c>
      <c r="AR249" t="str">
        <f>VLOOKUP($J249,'[1]Table S6'!$A:$AI,35,FALSE)</f>
        <v>No</v>
      </c>
      <c r="AT249" t="e">
        <f>VLOOKUP($I249,'[2]Table S5'!$A:$K,8,FALSE)</f>
        <v>#N/A</v>
      </c>
      <c r="AU249" t="e">
        <f>VLOOKUP($I249,'[2]Table S5'!$A:$K,9,FALSE)</f>
        <v>#N/A</v>
      </c>
      <c r="AV249" t="e">
        <f>VLOOKUP($I249,'[2]Table S5'!$A:$K,10,FALSE)</f>
        <v>#N/A</v>
      </c>
      <c r="AW249" t="e">
        <f>VLOOKUP($I249,'[2]Table S5'!$A:$K,11,FALSE)</f>
        <v>#N/A</v>
      </c>
    </row>
    <row r="250" spans="1:49">
      <c r="A250" s="12" t="s">
        <v>1884</v>
      </c>
      <c r="B250" t="s">
        <v>1885</v>
      </c>
      <c r="C250" t="s">
        <v>1886</v>
      </c>
      <c r="D250" t="s">
        <v>17</v>
      </c>
      <c r="E250" t="s">
        <v>1887</v>
      </c>
      <c r="F250" s="12" t="s">
        <v>1888</v>
      </c>
      <c r="G250" t="s">
        <v>1889</v>
      </c>
      <c r="H250" t="s">
        <v>1890</v>
      </c>
      <c r="I250" t="s">
        <v>1875</v>
      </c>
      <c r="J250" t="s">
        <v>1876</v>
      </c>
      <c r="K250">
        <f>VLOOKUP($J250,'[1]Table S6'!$A:$AI,2,FALSE)</f>
        <v>347.5</v>
      </c>
      <c r="L250">
        <f>VLOOKUP($J250,'[1]Table S6'!$A:$AI,3,FALSE)</f>
        <v>0.73951904660566103</v>
      </c>
      <c r="M250">
        <f>VLOOKUP($J250,'[1]Table S6'!$A:$AI,4,FALSE)</f>
        <v>4.9109999999999996</v>
      </c>
      <c r="N250" t="str">
        <f>VLOOKUP($J250,'[1]Table S6'!$A:$AI,5,FALSE)</f>
        <v>No</v>
      </c>
      <c r="P250">
        <f>VLOOKUP($J250,'[1]Table S6'!$A:$AI,7,FALSE)</f>
        <v>341.8</v>
      </c>
      <c r="Q250">
        <f>VLOOKUP($J250,'[1]Table S6'!$A:$AI,8,FALSE)</f>
        <v>0.72738880612896395</v>
      </c>
      <c r="R250">
        <f>VLOOKUP($J250,'[1]Table S6'!$A:$AI,9,FALSE)</f>
        <v>3.91</v>
      </c>
      <c r="S250" t="str">
        <f>VLOOKUP($J250,'[1]Table S6'!$A:$AI,10,FALSE)</f>
        <v>No</v>
      </c>
      <c r="U250">
        <f>VLOOKUP($J250,'[1]Table S6'!$A:$AI,12,FALSE)</f>
        <v>322.7</v>
      </c>
      <c r="V250">
        <f>VLOOKUP($J250,'[1]Table S6'!$A:$AI,13,FALSE)</f>
        <v>0.68674185997020598</v>
      </c>
      <c r="W250">
        <f>VLOOKUP($J250,'[1]Table S6'!$A:$AI,14,FALSE)</f>
        <v>1.9810000000000001</v>
      </c>
      <c r="X250" t="str">
        <f>VLOOKUP($J250,'[1]Table S6'!$A:$AI,15,FALSE)</f>
        <v>Yes</v>
      </c>
      <c r="Z250">
        <f>VLOOKUP($J250,'[1]Table S6'!$A:$AI,17,FALSE)</f>
        <v>322.60000000000002</v>
      </c>
      <c r="AA250">
        <f>VLOOKUP($J250,'[1]Table S6'!$A:$AI,18,FALSE)</f>
        <v>0.68652904873377296</v>
      </c>
      <c r="AB250">
        <f>VLOOKUP($J250,'[1]Table S6'!$A:$AI,19,FALSE)</f>
        <v>2.21</v>
      </c>
      <c r="AC250" t="str">
        <f>VLOOKUP($J250,'[1]Table S6'!$A:$AI,20,FALSE)</f>
        <v>Yes</v>
      </c>
      <c r="AE250">
        <f>VLOOKUP($J250,'[1]Table S6'!$A:$AI,22,FALSE)</f>
        <v>427.5</v>
      </c>
      <c r="AF250">
        <f>VLOOKUP($J250,'[1]Table S6'!$A:$AI,23,FALSE)</f>
        <v>0.90976803575228804</v>
      </c>
      <c r="AG250">
        <f>VLOOKUP($J250,'[1]Table S6'!$A:$AI,24,FALSE)</f>
        <v>98.19</v>
      </c>
      <c r="AH250" t="str">
        <f>VLOOKUP($J250,'[1]Table S6'!$A:$AI,25,FALSE)</f>
        <v>No</v>
      </c>
      <c r="AJ250">
        <f>VLOOKUP($J250,'[1]Table S6'!$A:$AI,27,FALSE)</f>
        <v>425.2</v>
      </c>
      <c r="AK250">
        <f>VLOOKUP($J250,'[1]Table S6'!$A:$AI,28,FALSE)</f>
        <v>0.90487337731432205</v>
      </c>
      <c r="AL250">
        <f>VLOOKUP($J250,'[1]Table S6'!$A:$AI,29,FALSE)</f>
        <v>72.319999999999993</v>
      </c>
      <c r="AM250" t="str">
        <f>VLOOKUP($J250,'[1]Table S6'!$A:$AI,30,FALSE)</f>
        <v>No</v>
      </c>
      <c r="AO250">
        <f>VLOOKUP($J250,'[1]Table S6'!$A:$AI,32,FALSE)</f>
        <v>419.7</v>
      </c>
      <c r="AP250">
        <f>VLOOKUP($J250,'[1]Table S6'!$A:$AI,33,FALSE)</f>
        <v>0.893168759310492</v>
      </c>
      <c r="AQ250">
        <f>VLOOKUP($J250,'[1]Table S6'!$A:$AI,34,FALSE)</f>
        <v>67.319999999999993</v>
      </c>
      <c r="AR250" t="str">
        <f>VLOOKUP($J250,'[1]Table S6'!$A:$AI,35,FALSE)</f>
        <v>No</v>
      </c>
      <c r="AT250" t="e">
        <f>VLOOKUP($I250,'[2]Table S5'!$A:$K,8,FALSE)</f>
        <v>#N/A</v>
      </c>
      <c r="AU250" t="e">
        <f>VLOOKUP($I250,'[2]Table S5'!$A:$K,9,FALSE)</f>
        <v>#N/A</v>
      </c>
      <c r="AV250" t="e">
        <f>VLOOKUP($I250,'[2]Table S5'!$A:$K,10,FALSE)</f>
        <v>#N/A</v>
      </c>
      <c r="AW250" t="e">
        <f>VLOOKUP($I250,'[2]Table S5'!$A:$K,11,FALSE)</f>
        <v>#N/A</v>
      </c>
    </row>
    <row r="251" spans="1:49">
      <c r="A251" s="12" t="s">
        <v>1891</v>
      </c>
      <c r="B251" t="s">
        <v>1892</v>
      </c>
      <c r="C251" t="s">
        <v>1893</v>
      </c>
      <c r="D251" t="s">
        <v>17</v>
      </c>
      <c r="E251" t="s">
        <v>1894</v>
      </c>
      <c r="F251" s="12" t="s">
        <v>1895</v>
      </c>
      <c r="G251" t="s">
        <v>1896</v>
      </c>
      <c r="H251" t="s">
        <v>1897</v>
      </c>
      <c r="I251" t="s">
        <v>1875</v>
      </c>
      <c r="J251" t="s">
        <v>1875</v>
      </c>
      <c r="K251" t="e">
        <f>VLOOKUP($J251,'[1]Table S6'!$A:$AI,2,FALSE)</f>
        <v>#N/A</v>
      </c>
      <c r="L251" t="e">
        <f>VLOOKUP($J251,'[1]Table S6'!$A:$AI,3,FALSE)</f>
        <v>#N/A</v>
      </c>
      <c r="M251" t="e">
        <f>VLOOKUP($J251,'[1]Table S6'!$A:$AI,4,FALSE)</f>
        <v>#N/A</v>
      </c>
      <c r="N251" t="e">
        <f>VLOOKUP($J251,'[1]Table S6'!$A:$AI,5,FALSE)</f>
        <v>#N/A</v>
      </c>
      <c r="P251" t="e">
        <f>VLOOKUP($J251,'[1]Table S6'!$A:$AI,7,FALSE)</f>
        <v>#N/A</v>
      </c>
      <c r="Q251" t="e">
        <f>VLOOKUP($J251,'[1]Table S6'!$A:$AI,8,FALSE)</f>
        <v>#N/A</v>
      </c>
      <c r="R251" t="e">
        <f>VLOOKUP($J251,'[1]Table S6'!$A:$AI,9,FALSE)</f>
        <v>#N/A</v>
      </c>
      <c r="S251" t="e">
        <f>VLOOKUP($J251,'[1]Table S6'!$A:$AI,10,FALSE)</f>
        <v>#N/A</v>
      </c>
      <c r="U251" t="e">
        <f>VLOOKUP($J251,'[1]Table S6'!$A:$AI,12,FALSE)</f>
        <v>#N/A</v>
      </c>
      <c r="V251" t="e">
        <f>VLOOKUP($J251,'[1]Table S6'!$A:$AI,13,FALSE)</f>
        <v>#N/A</v>
      </c>
      <c r="W251" t="e">
        <f>VLOOKUP($J251,'[1]Table S6'!$A:$AI,14,FALSE)</f>
        <v>#N/A</v>
      </c>
      <c r="X251" t="e">
        <f>VLOOKUP($J251,'[1]Table S6'!$A:$AI,15,FALSE)</f>
        <v>#N/A</v>
      </c>
      <c r="Z251" t="e">
        <f>VLOOKUP($J251,'[1]Table S6'!$A:$AI,17,FALSE)</f>
        <v>#N/A</v>
      </c>
      <c r="AA251" t="e">
        <f>VLOOKUP($J251,'[1]Table S6'!$A:$AI,18,FALSE)</f>
        <v>#N/A</v>
      </c>
      <c r="AB251" t="e">
        <f>VLOOKUP($J251,'[1]Table S6'!$A:$AI,19,FALSE)</f>
        <v>#N/A</v>
      </c>
      <c r="AC251" t="e">
        <f>VLOOKUP($J251,'[1]Table S6'!$A:$AI,20,FALSE)</f>
        <v>#N/A</v>
      </c>
      <c r="AE251" t="e">
        <f>VLOOKUP($J251,'[1]Table S6'!$A:$AI,22,FALSE)</f>
        <v>#N/A</v>
      </c>
      <c r="AF251" t="e">
        <f>VLOOKUP($J251,'[1]Table S6'!$A:$AI,23,FALSE)</f>
        <v>#N/A</v>
      </c>
      <c r="AG251" t="e">
        <f>VLOOKUP($J251,'[1]Table S6'!$A:$AI,24,FALSE)</f>
        <v>#N/A</v>
      </c>
      <c r="AH251" t="e">
        <f>VLOOKUP($J251,'[1]Table S6'!$A:$AI,25,FALSE)</f>
        <v>#N/A</v>
      </c>
      <c r="AJ251" t="e">
        <f>VLOOKUP($J251,'[1]Table S6'!$A:$AI,27,FALSE)</f>
        <v>#N/A</v>
      </c>
      <c r="AK251" t="e">
        <f>VLOOKUP($J251,'[1]Table S6'!$A:$AI,28,FALSE)</f>
        <v>#N/A</v>
      </c>
      <c r="AL251" t="e">
        <f>VLOOKUP($J251,'[1]Table S6'!$A:$AI,29,FALSE)</f>
        <v>#N/A</v>
      </c>
      <c r="AM251" t="e">
        <f>VLOOKUP($J251,'[1]Table S6'!$A:$AI,30,FALSE)</f>
        <v>#N/A</v>
      </c>
      <c r="AO251" t="e">
        <f>VLOOKUP($J251,'[1]Table S6'!$A:$AI,32,FALSE)</f>
        <v>#N/A</v>
      </c>
      <c r="AP251" t="e">
        <f>VLOOKUP($J251,'[1]Table S6'!$A:$AI,33,FALSE)</f>
        <v>#N/A</v>
      </c>
      <c r="AQ251" t="e">
        <f>VLOOKUP($J251,'[1]Table S6'!$A:$AI,34,FALSE)</f>
        <v>#N/A</v>
      </c>
      <c r="AR251" t="e">
        <f>VLOOKUP($J251,'[1]Table S6'!$A:$AI,35,FALSE)</f>
        <v>#N/A</v>
      </c>
      <c r="AT251" t="e">
        <f>VLOOKUP($I251,'[2]Table S5'!$A:$K,8,FALSE)</f>
        <v>#N/A</v>
      </c>
      <c r="AU251" t="e">
        <f>VLOOKUP($I251,'[2]Table S5'!$A:$K,9,FALSE)</f>
        <v>#N/A</v>
      </c>
      <c r="AV251" t="e">
        <f>VLOOKUP($I251,'[2]Table S5'!$A:$K,10,FALSE)</f>
        <v>#N/A</v>
      </c>
      <c r="AW251" t="e">
        <f>VLOOKUP($I251,'[2]Table S5'!$A:$K,11,FALSE)</f>
        <v>#N/A</v>
      </c>
    </row>
    <row r="252" spans="1:49">
      <c r="A252" s="12" t="s">
        <v>1898</v>
      </c>
      <c r="B252" t="s">
        <v>1899</v>
      </c>
      <c r="C252" t="s">
        <v>1900</v>
      </c>
      <c r="D252" t="s">
        <v>17</v>
      </c>
      <c r="E252" t="s">
        <v>1901</v>
      </c>
      <c r="F252" s="12" t="s">
        <v>1902</v>
      </c>
      <c r="G252" t="s">
        <v>1903</v>
      </c>
      <c r="H252" t="s">
        <v>1904</v>
      </c>
      <c r="I252" t="s">
        <v>1905</v>
      </c>
      <c r="J252" t="s">
        <v>1905</v>
      </c>
      <c r="K252" t="e">
        <f>VLOOKUP($J252,'[1]Table S6'!$A:$AI,2,FALSE)</f>
        <v>#N/A</v>
      </c>
      <c r="L252" t="e">
        <f>VLOOKUP($J252,'[1]Table S6'!$A:$AI,3,FALSE)</f>
        <v>#N/A</v>
      </c>
      <c r="M252" t="e">
        <f>VLOOKUP($J252,'[1]Table S6'!$A:$AI,4,FALSE)</f>
        <v>#N/A</v>
      </c>
      <c r="N252" t="e">
        <f>VLOOKUP($J252,'[1]Table S6'!$A:$AI,5,FALSE)</f>
        <v>#N/A</v>
      </c>
      <c r="P252" t="e">
        <f>VLOOKUP($J252,'[1]Table S6'!$A:$AI,7,FALSE)</f>
        <v>#N/A</v>
      </c>
      <c r="Q252" t="e">
        <f>VLOOKUP($J252,'[1]Table S6'!$A:$AI,8,FALSE)</f>
        <v>#N/A</v>
      </c>
      <c r="R252" t="e">
        <f>VLOOKUP($J252,'[1]Table S6'!$A:$AI,9,FALSE)</f>
        <v>#N/A</v>
      </c>
      <c r="S252" t="e">
        <f>VLOOKUP($J252,'[1]Table S6'!$A:$AI,10,FALSE)</f>
        <v>#N/A</v>
      </c>
      <c r="U252" t="e">
        <f>VLOOKUP($J252,'[1]Table S6'!$A:$AI,12,FALSE)</f>
        <v>#N/A</v>
      </c>
      <c r="V252" t="e">
        <f>VLOOKUP($J252,'[1]Table S6'!$A:$AI,13,FALSE)</f>
        <v>#N/A</v>
      </c>
      <c r="W252" t="e">
        <f>VLOOKUP($J252,'[1]Table S6'!$A:$AI,14,FALSE)</f>
        <v>#N/A</v>
      </c>
      <c r="X252" t="e">
        <f>VLOOKUP($J252,'[1]Table S6'!$A:$AI,15,FALSE)</f>
        <v>#N/A</v>
      </c>
      <c r="Z252" t="e">
        <f>VLOOKUP($J252,'[1]Table S6'!$A:$AI,17,FALSE)</f>
        <v>#N/A</v>
      </c>
      <c r="AA252" t="e">
        <f>VLOOKUP($J252,'[1]Table S6'!$A:$AI,18,FALSE)</f>
        <v>#N/A</v>
      </c>
      <c r="AB252" t="e">
        <f>VLOOKUP($J252,'[1]Table S6'!$A:$AI,19,FALSE)</f>
        <v>#N/A</v>
      </c>
      <c r="AC252" t="e">
        <f>VLOOKUP($J252,'[1]Table S6'!$A:$AI,20,FALSE)</f>
        <v>#N/A</v>
      </c>
      <c r="AE252" t="e">
        <f>VLOOKUP($J252,'[1]Table S6'!$A:$AI,22,FALSE)</f>
        <v>#N/A</v>
      </c>
      <c r="AF252" t="e">
        <f>VLOOKUP($J252,'[1]Table S6'!$A:$AI,23,FALSE)</f>
        <v>#N/A</v>
      </c>
      <c r="AG252" t="e">
        <f>VLOOKUP($J252,'[1]Table S6'!$A:$AI,24,FALSE)</f>
        <v>#N/A</v>
      </c>
      <c r="AH252" t="e">
        <f>VLOOKUP($J252,'[1]Table S6'!$A:$AI,25,FALSE)</f>
        <v>#N/A</v>
      </c>
      <c r="AJ252" t="e">
        <f>VLOOKUP($J252,'[1]Table S6'!$A:$AI,27,FALSE)</f>
        <v>#N/A</v>
      </c>
      <c r="AK252" t="e">
        <f>VLOOKUP($J252,'[1]Table S6'!$A:$AI,28,FALSE)</f>
        <v>#N/A</v>
      </c>
      <c r="AL252" t="e">
        <f>VLOOKUP($J252,'[1]Table S6'!$A:$AI,29,FALSE)</f>
        <v>#N/A</v>
      </c>
      <c r="AM252" t="e">
        <f>VLOOKUP($J252,'[1]Table S6'!$A:$AI,30,FALSE)</f>
        <v>#N/A</v>
      </c>
      <c r="AO252" t="e">
        <f>VLOOKUP($J252,'[1]Table S6'!$A:$AI,32,FALSE)</f>
        <v>#N/A</v>
      </c>
      <c r="AP252" t="e">
        <f>VLOOKUP($J252,'[1]Table S6'!$A:$AI,33,FALSE)</f>
        <v>#N/A</v>
      </c>
      <c r="AQ252" t="e">
        <f>VLOOKUP($J252,'[1]Table S6'!$A:$AI,34,FALSE)</f>
        <v>#N/A</v>
      </c>
      <c r="AR252" t="e">
        <f>VLOOKUP($J252,'[1]Table S6'!$A:$AI,35,FALSE)</f>
        <v>#N/A</v>
      </c>
      <c r="AT252" t="e">
        <f>VLOOKUP($I252,'[2]Table S5'!$A:$K,8,FALSE)</f>
        <v>#N/A</v>
      </c>
      <c r="AU252" t="e">
        <f>VLOOKUP($I252,'[2]Table S5'!$A:$K,9,FALSE)</f>
        <v>#N/A</v>
      </c>
      <c r="AV252" t="e">
        <f>VLOOKUP($I252,'[2]Table S5'!$A:$K,10,FALSE)</f>
        <v>#N/A</v>
      </c>
      <c r="AW252" t="e">
        <f>VLOOKUP($I252,'[2]Table S5'!$A:$K,11,FALSE)</f>
        <v>#N/A</v>
      </c>
    </row>
    <row r="253" spans="1:49">
      <c r="A253" s="12" t="s">
        <v>1906</v>
      </c>
      <c r="B253" t="s">
        <v>1907</v>
      </c>
      <c r="C253" t="s">
        <v>1908</v>
      </c>
      <c r="D253" t="s">
        <v>17</v>
      </c>
      <c r="E253" t="s">
        <v>1909</v>
      </c>
      <c r="F253" s="12" t="s">
        <v>1910</v>
      </c>
      <c r="G253" t="s">
        <v>1911</v>
      </c>
      <c r="H253" t="s">
        <v>1912</v>
      </c>
      <c r="I253" t="s">
        <v>1905</v>
      </c>
      <c r="J253" t="s">
        <v>1913</v>
      </c>
      <c r="K253">
        <f>VLOOKUP($J253,'[1]Table S6'!$A:$AI,2,FALSE)</f>
        <v>325</v>
      </c>
      <c r="L253">
        <f>VLOOKUP($J253,'[1]Table S6'!$A:$AI,3,FALSE)</f>
        <v>0.69163651840817197</v>
      </c>
      <c r="M253">
        <f>VLOOKUP($J253,'[1]Table S6'!$A:$AI,4,FALSE)</f>
        <v>2.3159999999999998</v>
      </c>
      <c r="N253" t="str">
        <f>VLOOKUP($J253,'[1]Table S6'!$A:$AI,5,FALSE)</f>
        <v>Yes</v>
      </c>
      <c r="P253">
        <f>VLOOKUP($J253,'[1]Table S6'!$A:$AI,7,FALSE)</f>
        <v>323.5</v>
      </c>
      <c r="Q253">
        <f>VLOOKUP($J253,'[1]Table S6'!$A:$AI,8,FALSE)</f>
        <v>0.68844434986167302</v>
      </c>
      <c r="R253">
        <f>VLOOKUP($J253,'[1]Table S6'!$A:$AI,9,FALSE)</f>
        <v>2.133</v>
      </c>
      <c r="S253" t="str">
        <f>VLOOKUP($J253,'[1]Table S6'!$A:$AI,10,FALSE)</f>
        <v>Yes</v>
      </c>
      <c r="U253">
        <f>VLOOKUP($J253,'[1]Table S6'!$A:$AI,12,FALSE)</f>
        <v>341.6</v>
      </c>
      <c r="V253">
        <f>VLOOKUP($J253,'[1]Table S6'!$A:$AI,13,FALSE)</f>
        <v>0.72696318365609702</v>
      </c>
      <c r="W253">
        <f>VLOOKUP($J253,'[1]Table S6'!$A:$AI,14,FALSE)</f>
        <v>5.2990000000000004</v>
      </c>
      <c r="X253" t="str">
        <f>VLOOKUP($J253,'[1]Table S6'!$A:$AI,15,FALSE)</f>
        <v>No</v>
      </c>
      <c r="Z253">
        <f>VLOOKUP($J253,'[1]Table S6'!$A:$AI,17,FALSE)</f>
        <v>326.60000000000002</v>
      </c>
      <c r="AA253">
        <f>VLOOKUP($J253,'[1]Table S6'!$A:$AI,18,FALSE)</f>
        <v>0.69504149819110495</v>
      </c>
      <c r="AB253">
        <f>VLOOKUP($J253,'[1]Table S6'!$A:$AI,19,FALSE)</f>
        <v>2.3660000000000001</v>
      </c>
      <c r="AC253" t="str">
        <f>VLOOKUP($J253,'[1]Table S6'!$A:$AI,20,FALSE)</f>
        <v>No</v>
      </c>
      <c r="AE253">
        <f>VLOOKUP($J253,'[1]Table S6'!$A:$AI,22,FALSE)</f>
        <v>368</v>
      </c>
      <c r="AF253">
        <f>VLOOKUP($J253,'[1]Table S6'!$A:$AI,23,FALSE)</f>
        <v>0.78314535007448405</v>
      </c>
      <c r="AG253">
        <f>VLOOKUP($J253,'[1]Table S6'!$A:$AI,24,FALSE)</f>
        <v>20.9</v>
      </c>
      <c r="AH253" t="str">
        <f>VLOOKUP($J253,'[1]Table S6'!$A:$AI,25,FALSE)</f>
        <v>No</v>
      </c>
      <c r="AJ253">
        <f>VLOOKUP($J253,'[1]Table S6'!$A:$AI,27,FALSE)</f>
        <v>400.4</v>
      </c>
      <c r="AK253">
        <f>VLOOKUP($J253,'[1]Table S6'!$A:$AI,28,FALSE)</f>
        <v>0.85209619067886799</v>
      </c>
      <c r="AL253">
        <f>VLOOKUP($J253,'[1]Table S6'!$A:$AI,29,FALSE)</f>
        <v>78.099999999999994</v>
      </c>
      <c r="AM253" t="str">
        <f>VLOOKUP($J253,'[1]Table S6'!$A:$AI,30,FALSE)</f>
        <v>No</v>
      </c>
      <c r="AO253">
        <f>VLOOKUP($J253,'[1]Table S6'!$A:$AI,32,FALSE)</f>
        <v>372.8</v>
      </c>
      <c r="AP253">
        <f>VLOOKUP($J253,'[1]Table S6'!$A:$AI,33,FALSE)</f>
        <v>0.79336028942328196</v>
      </c>
      <c r="AQ253">
        <f>VLOOKUP($J253,'[1]Table S6'!$A:$AI,34,FALSE)</f>
        <v>68.849999999999994</v>
      </c>
      <c r="AR253" t="str">
        <f>VLOOKUP($J253,'[1]Table S6'!$A:$AI,35,FALSE)</f>
        <v>No</v>
      </c>
      <c r="AT253" t="e">
        <f>VLOOKUP($I253,'[2]Table S5'!$A:$K,8,FALSE)</f>
        <v>#N/A</v>
      </c>
      <c r="AU253" t="e">
        <f>VLOOKUP($I253,'[2]Table S5'!$A:$K,9,FALSE)</f>
        <v>#N/A</v>
      </c>
      <c r="AV253" t="e">
        <f>VLOOKUP($I253,'[2]Table S5'!$A:$K,10,FALSE)</f>
        <v>#N/A</v>
      </c>
      <c r="AW253" t="e">
        <f>VLOOKUP($I253,'[2]Table S5'!$A:$K,11,FALSE)</f>
        <v>#N/A</v>
      </c>
    </row>
    <row r="254" spans="1:49">
      <c r="A254" s="12" t="s">
        <v>1914</v>
      </c>
      <c r="B254" t="s">
        <v>1915</v>
      </c>
      <c r="C254" t="s">
        <v>1916</v>
      </c>
      <c r="D254" t="s">
        <v>17</v>
      </c>
      <c r="E254" t="s">
        <v>1917</v>
      </c>
      <c r="F254" s="12" t="s">
        <v>1918</v>
      </c>
      <c r="G254" t="s">
        <v>1919</v>
      </c>
      <c r="H254" t="s">
        <v>1920</v>
      </c>
      <c r="I254" t="s">
        <v>1905</v>
      </c>
      <c r="J254" t="s">
        <v>1921</v>
      </c>
      <c r="K254">
        <f>VLOOKUP($J254,'[1]Table S6'!$A:$AI,2,FALSE)</f>
        <v>318</v>
      </c>
      <c r="L254">
        <f>VLOOKUP($J254,'[1]Table S6'!$A:$AI,3,FALSE)</f>
        <v>0.67673973185784198</v>
      </c>
      <c r="M254">
        <f>VLOOKUP($J254,'[1]Table S6'!$A:$AI,4,FALSE)</f>
        <v>3.665</v>
      </c>
      <c r="N254" t="str">
        <f>VLOOKUP($J254,'[1]Table S6'!$A:$AI,5,FALSE)</f>
        <v>Yes</v>
      </c>
      <c r="P254">
        <f>VLOOKUP($J254,'[1]Table S6'!$A:$AI,7,FALSE)</f>
        <v>298.10000000000002</v>
      </c>
      <c r="Q254">
        <f>VLOOKUP($J254,'[1]Table S6'!$A:$AI,8,FALSE)</f>
        <v>0.63439029580761896</v>
      </c>
      <c r="R254">
        <f>VLOOKUP($J254,'[1]Table S6'!$A:$AI,9,FALSE)</f>
        <v>1.2410000000000001</v>
      </c>
      <c r="S254" t="str">
        <f>VLOOKUP($J254,'[1]Table S6'!$A:$AI,10,FALSE)</f>
        <v>Yes</v>
      </c>
      <c r="U254">
        <f>VLOOKUP($J254,'[1]Table S6'!$A:$AI,12,FALSE)</f>
        <v>299.39999999999998</v>
      </c>
      <c r="V254">
        <f>VLOOKUP($J254,'[1]Table S6'!$A:$AI,13,FALSE)</f>
        <v>0.63715684188125099</v>
      </c>
      <c r="W254">
        <f>VLOOKUP($J254,'[1]Table S6'!$A:$AI,14,FALSE)</f>
        <v>1.8720000000000001</v>
      </c>
      <c r="X254" t="str">
        <f>VLOOKUP($J254,'[1]Table S6'!$A:$AI,15,FALSE)</f>
        <v>Yes</v>
      </c>
      <c r="Z254">
        <f>VLOOKUP($J254,'[1]Table S6'!$A:$AI,17,FALSE)</f>
        <v>295.8</v>
      </c>
      <c r="AA254">
        <f>VLOOKUP($J254,'[1]Table S6'!$A:$AI,18,FALSE)</f>
        <v>0.62949563736965297</v>
      </c>
      <c r="AB254">
        <f>VLOOKUP($J254,'[1]Table S6'!$A:$AI,19,FALSE)</f>
        <v>1.7450000000000001</v>
      </c>
      <c r="AC254" t="str">
        <f>VLOOKUP($J254,'[1]Table S6'!$A:$AI,20,FALSE)</f>
        <v>Yes</v>
      </c>
      <c r="AE254">
        <f>VLOOKUP($J254,'[1]Table S6'!$A:$AI,22,FALSE)</f>
        <v>328.6</v>
      </c>
      <c r="AF254">
        <f>VLOOKUP($J254,'[1]Table S6'!$A:$AI,23,FALSE)</f>
        <v>0.69929772291976999</v>
      </c>
      <c r="AG254">
        <f>VLOOKUP($J254,'[1]Table S6'!$A:$AI,24,FALSE)</f>
        <v>3.6419999999999999</v>
      </c>
      <c r="AH254" t="str">
        <f>VLOOKUP($J254,'[1]Table S6'!$A:$AI,25,FALSE)</f>
        <v>No</v>
      </c>
      <c r="AJ254">
        <f>VLOOKUP($J254,'[1]Table S6'!$A:$AI,27,FALSE)</f>
        <v>324</v>
      </c>
      <c r="AK254">
        <f>VLOOKUP($J254,'[1]Table S6'!$A:$AI,28,FALSE)</f>
        <v>0.68950840604383901</v>
      </c>
      <c r="AL254">
        <f>VLOOKUP($J254,'[1]Table S6'!$A:$AI,29,FALSE)</f>
        <v>6.3689999999999998</v>
      </c>
      <c r="AM254" t="str">
        <f>VLOOKUP($J254,'[1]Table S6'!$A:$AI,30,FALSE)</f>
        <v>No</v>
      </c>
      <c r="AO254">
        <f>VLOOKUP($J254,'[1]Table S6'!$A:$AI,32,FALSE)</f>
        <v>306.5</v>
      </c>
      <c r="AP254">
        <f>VLOOKUP($J254,'[1]Table S6'!$A:$AI,33,FALSE)</f>
        <v>0.65226643966801401</v>
      </c>
      <c r="AQ254">
        <f>VLOOKUP($J254,'[1]Table S6'!$A:$AI,34,FALSE)</f>
        <v>1.425</v>
      </c>
      <c r="AR254" t="str">
        <f>VLOOKUP($J254,'[1]Table S6'!$A:$AI,35,FALSE)</f>
        <v>Yes</v>
      </c>
      <c r="AT254" t="e">
        <f>VLOOKUP($I254,'[2]Table S5'!$A:$K,8,FALSE)</f>
        <v>#N/A</v>
      </c>
      <c r="AU254" t="e">
        <f>VLOOKUP($I254,'[2]Table S5'!$A:$K,9,FALSE)</f>
        <v>#N/A</v>
      </c>
      <c r="AV254" t="e">
        <f>VLOOKUP($I254,'[2]Table S5'!$A:$K,10,FALSE)</f>
        <v>#N/A</v>
      </c>
      <c r="AW254" t="e">
        <f>VLOOKUP($I254,'[2]Table S5'!$A:$K,11,FALSE)</f>
        <v>#N/A</v>
      </c>
    </row>
    <row r="255" spans="1:49">
      <c r="A255" s="12" t="s">
        <v>1922</v>
      </c>
      <c r="B255" t="s">
        <v>1923</v>
      </c>
      <c r="C255" t="s">
        <v>1924</v>
      </c>
      <c r="D255" t="s">
        <v>17</v>
      </c>
      <c r="E255" t="s">
        <v>1925</v>
      </c>
      <c r="F255" s="12" t="s">
        <v>1926</v>
      </c>
      <c r="G255" t="s">
        <v>1927</v>
      </c>
      <c r="H255" t="s">
        <v>1928</v>
      </c>
      <c r="I255" t="s">
        <v>1905</v>
      </c>
      <c r="J255" t="s">
        <v>1929</v>
      </c>
      <c r="K255">
        <f>VLOOKUP($J255,'[1]Table S6'!$A:$AI,2,FALSE)</f>
        <v>354</v>
      </c>
      <c r="L255">
        <f>VLOOKUP($J255,'[1]Table S6'!$A:$AI,3,FALSE)</f>
        <v>0.75335177697382405</v>
      </c>
      <c r="M255">
        <f>VLOOKUP($J255,'[1]Table S6'!$A:$AI,4,FALSE)</f>
        <v>5.41</v>
      </c>
      <c r="N255" t="str">
        <f>VLOOKUP($J255,'[1]Table S6'!$A:$AI,5,FALSE)</f>
        <v>No</v>
      </c>
      <c r="P255">
        <f>VLOOKUP($J255,'[1]Table S6'!$A:$AI,7,FALSE)</f>
        <v>357.4</v>
      </c>
      <c r="Q255">
        <f>VLOOKUP($J255,'[1]Table S6'!$A:$AI,8,FALSE)</f>
        <v>0.76058735901255603</v>
      </c>
      <c r="R255">
        <f>VLOOKUP($J255,'[1]Table S6'!$A:$AI,9,FALSE)</f>
        <v>5.0869999999999997</v>
      </c>
      <c r="S255" t="str">
        <f>VLOOKUP($J255,'[1]Table S6'!$A:$AI,10,FALSE)</f>
        <v>No</v>
      </c>
      <c r="U255">
        <f>VLOOKUP($J255,'[1]Table S6'!$A:$AI,12,FALSE)</f>
        <v>358.3</v>
      </c>
      <c r="V255">
        <f>VLOOKUP($J255,'[1]Table S6'!$A:$AI,13,FALSE)</f>
        <v>0.76250266014045498</v>
      </c>
      <c r="W255">
        <f>VLOOKUP($J255,'[1]Table S6'!$A:$AI,14,FALSE)</f>
        <v>5.782</v>
      </c>
      <c r="X255" t="str">
        <f>VLOOKUP($J255,'[1]Table S6'!$A:$AI,15,FALSE)</f>
        <v>No</v>
      </c>
      <c r="Z255">
        <f>VLOOKUP($J255,'[1]Table S6'!$A:$AI,17,FALSE)</f>
        <v>314.7</v>
      </c>
      <c r="AA255">
        <f>VLOOKUP($J255,'[1]Table S6'!$A:$AI,18,FALSE)</f>
        <v>0.66971696105554401</v>
      </c>
      <c r="AB255">
        <f>VLOOKUP($J255,'[1]Table S6'!$A:$AI,19,FALSE)</f>
        <v>1.33</v>
      </c>
      <c r="AC255" t="str">
        <f>VLOOKUP($J255,'[1]Table S6'!$A:$AI,20,FALSE)</f>
        <v>Yes</v>
      </c>
      <c r="AE255">
        <f>VLOOKUP($J255,'[1]Table S6'!$A:$AI,22,FALSE)</f>
        <v>387.7</v>
      </c>
      <c r="AF255">
        <f>VLOOKUP($J255,'[1]Table S6'!$A:$AI,23,FALSE)</f>
        <v>0.82506916365184102</v>
      </c>
      <c r="AG255">
        <f>VLOOKUP($J255,'[1]Table S6'!$A:$AI,24,FALSE)</f>
        <v>16.79</v>
      </c>
      <c r="AH255" t="str">
        <f>VLOOKUP($J255,'[1]Table S6'!$A:$AI,25,FALSE)</f>
        <v>No</v>
      </c>
      <c r="AJ255">
        <f>VLOOKUP($J255,'[1]Table S6'!$A:$AI,27,FALSE)</f>
        <v>360.5</v>
      </c>
      <c r="AK255">
        <f>VLOOKUP($J255,'[1]Table S6'!$A:$AI,28,FALSE)</f>
        <v>0.76718450734198795</v>
      </c>
      <c r="AL255">
        <f>VLOOKUP($J255,'[1]Table S6'!$A:$AI,29,FALSE)</f>
        <v>7.4450000000000003</v>
      </c>
      <c r="AM255" t="str">
        <f>VLOOKUP($J255,'[1]Table S6'!$A:$AI,30,FALSE)</f>
        <v>No</v>
      </c>
      <c r="AO255">
        <f>VLOOKUP($J255,'[1]Table S6'!$A:$AI,32,FALSE)</f>
        <v>354.5</v>
      </c>
      <c r="AP255">
        <f>VLOOKUP($J255,'[1]Table S6'!$A:$AI,33,FALSE)</f>
        <v>0.75441583315599103</v>
      </c>
      <c r="AQ255">
        <f>VLOOKUP($J255,'[1]Table S6'!$A:$AI,34,FALSE)</f>
        <v>6.5540000000000003</v>
      </c>
      <c r="AR255" t="str">
        <f>VLOOKUP($J255,'[1]Table S6'!$A:$AI,35,FALSE)</f>
        <v>No</v>
      </c>
      <c r="AT255" t="e">
        <f>VLOOKUP($I255,'[2]Table S5'!$A:$K,8,FALSE)</f>
        <v>#N/A</v>
      </c>
      <c r="AU255" t="e">
        <f>VLOOKUP($I255,'[2]Table S5'!$A:$K,9,FALSE)</f>
        <v>#N/A</v>
      </c>
      <c r="AV255" t="e">
        <f>VLOOKUP($I255,'[2]Table S5'!$A:$K,10,FALSE)</f>
        <v>#N/A</v>
      </c>
      <c r="AW255" t="e">
        <f>VLOOKUP($I255,'[2]Table S5'!$A:$K,11,FALSE)</f>
        <v>#N/A</v>
      </c>
    </row>
    <row r="256" spans="1:49">
      <c r="A256" s="12" t="s">
        <v>1930</v>
      </c>
      <c r="B256" t="s">
        <v>1931</v>
      </c>
      <c r="C256" t="s">
        <v>1932</v>
      </c>
      <c r="D256" t="s">
        <v>17</v>
      </c>
      <c r="E256" t="s">
        <v>1933</v>
      </c>
      <c r="F256" s="12" t="s">
        <v>1934</v>
      </c>
      <c r="G256" t="s">
        <v>1935</v>
      </c>
      <c r="H256" t="s">
        <v>1936</v>
      </c>
      <c r="I256" t="s">
        <v>1937</v>
      </c>
      <c r="J256" t="s">
        <v>1938</v>
      </c>
      <c r="K256">
        <f>VLOOKUP($J256,'[1]Table S6'!$A:$AI,2,FALSE)</f>
        <v>347.4</v>
      </c>
      <c r="L256">
        <f>VLOOKUP($J256,'[1]Table S6'!$A:$AI,3,FALSE)</f>
        <v>0.73930623536922702</v>
      </c>
      <c r="M256">
        <f>VLOOKUP($J256,'[1]Table S6'!$A:$AI,4,FALSE)</f>
        <v>4.8490000000000002</v>
      </c>
      <c r="N256" t="str">
        <f>VLOOKUP($J256,'[1]Table S6'!$A:$AI,5,FALSE)</f>
        <v>No</v>
      </c>
      <c r="P256">
        <f>VLOOKUP($J256,'[1]Table S6'!$A:$AI,7,FALSE)</f>
        <v>354.8</v>
      </c>
      <c r="Q256">
        <f>VLOOKUP($J256,'[1]Table S6'!$A:$AI,8,FALSE)</f>
        <v>0.75505426686529098</v>
      </c>
      <c r="R256">
        <f>VLOOKUP($J256,'[1]Table S6'!$A:$AI,9,FALSE)</f>
        <v>6.5359999999999996</v>
      </c>
      <c r="S256" t="str">
        <f>VLOOKUP($J256,'[1]Table S6'!$A:$AI,10,FALSE)</f>
        <v>No</v>
      </c>
      <c r="U256">
        <f>VLOOKUP($J256,'[1]Table S6'!$A:$AI,12,FALSE)</f>
        <v>366.6</v>
      </c>
      <c r="V256">
        <f>VLOOKUP($J256,'[1]Table S6'!$A:$AI,13,FALSE)</f>
        <v>0.780165992764418</v>
      </c>
      <c r="W256">
        <f>VLOOKUP($J256,'[1]Table S6'!$A:$AI,14,FALSE)</f>
        <v>8.9209999999999994</v>
      </c>
      <c r="X256" t="str">
        <f>VLOOKUP($J256,'[1]Table S6'!$A:$AI,15,FALSE)</f>
        <v>No</v>
      </c>
      <c r="Z256">
        <f>VLOOKUP($J256,'[1]Table S6'!$A:$AI,17,FALSE)</f>
        <v>350.2</v>
      </c>
      <c r="AA256">
        <f>VLOOKUP($J256,'[1]Table S6'!$A:$AI,18,FALSE)</f>
        <v>0.74526494998935899</v>
      </c>
      <c r="AB256">
        <f>VLOOKUP($J256,'[1]Table S6'!$A:$AI,19,FALSE)</f>
        <v>5.532</v>
      </c>
      <c r="AC256" t="str">
        <f>VLOOKUP($J256,'[1]Table S6'!$A:$AI,20,FALSE)</f>
        <v>No</v>
      </c>
      <c r="AE256">
        <f>VLOOKUP($J256,'[1]Table S6'!$A:$AI,22,FALSE)</f>
        <v>390.3</v>
      </c>
      <c r="AF256">
        <f>VLOOKUP($J256,'[1]Table S6'!$A:$AI,23,FALSE)</f>
        <v>0.83060225579910596</v>
      </c>
      <c r="AG256">
        <f>VLOOKUP($J256,'[1]Table S6'!$A:$AI,24,FALSE)</f>
        <v>20.170000000000002</v>
      </c>
      <c r="AH256" t="str">
        <f>VLOOKUP($J256,'[1]Table S6'!$A:$AI,25,FALSE)</f>
        <v>No</v>
      </c>
      <c r="AJ256">
        <f>VLOOKUP($J256,'[1]Table S6'!$A:$AI,27,FALSE)</f>
        <v>395.9</v>
      </c>
      <c r="AK256">
        <f>VLOOKUP($J256,'[1]Table S6'!$A:$AI,28,FALSE)</f>
        <v>0.84251968503937003</v>
      </c>
      <c r="AL256">
        <f>VLOOKUP($J256,'[1]Table S6'!$A:$AI,29,FALSE)</f>
        <v>23.55</v>
      </c>
      <c r="AM256" t="str">
        <f>VLOOKUP($J256,'[1]Table S6'!$A:$AI,30,FALSE)</f>
        <v>No</v>
      </c>
      <c r="AO256">
        <f>VLOOKUP($J256,'[1]Table S6'!$A:$AI,32,FALSE)</f>
        <v>409</v>
      </c>
      <c r="AP256">
        <f>VLOOKUP($J256,'[1]Table S6'!$A:$AI,33,FALSE)</f>
        <v>0.87039795701212996</v>
      </c>
      <c r="AQ256">
        <f>VLOOKUP($J256,'[1]Table S6'!$A:$AI,34,FALSE)</f>
        <v>41.59</v>
      </c>
      <c r="AR256" t="str">
        <f>VLOOKUP($J256,'[1]Table S6'!$A:$AI,35,FALSE)</f>
        <v>No</v>
      </c>
      <c r="AT256" t="e">
        <f>VLOOKUP($I256,'[2]Table S5'!$A:$K,8,FALSE)</f>
        <v>#N/A</v>
      </c>
      <c r="AU256" t="e">
        <f>VLOOKUP($I256,'[2]Table S5'!$A:$K,9,FALSE)</f>
        <v>#N/A</v>
      </c>
      <c r="AV256" t="e">
        <f>VLOOKUP($I256,'[2]Table S5'!$A:$K,10,FALSE)</f>
        <v>#N/A</v>
      </c>
      <c r="AW256" t="e">
        <f>VLOOKUP($I256,'[2]Table S5'!$A:$K,11,FALSE)</f>
        <v>#N/A</v>
      </c>
    </row>
    <row r="257" spans="1:49">
      <c r="A257" s="12" t="s">
        <v>1939</v>
      </c>
      <c r="B257" t="s">
        <v>1940</v>
      </c>
      <c r="C257" t="s">
        <v>1941</v>
      </c>
      <c r="D257" t="s">
        <v>17</v>
      </c>
      <c r="E257" t="s">
        <v>1942</v>
      </c>
      <c r="F257" s="12" t="s">
        <v>1943</v>
      </c>
      <c r="G257" t="s">
        <v>1944</v>
      </c>
      <c r="H257" t="s">
        <v>1945</v>
      </c>
      <c r="I257" t="s">
        <v>1937</v>
      </c>
      <c r="J257" t="s">
        <v>1946</v>
      </c>
      <c r="K257">
        <f>VLOOKUP($J257,'[1]Table S6'!$A:$AI,2,FALSE)</f>
        <v>380.1</v>
      </c>
      <c r="L257">
        <f>VLOOKUP($J257,'[1]Table S6'!$A:$AI,3,FALSE)</f>
        <v>0.80889550968291102</v>
      </c>
      <c r="M257">
        <f>VLOOKUP($J257,'[1]Table S6'!$A:$AI,4,FALSE)</f>
        <v>13.46</v>
      </c>
      <c r="N257" t="str">
        <f>VLOOKUP($J257,'[1]Table S6'!$A:$AI,5,FALSE)</f>
        <v>No</v>
      </c>
      <c r="P257">
        <f>VLOOKUP($J257,'[1]Table S6'!$A:$AI,7,FALSE)</f>
        <v>379.5</v>
      </c>
      <c r="Q257">
        <f>VLOOKUP($J257,'[1]Table S6'!$A:$AI,8,FALSE)</f>
        <v>0.80761864226431201</v>
      </c>
      <c r="R257">
        <f>VLOOKUP($J257,'[1]Table S6'!$A:$AI,9,FALSE)</f>
        <v>8.8249999999999993</v>
      </c>
      <c r="S257" t="str">
        <f>VLOOKUP($J257,'[1]Table S6'!$A:$AI,10,FALSE)</f>
        <v>No</v>
      </c>
      <c r="U257">
        <f>VLOOKUP($J257,'[1]Table S6'!$A:$AI,12,FALSE)</f>
        <v>394.5</v>
      </c>
      <c r="V257">
        <f>VLOOKUP($J257,'[1]Table S6'!$A:$AI,13,FALSE)</f>
        <v>0.83954032772930398</v>
      </c>
      <c r="W257">
        <f>VLOOKUP($J257,'[1]Table S6'!$A:$AI,14,FALSE)</f>
        <v>19.98</v>
      </c>
      <c r="X257" t="str">
        <f>VLOOKUP($J257,'[1]Table S6'!$A:$AI,15,FALSE)</f>
        <v>No</v>
      </c>
      <c r="Z257">
        <f>VLOOKUP($J257,'[1]Table S6'!$A:$AI,17,FALSE)</f>
        <v>373.3</v>
      </c>
      <c r="AA257">
        <f>VLOOKUP($J257,'[1]Table S6'!$A:$AI,18,FALSE)</f>
        <v>0.79442434560544795</v>
      </c>
      <c r="AB257">
        <f>VLOOKUP($J257,'[1]Table S6'!$A:$AI,19,FALSE)</f>
        <v>12.13</v>
      </c>
      <c r="AC257" t="str">
        <f>VLOOKUP($J257,'[1]Table S6'!$A:$AI,20,FALSE)</f>
        <v>No</v>
      </c>
      <c r="AE257">
        <f>VLOOKUP($J257,'[1]Table S6'!$A:$AI,22,FALSE)</f>
        <v>413.5</v>
      </c>
      <c r="AF257">
        <f>VLOOKUP($J257,'[1]Table S6'!$A:$AI,23,FALSE)</f>
        <v>0.87997446265162804</v>
      </c>
      <c r="AG257">
        <f>VLOOKUP($J257,'[1]Table S6'!$A:$AI,24,FALSE)</f>
        <v>28.67</v>
      </c>
      <c r="AH257" t="str">
        <f>VLOOKUP($J257,'[1]Table S6'!$A:$AI,25,FALSE)</f>
        <v>No</v>
      </c>
      <c r="AJ257">
        <f>VLOOKUP($J257,'[1]Table S6'!$A:$AI,27,FALSE)</f>
        <v>424.7</v>
      </c>
      <c r="AK257">
        <f>VLOOKUP($J257,'[1]Table S6'!$A:$AI,28,FALSE)</f>
        <v>0.90380932113215595</v>
      </c>
      <c r="AL257">
        <f>VLOOKUP($J257,'[1]Table S6'!$A:$AI,29,FALSE)</f>
        <v>37.479999999999997</v>
      </c>
      <c r="AM257" t="str">
        <f>VLOOKUP($J257,'[1]Table S6'!$A:$AI,30,FALSE)</f>
        <v>No</v>
      </c>
      <c r="AO257">
        <f>VLOOKUP($J257,'[1]Table S6'!$A:$AI,32,FALSE)</f>
        <v>421.9</v>
      </c>
      <c r="AP257">
        <f>VLOOKUP($J257,'[1]Table S6'!$A:$AI,33,FALSE)</f>
        <v>0.89785060651202397</v>
      </c>
      <c r="AQ257">
        <f>VLOOKUP($J257,'[1]Table S6'!$A:$AI,34,FALSE)</f>
        <v>41.52</v>
      </c>
      <c r="AR257" t="str">
        <f>VLOOKUP($J257,'[1]Table S6'!$A:$AI,35,FALSE)</f>
        <v>No</v>
      </c>
      <c r="AT257" t="e">
        <f>VLOOKUP($I257,'[2]Table S5'!$A:$K,8,FALSE)</f>
        <v>#N/A</v>
      </c>
      <c r="AU257" t="e">
        <f>VLOOKUP($I257,'[2]Table S5'!$A:$K,9,FALSE)</f>
        <v>#N/A</v>
      </c>
      <c r="AV257" t="e">
        <f>VLOOKUP($I257,'[2]Table S5'!$A:$K,10,FALSE)</f>
        <v>#N/A</v>
      </c>
      <c r="AW257" t="e">
        <f>VLOOKUP($I257,'[2]Table S5'!$A:$K,11,FALSE)</f>
        <v>#N/A</v>
      </c>
    </row>
    <row r="258" spans="1:49">
      <c r="A258" s="12" t="s">
        <v>1947</v>
      </c>
      <c r="B258" t="s">
        <v>1948</v>
      </c>
      <c r="C258" t="s">
        <v>1949</v>
      </c>
      <c r="D258" t="s">
        <v>17</v>
      </c>
      <c r="E258" t="s">
        <v>1950</v>
      </c>
      <c r="F258" s="12" t="s">
        <v>1951</v>
      </c>
      <c r="G258" t="s">
        <v>1952</v>
      </c>
      <c r="H258" t="s">
        <v>1953</v>
      </c>
      <c r="I258" t="s">
        <v>1937</v>
      </c>
      <c r="J258" t="s">
        <v>1954</v>
      </c>
      <c r="K258">
        <f>VLOOKUP($J258,'[1]Table S6'!$A:$AI,2,FALSE)</f>
        <v>359.2</v>
      </c>
      <c r="L258">
        <f>VLOOKUP($J258,'[1]Table S6'!$A:$AI,3,FALSE)</f>
        <v>0.76441796126835504</v>
      </c>
      <c r="M258">
        <f>VLOOKUP($J258,'[1]Table S6'!$A:$AI,4,FALSE)</f>
        <v>6.7089999999999996</v>
      </c>
      <c r="N258" t="str">
        <f>VLOOKUP($J258,'[1]Table S6'!$A:$AI,5,FALSE)</f>
        <v>No</v>
      </c>
      <c r="P258">
        <f>VLOOKUP($J258,'[1]Table S6'!$A:$AI,7,FALSE)</f>
        <v>352</v>
      </c>
      <c r="Q258">
        <f>VLOOKUP($J258,'[1]Table S6'!$A:$AI,8,FALSE)</f>
        <v>0.749095552245159</v>
      </c>
      <c r="R258">
        <f>VLOOKUP($J258,'[1]Table S6'!$A:$AI,9,FALSE)</f>
        <v>5.58</v>
      </c>
      <c r="S258" t="str">
        <f>VLOOKUP($J258,'[1]Table S6'!$A:$AI,10,FALSE)</f>
        <v>No</v>
      </c>
      <c r="U258">
        <f>VLOOKUP($J258,'[1]Table S6'!$A:$AI,12,FALSE)</f>
        <v>346.7</v>
      </c>
      <c r="V258">
        <f>VLOOKUP($J258,'[1]Table S6'!$A:$AI,13,FALSE)</f>
        <v>0.73781655671419499</v>
      </c>
      <c r="W258">
        <f>VLOOKUP($J258,'[1]Table S6'!$A:$AI,14,FALSE)</f>
        <v>4.7089999999999996</v>
      </c>
      <c r="X258" t="str">
        <f>VLOOKUP($J258,'[1]Table S6'!$A:$AI,15,FALSE)</f>
        <v>No</v>
      </c>
      <c r="Z258">
        <f>VLOOKUP($J258,'[1]Table S6'!$A:$AI,17,FALSE)</f>
        <v>321.7</v>
      </c>
      <c r="AA258">
        <f>VLOOKUP($J258,'[1]Table S6'!$A:$AI,18,FALSE)</f>
        <v>0.68461374760587401</v>
      </c>
      <c r="AB258">
        <f>VLOOKUP($J258,'[1]Table S6'!$A:$AI,19,FALSE)</f>
        <v>1.87</v>
      </c>
      <c r="AC258" t="str">
        <f>VLOOKUP($J258,'[1]Table S6'!$A:$AI,20,FALSE)</f>
        <v>Yes</v>
      </c>
      <c r="AE258">
        <f>VLOOKUP($J258,'[1]Table S6'!$A:$AI,22,FALSE)</f>
        <v>373.7</v>
      </c>
      <c r="AF258">
        <f>VLOOKUP($J258,'[1]Table S6'!$A:$AI,23,FALSE)</f>
        <v>0.79527559055118102</v>
      </c>
      <c r="AG258">
        <f>VLOOKUP($J258,'[1]Table S6'!$A:$AI,24,FALSE)</f>
        <v>10.210000000000001</v>
      </c>
      <c r="AH258" t="str">
        <f>VLOOKUP($J258,'[1]Table S6'!$A:$AI,25,FALSE)</f>
        <v>No</v>
      </c>
      <c r="AJ258">
        <f>VLOOKUP($J258,'[1]Table S6'!$A:$AI,27,FALSE)</f>
        <v>373.6</v>
      </c>
      <c r="AK258">
        <f>VLOOKUP($J258,'[1]Table S6'!$A:$AI,28,FALSE)</f>
        <v>0.795062779314748</v>
      </c>
      <c r="AL258">
        <f>VLOOKUP($J258,'[1]Table S6'!$A:$AI,29,FALSE)</f>
        <v>11.4</v>
      </c>
      <c r="AM258" t="str">
        <f>VLOOKUP($J258,'[1]Table S6'!$A:$AI,30,FALSE)</f>
        <v>No</v>
      </c>
      <c r="AO258">
        <f>VLOOKUP($J258,'[1]Table S6'!$A:$AI,32,FALSE)</f>
        <v>393.7</v>
      </c>
      <c r="AP258">
        <f>VLOOKUP($J258,'[1]Table S6'!$A:$AI,33,FALSE)</f>
        <v>0.83783783783783805</v>
      </c>
      <c r="AQ258">
        <f>VLOOKUP($J258,'[1]Table S6'!$A:$AI,34,FALSE)</f>
        <v>20.93</v>
      </c>
      <c r="AR258" t="str">
        <f>VLOOKUP($J258,'[1]Table S6'!$A:$AI,35,FALSE)</f>
        <v>No</v>
      </c>
      <c r="AT258" t="e">
        <f>VLOOKUP($I258,'[2]Table S5'!$A:$K,8,FALSE)</f>
        <v>#N/A</v>
      </c>
      <c r="AU258" t="e">
        <f>VLOOKUP($I258,'[2]Table S5'!$A:$K,9,FALSE)</f>
        <v>#N/A</v>
      </c>
      <c r="AV258" t="e">
        <f>VLOOKUP($I258,'[2]Table S5'!$A:$K,10,FALSE)</f>
        <v>#N/A</v>
      </c>
      <c r="AW258" t="e">
        <f>VLOOKUP($I258,'[2]Table S5'!$A:$K,11,FALSE)</f>
        <v>#N/A</v>
      </c>
    </row>
    <row r="259" spans="1:49">
      <c r="A259" s="12" t="s">
        <v>1955</v>
      </c>
      <c r="B259" t="s">
        <v>1956</v>
      </c>
      <c r="C259" t="s">
        <v>1957</v>
      </c>
      <c r="D259" t="s">
        <v>17</v>
      </c>
      <c r="E259" t="s">
        <v>1958</v>
      </c>
      <c r="F259" s="12" t="s">
        <v>1959</v>
      </c>
      <c r="G259" t="s">
        <v>1960</v>
      </c>
      <c r="H259" t="s">
        <v>1961</v>
      </c>
      <c r="I259" t="s">
        <v>1937</v>
      </c>
      <c r="J259" t="s">
        <v>1937</v>
      </c>
      <c r="K259" t="e">
        <f>VLOOKUP($J259,'[1]Table S6'!$A:$AI,2,FALSE)</f>
        <v>#N/A</v>
      </c>
      <c r="L259" t="e">
        <f>VLOOKUP($J259,'[1]Table S6'!$A:$AI,3,FALSE)</f>
        <v>#N/A</v>
      </c>
      <c r="M259" t="e">
        <f>VLOOKUP($J259,'[1]Table S6'!$A:$AI,4,FALSE)</f>
        <v>#N/A</v>
      </c>
      <c r="N259" t="e">
        <f>VLOOKUP($J259,'[1]Table S6'!$A:$AI,5,FALSE)</f>
        <v>#N/A</v>
      </c>
      <c r="P259" t="e">
        <f>VLOOKUP($J259,'[1]Table S6'!$A:$AI,7,FALSE)</f>
        <v>#N/A</v>
      </c>
      <c r="Q259" t="e">
        <f>VLOOKUP($J259,'[1]Table S6'!$A:$AI,8,FALSE)</f>
        <v>#N/A</v>
      </c>
      <c r="R259" t="e">
        <f>VLOOKUP($J259,'[1]Table S6'!$A:$AI,9,FALSE)</f>
        <v>#N/A</v>
      </c>
      <c r="S259" t="e">
        <f>VLOOKUP($J259,'[1]Table S6'!$A:$AI,10,FALSE)</f>
        <v>#N/A</v>
      </c>
      <c r="U259" t="e">
        <f>VLOOKUP($J259,'[1]Table S6'!$A:$AI,12,FALSE)</f>
        <v>#N/A</v>
      </c>
      <c r="V259" t="e">
        <f>VLOOKUP($J259,'[1]Table S6'!$A:$AI,13,FALSE)</f>
        <v>#N/A</v>
      </c>
      <c r="W259" t="e">
        <f>VLOOKUP($J259,'[1]Table S6'!$A:$AI,14,FALSE)</f>
        <v>#N/A</v>
      </c>
      <c r="X259" t="e">
        <f>VLOOKUP($J259,'[1]Table S6'!$A:$AI,15,FALSE)</f>
        <v>#N/A</v>
      </c>
      <c r="Z259" t="e">
        <f>VLOOKUP($J259,'[1]Table S6'!$A:$AI,17,FALSE)</f>
        <v>#N/A</v>
      </c>
      <c r="AA259" t="e">
        <f>VLOOKUP($J259,'[1]Table S6'!$A:$AI,18,FALSE)</f>
        <v>#N/A</v>
      </c>
      <c r="AB259" t="e">
        <f>VLOOKUP($J259,'[1]Table S6'!$A:$AI,19,FALSE)</f>
        <v>#N/A</v>
      </c>
      <c r="AC259" t="e">
        <f>VLOOKUP($J259,'[1]Table S6'!$A:$AI,20,FALSE)</f>
        <v>#N/A</v>
      </c>
      <c r="AE259" t="e">
        <f>VLOOKUP($J259,'[1]Table S6'!$A:$AI,22,FALSE)</f>
        <v>#N/A</v>
      </c>
      <c r="AF259" t="e">
        <f>VLOOKUP($J259,'[1]Table S6'!$A:$AI,23,FALSE)</f>
        <v>#N/A</v>
      </c>
      <c r="AG259" t="e">
        <f>VLOOKUP($J259,'[1]Table S6'!$A:$AI,24,FALSE)</f>
        <v>#N/A</v>
      </c>
      <c r="AH259" t="e">
        <f>VLOOKUP($J259,'[1]Table S6'!$A:$AI,25,FALSE)</f>
        <v>#N/A</v>
      </c>
      <c r="AJ259" t="e">
        <f>VLOOKUP($J259,'[1]Table S6'!$A:$AI,27,FALSE)</f>
        <v>#N/A</v>
      </c>
      <c r="AK259" t="e">
        <f>VLOOKUP($J259,'[1]Table S6'!$A:$AI,28,FALSE)</f>
        <v>#N/A</v>
      </c>
      <c r="AL259" t="e">
        <f>VLOOKUP($J259,'[1]Table S6'!$A:$AI,29,FALSE)</f>
        <v>#N/A</v>
      </c>
      <c r="AM259" t="e">
        <f>VLOOKUP($J259,'[1]Table S6'!$A:$AI,30,FALSE)</f>
        <v>#N/A</v>
      </c>
      <c r="AO259" t="e">
        <f>VLOOKUP($J259,'[1]Table S6'!$A:$AI,32,FALSE)</f>
        <v>#N/A</v>
      </c>
      <c r="AP259" t="e">
        <f>VLOOKUP($J259,'[1]Table S6'!$A:$AI,33,FALSE)</f>
        <v>#N/A</v>
      </c>
      <c r="AQ259" t="e">
        <f>VLOOKUP($J259,'[1]Table S6'!$A:$AI,34,FALSE)</f>
        <v>#N/A</v>
      </c>
      <c r="AR259" t="e">
        <f>VLOOKUP($J259,'[1]Table S6'!$A:$AI,35,FALSE)</f>
        <v>#N/A</v>
      </c>
      <c r="AT259" t="e">
        <f>VLOOKUP($I259,'[2]Table S5'!$A:$K,8,FALSE)</f>
        <v>#N/A</v>
      </c>
      <c r="AU259" t="e">
        <f>VLOOKUP($I259,'[2]Table S5'!$A:$K,9,FALSE)</f>
        <v>#N/A</v>
      </c>
      <c r="AV259" t="e">
        <f>VLOOKUP($I259,'[2]Table S5'!$A:$K,10,FALSE)</f>
        <v>#N/A</v>
      </c>
      <c r="AW259" t="e">
        <f>VLOOKUP($I259,'[2]Table S5'!$A:$K,11,FALSE)</f>
        <v>#N/A</v>
      </c>
    </row>
    <row r="260" spans="1:49">
      <c r="A260" s="12" t="s">
        <v>1962</v>
      </c>
      <c r="B260" t="s">
        <v>1963</v>
      </c>
      <c r="C260" t="s">
        <v>1964</v>
      </c>
      <c r="D260" t="s">
        <v>17</v>
      </c>
      <c r="E260" t="s">
        <v>1965</v>
      </c>
      <c r="F260" s="12" t="s">
        <v>1966</v>
      </c>
      <c r="G260" t="s">
        <v>1967</v>
      </c>
      <c r="H260" t="s">
        <v>1968</v>
      </c>
      <c r="I260" t="s">
        <v>1969</v>
      </c>
      <c r="J260" t="s">
        <v>1969</v>
      </c>
      <c r="K260" t="e">
        <f>VLOOKUP($J260,'[1]Table S6'!$A:$AI,2,FALSE)</f>
        <v>#N/A</v>
      </c>
      <c r="L260" t="e">
        <f>VLOOKUP($J260,'[1]Table S6'!$A:$AI,3,FALSE)</f>
        <v>#N/A</v>
      </c>
      <c r="M260" t="e">
        <f>VLOOKUP($J260,'[1]Table S6'!$A:$AI,4,FALSE)</f>
        <v>#N/A</v>
      </c>
      <c r="N260" t="e">
        <f>VLOOKUP($J260,'[1]Table S6'!$A:$AI,5,FALSE)</f>
        <v>#N/A</v>
      </c>
      <c r="P260" t="e">
        <f>VLOOKUP($J260,'[1]Table S6'!$A:$AI,7,FALSE)</f>
        <v>#N/A</v>
      </c>
      <c r="Q260" t="e">
        <f>VLOOKUP($J260,'[1]Table S6'!$A:$AI,8,FALSE)</f>
        <v>#N/A</v>
      </c>
      <c r="R260" t="e">
        <f>VLOOKUP($J260,'[1]Table S6'!$A:$AI,9,FALSE)</f>
        <v>#N/A</v>
      </c>
      <c r="S260" t="e">
        <f>VLOOKUP($J260,'[1]Table S6'!$A:$AI,10,FALSE)</f>
        <v>#N/A</v>
      </c>
      <c r="U260" t="e">
        <f>VLOOKUP($J260,'[1]Table S6'!$A:$AI,12,FALSE)</f>
        <v>#N/A</v>
      </c>
      <c r="V260" t="e">
        <f>VLOOKUP($J260,'[1]Table S6'!$A:$AI,13,FALSE)</f>
        <v>#N/A</v>
      </c>
      <c r="W260" t="e">
        <f>VLOOKUP($J260,'[1]Table S6'!$A:$AI,14,FALSE)</f>
        <v>#N/A</v>
      </c>
      <c r="X260" t="e">
        <f>VLOOKUP($J260,'[1]Table S6'!$A:$AI,15,FALSE)</f>
        <v>#N/A</v>
      </c>
      <c r="Z260" t="e">
        <f>VLOOKUP($J260,'[1]Table S6'!$A:$AI,17,FALSE)</f>
        <v>#N/A</v>
      </c>
      <c r="AA260" t="e">
        <f>VLOOKUP($J260,'[1]Table S6'!$A:$AI,18,FALSE)</f>
        <v>#N/A</v>
      </c>
      <c r="AB260" t="e">
        <f>VLOOKUP($J260,'[1]Table S6'!$A:$AI,19,FALSE)</f>
        <v>#N/A</v>
      </c>
      <c r="AC260" t="e">
        <f>VLOOKUP($J260,'[1]Table S6'!$A:$AI,20,FALSE)</f>
        <v>#N/A</v>
      </c>
      <c r="AE260" t="e">
        <f>VLOOKUP($J260,'[1]Table S6'!$A:$AI,22,FALSE)</f>
        <v>#N/A</v>
      </c>
      <c r="AF260" t="e">
        <f>VLOOKUP($J260,'[1]Table S6'!$A:$AI,23,FALSE)</f>
        <v>#N/A</v>
      </c>
      <c r="AG260" t="e">
        <f>VLOOKUP($J260,'[1]Table S6'!$A:$AI,24,FALSE)</f>
        <v>#N/A</v>
      </c>
      <c r="AH260" t="e">
        <f>VLOOKUP($J260,'[1]Table S6'!$A:$AI,25,FALSE)</f>
        <v>#N/A</v>
      </c>
      <c r="AJ260" t="e">
        <f>VLOOKUP($J260,'[1]Table S6'!$A:$AI,27,FALSE)</f>
        <v>#N/A</v>
      </c>
      <c r="AK260" t="e">
        <f>VLOOKUP($J260,'[1]Table S6'!$A:$AI,28,FALSE)</f>
        <v>#N/A</v>
      </c>
      <c r="AL260" t="e">
        <f>VLOOKUP($J260,'[1]Table S6'!$A:$AI,29,FALSE)</f>
        <v>#N/A</v>
      </c>
      <c r="AM260" t="e">
        <f>VLOOKUP($J260,'[1]Table S6'!$A:$AI,30,FALSE)</f>
        <v>#N/A</v>
      </c>
      <c r="AO260" t="e">
        <f>VLOOKUP($J260,'[1]Table S6'!$A:$AI,32,FALSE)</f>
        <v>#N/A</v>
      </c>
      <c r="AP260" t="e">
        <f>VLOOKUP($J260,'[1]Table S6'!$A:$AI,33,FALSE)</f>
        <v>#N/A</v>
      </c>
      <c r="AQ260" t="e">
        <f>VLOOKUP($J260,'[1]Table S6'!$A:$AI,34,FALSE)</f>
        <v>#N/A</v>
      </c>
      <c r="AR260" t="e">
        <f>VLOOKUP($J260,'[1]Table S6'!$A:$AI,35,FALSE)</f>
        <v>#N/A</v>
      </c>
      <c r="AT260" t="e">
        <f>VLOOKUP($I260,'[2]Table S5'!$A:$K,8,FALSE)</f>
        <v>#N/A</v>
      </c>
      <c r="AU260" t="e">
        <f>VLOOKUP($I260,'[2]Table S5'!$A:$K,9,FALSE)</f>
        <v>#N/A</v>
      </c>
      <c r="AV260" t="e">
        <f>VLOOKUP($I260,'[2]Table S5'!$A:$K,10,FALSE)</f>
        <v>#N/A</v>
      </c>
      <c r="AW260" t="e">
        <f>VLOOKUP($I260,'[2]Table S5'!$A:$K,11,FALSE)</f>
        <v>#N/A</v>
      </c>
    </row>
    <row r="261" spans="1:49">
      <c r="A261" s="12" t="s">
        <v>1970</v>
      </c>
      <c r="B261" t="s">
        <v>1971</v>
      </c>
      <c r="C261" t="s">
        <v>1972</v>
      </c>
      <c r="D261" t="s">
        <v>17</v>
      </c>
      <c r="E261" t="s">
        <v>1973</v>
      </c>
      <c r="F261" s="12" t="s">
        <v>1974</v>
      </c>
      <c r="G261" t="s">
        <v>1975</v>
      </c>
      <c r="H261" t="s">
        <v>1976</v>
      </c>
      <c r="I261" t="s">
        <v>1969</v>
      </c>
      <c r="J261" t="s">
        <v>1977</v>
      </c>
      <c r="K261">
        <f>VLOOKUP($J261,'[1]Table S6'!$A:$AI,2,FALSE)</f>
        <v>353.5</v>
      </c>
      <c r="L261">
        <f>VLOOKUP($J261,'[1]Table S6'!$A:$AI,3,FALSE)</f>
        <v>0.75228772079165795</v>
      </c>
      <c r="M261">
        <f>VLOOKUP($J261,'[1]Table S6'!$A:$AI,4,FALSE)</f>
        <v>5.702</v>
      </c>
      <c r="N261" t="str">
        <f>VLOOKUP($J261,'[1]Table S6'!$A:$AI,5,FALSE)</f>
        <v>No</v>
      </c>
      <c r="P261">
        <f>VLOOKUP($J261,'[1]Table S6'!$A:$AI,7,FALSE)</f>
        <v>378.6</v>
      </c>
      <c r="Q261">
        <f>VLOOKUP($J261,'[1]Table S6'!$A:$AI,8,FALSE)</f>
        <v>0.80570334113641195</v>
      </c>
      <c r="R261">
        <f>VLOOKUP($J261,'[1]Table S6'!$A:$AI,9,FALSE)</f>
        <v>9.8680000000000003</v>
      </c>
      <c r="S261" t="str">
        <f>VLOOKUP($J261,'[1]Table S6'!$A:$AI,10,FALSE)</f>
        <v>No</v>
      </c>
      <c r="U261">
        <f>VLOOKUP($J261,'[1]Table S6'!$A:$AI,12,FALSE)</f>
        <v>346.5</v>
      </c>
      <c r="V261">
        <f>VLOOKUP($J261,'[1]Table S6'!$A:$AI,13,FALSE)</f>
        <v>0.73739093424132796</v>
      </c>
      <c r="W261">
        <f>VLOOKUP($J261,'[1]Table S6'!$A:$AI,14,FALSE)</f>
        <v>4.2539999999999996</v>
      </c>
      <c r="X261" t="str">
        <f>VLOOKUP($J261,'[1]Table S6'!$A:$AI,15,FALSE)</f>
        <v>No</v>
      </c>
      <c r="Z261">
        <f>VLOOKUP($J261,'[1]Table S6'!$A:$AI,17,FALSE)</f>
        <v>355.2</v>
      </c>
      <c r="AA261">
        <f>VLOOKUP($J261,'[1]Table S6'!$A:$AI,18,FALSE)</f>
        <v>0.75590551181102394</v>
      </c>
      <c r="AB261">
        <f>VLOOKUP($J261,'[1]Table S6'!$A:$AI,19,FALSE)</f>
        <v>6.4610000000000003</v>
      </c>
      <c r="AC261" t="str">
        <f>VLOOKUP($J261,'[1]Table S6'!$A:$AI,20,FALSE)</f>
        <v>No</v>
      </c>
      <c r="AE261">
        <f>VLOOKUP($J261,'[1]Table S6'!$A:$AI,22,FALSE)</f>
        <v>349.2</v>
      </c>
      <c r="AF261">
        <f>VLOOKUP($J261,'[1]Table S6'!$A:$AI,23,FALSE)</f>
        <v>0.74313683762502702</v>
      </c>
      <c r="AG261">
        <f>VLOOKUP($J261,'[1]Table S6'!$A:$AI,24,FALSE)</f>
        <v>9.3819999999999997</v>
      </c>
      <c r="AH261" t="str">
        <f>VLOOKUP($J261,'[1]Table S6'!$A:$AI,25,FALSE)</f>
        <v>No</v>
      </c>
      <c r="AJ261">
        <f>VLOOKUP($J261,'[1]Table S6'!$A:$AI,27,FALSE)</f>
        <v>398.4</v>
      </c>
      <c r="AK261">
        <f>VLOOKUP($J261,'[1]Table S6'!$A:$AI,28,FALSE)</f>
        <v>0.84783996595020195</v>
      </c>
      <c r="AL261">
        <f>VLOOKUP($J261,'[1]Table S6'!$A:$AI,29,FALSE)</f>
        <v>42.85</v>
      </c>
      <c r="AM261" t="str">
        <f>VLOOKUP($J261,'[1]Table S6'!$A:$AI,30,FALSE)</f>
        <v>No</v>
      </c>
      <c r="AO261">
        <f>VLOOKUP($J261,'[1]Table S6'!$A:$AI,32,FALSE)</f>
        <v>451.8</v>
      </c>
      <c r="AP261">
        <f>VLOOKUP($J261,'[1]Table S6'!$A:$AI,33,FALSE)</f>
        <v>0.961481166205576</v>
      </c>
      <c r="AQ261">
        <f>VLOOKUP($J261,'[1]Table S6'!$A:$AI,34,FALSE)</f>
        <v>407.4</v>
      </c>
      <c r="AR261" t="str">
        <f>VLOOKUP($J261,'[1]Table S6'!$A:$AI,35,FALSE)</f>
        <v>No</v>
      </c>
      <c r="AT261" t="e">
        <f>VLOOKUP($I261,'[2]Table S5'!$A:$K,8,FALSE)</f>
        <v>#N/A</v>
      </c>
      <c r="AU261" t="e">
        <f>VLOOKUP($I261,'[2]Table S5'!$A:$K,9,FALSE)</f>
        <v>#N/A</v>
      </c>
      <c r="AV261" t="e">
        <f>VLOOKUP($I261,'[2]Table S5'!$A:$K,10,FALSE)</f>
        <v>#N/A</v>
      </c>
      <c r="AW261" t="e">
        <f>VLOOKUP($I261,'[2]Table S5'!$A:$K,11,FALSE)</f>
        <v>#N/A</v>
      </c>
    </row>
    <row r="262" spans="1:49">
      <c r="A262" s="12" t="s">
        <v>1978</v>
      </c>
      <c r="B262" t="s">
        <v>1979</v>
      </c>
      <c r="C262" t="s">
        <v>1980</v>
      </c>
      <c r="D262" t="s">
        <v>17</v>
      </c>
      <c r="E262" t="s">
        <v>1981</v>
      </c>
      <c r="F262" s="12" t="s">
        <v>1982</v>
      </c>
      <c r="G262" t="s">
        <v>1983</v>
      </c>
      <c r="H262" t="s">
        <v>1984</v>
      </c>
      <c r="I262" t="s">
        <v>1969</v>
      </c>
      <c r="J262" t="s">
        <v>1985</v>
      </c>
      <c r="K262">
        <f>VLOOKUP($J262,'[1]Table S6'!$A:$AI,2,FALSE)</f>
        <v>407</v>
      </c>
      <c r="L262">
        <f>VLOOKUP($J262,'[1]Table S6'!$A:$AI,3,FALSE)</f>
        <v>0.86614173228346503</v>
      </c>
      <c r="M262">
        <f>VLOOKUP($J262,'[1]Table S6'!$A:$AI,4,FALSE)</f>
        <v>25.73</v>
      </c>
      <c r="N262" t="str">
        <f>VLOOKUP($J262,'[1]Table S6'!$A:$AI,5,FALSE)</f>
        <v>No</v>
      </c>
      <c r="P262">
        <f>VLOOKUP($J262,'[1]Table S6'!$A:$AI,7,FALSE)</f>
        <v>369.1</v>
      </c>
      <c r="Q262">
        <f>VLOOKUP($J262,'[1]Table S6'!$A:$AI,8,FALSE)</f>
        <v>0.78548627367525004</v>
      </c>
      <c r="R262">
        <f>VLOOKUP($J262,'[1]Table S6'!$A:$AI,9,FALSE)</f>
        <v>12.35</v>
      </c>
      <c r="S262" t="str">
        <f>VLOOKUP($J262,'[1]Table S6'!$A:$AI,10,FALSE)</f>
        <v>No</v>
      </c>
      <c r="U262">
        <f>VLOOKUP($J262,'[1]Table S6'!$A:$AI,12,FALSE)</f>
        <v>377.8</v>
      </c>
      <c r="V262">
        <f>VLOOKUP($J262,'[1]Table S6'!$A:$AI,13,FALSE)</f>
        <v>0.80400085124494602</v>
      </c>
      <c r="W262">
        <f>VLOOKUP($J262,'[1]Table S6'!$A:$AI,14,FALSE)</f>
        <v>13.65</v>
      </c>
      <c r="X262" t="str">
        <f>VLOOKUP($J262,'[1]Table S6'!$A:$AI,15,FALSE)</f>
        <v>No</v>
      </c>
      <c r="Z262">
        <f>VLOOKUP($J262,'[1]Table S6'!$A:$AI,17,FALSE)</f>
        <v>390.5</v>
      </c>
      <c r="AA262">
        <f>VLOOKUP($J262,'[1]Table S6'!$A:$AI,18,FALSE)</f>
        <v>0.831027878271973</v>
      </c>
      <c r="AB262">
        <f>VLOOKUP($J262,'[1]Table S6'!$A:$AI,19,FALSE)</f>
        <v>18.649999999999999</v>
      </c>
      <c r="AC262" t="str">
        <f>VLOOKUP($J262,'[1]Table S6'!$A:$AI,20,FALSE)</f>
        <v>No</v>
      </c>
      <c r="AE262">
        <f>VLOOKUP($J262,'[1]Table S6'!$A:$AI,22,FALSE)</f>
        <v>372.3</v>
      </c>
      <c r="AF262">
        <f>VLOOKUP($J262,'[1]Table S6'!$A:$AI,23,FALSE)</f>
        <v>0.79229623324111498</v>
      </c>
      <c r="AG262">
        <f>VLOOKUP($J262,'[1]Table S6'!$A:$AI,24,FALSE)</f>
        <v>16.82</v>
      </c>
      <c r="AH262" t="str">
        <f>VLOOKUP($J262,'[1]Table S6'!$A:$AI,25,FALSE)</f>
        <v>No</v>
      </c>
      <c r="AJ262">
        <f>VLOOKUP($J262,'[1]Table S6'!$A:$AI,27,FALSE)</f>
        <v>371.6</v>
      </c>
      <c r="AK262">
        <f>VLOOKUP($J262,'[1]Table S6'!$A:$AI,28,FALSE)</f>
        <v>0.79080655458608196</v>
      </c>
      <c r="AL262">
        <f>VLOOKUP($J262,'[1]Table S6'!$A:$AI,29,FALSE)</f>
        <v>19.149999999999999</v>
      </c>
      <c r="AM262" t="str">
        <f>VLOOKUP($J262,'[1]Table S6'!$A:$AI,30,FALSE)</f>
        <v>No</v>
      </c>
      <c r="AO262">
        <f>VLOOKUP($J262,'[1]Table S6'!$A:$AI,32,FALSE)</f>
        <v>444.1</v>
      </c>
      <c r="AP262">
        <f>VLOOKUP($J262,'[1]Table S6'!$A:$AI,33,FALSE)</f>
        <v>0.94509470100021298</v>
      </c>
      <c r="AQ262">
        <f>VLOOKUP($J262,'[1]Table S6'!$A:$AI,34,FALSE)</f>
        <v>307.7</v>
      </c>
      <c r="AR262" t="str">
        <f>VLOOKUP($J262,'[1]Table S6'!$A:$AI,35,FALSE)</f>
        <v>No</v>
      </c>
      <c r="AT262" t="e">
        <f>VLOOKUP($I262,'[2]Table S5'!$A:$K,8,FALSE)</f>
        <v>#N/A</v>
      </c>
      <c r="AU262" t="e">
        <f>VLOOKUP($I262,'[2]Table S5'!$A:$K,9,FALSE)</f>
        <v>#N/A</v>
      </c>
      <c r="AV262" t="e">
        <f>VLOOKUP($I262,'[2]Table S5'!$A:$K,10,FALSE)</f>
        <v>#N/A</v>
      </c>
      <c r="AW262" t="e">
        <f>VLOOKUP($I262,'[2]Table S5'!$A:$K,11,FALSE)</f>
        <v>#N/A</v>
      </c>
    </row>
    <row r="263" spans="1:49">
      <c r="A263" s="12" t="s">
        <v>1986</v>
      </c>
      <c r="B263" t="s">
        <v>1987</v>
      </c>
      <c r="C263" t="s">
        <v>1988</v>
      </c>
      <c r="D263" t="s">
        <v>17</v>
      </c>
      <c r="E263" t="s">
        <v>1989</v>
      </c>
      <c r="F263" s="12" t="s">
        <v>1990</v>
      </c>
      <c r="G263" t="s">
        <v>1991</v>
      </c>
      <c r="H263" t="s">
        <v>1992</v>
      </c>
      <c r="I263" t="s">
        <v>1969</v>
      </c>
      <c r="J263" t="s">
        <v>1993</v>
      </c>
      <c r="K263">
        <f>VLOOKUP($J263,'[1]Table S6'!$A:$AI,2,FALSE)</f>
        <v>313.2</v>
      </c>
      <c r="L263">
        <f>VLOOKUP($J263,'[1]Table S6'!$A:$AI,3,FALSE)</f>
        <v>0.66652479250904495</v>
      </c>
      <c r="M263">
        <f>VLOOKUP($J263,'[1]Table S6'!$A:$AI,4,FALSE)</f>
        <v>1.5129999999999999</v>
      </c>
      <c r="N263" t="str">
        <f>VLOOKUP($J263,'[1]Table S6'!$A:$AI,5,FALSE)</f>
        <v>Yes</v>
      </c>
      <c r="P263">
        <f>VLOOKUP($J263,'[1]Table S6'!$A:$AI,7,FALSE)</f>
        <v>355</v>
      </c>
      <c r="Q263">
        <f>VLOOKUP($J263,'[1]Table S6'!$A:$AI,8,FALSE)</f>
        <v>0.75547988933815702</v>
      </c>
      <c r="R263">
        <f>VLOOKUP($J263,'[1]Table S6'!$A:$AI,9,FALSE)</f>
        <v>5.2779999999999996</v>
      </c>
      <c r="S263" t="str">
        <f>VLOOKUP($J263,'[1]Table S6'!$A:$AI,10,FALSE)</f>
        <v>No</v>
      </c>
      <c r="U263">
        <f>VLOOKUP($J263,'[1]Table S6'!$A:$AI,12,FALSE)</f>
        <v>313</v>
      </c>
      <c r="V263">
        <f>VLOOKUP($J263,'[1]Table S6'!$A:$AI,13,FALSE)</f>
        <v>0.66609917003617802</v>
      </c>
      <c r="W263">
        <f>VLOOKUP($J263,'[1]Table S6'!$A:$AI,14,FALSE)</f>
        <v>1.82</v>
      </c>
      <c r="X263" t="str">
        <f>VLOOKUP($J263,'[1]Table S6'!$A:$AI,15,FALSE)</f>
        <v>Yes</v>
      </c>
      <c r="Z263">
        <f>VLOOKUP($J263,'[1]Table S6'!$A:$AI,17,FALSE)</f>
        <v>358.9</v>
      </c>
      <c r="AA263">
        <f>VLOOKUP($J263,'[1]Table S6'!$A:$AI,18,FALSE)</f>
        <v>0.76377952755905498</v>
      </c>
      <c r="AB263">
        <f>VLOOKUP($J263,'[1]Table S6'!$A:$AI,19,FALSE)</f>
        <v>4.9969999999999999</v>
      </c>
      <c r="AC263" t="str">
        <f>VLOOKUP($J263,'[1]Table S6'!$A:$AI,20,FALSE)</f>
        <v>No</v>
      </c>
      <c r="AE263">
        <f>VLOOKUP($J263,'[1]Table S6'!$A:$AI,22,FALSE)</f>
        <v>301.89999999999998</v>
      </c>
      <c r="AF263">
        <f>VLOOKUP($J263,'[1]Table S6'!$A:$AI,23,FALSE)</f>
        <v>0.64247712279208302</v>
      </c>
      <c r="AG263">
        <f>VLOOKUP($J263,'[1]Table S6'!$A:$AI,24,FALSE)</f>
        <v>1.3580000000000001</v>
      </c>
      <c r="AH263" t="str">
        <f>VLOOKUP($J263,'[1]Table S6'!$A:$AI,25,FALSE)</f>
        <v>Yes</v>
      </c>
      <c r="AJ263">
        <f>VLOOKUP($J263,'[1]Table S6'!$A:$AI,27,FALSE)</f>
        <v>382</v>
      </c>
      <c r="AK263">
        <f>VLOOKUP($J263,'[1]Table S6'!$A:$AI,28,FALSE)</f>
        <v>0.81293892317514405</v>
      </c>
      <c r="AL263">
        <f>VLOOKUP($J263,'[1]Table S6'!$A:$AI,29,FALSE)</f>
        <v>17.79</v>
      </c>
      <c r="AM263" t="str">
        <f>VLOOKUP($J263,'[1]Table S6'!$A:$AI,30,FALSE)</f>
        <v>No</v>
      </c>
      <c r="AO263">
        <f>VLOOKUP($J263,'[1]Table S6'!$A:$AI,32,FALSE)</f>
        <v>413.8</v>
      </c>
      <c r="AP263">
        <f>VLOOKUP($J263,'[1]Table S6'!$A:$AI,33,FALSE)</f>
        <v>0.88061289636092799</v>
      </c>
      <c r="AQ263">
        <f>VLOOKUP($J263,'[1]Table S6'!$A:$AI,34,FALSE)</f>
        <v>151</v>
      </c>
      <c r="AR263" t="str">
        <f>VLOOKUP($J263,'[1]Table S6'!$A:$AI,35,FALSE)</f>
        <v>No</v>
      </c>
      <c r="AT263" t="e">
        <f>VLOOKUP($I263,'[2]Table S5'!$A:$K,8,FALSE)</f>
        <v>#N/A</v>
      </c>
      <c r="AU263" t="e">
        <f>VLOOKUP($I263,'[2]Table S5'!$A:$K,9,FALSE)</f>
        <v>#N/A</v>
      </c>
      <c r="AV263" t="e">
        <f>VLOOKUP($I263,'[2]Table S5'!$A:$K,10,FALSE)</f>
        <v>#N/A</v>
      </c>
      <c r="AW263" t="e">
        <f>VLOOKUP($I263,'[2]Table S5'!$A:$K,11,FALSE)</f>
        <v>#N/A</v>
      </c>
    </row>
    <row r="264" spans="1:49">
      <c r="A264" s="12" t="s">
        <v>1994</v>
      </c>
      <c r="B264" t="s">
        <v>1995</v>
      </c>
      <c r="C264" t="s">
        <v>1996</v>
      </c>
      <c r="D264" t="s">
        <v>17</v>
      </c>
      <c r="E264" t="s">
        <v>1997</v>
      </c>
      <c r="F264" s="12" t="s">
        <v>1998</v>
      </c>
      <c r="G264" t="s">
        <v>1999</v>
      </c>
      <c r="H264" t="s">
        <v>2000</v>
      </c>
      <c r="I264" t="s">
        <v>1969</v>
      </c>
      <c r="J264" t="s">
        <v>2001</v>
      </c>
      <c r="K264">
        <f>VLOOKUP($J264,'[1]Table S6'!$A:$AI,2,FALSE)</f>
        <v>356.7</v>
      </c>
      <c r="L264">
        <f>VLOOKUP($J264,'[1]Table S6'!$A:$AI,3,FALSE)</f>
        <v>0.75909768035752301</v>
      </c>
      <c r="M264">
        <f>VLOOKUP($J264,'[1]Table S6'!$A:$AI,4,FALSE)</f>
        <v>6.2530000000000001</v>
      </c>
      <c r="N264" t="str">
        <f>VLOOKUP($J264,'[1]Table S6'!$A:$AI,5,FALSE)</f>
        <v>No</v>
      </c>
      <c r="P264">
        <f>VLOOKUP($J264,'[1]Table S6'!$A:$AI,7,FALSE)</f>
        <v>352</v>
      </c>
      <c r="Q264">
        <f>VLOOKUP($J264,'[1]Table S6'!$A:$AI,8,FALSE)</f>
        <v>0.749095552245159</v>
      </c>
      <c r="R264">
        <f>VLOOKUP($J264,'[1]Table S6'!$A:$AI,9,FALSE)</f>
        <v>6.1639999999999997</v>
      </c>
      <c r="S264" t="str">
        <f>VLOOKUP($J264,'[1]Table S6'!$A:$AI,10,FALSE)</f>
        <v>No</v>
      </c>
      <c r="U264">
        <f>VLOOKUP($J264,'[1]Table S6'!$A:$AI,12,FALSE)</f>
        <v>311.39999999999998</v>
      </c>
      <c r="V264">
        <f>VLOOKUP($J264,'[1]Table S6'!$A:$AI,13,FALSE)</f>
        <v>0.66269419025324505</v>
      </c>
      <c r="W264">
        <f>VLOOKUP($J264,'[1]Table S6'!$A:$AI,14,FALSE)</f>
        <v>1.109</v>
      </c>
      <c r="X264" t="str">
        <f>VLOOKUP($J264,'[1]Table S6'!$A:$AI,15,FALSE)</f>
        <v>Yes</v>
      </c>
      <c r="Z264">
        <f>VLOOKUP($J264,'[1]Table S6'!$A:$AI,17,FALSE)</f>
        <v>351.6</v>
      </c>
      <c r="AA264">
        <f>VLOOKUP($J264,'[1]Table S6'!$A:$AI,18,FALSE)</f>
        <v>0.74824430729942504</v>
      </c>
      <c r="AB264">
        <f>VLOOKUP($J264,'[1]Table S6'!$A:$AI,19,FALSE)</f>
        <v>5.5890000000000004</v>
      </c>
      <c r="AC264" t="str">
        <f>VLOOKUP($J264,'[1]Table S6'!$A:$AI,20,FALSE)</f>
        <v>No</v>
      </c>
      <c r="AE264">
        <f>VLOOKUP($J264,'[1]Table S6'!$A:$AI,22,FALSE)</f>
        <v>326.8</v>
      </c>
      <c r="AF264">
        <f>VLOOKUP($J264,'[1]Table S6'!$A:$AI,23,FALSE)</f>
        <v>0.69546712066397098</v>
      </c>
      <c r="AG264">
        <f>VLOOKUP($J264,'[1]Table S6'!$A:$AI,24,FALSE)</f>
        <v>2.5579999999999998</v>
      </c>
      <c r="AH264" t="str">
        <f>VLOOKUP($J264,'[1]Table S6'!$A:$AI,25,FALSE)</f>
        <v>No</v>
      </c>
      <c r="AJ264">
        <f>VLOOKUP($J264,'[1]Table S6'!$A:$AI,27,FALSE)</f>
        <v>397.6</v>
      </c>
      <c r="AK264">
        <f>VLOOKUP($J264,'[1]Table S6'!$A:$AI,28,FALSE)</f>
        <v>0.84613747605873602</v>
      </c>
      <c r="AL264">
        <f>VLOOKUP($J264,'[1]Table S6'!$A:$AI,29,FALSE)</f>
        <v>25.67</v>
      </c>
      <c r="AM264" t="str">
        <f>VLOOKUP($J264,'[1]Table S6'!$A:$AI,30,FALSE)</f>
        <v>No</v>
      </c>
      <c r="AO264">
        <f>VLOOKUP($J264,'[1]Table S6'!$A:$AI,32,FALSE)</f>
        <v>427.9</v>
      </c>
      <c r="AP264">
        <f>VLOOKUP($J264,'[1]Table S6'!$A:$AI,33,FALSE)</f>
        <v>0.91061928069802101</v>
      </c>
      <c r="AQ264">
        <f>VLOOKUP($J264,'[1]Table S6'!$A:$AI,34,FALSE)</f>
        <v>145.30000000000001</v>
      </c>
      <c r="AR264" t="str">
        <f>VLOOKUP($J264,'[1]Table S6'!$A:$AI,35,FALSE)</f>
        <v>No</v>
      </c>
      <c r="AT264" t="e">
        <f>VLOOKUP($I264,'[2]Table S5'!$A:$K,8,FALSE)</f>
        <v>#N/A</v>
      </c>
      <c r="AU264" t="e">
        <f>VLOOKUP($I264,'[2]Table S5'!$A:$K,9,FALSE)</f>
        <v>#N/A</v>
      </c>
      <c r="AV264" t="e">
        <f>VLOOKUP($I264,'[2]Table S5'!$A:$K,10,FALSE)</f>
        <v>#N/A</v>
      </c>
      <c r="AW264" t="e">
        <f>VLOOKUP($I264,'[2]Table S5'!$A:$K,11,FALSE)</f>
        <v>#N/A</v>
      </c>
    </row>
    <row r="265" spans="1:49">
      <c r="A265" s="12" t="s">
        <v>2002</v>
      </c>
      <c r="B265" t="s">
        <v>2003</v>
      </c>
      <c r="C265" t="s">
        <v>2004</v>
      </c>
      <c r="D265" t="s">
        <v>17</v>
      </c>
      <c r="E265" t="s">
        <v>2005</v>
      </c>
      <c r="F265" s="12" t="s">
        <v>2006</v>
      </c>
      <c r="G265" t="s">
        <v>2007</v>
      </c>
      <c r="H265" t="s">
        <v>2008</v>
      </c>
      <c r="I265" t="s">
        <v>2009</v>
      </c>
      <c r="J265" t="s">
        <v>2009</v>
      </c>
      <c r="K265" t="e">
        <f>VLOOKUP($J265,'[1]Table S6'!$A:$AI,2,FALSE)</f>
        <v>#N/A</v>
      </c>
      <c r="L265" t="e">
        <f>VLOOKUP($J265,'[1]Table S6'!$A:$AI,3,FALSE)</f>
        <v>#N/A</v>
      </c>
      <c r="M265" t="e">
        <f>VLOOKUP($J265,'[1]Table S6'!$A:$AI,4,FALSE)</f>
        <v>#N/A</v>
      </c>
      <c r="N265" t="e">
        <f>VLOOKUP($J265,'[1]Table S6'!$A:$AI,5,FALSE)</f>
        <v>#N/A</v>
      </c>
      <c r="P265" t="e">
        <f>VLOOKUP($J265,'[1]Table S6'!$A:$AI,7,FALSE)</f>
        <v>#N/A</v>
      </c>
      <c r="Q265" t="e">
        <f>VLOOKUP($J265,'[1]Table S6'!$A:$AI,8,FALSE)</f>
        <v>#N/A</v>
      </c>
      <c r="R265" t="e">
        <f>VLOOKUP($J265,'[1]Table S6'!$A:$AI,9,FALSE)</f>
        <v>#N/A</v>
      </c>
      <c r="S265" t="e">
        <f>VLOOKUP($J265,'[1]Table S6'!$A:$AI,10,FALSE)</f>
        <v>#N/A</v>
      </c>
      <c r="U265" t="e">
        <f>VLOOKUP($J265,'[1]Table S6'!$A:$AI,12,FALSE)</f>
        <v>#N/A</v>
      </c>
      <c r="V265" t="e">
        <f>VLOOKUP($J265,'[1]Table S6'!$A:$AI,13,FALSE)</f>
        <v>#N/A</v>
      </c>
      <c r="W265" t="e">
        <f>VLOOKUP($J265,'[1]Table S6'!$A:$AI,14,FALSE)</f>
        <v>#N/A</v>
      </c>
      <c r="X265" t="e">
        <f>VLOOKUP($J265,'[1]Table S6'!$A:$AI,15,FALSE)</f>
        <v>#N/A</v>
      </c>
      <c r="Z265" t="e">
        <f>VLOOKUP($J265,'[1]Table S6'!$A:$AI,17,FALSE)</f>
        <v>#N/A</v>
      </c>
      <c r="AA265" t="e">
        <f>VLOOKUP($J265,'[1]Table S6'!$A:$AI,18,FALSE)</f>
        <v>#N/A</v>
      </c>
      <c r="AB265" t="e">
        <f>VLOOKUP($J265,'[1]Table S6'!$A:$AI,19,FALSE)</f>
        <v>#N/A</v>
      </c>
      <c r="AC265" t="e">
        <f>VLOOKUP($J265,'[1]Table S6'!$A:$AI,20,FALSE)</f>
        <v>#N/A</v>
      </c>
      <c r="AE265" t="e">
        <f>VLOOKUP($J265,'[1]Table S6'!$A:$AI,22,FALSE)</f>
        <v>#N/A</v>
      </c>
      <c r="AF265" t="e">
        <f>VLOOKUP($J265,'[1]Table S6'!$A:$AI,23,FALSE)</f>
        <v>#N/A</v>
      </c>
      <c r="AG265" t="e">
        <f>VLOOKUP($J265,'[1]Table S6'!$A:$AI,24,FALSE)</f>
        <v>#N/A</v>
      </c>
      <c r="AH265" t="e">
        <f>VLOOKUP($J265,'[1]Table S6'!$A:$AI,25,FALSE)</f>
        <v>#N/A</v>
      </c>
      <c r="AJ265" t="e">
        <f>VLOOKUP($J265,'[1]Table S6'!$A:$AI,27,FALSE)</f>
        <v>#N/A</v>
      </c>
      <c r="AK265" t="e">
        <f>VLOOKUP($J265,'[1]Table S6'!$A:$AI,28,FALSE)</f>
        <v>#N/A</v>
      </c>
      <c r="AL265" t="e">
        <f>VLOOKUP($J265,'[1]Table S6'!$A:$AI,29,FALSE)</f>
        <v>#N/A</v>
      </c>
      <c r="AM265" t="e">
        <f>VLOOKUP($J265,'[1]Table S6'!$A:$AI,30,FALSE)</f>
        <v>#N/A</v>
      </c>
      <c r="AO265" t="e">
        <f>VLOOKUP($J265,'[1]Table S6'!$A:$AI,32,FALSE)</f>
        <v>#N/A</v>
      </c>
      <c r="AP265" t="e">
        <f>VLOOKUP($J265,'[1]Table S6'!$A:$AI,33,FALSE)</f>
        <v>#N/A</v>
      </c>
      <c r="AQ265" t="e">
        <f>VLOOKUP($J265,'[1]Table S6'!$A:$AI,34,FALSE)</f>
        <v>#N/A</v>
      </c>
      <c r="AR265" t="e">
        <f>VLOOKUP($J265,'[1]Table S6'!$A:$AI,35,FALSE)</f>
        <v>#N/A</v>
      </c>
      <c r="AT265" t="e">
        <f>VLOOKUP($I265,'[2]Table S5'!$A:$K,8,FALSE)</f>
        <v>#N/A</v>
      </c>
      <c r="AU265" t="e">
        <f>VLOOKUP($I265,'[2]Table S5'!$A:$K,9,FALSE)</f>
        <v>#N/A</v>
      </c>
      <c r="AV265" t="e">
        <f>VLOOKUP($I265,'[2]Table S5'!$A:$K,10,FALSE)</f>
        <v>#N/A</v>
      </c>
      <c r="AW265" t="e">
        <f>VLOOKUP($I265,'[2]Table S5'!$A:$K,11,FALSE)</f>
        <v>#N/A</v>
      </c>
    </row>
    <row r="266" spans="1:49">
      <c r="A266" s="12" t="s">
        <v>2010</v>
      </c>
      <c r="B266" t="s">
        <v>2011</v>
      </c>
      <c r="C266" t="s">
        <v>2012</v>
      </c>
      <c r="D266" t="s">
        <v>17</v>
      </c>
      <c r="E266" t="s">
        <v>2013</v>
      </c>
      <c r="F266" s="12" t="s">
        <v>2014</v>
      </c>
      <c r="G266" t="s">
        <v>2015</v>
      </c>
      <c r="H266" t="s">
        <v>2016</v>
      </c>
      <c r="I266" t="s">
        <v>2009</v>
      </c>
      <c r="J266" t="s">
        <v>2017</v>
      </c>
      <c r="K266">
        <f>VLOOKUP($J266,'[1]Table S6'!$A:$AI,2,FALSE)</f>
        <v>382.5</v>
      </c>
      <c r="L266">
        <f>VLOOKUP($J266,'[1]Table S6'!$A:$AI,3,FALSE)</f>
        <v>0.81400297935731003</v>
      </c>
      <c r="M266">
        <f>VLOOKUP($J266,'[1]Table S6'!$A:$AI,4,FALSE)</f>
        <v>10.32</v>
      </c>
      <c r="N266" t="str">
        <f>VLOOKUP($J266,'[1]Table S6'!$A:$AI,5,FALSE)</f>
        <v>No</v>
      </c>
      <c r="P266">
        <f>VLOOKUP($J266,'[1]Table S6'!$A:$AI,7,FALSE)</f>
        <v>378.7</v>
      </c>
      <c r="Q266">
        <f>VLOOKUP($J266,'[1]Table S6'!$A:$AI,8,FALSE)</f>
        <v>0.80591615237284497</v>
      </c>
      <c r="R266">
        <f>VLOOKUP($J266,'[1]Table S6'!$A:$AI,9,FALSE)</f>
        <v>7.1669999999999998</v>
      </c>
      <c r="S266" t="str">
        <f>VLOOKUP($J266,'[1]Table S6'!$A:$AI,10,FALSE)</f>
        <v>No</v>
      </c>
      <c r="U266">
        <f>VLOOKUP($J266,'[1]Table S6'!$A:$AI,12,FALSE)</f>
        <v>338.2</v>
      </c>
      <c r="V266">
        <f>VLOOKUP($J266,'[1]Table S6'!$A:$AI,13,FALSE)</f>
        <v>0.71972760161736504</v>
      </c>
      <c r="W266">
        <f>VLOOKUP($J266,'[1]Table S6'!$A:$AI,14,FALSE)</f>
        <v>4.3369999999999997</v>
      </c>
      <c r="X266" t="str">
        <f>VLOOKUP($J266,'[1]Table S6'!$A:$AI,15,FALSE)</f>
        <v>No</v>
      </c>
      <c r="Z266">
        <f>VLOOKUP($J266,'[1]Table S6'!$A:$AI,17,FALSE)</f>
        <v>364.9</v>
      </c>
      <c r="AA266">
        <f>VLOOKUP($J266,'[1]Table S6'!$A:$AI,18,FALSE)</f>
        <v>0.77654820174505201</v>
      </c>
      <c r="AB266">
        <f>VLOOKUP($J266,'[1]Table S6'!$A:$AI,19,FALSE)</f>
        <v>8.9700000000000006</v>
      </c>
      <c r="AC266" t="str">
        <f>VLOOKUP($J266,'[1]Table S6'!$A:$AI,20,FALSE)</f>
        <v>No</v>
      </c>
      <c r="AE266">
        <f>VLOOKUP($J266,'[1]Table S6'!$A:$AI,22,FALSE)</f>
        <v>372.3</v>
      </c>
      <c r="AF266">
        <f>VLOOKUP($J266,'[1]Table S6'!$A:$AI,23,FALSE)</f>
        <v>0.79229623324111498</v>
      </c>
      <c r="AG266">
        <f>VLOOKUP($J266,'[1]Table S6'!$A:$AI,24,FALSE)</f>
        <v>10.62</v>
      </c>
      <c r="AH266" t="str">
        <f>VLOOKUP($J266,'[1]Table S6'!$A:$AI,25,FALSE)</f>
        <v>No</v>
      </c>
      <c r="AJ266">
        <f>VLOOKUP($J266,'[1]Table S6'!$A:$AI,27,FALSE)</f>
        <v>384.5</v>
      </c>
      <c r="AK266">
        <f>VLOOKUP($J266,'[1]Table S6'!$A:$AI,28,FALSE)</f>
        <v>0.81825920408597597</v>
      </c>
      <c r="AL266">
        <f>VLOOKUP($J266,'[1]Table S6'!$A:$AI,29,FALSE)</f>
        <v>9.3510000000000009</v>
      </c>
      <c r="AM266" t="str">
        <f>VLOOKUP($J266,'[1]Table S6'!$A:$AI,30,FALSE)</f>
        <v>No</v>
      </c>
      <c r="AO266">
        <f>VLOOKUP($J266,'[1]Table S6'!$A:$AI,32,FALSE)</f>
        <v>375.1</v>
      </c>
      <c r="AP266">
        <f>VLOOKUP($J266,'[1]Table S6'!$A:$AI,33,FALSE)</f>
        <v>0.79825494786124696</v>
      </c>
      <c r="AQ266">
        <f>VLOOKUP($J266,'[1]Table S6'!$A:$AI,34,FALSE)</f>
        <v>8.0960000000000001</v>
      </c>
      <c r="AR266" t="str">
        <f>VLOOKUP($J266,'[1]Table S6'!$A:$AI,35,FALSE)</f>
        <v>No</v>
      </c>
      <c r="AT266" t="e">
        <f>VLOOKUP($I266,'[2]Table S5'!$A:$K,8,FALSE)</f>
        <v>#N/A</v>
      </c>
      <c r="AU266" t="e">
        <f>VLOOKUP($I266,'[2]Table S5'!$A:$K,9,FALSE)</f>
        <v>#N/A</v>
      </c>
      <c r="AV266" t="e">
        <f>VLOOKUP($I266,'[2]Table S5'!$A:$K,10,FALSE)</f>
        <v>#N/A</v>
      </c>
      <c r="AW266" t="e">
        <f>VLOOKUP($I266,'[2]Table S5'!$A:$K,11,FALSE)</f>
        <v>#N/A</v>
      </c>
    </row>
    <row r="267" spans="1:49">
      <c r="A267" s="12" t="s">
        <v>2018</v>
      </c>
      <c r="B267" t="s">
        <v>2019</v>
      </c>
      <c r="C267" t="s">
        <v>2020</v>
      </c>
      <c r="D267" t="s">
        <v>17</v>
      </c>
      <c r="E267" t="s">
        <v>2021</v>
      </c>
      <c r="F267" s="12" t="s">
        <v>2022</v>
      </c>
      <c r="G267" t="s">
        <v>2023</v>
      </c>
      <c r="H267" t="s">
        <v>2024</v>
      </c>
      <c r="I267" t="s">
        <v>2009</v>
      </c>
      <c r="J267" t="s">
        <v>2025</v>
      </c>
      <c r="K267">
        <f>VLOOKUP($J267,'[1]Table S6'!$A:$AI,2,FALSE)</f>
        <v>359.4</v>
      </c>
      <c r="L267">
        <f>VLOOKUP($J267,'[1]Table S6'!$A:$AI,3,FALSE)</f>
        <v>0.76484358374122197</v>
      </c>
      <c r="M267">
        <f>VLOOKUP($J267,'[1]Table S6'!$A:$AI,4,FALSE)</f>
        <v>6.9829999999999997</v>
      </c>
      <c r="N267" t="str">
        <f>VLOOKUP($J267,'[1]Table S6'!$A:$AI,5,FALSE)</f>
        <v>No</v>
      </c>
      <c r="P267">
        <f>VLOOKUP($J267,'[1]Table S6'!$A:$AI,7,FALSE)</f>
        <v>364</v>
      </c>
      <c r="Q267">
        <f>VLOOKUP($J267,'[1]Table S6'!$A:$AI,8,FALSE)</f>
        <v>0.77463290061715295</v>
      </c>
      <c r="R267">
        <f>VLOOKUP($J267,'[1]Table S6'!$A:$AI,9,FALSE)</f>
        <v>6.8979999999999997</v>
      </c>
      <c r="S267" t="str">
        <f>VLOOKUP($J267,'[1]Table S6'!$A:$AI,10,FALSE)</f>
        <v>No</v>
      </c>
      <c r="U267">
        <f>VLOOKUP($J267,'[1]Table S6'!$A:$AI,12,FALSE)</f>
        <v>350.2</v>
      </c>
      <c r="V267">
        <f>VLOOKUP($J267,'[1]Table S6'!$A:$AI,13,FALSE)</f>
        <v>0.74526494998935899</v>
      </c>
      <c r="W267">
        <f>VLOOKUP($J267,'[1]Table S6'!$A:$AI,14,FALSE)</f>
        <v>5.6139999999999999</v>
      </c>
      <c r="X267" t="str">
        <f>VLOOKUP($J267,'[1]Table S6'!$A:$AI,15,FALSE)</f>
        <v>No</v>
      </c>
      <c r="Z267">
        <f>VLOOKUP($J267,'[1]Table S6'!$A:$AI,17,FALSE)</f>
        <v>326.10000000000002</v>
      </c>
      <c r="AA267">
        <f>VLOOKUP($J267,'[1]Table S6'!$A:$AI,18,FALSE)</f>
        <v>0.69397744200893796</v>
      </c>
      <c r="AB267">
        <f>VLOOKUP($J267,'[1]Table S6'!$A:$AI,19,FALSE)</f>
        <v>2.3580000000000001</v>
      </c>
      <c r="AC267" t="str">
        <f>VLOOKUP($J267,'[1]Table S6'!$A:$AI,20,FALSE)</f>
        <v>Yes</v>
      </c>
      <c r="AE267">
        <f>VLOOKUP($J267,'[1]Table S6'!$A:$AI,22,FALSE)</f>
        <v>403.9</v>
      </c>
      <c r="AF267">
        <f>VLOOKUP($J267,'[1]Table S6'!$A:$AI,23,FALSE)</f>
        <v>0.85954458395403299</v>
      </c>
      <c r="AG267">
        <f>VLOOKUP($J267,'[1]Table S6'!$A:$AI,24,FALSE)</f>
        <v>16.43</v>
      </c>
      <c r="AH267" t="str">
        <f>VLOOKUP($J267,'[1]Table S6'!$A:$AI,25,FALSE)</f>
        <v>No</v>
      </c>
      <c r="AJ267">
        <f>VLOOKUP($J267,'[1]Table S6'!$A:$AI,27,FALSE)</f>
        <v>408.7</v>
      </c>
      <c r="AK267">
        <f>VLOOKUP($J267,'[1]Table S6'!$A:$AI,28,FALSE)</f>
        <v>0.86975952330283002</v>
      </c>
      <c r="AL267">
        <f>VLOOKUP($J267,'[1]Table S6'!$A:$AI,29,FALSE)</f>
        <v>116</v>
      </c>
      <c r="AM267" t="str">
        <f>VLOOKUP($J267,'[1]Table S6'!$A:$AI,30,FALSE)</f>
        <v>No</v>
      </c>
      <c r="AO267">
        <f>VLOOKUP($J267,'[1]Table S6'!$A:$AI,32,FALSE)</f>
        <v>424.3</v>
      </c>
      <c r="AP267">
        <f>VLOOKUP($J267,'[1]Table S6'!$A:$AI,33,FALSE)</f>
        <v>0.90295807618642299</v>
      </c>
      <c r="AQ267">
        <f>VLOOKUP($J267,'[1]Table S6'!$A:$AI,34,FALSE)</f>
        <v>163.4</v>
      </c>
      <c r="AR267" t="str">
        <f>VLOOKUP($J267,'[1]Table S6'!$A:$AI,35,FALSE)</f>
        <v>No</v>
      </c>
      <c r="AT267" t="e">
        <f>VLOOKUP($I267,'[2]Table S5'!$A:$K,8,FALSE)</f>
        <v>#N/A</v>
      </c>
      <c r="AU267" t="e">
        <f>VLOOKUP($I267,'[2]Table S5'!$A:$K,9,FALSE)</f>
        <v>#N/A</v>
      </c>
      <c r="AV267" t="e">
        <f>VLOOKUP($I267,'[2]Table S5'!$A:$K,10,FALSE)</f>
        <v>#N/A</v>
      </c>
      <c r="AW267" t="e">
        <f>VLOOKUP($I267,'[2]Table S5'!$A:$K,11,FALSE)</f>
        <v>#N/A</v>
      </c>
    </row>
    <row r="268" spans="1:49">
      <c r="A268" s="12" t="s">
        <v>2026</v>
      </c>
      <c r="B268" t="s">
        <v>2027</v>
      </c>
      <c r="C268" t="s">
        <v>2028</v>
      </c>
      <c r="D268" t="s">
        <v>17</v>
      </c>
      <c r="E268" t="s">
        <v>2029</v>
      </c>
      <c r="F268" s="12" t="s">
        <v>2030</v>
      </c>
      <c r="G268" t="s">
        <v>2031</v>
      </c>
      <c r="H268" t="s">
        <v>2032</v>
      </c>
      <c r="I268" t="s">
        <v>2009</v>
      </c>
      <c r="J268" t="s">
        <v>2033</v>
      </c>
      <c r="K268">
        <f>VLOOKUP($J268,'[1]Table S6'!$A:$AI,2,FALSE)</f>
        <v>345.5</v>
      </c>
      <c r="L268">
        <f>VLOOKUP($J268,'[1]Table S6'!$A:$AI,3,FALSE)</f>
        <v>0.73526282187699499</v>
      </c>
      <c r="M268">
        <f>VLOOKUP($J268,'[1]Table S6'!$A:$AI,4,FALSE)</f>
        <v>7.5060000000000002</v>
      </c>
      <c r="N268" t="str">
        <f>VLOOKUP($J268,'[1]Table S6'!$A:$AI,5,FALSE)</f>
        <v>No</v>
      </c>
      <c r="P268">
        <f>VLOOKUP($J268,'[1]Table S6'!$A:$AI,7,FALSE)</f>
        <v>388</v>
      </c>
      <c r="Q268">
        <f>VLOOKUP($J268,'[1]Table S6'!$A:$AI,8,FALSE)</f>
        <v>0.82570759736114097</v>
      </c>
      <c r="R268">
        <f>VLOOKUP($J268,'[1]Table S6'!$A:$AI,9,FALSE)</f>
        <v>7.0460000000000003</v>
      </c>
      <c r="S268" t="str">
        <f>VLOOKUP($J268,'[1]Table S6'!$A:$AI,10,FALSE)</f>
        <v>No</v>
      </c>
      <c r="U268">
        <f>VLOOKUP($J268,'[1]Table S6'!$A:$AI,12,FALSE)</f>
        <v>388.5</v>
      </c>
      <c r="V268">
        <f>VLOOKUP($J268,'[1]Table S6'!$A:$AI,13,FALSE)</f>
        <v>0.82677165354330695</v>
      </c>
      <c r="W268">
        <f>VLOOKUP($J268,'[1]Table S6'!$A:$AI,14,FALSE)</f>
        <v>14.95</v>
      </c>
      <c r="X268" t="str">
        <f>VLOOKUP($J268,'[1]Table S6'!$A:$AI,15,FALSE)</f>
        <v>No</v>
      </c>
      <c r="Z268">
        <f>VLOOKUP($J268,'[1]Table S6'!$A:$AI,17,FALSE)</f>
        <v>369</v>
      </c>
      <c r="AA268">
        <f>VLOOKUP($J268,'[1]Table S6'!$A:$AI,18,FALSE)</f>
        <v>0.78527346243881702</v>
      </c>
      <c r="AB268">
        <f>VLOOKUP($J268,'[1]Table S6'!$A:$AI,19,FALSE)</f>
        <v>11.05</v>
      </c>
      <c r="AC268" t="str">
        <f>VLOOKUP($J268,'[1]Table S6'!$A:$AI,20,FALSE)</f>
        <v>No</v>
      </c>
      <c r="AE268">
        <f>VLOOKUP($J268,'[1]Table S6'!$A:$AI,22,FALSE)</f>
        <v>366.8</v>
      </c>
      <c r="AF268">
        <f>VLOOKUP($J268,'[1]Table S6'!$A:$AI,23,FALSE)</f>
        <v>0.78059161523728504</v>
      </c>
      <c r="AG268">
        <f>VLOOKUP($J268,'[1]Table S6'!$A:$AI,24,FALSE)</f>
        <v>9.423</v>
      </c>
      <c r="AH268" t="str">
        <f>VLOOKUP($J268,'[1]Table S6'!$A:$AI,25,FALSE)</f>
        <v>No</v>
      </c>
      <c r="AJ268">
        <f>VLOOKUP($J268,'[1]Table S6'!$A:$AI,27,FALSE)</f>
        <v>377.1</v>
      </c>
      <c r="AK268">
        <f>VLOOKUP($J268,'[1]Table S6'!$A:$AI,28,FALSE)</f>
        <v>0.802511172589913</v>
      </c>
      <c r="AL268">
        <f>VLOOKUP($J268,'[1]Table S6'!$A:$AI,29,FALSE)</f>
        <v>16.29</v>
      </c>
      <c r="AM268" t="str">
        <f>VLOOKUP($J268,'[1]Table S6'!$A:$AI,30,FALSE)</f>
        <v>No</v>
      </c>
      <c r="AO268">
        <f>VLOOKUP($J268,'[1]Table S6'!$A:$AI,32,FALSE)</f>
        <v>386.6</v>
      </c>
      <c r="AP268">
        <f>VLOOKUP($J268,'[1]Table S6'!$A:$AI,33,FALSE)</f>
        <v>0.82272824005107503</v>
      </c>
      <c r="AQ268">
        <f>VLOOKUP($J268,'[1]Table S6'!$A:$AI,34,FALSE)</f>
        <v>17.05</v>
      </c>
      <c r="AR268" t="str">
        <f>VLOOKUP($J268,'[1]Table S6'!$A:$AI,35,FALSE)</f>
        <v>No</v>
      </c>
      <c r="AT268" t="e">
        <f>VLOOKUP($I268,'[2]Table S5'!$A:$K,8,FALSE)</f>
        <v>#N/A</v>
      </c>
      <c r="AU268" t="e">
        <f>VLOOKUP($I268,'[2]Table S5'!$A:$K,9,FALSE)</f>
        <v>#N/A</v>
      </c>
      <c r="AV268" t="e">
        <f>VLOOKUP($I268,'[2]Table S5'!$A:$K,10,FALSE)</f>
        <v>#N/A</v>
      </c>
      <c r="AW268" t="e">
        <f>VLOOKUP($I268,'[2]Table S5'!$A:$K,11,FALSE)</f>
        <v>#N/A</v>
      </c>
    </row>
    <row r="269" spans="1:49">
      <c r="A269" s="12" t="s">
        <v>2034</v>
      </c>
      <c r="B269" t="s">
        <v>2035</v>
      </c>
      <c r="C269" t="s">
        <v>2036</v>
      </c>
      <c r="D269" t="s">
        <v>17</v>
      </c>
      <c r="E269" t="s">
        <v>2037</v>
      </c>
      <c r="F269" s="12" t="s">
        <v>2038</v>
      </c>
      <c r="G269" t="s">
        <v>2039</v>
      </c>
      <c r="H269" t="s">
        <v>2040</v>
      </c>
      <c r="I269" t="s">
        <v>2041</v>
      </c>
      <c r="J269" t="s">
        <v>2042</v>
      </c>
      <c r="K269">
        <f>VLOOKUP($J269,'[1]Table S6'!$A:$AI,2,FALSE)</f>
        <v>359.6</v>
      </c>
      <c r="L269">
        <f>VLOOKUP($J269,'[1]Table S6'!$A:$AI,3,FALSE)</f>
        <v>0.765269206214088</v>
      </c>
      <c r="M269">
        <f>VLOOKUP($J269,'[1]Table S6'!$A:$AI,4,FALSE)</f>
        <v>6.2859999999999996</v>
      </c>
      <c r="N269" t="str">
        <f>VLOOKUP($J269,'[1]Table S6'!$A:$AI,5,FALSE)</f>
        <v>No</v>
      </c>
      <c r="P269">
        <f>VLOOKUP($J269,'[1]Table S6'!$A:$AI,7,FALSE)</f>
        <v>354.2</v>
      </c>
      <c r="Q269">
        <f>VLOOKUP($J269,'[1]Table S6'!$A:$AI,8,FALSE)</f>
        <v>0.75377739944669098</v>
      </c>
      <c r="R269">
        <f>VLOOKUP($J269,'[1]Table S6'!$A:$AI,9,FALSE)</f>
        <v>6.992</v>
      </c>
      <c r="S269" t="str">
        <f>VLOOKUP($J269,'[1]Table S6'!$A:$AI,10,FALSE)</f>
        <v>No</v>
      </c>
      <c r="U269">
        <f>VLOOKUP($J269,'[1]Table S6'!$A:$AI,12,FALSE)</f>
        <v>381.7</v>
      </c>
      <c r="V269">
        <f>VLOOKUP($J269,'[1]Table S6'!$A:$AI,13,FALSE)</f>
        <v>0.81230048946584399</v>
      </c>
      <c r="W269">
        <f>VLOOKUP($J269,'[1]Table S6'!$A:$AI,14,FALSE)</f>
        <v>8.7309999999999999</v>
      </c>
      <c r="X269" t="str">
        <f>VLOOKUP($J269,'[1]Table S6'!$A:$AI,15,FALSE)</f>
        <v>No</v>
      </c>
      <c r="Z269">
        <f>VLOOKUP($J269,'[1]Table S6'!$A:$AI,17,FALSE)</f>
        <v>395.2</v>
      </c>
      <c r="AA269">
        <f>VLOOKUP($J269,'[1]Table S6'!$A:$AI,18,FALSE)</f>
        <v>0.841030006384337</v>
      </c>
      <c r="AB269">
        <f>VLOOKUP($J269,'[1]Table S6'!$A:$AI,19,FALSE)</f>
        <v>24.62</v>
      </c>
      <c r="AC269" t="str">
        <f>VLOOKUP($J269,'[1]Table S6'!$A:$AI,20,FALSE)</f>
        <v>No</v>
      </c>
      <c r="AE269">
        <f>VLOOKUP($J269,'[1]Table S6'!$A:$AI,22,FALSE)</f>
        <v>383</v>
      </c>
      <c r="AF269">
        <f>VLOOKUP($J269,'[1]Table S6'!$A:$AI,23,FALSE)</f>
        <v>0.81506703553947701</v>
      </c>
      <c r="AG269">
        <f>VLOOKUP($J269,'[1]Table S6'!$A:$AI,24,FALSE)</f>
        <v>14.69</v>
      </c>
      <c r="AH269" t="str">
        <f>VLOOKUP($J269,'[1]Table S6'!$A:$AI,25,FALSE)</f>
        <v>No</v>
      </c>
      <c r="AJ269">
        <f>VLOOKUP($J269,'[1]Table S6'!$A:$AI,27,FALSE)</f>
        <v>422.6</v>
      </c>
      <c r="AK269">
        <f>VLOOKUP($J269,'[1]Table S6'!$A:$AI,28,FALSE)</f>
        <v>0.899340285167057</v>
      </c>
      <c r="AL269">
        <f>VLOOKUP($J269,'[1]Table S6'!$A:$AI,29,FALSE)</f>
        <v>90.72</v>
      </c>
      <c r="AM269" t="str">
        <f>VLOOKUP($J269,'[1]Table S6'!$A:$AI,30,FALSE)</f>
        <v>No</v>
      </c>
      <c r="AO269">
        <f>VLOOKUP($J269,'[1]Table S6'!$A:$AI,32,FALSE)</f>
        <v>433.8</v>
      </c>
      <c r="AP269">
        <f>VLOOKUP($J269,'[1]Table S6'!$A:$AI,33,FALSE)</f>
        <v>0.92317514364758502</v>
      </c>
      <c r="AQ269">
        <f>VLOOKUP($J269,'[1]Table S6'!$A:$AI,34,FALSE)</f>
        <v>110.2</v>
      </c>
      <c r="AR269" t="str">
        <f>VLOOKUP($J269,'[1]Table S6'!$A:$AI,35,FALSE)</f>
        <v>No</v>
      </c>
      <c r="AT269" t="e">
        <f>VLOOKUP($I269,'[2]Table S5'!$A:$K,8,FALSE)</f>
        <v>#N/A</v>
      </c>
      <c r="AU269" t="e">
        <f>VLOOKUP($I269,'[2]Table S5'!$A:$K,9,FALSE)</f>
        <v>#N/A</v>
      </c>
      <c r="AV269" t="e">
        <f>VLOOKUP($I269,'[2]Table S5'!$A:$K,10,FALSE)</f>
        <v>#N/A</v>
      </c>
      <c r="AW269" t="e">
        <f>VLOOKUP($I269,'[2]Table S5'!$A:$K,11,FALSE)</f>
        <v>#N/A</v>
      </c>
    </row>
    <row r="270" spans="1:49">
      <c r="A270" s="12" t="s">
        <v>2043</v>
      </c>
      <c r="B270" t="s">
        <v>2044</v>
      </c>
      <c r="C270" t="s">
        <v>2045</v>
      </c>
      <c r="D270" t="s">
        <v>17</v>
      </c>
      <c r="E270" t="s">
        <v>2046</v>
      </c>
      <c r="F270" s="12" t="s">
        <v>2047</v>
      </c>
      <c r="G270" t="s">
        <v>2048</v>
      </c>
      <c r="H270" t="s">
        <v>2049</v>
      </c>
      <c r="I270" t="s">
        <v>2041</v>
      </c>
      <c r="J270" t="s">
        <v>2042</v>
      </c>
      <c r="K270">
        <f>VLOOKUP($J270,'[1]Table S6'!$A:$AI,2,FALSE)</f>
        <v>359.6</v>
      </c>
      <c r="L270">
        <f>VLOOKUP($J270,'[1]Table S6'!$A:$AI,3,FALSE)</f>
        <v>0.765269206214088</v>
      </c>
      <c r="M270">
        <f>VLOOKUP($J270,'[1]Table S6'!$A:$AI,4,FALSE)</f>
        <v>6.2859999999999996</v>
      </c>
      <c r="N270" t="str">
        <f>VLOOKUP($J270,'[1]Table S6'!$A:$AI,5,FALSE)</f>
        <v>No</v>
      </c>
      <c r="P270">
        <f>VLOOKUP($J270,'[1]Table S6'!$A:$AI,7,FALSE)</f>
        <v>354.2</v>
      </c>
      <c r="Q270">
        <f>VLOOKUP($J270,'[1]Table S6'!$A:$AI,8,FALSE)</f>
        <v>0.75377739944669098</v>
      </c>
      <c r="R270">
        <f>VLOOKUP($J270,'[1]Table S6'!$A:$AI,9,FALSE)</f>
        <v>6.992</v>
      </c>
      <c r="S270" t="str">
        <f>VLOOKUP($J270,'[1]Table S6'!$A:$AI,10,FALSE)</f>
        <v>No</v>
      </c>
      <c r="U270">
        <f>VLOOKUP($J270,'[1]Table S6'!$A:$AI,12,FALSE)</f>
        <v>381.7</v>
      </c>
      <c r="V270">
        <f>VLOOKUP($J270,'[1]Table S6'!$A:$AI,13,FALSE)</f>
        <v>0.81230048946584399</v>
      </c>
      <c r="W270">
        <f>VLOOKUP($J270,'[1]Table S6'!$A:$AI,14,FALSE)</f>
        <v>8.7309999999999999</v>
      </c>
      <c r="X270" t="str">
        <f>VLOOKUP($J270,'[1]Table S6'!$A:$AI,15,FALSE)</f>
        <v>No</v>
      </c>
      <c r="Z270">
        <f>VLOOKUP($J270,'[1]Table S6'!$A:$AI,17,FALSE)</f>
        <v>395.2</v>
      </c>
      <c r="AA270">
        <f>VLOOKUP($J270,'[1]Table S6'!$A:$AI,18,FALSE)</f>
        <v>0.841030006384337</v>
      </c>
      <c r="AB270">
        <f>VLOOKUP($J270,'[1]Table S6'!$A:$AI,19,FALSE)</f>
        <v>24.62</v>
      </c>
      <c r="AC270" t="str">
        <f>VLOOKUP($J270,'[1]Table S6'!$A:$AI,20,FALSE)</f>
        <v>No</v>
      </c>
      <c r="AE270">
        <f>VLOOKUP($J270,'[1]Table S6'!$A:$AI,22,FALSE)</f>
        <v>383</v>
      </c>
      <c r="AF270">
        <f>VLOOKUP($J270,'[1]Table S6'!$A:$AI,23,FALSE)</f>
        <v>0.81506703553947701</v>
      </c>
      <c r="AG270">
        <f>VLOOKUP($J270,'[1]Table S6'!$A:$AI,24,FALSE)</f>
        <v>14.69</v>
      </c>
      <c r="AH270" t="str">
        <f>VLOOKUP($J270,'[1]Table S6'!$A:$AI,25,FALSE)</f>
        <v>No</v>
      </c>
      <c r="AJ270">
        <f>VLOOKUP($J270,'[1]Table S6'!$A:$AI,27,FALSE)</f>
        <v>422.6</v>
      </c>
      <c r="AK270">
        <f>VLOOKUP($J270,'[1]Table S6'!$A:$AI,28,FALSE)</f>
        <v>0.899340285167057</v>
      </c>
      <c r="AL270">
        <f>VLOOKUP($J270,'[1]Table S6'!$A:$AI,29,FALSE)</f>
        <v>90.72</v>
      </c>
      <c r="AM270" t="str">
        <f>VLOOKUP($J270,'[1]Table S6'!$A:$AI,30,FALSE)</f>
        <v>No</v>
      </c>
      <c r="AO270">
        <f>VLOOKUP($J270,'[1]Table S6'!$A:$AI,32,FALSE)</f>
        <v>433.8</v>
      </c>
      <c r="AP270">
        <f>VLOOKUP($J270,'[1]Table S6'!$A:$AI,33,FALSE)</f>
        <v>0.92317514364758502</v>
      </c>
      <c r="AQ270">
        <f>VLOOKUP($J270,'[1]Table S6'!$A:$AI,34,FALSE)</f>
        <v>110.2</v>
      </c>
      <c r="AR270" t="str">
        <f>VLOOKUP($J270,'[1]Table S6'!$A:$AI,35,FALSE)</f>
        <v>No</v>
      </c>
      <c r="AT270" t="e">
        <f>VLOOKUP($I270,'[2]Table S5'!$A:$K,8,FALSE)</f>
        <v>#N/A</v>
      </c>
      <c r="AU270" t="e">
        <f>VLOOKUP($I270,'[2]Table S5'!$A:$K,9,FALSE)</f>
        <v>#N/A</v>
      </c>
      <c r="AV270" t="e">
        <f>VLOOKUP($I270,'[2]Table S5'!$A:$K,10,FALSE)</f>
        <v>#N/A</v>
      </c>
      <c r="AW270" t="e">
        <f>VLOOKUP($I270,'[2]Table S5'!$A:$K,11,FALSE)</f>
        <v>#N/A</v>
      </c>
    </row>
    <row r="271" spans="1:49">
      <c r="A271" s="12" t="s">
        <v>2050</v>
      </c>
      <c r="B271" t="s">
        <v>2051</v>
      </c>
      <c r="C271" t="s">
        <v>2052</v>
      </c>
      <c r="D271" t="s">
        <v>17</v>
      </c>
      <c r="E271" t="s">
        <v>2053</v>
      </c>
      <c r="F271" s="12" t="s">
        <v>2054</v>
      </c>
      <c r="G271" t="s">
        <v>2055</v>
      </c>
      <c r="H271" t="s">
        <v>2056</v>
      </c>
      <c r="I271" t="s">
        <v>2041</v>
      </c>
      <c r="J271" t="s">
        <v>2042</v>
      </c>
      <c r="K271">
        <f>VLOOKUP($J271,'[1]Table S6'!$A:$AI,2,FALSE)</f>
        <v>359.6</v>
      </c>
      <c r="L271">
        <f>VLOOKUP($J271,'[1]Table S6'!$A:$AI,3,FALSE)</f>
        <v>0.765269206214088</v>
      </c>
      <c r="M271">
        <f>VLOOKUP($J271,'[1]Table S6'!$A:$AI,4,FALSE)</f>
        <v>6.2859999999999996</v>
      </c>
      <c r="N271" t="str">
        <f>VLOOKUP($J271,'[1]Table S6'!$A:$AI,5,FALSE)</f>
        <v>No</v>
      </c>
      <c r="P271">
        <f>VLOOKUP($J271,'[1]Table S6'!$A:$AI,7,FALSE)</f>
        <v>354.2</v>
      </c>
      <c r="Q271">
        <f>VLOOKUP($J271,'[1]Table S6'!$A:$AI,8,FALSE)</f>
        <v>0.75377739944669098</v>
      </c>
      <c r="R271">
        <f>VLOOKUP($J271,'[1]Table S6'!$A:$AI,9,FALSE)</f>
        <v>6.992</v>
      </c>
      <c r="S271" t="str">
        <f>VLOOKUP($J271,'[1]Table S6'!$A:$AI,10,FALSE)</f>
        <v>No</v>
      </c>
      <c r="U271">
        <f>VLOOKUP($J271,'[1]Table S6'!$A:$AI,12,FALSE)</f>
        <v>381.7</v>
      </c>
      <c r="V271">
        <f>VLOOKUP($J271,'[1]Table S6'!$A:$AI,13,FALSE)</f>
        <v>0.81230048946584399</v>
      </c>
      <c r="W271">
        <f>VLOOKUP($J271,'[1]Table S6'!$A:$AI,14,FALSE)</f>
        <v>8.7309999999999999</v>
      </c>
      <c r="X271" t="str">
        <f>VLOOKUP($J271,'[1]Table S6'!$A:$AI,15,FALSE)</f>
        <v>No</v>
      </c>
      <c r="Z271">
        <f>VLOOKUP($J271,'[1]Table S6'!$A:$AI,17,FALSE)</f>
        <v>395.2</v>
      </c>
      <c r="AA271">
        <f>VLOOKUP($J271,'[1]Table S6'!$A:$AI,18,FALSE)</f>
        <v>0.841030006384337</v>
      </c>
      <c r="AB271">
        <f>VLOOKUP($J271,'[1]Table S6'!$A:$AI,19,FALSE)</f>
        <v>24.62</v>
      </c>
      <c r="AC271" t="str">
        <f>VLOOKUP($J271,'[1]Table S6'!$A:$AI,20,FALSE)</f>
        <v>No</v>
      </c>
      <c r="AE271">
        <f>VLOOKUP($J271,'[1]Table S6'!$A:$AI,22,FALSE)</f>
        <v>383</v>
      </c>
      <c r="AF271">
        <f>VLOOKUP($J271,'[1]Table S6'!$A:$AI,23,FALSE)</f>
        <v>0.81506703553947701</v>
      </c>
      <c r="AG271">
        <f>VLOOKUP($J271,'[1]Table S6'!$A:$AI,24,FALSE)</f>
        <v>14.69</v>
      </c>
      <c r="AH271" t="str">
        <f>VLOOKUP($J271,'[1]Table S6'!$A:$AI,25,FALSE)</f>
        <v>No</v>
      </c>
      <c r="AJ271">
        <f>VLOOKUP($J271,'[1]Table S6'!$A:$AI,27,FALSE)</f>
        <v>422.6</v>
      </c>
      <c r="AK271">
        <f>VLOOKUP($J271,'[1]Table S6'!$A:$AI,28,FALSE)</f>
        <v>0.899340285167057</v>
      </c>
      <c r="AL271">
        <f>VLOOKUP($J271,'[1]Table S6'!$A:$AI,29,FALSE)</f>
        <v>90.72</v>
      </c>
      <c r="AM271" t="str">
        <f>VLOOKUP($J271,'[1]Table S6'!$A:$AI,30,FALSE)</f>
        <v>No</v>
      </c>
      <c r="AO271">
        <f>VLOOKUP($J271,'[1]Table S6'!$A:$AI,32,FALSE)</f>
        <v>433.8</v>
      </c>
      <c r="AP271">
        <f>VLOOKUP($J271,'[1]Table S6'!$A:$AI,33,FALSE)</f>
        <v>0.92317514364758502</v>
      </c>
      <c r="AQ271">
        <f>VLOOKUP($J271,'[1]Table S6'!$A:$AI,34,FALSE)</f>
        <v>110.2</v>
      </c>
      <c r="AR271" t="str">
        <f>VLOOKUP($J271,'[1]Table S6'!$A:$AI,35,FALSE)</f>
        <v>No</v>
      </c>
      <c r="AT271" t="e">
        <f>VLOOKUP($I271,'[2]Table S5'!$A:$K,8,FALSE)</f>
        <v>#N/A</v>
      </c>
      <c r="AU271" t="e">
        <f>VLOOKUP($I271,'[2]Table S5'!$A:$K,9,FALSE)</f>
        <v>#N/A</v>
      </c>
      <c r="AV271" t="e">
        <f>VLOOKUP($I271,'[2]Table S5'!$A:$K,10,FALSE)</f>
        <v>#N/A</v>
      </c>
      <c r="AW271" t="e">
        <f>VLOOKUP($I271,'[2]Table S5'!$A:$K,11,FALSE)</f>
        <v>#N/A</v>
      </c>
    </row>
    <row r="272" spans="1:49">
      <c r="A272" s="12" t="s">
        <v>2057</v>
      </c>
      <c r="B272" t="s">
        <v>2058</v>
      </c>
      <c r="C272" t="s">
        <v>2059</v>
      </c>
      <c r="D272" t="s">
        <v>17</v>
      </c>
      <c r="E272" t="s">
        <v>2060</v>
      </c>
      <c r="F272" s="12" t="s">
        <v>2061</v>
      </c>
      <c r="G272" t="s">
        <v>2062</v>
      </c>
      <c r="H272" t="s">
        <v>2063</v>
      </c>
      <c r="I272" t="s">
        <v>2041</v>
      </c>
      <c r="J272" t="s">
        <v>2042</v>
      </c>
      <c r="K272">
        <f>VLOOKUP($J272,'[1]Table S6'!$A:$AI,2,FALSE)</f>
        <v>359.6</v>
      </c>
      <c r="L272">
        <f>VLOOKUP($J272,'[1]Table S6'!$A:$AI,3,FALSE)</f>
        <v>0.765269206214088</v>
      </c>
      <c r="M272">
        <f>VLOOKUP($J272,'[1]Table S6'!$A:$AI,4,FALSE)</f>
        <v>6.2859999999999996</v>
      </c>
      <c r="N272" t="str">
        <f>VLOOKUP($J272,'[1]Table S6'!$A:$AI,5,FALSE)</f>
        <v>No</v>
      </c>
      <c r="P272">
        <f>VLOOKUP($J272,'[1]Table S6'!$A:$AI,7,FALSE)</f>
        <v>354.2</v>
      </c>
      <c r="Q272">
        <f>VLOOKUP($J272,'[1]Table S6'!$A:$AI,8,FALSE)</f>
        <v>0.75377739944669098</v>
      </c>
      <c r="R272">
        <f>VLOOKUP($J272,'[1]Table S6'!$A:$AI,9,FALSE)</f>
        <v>6.992</v>
      </c>
      <c r="S272" t="str">
        <f>VLOOKUP($J272,'[1]Table S6'!$A:$AI,10,FALSE)</f>
        <v>No</v>
      </c>
      <c r="U272">
        <f>VLOOKUP($J272,'[1]Table S6'!$A:$AI,12,FALSE)</f>
        <v>381.7</v>
      </c>
      <c r="V272">
        <f>VLOOKUP($J272,'[1]Table S6'!$A:$AI,13,FALSE)</f>
        <v>0.81230048946584399</v>
      </c>
      <c r="W272">
        <f>VLOOKUP($J272,'[1]Table S6'!$A:$AI,14,FALSE)</f>
        <v>8.7309999999999999</v>
      </c>
      <c r="X272" t="str">
        <f>VLOOKUP($J272,'[1]Table S6'!$A:$AI,15,FALSE)</f>
        <v>No</v>
      </c>
      <c r="Z272">
        <f>VLOOKUP($J272,'[1]Table S6'!$A:$AI,17,FALSE)</f>
        <v>395.2</v>
      </c>
      <c r="AA272">
        <f>VLOOKUP($J272,'[1]Table S6'!$A:$AI,18,FALSE)</f>
        <v>0.841030006384337</v>
      </c>
      <c r="AB272">
        <f>VLOOKUP($J272,'[1]Table S6'!$A:$AI,19,FALSE)</f>
        <v>24.62</v>
      </c>
      <c r="AC272" t="str">
        <f>VLOOKUP($J272,'[1]Table S6'!$A:$AI,20,FALSE)</f>
        <v>No</v>
      </c>
      <c r="AE272">
        <f>VLOOKUP($J272,'[1]Table S6'!$A:$AI,22,FALSE)</f>
        <v>383</v>
      </c>
      <c r="AF272">
        <f>VLOOKUP($J272,'[1]Table S6'!$A:$AI,23,FALSE)</f>
        <v>0.81506703553947701</v>
      </c>
      <c r="AG272">
        <f>VLOOKUP($J272,'[1]Table S6'!$A:$AI,24,FALSE)</f>
        <v>14.69</v>
      </c>
      <c r="AH272" t="str">
        <f>VLOOKUP($J272,'[1]Table S6'!$A:$AI,25,FALSE)</f>
        <v>No</v>
      </c>
      <c r="AJ272">
        <f>VLOOKUP($J272,'[1]Table S6'!$A:$AI,27,FALSE)</f>
        <v>422.6</v>
      </c>
      <c r="AK272">
        <f>VLOOKUP($J272,'[1]Table S6'!$A:$AI,28,FALSE)</f>
        <v>0.899340285167057</v>
      </c>
      <c r="AL272">
        <f>VLOOKUP($J272,'[1]Table S6'!$A:$AI,29,FALSE)</f>
        <v>90.72</v>
      </c>
      <c r="AM272" t="str">
        <f>VLOOKUP($J272,'[1]Table S6'!$A:$AI,30,FALSE)</f>
        <v>No</v>
      </c>
      <c r="AO272">
        <f>VLOOKUP($J272,'[1]Table S6'!$A:$AI,32,FALSE)</f>
        <v>433.8</v>
      </c>
      <c r="AP272">
        <f>VLOOKUP($J272,'[1]Table S6'!$A:$AI,33,FALSE)</f>
        <v>0.92317514364758502</v>
      </c>
      <c r="AQ272">
        <f>VLOOKUP($J272,'[1]Table S6'!$A:$AI,34,FALSE)</f>
        <v>110.2</v>
      </c>
      <c r="AR272" t="str">
        <f>VLOOKUP($J272,'[1]Table S6'!$A:$AI,35,FALSE)</f>
        <v>No</v>
      </c>
      <c r="AT272" t="e">
        <f>VLOOKUP($I272,'[2]Table S5'!$A:$K,8,FALSE)</f>
        <v>#N/A</v>
      </c>
      <c r="AU272" t="e">
        <f>VLOOKUP($I272,'[2]Table S5'!$A:$K,9,FALSE)</f>
        <v>#N/A</v>
      </c>
      <c r="AV272" t="e">
        <f>VLOOKUP($I272,'[2]Table S5'!$A:$K,10,FALSE)</f>
        <v>#N/A</v>
      </c>
      <c r="AW272" t="e">
        <f>VLOOKUP($I272,'[2]Table S5'!$A:$K,11,FALSE)</f>
        <v>#N/A</v>
      </c>
    </row>
    <row r="273" spans="1:49">
      <c r="A273" s="12" t="s">
        <v>2064</v>
      </c>
      <c r="B273" t="s">
        <v>2065</v>
      </c>
      <c r="C273" t="s">
        <v>2066</v>
      </c>
      <c r="D273" t="s">
        <v>17</v>
      </c>
      <c r="E273" t="s">
        <v>2067</v>
      </c>
      <c r="F273" s="12" t="s">
        <v>2068</v>
      </c>
      <c r="G273" t="s">
        <v>2069</v>
      </c>
      <c r="H273" t="s">
        <v>2070</v>
      </c>
      <c r="I273" t="s">
        <v>2071</v>
      </c>
      <c r="J273" t="s">
        <v>2071</v>
      </c>
      <c r="K273" t="e">
        <f>VLOOKUP($J273,'[1]Table S6'!$A:$AI,2,FALSE)</f>
        <v>#N/A</v>
      </c>
      <c r="L273" t="e">
        <f>VLOOKUP($J273,'[1]Table S6'!$A:$AI,3,FALSE)</f>
        <v>#N/A</v>
      </c>
      <c r="M273" t="e">
        <f>VLOOKUP($J273,'[1]Table S6'!$A:$AI,4,FALSE)</f>
        <v>#N/A</v>
      </c>
      <c r="N273" t="e">
        <f>VLOOKUP($J273,'[1]Table S6'!$A:$AI,5,FALSE)</f>
        <v>#N/A</v>
      </c>
      <c r="P273" t="e">
        <f>VLOOKUP($J273,'[1]Table S6'!$A:$AI,7,FALSE)</f>
        <v>#N/A</v>
      </c>
      <c r="Q273" t="e">
        <f>VLOOKUP($J273,'[1]Table S6'!$A:$AI,8,FALSE)</f>
        <v>#N/A</v>
      </c>
      <c r="R273" t="e">
        <f>VLOOKUP($J273,'[1]Table S6'!$A:$AI,9,FALSE)</f>
        <v>#N/A</v>
      </c>
      <c r="S273" t="e">
        <f>VLOOKUP($J273,'[1]Table S6'!$A:$AI,10,FALSE)</f>
        <v>#N/A</v>
      </c>
      <c r="U273" t="e">
        <f>VLOOKUP($J273,'[1]Table S6'!$A:$AI,12,FALSE)</f>
        <v>#N/A</v>
      </c>
      <c r="V273" t="e">
        <f>VLOOKUP($J273,'[1]Table S6'!$A:$AI,13,FALSE)</f>
        <v>#N/A</v>
      </c>
      <c r="W273" t="e">
        <f>VLOOKUP($J273,'[1]Table S6'!$A:$AI,14,FALSE)</f>
        <v>#N/A</v>
      </c>
      <c r="X273" t="e">
        <f>VLOOKUP($J273,'[1]Table S6'!$A:$AI,15,FALSE)</f>
        <v>#N/A</v>
      </c>
      <c r="Z273" t="e">
        <f>VLOOKUP($J273,'[1]Table S6'!$A:$AI,17,FALSE)</f>
        <v>#N/A</v>
      </c>
      <c r="AA273" t="e">
        <f>VLOOKUP($J273,'[1]Table S6'!$A:$AI,18,FALSE)</f>
        <v>#N/A</v>
      </c>
      <c r="AB273" t="e">
        <f>VLOOKUP($J273,'[1]Table S6'!$A:$AI,19,FALSE)</f>
        <v>#N/A</v>
      </c>
      <c r="AC273" t="e">
        <f>VLOOKUP($J273,'[1]Table S6'!$A:$AI,20,FALSE)</f>
        <v>#N/A</v>
      </c>
      <c r="AE273" t="e">
        <f>VLOOKUP($J273,'[1]Table S6'!$A:$AI,22,FALSE)</f>
        <v>#N/A</v>
      </c>
      <c r="AF273" t="e">
        <f>VLOOKUP($J273,'[1]Table S6'!$A:$AI,23,FALSE)</f>
        <v>#N/A</v>
      </c>
      <c r="AG273" t="e">
        <f>VLOOKUP($J273,'[1]Table S6'!$A:$AI,24,FALSE)</f>
        <v>#N/A</v>
      </c>
      <c r="AH273" t="e">
        <f>VLOOKUP($J273,'[1]Table S6'!$A:$AI,25,FALSE)</f>
        <v>#N/A</v>
      </c>
      <c r="AJ273" t="e">
        <f>VLOOKUP($J273,'[1]Table S6'!$A:$AI,27,FALSE)</f>
        <v>#N/A</v>
      </c>
      <c r="AK273" t="e">
        <f>VLOOKUP($J273,'[1]Table S6'!$A:$AI,28,FALSE)</f>
        <v>#N/A</v>
      </c>
      <c r="AL273" t="e">
        <f>VLOOKUP($J273,'[1]Table S6'!$A:$AI,29,FALSE)</f>
        <v>#N/A</v>
      </c>
      <c r="AM273" t="e">
        <f>VLOOKUP($J273,'[1]Table S6'!$A:$AI,30,FALSE)</f>
        <v>#N/A</v>
      </c>
      <c r="AO273" t="e">
        <f>VLOOKUP($J273,'[1]Table S6'!$A:$AI,32,FALSE)</f>
        <v>#N/A</v>
      </c>
      <c r="AP273" t="e">
        <f>VLOOKUP($J273,'[1]Table S6'!$A:$AI,33,FALSE)</f>
        <v>#N/A</v>
      </c>
      <c r="AQ273" t="e">
        <f>VLOOKUP($J273,'[1]Table S6'!$A:$AI,34,FALSE)</f>
        <v>#N/A</v>
      </c>
      <c r="AR273" t="e">
        <f>VLOOKUP($J273,'[1]Table S6'!$A:$AI,35,FALSE)</f>
        <v>#N/A</v>
      </c>
      <c r="AT273" t="e">
        <f>VLOOKUP($I273,'[2]Table S5'!$A:$K,8,FALSE)</f>
        <v>#N/A</v>
      </c>
      <c r="AU273" t="e">
        <f>VLOOKUP($I273,'[2]Table S5'!$A:$K,9,FALSE)</f>
        <v>#N/A</v>
      </c>
      <c r="AV273" t="e">
        <f>VLOOKUP($I273,'[2]Table S5'!$A:$K,10,FALSE)</f>
        <v>#N/A</v>
      </c>
      <c r="AW273" t="e">
        <f>VLOOKUP($I273,'[2]Table S5'!$A:$K,11,FALSE)</f>
        <v>#N/A</v>
      </c>
    </row>
    <row r="274" spans="1:49">
      <c r="A274" s="12" t="s">
        <v>2072</v>
      </c>
      <c r="B274" t="s">
        <v>2073</v>
      </c>
      <c r="C274" t="s">
        <v>2074</v>
      </c>
      <c r="D274" t="s">
        <v>17</v>
      </c>
      <c r="E274" t="s">
        <v>2075</v>
      </c>
      <c r="F274" s="12" t="s">
        <v>2076</v>
      </c>
      <c r="G274" t="s">
        <v>2077</v>
      </c>
      <c r="H274" t="s">
        <v>2078</v>
      </c>
      <c r="I274" t="s">
        <v>2071</v>
      </c>
      <c r="J274" t="s">
        <v>2071</v>
      </c>
      <c r="K274" t="e">
        <f>VLOOKUP($J274,'[1]Table S6'!$A:$AI,2,FALSE)</f>
        <v>#N/A</v>
      </c>
      <c r="L274" t="e">
        <f>VLOOKUP($J274,'[1]Table S6'!$A:$AI,3,FALSE)</f>
        <v>#N/A</v>
      </c>
      <c r="M274" t="e">
        <f>VLOOKUP($J274,'[1]Table S6'!$A:$AI,4,FALSE)</f>
        <v>#N/A</v>
      </c>
      <c r="N274" t="e">
        <f>VLOOKUP($J274,'[1]Table S6'!$A:$AI,5,FALSE)</f>
        <v>#N/A</v>
      </c>
      <c r="P274" t="e">
        <f>VLOOKUP($J274,'[1]Table S6'!$A:$AI,7,FALSE)</f>
        <v>#N/A</v>
      </c>
      <c r="Q274" t="e">
        <f>VLOOKUP($J274,'[1]Table S6'!$A:$AI,8,FALSE)</f>
        <v>#N/A</v>
      </c>
      <c r="R274" t="e">
        <f>VLOOKUP($J274,'[1]Table S6'!$A:$AI,9,FALSE)</f>
        <v>#N/A</v>
      </c>
      <c r="S274" t="e">
        <f>VLOOKUP($J274,'[1]Table S6'!$A:$AI,10,FALSE)</f>
        <v>#N/A</v>
      </c>
      <c r="U274" t="e">
        <f>VLOOKUP($J274,'[1]Table S6'!$A:$AI,12,FALSE)</f>
        <v>#N/A</v>
      </c>
      <c r="V274" t="e">
        <f>VLOOKUP($J274,'[1]Table S6'!$A:$AI,13,FALSE)</f>
        <v>#N/A</v>
      </c>
      <c r="W274" t="e">
        <f>VLOOKUP($J274,'[1]Table S6'!$A:$AI,14,FALSE)</f>
        <v>#N/A</v>
      </c>
      <c r="X274" t="e">
        <f>VLOOKUP($J274,'[1]Table S6'!$A:$AI,15,FALSE)</f>
        <v>#N/A</v>
      </c>
      <c r="Z274" t="e">
        <f>VLOOKUP($J274,'[1]Table S6'!$A:$AI,17,FALSE)</f>
        <v>#N/A</v>
      </c>
      <c r="AA274" t="e">
        <f>VLOOKUP($J274,'[1]Table S6'!$A:$AI,18,FALSE)</f>
        <v>#N/A</v>
      </c>
      <c r="AB274" t="e">
        <f>VLOOKUP($J274,'[1]Table S6'!$A:$AI,19,FALSE)</f>
        <v>#N/A</v>
      </c>
      <c r="AC274" t="e">
        <f>VLOOKUP($J274,'[1]Table S6'!$A:$AI,20,FALSE)</f>
        <v>#N/A</v>
      </c>
      <c r="AE274" t="e">
        <f>VLOOKUP($J274,'[1]Table S6'!$A:$AI,22,FALSE)</f>
        <v>#N/A</v>
      </c>
      <c r="AF274" t="e">
        <f>VLOOKUP($J274,'[1]Table S6'!$A:$AI,23,FALSE)</f>
        <v>#N/A</v>
      </c>
      <c r="AG274" t="e">
        <f>VLOOKUP($J274,'[1]Table S6'!$A:$AI,24,FALSE)</f>
        <v>#N/A</v>
      </c>
      <c r="AH274" t="e">
        <f>VLOOKUP($J274,'[1]Table S6'!$A:$AI,25,FALSE)</f>
        <v>#N/A</v>
      </c>
      <c r="AJ274" t="e">
        <f>VLOOKUP($J274,'[1]Table S6'!$A:$AI,27,FALSE)</f>
        <v>#N/A</v>
      </c>
      <c r="AK274" t="e">
        <f>VLOOKUP($J274,'[1]Table S6'!$A:$AI,28,FALSE)</f>
        <v>#N/A</v>
      </c>
      <c r="AL274" t="e">
        <f>VLOOKUP($J274,'[1]Table S6'!$A:$AI,29,FALSE)</f>
        <v>#N/A</v>
      </c>
      <c r="AM274" t="e">
        <f>VLOOKUP($J274,'[1]Table S6'!$A:$AI,30,FALSE)</f>
        <v>#N/A</v>
      </c>
      <c r="AO274" t="e">
        <f>VLOOKUP($J274,'[1]Table S6'!$A:$AI,32,FALSE)</f>
        <v>#N/A</v>
      </c>
      <c r="AP274" t="e">
        <f>VLOOKUP($J274,'[1]Table S6'!$A:$AI,33,FALSE)</f>
        <v>#N/A</v>
      </c>
      <c r="AQ274" t="e">
        <f>VLOOKUP($J274,'[1]Table S6'!$A:$AI,34,FALSE)</f>
        <v>#N/A</v>
      </c>
      <c r="AR274" t="e">
        <f>VLOOKUP($J274,'[1]Table S6'!$A:$AI,35,FALSE)</f>
        <v>#N/A</v>
      </c>
      <c r="AT274" t="e">
        <f>VLOOKUP($I274,'[2]Table S5'!$A:$K,8,FALSE)</f>
        <v>#N/A</v>
      </c>
      <c r="AU274" t="e">
        <f>VLOOKUP($I274,'[2]Table S5'!$A:$K,9,FALSE)</f>
        <v>#N/A</v>
      </c>
      <c r="AV274" t="e">
        <f>VLOOKUP($I274,'[2]Table S5'!$A:$K,10,FALSE)</f>
        <v>#N/A</v>
      </c>
      <c r="AW274" t="e">
        <f>VLOOKUP($I274,'[2]Table S5'!$A:$K,11,FALSE)</f>
        <v>#N/A</v>
      </c>
    </row>
    <row r="275" spans="1:49">
      <c r="A275" s="12" t="s">
        <v>2079</v>
      </c>
      <c r="B275" t="s">
        <v>2080</v>
      </c>
      <c r="C275" t="s">
        <v>2081</v>
      </c>
      <c r="D275" t="s">
        <v>17</v>
      </c>
      <c r="E275" t="s">
        <v>2082</v>
      </c>
      <c r="F275" s="12" t="s">
        <v>2083</v>
      </c>
      <c r="G275" t="s">
        <v>2084</v>
      </c>
      <c r="H275" t="s">
        <v>2085</v>
      </c>
      <c r="I275" t="s">
        <v>2086</v>
      </c>
      <c r="J275" t="s">
        <v>2086</v>
      </c>
      <c r="K275" t="e">
        <f>VLOOKUP($J275,'[1]Table S6'!$A:$AI,2,FALSE)</f>
        <v>#N/A</v>
      </c>
      <c r="L275" t="e">
        <f>VLOOKUP($J275,'[1]Table S6'!$A:$AI,3,FALSE)</f>
        <v>#N/A</v>
      </c>
      <c r="M275" t="e">
        <f>VLOOKUP($J275,'[1]Table S6'!$A:$AI,4,FALSE)</f>
        <v>#N/A</v>
      </c>
      <c r="N275" t="e">
        <f>VLOOKUP($J275,'[1]Table S6'!$A:$AI,5,FALSE)</f>
        <v>#N/A</v>
      </c>
      <c r="P275" t="e">
        <f>VLOOKUP($J275,'[1]Table S6'!$A:$AI,7,FALSE)</f>
        <v>#N/A</v>
      </c>
      <c r="Q275" t="e">
        <f>VLOOKUP($J275,'[1]Table S6'!$A:$AI,8,FALSE)</f>
        <v>#N/A</v>
      </c>
      <c r="R275" t="e">
        <f>VLOOKUP($J275,'[1]Table S6'!$A:$AI,9,FALSE)</f>
        <v>#N/A</v>
      </c>
      <c r="S275" t="e">
        <f>VLOOKUP($J275,'[1]Table S6'!$A:$AI,10,FALSE)</f>
        <v>#N/A</v>
      </c>
      <c r="U275" t="e">
        <f>VLOOKUP($J275,'[1]Table S6'!$A:$AI,12,FALSE)</f>
        <v>#N/A</v>
      </c>
      <c r="V275" t="e">
        <f>VLOOKUP($J275,'[1]Table S6'!$A:$AI,13,FALSE)</f>
        <v>#N/A</v>
      </c>
      <c r="W275" t="e">
        <f>VLOOKUP($J275,'[1]Table S6'!$A:$AI,14,FALSE)</f>
        <v>#N/A</v>
      </c>
      <c r="X275" t="e">
        <f>VLOOKUP($J275,'[1]Table S6'!$A:$AI,15,FALSE)</f>
        <v>#N/A</v>
      </c>
      <c r="Z275" t="e">
        <f>VLOOKUP($J275,'[1]Table S6'!$A:$AI,17,FALSE)</f>
        <v>#N/A</v>
      </c>
      <c r="AA275" t="e">
        <f>VLOOKUP($J275,'[1]Table S6'!$A:$AI,18,FALSE)</f>
        <v>#N/A</v>
      </c>
      <c r="AB275" t="e">
        <f>VLOOKUP($J275,'[1]Table S6'!$A:$AI,19,FALSE)</f>
        <v>#N/A</v>
      </c>
      <c r="AC275" t="e">
        <f>VLOOKUP($J275,'[1]Table S6'!$A:$AI,20,FALSE)</f>
        <v>#N/A</v>
      </c>
      <c r="AE275" t="e">
        <f>VLOOKUP($J275,'[1]Table S6'!$A:$AI,22,FALSE)</f>
        <v>#N/A</v>
      </c>
      <c r="AF275" t="e">
        <f>VLOOKUP($J275,'[1]Table S6'!$A:$AI,23,FALSE)</f>
        <v>#N/A</v>
      </c>
      <c r="AG275" t="e">
        <f>VLOOKUP($J275,'[1]Table S6'!$A:$AI,24,FALSE)</f>
        <v>#N/A</v>
      </c>
      <c r="AH275" t="e">
        <f>VLOOKUP($J275,'[1]Table S6'!$A:$AI,25,FALSE)</f>
        <v>#N/A</v>
      </c>
      <c r="AJ275" t="e">
        <f>VLOOKUP($J275,'[1]Table S6'!$A:$AI,27,FALSE)</f>
        <v>#N/A</v>
      </c>
      <c r="AK275" t="e">
        <f>VLOOKUP($J275,'[1]Table S6'!$A:$AI,28,FALSE)</f>
        <v>#N/A</v>
      </c>
      <c r="AL275" t="e">
        <f>VLOOKUP($J275,'[1]Table S6'!$A:$AI,29,FALSE)</f>
        <v>#N/A</v>
      </c>
      <c r="AM275" t="e">
        <f>VLOOKUP($J275,'[1]Table S6'!$A:$AI,30,FALSE)</f>
        <v>#N/A</v>
      </c>
      <c r="AO275" t="e">
        <f>VLOOKUP($J275,'[1]Table S6'!$A:$AI,32,FALSE)</f>
        <v>#N/A</v>
      </c>
      <c r="AP275" t="e">
        <f>VLOOKUP($J275,'[1]Table S6'!$A:$AI,33,FALSE)</f>
        <v>#N/A</v>
      </c>
      <c r="AQ275" t="e">
        <f>VLOOKUP($J275,'[1]Table S6'!$A:$AI,34,FALSE)</f>
        <v>#N/A</v>
      </c>
      <c r="AR275" t="e">
        <f>VLOOKUP($J275,'[1]Table S6'!$A:$AI,35,FALSE)</f>
        <v>#N/A</v>
      </c>
      <c r="AT275" t="e">
        <f>VLOOKUP($I275,'[2]Table S5'!$A:$K,8,FALSE)</f>
        <v>#N/A</v>
      </c>
      <c r="AU275" t="e">
        <f>VLOOKUP($I275,'[2]Table S5'!$A:$K,9,FALSE)</f>
        <v>#N/A</v>
      </c>
      <c r="AV275" t="e">
        <f>VLOOKUP($I275,'[2]Table S5'!$A:$K,10,FALSE)</f>
        <v>#N/A</v>
      </c>
      <c r="AW275" t="e">
        <f>VLOOKUP($I275,'[2]Table S5'!$A:$K,11,FALSE)</f>
        <v>#N/A</v>
      </c>
    </row>
    <row r="276" spans="1:49">
      <c r="A276" s="12" t="s">
        <v>2087</v>
      </c>
      <c r="B276" t="s">
        <v>2088</v>
      </c>
      <c r="C276" t="s">
        <v>2089</v>
      </c>
      <c r="D276" t="s">
        <v>17</v>
      </c>
      <c r="E276" t="s">
        <v>2090</v>
      </c>
      <c r="F276" s="12" t="s">
        <v>2091</v>
      </c>
      <c r="G276" t="s">
        <v>2092</v>
      </c>
      <c r="H276" t="s">
        <v>2093</v>
      </c>
      <c r="I276" t="s">
        <v>2086</v>
      </c>
      <c r="J276" t="s">
        <v>2086</v>
      </c>
      <c r="K276" t="e">
        <f>VLOOKUP($J276,'[1]Table S6'!$A:$AI,2,FALSE)</f>
        <v>#N/A</v>
      </c>
      <c r="L276" t="e">
        <f>VLOOKUP($J276,'[1]Table S6'!$A:$AI,3,FALSE)</f>
        <v>#N/A</v>
      </c>
      <c r="M276" t="e">
        <f>VLOOKUP($J276,'[1]Table S6'!$A:$AI,4,FALSE)</f>
        <v>#N/A</v>
      </c>
      <c r="N276" t="e">
        <f>VLOOKUP($J276,'[1]Table S6'!$A:$AI,5,FALSE)</f>
        <v>#N/A</v>
      </c>
      <c r="P276" t="e">
        <f>VLOOKUP($J276,'[1]Table S6'!$A:$AI,7,FALSE)</f>
        <v>#N/A</v>
      </c>
      <c r="Q276" t="e">
        <f>VLOOKUP($J276,'[1]Table S6'!$A:$AI,8,FALSE)</f>
        <v>#N/A</v>
      </c>
      <c r="R276" t="e">
        <f>VLOOKUP($J276,'[1]Table S6'!$A:$AI,9,FALSE)</f>
        <v>#N/A</v>
      </c>
      <c r="S276" t="e">
        <f>VLOOKUP($J276,'[1]Table S6'!$A:$AI,10,FALSE)</f>
        <v>#N/A</v>
      </c>
      <c r="U276" t="e">
        <f>VLOOKUP($J276,'[1]Table S6'!$A:$AI,12,FALSE)</f>
        <v>#N/A</v>
      </c>
      <c r="V276" t="e">
        <f>VLOOKUP($J276,'[1]Table S6'!$A:$AI,13,FALSE)</f>
        <v>#N/A</v>
      </c>
      <c r="W276" t="e">
        <f>VLOOKUP($J276,'[1]Table S6'!$A:$AI,14,FALSE)</f>
        <v>#N/A</v>
      </c>
      <c r="X276" t="e">
        <f>VLOOKUP($J276,'[1]Table S6'!$A:$AI,15,FALSE)</f>
        <v>#N/A</v>
      </c>
      <c r="Z276" t="e">
        <f>VLOOKUP($J276,'[1]Table S6'!$A:$AI,17,FALSE)</f>
        <v>#N/A</v>
      </c>
      <c r="AA276" t="e">
        <f>VLOOKUP($J276,'[1]Table S6'!$A:$AI,18,FALSE)</f>
        <v>#N/A</v>
      </c>
      <c r="AB276" t="e">
        <f>VLOOKUP($J276,'[1]Table S6'!$A:$AI,19,FALSE)</f>
        <v>#N/A</v>
      </c>
      <c r="AC276" t="e">
        <f>VLOOKUP($J276,'[1]Table S6'!$A:$AI,20,FALSE)</f>
        <v>#N/A</v>
      </c>
      <c r="AE276" t="e">
        <f>VLOOKUP($J276,'[1]Table S6'!$A:$AI,22,FALSE)</f>
        <v>#N/A</v>
      </c>
      <c r="AF276" t="e">
        <f>VLOOKUP($J276,'[1]Table S6'!$A:$AI,23,FALSE)</f>
        <v>#N/A</v>
      </c>
      <c r="AG276" t="e">
        <f>VLOOKUP($J276,'[1]Table S6'!$A:$AI,24,FALSE)</f>
        <v>#N/A</v>
      </c>
      <c r="AH276" t="e">
        <f>VLOOKUP($J276,'[1]Table S6'!$A:$AI,25,FALSE)</f>
        <v>#N/A</v>
      </c>
      <c r="AJ276" t="e">
        <f>VLOOKUP($J276,'[1]Table S6'!$A:$AI,27,FALSE)</f>
        <v>#N/A</v>
      </c>
      <c r="AK276" t="e">
        <f>VLOOKUP($J276,'[1]Table S6'!$A:$AI,28,FALSE)</f>
        <v>#N/A</v>
      </c>
      <c r="AL276" t="e">
        <f>VLOOKUP($J276,'[1]Table S6'!$A:$AI,29,FALSE)</f>
        <v>#N/A</v>
      </c>
      <c r="AM276" t="e">
        <f>VLOOKUP($J276,'[1]Table S6'!$A:$AI,30,FALSE)</f>
        <v>#N/A</v>
      </c>
      <c r="AO276" t="e">
        <f>VLOOKUP($J276,'[1]Table S6'!$A:$AI,32,FALSE)</f>
        <v>#N/A</v>
      </c>
      <c r="AP276" t="e">
        <f>VLOOKUP($J276,'[1]Table S6'!$A:$AI,33,FALSE)</f>
        <v>#N/A</v>
      </c>
      <c r="AQ276" t="e">
        <f>VLOOKUP($J276,'[1]Table S6'!$A:$AI,34,FALSE)</f>
        <v>#N/A</v>
      </c>
      <c r="AR276" t="e">
        <f>VLOOKUP($J276,'[1]Table S6'!$A:$AI,35,FALSE)</f>
        <v>#N/A</v>
      </c>
      <c r="AT276" t="e">
        <f>VLOOKUP($I276,'[2]Table S5'!$A:$K,8,FALSE)</f>
        <v>#N/A</v>
      </c>
      <c r="AU276" t="e">
        <f>VLOOKUP($I276,'[2]Table S5'!$A:$K,9,FALSE)</f>
        <v>#N/A</v>
      </c>
      <c r="AV276" t="e">
        <f>VLOOKUP($I276,'[2]Table S5'!$A:$K,10,FALSE)</f>
        <v>#N/A</v>
      </c>
      <c r="AW276" t="e">
        <f>VLOOKUP($I276,'[2]Table S5'!$A:$K,11,FALSE)</f>
        <v>#N/A</v>
      </c>
    </row>
    <row r="277" spans="1:49">
      <c r="A277" s="12" t="s">
        <v>2094</v>
      </c>
      <c r="B277" t="s">
        <v>2095</v>
      </c>
      <c r="C277" t="s">
        <v>2096</v>
      </c>
      <c r="D277" t="s">
        <v>17</v>
      </c>
      <c r="E277" t="s">
        <v>2097</v>
      </c>
      <c r="F277" s="12" t="s">
        <v>2098</v>
      </c>
      <c r="G277" t="s">
        <v>2099</v>
      </c>
      <c r="H277" t="s">
        <v>2100</v>
      </c>
      <c r="I277" t="s">
        <v>2101</v>
      </c>
      <c r="J277" t="s">
        <v>2101</v>
      </c>
      <c r="K277" t="e">
        <f>VLOOKUP($J277,'[1]Table S6'!$A:$AI,2,FALSE)</f>
        <v>#N/A</v>
      </c>
      <c r="L277" t="e">
        <f>VLOOKUP($J277,'[1]Table S6'!$A:$AI,3,FALSE)</f>
        <v>#N/A</v>
      </c>
      <c r="M277" t="e">
        <f>VLOOKUP($J277,'[1]Table S6'!$A:$AI,4,FALSE)</f>
        <v>#N/A</v>
      </c>
      <c r="N277" t="e">
        <f>VLOOKUP($J277,'[1]Table S6'!$A:$AI,5,FALSE)</f>
        <v>#N/A</v>
      </c>
      <c r="P277" t="e">
        <f>VLOOKUP($J277,'[1]Table S6'!$A:$AI,7,FALSE)</f>
        <v>#N/A</v>
      </c>
      <c r="Q277" t="e">
        <f>VLOOKUP($J277,'[1]Table S6'!$A:$AI,8,FALSE)</f>
        <v>#N/A</v>
      </c>
      <c r="R277" t="e">
        <f>VLOOKUP($J277,'[1]Table S6'!$A:$AI,9,FALSE)</f>
        <v>#N/A</v>
      </c>
      <c r="S277" t="e">
        <f>VLOOKUP($J277,'[1]Table S6'!$A:$AI,10,FALSE)</f>
        <v>#N/A</v>
      </c>
      <c r="U277" t="e">
        <f>VLOOKUP($J277,'[1]Table S6'!$A:$AI,12,FALSE)</f>
        <v>#N/A</v>
      </c>
      <c r="V277" t="e">
        <f>VLOOKUP($J277,'[1]Table S6'!$A:$AI,13,FALSE)</f>
        <v>#N/A</v>
      </c>
      <c r="W277" t="e">
        <f>VLOOKUP($J277,'[1]Table S6'!$A:$AI,14,FALSE)</f>
        <v>#N/A</v>
      </c>
      <c r="X277" t="e">
        <f>VLOOKUP($J277,'[1]Table S6'!$A:$AI,15,FALSE)</f>
        <v>#N/A</v>
      </c>
      <c r="Z277" t="e">
        <f>VLOOKUP($J277,'[1]Table S6'!$A:$AI,17,FALSE)</f>
        <v>#N/A</v>
      </c>
      <c r="AA277" t="e">
        <f>VLOOKUP($J277,'[1]Table S6'!$A:$AI,18,FALSE)</f>
        <v>#N/A</v>
      </c>
      <c r="AB277" t="e">
        <f>VLOOKUP($J277,'[1]Table S6'!$A:$AI,19,FALSE)</f>
        <v>#N/A</v>
      </c>
      <c r="AC277" t="e">
        <f>VLOOKUP($J277,'[1]Table S6'!$A:$AI,20,FALSE)</f>
        <v>#N/A</v>
      </c>
      <c r="AE277" t="e">
        <f>VLOOKUP($J277,'[1]Table S6'!$A:$AI,22,FALSE)</f>
        <v>#N/A</v>
      </c>
      <c r="AF277" t="e">
        <f>VLOOKUP($J277,'[1]Table S6'!$A:$AI,23,FALSE)</f>
        <v>#N/A</v>
      </c>
      <c r="AG277" t="e">
        <f>VLOOKUP($J277,'[1]Table S6'!$A:$AI,24,FALSE)</f>
        <v>#N/A</v>
      </c>
      <c r="AH277" t="e">
        <f>VLOOKUP($J277,'[1]Table S6'!$A:$AI,25,FALSE)</f>
        <v>#N/A</v>
      </c>
      <c r="AJ277" t="e">
        <f>VLOOKUP($J277,'[1]Table S6'!$A:$AI,27,FALSE)</f>
        <v>#N/A</v>
      </c>
      <c r="AK277" t="e">
        <f>VLOOKUP($J277,'[1]Table S6'!$A:$AI,28,FALSE)</f>
        <v>#N/A</v>
      </c>
      <c r="AL277" t="e">
        <f>VLOOKUP($J277,'[1]Table S6'!$A:$AI,29,FALSE)</f>
        <v>#N/A</v>
      </c>
      <c r="AM277" t="e">
        <f>VLOOKUP($J277,'[1]Table S6'!$A:$AI,30,FALSE)</f>
        <v>#N/A</v>
      </c>
      <c r="AO277" t="e">
        <f>VLOOKUP($J277,'[1]Table S6'!$A:$AI,32,FALSE)</f>
        <v>#N/A</v>
      </c>
      <c r="AP277" t="e">
        <f>VLOOKUP($J277,'[1]Table S6'!$A:$AI,33,FALSE)</f>
        <v>#N/A</v>
      </c>
      <c r="AQ277" t="e">
        <f>VLOOKUP($J277,'[1]Table S6'!$A:$AI,34,FALSE)</f>
        <v>#N/A</v>
      </c>
      <c r="AR277" t="e">
        <f>VLOOKUP($J277,'[1]Table S6'!$A:$AI,35,FALSE)</f>
        <v>#N/A</v>
      </c>
      <c r="AT277" t="e">
        <f>VLOOKUP($I277,'[2]Table S5'!$A:$K,8,FALSE)</f>
        <v>#N/A</v>
      </c>
      <c r="AU277" t="e">
        <f>VLOOKUP($I277,'[2]Table S5'!$A:$K,9,FALSE)</f>
        <v>#N/A</v>
      </c>
      <c r="AV277" t="e">
        <f>VLOOKUP($I277,'[2]Table S5'!$A:$K,10,FALSE)</f>
        <v>#N/A</v>
      </c>
      <c r="AW277" t="e">
        <f>VLOOKUP($I277,'[2]Table S5'!$A:$K,11,FALSE)</f>
        <v>#N/A</v>
      </c>
    </row>
    <row r="278" spans="1:49">
      <c r="A278" s="12" t="s">
        <v>2102</v>
      </c>
      <c r="B278" t="s">
        <v>2103</v>
      </c>
      <c r="C278" t="s">
        <v>2104</v>
      </c>
      <c r="D278" t="s">
        <v>17</v>
      </c>
      <c r="E278" t="s">
        <v>2105</v>
      </c>
      <c r="F278" s="12" t="s">
        <v>2106</v>
      </c>
      <c r="G278" t="s">
        <v>2107</v>
      </c>
      <c r="H278" t="s">
        <v>2108</v>
      </c>
      <c r="I278" t="s">
        <v>2101</v>
      </c>
      <c r="J278" t="s">
        <v>2101</v>
      </c>
      <c r="K278" t="e">
        <f>VLOOKUP($J278,'[1]Table S6'!$A:$AI,2,FALSE)</f>
        <v>#N/A</v>
      </c>
      <c r="L278" t="e">
        <f>VLOOKUP($J278,'[1]Table S6'!$A:$AI,3,FALSE)</f>
        <v>#N/A</v>
      </c>
      <c r="M278" t="e">
        <f>VLOOKUP($J278,'[1]Table S6'!$A:$AI,4,FALSE)</f>
        <v>#N/A</v>
      </c>
      <c r="N278" t="e">
        <f>VLOOKUP($J278,'[1]Table S6'!$A:$AI,5,FALSE)</f>
        <v>#N/A</v>
      </c>
      <c r="P278" t="e">
        <f>VLOOKUP($J278,'[1]Table S6'!$A:$AI,7,FALSE)</f>
        <v>#N/A</v>
      </c>
      <c r="Q278" t="e">
        <f>VLOOKUP($J278,'[1]Table S6'!$A:$AI,8,FALSE)</f>
        <v>#N/A</v>
      </c>
      <c r="R278" t="e">
        <f>VLOOKUP($J278,'[1]Table S6'!$A:$AI,9,FALSE)</f>
        <v>#N/A</v>
      </c>
      <c r="S278" t="e">
        <f>VLOOKUP($J278,'[1]Table S6'!$A:$AI,10,FALSE)</f>
        <v>#N/A</v>
      </c>
      <c r="U278" t="e">
        <f>VLOOKUP($J278,'[1]Table S6'!$A:$AI,12,FALSE)</f>
        <v>#N/A</v>
      </c>
      <c r="V278" t="e">
        <f>VLOOKUP($J278,'[1]Table S6'!$A:$AI,13,FALSE)</f>
        <v>#N/A</v>
      </c>
      <c r="W278" t="e">
        <f>VLOOKUP($J278,'[1]Table S6'!$A:$AI,14,FALSE)</f>
        <v>#N/A</v>
      </c>
      <c r="X278" t="e">
        <f>VLOOKUP($J278,'[1]Table S6'!$A:$AI,15,FALSE)</f>
        <v>#N/A</v>
      </c>
      <c r="Z278" t="e">
        <f>VLOOKUP($J278,'[1]Table S6'!$A:$AI,17,FALSE)</f>
        <v>#N/A</v>
      </c>
      <c r="AA278" t="e">
        <f>VLOOKUP($J278,'[1]Table S6'!$A:$AI,18,FALSE)</f>
        <v>#N/A</v>
      </c>
      <c r="AB278" t="e">
        <f>VLOOKUP($J278,'[1]Table S6'!$A:$AI,19,FALSE)</f>
        <v>#N/A</v>
      </c>
      <c r="AC278" t="e">
        <f>VLOOKUP($J278,'[1]Table S6'!$A:$AI,20,FALSE)</f>
        <v>#N/A</v>
      </c>
      <c r="AE278" t="e">
        <f>VLOOKUP($J278,'[1]Table S6'!$A:$AI,22,FALSE)</f>
        <v>#N/A</v>
      </c>
      <c r="AF278" t="e">
        <f>VLOOKUP($J278,'[1]Table S6'!$A:$AI,23,FALSE)</f>
        <v>#N/A</v>
      </c>
      <c r="AG278" t="e">
        <f>VLOOKUP($J278,'[1]Table S6'!$A:$AI,24,FALSE)</f>
        <v>#N/A</v>
      </c>
      <c r="AH278" t="e">
        <f>VLOOKUP($J278,'[1]Table S6'!$A:$AI,25,FALSE)</f>
        <v>#N/A</v>
      </c>
      <c r="AJ278" t="e">
        <f>VLOOKUP($J278,'[1]Table S6'!$A:$AI,27,FALSE)</f>
        <v>#N/A</v>
      </c>
      <c r="AK278" t="e">
        <f>VLOOKUP($J278,'[1]Table S6'!$A:$AI,28,FALSE)</f>
        <v>#N/A</v>
      </c>
      <c r="AL278" t="e">
        <f>VLOOKUP($J278,'[1]Table S6'!$A:$AI,29,FALSE)</f>
        <v>#N/A</v>
      </c>
      <c r="AM278" t="e">
        <f>VLOOKUP($J278,'[1]Table S6'!$A:$AI,30,FALSE)</f>
        <v>#N/A</v>
      </c>
      <c r="AO278" t="e">
        <f>VLOOKUP($J278,'[1]Table S6'!$A:$AI,32,FALSE)</f>
        <v>#N/A</v>
      </c>
      <c r="AP278" t="e">
        <f>VLOOKUP($J278,'[1]Table S6'!$A:$AI,33,FALSE)</f>
        <v>#N/A</v>
      </c>
      <c r="AQ278" t="e">
        <f>VLOOKUP($J278,'[1]Table S6'!$A:$AI,34,FALSE)</f>
        <v>#N/A</v>
      </c>
      <c r="AR278" t="e">
        <f>VLOOKUP($J278,'[1]Table S6'!$A:$AI,35,FALSE)</f>
        <v>#N/A</v>
      </c>
      <c r="AT278" t="e">
        <f>VLOOKUP($I278,'[2]Table S5'!$A:$K,8,FALSE)</f>
        <v>#N/A</v>
      </c>
      <c r="AU278" t="e">
        <f>VLOOKUP($I278,'[2]Table S5'!$A:$K,9,FALSE)</f>
        <v>#N/A</v>
      </c>
      <c r="AV278" t="e">
        <f>VLOOKUP($I278,'[2]Table S5'!$A:$K,10,FALSE)</f>
        <v>#N/A</v>
      </c>
      <c r="AW278" t="e">
        <f>VLOOKUP($I278,'[2]Table S5'!$A:$K,11,FALSE)</f>
        <v>#N/A</v>
      </c>
    </row>
    <row r="279" spans="1:49">
      <c r="A279" s="12" t="s">
        <v>2109</v>
      </c>
      <c r="B279" t="s">
        <v>2110</v>
      </c>
      <c r="C279" t="s">
        <v>2111</v>
      </c>
      <c r="D279" t="s">
        <v>17</v>
      </c>
      <c r="E279" t="s">
        <v>2112</v>
      </c>
      <c r="F279" s="12" t="s">
        <v>2113</v>
      </c>
      <c r="G279" t="s">
        <v>2114</v>
      </c>
      <c r="H279" t="s">
        <v>2115</v>
      </c>
      <c r="I279" t="s">
        <v>2116</v>
      </c>
      <c r="J279" t="s">
        <v>2116</v>
      </c>
      <c r="K279" t="e">
        <f>VLOOKUP($J279,'[1]Table S6'!$A:$AI,2,FALSE)</f>
        <v>#N/A</v>
      </c>
      <c r="L279" t="e">
        <f>VLOOKUP($J279,'[1]Table S6'!$A:$AI,3,FALSE)</f>
        <v>#N/A</v>
      </c>
      <c r="M279" t="e">
        <f>VLOOKUP($J279,'[1]Table S6'!$A:$AI,4,FALSE)</f>
        <v>#N/A</v>
      </c>
      <c r="N279" t="e">
        <f>VLOOKUP($J279,'[1]Table S6'!$A:$AI,5,FALSE)</f>
        <v>#N/A</v>
      </c>
      <c r="P279" t="e">
        <f>VLOOKUP($J279,'[1]Table S6'!$A:$AI,7,FALSE)</f>
        <v>#N/A</v>
      </c>
      <c r="Q279" t="e">
        <f>VLOOKUP($J279,'[1]Table S6'!$A:$AI,8,FALSE)</f>
        <v>#N/A</v>
      </c>
      <c r="R279" t="e">
        <f>VLOOKUP($J279,'[1]Table S6'!$A:$AI,9,FALSE)</f>
        <v>#N/A</v>
      </c>
      <c r="S279" t="e">
        <f>VLOOKUP($J279,'[1]Table S6'!$A:$AI,10,FALSE)</f>
        <v>#N/A</v>
      </c>
      <c r="U279" t="e">
        <f>VLOOKUP($J279,'[1]Table S6'!$A:$AI,12,FALSE)</f>
        <v>#N/A</v>
      </c>
      <c r="V279" t="e">
        <f>VLOOKUP($J279,'[1]Table S6'!$A:$AI,13,FALSE)</f>
        <v>#N/A</v>
      </c>
      <c r="W279" t="e">
        <f>VLOOKUP($J279,'[1]Table S6'!$A:$AI,14,FALSE)</f>
        <v>#N/A</v>
      </c>
      <c r="X279" t="e">
        <f>VLOOKUP($J279,'[1]Table S6'!$A:$AI,15,FALSE)</f>
        <v>#N/A</v>
      </c>
      <c r="Z279" t="e">
        <f>VLOOKUP($J279,'[1]Table S6'!$A:$AI,17,FALSE)</f>
        <v>#N/A</v>
      </c>
      <c r="AA279" t="e">
        <f>VLOOKUP($J279,'[1]Table S6'!$A:$AI,18,FALSE)</f>
        <v>#N/A</v>
      </c>
      <c r="AB279" t="e">
        <f>VLOOKUP($J279,'[1]Table S6'!$A:$AI,19,FALSE)</f>
        <v>#N/A</v>
      </c>
      <c r="AC279" t="e">
        <f>VLOOKUP($J279,'[1]Table S6'!$A:$AI,20,FALSE)</f>
        <v>#N/A</v>
      </c>
      <c r="AE279" t="e">
        <f>VLOOKUP($J279,'[1]Table S6'!$A:$AI,22,FALSE)</f>
        <v>#N/A</v>
      </c>
      <c r="AF279" t="e">
        <f>VLOOKUP($J279,'[1]Table S6'!$A:$AI,23,FALSE)</f>
        <v>#N/A</v>
      </c>
      <c r="AG279" t="e">
        <f>VLOOKUP($J279,'[1]Table S6'!$A:$AI,24,FALSE)</f>
        <v>#N/A</v>
      </c>
      <c r="AH279" t="e">
        <f>VLOOKUP($J279,'[1]Table S6'!$A:$AI,25,FALSE)</f>
        <v>#N/A</v>
      </c>
      <c r="AJ279" t="e">
        <f>VLOOKUP($J279,'[1]Table S6'!$A:$AI,27,FALSE)</f>
        <v>#N/A</v>
      </c>
      <c r="AK279" t="e">
        <f>VLOOKUP($J279,'[1]Table S6'!$A:$AI,28,FALSE)</f>
        <v>#N/A</v>
      </c>
      <c r="AL279" t="e">
        <f>VLOOKUP($J279,'[1]Table S6'!$A:$AI,29,FALSE)</f>
        <v>#N/A</v>
      </c>
      <c r="AM279" t="e">
        <f>VLOOKUP($J279,'[1]Table S6'!$A:$AI,30,FALSE)</f>
        <v>#N/A</v>
      </c>
      <c r="AO279" t="e">
        <f>VLOOKUP($J279,'[1]Table S6'!$A:$AI,32,FALSE)</f>
        <v>#N/A</v>
      </c>
      <c r="AP279" t="e">
        <f>VLOOKUP($J279,'[1]Table S6'!$A:$AI,33,FALSE)</f>
        <v>#N/A</v>
      </c>
      <c r="AQ279" t="e">
        <f>VLOOKUP($J279,'[1]Table S6'!$A:$AI,34,FALSE)</f>
        <v>#N/A</v>
      </c>
      <c r="AR279" t="e">
        <f>VLOOKUP($J279,'[1]Table S6'!$A:$AI,35,FALSE)</f>
        <v>#N/A</v>
      </c>
      <c r="AT279" t="e">
        <f>VLOOKUP($I279,'[2]Table S5'!$A:$K,8,FALSE)</f>
        <v>#N/A</v>
      </c>
      <c r="AU279" t="e">
        <f>VLOOKUP($I279,'[2]Table S5'!$A:$K,9,FALSE)</f>
        <v>#N/A</v>
      </c>
      <c r="AV279" t="e">
        <f>VLOOKUP($I279,'[2]Table S5'!$A:$K,10,FALSE)</f>
        <v>#N/A</v>
      </c>
      <c r="AW279" t="e">
        <f>VLOOKUP($I279,'[2]Table S5'!$A:$K,11,FALSE)</f>
        <v>#N/A</v>
      </c>
    </row>
    <row r="280" spans="1:49">
      <c r="A280" s="12" t="s">
        <v>2117</v>
      </c>
      <c r="B280" t="s">
        <v>2118</v>
      </c>
      <c r="C280" t="s">
        <v>2119</v>
      </c>
      <c r="D280" t="s">
        <v>17</v>
      </c>
      <c r="E280" t="s">
        <v>2120</v>
      </c>
      <c r="F280" s="12" t="s">
        <v>2121</v>
      </c>
      <c r="G280" t="s">
        <v>2122</v>
      </c>
      <c r="H280" t="s">
        <v>2123</v>
      </c>
      <c r="I280" t="s">
        <v>2116</v>
      </c>
      <c r="J280" t="s">
        <v>2116</v>
      </c>
      <c r="K280" t="e">
        <f>VLOOKUP($J280,'[1]Table S6'!$A:$AI,2,FALSE)</f>
        <v>#N/A</v>
      </c>
      <c r="L280" t="e">
        <f>VLOOKUP($J280,'[1]Table S6'!$A:$AI,3,FALSE)</f>
        <v>#N/A</v>
      </c>
      <c r="M280" t="e">
        <f>VLOOKUP($J280,'[1]Table S6'!$A:$AI,4,FALSE)</f>
        <v>#N/A</v>
      </c>
      <c r="N280" t="e">
        <f>VLOOKUP($J280,'[1]Table S6'!$A:$AI,5,FALSE)</f>
        <v>#N/A</v>
      </c>
      <c r="P280" t="e">
        <f>VLOOKUP($J280,'[1]Table S6'!$A:$AI,7,FALSE)</f>
        <v>#N/A</v>
      </c>
      <c r="Q280" t="e">
        <f>VLOOKUP($J280,'[1]Table S6'!$A:$AI,8,FALSE)</f>
        <v>#N/A</v>
      </c>
      <c r="R280" t="e">
        <f>VLOOKUP($J280,'[1]Table S6'!$A:$AI,9,FALSE)</f>
        <v>#N/A</v>
      </c>
      <c r="S280" t="e">
        <f>VLOOKUP($J280,'[1]Table S6'!$A:$AI,10,FALSE)</f>
        <v>#N/A</v>
      </c>
      <c r="U280" t="e">
        <f>VLOOKUP($J280,'[1]Table S6'!$A:$AI,12,FALSE)</f>
        <v>#N/A</v>
      </c>
      <c r="V280" t="e">
        <f>VLOOKUP($J280,'[1]Table S6'!$A:$AI,13,FALSE)</f>
        <v>#N/A</v>
      </c>
      <c r="W280" t="e">
        <f>VLOOKUP($J280,'[1]Table S6'!$A:$AI,14,FALSE)</f>
        <v>#N/A</v>
      </c>
      <c r="X280" t="e">
        <f>VLOOKUP($J280,'[1]Table S6'!$A:$AI,15,FALSE)</f>
        <v>#N/A</v>
      </c>
      <c r="Z280" t="e">
        <f>VLOOKUP($J280,'[1]Table S6'!$A:$AI,17,FALSE)</f>
        <v>#N/A</v>
      </c>
      <c r="AA280" t="e">
        <f>VLOOKUP($J280,'[1]Table S6'!$A:$AI,18,FALSE)</f>
        <v>#N/A</v>
      </c>
      <c r="AB280" t="e">
        <f>VLOOKUP($J280,'[1]Table S6'!$A:$AI,19,FALSE)</f>
        <v>#N/A</v>
      </c>
      <c r="AC280" t="e">
        <f>VLOOKUP($J280,'[1]Table S6'!$A:$AI,20,FALSE)</f>
        <v>#N/A</v>
      </c>
      <c r="AE280" t="e">
        <f>VLOOKUP($J280,'[1]Table S6'!$A:$AI,22,FALSE)</f>
        <v>#N/A</v>
      </c>
      <c r="AF280" t="e">
        <f>VLOOKUP($J280,'[1]Table S6'!$A:$AI,23,FALSE)</f>
        <v>#N/A</v>
      </c>
      <c r="AG280" t="e">
        <f>VLOOKUP($J280,'[1]Table S6'!$A:$AI,24,FALSE)</f>
        <v>#N/A</v>
      </c>
      <c r="AH280" t="e">
        <f>VLOOKUP($J280,'[1]Table S6'!$A:$AI,25,FALSE)</f>
        <v>#N/A</v>
      </c>
      <c r="AJ280" t="e">
        <f>VLOOKUP($J280,'[1]Table S6'!$A:$AI,27,FALSE)</f>
        <v>#N/A</v>
      </c>
      <c r="AK280" t="e">
        <f>VLOOKUP($J280,'[1]Table S6'!$A:$AI,28,FALSE)</f>
        <v>#N/A</v>
      </c>
      <c r="AL280" t="e">
        <f>VLOOKUP($J280,'[1]Table S6'!$A:$AI,29,FALSE)</f>
        <v>#N/A</v>
      </c>
      <c r="AM280" t="e">
        <f>VLOOKUP($J280,'[1]Table S6'!$A:$AI,30,FALSE)</f>
        <v>#N/A</v>
      </c>
      <c r="AO280" t="e">
        <f>VLOOKUP($J280,'[1]Table S6'!$A:$AI,32,FALSE)</f>
        <v>#N/A</v>
      </c>
      <c r="AP280" t="e">
        <f>VLOOKUP($J280,'[1]Table S6'!$A:$AI,33,FALSE)</f>
        <v>#N/A</v>
      </c>
      <c r="AQ280" t="e">
        <f>VLOOKUP($J280,'[1]Table S6'!$A:$AI,34,FALSE)</f>
        <v>#N/A</v>
      </c>
      <c r="AR280" t="e">
        <f>VLOOKUP($J280,'[1]Table S6'!$A:$AI,35,FALSE)</f>
        <v>#N/A</v>
      </c>
      <c r="AT280" t="e">
        <f>VLOOKUP($I280,'[2]Table S5'!$A:$K,8,FALSE)</f>
        <v>#N/A</v>
      </c>
      <c r="AU280" t="e">
        <f>VLOOKUP($I280,'[2]Table S5'!$A:$K,9,FALSE)</f>
        <v>#N/A</v>
      </c>
      <c r="AV280" t="e">
        <f>VLOOKUP($I280,'[2]Table S5'!$A:$K,10,FALSE)</f>
        <v>#N/A</v>
      </c>
      <c r="AW280" t="e">
        <f>VLOOKUP($I280,'[2]Table S5'!$A:$K,11,FALSE)</f>
        <v>#N/A</v>
      </c>
    </row>
    <row r="281" spans="1:49">
      <c r="A281" s="12" t="s">
        <v>2124</v>
      </c>
      <c r="B281" t="s">
        <v>2125</v>
      </c>
      <c r="C281" t="s">
        <v>2126</v>
      </c>
      <c r="D281" t="s">
        <v>17</v>
      </c>
      <c r="E281" t="s">
        <v>2127</v>
      </c>
      <c r="F281" s="12" t="s">
        <v>2128</v>
      </c>
      <c r="G281" t="s">
        <v>2129</v>
      </c>
      <c r="H281" t="s">
        <v>2130</v>
      </c>
      <c r="I281" t="s">
        <v>2131</v>
      </c>
      <c r="J281" t="s">
        <v>2131</v>
      </c>
      <c r="K281" t="e">
        <f>VLOOKUP($J281,'[1]Table S6'!$A:$AI,2,FALSE)</f>
        <v>#N/A</v>
      </c>
      <c r="L281" t="e">
        <f>VLOOKUP($J281,'[1]Table S6'!$A:$AI,3,FALSE)</f>
        <v>#N/A</v>
      </c>
      <c r="M281" t="e">
        <f>VLOOKUP($J281,'[1]Table S6'!$A:$AI,4,FALSE)</f>
        <v>#N/A</v>
      </c>
      <c r="N281" t="e">
        <f>VLOOKUP($J281,'[1]Table S6'!$A:$AI,5,FALSE)</f>
        <v>#N/A</v>
      </c>
      <c r="P281" t="e">
        <f>VLOOKUP($J281,'[1]Table S6'!$A:$AI,7,FALSE)</f>
        <v>#N/A</v>
      </c>
      <c r="Q281" t="e">
        <f>VLOOKUP($J281,'[1]Table S6'!$A:$AI,8,FALSE)</f>
        <v>#N/A</v>
      </c>
      <c r="R281" t="e">
        <f>VLOOKUP($J281,'[1]Table S6'!$A:$AI,9,FALSE)</f>
        <v>#N/A</v>
      </c>
      <c r="S281" t="e">
        <f>VLOOKUP($J281,'[1]Table S6'!$A:$AI,10,FALSE)</f>
        <v>#N/A</v>
      </c>
      <c r="U281" t="e">
        <f>VLOOKUP($J281,'[1]Table S6'!$A:$AI,12,FALSE)</f>
        <v>#N/A</v>
      </c>
      <c r="V281" t="e">
        <f>VLOOKUP($J281,'[1]Table S6'!$A:$AI,13,FALSE)</f>
        <v>#N/A</v>
      </c>
      <c r="W281" t="e">
        <f>VLOOKUP($J281,'[1]Table S6'!$A:$AI,14,FALSE)</f>
        <v>#N/A</v>
      </c>
      <c r="X281" t="e">
        <f>VLOOKUP($J281,'[1]Table S6'!$A:$AI,15,FALSE)</f>
        <v>#N/A</v>
      </c>
      <c r="Z281" t="e">
        <f>VLOOKUP($J281,'[1]Table S6'!$A:$AI,17,FALSE)</f>
        <v>#N/A</v>
      </c>
      <c r="AA281" t="e">
        <f>VLOOKUP($J281,'[1]Table S6'!$A:$AI,18,FALSE)</f>
        <v>#N/A</v>
      </c>
      <c r="AB281" t="e">
        <f>VLOOKUP($J281,'[1]Table S6'!$A:$AI,19,FALSE)</f>
        <v>#N/A</v>
      </c>
      <c r="AC281" t="e">
        <f>VLOOKUP($J281,'[1]Table S6'!$A:$AI,20,FALSE)</f>
        <v>#N/A</v>
      </c>
      <c r="AE281" t="e">
        <f>VLOOKUP($J281,'[1]Table S6'!$A:$AI,22,FALSE)</f>
        <v>#N/A</v>
      </c>
      <c r="AF281" t="e">
        <f>VLOOKUP($J281,'[1]Table S6'!$A:$AI,23,FALSE)</f>
        <v>#N/A</v>
      </c>
      <c r="AG281" t="e">
        <f>VLOOKUP($J281,'[1]Table S6'!$A:$AI,24,FALSE)</f>
        <v>#N/A</v>
      </c>
      <c r="AH281" t="e">
        <f>VLOOKUP($J281,'[1]Table S6'!$A:$AI,25,FALSE)</f>
        <v>#N/A</v>
      </c>
      <c r="AJ281" t="e">
        <f>VLOOKUP($J281,'[1]Table S6'!$A:$AI,27,FALSE)</f>
        <v>#N/A</v>
      </c>
      <c r="AK281" t="e">
        <f>VLOOKUP($J281,'[1]Table S6'!$A:$AI,28,FALSE)</f>
        <v>#N/A</v>
      </c>
      <c r="AL281" t="e">
        <f>VLOOKUP($J281,'[1]Table S6'!$A:$AI,29,FALSE)</f>
        <v>#N/A</v>
      </c>
      <c r="AM281" t="e">
        <f>VLOOKUP($J281,'[1]Table S6'!$A:$AI,30,FALSE)</f>
        <v>#N/A</v>
      </c>
      <c r="AO281" t="e">
        <f>VLOOKUP($J281,'[1]Table S6'!$A:$AI,32,FALSE)</f>
        <v>#N/A</v>
      </c>
      <c r="AP281" t="e">
        <f>VLOOKUP($J281,'[1]Table S6'!$A:$AI,33,FALSE)</f>
        <v>#N/A</v>
      </c>
      <c r="AQ281" t="e">
        <f>VLOOKUP($J281,'[1]Table S6'!$A:$AI,34,FALSE)</f>
        <v>#N/A</v>
      </c>
      <c r="AR281" t="e">
        <f>VLOOKUP($J281,'[1]Table S6'!$A:$AI,35,FALSE)</f>
        <v>#N/A</v>
      </c>
      <c r="AT281" t="e">
        <f>VLOOKUP($I281,'[2]Table S5'!$A:$K,8,FALSE)</f>
        <v>#N/A</v>
      </c>
      <c r="AU281" t="e">
        <f>VLOOKUP($I281,'[2]Table S5'!$A:$K,9,FALSE)</f>
        <v>#N/A</v>
      </c>
      <c r="AV281" t="e">
        <f>VLOOKUP($I281,'[2]Table S5'!$A:$K,10,FALSE)</f>
        <v>#N/A</v>
      </c>
      <c r="AW281" t="e">
        <f>VLOOKUP($I281,'[2]Table S5'!$A:$K,11,FALSE)</f>
        <v>#N/A</v>
      </c>
    </row>
    <row r="282" spans="1:49">
      <c r="A282" s="12" t="s">
        <v>2132</v>
      </c>
      <c r="B282" t="s">
        <v>2133</v>
      </c>
      <c r="C282" t="s">
        <v>2134</v>
      </c>
      <c r="D282" t="s">
        <v>17</v>
      </c>
      <c r="E282" t="s">
        <v>2135</v>
      </c>
      <c r="F282" s="12" t="s">
        <v>2136</v>
      </c>
      <c r="G282" t="s">
        <v>2137</v>
      </c>
      <c r="H282" t="s">
        <v>2138</v>
      </c>
      <c r="I282" t="s">
        <v>2131</v>
      </c>
      <c r="J282" t="s">
        <v>2131</v>
      </c>
      <c r="K282" t="e">
        <f>VLOOKUP($J282,'[1]Table S6'!$A:$AI,2,FALSE)</f>
        <v>#N/A</v>
      </c>
      <c r="L282" t="e">
        <f>VLOOKUP($J282,'[1]Table S6'!$A:$AI,3,FALSE)</f>
        <v>#N/A</v>
      </c>
      <c r="M282" t="e">
        <f>VLOOKUP($J282,'[1]Table S6'!$A:$AI,4,FALSE)</f>
        <v>#N/A</v>
      </c>
      <c r="N282" t="e">
        <f>VLOOKUP($J282,'[1]Table S6'!$A:$AI,5,FALSE)</f>
        <v>#N/A</v>
      </c>
      <c r="P282" t="e">
        <f>VLOOKUP($J282,'[1]Table S6'!$A:$AI,7,FALSE)</f>
        <v>#N/A</v>
      </c>
      <c r="Q282" t="e">
        <f>VLOOKUP($J282,'[1]Table S6'!$A:$AI,8,FALSE)</f>
        <v>#N/A</v>
      </c>
      <c r="R282" t="e">
        <f>VLOOKUP($J282,'[1]Table S6'!$A:$AI,9,FALSE)</f>
        <v>#N/A</v>
      </c>
      <c r="S282" t="e">
        <f>VLOOKUP($J282,'[1]Table S6'!$A:$AI,10,FALSE)</f>
        <v>#N/A</v>
      </c>
      <c r="U282" t="e">
        <f>VLOOKUP($J282,'[1]Table S6'!$A:$AI,12,FALSE)</f>
        <v>#N/A</v>
      </c>
      <c r="V282" t="e">
        <f>VLOOKUP($J282,'[1]Table S6'!$A:$AI,13,FALSE)</f>
        <v>#N/A</v>
      </c>
      <c r="W282" t="e">
        <f>VLOOKUP($J282,'[1]Table S6'!$A:$AI,14,FALSE)</f>
        <v>#N/A</v>
      </c>
      <c r="X282" t="e">
        <f>VLOOKUP($J282,'[1]Table S6'!$A:$AI,15,FALSE)</f>
        <v>#N/A</v>
      </c>
      <c r="Z282" t="e">
        <f>VLOOKUP($J282,'[1]Table S6'!$A:$AI,17,FALSE)</f>
        <v>#N/A</v>
      </c>
      <c r="AA282" t="e">
        <f>VLOOKUP($J282,'[1]Table S6'!$A:$AI,18,FALSE)</f>
        <v>#N/A</v>
      </c>
      <c r="AB282" t="e">
        <f>VLOOKUP($J282,'[1]Table S6'!$A:$AI,19,FALSE)</f>
        <v>#N/A</v>
      </c>
      <c r="AC282" t="e">
        <f>VLOOKUP($J282,'[1]Table S6'!$A:$AI,20,FALSE)</f>
        <v>#N/A</v>
      </c>
      <c r="AE282" t="e">
        <f>VLOOKUP($J282,'[1]Table S6'!$A:$AI,22,FALSE)</f>
        <v>#N/A</v>
      </c>
      <c r="AF282" t="e">
        <f>VLOOKUP($J282,'[1]Table S6'!$A:$AI,23,FALSE)</f>
        <v>#N/A</v>
      </c>
      <c r="AG282" t="e">
        <f>VLOOKUP($J282,'[1]Table S6'!$A:$AI,24,FALSE)</f>
        <v>#N/A</v>
      </c>
      <c r="AH282" t="e">
        <f>VLOOKUP($J282,'[1]Table S6'!$A:$AI,25,FALSE)</f>
        <v>#N/A</v>
      </c>
      <c r="AJ282" t="e">
        <f>VLOOKUP($J282,'[1]Table S6'!$A:$AI,27,FALSE)</f>
        <v>#N/A</v>
      </c>
      <c r="AK282" t="e">
        <f>VLOOKUP($J282,'[1]Table S6'!$A:$AI,28,FALSE)</f>
        <v>#N/A</v>
      </c>
      <c r="AL282" t="e">
        <f>VLOOKUP($J282,'[1]Table S6'!$A:$AI,29,FALSE)</f>
        <v>#N/A</v>
      </c>
      <c r="AM282" t="e">
        <f>VLOOKUP($J282,'[1]Table S6'!$A:$AI,30,FALSE)</f>
        <v>#N/A</v>
      </c>
      <c r="AO282" t="e">
        <f>VLOOKUP($J282,'[1]Table S6'!$A:$AI,32,FALSE)</f>
        <v>#N/A</v>
      </c>
      <c r="AP282" t="e">
        <f>VLOOKUP($J282,'[1]Table S6'!$A:$AI,33,FALSE)</f>
        <v>#N/A</v>
      </c>
      <c r="AQ282" t="e">
        <f>VLOOKUP($J282,'[1]Table S6'!$A:$AI,34,FALSE)</f>
        <v>#N/A</v>
      </c>
      <c r="AR282" t="e">
        <f>VLOOKUP($J282,'[1]Table S6'!$A:$AI,35,FALSE)</f>
        <v>#N/A</v>
      </c>
      <c r="AT282" t="e">
        <f>VLOOKUP($I282,'[2]Table S5'!$A:$K,8,FALSE)</f>
        <v>#N/A</v>
      </c>
      <c r="AU282" t="e">
        <f>VLOOKUP($I282,'[2]Table S5'!$A:$K,9,FALSE)</f>
        <v>#N/A</v>
      </c>
      <c r="AV282" t="e">
        <f>VLOOKUP($I282,'[2]Table S5'!$A:$K,10,FALSE)</f>
        <v>#N/A</v>
      </c>
      <c r="AW282" t="e">
        <f>VLOOKUP($I282,'[2]Table S5'!$A:$K,11,FALSE)</f>
        <v>#N/A</v>
      </c>
    </row>
    <row r="283" spans="1:49">
      <c r="A283" s="12" t="s">
        <v>2139</v>
      </c>
      <c r="B283" t="s">
        <v>2140</v>
      </c>
      <c r="C283" t="s">
        <v>2141</v>
      </c>
      <c r="D283" t="s">
        <v>17</v>
      </c>
      <c r="E283" t="s">
        <v>2142</v>
      </c>
      <c r="F283" s="12" t="s">
        <v>2143</v>
      </c>
      <c r="G283" t="s">
        <v>2144</v>
      </c>
      <c r="H283" t="s">
        <v>2145</v>
      </c>
      <c r="I283" t="s">
        <v>2146</v>
      </c>
      <c r="J283" t="s">
        <v>2146</v>
      </c>
      <c r="K283" t="e">
        <f>VLOOKUP($J283,'[1]Table S6'!$A:$AI,2,FALSE)</f>
        <v>#N/A</v>
      </c>
      <c r="L283" t="e">
        <f>VLOOKUP($J283,'[1]Table S6'!$A:$AI,3,FALSE)</f>
        <v>#N/A</v>
      </c>
      <c r="M283" t="e">
        <f>VLOOKUP($J283,'[1]Table S6'!$A:$AI,4,FALSE)</f>
        <v>#N/A</v>
      </c>
      <c r="N283" t="e">
        <f>VLOOKUP($J283,'[1]Table S6'!$A:$AI,5,FALSE)</f>
        <v>#N/A</v>
      </c>
      <c r="P283" t="e">
        <f>VLOOKUP($J283,'[1]Table S6'!$A:$AI,7,FALSE)</f>
        <v>#N/A</v>
      </c>
      <c r="Q283" t="e">
        <f>VLOOKUP($J283,'[1]Table S6'!$A:$AI,8,FALSE)</f>
        <v>#N/A</v>
      </c>
      <c r="R283" t="e">
        <f>VLOOKUP($J283,'[1]Table S6'!$A:$AI,9,FALSE)</f>
        <v>#N/A</v>
      </c>
      <c r="S283" t="e">
        <f>VLOOKUP($J283,'[1]Table S6'!$A:$AI,10,FALSE)</f>
        <v>#N/A</v>
      </c>
      <c r="U283" t="e">
        <f>VLOOKUP($J283,'[1]Table S6'!$A:$AI,12,FALSE)</f>
        <v>#N/A</v>
      </c>
      <c r="V283" t="e">
        <f>VLOOKUP($J283,'[1]Table S6'!$A:$AI,13,FALSE)</f>
        <v>#N/A</v>
      </c>
      <c r="W283" t="e">
        <f>VLOOKUP($J283,'[1]Table S6'!$A:$AI,14,FALSE)</f>
        <v>#N/A</v>
      </c>
      <c r="X283" t="e">
        <f>VLOOKUP($J283,'[1]Table S6'!$A:$AI,15,FALSE)</f>
        <v>#N/A</v>
      </c>
      <c r="Z283" t="e">
        <f>VLOOKUP($J283,'[1]Table S6'!$A:$AI,17,FALSE)</f>
        <v>#N/A</v>
      </c>
      <c r="AA283" t="e">
        <f>VLOOKUP($J283,'[1]Table S6'!$A:$AI,18,FALSE)</f>
        <v>#N/A</v>
      </c>
      <c r="AB283" t="e">
        <f>VLOOKUP($J283,'[1]Table S6'!$A:$AI,19,FALSE)</f>
        <v>#N/A</v>
      </c>
      <c r="AC283" t="e">
        <f>VLOOKUP($J283,'[1]Table S6'!$A:$AI,20,FALSE)</f>
        <v>#N/A</v>
      </c>
      <c r="AE283" t="e">
        <f>VLOOKUP($J283,'[1]Table S6'!$A:$AI,22,FALSE)</f>
        <v>#N/A</v>
      </c>
      <c r="AF283" t="e">
        <f>VLOOKUP($J283,'[1]Table S6'!$A:$AI,23,FALSE)</f>
        <v>#N/A</v>
      </c>
      <c r="AG283" t="e">
        <f>VLOOKUP($J283,'[1]Table S6'!$A:$AI,24,FALSE)</f>
        <v>#N/A</v>
      </c>
      <c r="AH283" t="e">
        <f>VLOOKUP($J283,'[1]Table S6'!$A:$AI,25,FALSE)</f>
        <v>#N/A</v>
      </c>
      <c r="AJ283" t="e">
        <f>VLOOKUP($J283,'[1]Table S6'!$A:$AI,27,FALSE)</f>
        <v>#N/A</v>
      </c>
      <c r="AK283" t="e">
        <f>VLOOKUP($J283,'[1]Table S6'!$A:$AI,28,FALSE)</f>
        <v>#N/A</v>
      </c>
      <c r="AL283" t="e">
        <f>VLOOKUP($J283,'[1]Table S6'!$A:$AI,29,FALSE)</f>
        <v>#N/A</v>
      </c>
      <c r="AM283" t="e">
        <f>VLOOKUP($J283,'[1]Table S6'!$A:$AI,30,FALSE)</f>
        <v>#N/A</v>
      </c>
      <c r="AO283" t="e">
        <f>VLOOKUP($J283,'[1]Table S6'!$A:$AI,32,FALSE)</f>
        <v>#N/A</v>
      </c>
      <c r="AP283" t="e">
        <f>VLOOKUP($J283,'[1]Table S6'!$A:$AI,33,FALSE)</f>
        <v>#N/A</v>
      </c>
      <c r="AQ283" t="e">
        <f>VLOOKUP($J283,'[1]Table S6'!$A:$AI,34,FALSE)</f>
        <v>#N/A</v>
      </c>
      <c r="AR283" t="e">
        <f>VLOOKUP($J283,'[1]Table S6'!$A:$AI,35,FALSE)</f>
        <v>#N/A</v>
      </c>
      <c r="AT283" t="e">
        <f>VLOOKUP($I283,'[2]Table S5'!$A:$K,8,FALSE)</f>
        <v>#N/A</v>
      </c>
      <c r="AU283" t="e">
        <f>VLOOKUP($I283,'[2]Table S5'!$A:$K,9,FALSE)</f>
        <v>#N/A</v>
      </c>
      <c r="AV283" t="e">
        <f>VLOOKUP($I283,'[2]Table S5'!$A:$K,10,FALSE)</f>
        <v>#N/A</v>
      </c>
      <c r="AW283" t="e">
        <f>VLOOKUP($I283,'[2]Table S5'!$A:$K,11,FALSE)</f>
        <v>#N/A</v>
      </c>
    </row>
    <row r="284" spans="1:49">
      <c r="A284" s="12" t="s">
        <v>2147</v>
      </c>
      <c r="B284" t="s">
        <v>2148</v>
      </c>
      <c r="C284" t="s">
        <v>2149</v>
      </c>
      <c r="D284" t="s">
        <v>17</v>
      </c>
      <c r="E284" t="s">
        <v>2150</v>
      </c>
      <c r="F284" s="12" t="s">
        <v>2151</v>
      </c>
      <c r="G284" t="s">
        <v>2152</v>
      </c>
      <c r="H284" t="s">
        <v>2153</v>
      </c>
      <c r="I284" t="s">
        <v>2146</v>
      </c>
      <c r="J284" t="s">
        <v>2146</v>
      </c>
      <c r="K284" t="e">
        <f>VLOOKUP($J284,'[1]Table S6'!$A:$AI,2,FALSE)</f>
        <v>#N/A</v>
      </c>
      <c r="L284" t="e">
        <f>VLOOKUP($J284,'[1]Table S6'!$A:$AI,3,FALSE)</f>
        <v>#N/A</v>
      </c>
      <c r="M284" t="e">
        <f>VLOOKUP($J284,'[1]Table S6'!$A:$AI,4,FALSE)</f>
        <v>#N/A</v>
      </c>
      <c r="N284" t="e">
        <f>VLOOKUP($J284,'[1]Table S6'!$A:$AI,5,FALSE)</f>
        <v>#N/A</v>
      </c>
      <c r="P284" t="e">
        <f>VLOOKUP($J284,'[1]Table S6'!$A:$AI,7,FALSE)</f>
        <v>#N/A</v>
      </c>
      <c r="Q284" t="e">
        <f>VLOOKUP($J284,'[1]Table S6'!$A:$AI,8,FALSE)</f>
        <v>#N/A</v>
      </c>
      <c r="R284" t="e">
        <f>VLOOKUP($J284,'[1]Table S6'!$A:$AI,9,FALSE)</f>
        <v>#N/A</v>
      </c>
      <c r="S284" t="e">
        <f>VLOOKUP($J284,'[1]Table S6'!$A:$AI,10,FALSE)</f>
        <v>#N/A</v>
      </c>
      <c r="U284" t="e">
        <f>VLOOKUP($J284,'[1]Table S6'!$A:$AI,12,FALSE)</f>
        <v>#N/A</v>
      </c>
      <c r="V284" t="e">
        <f>VLOOKUP($J284,'[1]Table S6'!$A:$AI,13,FALSE)</f>
        <v>#N/A</v>
      </c>
      <c r="W284" t="e">
        <f>VLOOKUP($J284,'[1]Table S6'!$A:$AI,14,FALSE)</f>
        <v>#N/A</v>
      </c>
      <c r="X284" t="e">
        <f>VLOOKUP($J284,'[1]Table S6'!$A:$AI,15,FALSE)</f>
        <v>#N/A</v>
      </c>
      <c r="Z284" t="e">
        <f>VLOOKUP($J284,'[1]Table S6'!$A:$AI,17,FALSE)</f>
        <v>#N/A</v>
      </c>
      <c r="AA284" t="e">
        <f>VLOOKUP($J284,'[1]Table S6'!$A:$AI,18,FALSE)</f>
        <v>#N/A</v>
      </c>
      <c r="AB284" t="e">
        <f>VLOOKUP($J284,'[1]Table S6'!$A:$AI,19,FALSE)</f>
        <v>#N/A</v>
      </c>
      <c r="AC284" t="e">
        <f>VLOOKUP($J284,'[1]Table S6'!$A:$AI,20,FALSE)</f>
        <v>#N/A</v>
      </c>
      <c r="AE284" t="e">
        <f>VLOOKUP($J284,'[1]Table S6'!$A:$AI,22,FALSE)</f>
        <v>#N/A</v>
      </c>
      <c r="AF284" t="e">
        <f>VLOOKUP($J284,'[1]Table S6'!$A:$AI,23,FALSE)</f>
        <v>#N/A</v>
      </c>
      <c r="AG284" t="e">
        <f>VLOOKUP($J284,'[1]Table S6'!$A:$AI,24,FALSE)</f>
        <v>#N/A</v>
      </c>
      <c r="AH284" t="e">
        <f>VLOOKUP($J284,'[1]Table S6'!$A:$AI,25,FALSE)</f>
        <v>#N/A</v>
      </c>
      <c r="AJ284" t="e">
        <f>VLOOKUP($J284,'[1]Table S6'!$A:$AI,27,FALSE)</f>
        <v>#N/A</v>
      </c>
      <c r="AK284" t="e">
        <f>VLOOKUP($J284,'[1]Table S6'!$A:$AI,28,FALSE)</f>
        <v>#N/A</v>
      </c>
      <c r="AL284" t="e">
        <f>VLOOKUP($J284,'[1]Table S6'!$A:$AI,29,FALSE)</f>
        <v>#N/A</v>
      </c>
      <c r="AM284" t="e">
        <f>VLOOKUP($J284,'[1]Table S6'!$A:$AI,30,FALSE)</f>
        <v>#N/A</v>
      </c>
      <c r="AO284" t="e">
        <f>VLOOKUP($J284,'[1]Table S6'!$A:$AI,32,FALSE)</f>
        <v>#N/A</v>
      </c>
      <c r="AP284" t="e">
        <f>VLOOKUP($J284,'[1]Table S6'!$A:$AI,33,FALSE)</f>
        <v>#N/A</v>
      </c>
      <c r="AQ284" t="e">
        <f>VLOOKUP($J284,'[1]Table S6'!$A:$AI,34,FALSE)</f>
        <v>#N/A</v>
      </c>
      <c r="AR284" t="e">
        <f>VLOOKUP($J284,'[1]Table S6'!$A:$AI,35,FALSE)</f>
        <v>#N/A</v>
      </c>
      <c r="AT284" t="e">
        <f>VLOOKUP($I284,'[2]Table S5'!$A:$K,8,FALSE)</f>
        <v>#N/A</v>
      </c>
      <c r="AU284" t="e">
        <f>VLOOKUP($I284,'[2]Table S5'!$A:$K,9,FALSE)</f>
        <v>#N/A</v>
      </c>
      <c r="AV284" t="e">
        <f>VLOOKUP($I284,'[2]Table S5'!$A:$K,10,FALSE)</f>
        <v>#N/A</v>
      </c>
      <c r="AW284" t="e">
        <f>VLOOKUP($I284,'[2]Table S5'!$A:$K,11,FALSE)</f>
        <v>#N/A</v>
      </c>
    </row>
    <row r="285" spans="1:49">
      <c r="A285" s="12" t="s">
        <v>2154</v>
      </c>
      <c r="B285" t="s">
        <v>2155</v>
      </c>
      <c r="C285" t="s">
        <v>2156</v>
      </c>
      <c r="D285" t="s">
        <v>17</v>
      </c>
      <c r="E285" t="s">
        <v>2157</v>
      </c>
      <c r="F285" s="12" t="s">
        <v>2158</v>
      </c>
      <c r="G285" t="s">
        <v>2159</v>
      </c>
      <c r="H285" t="s">
        <v>2160</v>
      </c>
      <c r="I285" t="s">
        <v>2161</v>
      </c>
      <c r="J285" t="s">
        <v>2161</v>
      </c>
      <c r="K285" t="e">
        <f>VLOOKUP($J285,'[1]Table S6'!$A:$AI,2,FALSE)</f>
        <v>#N/A</v>
      </c>
      <c r="L285" t="e">
        <f>VLOOKUP($J285,'[1]Table S6'!$A:$AI,3,FALSE)</f>
        <v>#N/A</v>
      </c>
      <c r="M285" t="e">
        <f>VLOOKUP($J285,'[1]Table S6'!$A:$AI,4,FALSE)</f>
        <v>#N/A</v>
      </c>
      <c r="N285" t="e">
        <f>VLOOKUP($J285,'[1]Table S6'!$A:$AI,5,FALSE)</f>
        <v>#N/A</v>
      </c>
      <c r="P285" t="e">
        <f>VLOOKUP($J285,'[1]Table S6'!$A:$AI,7,FALSE)</f>
        <v>#N/A</v>
      </c>
      <c r="Q285" t="e">
        <f>VLOOKUP($J285,'[1]Table S6'!$A:$AI,8,FALSE)</f>
        <v>#N/A</v>
      </c>
      <c r="R285" t="e">
        <f>VLOOKUP($J285,'[1]Table S6'!$A:$AI,9,FALSE)</f>
        <v>#N/A</v>
      </c>
      <c r="S285" t="e">
        <f>VLOOKUP($J285,'[1]Table S6'!$A:$AI,10,FALSE)</f>
        <v>#N/A</v>
      </c>
      <c r="U285" t="e">
        <f>VLOOKUP($J285,'[1]Table S6'!$A:$AI,12,FALSE)</f>
        <v>#N/A</v>
      </c>
      <c r="V285" t="e">
        <f>VLOOKUP($J285,'[1]Table S6'!$A:$AI,13,FALSE)</f>
        <v>#N/A</v>
      </c>
      <c r="W285" t="e">
        <f>VLOOKUP($J285,'[1]Table S6'!$A:$AI,14,FALSE)</f>
        <v>#N/A</v>
      </c>
      <c r="X285" t="e">
        <f>VLOOKUP($J285,'[1]Table S6'!$A:$AI,15,FALSE)</f>
        <v>#N/A</v>
      </c>
      <c r="Z285" t="e">
        <f>VLOOKUP($J285,'[1]Table S6'!$A:$AI,17,FALSE)</f>
        <v>#N/A</v>
      </c>
      <c r="AA285" t="e">
        <f>VLOOKUP($J285,'[1]Table S6'!$A:$AI,18,FALSE)</f>
        <v>#N/A</v>
      </c>
      <c r="AB285" t="e">
        <f>VLOOKUP($J285,'[1]Table S6'!$A:$AI,19,FALSE)</f>
        <v>#N/A</v>
      </c>
      <c r="AC285" t="e">
        <f>VLOOKUP($J285,'[1]Table S6'!$A:$AI,20,FALSE)</f>
        <v>#N/A</v>
      </c>
      <c r="AE285" t="e">
        <f>VLOOKUP($J285,'[1]Table S6'!$A:$AI,22,FALSE)</f>
        <v>#N/A</v>
      </c>
      <c r="AF285" t="e">
        <f>VLOOKUP($J285,'[1]Table S6'!$A:$AI,23,FALSE)</f>
        <v>#N/A</v>
      </c>
      <c r="AG285" t="e">
        <f>VLOOKUP($J285,'[1]Table S6'!$A:$AI,24,FALSE)</f>
        <v>#N/A</v>
      </c>
      <c r="AH285" t="e">
        <f>VLOOKUP($J285,'[1]Table S6'!$A:$AI,25,FALSE)</f>
        <v>#N/A</v>
      </c>
      <c r="AJ285" t="e">
        <f>VLOOKUP($J285,'[1]Table S6'!$A:$AI,27,FALSE)</f>
        <v>#N/A</v>
      </c>
      <c r="AK285" t="e">
        <f>VLOOKUP($J285,'[1]Table S6'!$A:$AI,28,FALSE)</f>
        <v>#N/A</v>
      </c>
      <c r="AL285" t="e">
        <f>VLOOKUP($J285,'[1]Table S6'!$A:$AI,29,FALSE)</f>
        <v>#N/A</v>
      </c>
      <c r="AM285" t="e">
        <f>VLOOKUP($J285,'[1]Table S6'!$A:$AI,30,FALSE)</f>
        <v>#N/A</v>
      </c>
      <c r="AO285" t="e">
        <f>VLOOKUP($J285,'[1]Table S6'!$A:$AI,32,FALSE)</f>
        <v>#N/A</v>
      </c>
      <c r="AP285" t="e">
        <f>VLOOKUP($J285,'[1]Table S6'!$A:$AI,33,FALSE)</f>
        <v>#N/A</v>
      </c>
      <c r="AQ285" t="e">
        <f>VLOOKUP($J285,'[1]Table S6'!$A:$AI,34,FALSE)</f>
        <v>#N/A</v>
      </c>
      <c r="AR285" t="e">
        <f>VLOOKUP($J285,'[1]Table S6'!$A:$AI,35,FALSE)</f>
        <v>#N/A</v>
      </c>
      <c r="AT285" t="e">
        <f>VLOOKUP($I285,'[2]Table S5'!$A:$K,8,FALSE)</f>
        <v>#N/A</v>
      </c>
      <c r="AU285" t="e">
        <f>VLOOKUP($I285,'[2]Table S5'!$A:$K,9,FALSE)</f>
        <v>#N/A</v>
      </c>
      <c r="AV285" t="e">
        <f>VLOOKUP($I285,'[2]Table S5'!$A:$K,10,FALSE)</f>
        <v>#N/A</v>
      </c>
      <c r="AW285" t="e">
        <f>VLOOKUP($I285,'[2]Table S5'!$A:$K,11,FALSE)</f>
        <v>#N/A</v>
      </c>
    </row>
    <row r="286" spans="1:49">
      <c r="A286" s="12" t="s">
        <v>2162</v>
      </c>
      <c r="B286" t="s">
        <v>2163</v>
      </c>
      <c r="C286" t="s">
        <v>2164</v>
      </c>
      <c r="D286" t="s">
        <v>17</v>
      </c>
      <c r="E286" t="s">
        <v>2165</v>
      </c>
      <c r="F286" s="12" t="s">
        <v>2166</v>
      </c>
      <c r="G286" t="s">
        <v>2167</v>
      </c>
      <c r="H286" t="s">
        <v>2168</v>
      </c>
      <c r="I286" t="s">
        <v>2161</v>
      </c>
      <c r="J286" t="s">
        <v>2161</v>
      </c>
      <c r="K286" t="e">
        <f>VLOOKUP($J286,'[1]Table S6'!$A:$AI,2,FALSE)</f>
        <v>#N/A</v>
      </c>
      <c r="L286" t="e">
        <f>VLOOKUP($J286,'[1]Table S6'!$A:$AI,3,FALSE)</f>
        <v>#N/A</v>
      </c>
      <c r="M286" t="e">
        <f>VLOOKUP($J286,'[1]Table S6'!$A:$AI,4,FALSE)</f>
        <v>#N/A</v>
      </c>
      <c r="N286" t="e">
        <f>VLOOKUP($J286,'[1]Table S6'!$A:$AI,5,FALSE)</f>
        <v>#N/A</v>
      </c>
      <c r="P286" t="e">
        <f>VLOOKUP($J286,'[1]Table S6'!$A:$AI,7,FALSE)</f>
        <v>#N/A</v>
      </c>
      <c r="Q286" t="e">
        <f>VLOOKUP($J286,'[1]Table S6'!$A:$AI,8,FALSE)</f>
        <v>#N/A</v>
      </c>
      <c r="R286" t="e">
        <f>VLOOKUP($J286,'[1]Table S6'!$A:$AI,9,FALSE)</f>
        <v>#N/A</v>
      </c>
      <c r="S286" t="e">
        <f>VLOOKUP($J286,'[1]Table S6'!$A:$AI,10,FALSE)</f>
        <v>#N/A</v>
      </c>
      <c r="U286" t="e">
        <f>VLOOKUP($J286,'[1]Table S6'!$A:$AI,12,FALSE)</f>
        <v>#N/A</v>
      </c>
      <c r="V286" t="e">
        <f>VLOOKUP($J286,'[1]Table S6'!$A:$AI,13,FALSE)</f>
        <v>#N/A</v>
      </c>
      <c r="W286" t="e">
        <f>VLOOKUP($J286,'[1]Table S6'!$A:$AI,14,FALSE)</f>
        <v>#N/A</v>
      </c>
      <c r="X286" t="e">
        <f>VLOOKUP($J286,'[1]Table S6'!$A:$AI,15,FALSE)</f>
        <v>#N/A</v>
      </c>
      <c r="Z286" t="e">
        <f>VLOOKUP($J286,'[1]Table S6'!$A:$AI,17,FALSE)</f>
        <v>#N/A</v>
      </c>
      <c r="AA286" t="e">
        <f>VLOOKUP($J286,'[1]Table S6'!$A:$AI,18,FALSE)</f>
        <v>#N/A</v>
      </c>
      <c r="AB286" t="e">
        <f>VLOOKUP($J286,'[1]Table S6'!$A:$AI,19,FALSE)</f>
        <v>#N/A</v>
      </c>
      <c r="AC286" t="e">
        <f>VLOOKUP($J286,'[1]Table S6'!$A:$AI,20,FALSE)</f>
        <v>#N/A</v>
      </c>
      <c r="AE286" t="e">
        <f>VLOOKUP($J286,'[1]Table S6'!$A:$AI,22,FALSE)</f>
        <v>#N/A</v>
      </c>
      <c r="AF286" t="e">
        <f>VLOOKUP($J286,'[1]Table S6'!$A:$AI,23,FALSE)</f>
        <v>#N/A</v>
      </c>
      <c r="AG286" t="e">
        <f>VLOOKUP($J286,'[1]Table S6'!$A:$AI,24,FALSE)</f>
        <v>#N/A</v>
      </c>
      <c r="AH286" t="e">
        <f>VLOOKUP($J286,'[1]Table S6'!$A:$AI,25,FALSE)</f>
        <v>#N/A</v>
      </c>
      <c r="AJ286" t="e">
        <f>VLOOKUP($J286,'[1]Table S6'!$A:$AI,27,FALSE)</f>
        <v>#N/A</v>
      </c>
      <c r="AK286" t="e">
        <f>VLOOKUP($J286,'[1]Table S6'!$A:$AI,28,FALSE)</f>
        <v>#N/A</v>
      </c>
      <c r="AL286" t="e">
        <f>VLOOKUP($J286,'[1]Table S6'!$A:$AI,29,FALSE)</f>
        <v>#N/A</v>
      </c>
      <c r="AM286" t="e">
        <f>VLOOKUP($J286,'[1]Table S6'!$A:$AI,30,FALSE)</f>
        <v>#N/A</v>
      </c>
      <c r="AO286" t="e">
        <f>VLOOKUP($J286,'[1]Table S6'!$A:$AI,32,FALSE)</f>
        <v>#N/A</v>
      </c>
      <c r="AP286" t="e">
        <f>VLOOKUP($J286,'[1]Table S6'!$A:$AI,33,FALSE)</f>
        <v>#N/A</v>
      </c>
      <c r="AQ286" t="e">
        <f>VLOOKUP($J286,'[1]Table S6'!$A:$AI,34,FALSE)</f>
        <v>#N/A</v>
      </c>
      <c r="AR286" t="e">
        <f>VLOOKUP($J286,'[1]Table S6'!$A:$AI,35,FALSE)</f>
        <v>#N/A</v>
      </c>
      <c r="AT286" t="e">
        <f>VLOOKUP($I286,'[2]Table S5'!$A:$K,8,FALSE)</f>
        <v>#N/A</v>
      </c>
      <c r="AU286" t="e">
        <f>VLOOKUP($I286,'[2]Table S5'!$A:$K,9,FALSE)</f>
        <v>#N/A</v>
      </c>
      <c r="AV286" t="e">
        <f>VLOOKUP($I286,'[2]Table S5'!$A:$K,10,FALSE)</f>
        <v>#N/A</v>
      </c>
      <c r="AW286" t="e">
        <f>VLOOKUP($I286,'[2]Table S5'!$A:$K,11,FALSE)</f>
        <v>#N/A</v>
      </c>
    </row>
    <row r="287" spans="1:49">
      <c r="A287" s="12" t="s">
        <v>2169</v>
      </c>
      <c r="B287" t="s">
        <v>2170</v>
      </c>
      <c r="C287" t="s">
        <v>2171</v>
      </c>
      <c r="D287" t="s">
        <v>17</v>
      </c>
      <c r="E287" t="s">
        <v>2172</v>
      </c>
      <c r="F287" s="12" t="s">
        <v>2173</v>
      </c>
      <c r="G287" t="s">
        <v>2174</v>
      </c>
      <c r="H287" t="s">
        <v>2175</v>
      </c>
      <c r="I287" t="s">
        <v>2176</v>
      </c>
      <c r="J287" t="s">
        <v>2176</v>
      </c>
      <c r="K287" t="e">
        <f>VLOOKUP($J287,'[1]Table S6'!$A:$AI,2,FALSE)</f>
        <v>#N/A</v>
      </c>
      <c r="L287" t="e">
        <f>VLOOKUP($J287,'[1]Table S6'!$A:$AI,3,FALSE)</f>
        <v>#N/A</v>
      </c>
      <c r="M287" t="e">
        <f>VLOOKUP($J287,'[1]Table S6'!$A:$AI,4,FALSE)</f>
        <v>#N/A</v>
      </c>
      <c r="N287" t="e">
        <f>VLOOKUP($J287,'[1]Table S6'!$A:$AI,5,FALSE)</f>
        <v>#N/A</v>
      </c>
      <c r="P287" t="e">
        <f>VLOOKUP($J287,'[1]Table S6'!$A:$AI,7,FALSE)</f>
        <v>#N/A</v>
      </c>
      <c r="Q287" t="e">
        <f>VLOOKUP($J287,'[1]Table S6'!$A:$AI,8,FALSE)</f>
        <v>#N/A</v>
      </c>
      <c r="R287" t="e">
        <f>VLOOKUP($J287,'[1]Table S6'!$A:$AI,9,FALSE)</f>
        <v>#N/A</v>
      </c>
      <c r="S287" t="e">
        <f>VLOOKUP($J287,'[1]Table S6'!$A:$AI,10,FALSE)</f>
        <v>#N/A</v>
      </c>
      <c r="U287" t="e">
        <f>VLOOKUP($J287,'[1]Table S6'!$A:$AI,12,FALSE)</f>
        <v>#N/A</v>
      </c>
      <c r="V287" t="e">
        <f>VLOOKUP($J287,'[1]Table S6'!$A:$AI,13,FALSE)</f>
        <v>#N/A</v>
      </c>
      <c r="W287" t="e">
        <f>VLOOKUP($J287,'[1]Table S6'!$A:$AI,14,FALSE)</f>
        <v>#N/A</v>
      </c>
      <c r="X287" t="e">
        <f>VLOOKUP($J287,'[1]Table S6'!$A:$AI,15,FALSE)</f>
        <v>#N/A</v>
      </c>
      <c r="Z287" t="e">
        <f>VLOOKUP($J287,'[1]Table S6'!$A:$AI,17,FALSE)</f>
        <v>#N/A</v>
      </c>
      <c r="AA287" t="e">
        <f>VLOOKUP($J287,'[1]Table S6'!$A:$AI,18,FALSE)</f>
        <v>#N/A</v>
      </c>
      <c r="AB287" t="e">
        <f>VLOOKUP($J287,'[1]Table S6'!$A:$AI,19,FALSE)</f>
        <v>#N/A</v>
      </c>
      <c r="AC287" t="e">
        <f>VLOOKUP($J287,'[1]Table S6'!$A:$AI,20,FALSE)</f>
        <v>#N/A</v>
      </c>
      <c r="AE287" t="e">
        <f>VLOOKUP($J287,'[1]Table S6'!$A:$AI,22,FALSE)</f>
        <v>#N/A</v>
      </c>
      <c r="AF287" t="e">
        <f>VLOOKUP($J287,'[1]Table S6'!$A:$AI,23,FALSE)</f>
        <v>#N/A</v>
      </c>
      <c r="AG287" t="e">
        <f>VLOOKUP($J287,'[1]Table S6'!$A:$AI,24,FALSE)</f>
        <v>#N/A</v>
      </c>
      <c r="AH287" t="e">
        <f>VLOOKUP($J287,'[1]Table S6'!$A:$AI,25,FALSE)</f>
        <v>#N/A</v>
      </c>
      <c r="AJ287" t="e">
        <f>VLOOKUP($J287,'[1]Table S6'!$A:$AI,27,FALSE)</f>
        <v>#N/A</v>
      </c>
      <c r="AK287" t="e">
        <f>VLOOKUP($J287,'[1]Table S6'!$A:$AI,28,FALSE)</f>
        <v>#N/A</v>
      </c>
      <c r="AL287" t="e">
        <f>VLOOKUP($J287,'[1]Table S6'!$A:$AI,29,FALSE)</f>
        <v>#N/A</v>
      </c>
      <c r="AM287" t="e">
        <f>VLOOKUP($J287,'[1]Table S6'!$A:$AI,30,FALSE)</f>
        <v>#N/A</v>
      </c>
      <c r="AO287" t="e">
        <f>VLOOKUP($J287,'[1]Table S6'!$A:$AI,32,FALSE)</f>
        <v>#N/A</v>
      </c>
      <c r="AP287" t="e">
        <f>VLOOKUP($J287,'[1]Table S6'!$A:$AI,33,FALSE)</f>
        <v>#N/A</v>
      </c>
      <c r="AQ287" t="e">
        <f>VLOOKUP($J287,'[1]Table S6'!$A:$AI,34,FALSE)</f>
        <v>#N/A</v>
      </c>
      <c r="AR287" t="e">
        <f>VLOOKUP($J287,'[1]Table S6'!$A:$AI,35,FALSE)</f>
        <v>#N/A</v>
      </c>
      <c r="AT287" t="e">
        <f>VLOOKUP($I287,'[2]Table S5'!$A:$K,8,FALSE)</f>
        <v>#N/A</v>
      </c>
      <c r="AU287" t="e">
        <f>VLOOKUP($I287,'[2]Table S5'!$A:$K,9,FALSE)</f>
        <v>#N/A</v>
      </c>
      <c r="AV287" t="e">
        <f>VLOOKUP($I287,'[2]Table S5'!$A:$K,10,FALSE)</f>
        <v>#N/A</v>
      </c>
      <c r="AW287" t="e">
        <f>VLOOKUP($I287,'[2]Table S5'!$A:$K,11,FALSE)</f>
        <v>#N/A</v>
      </c>
    </row>
    <row r="288" spans="1:49">
      <c r="A288" s="12" t="s">
        <v>2177</v>
      </c>
      <c r="B288" t="s">
        <v>2178</v>
      </c>
      <c r="C288" t="s">
        <v>2179</v>
      </c>
      <c r="D288" t="s">
        <v>17</v>
      </c>
      <c r="E288" t="s">
        <v>2180</v>
      </c>
      <c r="F288" s="12" t="s">
        <v>2181</v>
      </c>
      <c r="G288" t="s">
        <v>2182</v>
      </c>
      <c r="H288" t="s">
        <v>2183</v>
      </c>
      <c r="I288" t="s">
        <v>2176</v>
      </c>
      <c r="J288" t="s">
        <v>2176</v>
      </c>
      <c r="K288" t="e">
        <f>VLOOKUP($J288,'[1]Table S6'!$A:$AI,2,FALSE)</f>
        <v>#N/A</v>
      </c>
      <c r="L288" t="e">
        <f>VLOOKUP($J288,'[1]Table S6'!$A:$AI,3,FALSE)</f>
        <v>#N/A</v>
      </c>
      <c r="M288" t="e">
        <f>VLOOKUP($J288,'[1]Table S6'!$A:$AI,4,FALSE)</f>
        <v>#N/A</v>
      </c>
      <c r="N288" t="e">
        <f>VLOOKUP($J288,'[1]Table S6'!$A:$AI,5,FALSE)</f>
        <v>#N/A</v>
      </c>
      <c r="P288" t="e">
        <f>VLOOKUP($J288,'[1]Table S6'!$A:$AI,7,FALSE)</f>
        <v>#N/A</v>
      </c>
      <c r="Q288" t="e">
        <f>VLOOKUP($J288,'[1]Table S6'!$A:$AI,8,FALSE)</f>
        <v>#N/A</v>
      </c>
      <c r="R288" t="e">
        <f>VLOOKUP($J288,'[1]Table S6'!$A:$AI,9,FALSE)</f>
        <v>#N/A</v>
      </c>
      <c r="S288" t="e">
        <f>VLOOKUP($J288,'[1]Table S6'!$A:$AI,10,FALSE)</f>
        <v>#N/A</v>
      </c>
      <c r="U288" t="e">
        <f>VLOOKUP($J288,'[1]Table S6'!$A:$AI,12,FALSE)</f>
        <v>#N/A</v>
      </c>
      <c r="V288" t="e">
        <f>VLOOKUP($J288,'[1]Table S6'!$A:$AI,13,FALSE)</f>
        <v>#N/A</v>
      </c>
      <c r="W288" t="e">
        <f>VLOOKUP($J288,'[1]Table S6'!$A:$AI,14,FALSE)</f>
        <v>#N/A</v>
      </c>
      <c r="X288" t="e">
        <f>VLOOKUP($J288,'[1]Table S6'!$A:$AI,15,FALSE)</f>
        <v>#N/A</v>
      </c>
      <c r="Z288" t="e">
        <f>VLOOKUP($J288,'[1]Table S6'!$A:$AI,17,FALSE)</f>
        <v>#N/A</v>
      </c>
      <c r="AA288" t="e">
        <f>VLOOKUP($J288,'[1]Table S6'!$A:$AI,18,FALSE)</f>
        <v>#N/A</v>
      </c>
      <c r="AB288" t="e">
        <f>VLOOKUP($J288,'[1]Table S6'!$A:$AI,19,FALSE)</f>
        <v>#N/A</v>
      </c>
      <c r="AC288" t="e">
        <f>VLOOKUP($J288,'[1]Table S6'!$A:$AI,20,FALSE)</f>
        <v>#N/A</v>
      </c>
      <c r="AE288" t="e">
        <f>VLOOKUP($J288,'[1]Table S6'!$A:$AI,22,FALSE)</f>
        <v>#N/A</v>
      </c>
      <c r="AF288" t="e">
        <f>VLOOKUP($J288,'[1]Table S6'!$A:$AI,23,FALSE)</f>
        <v>#N/A</v>
      </c>
      <c r="AG288" t="e">
        <f>VLOOKUP($J288,'[1]Table S6'!$A:$AI,24,FALSE)</f>
        <v>#N/A</v>
      </c>
      <c r="AH288" t="e">
        <f>VLOOKUP($J288,'[1]Table S6'!$A:$AI,25,FALSE)</f>
        <v>#N/A</v>
      </c>
      <c r="AJ288" t="e">
        <f>VLOOKUP($J288,'[1]Table S6'!$A:$AI,27,FALSE)</f>
        <v>#N/A</v>
      </c>
      <c r="AK288" t="e">
        <f>VLOOKUP($J288,'[1]Table S6'!$A:$AI,28,FALSE)</f>
        <v>#N/A</v>
      </c>
      <c r="AL288" t="e">
        <f>VLOOKUP($J288,'[1]Table S6'!$A:$AI,29,FALSE)</f>
        <v>#N/A</v>
      </c>
      <c r="AM288" t="e">
        <f>VLOOKUP($J288,'[1]Table S6'!$A:$AI,30,FALSE)</f>
        <v>#N/A</v>
      </c>
      <c r="AO288" t="e">
        <f>VLOOKUP($J288,'[1]Table S6'!$A:$AI,32,FALSE)</f>
        <v>#N/A</v>
      </c>
      <c r="AP288" t="e">
        <f>VLOOKUP($J288,'[1]Table S6'!$A:$AI,33,FALSE)</f>
        <v>#N/A</v>
      </c>
      <c r="AQ288" t="e">
        <f>VLOOKUP($J288,'[1]Table S6'!$A:$AI,34,FALSE)</f>
        <v>#N/A</v>
      </c>
      <c r="AR288" t="e">
        <f>VLOOKUP($J288,'[1]Table S6'!$A:$AI,35,FALSE)</f>
        <v>#N/A</v>
      </c>
      <c r="AT288" t="e">
        <f>VLOOKUP($I288,'[2]Table S5'!$A:$K,8,FALSE)</f>
        <v>#N/A</v>
      </c>
      <c r="AU288" t="e">
        <f>VLOOKUP($I288,'[2]Table S5'!$A:$K,9,FALSE)</f>
        <v>#N/A</v>
      </c>
      <c r="AV288" t="e">
        <f>VLOOKUP($I288,'[2]Table S5'!$A:$K,10,FALSE)</f>
        <v>#N/A</v>
      </c>
      <c r="AW288" t="e">
        <f>VLOOKUP($I288,'[2]Table S5'!$A:$K,11,FALSE)</f>
        <v>#N/A</v>
      </c>
    </row>
    <row r="289" spans="1:49">
      <c r="A289" s="12" t="s">
        <v>2184</v>
      </c>
      <c r="B289" t="s">
        <v>2185</v>
      </c>
      <c r="C289" t="s">
        <v>2186</v>
      </c>
      <c r="D289" t="s">
        <v>17</v>
      </c>
      <c r="E289" t="s">
        <v>2187</v>
      </c>
      <c r="F289" s="12" t="s">
        <v>2188</v>
      </c>
      <c r="G289" t="s">
        <v>2189</v>
      </c>
      <c r="H289" t="s">
        <v>2190</v>
      </c>
      <c r="I289" t="s">
        <v>2191</v>
      </c>
      <c r="J289" t="s">
        <v>2191</v>
      </c>
      <c r="K289" t="e">
        <f>VLOOKUP($J289,'[1]Table S6'!$A:$AI,2,FALSE)</f>
        <v>#N/A</v>
      </c>
      <c r="L289" t="e">
        <f>VLOOKUP($J289,'[1]Table S6'!$A:$AI,3,FALSE)</f>
        <v>#N/A</v>
      </c>
      <c r="M289" t="e">
        <f>VLOOKUP($J289,'[1]Table S6'!$A:$AI,4,FALSE)</f>
        <v>#N/A</v>
      </c>
      <c r="N289" t="e">
        <f>VLOOKUP($J289,'[1]Table S6'!$A:$AI,5,FALSE)</f>
        <v>#N/A</v>
      </c>
      <c r="P289" t="e">
        <f>VLOOKUP($J289,'[1]Table S6'!$A:$AI,7,FALSE)</f>
        <v>#N/A</v>
      </c>
      <c r="Q289" t="e">
        <f>VLOOKUP($J289,'[1]Table S6'!$A:$AI,8,FALSE)</f>
        <v>#N/A</v>
      </c>
      <c r="R289" t="e">
        <f>VLOOKUP($J289,'[1]Table S6'!$A:$AI,9,FALSE)</f>
        <v>#N/A</v>
      </c>
      <c r="S289" t="e">
        <f>VLOOKUP($J289,'[1]Table S6'!$A:$AI,10,FALSE)</f>
        <v>#N/A</v>
      </c>
      <c r="U289" t="e">
        <f>VLOOKUP($J289,'[1]Table S6'!$A:$AI,12,FALSE)</f>
        <v>#N/A</v>
      </c>
      <c r="V289" t="e">
        <f>VLOOKUP($J289,'[1]Table S6'!$A:$AI,13,FALSE)</f>
        <v>#N/A</v>
      </c>
      <c r="W289" t="e">
        <f>VLOOKUP($J289,'[1]Table S6'!$A:$AI,14,FALSE)</f>
        <v>#N/A</v>
      </c>
      <c r="X289" t="e">
        <f>VLOOKUP($J289,'[1]Table S6'!$A:$AI,15,FALSE)</f>
        <v>#N/A</v>
      </c>
      <c r="Z289" t="e">
        <f>VLOOKUP($J289,'[1]Table S6'!$A:$AI,17,FALSE)</f>
        <v>#N/A</v>
      </c>
      <c r="AA289" t="e">
        <f>VLOOKUP($J289,'[1]Table S6'!$A:$AI,18,FALSE)</f>
        <v>#N/A</v>
      </c>
      <c r="AB289" t="e">
        <f>VLOOKUP($J289,'[1]Table S6'!$A:$AI,19,FALSE)</f>
        <v>#N/A</v>
      </c>
      <c r="AC289" t="e">
        <f>VLOOKUP($J289,'[1]Table S6'!$A:$AI,20,FALSE)</f>
        <v>#N/A</v>
      </c>
      <c r="AE289" t="e">
        <f>VLOOKUP($J289,'[1]Table S6'!$A:$AI,22,FALSE)</f>
        <v>#N/A</v>
      </c>
      <c r="AF289" t="e">
        <f>VLOOKUP($J289,'[1]Table S6'!$A:$AI,23,FALSE)</f>
        <v>#N/A</v>
      </c>
      <c r="AG289" t="e">
        <f>VLOOKUP($J289,'[1]Table S6'!$A:$AI,24,FALSE)</f>
        <v>#N/A</v>
      </c>
      <c r="AH289" t="e">
        <f>VLOOKUP($J289,'[1]Table S6'!$A:$AI,25,FALSE)</f>
        <v>#N/A</v>
      </c>
      <c r="AJ289" t="e">
        <f>VLOOKUP($J289,'[1]Table S6'!$A:$AI,27,FALSE)</f>
        <v>#N/A</v>
      </c>
      <c r="AK289" t="e">
        <f>VLOOKUP($J289,'[1]Table S6'!$A:$AI,28,FALSE)</f>
        <v>#N/A</v>
      </c>
      <c r="AL289" t="e">
        <f>VLOOKUP($J289,'[1]Table S6'!$A:$AI,29,FALSE)</f>
        <v>#N/A</v>
      </c>
      <c r="AM289" t="e">
        <f>VLOOKUP($J289,'[1]Table S6'!$A:$AI,30,FALSE)</f>
        <v>#N/A</v>
      </c>
      <c r="AO289" t="e">
        <f>VLOOKUP($J289,'[1]Table S6'!$A:$AI,32,FALSE)</f>
        <v>#N/A</v>
      </c>
      <c r="AP289" t="e">
        <f>VLOOKUP($J289,'[1]Table S6'!$A:$AI,33,FALSE)</f>
        <v>#N/A</v>
      </c>
      <c r="AQ289" t="e">
        <f>VLOOKUP($J289,'[1]Table S6'!$A:$AI,34,FALSE)</f>
        <v>#N/A</v>
      </c>
      <c r="AR289" t="e">
        <f>VLOOKUP($J289,'[1]Table S6'!$A:$AI,35,FALSE)</f>
        <v>#N/A</v>
      </c>
      <c r="AT289" t="e">
        <f>VLOOKUP($I289,'[2]Table S5'!$A:$K,8,FALSE)</f>
        <v>#N/A</v>
      </c>
      <c r="AU289" t="e">
        <f>VLOOKUP($I289,'[2]Table S5'!$A:$K,9,FALSE)</f>
        <v>#N/A</v>
      </c>
      <c r="AV289" t="e">
        <f>VLOOKUP($I289,'[2]Table S5'!$A:$K,10,FALSE)</f>
        <v>#N/A</v>
      </c>
      <c r="AW289" t="e">
        <f>VLOOKUP($I289,'[2]Table S5'!$A:$K,11,FALSE)</f>
        <v>#N/A</v>
      </c>
    </row>
    <row r="290" spans="1:49">
      <c r="A290" s="12" t="s">
        <v>2192</v>
      </c>
      <c r="B290" t="s">
        <v>2193</v>
      </c>
      <c r="C290" t="s">
        <v>2194</v>
      </c>
      <c r="D290" t="s">
        <v>17</v>
      </c>
      <c r="E290" t="s">
        <v>2195</v>
      </c>
      <c r="F290" s="12" t="s">
        <v>2196</v>
      </c>
      <c r="G290" t="s">
        <v>2197</v>
      </c>
      <c r="H290" t="s">
        <v>2198</v>
      </c>
      <c r="I290" t="s">
        <v>2191</v>
      </c>
      <c r="J290" t="s">
        <v>2191</v>
      </c>
      <c r="K290" t="e">
        <f>VLOOKUP($J290,'[1]Table S6'!$A:$AI,2,FALSE)</f>
        <v>#N/A</v>
      </c>
      <c r="L290" t="e">
        <f>VLOOKUP($J290,'[1]Table S6'!$A:$AI,3,FALSE)</f>
        <v>#N/A</v>
      </c>
      <c r="M290" t="e">
        <f>VLOOKUP($J290,'[1]Table S6'!$A:$AI,4,FALSE)</f>
        <v>#N/A</v>
      </c>
      <c r="N290" t="e">
        <f>VLOOKUP($J290,'[1]Table S6'!$A:$AI,5,FALSE)</f>
        <v>#N/A</v>
      </c>
      <c r="P290" t="e">
        <f>VLOOKUP($J290,'[1]Table S6'!$A:$AI,7,FALSE)</f>
        <v>#N/A</v>
      </c>
      <c r="Q290" t="e">
        <f>VLOOKUP($J290,'[1]Table S6'!$A:$AI,8,FALSE)</f>
        <v>#N/A</v>
      </c>
      <c r="R290" t="e">
        <f>VLOOKUP($J290,'[1]Table S6'!$A:$AI,9,FALSE)</f>
        <v>#N/A</v>
      </c>
      <c r="S290" t="e">
        <f>VLOOKUP($J290,'[1]Table S6'!$A:$AI,10,FALSE)</f>
        <v>#N/A</v>
      </c>
      <c r="U290" t="e">
        <f>VLOOKUP($J290,'[1]Table S6'!$A:$AI,12,FALSE)</f>
        <v>#N/A</v>
      </c>
      <c r="V290" t="e">
        <f>VLOOKUP($J290,'[1]Table S6'!$A:$AI,13,FALSE)</f>
        <v>#N/A</v>
      </c>
      <c r="W290" t="e">
        <f>VLOOKUP($J290,'[1]Table S6'!$A:$AI,14,FALSE)</f>
        <v>#N/A</v>
      </c>
      <c r="X290" t="e">
        <f>VLOOKUP($J290,'[1]Table S6'!$A:$AI,15,FALSE)</f>
        <v>#N/A</v>
      </c>
      <c r="Z290" t="e">
        <f>VLOOKUP($J290,'[1]Table S6'!$A:$AI,17,FALSE)</f>
        <v>#N/A</v>
      </c>
      <c r="AA290" t="e">
        <f>VLOOKUP($J290,'[1]Table S6'!$A:$AI,18,FALSE)</f>
        <v>#N/A</v>
      </c>
      <c r="AB290" t="e">
        <f>VLOOKUP($J290,'[1]Table S6'!$A:$AI,19,FALSE)</f>
        <v>#N/A</v>
      </c>
      <c r="AC290" t="e">
        <f>VLOOKUP($J290,'[1]Table S6'!$A:$AI,20,FALSE)</f>
        <v>#N/A</v>
      </c>
      <c r="AE290" t="e">
        <f>VLOOKUP($J290,'[1]Table S6'!$A:$AI,22,FALSE)</f>
        <v>#N/A</v>
      </c>
      <c r="AF290" t="e">
        <f>VLOOKUP($J290,'[1]Table S6'!$A:$AI,23,FALSE)</f>
        <v>#N/A</v>
      </c>
      <c r="AG290" t="e">
        <f>VLOOKUP($J290,'[1]Table S6'!$A:$AI,24,FALSE)</f>
        <v>#N/A</v>
      </c>
      <c r="AH290" t="e">
        <f>VLOOKUP($J290,'[1]Table S6'!$A:$AI,25,FALSE)</f>
        <v>#N/A</v>
      </c>
      <c r="AJ290" t="e">
        <f>VLOOKUP($J290,'[1]Table S6'!$A:$AI,27,FALSE)</f>
        <v>#N/A</v>
      </c>
      <c r="AK290" t="e">
        <f>VLOOKUP($J290,'[1]Table S6'!$A:$AI,28,FALSE)</f>
        <v>#N/A</v>
      </c>
      <c r="AL290" t="e">
        <f>VLOOKUP($J290,'[1]Table S6'!$A:$AI,29,FALSE)</f>
        <v>#N/A</v>
      </c>
      <c r="AM290" t="e">
        <f>VLOOKUP($J290,'[1]Table S6'!$A:$AI,30,FALSE)</f>
        <v>#N/A</v>
      </c>
      <c r="AO290" t="e">
        <f>VLOOKUP($J290,'[1]Table S6'!$A:$AI,32,FALSE)</f>
        <v>#N/A</v>
      </c>
      <c r="AP290" t="e">
        <f>VLOOKUP($J290,'[1]Table S6'!$A:$AI,33,FALSE)</f>
        <v>#N/A</v>
      </c>
      <c r="AQ290" t="e">
        <f>VLOOKUP($J290,'[1]Table S6'!$A:$AI,34,FALSE)</f>
        <v>#N/A</v>
      </c>
      <c r="AR290" t="e">
        <f>VLOOKUP($J290,'[1]Table S6'!$A:$AI,35,FALSE)</f>
        <v>#N/A</v>
      </c>
      <c r="AT290" t="e">
        <f>VLOOKUP($I290,'[2]Table S5'!$A:$K,8,FALSE)</f>
        <v>#N/A</v>
      </c>
      <c r="AU290" t="e">
        <f>VLOOKUP($I290,'[2]Table S5'!$A:$K,9,FALSE)</f>
        <v>#N/A</v>
      </c>
      <c r="AV290" t="e">
        <f>VLOOKUP($I290,'[2]Table S5'!$A:$K,10,FALSE)</f>
        <v>#N/A</v>
      </c>
      <c r="AW290" t="e">
        <f>VLOOKUP($I290,'[2]Table S5'!$A:$K,11,FALSE)</f>
        <v>#N/A</v>
      </c>
    </row>
    <row r="291" spans="1:49">
      <c r="A291" s="12" t="s">
        <v>2199</v>
      </c>
      <c r="B291" t="s">
        <v>2200</v>
      </c>
      <c r="C291" t="s">
        <v>2201</v>
      </c>
      <c r="D291" t="s">
        <v>17</v>
      </c>
      <c r="E291" t="s">
        <v>2202</v>
      </c>
      <c r="F291" s="12" t="s">
        <v>2203</v>
      </c>
      <c r="G291" t="s">
        <v>2204</v>
      </c>
      <c r="H291" t="s">
        <v>2205</v>
      </c>
      <c r="I291" t="s">
        <v>2206</v>
      </c>
      <c r="J291" t="s">
        <v>2206</v>
      </c>
      <c r="K291" t="e">
        <f>VLOOKUP($J291,'[1]Table S6'!$A:$AI,2,FALSE)</f>
        <v>#N/A</v>
      </c>
      <c r="L291" t="e">
        <f>VLOOKUP($J291,'[1]Table S6'!$A:$AI,3,FALSE)</f>
        <v>#N/A</v>
      </c>
      <c r="M291" t="e">
        <f>VLOOKUP($J291,'[1]Table S6'!$A:$AI,4,FALSE)</f>
        <v>#N/A</v>
      </c>
      <c r="N291" t="e">
        <f>VLOOKUP($J291,'[1]Table S6'!$A:$AI,5,FALSE)</f>
        <v>#N/A</v>
      </c>
      <c r="P291" t="e">
        <f>VLOOKUP($J291,'[1]Table S6'!$A:$AI,7,FALSE)</f>
        <v>#N/A</v>
      </c>
      <c r="Q291" t="e">
        <f>VLOOKUP($J291,'[1]Table S6'!$A:$AI,8,FALSE)</f>
        <v>#N/A</v>
      </c>
      <c r="R291" t="e">
        <f>VLOOKUP($J291,'[1]Table S6'!$A:$AI,9,FALSE)</f>
        <v>#N/A</v>
      </c>
      <c r="S291" t="e">
        <f>VLOOKUP($J291,'[1]Table S6'!$A:$AI,10,FALSE)</f>
        <v>#N/A</v>
      </c>
      <c r="U291" t="e">
        <f>VLOOKUP($J291,'[1]Table S6'!$A:$AI,12,FALSE)</f>
        <v>#N/A</v>
      </c>
      <c r="V291" t="e">
        <f>VLOOKUP($J291,'[1]Table S6'!$A:$AI,13,FALSE)</f>
        <v>#N/A</v>
      </c>
      <c r="W291" t="e">
        <f>VLOOKUP($J291,'[1]Table S6'!$A:$AI,14,FALSE)</f>
        <v>#N/A</v>
      </c>
      <c r="X291" t="e">
        <f>VLOOKUP($J291,'[1]Table S6'!$A:$AI,15,FALSE)</f>
        <v>#N/A</v>
      </c>
      <c r="Z291" t="e">
        <f>VLOOKUP($J291,'[1]Table S6'!$A:$AI,17,FALSE)</f>
        <v>#N/A</v>
      </c>
      <c r="AA291" t="e">
        <f>VLOOKUP($J291,'[1]Table S6'!$A:$AI,18,FALSE)</f>
        <v>#N/A</v>
      </c>
      <c r="AB291" t="e">
        <f>VLOOKUP($J291,'[1]Table S6'!$A:$AI,19,FALSE)</f>
        <v>#N/A</v>
      </c>
      <c r="AC291" t="e">
        <f>VLOOKUP($J291,'[1]Table S6'!$A:$AI,20,FALSE)</f>
        <v>#N/A</v>
      </c>
      <c r="AE291" t="e">
        <f>VLOOKUP($J291,'[1]Table S6'!$A:$AI,22,FALSE)</f>
        <v>#N/A</v>
      </c>
      <c r="AF291" t="e">
        <f>VLOOKUP($J291,'[1]Table S6'!$A:$AI,23,FALSE)</f>
        <v>#N/A</v>
      </c>
      <c r="AG291" t="e">
        <f>VLOOKUP($J291,'[1]Table S6'!$A:$AI,24,FALSE)</f>
        <v>#N/A</v>
      </c>
      <c r="AH291" t="e">
        <f>VLOOKUP($J291,'[1]Table S6'!$A:$AI,25,FALSE)</f>
        <v>#N/A</v>
      </c>
      <c r="AJ291" t="e">
        <f>VLOOKUP($J291,'[1]Table S6'!$A:$AI,27,FALSE)</f>
        <v>#N/A</v>
      </c>
      <c r="AK291" t="e">
        <f>VLOOKUP($J291,'[1]Table S6'!$A:$AI,28,FALSE)</f>
        <v>#N/A</v>
      </c>
      <c r="AL291" t="e">
        <f>VLOOKUP($J291,'[1]Table S6'!$A:$AI,29,FALSE)</f>
        <v>#N/A</v>
      </c>
      <c r="AM291" t="e">
        <f>VLOOKUP($J291,'[1]Table S6'!$A:$AI,30,FALSE)</f>
        <v>#N/A</v>
      </c>
      <c r="AO291" t="e">
        <f>VLOOKUP($J291,'[1]Table S6'!$A:$AI,32,FALSE)</f>
        <v>#N/A</v>
      </c>
      <c r="AP291" t="e">
        <f>VLOOKUP($J291,'[1]Table S6'!$A:$AI,33,FALSE)</f>
        <v>#N/A</v>
      </c>
      <c r="AQ291" t="e">
        <f>VLOOKUP($J291,'[1]Table S6'!$A:$AI,34,FALSE)</f>
        <v>#N/A</v>
      </c>
      <c r="AR291" t="e">
        <f>VLOOKUP($J291,'[1]Table S6'!$A:$AI,35,FALSE)</f>
        <v>#N/A</v>
      </c>
      <c r="AT291" t="e">
        <f>VLOOKUP($I291,'[2]Table S5'!$A:$K,8,FALSE)</f>
        <v>#N/A</v>
      </c>
      <c r="AU291" t="e">
        <f>VLOOKUP($I291,'[2]Table S5'!$A:$K,9,FALSE)</f>
        <v>#N/A</v>
      </c>
      <c r="AV291" t="e">
        <f>VLOOKUP($I291,'[2]Table S5'!$A:$K,10,FALSE)</f>
        <v>#N/A</v>
      </c>
      <c r="AW291" t="e">
        <f>VLOOKUP($I291,'[2]Table S5'!$A:$K,11,FALSE)</f>
        <v>#N/A</v>
      </c>
    </row>
    <row r="292" spans="1:49">
      <c r="A292" s="12" t="s">
        <v>2207</v>
      </c>
      <c r="B292" t="s">
        <v>2208</v>
      </c>
      <c r="C292" t="s">
        <v>2209</v>
      </c>
      <c r="D292" t="s">
        <v>17</v>
      </c>
      <c r="E292" t="s">
        <v>2210</v>
      </c>
      <c r="F292" s="12" t="s">
        <v>2211</v>
      </c>
      <c r="G292" t="s">
        <v>2212</v>
      </c>
      <c r="H292" t="s">
        <v>2213</v>
      </c>
      <c r="I292" t="s">
        <v>2206</v>
      </c>
      <c r="J292" t="s">
        <v>2206</v>
      </c>
      <c r="K292" t="e">
        <f>VLOOKUP($J292,'[1]Table S6'!$A:$AI,2,FALSE)</f>
        <v>#N/A</v>
      </c>
      <c r="L292" t="e">
        <f>VLOOKUP($J292,'[1]Table S6'!$A:$AI,3,FALSE)</f>
        <v>#N/A</v>
      </c>
      <c r="M292" t="e">
        <f>VLOOKUP($J292,'[1]Table S6'!$A:$AI,4,FALSE)</f>
        <v>#N/A</v>
      </c>
      <c r="N292" t="e">
        <f>VLOOKUP($J292,'[1]Table S6'!$A:$AI,5,FALSE)</f>
        <v>#N/A</v>
      </c>
      <c r="P292" t="e">
        <f>VLOOKUP($J292,'[1]Table S6'!$A:$AI,7,FALSE)</f>
        <v>#N/A</v>
      </c>
      <c r="Q292" t="e">
        <f>VLOOKUP($J292,'[1]Table S6'!$A:$AI,8,FALSE)</f>
        <v>#N/A</v>
      </c>
      <c r="R292" t="e">
        <f>VLOOKUP($J292,'[1]Table S6'!$A:$AI,9,FALSE)</f>
        <v>#N/A</v>
      </c>
      <c r="S292" t="e">
        <f>VLOOKUP($J292,'[1]Table S6'!$A:$AI,10,FALSE)</f>
        <v>#N/A</v>
      </c>
      <c r="U292" t="e">
        <f>VLOOKUP($J292,'[1]Table S6'!$A:$AI,12,FALSE)</f>
        <v>#N/A</v>
      </c>
      <c r="V292" t="e">
        <f>VLOOKUP($J292,'[1]Table S6'!$A:$AI,13,FALSE)</f>
        <v>#N/A</v>
      </c>
      <c r="W292" t="e">
        <f>VLOOKUP($J292,'[1]Table S6'!$A:$AI,14,FALSE)</f>
        <v>#N/A</v>
      </c>
      <c r="X292" t="e">
        <f>VLOOKUP($J292,'[1]Table S6'!$A:$AI,15,FALSE)</f>
        <v>#N/A</v>
      </c>
      <c r="Z292" t="e">
        <f>VLOOKUP($J292,'[1]Table S6'!$A:$AI,17,FALSE)</f>
        <v>#N/A</v>
      </c>
      <c r="AA292" t="e">
        <f>VLOOKUP($J292,'[1]Table S6'!$A:$AI,18,FALSE)</f>
        <v>#N/A</v>
      </c>
      <c r="AB292" t="e">
        <f>VLOOKUP($J292,'[1]Table S6'!$A:$AI,19,FALSE)</f>
        <v>#N/A</v>
      </c>
      <c r="AC292" t="e">
        <f>VLOOKUP($J292,'[1]Table S6'!$A:$AI,20,FALSE)</f>
        <v>#N/A</v>
      </c>
      <c r="AE292" t="e">
        <f>VLOOKUP($J292,'[1]Table S6'!$A:$AI,22,FALSE)</f>
        <v>#N/A</v>
      </c>
      <c r="AF292" t="e">
        <f>VLOOKUP($J292,'[1]Table S6'!$A:$AI,23,FALSE)</f>
        <v>#N/A</v>
      </c>
      <c r="AG292" t="e">
        <f>VLOOKUP($J292,'[1]Table S6'!$A:$AI,24,FALSE)</f>
        <v>#N/A</v>
      </c>
      <c r="AH292" t="e">
        <f>VLOOKUP($J292,'[1]Table S6'!$A:$AI,25,FALSE)</f>
        <v>#N/A</v>
      </c>
      <c r="AJ292" t="e">
        <f>VLOOKUP($J292,'[1]Table S6'!$A:$AI,27,FALSE)</f>
        <v>#N/A</v>
      </c>
      <c r="AK292" t="e">
        <f>VLOOKUP($J292,'[1]Table S6'!$A:$AI,28,FALSE)</f>
        <v>#N/A</v>
      </c>
      <c r="AL292" t="e">
        <f>VLOOKUP($J292,'[1]Table S6'!$A:$AI,29,FALSE)</f>
        <v>#N/A</v>
      </c>
      <c r="AM292" t="e">
        <f>VLOOKUP($J292,'[1]Table S6'!$A:$AI,30,FALSE)</f>
        <v>#N/A</v>
      </c>
      <c r="AO292" t="e">
        <f>VLOOKUP($J292,'[1]Table S6'!$A:$AI,32,FALSE)</f>
        <v>#N/A</v>
      </c>
      <c r="AP292" t="e">
        <f>VLOOKUP($J292,'[1]Table S6'!$A:$AI,33,FALSE)</f>
        <v>#N/A</v>
      </c>
      <c r="AQ292" t="e">
        <f>VLOOKUP($J292,'[1]Table S6'!$A:$AI,34,FALSE)</f>
        <v>#N/A</v>
      </c>
      <c r="AR292" t="e">
        <f>VLOOKUP($J292,'[1]Table S6'!$A:$AI,35,FALSE)</f>
        <v>#N/A</v>
      </c>
      <c r="AT292" t="e">
        <f>VLOOKUP($I292,'[2]Table S5'!$A:$K,8,FALSE)</f>
        <v>#N/A</v>
      </c>
      <c r="AU292" t="e">
        <f>VLOOKUP($I292,'[2]Table S5'!$A:$K,9,FALSE)</f>
        <v>#N/A</v>
      </c>
      <c r="AV292" t="e">
        <f>VLOOKUP($I292,'[2]Table S5'!$A:$K,10,FALSE)</f>
        <v>#N/A</v>
      </c>
      <c r="AW292" t="e">
        <f>VLOOKUP($I292,'[2]Table S5'!$A:$K,11,FALSE)</f>
        <v>#N/A</v>
      </c>
    </row>
    <row r="293" spans="1:49">
      <c r="A293" s="12" t="s">
        <v>2214</v>
      </c>
      <c r="B293" t="s">
        <v>2215</v>
      </c>
      <c r="C293" t="s">
        <v>2216</v>
      </c>
      <c r="D293" t="s">
        <v>17</v>
      </c>
      <c r="E293" t="s">
        <v>2217</v>
      </c>
      <c r="F293" s="12" t="s">
        <v>2218</v>
      </c>
      <c r="G293" t="s">
        <v>2219</v>
      </c>
      <c r="H293" t="s">
        <v>2220</v>
      </c>
      <c r="I293" t="s">
        <v>2221</v>
      </c>
      <c r="J293" t="s">
        <v>2221</v>
      </c>
      <c r="K293" t="e">
        <f>VLOOKUP($J293,'[1]Table S6'!$A:$AI,2,FALSE)</f>
        <v>#N/A</v>
      </c>
      <c r="L293" t="e">
        <f>VLOOKUP($J293,'[1]Table S6'!$A:$AI,3,FALSE)</f>
        <v>#N/A</v>
      </c>
      <c r="M293" t="e">
        <f>VLOOKUP($J293,'[1]Table S6'!$A:$AI,4,FALSE)</f>
        <v>#N/A</v>
      </c>
      <c r="N293" t="e">
        <f>VLOOKUP($J293,'[1]Table S6'!$A:$AI,5,FALSE)</f>
        <v>#N/A</v>
      </c>
      <c r="P293" t="e">
        <f>VLOOKUP($J293,'[1]Table S6'!$A:$AI,7,FALSE)</f>
        <v>#N/A</v>
      </c>
      <c r="Q293" t="e">
        <f>VLOOKUP($J293,'[1]Table S6'!$A:$AI,8,FALSE)</f>
        <v>#N/A</v>
      </c>
      <c r="R293" t="e">
        <f>VLOOKUP($J293,'[1]Table S6'!$A:$AI,9,FALSE)</f>
        <v>#N/A</v>
      </c>
      <c r="S293" t="e">
        <f>VLOOKUP($J293,'[1]Table S6'!$A:$AI,10,FALSE)</f>
        <v>#N/A</v>
      </c>
      <c r="U293" t="e">
        <f>VLOOKUP($J293,'[1]Table S6'!$A:$AI,12,FALSE)</f>
        <v>#N/A</v>
      </c>
      <c r="V293" t="e">
        <f>VLOOKUP($J293,'[1]Table S6'!$A:$AI,13,FALSE)</f>
        <v>#N/A</v>
      </c>
      <c r="W293" t="e">
        <f>VLOOKUP($J293,'[1]Table S6'!$A:$AI,14,FALSE)</f>
        <v>#N/A</v>
      </c>
      <c r="X293" t="e">
        <f>VLOOKUP($J293,'[1]Table S6'!$A:$AI,15,FALSE)</f>
        <v>#N/A</v>
      </c>
      <c r="Z293" t="e">
        <f>VLOOKUP($J293,'[1]Table S6'!$A:$AI,17,FALSE)</f>
        <v>#N/A</v>
      </c>
      <c r="AA293" t="e">
        <f>VLOOKUP($J293,'[1]Table S6'!$A:$AI,18,FALSE)</f>
        <v>#N/A</v>
      </c>
      <c r="AB293" t="e">
        <f>VLOOKUP($J293,'[1]Table S6'!$A:$AI,19,FALSE)</f>
        <v>#N/A</v>
      </c>
      <c r="AC293" t="e">
        <f>VLOOKUP($J293,'[1]Table S6'!$A:$AI,20,FALSE)</f>
        <v>#N/A</v>
      </c>
      <c r="AE293" t="e">
        <f>VLOOKUP($J293,'[1]Table S6'!$A:$AI,22,FALSE)</f>
        <v>#N/A</v>
      </c>
      <c r="AF293" t="e">
        <f>VLOOKUP($J293,'[1]Table S6'!$A:$AI,23,FALSE)</f>
        <v>#N/A</v>
      </c>
      <c r="AG293" t="e">
        <f>VLOOKUP($J293,'[1]Table S6'!$A:$AI,24,FALSE)</f>
        <v>#N/A</v>
      </c>
      <c r="AH293" t="e">
        <f>VLOOKUP($J293,'[1]Table S6'!$A:$AI,25,FALSE)</f>
        <v>#N/A</v>
      </c>
      <c r="AJ293" t="e">
        <f>VLOOKUP($J293,'[1]Table S6'!$A:$AI,27,FALSE)</f>
        <v>#N/A</v>
      </c>
      <c r="AK293" t="e">
        <f>VLOOKUP($J293,'[1]Table S6'!$A:$AI,28,FALSE)</f>
        <v>#N/A</v>
      </c>
      <c r="AL293" t="e">
        <f>VLOOKUP($J293,'[1]Table S6'!$A:$AI,29,FALSE)</f>
        <v>#N/A</v>
      </c>
      <c r="AM293" t="e">
        <f>VLOOKUP($J293,'[1]Table S6'!$A:$AI,30,FALSE)</f>
        <v>#N/A</v>
      </c>
      <c r="AO293" t="e">
        <f>VLOOKUP($J293,'[1]Table S6'!$A:$AI,32,FALSE)</f>
        <v>#N/A</v>
      </c>
      <c r="AP293" t="e">
        <f>VLOOKUP($J293,'[1]Table S6'!$A:$AI,33,FALSE)</f>
        <v>#N/A</v>
      </c>
      <c r="AQ293" t="e">
        <f>VLOOKUP($J293,'[1]Table S6'!$A:$AI,34,FALSE)</f>
        <v>#N/A</v>
      </c>
      <c r="AR293" t="e">
        <f>VLOOKUP($J293,'[1]Table S6'!$A:$AI,35,FALSE)</f>
        <v>#N/A</v>
      </c>
      <c r="AT293" t="e">
        <f>VLOOKUP($I293,'[2]Table S5'!$A:$K,8,FALSE)</f>
        <v>#N/A</v>
      </c>
      <c r="AU293" t="e">
        <f>VLOOKUP($I293,'[2]Table S5'!$A:$K,9,FALSE)</f>
        <v>#N/A</v>
      </c>
      <c r="AV293" t="e">
        <f>VLOOKUP($I293,'[2]Table S5'!$A:$K,10,FALSE)</f>
        <v>#N/A</v>
      </c>
      <c r="AW293" t="e">
        <f>VLOOKUP($I293,'[2]Table S5'!$A:$K,11,FALSE)</f>
        <v>#N/A</v>
      </c>
    </row>
    <row r="294" spans="1:49">
      <c r="A294" s="12" t="s">
        <v>2222</v>
      </c>
      <c r="B294" t="s">
        <v>2223</v>
      </c>
      <c r="C294" t="s">
        <v>2224</v>
      </c>
      <c r="D294" t="s">
        <v>17</v>
      </c>
      <c r="E294" t="s">
        <v>2225</v>
      </c>
      <c r="F294" s="12" t="s">
        <v>2226</v>
      </c>
      <c r="G294" t="s">
        <v>2227</v>
      </c>
      <c r="H294" t="s">
        <v>2228</v>
      </c>
      <c r="I294" t="s">
        <v>2221</v>
      </c>
      <c r="J294" t="s">
        <v>2221</v>
      </c>
      <c r="K294" t="e">
        <f>VLOOKUP($J294,'[1]Table S6'!$A:$AI,2,FALSE)</f>
        <v>#N/A</v>
      </c>
      <c r="L294" t="e">
        <f>VLOOKUP($J294,'[1]Table S6'!$A:$AI,3,FALSE)</f>
        <v>#N/A</v>
      </c>
      <c r="M294" t="e">
        <f>VLOOKUP($J294,'[1]Table S6'!$A:$AI,4,FALSE)</f>
        <v>#N/A</v>
      </c>
      <c r="N294" t="e">
        <f>VLOOKUP($J294,'[1]Table S6'!$A:$AI,5,FALSE)</f>
        <v>#N/A</v>
      </c>
      <c r="P294" t="e">
        <f>VLOOKUP($J294,'[1]Table S6'!$A:$AI,7,FALSE)</f>
        <v>#N/A</v>
      </c>
      <c r="Q294" t="e">
        <f>VLOOKUP($J294,'[1]Table S6'!$A:$AI,8,FALSE)</f>
        <v>#N/A</v>
      </c>
      <c r="R294" t="e">
        <f>VLOOKUP($J294,'[1]Table S6'!$A:$AI,9,FALSE)</f>
        <v>#N/A</v>
      </c>
      <c r="S294" t="e">
        <f>VLOOKUP($J294,'[1]Table S6'!$A:$AI,10,FALSE)</f>
        <v>#N/A</v>
      </c>
      <c r="U294" t="e">
        <f>VLOOKUP($J294,'[1]Table S6'!$A:$AI,12,FALSE)</f>
        <v>#N/A</v>
      </c>
      <c r="V294" t="e">
        <f>VLOOKUP($J294,'[1]Table S6'!$A:$AI,13,FALSE)</f>
        <v>#N/A</v>
      </c>
      <c r="W294" t="e">
        <f>VLOOKUP($J294,'[1]Table S6'!$A:$AI,14,FALSE)</f>
        <v>#N/A</v>
      </c>
      <c r="X294" t="e">
        <f>VLOOKUP($J294,'[1]Table S6'!$A:$AI,15,FALSE)</f>
        <v>#N/A</v>
      </c>
      <c r="Z294" t="e">
        <f>VLOOKUP($J294,'[1]Table S6'!$A:$AI,17,FALSE)</f>
        <v>#N/A</v>
      </c>
      <c r="AA294" t="e">
        <f>VLOOKUP($J294,'[1]Table S6'!$A:$AI,18,FALSE)</f>
        <v>#N/A</v>
      </c>
      <c r="AB294" t="e">
        <f>VLOOKUP($J294,'[1]Table S6'!$A:$AI,19,FALSE)</f>
        <v>#N/A</v>
      </c>
      <c r="AC294" t="e">
        <f>VLOOKUP($J294,'[1]Table S6'!$A:$AI,20,FALSE)</f>
        <v>#N/A</v>
      </c>
      <c r="AE294" t="e">
        <f>VLOOKUP($J294,'[1]Table S6'!$A:$AI,22,FALSE)</f>
        <v>#N/A</v>
      </c>
      <c r="AF294" t="e">
        <f>VLOOKUP($J294,'[1]Table S6'!$A:$AI,23,FALSE)</f>
        <v>#N/A</v>
      </c>
      <c r="AG294" t="e">
        <f>VLOOKUP($J294,'[1]Table S6'!$A:$AI,24,FALSE)</f>
        <v>#N/A</v>
      </c>
      <c r="AH294" t="e">
        <f>VLOOKUP($J294,'[1]Table S6'!$A:$AI,25,FALSE)</f>
        <v>#N/A</v>
      </c>
      <c r="AJ294" t="e">
        <f>VLOOKUP($J294,'[1]Table S6'!$A:$AI,27,FALSE)</f>
        <v>#N/A</v>
      </c>
      <c r="AK294" t="e">
        <f>VLOOKUP($J294,'[1]Table S6'!$A:$AI,28,FALSE)</f>
        <v>#N/A</v>
      </c>
      <c r="AL294" t="e">
        <f>VLOOKUP($J294,'[1]Table S6'!$A:$AI,29,FALSE)</f>
        <v>#N/A</v>
      </c>
      <c r="AM294" t="e">
        <f>VLOOKUP($J294,'[1]Table S6'!$A:$AI,30,FALSE)</f>
        <v>#N/A</v>
      </c>
      <c r="AO294" t="e">
        <f>VLOOKUP($J294,'[1]Table S6'!$A:$AI,32,FALSE)</f>
        <v>#N/A</v>
      </c>
      <c r="AP294" t="e">
        <f>VLOOKUP($J294,'[1]Table S6'!$A:$AI,33,FALSE)</f>
        <v>#N/A</v>
      </c>
      <c r="AQ294" t="e">
        <f>VLOOKUP($J294,'[1]Table S6'!$A:$AI,34,FALSE)</f>
        <v>#N/A</v>
      </c>
      <c r="AR294" t="e">
        <f>VLOOKUP($J294,'[1]Table S6'!$A:$AI,35,FALSE)</f>
        <v>#N/A</v>
      </c>
      <c r="AT294" t="e">
        <f>VLOOKUP($I294,'[2]Table S5'!$A:$K,8,FALSE)</f>
        <v>#N/A</v>
      </c>
      <c r="AU294" t="e">
        <f>VLOOKUP($I294,'[2]Table S5'!$A:$K,9,FALSE)</f>
        <v>#N/A</v>
      </c>
      <c r="AV294" t="e">
        <f>VLOOKUP($I294,'[2]Table S5'!$A:$K,10,FALSE)</f>
        <v>#N/A</v>
      </c>
      <c r="AW294" t="e">
        <f>VLOOKUP($I294,'[2]Table S5'!$A:$K,11,FALSE)</f>
        <v>#N/A</v>
      </c>
    </row>
    <row r="295" spans="1:49">
      <c r="A295" s="12" t="s">
        <v>2229</v>
      </c>
      <c r="B295" t="s">
        <v>2230</v>
      </c>
      <c r="C295" t="s">
        <v>2231</v>
      </c>
      <c r="D295" t="s">
        <v>17</v>
      </c>
      <c r="E295" t="s">
        <v>2232</v>
      </c>
      <c r="F295" s="12" t="s">
        <v>2233</v>
      </c>
      <c r="G295" t="s">
        <v>2234</v>
      </c>
      <c r="H295" t="s">
        <v>2235</v>
      </c>
      <c r="I295" t="s">
        <v>2236</v>
      </c>
      <c r="J295" t="s">
        <v>2236</v>
      </c>
      <c r="K295" t="e">
        <f>VLOOKUP($J295,'[1]Table S6'!$A:$AI,2,FALSE)</f>
        <v>#N/A</v>
      </c>
      <c r="L295" t="e">
        <f>VLOOKUP($J295,'[1]Table S6'!$A:$AI,3,FALSE)</f>
        <v>#N/A</v>
      </c>
      <c r="M295" t="e">
        <f>VLOOKUP($J295,'[1]Table S6'!$A:$AI,4,FALSE)</f>
        <v>#N/A</v>
      </c>
      <c r="N295" t="e">
        <f>VLOOKUP($J295,'[1]Table S6'!$A:$AI,5,FALSE)</f>
        <v>#N/A</v>
      </c>
      <c r="P295" t="e">
        <f>VLOOKUP($J295,'[1]Table S6'!$A:$AI,7,FALSE)</f>
        <v>#N/A</v>
      </c>
      <c r="Q295" t="e">
        <f>VLOOKUP($J295,'[1]Table S6'!$A:$AI,8,FALSE)</f>
        <v>#N/A</v>
      </c>
      <c r="R295" t="e">
        <f>VLOOKUP($J295,'[1]Table S6'!$A:$AI,9,FALSE)</f>
        <v>#N/A</v>
      </c>
      <c r="S295" t="e">
        <f>VLOOKUP($J295,'[1]Table S6'!$A:$AI,10,FALSE)</f>
        <v>#N/A</v>
      </c>
      <c r="U295" t="e">
        <f>VLOOKUP($J295,'[1]Table S6'!$A:$AI,12,FALSE)</f>
        <v>#N/A</v>
      </c>
      <c r="V295" t="e">
        <f>VLOOKUP($J295,'[1]Table S6'!$A:$AI,13,FALSE)</f>
        <v>#N/A</v>
      </c>
      <c r="W295" t="e">
        <f>VLOOKUP($J295,'[1]Table S6'!$A:$AI,14,FALSE)</f>
        <v>#N/A</v>
      </c>
      <c r="X295" t="e">
        <f>VLOOKUP($J295,'[1]Table S6'!$A:$AI,15,FALSE)</f>
        <v>#N/A</v>
      </c>
      <c r="Z295" t="e">
        <f>VLOOKUP($J295,'[1]Table S6'!$A:$AI,17,FALSE)</f>
        <v>#N/A</v>
      </c>
      <c r="AA295" t="e">
        <f>VLOOKUP($J295,'[1]Table S6'!$A:$AI,18,FALSE)</f>
        <v>#N/A</v>
      </c>
      <c r="AB295" t="e">
        <f>VLOOKUP($J295,'[1]Table S6'!$A:$AI,19,FALSE)</f>
        <v>#N/A</v>
      </c>
      <c r="AC295" t="e">
        <f>VLOOKUP($J295,'[1]Table S6'!$A:$AI,20,FALSE)</f>
        <v>#N/A</v>
      </c>
      <c r="AE295" t="e">
        <f>VLOOKUP($J295,'[1]Table S6'!$A:$AI,22,FALSE)</f>
        <v>#N/A</v>
      </c>
      <c r="AF295" t="e">
        <f>VLOOKUP($J295,'[1]Table S6'!$A:$AI,23,FALSE)</f>
        <v>#N/A</v>
      </c>
      <c r="AG295" t="e">
        <f>VLOOKUP($J295,'[1]Table S6'!$A:$AI,24,FALSE)</f>
        <v>#N/A</v>
      </c>
      <c r="AH295" t="e">
        <f>VLOOKUP($J295,'[1]Table S6'!$A:$AI,25,FALSE)</f>
        <v>#N/A</v>
      </c>
      <c r="AJ295" t="e">
        <f>VLOOKUP($J295,'[1]Table S6'!$A:$AI,27,FALSE)</f>
        <v>#N/A</v>
      </c>
      <c r="AK295" t="e">
        <f>VLOOKUP($J295,'[1]Table S6'!$A:$AI,28,FALSE)</f>
        <v>#N/A</v>
      </c>
      <c r="AL295" t="e">
        <f>VLOOKUP($J295,'[1]Table S6'!$A:$AI,29,FALSE)</f>
        <v>#N/A</v>
      </c>
      <c r="AM295" t="e">
        <f>VLOOKUP($J295,'[1]Table S6'!$A:$AI,30,FALSE)</f>
        <v>#N/A</v>
      </c>
      <c r="AO295" t="e">
        <f>VLOOKUP($J295,'[1]Table S6'!$A:$AI,32,FALSE)</f>
        <v>#N/A</v>
      </c>
      <c r="AP295" t="e">
        <f>VLOOKUP($J295,'[1]Table S6'!$A:$AI,33,FALSE)</f>
        <v>#N/A</v>
      </c>
      <c r="AQ295" t="e">
        <f>VLOOKUP($J295,'[1]Table S6'!$A:$AI,34,FALSE)</f>
        <v>#N/A</v>
      </c>
      <c r="AR295" t="e">
        <f>VLOOKUP($J295,'[1]Table S6'!$A:$AI,35,FALSE)</f>
        <v>#N/A</v>
      </c>
      <c r="AT295" t="e">
        <f>VLOOKUP($I295,'[2]Table S5'!$A:$K,8,FALSE)</f>
        <v>#N/A</v>
      </c>
      <c r="AU295" t="e">
        <f>VLOOKUP($I295,'[2]Table S5'!$A:$K,9,FALSE)</f>
        <v>#N/A</v>
      </c>
      <c r="AV295" t="e">
        <f>VLOOKUP($I295,'[2]Table S5'!$A:$K,10,FALSE)</f>
        <v>#N/A</v>
      </c>
      <c r="AW295" t="e">
        <f>VLOOKUP($I295,'[2]Table S5'!$A:$K,11,FALSE)</f>
        <v>#N/A</v>
      </c>
    </row>
    <row r="296" spans="1:49">
      <c r="A296" s="12" t="s">
        <v>2237</v>
      </c>
      <c r="B296" t="s">
        <v>2238</v>
      </c>
      <c r="C296" t="s">
        <v>2239</v>
      </c>
      <c r="D296" t="s">
        <v>17</v>
      </c>
      <c r="E296" t="s">
        <v>2240</v>
      </c>
      <c r="F296" s="12" t="s">
        <v>2241</v>
      </c>
      <c r="G296" t="s">
        <v>2242</v>
      </c>
      <c r="H296" t="s">
        <v>2243</v>
      </c>
      <c r="I296" t="s">
        <v>2236</v>
      </c>
      <c r="J296" t="s">
        <v>2236</v>
      </c>
      <c r="K296" t="e">
        <f>VLOOKUP($J296,'[1]Table S6'!$A:$AI,2,FALSE)</f>
        <v>#N/A</v>
      </c>
      <c r="L296" t="e">
        <f>VLOOKUP($J296,'[1]Table S6'!$A:$AI,3,FALSE)</f>
        <v>#N/A</v>
      </c>
      <c r="M296" t="e">
        <f>VLOOKUP($J296,'[1]Table S6'!$A:$AI,4,FALSE)</f>
        <v>#N/A</v>
      </c>
      <c r="N296" t="e">
        <f>VLOOKUP($J296,'[1]Table S6'!$A:$AI,5,FALSE)</f>
        <v>#N/A</v>
      </c>
      <c r="P296" t="e">
        <f>VLOOKUP($J296,'[1]Table S6'!$A:$AI,7,FALSE)</f>
        <v>#N/A</v>
      </c>
      <c r="Q296" t="e">
        <f>VLOOKUP($J296,'[1]Table S6'!$A:$AI,8,FALSE)</f>
        <v>#N/A</v>
      </c>
      <c r="R296" t="e">
        <f>VLOOKUP($J296,'[1]Table S6'!$A:$AI,9,FALSE)</f>
        <v>#N/A</v>
      </c>
      <c r="S296" t="e">
        <f>VLOOKUP($J296,'[1]Table S6'!$A:$AI,10,FALSE)</f>
        <v>#N/A</v>
      </c>
      <c r="U296" t="e">
        <f>VLOOKUP($J296,'[1]Table S6'!$A:$AI,12,FALSE)</f>
        <v>#N/A</v>
      </c>
      <c r="V296" t="e">
        <f>VLOOKUP($J296,'[1]Table S6'!$A:$AI,13,FALSE)</f>
        <v>#N/A</v>
      </c>
      <c r="W296" t="e">
        <f>VLOOKUP($J296,'[1]Table S6'!$A:$AI,14,FALSE)</f>
        <v>#N/A</v>
      </c>
      <c r="X296" t="e">
        <f>VLOOKUP($J296,'[1]Table S6'!$A:$AI,15,FALSE)</f>
        <v>#N/A</v>
      </c>
      <c r="Z296" t="e">
        <f>VLOOKUP($J296,'[1]Table S6'!$A:$AI,17,FALSE)</f>
        <v>#N/A</v>
      </c>
      <c r="AA296" t="e">
        <f>VLOOKUP($J296,'[1]Table S6'!$A:$AI,18,FALSE)</f>
        <v>#N/A</v>
      </c>
      <c r="AB296" t="e">
        <f>VLOOKUP($J296,'[1]Table S6'!$A:$AI,19,FALSE)</f>
        <v>#N/A</v>
      </c>
      <c r="AC296" t="e">
        <f>VLOOKUP($J296,'[1]Table S6'!$A:$AI,20,FALSE)</f>
        <v>#N/A</v>
      </c>
      <c r="AE296" t="e">
        <f>VLOOKUP($J296,'[1]Table S6'!$A:$AI,22,FALSE)</f>
        <v>#N/A</v>
      </c>
      <c r="AF296" t="e">
        <f>VLOOKUP($J296,'[1]Table S6'!$A:$AI,23,FALSE)</f>
        <v>#N/A</v>
      </c>
      <c r="AG296" t="e">
        <f>VLOOKUP($J296,'[1]Table S6'!$A:$AI,24,FALSE)</f>
        <v>#N/A</v>
      </c>
      <c r="AH296" t="e">
        <f>VLOOKUP($J296,'[1]Table S6'!$A:$AI,25,FALSE)</f>
        <v>#N/A</v>
      </c>
      <c r="AJ296" t="e">
        <f>VLOOKUP($J296,'[1]Table S6'!$A:$AI,27,FALSE)</f>
        <v>#N/A</v>
      </c>
      <c r="AK296" t="e">
        <f>VLOOKUP($J296,'[1]Table S6'!$A:$AI,28,FALSE)</f>
        <v>#N/A</v>
      </c>
      <c r="AL296" t="e">
        <f>VLOOKUP($J296,'[1]Table S6'!$A:$AI,29,FALSE)</f>
        <v>#N/A</v>
      </c>
      <c r="AM296" t="e">
        <f>VLOOKUP($J296,'[1]Table S6'!$A:$AI,30,FALSE)</f>
        <v>#N/A</v>
      </c>
      <c r="AO296" t="e">
        <f>VLOOKUP($J296,'[1]Table S6'!$A:$AI,32,FALSE)</f>
        <v>#N/A</v>
      </c>
      <c r="AP296" t="e">
        <f>VLOOKUP($J296,'[1]Table S6'!$A:$AI,33,FALSE)</f>
        <v>#N/A</v>
      </c>
      <c r="AQ296" t="e">
        <f>VLOOKUP($J296,'[1]Table S6'!$A:$AI,34,FALSE)</f>
        <v>#N/A</v>
      </c>
      <c r="AR296" t="e">
        <f>VLOOKUP($J296,'[1]Table S6'!$A:$AI,35,FALSE)</f>
        <v>#N/A</v>
      </c>
      <c r="AT296" t="e">
        <f>VLOOKUP($I296,'[2]Table S5'!$A:$K,8,FALSE)</f>
        <v>#N/A</v>
      </c>
      <c r="AU296" t="e">
        <f>VLOOKUP($I296,'[2]Table S5'!$A:$K,9,FALSE)</f>
        <v>#N/A</v>
      </c>
      <c r="AV296" t="e">
        <f>VLOOKUP($I296,'[2]Table S5'!$A:$K,10,FALSE)</f>
        <v>#N/A</v>
      </c>
      <c r="AW296" t="e">
        <f>VLOOKUP($I296,'[2]Table S5'!$A:$K,11,FALSE)</f>
        <v>#N/A</v>
      </c>
    </row>
    <row r="297" spans="1:49">
      <c r="A297" s="12" t="s">
        <v>2244</v>
      </c>
      <c r="B297" t="s">
        <v>2245</v>
      </c>
      <c r="C297" t="s">
        <v>2246</v>
      </c>
      <c r="D297" t="s">
        <v>17</v>
      </c>
      <c r="E297" t="s">
        <v>2247</v>
      </c>
      <c r="F297" s="12" t="s">
        <v>2248</v>
      </c>
      <c r="G297" t="s">
        <v>2249</v>
      </c>
      <c r="H297" t="s">
        <v>2250</v>
      </c>
      <c r="I297" t="s">
        <v>2251</v>
      </c>
      <c r="J297" t="s">
        <v>2251</v>
      </c>
      <c r="K297" t="e">
        <f>VLOOKUP($J297,'[1]Table S6'!$A:$AI,2,FALSE)</f>
        <v>#N/A</v>
      </c>
      <c r="L297" t="e">
        <f>VLOOKUP($J297,'[1]Table S6'!$A:$AI,3,FALSE)</f>
        <v>#N/A</v>
      </c>
      <c r="M297" t="e">
        <f>VLOOKUP($J297,'[1]Table S6'!$A:$AI,4,FALSE)</f>
        <v>#N/A</v>
      </c>
      <c r="N297" t="e">
        <f>VLOOKUP($J297,'[1]Table S6'!$A:$AI,5,FALSE)</f>
        <v>#N/A</v>
      </c>
      <c r="P297" t="e">
        <f>VLOOKUP($J297,'[1]Table S6'!$A:$AI,7,FALSE)</f>
        <v>#N/A</v>
      </c>
      <c r="Q297" t="e">
        <f>VLOOKUP($J297,'[1]Table S6'!$A:$AI,8,FALSE)</f>
        <v>#N/A</v>
      </c>
      <c r="R297" t="e">
        <f>VLOOKUP($J297,'[1]Table S6'!$A:$AI,9,FALSE)</f>
        <v>#N/A</v>
      </c>
      <c r="S297" t="e">
        <f>VLOOKUP($J297,'[1]Table S6'!$A:$AI,10,FALSE)</f>
        <v>#N/A</v>
      </c>
      <c r="U297" t="e">
        <f>VLOOKUP($J297,'[1]Table S6'!$A:$AI,12,FALSE)</f>
        <v>#N/A</v>
      </c>
      <c r="V297" t="e">
        <f>VLOOKUP($J297,'[1]Table S6'!$A:$AI,13,FALSE)</f>
        <v>#N/A</v>
      </c>
      <c r="W297" t="e">
        <f>VLOOKUP($J297,'[1]Table S6'!$A:$AI,14,FALSE)</f>
        <v>#N/A</v>
      </c>
      <c r="X297" t="e">
        <f>VLOOKUP($J297,'[1]Table S6'!$A:$AI,15,FALSE)</f>
        <v>#N/A</v>
      </c>
      <c r="Z297" t="e">
        <f>VLOOKUP($J297,'[1]Table S6'!$A:$AI,17,FALSE)</f>
        <v>#N/A</v>
      </c>
      <c r="AA297" t="e">
        <f>VLOOKUP($J297,'[1]Table S6'!$A:$AI,18,FALSE)</f>
        <v>#N/A</v>
      </c>
      <c r="AB297" t="e">
        <f>VLOOKUP($J297,'[1]Table S6'!$A:$AI,19,FALSE)</f>
        <v>#N/A</v>
      </c>
      <c r="AC297" t="e">
        <f>VLOOKUP($J297,'[1]Table S6'!$A:$AI,20,FALSE)</f>
        <v>#N/A</v>
      </c>
      <c r="AE297" t="e">
        <f>VLOOKUP($J297,'[1]Table S6'!$A:$AI,22,FALSE)</f>
        <v>#N/A</v>
      </c>
      <c r="AF297" t="e">
        <f>VLOOKUP($J297,'[1]Table S6'!$A:$AI,23,FALSE)</f>
        <v>#N/A</v>
      </c>
      <c r="AG297" t="e">
        <f>VLOOKUP($J297,'[1]Table S6'!$A:$AI,24,FALSE)</f>
        <v>#N/A</v>
      </c>
      <c r="AH297" t="e">
        <f>VLOOKUP($J297,'[1]Table S6'!$A:$AI,25,FALSE)</f>
        <v>#N/A</v>
      </c>
      <c r="AJ297" t="e">
        <f>VLOOKUP($J297,'[1]Table S6'!$A:$AI,27,FALSE)</f>
        <v>#N/A</v>
      </c>
      <c r="AK297" t="e">
        <f>VLOOKUP($J297,'[1]Table S6'!$A:$AI,28,FALSE)</f>
        <v>#N/A</v>
      </c>
      <c r="AL297" t="e">
        <f>VLOOKUP($J297,'[1]Table S6'!$A:$AI,29,FALSE)</f>
        <v>#N/A</v>
      </c>
      <c r="AM297" t="e">
        <f>VLOOKUP($J297,'[1]Table S6'!$A:$AI,30,FALSE)</f>
        <v>#N/A</v>
      </c>
      <c r="AO297" t="e">
        <f>VLOOKUP($J297,'[1]Table S6'!$A:$AI,32,FALSE)</f>
        <v>#N/A</v>
      </c>
      <c r="AP297" t="e">
        <f>VLOOKUP($J297,'[1]Table S6'!$A:$AI,33,FALSE)</f>
        <v>#N/A</v>
      </c>
      <c r="AQ297" t="e">
        <f>VLOOKUP($J297,'[1]Table S6'!$A:$AI,34,FALSE)</f>
        <v>#N/A</v>
      </c>
      <c r="AR297" t="e">
        <f>VLOOKUP($J297,'[1]Table S6'!$A:$AI,35,FALSE)</f>
        <v>#N/A</v>
      </c>
      <c r="AT297" t="e">
        <f>VLOOKUP($I297,'[2]Table S5'!$A:$K,8,FALSE)</f>
        <v>#N/A</v>
      </c>
      <c r="AU297" t="e">
        <f>VLOOKUP($I297,'[2]Table S5'!$A:$K,9,FALSE)</f>
        <v>#N/A</v>
      </c>
      <c r="AV297" t="e">
        <f>VLOOKUP($I297,'[2]Table S5'!$A:$K,10,FALSE)</f>
        <v>#N/A</v>
      </c>
      <c r="AW297" t="e">
        <f>VLOOKUP($I297,'[2]Table S5'!$A:$K,11,FALSE)</f>
        <v>#N/A</v>
      </c>
    </row>
    <row r="298" spans="1:49">
      <c r="A298" s="12" t="s">
        <v>2252</v>
      </c>
      <c r="B298" t="s">
        <v>2253</v>
      </c>
      <c r="C298" t="s">
        <v>2254</v>
      </c>
      <c r="D298" t="s">
        <v>17</v>
      </c>
      <c r="E298" t="s">
        <v>2255</v>
      </c>
      <c r="F298" s="12" t="s">
        <v>2256</v>
      </c>
      <c r="G298" t="s">
        <v>2257</v>
      </c>
      <c r="H298" t="s">
        <v>2258</v>
      </c>
      <c r="I298" t="s">
        <v>2251</v>
      </c>
      <c r="J298" t="s">
        <v>2251</v>
      </c>
      <c r="K298" t="e">
        <f>VLOOKUP($J298,'[1]Table S6'!$A:$AI,2,FALSE)</f>
        <v>#N/A</v>
      </c>
      <c r="L298" t="e">
        <f>VLOOKUP($J298,'[1]Table S6'!$A:$AI,3,FALSE)</f>
        <v>#N/A</v>
      </c>
      <c r="M298" t="e">
        <f>VLOOKUP($J298,'[1]Table S6'!$A:$AI,4,FALSE)</f>
        <v>#N/A</v>
      </c>
      <c r="N298" t="e">
        <f>VLOOKUP($J298,'[1]Table S6'!$A:$AI,5,FALSE)</f>
        <v>#N/A</v>
      </c>
      <c r="P298" t="e">
        <f>VLOOKUP($J298,'[1]Table S6'!$A:$AI,7,FALSE)</f>
        <v>#N/A</v>
      </c>
      <c r="Q298" t="e">
        <f>VLOOKUP($J298,'[1]Table S6'!$A:$AI,8,FALSE)</f>
        <v>#N/A</v>
      </c>
      <c r="R298" t="e">
        <f>VLOOKUP($J298,'[1]Table S6'!$A:$AI,9,FALSE)</f>
        <v>#N/A</v>
      </c>
      <c r="S298" t="e">
        <f>VLOOKUP($J298,'[1]Table S6'!$A:$AI,10,FALSE)</f>
        <v>#N/A</v>
      </c>
      <c r="U298" t="e">
        <f>VLOOKUP($J298,'[1]Table S6'!$A:$AI,12,FALSE)</f>
        <v>#N/A</v>
      </c>
      <c r="V298" t="e">
        <f>VLOOKUP($J298,'[1]Table S6'!$A:$AI,13,FALSE)</f>
        <v>#N/A</v>
      </c>
      <c r="W298" t="e">
        <f>VLOOKUP($J298,'[1]Table S6'!$A:$AI,14,FALSE)</f>
        <v>#N/A</v>
      </c>
      <c r="X298" t="e">
        <f>VLOOKUP($J298,'[1]Table S6'!$A:$AI,15,FALSE)</f>
        <v>#N/A</v>
      </c>
      <c r="Z298" t="e">
        <f>VLOOKUP($J298,'[1]Table S6'!$A:$AI,17,FALSE)</f>
        <v>#N/A</v>
      </c>
      <c r="AA298" t="e">
        <f>VLOOKUP($J298,'[1]Table S6'!$A:$AI,18,FALSE)</f>
        <v>#N/A</v>
      </c>
      <c r="AB298" t="e">
        <f>VLOOKUP($J298,'[1]Table S6'!$A:$AI,19,FALSE)</f>
        <v>#N/A</v>
      </c>
      <c r="AC298" t="e">
        <f>VLOOKUP($J298,'[1]Table S6'!$A:$AI,20,FALSE)</f>
        <v>#N/A</v>
      </c>
      <c r="AE298" t="e">
        <f>VLOOKUP($J298,'[1]Table S6'!$A:$AI,22,FALSE)</f>
        <v>#N/A</v>
      </c>
      <c r="AF298" t="e">
        <f>VLOOKUP($J298,'[1]Table S6'!$A:$AI,23,FALSE)</f>
        <v>#N/A</v>
      </c>
      <c r="AG298" t="e">
        <f>VLOOKUP($J298,'[1]Table S6'!$A:$AI,24,FALSE)</f>
        <v>#N/A</v>
      </c>
      <c r="AH298" t="e">
        <f>VLOOKUP($J298,'[1]Table S6'!$A:$AI,25,FALSE)</f>
        <v>#N/A</v>
      </c>
      <c r="AJ298" t="e">
        <f>VLOOKUP($J298,'[1]Table S6'!$A:$AI,27,FALSE)</f>
        <v>#N/A</v>
      </c>
      <c r="AK298" t="e">
        <f>VLOOKUP($J298,'[1]Table S6'!$A:$AI,28,FALSE)</f>
        <v>#N/A</v>
      </c>
      <c r="AL298" t="e">
        <f>VLOOKUP($J298,'[1]Table S6'!$A:$AI,29,FALSE)</f>
        <v>#N/A</v>
      </c>
      <c r="AM298" t="e">
        <f>VLOOKUP($J298,'[1]Table S6'!$A:$AI,30,FALSE)</f>
        <v>#N/A</v>
      </c>
      <c r="AO298" t="e">
        <f>VLOOKUP($J298,'[1]Table S6'!$A:$AI,32,FALSE)</f>
        <v>#N/A</v>
      </c>
      <c r="AP298" t="e">
        <f>VLOOKUP($J298,'[1]Table S6'!$A:$AI,33,FALSE)</f>
        <v>#N/A</v>
      </c>
      <c r="AQ298" t="e">
        <f>VLOOKUP($J298,'[1]Table S6'!$A:$AI,34,FALSE)</f>
        <v>#N/A</v>
      </c>
      <c r="AR298" t="e">
        <f>VLOOKUP($J298,'[1]Table S6'!$A:$AI,35,FALSE)</f>
        <v>#N/A</v>
      </c>
      <c r="AT298" t="e">
        <f>VLOOKUP($I298,'[2]Table S5'!$A:$K,8,FALSE)</f>
        <v>#N/A</v>
      </c>
      <c r="AU298" t="e">
        <f>VLOOKUP($I298,'[2]Table S5'!$A:$K,9,FALSE)</f>
        <v>#N/A</v>
      </c>
      <c r="AV298" t="e">
        <f>VLOOKUP($I298,'[2]Table S5'!$A:$K,10,FALSE)</f>
        <v>#N/A</v>
      </c>
      <c r="AW298" t="e">
        <f>VLOOKUP($I298,'[2]Table S5'!$A:$K,11,FALSE)</f>
        <v>#N/A</v>
      </c>
    </row>
    <row r="299" spans="1:49">
      <c r="A299" s="12" t="s">
        <v>2259</v>
      </c>
      <c r="B299" t="s">
        <v>2260</v>
      </c>
      <c r="C299" t="s">
        <v>2261</v>
      </c>
      <c r="D299" t="s">
        <v>17</v>
      </c>
      <c r="E299" t="s">
        <v>2262</v>
      </c>
      <c r="F299" s="12" t="s">
        <v>2263</v>
      </c>
      <c r="G299" t="s">
        <v>2264</v>
      </c>
      <c r="H299" t="s">
        <v>2265</v>
      </c>
      <c r="I299" t="s">
        <v>2266</v>
      </c>
      <c r="J299" t="s">
        <v>2266</v>
      </c>
      <c r="K299" t="e">
        <f>VLOOKUP($J299,'[1]Table S6'!$A:$AI,2,FALSE)</f>
        <v>#N/A</v>
      </c>
      <c r="L299" t="e">
        <f>VLOOKUP($J299,'[1]Table S6'!$A:$AI,3,FALSE)</f>
        <v>#N/A</v>
      </c>
      <c r="M299" t="e">
        <f>VLOOKUP($J299,'[1]Table S6'!$A:$AI,4,FALSE)</f>
        <v>#N/A</v>
      </c>
      <c r="N299" t="e">
        <f>VLOOKUP($J299,'[1]Table S6'!$A:$AI,5,FALSE)</f>
        <v>#N/A</v>
      </c>
      <c r="P299" t="e">
        <f>VLOOKUP($J299,'[1]Table S6'!$A:$AI,7,FALSE)</f>
        <v>#N/A</v>
      </c>
      <c r="Q299" t="e">
        <f>VLOOKUP($J299,'[1]Table S6'!$A:$AI,8,FALSE)</f>
        <v>#N/A</v>
      </c>
      <c r="R299" t="e">
        <f>VLOOKUP($J299,'[1]Table S6'!$A:$AI,9,FALSE)</f>
        <v>#N/A</v>
      </c>
      <c r="S299" t="e">
        <f>VLOOKUP($J299,'[1]Table S6'!$A:$AI,10,FALSE)</f>
        <v>#N/A</v>
      </c>
      <c r="U299" t="e">
        <f>VLOOKUP($J299,'[1]Table S6'!$A:$AI,12,FALSE)</f>
        <v>#N/A</v>
      </c>
      <c r="V299" t="e">
        <f>VLOOKUP($J299,'[1]Table S6'!$A:$AI,13,FALSE)</f>
        <v>#N/A</v>
      </c>
      <c r="W299" t="e">
        <f>VLOOKUP($J299,'[1]Table S6'!$A:$AI,14,FALSE)</f>
        <v>#N/A</v>
      </c>
      <c r="X299" t="e">
        <f>VLOOKUP($J299,'[1]Table S6'!$A:$AI,15,FALSE)</f>
        <v>#N/A</v>
      </c>
      <c r="Z299" t="e">
        <f>VLOOKUP($J299,'[1]Table S6'!$A:$AI,17,FALSE)</f>
        <v>#N/A</v>
      </c>
      <c r="AA299" t="e">
        <f>VLOOKUP($J299,'[1]Table S6'!$A:$AI,18,FALSE)</f>
        <v>#N/A</v>
      </c>
      <c r="AB299" t="e">
        <f>VLOOKUP($J299,'[1]Table S6'!$A:$AI,19,FALSE)</f>
        <v>#N/A</v>
      </c>
      <c r="AC299" t="e">
        <f>VLOOKUP($J299,'[1]Table S6'!$A:$AI,20,FALSE)</f>
        <v>#N/A</v>
      </c>
      <c r="AE299" t="e">
        <f>VLOOKUP($J299,'[1]Table S6'!$A:$AI,22,FALSE)</f>
        <v>#N/A</v>
      </c>
      <c r="AF299" t="e">
        <f>VLOOKUP($J299,'[1]Table S6'!$A:$AI,23,FALSE)</f>
        <v>#N/A</v>
      </c>
      <c r="AG299" t="e">
        <f>VLOOKUP($J299,'[1]Table S6'!$A:$AI,24,FALSE)</f>
        <v>#N/A</v>
      </c>
      <c r="AH299" t="e">
        <f>VLOOKUP($J299,'[1]Table S6'!$A:$AI,25,FALSE)</f>
        <v>#N/A</v>
      </c>
      <c r="AJ299" t="e">
        <f>VLOOKUP($J299,'[1]Table S6'!$A:$AI,27,FALSE)</f>
        <v>#N/A</v>
      </c>
      <c r="AK299" t="e">
        <f>VLOOKUP($J299,'[1]Table S6'!$A:$AI,28,FALSE)</f>
        <v>#N/A</v>
      </c>
      <c r="AL299" t="e">
        <f>VLOOKUP($J299,'[1]Table S6'!$A:$AI,29,FALSE)</f>
        <v>#N/A</v>
      </c>
      <c r="AM299" t="e">
        <f>VLOOKUP($J299,'[1]Table S6'!$A:$AI,30,FALSE)</f>
        <v>#N/A</v>
      </c>
      <c r="AO299" t="e">
        <f>VLOOKUP($J299,'[1]Table S6'!$A:$AI,32,FALSE)</f>
        <v>#N/A</v>
      </c>
      <c r="AP299" t="e">
        <f>VLOOKUP($J299,'[1]Table S6'!$A:$AI,33,FALSE)</f>
        <v>#N/A</v>
      </c>
      <c r="AQ299" t="e">
        <f>VLOOKUP($J299,'[1]Table S6'!$A:$AI,34,FALSE)</f>
        <v>#N/A</v>
      </c>
      <c r="AR299" t="e">
        <f>VLOOKUP($J299,'[1]Table S6'!$A:$AI,35,FALSE)</f>
        <v>#N/A</v>
      </c>
      <c r="AT299" t="e">
        <f>VLOOKUP($I299,'[2]Table S5'!$A:$K,8,FALSE)</f>
        <v>#N/A</v>
      </c>
      <c r="AU299" t="e">
        <f>VLOOKUP($I299,'[2]Table S5'!$A:$K,9,FALSE)</f>
        <v>#N/A</v>
      </c>
      <c r="AV299" t="e">
        <f>VLOOKUP($I299,'[2]Table S5'!$A:$K,10,FALSE)</f>
        <v>#N/A</v>
      </c>
      <c r="AW299" t="e">
        <f>VLOOKUP($I299,'[2]Table S5'!$A:$K,11,FALSE)</f>
        <v>#N/A</v>
      </c>
    </row>
    <row r="300" spans="1:49">
      <c r="A300" s="12" t="s">
        <v>2267</v>
      </c>
      <c r="B300" t="s">
        <v>2268</v>
      </c>
      <c r="C300" t="s">
        <v>2269</v>
      </c>
      <c r="D300" t="s">
        <v>17</v>
      </c>
      <c r="E300" t="s">
        <v>2270</v>
      </c>
      <c r="F300" s="12" t="s">
        <v>2271</v>
      </c>
      <c r="G300" t="s">
        <v>2272</v>
      </c>
      <c r="H300" t="s">
        <v>2273</v>
      </c>
      <c r="I300" t="s">
        <v>2266</v>
      </c>
      <c r="J300" t="s">
        <v>2266</v>
      </c>
      <c r="K300" t="e">
        <f>VLOOKUP($J300,'[1]Table S6'!$A:$AI,2,FALSE)</f>
        <v>#N/A</v>
      </c>
      <c r="L300" t="e">
        <f>VLOOKUP($J300,'[1]Table S6'!$A:$AI,3,FALSE)</f>
        <v>#N/A</v>
      </c>
      <c r="M300" t="e">
        <f>VLOOKUP($J300,'[1]Table S6'!$A:$AI,4,FALSE)</f>
        <v>#N/A</v>
      </c>
      <c r="N300" t="e">
        <f>VLOOKUP($J300,'[1]Table S6'!$A:$AI,5,FALSE)</f>
        <v>#N/A</v>
      </c>
      <c r="P300" t="e">
        <f>VLOOKUP($J300,'[1]Table S6'!$A:$AI,7,FALSE)</f>
        <v>#N/A</v>
      </c>
      <c r="Q300" t="e">
        <f>VLOOKUP($J300,'[1]Table S6'!$A:$AI,8,FALSE)</f>
        <v>#N/A</v>
      </c>
      <c r="R300" t="e">
        <f>VLOOKUP($J300,'[1]Table S6'!$A:$AI,9,FALSE)</f>
        <v>#N/A</v>
      </c>
      <c r="S300" t="e">
        <f>VLOOKUP($J300,'[1]Table S6'!$A:$AI,10,FALSE)</f>
        <v>#N/A</v>
      </c>
      <c r="U300" t="e">
        <f>VLOOKUP($J300,'[1]Table S6'!$A:$AI,12,FALSE)</f>
        <v>#N/A</v>
      </c>
      <c r="V300" t="e">
        <f>VLOOKUP($J300,'[1]Table S6'!$A:$AI,13,FALSE)</f>
        <v>#N/A</v>
      </c>
      <c r="W300" t="e">
        <f>VLOOKUP($J300,'[1]Table S6'!$A:$AI,14,FALSE)</f>
        <v>#N/A</v>
      </c>
      <c r="X300" t="e">
        <f>VLOOKUP($J300,'[1]Table S6'!$A:$AI,15,FALSE)</f>
        <v>#N/A</v>
      </c>
      <c r="Z300" t="e">
        <f>VLOOKUP($J300,'[1]Table S6'!$A:$AI,17,FALSE)</f>
        <v>#N/A</v>
      </c>
      <c r="AA300" t="e">
        <f>VLOOKUP($J300,'[1]Table S6'!$A:$AI,18,FALSE)</f>
        <v>#N/A</v>
      </c>
      <c r="AB300" t="e">
        <f>VLOOKUP($J300,'[1]Table S6'!$A:$AI,19,FALSE)</f>
        <v>#N/A</v>
      </c>
      <c r="AC300" t="e">
        <f>VLOOKUP($J300,'[1]Table S6'!$A:$AI,20,FALSE)</f>
        <v>#N/A</v>
      </c>
      <c r="AE300" t="e">
        <f>VLOOKUP($J300,'[1]Table S6'!$A:$AI,22,FALSE)</f>
        <v>#N/A</v>
      </c>
      <c r="AF300" t="e">
        <f>VLOOKUP($J300,'[1]Table S6'!$A:$AI,23,FALSE)</f>
        <v>#N/A</v>
      </c>
      <c r="AG300" t="e">
        <f>VLOOKUP($J300,'[1]Table S6'!$A:$AI,24,FALSE)</f>
        <v>#N/A</v>
      </c>
      <c r="AH300" t="e">
        <f>VLOOKUP($J300,'[1]Table S6'!$A:$AI,25,FALSE)</f>
        <v>#N/A</v>
      </c>
      <c r="AJ300" t="e">
        <f>VLOOKUP($J300,'[1]Table S6'!$A:$AI,27,FALSE)</f>
        <v>#N/A</v>
      </c>
      <c r="AK300" t="e">
        <f>VLOOKUP($J300,'[1]Table S6'!$A:$AI,28,FALSE)</f>
        <v>#N/A</v>
      </c>
      <c r="AL300" t="e">
        <f>VLOOKUP($J300,'[1]Table S6'!$A:$AI,29,FALSE)</f>
        <v>#N/A</v>
      </c>
      <c r="AM300" t="e">
        <f>VLOOKUP($J300,'[1]Table S6'!$A:$AI,30,FALSE)</f>
        <v>#N/A</v>
      </c>
      <c r="AO300" t="e">
        <f>VLOOKUP($J300,'[1]Table S6'!$A:$AI,32,FALSE)</f>
        <v>#N/A</v>
      </c>
      <c r="AP300" t="e">
        <f>VLOOKUP($J300,'[1]Table S6'!$A:$AI,33,FALSE)</f>
        <v>#N/A</v>
      </c>
      <c r="AQ300" t="e">
        <f>VLOOKUP($J300,'[1]Table S6'!$A:$AI,34,FALSE)</f>
        <v>#N/A</v>
      </c>
      <c r="AR300" t="e">
        <f>VLOOKUP($J300,'[1]Table S6'!$A:$AI,35,FALSE)</f>
        <v>#N/A</v>
      </c>
      <c r="AT300" t="e">
        <f>VLOOKUP($I300,'[2]Table S5'!$A:$K,8,FALSE)</f>
        <v>#N/A</v>
      </c>
      <c r="AU300" t="e">
        <f>VLOOKUP($I300,'[2]Table S5'!$A:$K,9,FALSE)</f>
        <v>#N/A</v>
      </c>
      <c r="AV300" t="e">
        <f>VLOOKUP($I300,'[2]Table S5'!$A:$K,10,FALSE)</f>
        <v>#N/A</v>
      </c>
      <c r="AW300" t="e">
        <f>VLOOKUP($I300,'[2]Table S5'!$A:$K,11,FALSE)</f>
        <v>#N/A</v>
      </c>
    </row>
    <row r="301" spans="1:49">
      <c r="A301" s="12" t="s">
        <v>2274</v>
      </c>
      <c r="B301" t="s">
        <v>2275</v>
      </c>
      <c r="C301" t="s">
        <v>2276</v>
      </c>
      <c r="D301" t="s">
        <v>17</v>
      </c>
      <c r="E301" t="s">
        <v>2277</v>
      </c>
      <c r="F301" s="12" t="s">
        <v>2278</v>
      </c>
      <c r="G301" t="s">
        <v>2279</v>
      </c>
      <c r="H301" t="s">
        <v>2280</v>
      </c>
      <c r="I301" t="s">
        <v>2266</v>
      </c>
      <c r="J301" t="s">
        <v>2266</v>
      </c>
      <c r="K301" t="e">
        <f>VLOOKUP($J301,'[1]Table S6'!$A:$AI,2,FALSE)</f>
        <v>#N/A</v>
      </c>
      <c r="L301" t="e">
        <f>VLOOKUP($J301,'[1]Table S6'!$A:$AI,3,FALSE)</f>
        <v>#N/A</v>
      </c>
      <c r="M301" t="e">
        <f>VLOOKUP($J301,'[1]Table S6'!$A:$AI,4,FALSE)</f>
        <v>#N/A</v>
      </c>
      <c r="N301" t="e">
        <f>VLOOKUP($J301,'[1]Table S6'!$A:$AI,5,FALSE)</f>
        <v>#N/A</v>
      </c>
      <c r="P301" t="e">
        <f>VLOOKUP($J301,'[1]Table S6'!$A:$AI,7,FALSE)</f>
        <v>#N/A</v>
      </c>
      <c r="Q301" t="e">
        <f>VLOOKUP($J301,'[1]Table S6'!$A:$AI,8,FALSE)</f>
        <v>#N/A</v>
      </c>
      <c r="R301" t="e">
        <f>VLOOKUP($J301,'[1]Table S6'!$A:$AI,9,FALSE)</f>
        <v>#N/A</v>
      </c>
      <c r="S301" t="e">
        <f>VLOOKUP($J301,'[1]Table S6'!$A:$AI,10,FALSE)</f>
        <v>#N/A</v>
      </c>
      <c r="U301" t="e">
        <f>VLOOKUP($J301,'[1]Table S6'!$A:$AI,12,FALSE)</f>
        <v>#N/A</v>
      </c>
      <c r="V301" t="e">
        <f>VLOOKUP($J301,'[1]Table S6'!$A:$AI,13,FALSE)</f>
        <v>#N/A</v>
      </c>
      <c r="W301" t="e">
        <f>VLOOKUP($J301,'[1]Table S6'!$A:$AI,14,FALSE)</f>
        <v>#N/A</v>
      </c>
      <c r="X301" t="e">
        <f>VLOOKUP($J301,'[1]Table S6'!$A:$AI,15,FALSE)</f>
        <v>#N/A</v>
      </c>
      <c r="Z301" t="e">
        <f>VLOOKUP($J301,'[1]Table S6'!$A:$AI,17,FALSE)</f>
        <v>#N/A</v>
      </c>
      <c r="AA301" t="e">
        <f>VLOOKUP($J301,'[1]Table S6'!$A:$AI,18,FALSE)</f>
        <v>#N/A</v>
      </c>
      <c r="AB301" t="e">
        <f>VLOOKUP($J301,'[1]Table S6'!$A:$AI,19,FALSE)</f>
        <v>#N/A</v>
      </c>
      <c r="AC301" t="e">
        <f>VLOOKUP($J301,'[1]Table S6'!$A:$AI,20,FALSE)</f>
        <v>#N/A</v>
      </c>
      <c r="AE301" t="e">
        <f>VLOOKUP($J301,'[1]Table S6'!$A:$AI,22,FALSE)</f>
        <v>#N/A</v>
      </c>
      <c r="AF301" t="e">
        <f>VLOOKUP($J301,'[1]Table S6'!$A:$AI,23,FALSE)</f>
        <v>#N/A</v>
      </c>
      <c r="AG301" t="e">
        <f>VLOOKUP($J301,'[1]Table S6'!$A:$AI,24,FALSE)</f>
        <v>#N/A</v>
      </c>
      <c r="AH301" t="e">
        <f>VLOOKUP($J301,'[1]Table S6'!$A:$AI,25,FALSE)</f>
        <v>#N/A</v>
      </c>
      <c r="AJ301" t="e">
        <f>VLOOKUP($J301,'[1]Table S6'!$A:$AI,27,FALSE)</f>
        <v>#N/A</v>
      </c>
      <c r="AK301" t="e">
        <f>VLOOKUP($J301,'[1]Table S6'!$A:$AI,28,FALSE)</f>
        <v>#N/A</v>
      </c>
      <c r="AL301" t="e">
        <f>VLOOKUP($J301,'[1]Table S6'!$A:$AI,29,FALSE)</f>
        <v>#N/A</v>
      </c>
      <c r="AM301" t="e">
        <f>VLOOKUP($J301,'[1]Table S6'!$A:$AI,30,FALSE)</f>
        <v>#N/A</v>
      </c>
      <c r="AO301" t="e">
        <f>VLOOKUP($J301,'[1]Table S6'!$A:$AI,32,FALSE)</f>
        <v>#N/A</v>
      </c>
      <c r="AP301" t="e">
        <f>VLOOKUP($J301,'[1]Table S6'!$A:$AI,33,FALSE)</f>
        <v>#N/A</v>
      </c>
      <c r="AQ301" t="e">
        <f>VLOOKUP($J301,'[1]Table S6'!$A:$AI,34,FALSE)</f>
        <v>#N/A</v>
      </c>
      <c r="AR301" t="e">
        <f>VLOOKUP($J301,'[1]Table S6'!$A:$AI,35,FALSE)</f>
        <v>#N/A</v>
      </c>
      <c r="AT301" t="e">
        <f>VLOOKUP($I301,'[2]Table S5'!$A:$K,8,FALSE)</f>
        <v>#N/A</v>
      </c>
      <c r="AU301" t="e">
        <f>VLOOKUP($I301,'[2]Table S5'!$A:$K,9,FALSE)</f>
        <v>#N/A</v>
      </c>
      <c r="AV301" t="e">
        <f>VLOOKUP($I301,'[2]Table S5'!$A:$K,10,FALSE)</f>
        <v>#N/A</v>
      </c>
      <c r="AW301" t="e">
        <f>VLOOKUP($I301,'[2]Table S5'!$A:$K,11,FALSE)</f>
        <v>#N/A</v>
      </c>
    </row>
    <row r="302" spans="1:49">
      <c r="A302" s="12" t="s">
        <v>2281</v>
      </c>
      <c r="B302" t="s">
        <v>2282</v>
      </c>
      <c r="C302" t="s">
        <v>2283</v>
      </c>
      <c r="D302" t="s">
        <v>17</v>
      </c>
      <c r="E302" t="s">
        <v>2284</v>
      </c>
      <c r="F302" s="12" t="s">
        <v>2285</v>
      </c>
      <c r="G302" t="s">
        <v>2286</v>
      </c>
      <c r="H302" t="s">
        <v>2287</v>
      </c>
      <c r="I302" t="s">
        <v>2266</v>
      </c>
      <c r="J302" t="s">
        <v>2266</v>
      </c>
      <c r="K302" t="e">
        <f>VLOOKUP($J302,'[1]Table S6'!$A:$AI,2,FALSE)</f>
        <v>#N/A</v>
      </c>
      <c r="L302" t="e">
        <f>VLOOKUP($J302,'[1]Table S6'!$A:$AI,3,FALSE)</f>
        <v>#N/A</v>
      </c>
      <c r="M302" t="e">
        <f>VLOOKUP($J302,'[1]Table S6'!$A:$AI,4,FALSE)</f>
        <v>#N/A</v>
      </c>
      <c r="N302" t="e">
        <f>VLOOKUP($J302,'[1]Table S6'!$A:$AI,5,FALSE)</f>
        <v>#N/A</v>
      </c>
      <c r="P302" t="e">
        <f>VLOOKUP($J302,'[1]Table S6'!$A:$AI,7,FALSE)</f>
        <v>#N/A</v>
      </c>
      <c r="Q302" t="e">
        <f>VLOOKUP($J302,'[1]Table S6'!$A:$AI,8,FALSE)</f>
        <v>#N/A</v>
      </c>
      <c r="R302" t="e">
        <f>VLOOKUP($J302,'[1]Table S6'!$A:$AI,9,FALSE)</f>
        <v>#N/A</v>
      </c>
      <c r="S302" t="e">
        <f>VLOOKUP($J302,'[1]Table S6'!$A:$AI,10,FALSE)</f>
        <v>#N/A</v>
      </c>
      <c r="U302" t="e">
        <f>VLOOKUP($J302,'[1]Table S6'!$A:$AI,12,FALSE)</f>
        <v>#N/A</v>
      </c>
      <c r="V302" t="e">
        <f>VLOOKUP($J302,'[1]Table S6'!$A:$AI,13,FALSE)</f>
        <v>#N/A</v>
      </c>
      <c r="W302" t="e">
        <f>VLOOKUP($J302,'[1]Table S6'!$A:$AI,14,FALSE)</f>
        <v>#N/A</v>
      </c>
      <c r="X302" t="e">
        <f>VLOOKUP($J302,'[1]Table S6'!$A:$AI,15,FALSE)</f>
        <v>#N/A</v>
      </c>
      <c r="Z302" t="e">
        <f>VLOOKUP($J302,'[1]Table S6'!$A:$AI,17,FALSE)</f>
        <v>#N/A</v>
      </c>
      <c r="AA302" t="e">
        <f>VLOOKUP($J302,'[1]Table S6'!$A:$AI,18,FALSE)</f>
        <v>#N/A</v>
      </c>
      <c r="AB302" t="e">
        <f>VLOOKUP($J302,'[1]Table S6'!$A:$AI,19,FALSE)</f>
        <v>#N/A</v>
      </c>
      <c r="AC302" t="e">
        <f>VLOOKUP($J302,'[1]Table S6'!$A:$AI,20,FALSE)</f>
        <v>#N/A</v>
      </c>
      <c r="AE302" t="e">
        <f>VLOOKUP($J302,'[1]Table S6'!$A:$AI,22,FALSE)</f>
        <v>#N/A</v>
      </c>
      <c r="AF302" t="e">
        <f>VLOOKUP($J302,'[1]Table S6'!$A:$AI,23,FALSE)</f>
        <v>#N/A</v>
      </c>
      <c r="AG302" t="e">
        <f>VLOOKUP($J302,'[1]Table S6'!$A:$AI,24,FALSE)</f>
        <v>#N/A</v>
      </c>
      <c r="AH302" t="e">
        <f>VLOOKUP($J302,'[1]Table S6'!$A:$AI,25,FALSE)</f>
        <v>#N/A</v>
      </c>
      <c r="AJ302" t="e">
        <f>VLOOKUP($J302,'[1]Table S6'!$A:$AI,27,FALSE)</f>
        <v>#N/A</v>
      </c>
      <c r="AK302" t="e">
        <f>VLOOKUP($J302,'[1]Table S6'!$A:$AI,28,FALSE)</f>
        <v>#N/A</v>
      </c>
      <c r="AL302" t="e">
        <f>VLOOKUP($J302,'[1]Table S6'!$A:$AI,29,FALSE)</f>
        <v>#N/A</v>
      </c>
      <c r="AM302" t="e">
        <f>VLOOKUP($J302,'[1]Table S6'!$A:$AI,30,FALSE)</f>
        <v>#N/A</v>
      </c>
      <c r="AO302" t="e">
        <f>VLOOKUP($J302,'[1]Table S6'!$A:$AI,32,FALSE)</f>
        <v>#N/A</v>
      </c>
      <c r="AP302" t="e">
        <f>VLOOKUP($J302,'[1]Table S6'!$A:$AI,33,FALSE)</f>
        <v>#N/A</v>
      </c>
      <c r="AQ302" t="e">
        <f>VLOOKUP($J302,'[1]Table S6'!$A:$AI,34,FALSE)</f>
        <v>#N/A</v>
      </c>
      <c r="AR302" t="e">
        <f>VLOOKUP($J302,'[1]Table S6'!$A:$AI,35,FALSE)</f>
        <v>#N/A</v>
      </c>
      <c r="AT302" t="e">
        <f>VLOOKUP($I302,'[2]Table S5'!$A:$K,8,FALSE)</f>
        <v>#N/A</v>
      </c>
      <c r="AU302" t="e">
        <f>VLOOKUP($I302,'[2]Table S5'!$A:$K,9,FALSE)</f>
        <v>#N/A</v>
      </c>
      <c r="AV302" t="e">
        <f>VLOOKUP($I302,'[2]Table S5'!$A:$K,10,FALSE)</f>
        <v>#N/A</v>
      </c>
      <c r="AW302" t="e">
        <f>VLOOKUP($I302,'[2]Table S5'!$A:$K,11,FALSE)</f>
        <v>#N/A</v>
      </c>
    </row>
    <row r="303" spans="1:49">
      <c r="A303" s="12" t="s">
        <v>2288</v>
      </c>
      <c r="B303" t="s">
        <v>2289</v>
      </c>
      <c r="C303" t="s">
        <v>2290</v>
      </c>
      <c r="D303" t="s">
        <v>17</v>
      </c>
      <c r="E303" t="s">
        <v>2291</v>
      </c>
      <c r="F303" s="12" t="s">
        <v>2292</v>
      </c>
      <c r="G303" t="s">
        <v>2293</v>
      </c>
      <c r="H303" t="s">
        <v>2294</v>
      </c>
      <c r="I303" t="s">
        <v>2295</v>
      </c>
      <c r="J303" t="s">
        <v>2295</v>
      </c>
      <c r="K303" t="e">
        <f>VLOOKUP($J303,'[1]Table S6'!$A:$AI,2,FALSE)</f>
        <v>#N/A</v>
      </c>
      <c r="L303" t="e">
        <f>VLOOKUP($J303,'[1]Table S6'!$A:$AI,3,FALSE)</f>
        <v>#N/A</v>
      </c>
      <c r="M303" t="e">
        <f>VLOOKUP($J303,'[1]Table S6'!$A:$AI,4,FALSE)</f>
        <v>#N/A</v>
      </c>
      <c r="N303" t="e">
        <f>VLOOKUP($J303,'[1]Table S6'!$A:$AI,5,FALSE)</f>
        <v>#N/A</v>
      </c>
      <c r="P303" t="e">
        <f>VLOOKUP($J303,'[1]Table S6'!$A:$AI,7,FALSE)</f>
        <v>#N/A</v>
      </c>
      <c r="Q303" t="e">
        <f>VLOOKUP($J303,'[1]Table S6'!$A:$AI,8,FALSE)</f>
        <v>#N/A</v>
      </c>
      <c r="R303" t="e">
        <f>VLOOKUP($J303,'[1]Table S6'!$A:$AI,9,FALSE)</f>
        <v>#N/A</v>
      </c>
      <c r="S303" t="e">
        <f>VLOOKUP($J303,'[1]Table S6'!$A:$AI,10,FALSE)</f>
        <v>#N/A</v>
      </c>
      <c r="U303" t="e">
        <f>VLOOKUP($J303,'[1]Table S6'!$A:$AI,12,FALSE)</f>
        <v>#N/A</v>
      </c>
      <c r="V303" t="e">
        <f>VLOOKUP($J303,'[1]Table S6'!$A:$AI,13,FALSE)</f>
        <v>#N/A</v>
      </c>
      <c r="W303" t="e">
        <f>VLOOKUP($J303,'[1]Table S6'!$A:$AI,14,FALSE)</f>
        <v>#N/A</v>
      </c>
      <c r="X303" t="e">
        <f>VLOOKUP($J303,'[1]Table S6'!$A:$AI,15,FALSE)</f>
        <v>#N/A</v>
      </c>
      <c r="Z303" t="e">
        <f>VLOOKUP($J303,'[1]Table S6'!$A:$AI,17,FALSE)</f>
        <v>#N/A</v>
      </c>
      <c r="AA303" t="e">
        <f>VLOOKUP($J303,'[1]Table S6'!$A:$AI,18,FALSE)</f>
        <v>#N/A</v>
      </c>
      <c r="AB303" t="e">
        <f>VLOOKUP($J303,'[1]Table S6'!$A:$AI,19,FALSE)</f>
        <v>#N/A</v>
      </c>
      <c r="AC303" t="e">
        <f>VLOOKUP($J303,'[1]Table S6'!$A:$AI,20,FALSE)</f>
        <v>#N/A</v>
      </c>
      <c r="AE303" t="e">
        <f>VLOOKUP($J303,'[1]Table S6'!$A:$AI,22,FALSE)</f>
        <v>#N/A</v>
      </c>
      <c r="AF303" t="e">
        <f>VLOOKUP($J303,'[1]Table S6'!$A:$AI,23,FALSE)</f>
        <v>#N/A</v>
      </c>
      <c r="AG303" t="e">
        <f>VLOOKUP($J303,'[1]Table S6'!$A:$AI,24,FALSE)</f>
        <v>#N/A</v>
      </c>
      <c r="AH303" t="e">
        <f>VLOOKUP($J303,'[1]Table S6'!$A:$AI,25,FALSE)</f>
        <v>#N/A</v>
      </c>
      <c r="AJ303" t="e">
        <f>VLOOKUP($J303,'[1]Table S6'!$A:$AI,27,FALSE)</f>
        <v>#N/A</v>
      </c>
      <c r="AK303" t="e">
        <f>VLOOKUP($J303,'[1]Table S6'!$A:$AI,28,FALSE)</f>
        <v>#N/A</v>
      </c>
      <c r="AL303" t="e">
        <f>VLOOKUP($J303,'[1]Table S6'!$A:$AI,29,FALSE)</f>
        <v>#N/A</v>
      </c>
      <c r="AM303" t="e">
        <f>VLOOKUP($J303,'[1]Table S6'!$A:$AI,30,FALSE)</f>
        <v>#N/A</v>
      </c>
      <c r="AO303" t="e">
        <f>VLOOKUP($J303,'[1]Table S6'!$A:$AI,32,FALSE)</f>
        <v>#N/A</v>
      </c>
      <c r="AP303" t="e">
        <f>VLOOKUP($J303,'[1]Table S6'!$A:$AI,33,FALSE)</f>
        <v>#N/A</v>
      </c>
      <c r="AQ303" t="e">
        <f>VLOOKUP($J303,'[1]Table S6'!$A:$AI,34,FALSE)</f>
        <v>#N/A</v>
      </c>
      <c r="AR303" t="e">
        <f>VLOOKUP($J303,'[1]Table S6'!$A:$AI,35,FALSE)</f>
        <v>#N/A</v>
      </c>
      <c r="AT303" t="e">
        <f>VLOOKUP($I303,'[2]Table S5'!$A:$K,8,FALSE)</f>
        <v>#N/A</v>
      </c>
      <c r="AU303" t="e">
        <f>VLOOKUP($I303,'[2]Table S5'!$A:$K,9,FALSE)</f>
        <v>#N/A</v>
      </c>
      <c r="AV303" t="e">
        <f>VLOOKUP($I303,'[2]Table S5'!$A:$K,10,FALSE)</f>
        <v>#N/A</v>
      </c>
      <c r="AW303" t="e">
        <f>VLOOKUP($I303,'[2]Table S5'!$A:$K,11,FALSE)</f>
        <v>#N/A</v>
      </c>
    </row>
    <row r="304" spans="1:49">
      <c r="A304" s="12" t="s">
        <v>2296</v>
      </c>
      <c r="B304" t="s">
        <v>2297</v>
      </c>
      <c r="C304" t="s">
        <v>2298</v>
      </c>
      <c r="D304" t="s">
        <v>17</v>
      </c>
      <c r="E304" t="s">
        <v>2299</v>
      </c>
      <c r="F304" s="12" t="s">
        <v>2300</v>
      </c>
      <c r="G304" t="s">
        <v>2301</v>
      </c>
      <c r="H304" t="s">
        <v>2302</v>
      </c>
      <c r="I304" t="s">
        <v>2295</v>
      </c>
      <c r="J304" t="s">
        <v>2295</v>
      </c>
      <c r="K304" t="e">
        <f>VLOOKUP($J304,'[1]Table S6'!$A:$AI,2,FALSE)</f>
        <v>#N/A</v>
      </c>
      <c r="L304" t="e">
        <f>VLOOKUP($J304,'[1]Table S6'!$A:$AI,3,FALSE)</f>
        <v>#N/A</v>
      </c>
      <c r="M304" t="e">
        <f>VLOOKUP($J304,'[1]Table S6'!$A:$AI,4,FALSE)</f>
        <v>#N/A</v>
      </c>
      <c r="N304" t="e">
        <f>VLOOKUP($J304,'[1]Table S6'!$A:$AI,5,FALSE)</f>
        <v>#N/A</v>
      </c>
      <c r="P304" t="e">
        <f>VLOOKUP($J304,'[1]Table S6'!$A:$AI,7,FALSE)</f>
        <v>#N/A</v>
      </c>
      <c r="Q304" t="e">
        <f>VLOOKUP($J304,'[1]Table S6'!$A:$AI,8,FALSE)</f>
        <v>#N/A</v>
      </c>
      <c r="R304" t="e">
        <f>VLOOKUP($J304,'[1]Table S6'!$A:$AI,9,FALSE)</f>
        <v>#N/A</v>
      </c>
      <c r="S304" t="e">
        <f>VLOOKUP($J304,'[1]Table S6'!$A:$AI,10,FALSE)</f>
        <v>#N/A</v>
      </c>
      <c r="U304" t="e">
        <f>VLOOKUP($J304,'[1]Table S6'!$A:$AI,12,FALSE)</f>
        <v>#N/A</v>
      </c>
      <c r="V304" t="e">
        <f>VLOOKUP($J304,'[1]Table S6'!$A:$AI,13,FALSE)</f>
        <v>#N/A</v>
      </c>
      <c r="W304" t="e">
        <f>VLOOKUP($J304,'[1]Table S6'!$A:$AI,14,FALSE)</f>
        <v>#N/A</v>
      </c>
      <c r="X304" t="e">
        <f>VLOOKUP($J304,'[1]Table S6'!$A:$AI,15,FALSE)</f>
        <v>#N/A</v>
      </c>
      <c r="Z304" t="e">
        <f>VLOOKUP($J304,'[1]Table S6'!$A:$AI,17,FALSE)</f>
        <v>#N/A</v>
      </c>
      <c r="AA304" t="e">
        <f>VLOOKUP($J304,'[1]Table S6'!$A:$AI,18,FALSE)</f>
        <v>#N/A</v>
      </c>
      <c r="AB304" t="e">
        <f>VLOOKUP($J304,'[1]Table S6'!$A:$AI,19,FALSE)</f>
        <v>#N/A</v>
      </c>
      <c r="AC304" t="e">
        <f>VLOOKUP($J304,'[1]Table S6'!$A:$AI,20,FALSE)</f>
        <v>#N/A</v>
      </c>
      <c r="AE304" t="e">
        <f>VLOOKUP($J304,'[1]Table S6'!$A:$AI,22,FALSE)</f>
        <v>#N/A</v>
      </c>
      <c r="AF304" t="e">
        <f>VLOOKUP($J304,'[1]Table S6'!$A:$AI,23,FALSE)</f>
        <v>#N/A</v>
      </c>
      <c r="AG304" t="e">
        <f>VLOOKUP($J304,'[1]Table S6'!$A:$AI,24,FALSE)</f>
        <v>#N/A</v>
      </c>
      <c r="AH304" t="e">
        <f>VLOOKUP($J304,'[1]Table S6'!$A:$AI,25,FALSE)</f>
        <v>#N/A</v>
      </c>
      <c r="AJ304" t="e">
        <f>VLOOKUP($J304,'[1]Table S6'!$A:$AI,27,FALSE)</f>
        <v>#N/A</v>
      </c>
      <c r="AK304" t="e">
        <f>VLOOKUP($J304,'[1]Table S6'!$A:$AI,28,FALSE)</f>
        <v>#N/A</v>
      </c>
      <c r="AL304" t="e">
        <f>VLOOKUP($J304,'[1]Table S6'!$A:$AI,29,FALSE)</f>
        <v>#N/A</v>
      </c>
      <c r="AM304" t="e">
        <f>VLOOKUP($J304,'[1]Table S6'!$A:$AI,30,FALSE)</f>
        <v>#N/A</v>
      </c>
      <c r="AO304" t="e">
        <f>VLOOKUP($J304,'[1]Table S6'!$A:$AI,32,FALSE)</f>
        <v>#N/A</v>
      </c>
      <c r="AP304" t="e">
        <f>VLOOKUP($J304,'[1]Table S6'!$A:$AI,33,FALSE)</f>
        <v>#N/A</v>
      </c>
      <c r="AQ304" t="e">
        <f>VLOOKUP($J304,'[1]Table S6'!$A:$AI,34,FALSE)</f>
        <v>#N/A</v>
      </c>
      <c r="AR304" t="e">
        <f>VLOOKUP($J304,'[1]Table S6'!$A:$AI,35,FALSE)</f>
        <v>#N/A</v>
      </c>
      <c r="AT304" t="e">
        <f>VLOOKUP($I304,'[2]Table S5'!$A:$K,8,FALSE)</f>
        <v>#N/A</v>
      </c>
      <c r="AU304" t="e">
        <f>VLOOKUP($I304,'[2]Table S5'!$A:$K,9,FALSE)</f>
        <v>#N/A</v>
      </c>
      <c r="AV304" t="e">
        <f>VLOOKUP($I304,'[2]Table S5'!$A:$K,10,FALSE)</f>
        <v>#N/A</v>
      </c>
      <c r="AW304" t="e">
        <f>VLOOKUP($I304,'[2]Table S5'!$A:$K,11,FALSE)</f>
        <v>#N/A</v>
      </c>
    </row>
    <row r="305" spans="1:49">
      <c r="A305" s="12" t="s">
        <v>2303</v>
      </c>
      <c r="B305" t="s">
        <v>2304</v>
      </c>
      <c r="C305" t="s">
        <v>2305</v>
      </c>
      <c r="D305" t="s">
        <v>17</v>
      </c>
      <c r="E305" t="s">
        <v>2306</v>
      </c>
      <c r="F305" s="12" t="s">
        <v>2307</v>
      </c>
      <c r="G305" t="s">
        <v>2308</v>
      </c>
      <c r="H305" t="s">
        <v>2309</v>
      </c>
      <c r="I305" t="s">
        <v>2295</v>
      </c>
      <c r="J305" t="s">
        <v>2295</v>
      </c>
      <c r="K305" t="e">
        <f>VLOOKUP($J305,'[1]Table S6'!$A:$AI,2,FALSE)</f>
        <v>#N/A</v>
      </c>
      <c r="L305" t="e">
        <f>VLOOKUP($J305,'[1]Table S6'!$A:$AI,3,FALSE)</f>
        <v>#N/A</v>
      </c>
      <c r="M305" t="e">
        <f>VLOOKUP($J305,'[1]Table S6'!$A:$AI,4,FALSE)</f>
        <v>#N/A</v>
      </c>
      <c r="N305" t="e">
        <f>VLOOKUP($J305,'[1]Table S6'!$A:$AI,5,FALSE)</f>
        <v>#N/A</v>
      </c>
      <c r="P305" t="e">
        <f>VLOOKUP($J305,'[1]Table S6'!$A:$AI,7,FALSE)</f>
        <v>#N/A</v>
      </c>
      <c r="Q305" t="e">
        <f>VLOOKUP($J305,'[1]Table S6'!$A:$AI,8,FALSE)</f>
        <v>#N/A</v>
      </c>
      <c r="R305" t="e">
        <f>VLOOKUP($J305,'[1]Table S6'!$A:$AI,9,FALSE)</f>
        <v>#N/A</v>
      </c>
      <c r="S305" t="e">
        <f>VLOOKUP($J305,'[1]Table S6'!$A:$AI,10,FALSE)</f>
        <v>#N/A</v>
      </c>
      <c r="U305" t="e">
        <f>VLOOKUP($J305,'[1]Table S6'!$A:$AI,12,FALSE)</f>
        <v>#N/A</v>
      </c>
      <c r="V305" t="e">
        <f>VLOOKUP($J305,'[1]Table S6'!$A:$AI,13,FALSE)</f>
        <v>#N/A</v>
      </c>
      <c r="W305" t="e">
        <f>VLOOKUP($J305,'[1]Table S6'!$A:$AI,14,FALSE)</f>
        <v>#N/A</v>
      </c>
      <c r="X305" t="e">
        <f>VLOOKUP($J305,'[1]Table S6'!$A:$AI,15,FALSE)</f>
        <v>#N/A</v>
      </c>
      <c r="Z305" t="e">
        <f>VLOOKUP($J305,'[1]Table S6'!$A:$AI,17,FALSE)</f>
        <v>#N/A</v>
      </c>
      <c r="AA305" t="e">
        <f>VLOOKUP($J305,'[1]Table S6'!$A:$AI,18,FALSE)</f>
        <v>#N/A</v>
      </c>
      <c r="AB305" t="e">
        <f>VLOOKUP($J305,'[1]Table S6'!$A:$AI,19,FALSE)</f>
        <v>#N/A</v>
      </c>
      <c r="AC305" t="e">
        <f>VLOOKUP($J305,'[1]Table S6'!$A:$AI,20,FALSE)</f>
        <v>#N/A</v>
      </c>
      <c r="AE305" t="e">
        <f>VLOOKUP($J305,'[1]Table S6'!$A:$AI,22,FALSE)</f>
        <v>#N/A</v>
      </c>
      <c r="AF305" t="e">
        <f>VLOOKUP($J305,'[1]Table S6'!$A:$AI,23,FALSE)</f>
        <v>#N/A</v>
      </c>
      <c r="AG305" t="e">
        <f>VLOOKUP($J305,'[1]Table S6'!$A:$AI,24,FALSE)</f>
        <v>#N/A</v>
      </c>
      <c r="AH305" t="e">
        <f>VLOOKUP($J305,'[1]Table S6'!$A:$AI,25,FALSE)</f>
        <v>#N/A</v>
      </c>
      <c r="AJ305" t="e">
        <f>VLOOKUP($J305,'[1]Table S6'!$A:$AI,27,FALSE)</f>
        <v>#N/A</v>
      </c>
      <c r="AK305" t="e">
        <f>VLOOKUP($J305,'[1]Table S6'!$A:$AI,28,FALSE)</f>
        <v>#N/A</v>
      </c>
      <c r="AL305" t="e">
        <f>VLOOKUP($J305,'[1]Table S6'!$A:$AI,29,FALSE)</f>
        <v>#N/A</v>
      </c>
      <c r="AM305" t="e">
        <f>VLOOKUP($J305,'[1]Table S6'!$A:$AI,30,FALSE)</f>
        <v>#N/A</v>
      </c>
      <c r="AO305" t="e">
        <f>VLOOKUP($J305,'[1]Table S6'!$A:$AI,32,FALSE)</f>
        <v>#N/A</v>
      </c>
      <c r="AP305" t="e">
        <f>VLOOKUP($J305,'[1]Table S6'!$A:$AI,33,FALSE)</f>
        <v>#N/A</v>
      </c>
      <c r="AQ305" t="e">
        <f>VLOOKUP($J305,'[1]Table S6'!$A:$AI,34,FALSE)</f>
        <v>#N/A</v>
      </c>
      <c r="AR305" t="e">
        <f>VLOOKUP($J305,'[1]Table S6'!$A:$AI,35,FALSE)</f>
        <v>#N/A</v>
      </c>
      <c r="AT305" t="e">
        <f>VLOOKUP($I305,'[2]Table S5'!$A:$K,8,FALSE)</f>
        <v>#N/A</v>
      </c>
      <c r="AU305" t="e">
        <f>VLOOKUP($I305,'[2]Table S5'!$A:$K,9,FALSE)</f>
        <v>#N/A</v>
      </c>
      <c r="AV305" t="e">
        <f>VLOOKUP($I305,'[2]Table S5'!$A:$K,10,FALSE)</f>
        <v>#N/A</v>
      </c>
      <c r="AW305" t="e">
        <f>VLOOKUP($I305,'[2]Table S5'!$A:$K,11,FALSE)</f>
        <v>#N/A</v>
      </c>
    </row>
    <row r="306" spans="1:49">
      <c r="A306" s="12" t="s">
        <v>2310</v>
      </c>
      <c r="B306" t="s">
        <v>2311</v>
      </c>
      <c r="C306" t="s">
        <v>2312</v>
      </c>
      <c r="D306" t="s">
        <v>17</v>
      </c>
      <c r="E306" t="s">
        <v>2313</v>
      </c>
      <c r="F306" s="12" t="s">
        <v>2314</v>
      </c>
      <c r="G306" t="s">
        <v>2315</v>
      </c>
      <c r="H306" t="s">
        <v>2316</v>
      </c>
      <c r="I306" t="s">
        <v>2295</v>
      </c>
      <c r="J306" t="s">
        <v>2295</v>
      </c>
      <c r="K306" t="e">
        <f>VLOOKUP($J306,'[1]Table S6'!$A:$AI,2,FALSE)</f>
        <v>#N/A</v>
      </c>
      <c r="L306" t="e">
        <f>VLOOKUP($J306,'[1]Table S6'!$A:$AI,3,FALSE)</f>
        <v>#N/A</v>
      </c>
      <c r="M306" t="e">
        <f>VLOOKUP($J306,'[1]Table S6'!$A:$AI,4,FALSE)</f>
        <v>#N/A</v>
      </c>
      <c r="N306" t="e">
        <f>VLOOKUP($J306,'[1]Table S6'!$A:$AI,5,FALSE)</f>
        <v>#N/A</v>
      </c>
      <c r="P306" t="e">
        <f>VLOOKUP($J306,'[1]Table S6'!$A:$AI,7,FALSE)</f>
        <v>#N/A</v>
      </c>
      <c r="Q306" t="e">
        <f>VLOOKUP($J306,'[1]Table S6'!$A:$AI,8,FALSE)</f>
        <v>#N/A</v>
      </c>
      <c r="R306" t="e">
        <f>VLOOKUP($J306,'[1]Table S6'!$A:$AI,9,FALSE)</f>
        <v>#N/A</v>
      </c>
      <c r="S306" t="e">
        <f>VLOOKUP($J306,'[1]Table S6'!$A:$AI,10,FALSE)</f>
        <v>#N/A</v>
      </c>
      <c r="U306" t="e">
        <f>VLOOKUP($J306,'[1]Table S6'!$A:$AI,12,FALSE)</f>
        <v>#N/A</v>
      </c>
      <c r="V306" t="e">
        <f>VLOOKUP($J306,'[1]Table S6'!$A:$AI,13,FALSE)</f>
        <v>#N/A</v>
      </c>
      <c r="W306" t="e">
        <f>VLOOKUP($J306,'[1]Table S6'!$A:$AI,14,FALSE)</f>
        <v>#N/A</v>
      </c>
      <c r="X306" t="e">
        <f>VLOOKUP($J306,'[1]Table S6'!$A:$AI,15,FALSE)</f>
        <v>#N/A</v>
      </c>
      <c r="Z306" t="e">
        <f>VLOOKUP($J306,'[1]Table S6'!$A:$AI,17,FALSE)</f>
        <v>#N/A</v>
      </c>
      <c r="AA306" t="e">
        <f>VLOOKUP($J306,'[1]Table S6'!$A:$AI,18,FALSE)</f>
        <v>#N/A</v>
      </c>
      <c r="AB306" t="e">
        <f>VLOOKUP($J306,'[1]Table S6'!$A:$AI,19,FALSE)</f>
        <v>#N/A</v>
      </c>
      <c r="AC306" t="e">
        <f>VLOOKUP($J306,'[1]Table S6'!$A:$AI,20,FALSE)</f>
        <v>#N/A</v>
      </c>
      <c r="AE306" t="e">
        <f>VLOOKUP($J306,'[1]Table S6'!$A:$AI,22,FALSE)</f>
        <v>#N/A</v>
      </c>
      <c r="AF306" t="e">
        <f>VLOOKUP($J306,'[1]Table S6'!$A:$AI,23,FALSE)</f>
        <v>#N/A</v>
      </c>
      <c r="AG306" t="e">
        <f>VLOOKUP($J306,'[1]Table S6'!$A:$AI,24,FALSE)</f>
        <v>#N/A</v>
      </c>
      <c r="AH306" t="e">
        <f>VLOOKUP($J306,'[1]Table S6'!$A:$AI,25,FALSE)</f>
        <v>#N/A</v>
      </c>
      <c r="AJ306" t="e">
        <f>VLOOKUP($J306,'[1]Table S6'!$A:$AI,27,FALSE)</f>
        <v>#N/A</v>
      </c>
      <c r="AK306" t="e">
        <f>VLOOKUP($J306,'[1]Table S6'!$A:$AI,28,FALSE)</f>
        <v>#N/A</v>
      </c>
      <c r="AL306" t="e">
        <f>VLOOKUP($J306,'[1]Table S6'!$A:$AI,29,FALSE)</f>
        <v>#N/A</v>
      </c>
      <c r="AM306" t="e">
        <f>VLOOKUP($J306,'[1]Table S6'!$A:$AI,30,FALSE)</f>
        <v>#N/A</v>
      </c>
      <c r="AO306" t="e">
        <f>VLOOKUP($J306,'[1]Table S6'!$A:$AI,32,FALSE)</f>
        <v>#N/A</v>
      </c>
      <c r="AP306" t="e">
        <f>VLOOKUP($J306,'[1]Table S6'!$A:$AI,33,FALSE)</f>
        <v>#N/A</v>
      </c>
      <c r="AQ306" t="e">
        <f>VLOOKUP($J306,'[1]Table S6'!$A:$AI,34,FALSE)</f>
        <v>#N/A</v>
      </c>
      <c r="AR306" t="e">
        <f>VLOOKUP($J306,'[1]Table S6'!$A:$AI,35,FALSE)</f>
        <v>#N/A</v>
      </c>
      <c r="AT306" t="e">
        <f>VLOOKUP($I306,'[2]Table S5'!$A:$K,8,FALSE)</f>
        <v>#N/A</v>
      </c>
      <c r="AU306" t="e">
        <f>VLOOKUP($I306,'[2]Table S5'!$A:$K,9,FALSE)</f>
        <v>#N/A</v>
      </c>
      <c r="AV306" t="e">
        <f>VLOOKUP($I306,'[2]Table S5'!$A:$K,10,FALSE)</f>
        <v>#N/A</v>
      </c>
      <c r="AW306" t="e">
        <f>VLOOKUP($I306,'[2]Table S5'!$A:$K,11,FALSE)</f>
        <v>#N/A</v>
      </c>
    </row>
    <row r="307" spans="1:49">
      <c r="A307" s="12" t="s">
        <v>2317</v>
      </c>
      <c r="B307" t="s">
        <v>2318</v>
      </c>
      <c r="C307" t="s">
        <v>2319</v>
      </c>
      <c r="D307" t="s">
        <v>17</v>
      </c>
      <c r="E307" t="s">
        <v>2320</v>
      </c>
      <c r="F307" s="12" t="s">
        <v>2321</v>
      </c>
      <c r="G307" t="s">
        <v>2322</v>
      </c>
      <c r="H307" t="s">
        <v>2323</v>
      </c>
      <c r="I307" t="s">
        <v>2324</v>
      </c>
      <c r="J307" t="s">
        <v>2324</v>
      </c>
      <c r="K307" t="e">
        <f>VLOOKUP($J307,'[1]Table S6'!$A:$AI,2,FALSE)</f>
        <v>#N/A</v>
      </c>
      <c r="L307" t="e">
        <f>VLOOKUP($J307,'[1]Table S6'!$A:$AI,3,FALSE)</f>
        <v>#N/A</v>
      </c>
      <c r="M307" t="e">
        <f>VLOOKUP($J307,'[1]Table S6'!$A:$AI,4,FALSE)</f>
        <v>#N/A</v>
      </c>
      <c r="N307" t="e">
        <f>VLOOKUP($J307,'[1]Table S6'!$A:$AI,5,FALSE)</f>
        <v>#N/A</v>
      </c>
      <c r="P307" t="e">
        <f>VLOOKUP($J307,'[1]Table S6'!$A:$AI,7,FALSE)</f>
        <v>#N/A</v>
      </c>
      <c r="Q307" t="e">
        <f>VLOOKUP($J307,'[1]Table S6'!$A:$AI,8,FALSE)</f>
        <v>#N/A</v>
      </c>
      <c r="R307" t="e">
        <f>VLOOKUP($J307,'[1]Table S6'!$A:$AI,9,FALSE)</f>
        <v>#N/A</v>
      </c>
      <c r="S307" t="e">
        <f>VLOOKUP($J307,'[1]Table S6'!$A:$AI,10,FALSE)</f>
        <v>#N/A</v>
      </c>
      <c r="U307" t="e">
        <f>VLOOKUP($J307,'[1]Table S6'!$A:$AI,12,FALSE)</f>
        <v>#N/A</v>
      </c>
      <c r="V307" t="e">
        <f>VLOOKUP($J307,'[1]Table S6'!$A:$AI,13,FALSE)</f>
        <v>#N/A</v>
      </c>
      <c r="W307" t="e">
        <f>VLOOKUP($J307,'[1]Table S6'!$A:$AI,14,FALSE)</f>
        <v>#N/A</v>
      </c>
      <c r="X307" t="e">
        <f>VLOOKUP($J307,'[1]Table S6'!$A:$AI,15,FALSE)</f>
        <v>#N/A</v>
      </c>
      <c r="Z307" t="e">
        <f>VLOOKUP($J307,'[1]Table S6'!$A:$AI,17,FALSE)</f>
        <v>#N/A</v>
      </c>
      <c r="AA307" t="e">
        <f>VLOOKUP($J307,'[1]Table S6'!$A:$AI,18,FALSE)</f>
        <v>#N/A</v>
      </c>
      <c r="AB307" t="e">
        <f>VLOOKUP($J307,'[1]Table S6'!$A:$AI,19,FALSE)</f>
        <v>#N/A</v>
      </c>
      <c r="AC307" t="e">
        <f>VLOOKUP($J307,'[1]Table S6'!$A:$AI,20,FALSE)</f>
        <v>#N/A</v>
      </c>
      <c r="AE307" t="e">
        <f>VLOOKUP($J307,'[1]Table S6'!$A:$AI,22,FALSE)</f>
        <v>#N/A</v>
      </c>
      <c r="AF307" t="e">
        <f>VLOOKUP($J307,'[1]Table S6'!$A:$AI,23,FALSE)</f>
        <v>#N/A</v>
      </c>
      <c r="AG307" t="e">
        <f>VLOOKUP($J307,'[1]Table S6'!$A:$AI,24,FALSE)</f>
        <v>#N/A</v>
      </c>
      <c r="AH307" t="e">
        <f>VLOOKUP($J307,'[1]Table S6'!$A:$AI,25,FALSE)</f>
        <v>#N/A</v>
      </c>
      <c r="AJ307" t="e">
        <f>VLOOKUP($J307,'[1]Table S6'!$A:$AI,27,FALSE)</f>
        <v>#N/A</v>
      </c>
      <c r="AK307" t="e">
        <f>VLOOKUP($J307,'[1]Table S6'!$A:$AI,28,FALSE)</f>
        <v>#N/A</v>
      </c>
      <c r="AL307" t="e">
        <f>VLOOKUP($J307,'[1]Table S6'!$A:$AI,29,FALSE)</f>
        <v>#N/A</v>
      </c>
      <c r="AM307" t="e">
        <f>VLOOKUP($J307,'[1]Table S6'!$A:$AI,30,FALSE)</f>
        <v>#N/A</v>
      </c>
      <c r="AO307" t="e">
        <f>VLOOKUP($J307,'[1]Table S6'!$A:$AI,32,FALSE)</f>
        <v>#N/A</v>
      </c>
      <c r="AP307" t="e">
        <f>VLOOKUP($J307,'[1]Table S6'!$A:$AI,33,FALSE)</f>
        <v>#N/A</v>
      </c>
      <c r="AQ307" t="e">
        <f>VLOOKUP($J307,'[1]Table S6'!$A:$AI,34,FALSE)</f>
        <v>#N/A</v>
      </c>
      <c r="AR307" t="e">
        <f>VLOOKUP($J307,'[1]Table S6'!$A:$AI,35,FALSE)</f>
        <v>#N/A</v>
      </c>
      <c r="AT307" t="e">
        <f>VLOOKUP($I307,'[2]Table S5'!$A:$K,8,FALSE)</f>
        <v>#N/A</v>
      </c>
      <c r="AU307" t="e">
        <f>VLOOKUP($I307,'[2]Table S5'!$A:$K,9,FALSE)</f>
        <v>#N/A</v>
      </c>
      <c r="AV307" t="e">
        <f>VLOOKUP($I307,'[2]Table S5'!$A:$K,10,FALSE)</f>
        <v>#N/A</v>
      </c>
      <c r="AW307" t="e">
        <f>VLOOKUP($I307,'[2]Table S5'!$A:$K,11,FALSE)</f>
        <v>#N/A</v>
      </c>
    </row>
    <row r="308" spans="1:49">
      <c r="A308" s="12" t="s">
        <v>2325</v>
      </c>
      <c r="B308" t="s">
        <v>2326</v>
      </c>
      <c r="C308" t="s">
        <v>2327</v>
      </c>
      <c r="D308" t="s">
        <v>17</v>
      </c>
      <c r="E308" t="s">
        <v>2328</v>
      </c>
      <c r="F308" s="12" t="s">
        <v>2329</v>
      </c>
      <c r="G308" t="s">
        <v>2330</v>
      </c>
      <c r="H308" t="s">
        <v>2331</v>
      </c>
      <c r="I308" t="s">
        <v>2324</v>
      </c>
      <c r="J308" t="s">
        <v>2324</v>
      </c>
      <c r="K308" t="e">
        <f>VLOOKUP($J308,'[1]Table S6'!$A:$AI,2,FALSE)</f>
        <v>#N/A</v>
      </c>
      <c r="L308" t="e">
        <f>VLOOKUP($J308,'[1]Table S6'!$A:$AI,3,FALSE)</f>
        <v>#N/A</v>
      </c>
      <c r="M308" t="e">
        <f>VLOOKUP($J308,'[1]Table S6'!$A:$AI,4,FALSE)</f>
        <v>#N/A</v>
      </c>
      <c r="N308" t="e">
        <f>VLOOKUP($J308,'[1]Table S6'!$A:$AI,5,FALSE)</f>
        <v>#N/A</v>
      </c>
      <c r="P308" t="e">
        <f>VLOOKUP($J308,'[1]Table S6'!$A:$AI,7,FALSE)</f>
        <v>#N/A</v>
      </c>
      <c r="Q308" t="e">
        <f>VLOOKUP($J308,'[1]Table S6'!$A:$AI,8,FALSE)</f>
        <v>#N/A</v>
      </c>
      <c r="R308" t="e">
        <f>VLOOKUP($J308,'[1]Table S6'!$A:$AI,9,FALSE)</f>
        <v>#N/A</v>
      </c>
      <c r="S308" t="e">
        <f>VLOOKUP($J308,'[1]Table S6'!$A:$AI,10,FALSE)</f>
        <v>#N/A</v>
      </c>
      <c r="U308" t="e">
        <f>VLOOKUP($J308,'[1]Table S6'!$A:$AI,12,FALSE)</f>
        <v>#N/A</v>
      </c>
      <c r="V308" t="e">
        <f>VLOOKUP($J308,'[1]Table S6'!$A:$AI,13,FALSE)</f>
        <v>#N/A</v>
      </c>
      <c r="W308" t="e">
        <f>VLOOKUP($J308,'[1]Table S6'!$A:$AI,14,FALSE)</f>
        <v>#N/A</v>
      </c>
      <c r="X308" t="e">
        <f>VLOOKUP($J308,'[1]Table S6'!$A:$AI,15,FALSE)</f>
        <v>#N/A</v>
      </c>
      <c r="Z308" t="e">
        <f>VLOOKUP($J308,'[1]Table S6'!$A:$AI,17,FALSE)</f>
        <v>#N/A</v>
      </c>
      <c r="AA308" t="e">
        <f>VLOOKUP($J308,'[1]Table S6'!$A:$AI,18,FALSE)</f>
        <v>#N/A</v>
      </c>
      <c r="AB308" t="e">
        <f>VLOOKUP($J308,'[1]Table S6'!$A:$AI,19,FALSE)</f>
        <v>#N/A</v>
      </c>
      <c r="AC308" t="e">
        <f>VLOOKUP($J308,'[1]Table S6'!$A:$AI,20,FALSE)</f>
        <v>#N/A</v>
      </c>
      <c r="AE308" t="e">
        <f>VLOOKUP($J308,'[1]Table S6'!$A:$AI,22,FALSE)</f>
        <v>#N/A</v>
      </c>
      <c r="AF308" t="e">
        <f>VLOOKUP($J308,'[1]Table S6'!$A:$AI,23,FALSE)</f>
        <v>#N/A</v>
      </c>
      <c r="AG308" t="e">
        <f>VLOOKUP($J308,'[1]Table S6'!$A:$AI,24,FALSE)</f>
        <v>#N/A</v>
      </c>
      <c r="AH308" t="e">
        <f>VLOOKUP($J308,'[1]Table S6'!$A:$AI,25,FALSE)</f>
        <v>#N/A</v>
      </c>
      <c r="AJ308" t="e">
        <f>VLOOKUP($J308,'[1]Table S6'!$A:$AI,27,FALSE)</f>
        <v>#N/A</v>
      </c>
      <c r="AK308" t="e">
        <f>VLOOKUP($J308,'[1]Table S6'!$A:$AI,28,FALSE)</f>
        <v>#N/A</v>
      </c>
      <c r="AL308" t="e">
        <f>VLOOKUP($J308,'[1]Table S6'!$A:$AI,29,FALSE)</f>
        <v>#N/A</v>
      </c>
      <c r="AM308" t="e">
        <f>VLOOKUP($J308,'[1]Table S6'!$A:$AI,30,FALSE)</f>
        <v>#N/A</v>
      </c>
      <c r="AO308" t="e">
        <f>VLOOKUP($J308,'[1]Table S6'!$A:$AI,32,FALSE)</f>
        <v>#N/A</v>
      </c>
      <c r="AP308" t="e">
        <f>VLOOKUP($J308,'[1]Table S6'!$A:$AI,33,FALSE)</f>
        <v>#N/A</v>
      </c>
      <c r="AQ308" t="e">
        <f>VLOOKUP($J308,'[1]Table S6'!$A:$AI,34,FALSE)</f>
        <v>#N/A</v>
      </c>
      <c r="AR308" t="e">
        <f>VLOOKUP($J308,'[1]Table S6'!$A:$AI,35,FALSE)</f>
        <v>#N/A</v>
      </c>
      <c r="AT308" t="e">
        <f>VLOOKUP($I308,'[2]Table S5'!$A:$K,8,FALSE)</f>
        <v>#N/A</v>
      </c>
      <c r="AU308" t="e">
        <f>VLOOKUP($I308,'[2]Table S5'!$A:$K,9,FALSE)</f>
        <v>#N/A</v>
      </c>
      <c r="AV308" t="e">
        <f>VLOOKUP($I308,'[2]Table S5'!$A:$K,10,FALSE)</f>
        <v>#N/A</v>
      </c>
      <c r="AW308" t="e">
        <f>VLOOKUP($I308,'[2]Table S5'!$A:$K,11,FALSE)</f>
        <v>#N/A</v>
      </c>
    </row>
    <row r="309" spans="1:49">
      <c r="A309" s="12" t="s">
        <v>2332</v>
      </c>
      <c r="B309" t="s">
        <v>2333</v>
      </c>
      <c r="C309" t="s">
        <v>2334</v>
      </c>
      <c r="D309" t="s">
        <v>17</v>
      </c>
      <c r="E309" t="s">
        <v>2335</v>
      </c>
      <c r="F309" s="12" t="s">
        <v>2336</v>
      </c>
      <c r="G309" t="s">
        <v>2337</v>
      </c>
      <c r="H309" t="s">
        <v>2338</v>
      </c>
      <c r="I309" t="s">
        <v>2324</v>
      </c>
      <c r="J309" t="s">
        <v>2324</v>
      </c>
      <c r="K309" t="e">
        <f>VLOOKUP($J309,'[1]Table S6'!$A:$AI,2,FALSE)</f>
        <v>#N/A</v>
      </c>
      <c r="L309" t="e">
        <f>VLOOKUP($J309,'[1]Table S6'!$A:$AI,3,FALSE)</f>
        <v>#N/A</v>
      </c>
      <c r="M309" t="e">
        <f>VLOOKUP($J309,'[1]Table S6'!$A:$AI,4,FALSE)</f>
        <v>#N/A</v>
      </c>
      <c r="N309" t="e">
        <f>VLOOKUP($J309,'[1]Table S6'!$A:$AI,5,FALSE)</f>
        <v>#N/A</v>
      </c>
      <c r="P309" t="e">
        <f>VLOOKUP($J309,'[1]Table S6'!$A:$AI,7,FALSE)</f>
        <v>#N/A</v>
      </c>
      <c r="Q309" t="e">
        <f>VLOOKUP($J309,'[1]Table S6'!$A:$AI,8,FALSE)</f>
        <v>#N/A</v>
      </c>
      <c r="R309" t="e">
        <f>VLOOKUP($J309,'[1]Table S6'!$A:$AI,9,FALSE)</f>
        <v>#N/A</v>
      </c>
      <c r="S309" t="e">
        <f>VLOOKUP($J309,'[1]Table S6'!$A:$AI,10,FALSE)</f>
        <v>#N/A</v>
      </c>
      <c r="U309" t="e">
        <f>VLOOKUP($J309,'[1]Table S6'!$A:$AI,12,FALSE)</f>
        <v>#N/A</v>
      </c>
      <c r="V309" t="e">
        <f>VLOOKUP($J309,'[1]Table S6'!$A:$AI,13,FALSE)</f>
        <v>#N/A</v>
      </c>
      <c r="W309" t="e">
        <f>VLOOKUP($J309,'[1]Table S6'!$A:$AI,14,FALSE)</f>
        <v>#N/A</v>
      </c>
      <c r="X309" t="e">
        <f>VLOOKUP($J309,'[1]Table S6'!$A:$AI,15,FALSE)</f>
        <v>#N/A</v>
      </c>
      <c r="Z309" t="e">
        <f>VLOOKUP($J309,'[1]Table S6'!$A:$AI,17,FALSE)</f>
        <v>#N/A</v>
      </c>
      <c r="AA309" t="e">
        <f>VLOOKUP($J309,'[1]Table S6'!$A:$AI,18,FALSE)</f>
        <v>#N/A</v>
      </c>
      <c r="AB309" t="e">
        <f>VLOOKUP($J309,'[1]Table S6'!$A:$AI,19,FALSE)</f>
        <v>#N/A</v>
      </c>
      <c r="AC309" t="e">
        <f>VLOOKUP($J309,'[1]Table S6'!$A:$AI,20,FALSE)</f>
        <v>#N/A</v>
      </c>
      <c r="AE309" t="e">
        <f>VLOOKUP($J309,'[1]Table S6'!$A:$AI,22,FALSE)</f>
        <v>#N/A</v>
      </c>
      <c r="AF309" t="e">
        <f>VLOOKUP($J309,'[1]Table S6'!$A:$AI,23,FALSE)</f>
        <v>#N/A</v>
      </c>
      <c r="AG309" t="e">
        <f>VLOOKUP($J309,'[1]Table S6'!$A:$AI,24,FALSE)</f>
        <v>#N/A</v>
      </c>
      <c r="AH309" t="e">
        <f>VLOOKUP($J309,'[1]Table S6'!$A:$AI,25,FALSE)</f>
        <v>#N/A</v>
      </c>
      <c r="AJ309" t="e">
        <f>VLOOKUP($J309,'[1]Table S6'!$A:$AI,27,FALSE)</f>
        <v>#N/A</v>
      </c>
      <c r="AK309" t="e">
        <f>VLOOKUP($J309,'[1]Table S6'!$A:$AI,28,FALSE)</f>
        <v>#N/A</v>
      </c>
      <c r="AL309" t="e">
        <f>VLOOKUP($J309,'[1]Table S6'!$A:$AI,29,FALSE)</f>
        <v>#N/A</v>
      </c>
      <c r="AM309" t="e">
        <f>VLOOKUP($J309,'[1]Table S6'!$A:$AI,30,FALSE)</f>
        <v>#N/A</v>
      </c>
      <c r="AO309" t="e">
        <f>VLOOKUP($J309,'[1]Table S6'!$A:$AI,32,FALSE)</f>
        <v>#N/A</v>
      </c>
      <c r="AP309" t="e">
        <f>VLOOKUP($J309,'[1]Table S6'!$A:$AI,33,FALSE)</f>
        <v>#N/A</v>
      </c>
      <c r="AQ309" t="e">
        <f>VLOOKUP($J309,'[1]Table S6'!$A:$AI,34,FALSE)</f>
        <v>#N/A</v>
      </c>
      <c r="AR309" t="e">
        <f>VLOOKUP($J309,'[1]Table S6'!$A:$AI,35,FALSE)</f>
        <v>#N/A</v>
      </c>
      <c r="AT309" t="e">
        <f>VLOOKUP($I309,'[2]Table S5'!$A:$K,8,FALSE)</f>
        <v>#N/A</v>
      </c>
      <c r="AU309" t="e">
        <f>VLOOKUP($I309,'[2]Table S5'!$A:$K,9,FALSE)</f>
        <v>#N/A</v>
      </c>
      <c r="AV309" t="e">
        <f>VLOOKUP($I309,'[2]Table S5'!$A:$K,10,FALSE)</f>
        <v>#N/A</v>
      </c>
      <c r="AW309" t="e">
        <f>VLOOKUP($I309,'[2]Table S5'!$A:$K,11,FALSE)</f>
        <v>#N/A</v>
      </c>
    </row>
    <row r="310" spans="1:49">
      <c r="A310" s="12" t="s">
        <v>2339</v>
      </c>
      <c r="B310" t="s">
        <v>2340</v>
      </c>
      <c r="C310" t="s">
        <v>2341</v>
      </c>
      <c r="D310" t="s">
        <v>17</v>
      </c>
      <c r="E310" t="s">
        <v>2342</v>
      </c>
      <c r="F310" s="12" t="s">
        <v>2343</v>
      </c>
      <c r="G310" t="s">
        <v>2344</v>
      </c>
      <c r="H310" t="s">
        <v>2345</v>
      </c>
      <c r="I310" t="s">
        <v>2346</v>
      </c>
      <c r="J310" t="s">
        <v>2346</v>
      </c>
      <c r="K310" t="e">
        <f>VLOOKUP($J310,'[1]Table S6'!$A:$AI,2,FALSE)</f>
        <v>#N/A</v>
      </c>
      <c r="L310" t="e">
        <f>VLOOKUP($J310,'[1]Table S6'!$A:$AI,3,FALSE)</f>
        <v>#N/A</v>
      </c>
      <c r="M310" t="e">
        <f>VLOOKUP($J310,'[1]Table S6'!$A:$AI,4,FALSE)</f>
        <v>#N/A</v>
      </c>
      <c r="N310" t="e">
        <f>VLOOKUP($J310,'[1]Table S6'!$A:$AI,5,FALSE)</f>
        <v>#N/A</v>
      </c>
      <c r="P310" t="e">
        <f>VLOOKUP($J310,'[1]Table S6'!$A:$AI,7,FALSE)</f>
        <v>#N/A</v>
      </c>
      <c r="Q310" t="e">
        <f>VLOOKUP($J310,'[1]Table S6'!$A:$AI,8,FALSE)</f>
        <v>#N/A</v>
      </c>
      <c r="R310" t="e">
        <f>VLOOKUP($J310,'[1]Table S6'!$A:$AI,9,FALSE)</f>
        <v>#N/A</v>
      </c>
      <c r="S310" t="e">
        <f>VLOOKUP($J310,'[1]Table S6'!$A:$AI,10,FALSE)</f>
        <v>#N/A</v>
      </c>
      <c r="U310" t="e">
        <f>VLOOKUP($J310,'[1]Table S6'!$A:$AI,12,FALSE)</f>
        <v>#N/A</v>
      </c>
      <c r="V310" t="e">
        <f>VLOOKUP($J310,'[1]Table S6'!$A:$AI,13,FALSE)</f>
        <v>#N/A</v>
      </c>
      <c r="W310" t="e">
        <f>VLOOKUP($J310,'[1]Table S6'!$A:$AI,14,FALSE)</f>
        <v>#N/A</v>
      </c>
      <c r="X310" t="e">
        <f>VLOOKUP($J310,'[1]Table S6'!$A:$AI,15,FALSE)</f>
        <v>#N/A</v>
      </c>
      <c r="Z310" t="e">
        <f>VLOOKUP($J310,'[1]Table S6'!$A:$AI,17,FALSE)</f>
        <v>#N/A</v>
      </c>
      <c r="AA310" t="e">
        <f>VLOOKUP($J310,'[1]Table S6'!$A:$AI,18,FALSE)</f>
        <v>#N/A</v>
      </c>
      <c r="AB310" t="e">
        <f>VLOOKUP($J310,'[1]Table S6'!$A:$AI,19,FALSE)</f>
        <v>#N/A</v>
      </c>
      <c r="AC310" t="e">
        <f>VLOOKUP($J310,'[1]Table S6'!$A:$AI,20,FALSE)</f>
        <v>#N/A</v>
      </c>
      <c r="AE310" t="e">
        <f>VLOOKUP($J310,'[1]Table S6'!$A:$AI,22,FALSE)</f>
        <v>#N/A</v>
      </c>
      <c r="AF310" t="e">
        <f>VLOOKUP($J310,'[1]Table S6'!$A:$AI,23,FALSE)</f>
        <v>#N/A</v>
      </c>
      <c r="AG310" t="e">
        <f>VLOOKUP($J310,'[1]Table S6'!$A:$AI,24,FALSE)</f>
        <v>#N/A</v>
      </c>
      <c r="AH310" t="e">
        <f>VLOOKUP($J310,'[1]Table S6'!$A:$AI,25,FALSE)</f>
        <v>#N/A</v>
      </c>
      <c r="AJ310" t="e">
        <f>VLOOKUP($J310,'[1]Table S6'!$A:$AI,27,FALSE)</f>
        <v>#N/A</v>
      </c>
      <c r="AK310" t="e">
        <f>VLOOKUP($J310,'[1]Table S6'!$A:$AI,28,FALSE)</f>
        <v>#N/A</v>
      </c>
      <c r="AL310" t="e">
        <f>VLOOKUP($J310,'[1]Table S6'!$A:$AI,29,FALSE)</f>
        <v>#N/A</v>
      </c>
      <c r="AM310" t="e">
        <f>VLOOKUP($J310,'[1]Table S6'!$A:$AI,30,FALSE)</f>
        <v>#N/A</v>
      </c>
      <c r="AO310" t="e">
        <f>VLOOKUP($J310,'[1]Table S6'!$A:$AI,32,FALSE)</f>
        <v>#N/A</v>
      </c>
      <c r="AP310" t="e">
        <f>VLOOKUP($J310,'[1]Table S6'!$A:$AI,33,FALSE)</f>
        <v>#N/A</v>
      </c>
      <c r="AQ310" t="e">
        <f>VLOOKUP($J310,'[1]Table S6'!$A:$AI,34,FALSE)</f>
        <v>#N/A</v>
      </c>
      <c r="AR310" t="e">
        <f>VLOOKUP($J310,'[1]Table S6'!$A:$AI,35,FALSE)</f>
        <v>#N/A</v>
      </c>
      <c r="AT310" t="e">
        <f>VLOOKUP($I310,'[2]Table S5'!$A:$K,8,FALSE)</f>
        <v>#N/A</v>
      </c>
      <c r="AU310" t="e">
        <f>VLOOKUP($I310,'[2]Table S5'!$A:$K,9,FALSE)</f>
        <v>#N/A</v>
      </c>
      <c r="AV310" t="e">
        <f>VLOOKUP($I310,'[2]Table S5'!$A:$K,10,FALSE)</f>
        <v>#N/A</v>
      </c>
      <c r="AW310" t="e">
        <f>VLOOKUP($I310,'[2]Table S5'!$A:$K,11,FALSE)</f>
        <v>#N/A</v>
      </c>
    </row>
    <row r="311" spans="1:49">
      <c r="A311" s="12" t="s">
        <v>2347</v>
      </c>
      <c r="B311" t="s">
        <v>2348</v>
      </c>
      <c r="C311" t="s">
        <v>2349</v>
      </c>
      <c r="D311" t="s">
        <v>17</v>
      </c>
      <c r="E311" t="s">
        <v>2350</v>
      </c>
      <c r="F311" s="12" t="s">
        <v>2351</v>
      </c>
      <c r="G311" t="s">
        <v>2352</v>
      </c>
      <c r="H311" t="s">
        <v>2353</v>
      </c>
      <c r="I311" t="s">
        <v>2346</v>
      </c>
      <c r="J311" t="s">
        <v>2346</v>
      </c>
      <c r="K311" t="e">
        <f>VLOOKUP($J311,'[1]Table S6'!$A:$AI,2,FALSE)</f>
        <v>#N/A</v>
      </c>
      <c r="L311" t="e">
        <f>VLOOKUP($J311,'[1]Table S6'!$A:$AI,3,FALSE)</f>
        <v>#N/A</v>
      </c>
      <c r="M311" t="e">
        <f>VLOOKUP($J311,'[1]Table S6'!$A:$AI,4,FALSE)</f>
        <v>#N/A</v>
      </c>
      <c r="N311" t="e">
        <f>VLOOKUP($J311,'[1]Table S6'!$A:$AI,5,FALSE)</f>
        <v>#N/A</v>
      </c>
      <c r="P311" t="e">
        <f>VLOOKUP($J311,'[1]Table S6'!$A:$AI,7,FALSE)</f>
        <v>#N/A</v>
      </c>
      <c r="Q311" t="e">
        <f>VLOOKUP($J311,'[1]Table S6'!$A:$AI,8,FALSE)</f>
        <v>#N/A</v>
      </c>
      <c r="R311" t="e">
        <f>VLOOKUP($J311,'[1]Table S6'!$A:$AI,9,FALSE)</f>
        <v>#N/A</v>
      </c>
      <c r="S311" t="e">
        <f>VLOOKUP($J311,'[1]Table S6'!$A:$AI,10,FALSE)</f>
        <v>#N/A</v>
      </c>
      <c r="U311" t="e">
        <f>VLOOKUP($J311,'[1]Table S6'!$A:$AI,12,FALSE)</f>
        <v>#N/A</v>
      </c>
      <c r="V311" t="e">
        <f>VLOOKUP($J311,'[1]Table S6'!$A:$AI,13,FALSE)</f>
        <v>#N/A</v>
      </c>
      <c r="W311" t="e">
        <f>VLOOKUP($J311,'[1]Table S6'!$A:$AI,14,FALSE)</f>
        <v>#N/A</v>
      </c>
      <c r="X311" t="e">
        <f>VLOOKUP($J311,'[1]Table S6'!$A:$AI,15,FALSE)</f>
        <v>#N/A</v>
      </c>
      <c r="Z311" t="e">
        <f>VLOOKUP($J311,'[1]Table S6'!$A:$AI,17,FALSE)</f>
        <v>#N/A</v>
      </c>
      <c r="AA311" t="e">
        <f>VLOOKUP($J311,'[1]Table S6'!$A:$AI,18,FALSE)</f>
        <v>#N/A</v>
      </c>
      <c r="AB311" t="e">
        <f>VLOOKUP($J311,'[1]Table S6'!$A:$AI,19,FALSE)</f>
        <v>#N/A</v>
      </c>
      <c r="AC311" t="e">
        <f>VLOOKUP($J311,'[1]Table S6'!$A:$AI,20,FALSE)</f>
        <v>#N/A</v>
      </c>
      <c r="AE311" t="e">
        <f>VLOOKUP($J311,'[1]Table S6'!$A:$AI,22,FALSE)</f>
        <v>#N/A</v>
      </c>
      <c r="AF311" t="e">
        <f>VLOOKUP($J311,'[1]Table S6'!$A:$AI,23,FALSE)</f>
        <v>#N/A</v>
      </c>
      <c r="AG311" t="e">
        <f>VLOOKUP($J311,'[1]Table S6'!$A:$AI,24,FALSE)</f>
        <v>#N/A</v>
      </c>
      <c r="AH311" t="e">
        <f>VLOOKUP($J311,'[1]Table S6'!$A:$AI,25,FALSE)</f>
        <v>#N/A</v>
      </c>
      <c r="AJ311" t="e">
        <f>VLOOKUP($J311,'[1]Table S6'!$A:$AI,27,FALSE)</f>
        <v>#N/A</v>
      </c>
      <c r="AK311" t="e">
        <f>VLOOKUP($J311,'[1]Table S6'!$A:$AI,28,FALSE)</f>
        <v>#N/A</v>
      </c>
      <c r="AL311" t="e">
        <f>VLOOKUP($J311,'[1]Table S6'!$A:$AI,29,FALSE)</f>
        <v>#N/A</v>
      </c>
      <c r="AM311" t="e">
        <f>VLOOKUP($J311,'[1]Table S6'!$A:$AI,30,FALSE)</f>
        <v>#N/A</v>
      </c>
      <c r="AO311" t="e">
        <f>VLOOKUP($J311,'[1]Table S6'!$A:$AI,32,FALSE)</f>
        <v>#N/A</v>
      </c>
      <c r="AP311" t="e">
        <f>VLOOKUP($J311,'[1]Table S6'!$A:$AI,33,FALSE)</f>
        <v>#N/A</v>
      </c>
      <c r="AQ311" t="e">
        <f>VLOOKUP($J311,'[1]Table S6'!$A:$AI,34,FALSE)</f>
        <v>#N/A</v>
      </c>
      <c r="AR311" t="e">
        <f>VLOOKUP($J311,'[1]Table S6'!$A:$AI,35,FALSE)</f>
        <v>#N/A</v>
      </c>
      <c r="AT311" t="e">
        <f>VLOOKUP($I311,'[2]Table S5'!$A:$K,8,FALSE)</f>
        <v>#N/A</v>
      </c>
      <c r="AU311" t="e">
        <f>VLOOKUP($I311,'[2]Table S5'!$A:$K,9,FALSE)</f>
        <v>#N/A</v>
      </c>
      <c r="AV311" t="e">
        <f>VLOOKUP($I311,'[2]Table S5'!$A:$K,10,FALSE)</f>
        <v>#N/A</v>
      </c>
      <c r="AW311" t="e">
        <f>VLOOKUP($I311,'[2]Table S5'!$A:$K,11,FALSE)</f>
        <v>#N/A</v>
      </c>
    </row>
    <row r="312" spans="1:49">
      <c r="A312" s="12" t="s">
        <v>2354</v>
      </c>
      <c r="B312" t="s">
        <v>2355</v>
      </c>
      <c r="C312" t="s">
        <v>2356</v>
      </c>
      <c r="D312" t="s">
        <v>17</v>
      </c>
      <c r="E312" t="s">
        <v>2357</v>
      </c>
      <c r="F312" s="12" t="s">
        <v>2358</v>
      </c>
      <c r="G312" t="s">
        <v>2359</v>
      </c>
      <c r="H312" t="s">
        <v>2360</v>
      </c>
      <c r="I312" t="s">
        <v>2346</v>
      </c>
      <c r="J312" t="s">
        <v>2346</v>
      </c>
      <c r="K312" t="e">
        <f>VLOOKUP($J312,'[1]Table S6'!$A:$AI,2,FALSE)</f>
        <v>#N/A</v>
      </c>
      <c r="L312" t="e">
        <f>VLOOKUP($J312,'[1]Table S6'!$A:$AI,3,FALSE)</f>
        <v>#N/A</v>
      </c>
      <c r="M312" t="e">
        <f>VLOOKUP($J312,'[1]Table S6'!$A:$AI,4,FALSE)</f>
        <v>#N/A</v>
      </c>
      <c r="N312" t="e">
        <f>VLOOKUP($J312,'[1]Table S6'!$A:$AI,5,FALSE)</f>
        <v>#N/A</v>
      </c>
      <c r="P312" t="e">
        <f>VLOOKUP($J312,'[1]Table S6'!$A:$AI,7,FALSE)</f>
        <v>#N/A</v>
      </c>
      <c r="Q312" t="e">
        <f>VLOOKUP($J312,'[1]Table S6'!$A:$AI,8,FALSE)</f>
        <v>#N/A</v>
      </c>
      <c r="R312" t="e">
        <f>VLOOKUP($J312,'[1]Table S6'!$A:$AI,9,FALSE)</f>
        <v>#N/A</v>
      </c>
      <c r="S312" t="e">
        <f>VLOOKUP($J312,'[1]Table S6'!$A:$AI,10,FALSE)</f>
        <v>#N/A</v>
      </c>
      <c r="U312" t="e">
        <f>VLOOKUP($J312,'[1]Table S6'!$A:$AI,12,FALSE)</f>
        <v>#N/A</v>
      </c>
      <c r="V312" t="e">
        <f>VLOOKUP($J312,'[1]Table S6'!$A:$AI,13,FALSE)</f>
        <v>#N/A</v>
      </c>
      <c r="W312" t="e">
        <f>VLOOKUP($J312,'[1]Table S6'!$A:$AI,14,FALSE)</f>
        <v>#N/A</v>
      </c>
      <c r="X312" t="e">
        <f>VLOOKUP($J312,'[1]Table S6'!$A:$AI,15,FALSE)</f>
        <v>#N/A</v>
      </c>
      <c r="Z312" t="e">
        <f>VLOOKUP($J312,'[1]Table S6'!$A:$AI,17,FALSE)</f>
        <v>#N/A</v>
      </c>
      <c r="AA312" t="e">
        <f>VLOOKUP($J312,'[1]Table S6'!$A:$AI,18,FALSE)</f>
        <v>#N/A</v>
      </c>
      <c r="AB312" t="e">
        <f>VLOOKUP($J312,'[1]Table S6'!$A:$AI,19,FALSE)</f>
        <v>#N/A</v>
      </c>
      <c r="AC312" t="e">
        <f>VLOOKUP($J312,'[1]Table S6'!$A:$AI,20,FALSE)</f>
        <v>#N/A</v>
      </c>
      <c r="AE312" t="e">
        <f>VLOOKUP($J312,'[1]Table S6'!$A:$AI,22,FALSE)</f>
        <v>#N/A</v>
      </c>
      <c r="AF312" t="e">
        <f>VLOOKUP($J312,'[1]Table S6'!$A:$AI,23,FALSE)</f>
        <v>#N/A</v>
      </c>
      <c r="AG312" t="e">
        <f>VLOOKUP($J312,'[1]Table S6'!$A:$AI,24,FALSE)</f>
        <v>#N/A</v>
      </c>
      <c r="AH312" t="e">
        <f>VLOOKUP($J312,'[1]Table S6'!$A:$AI,25,FALSE)</f>
        <v>#N/A</v>
      </c>
      <c r="AJ312" t="e">
        <f>VLOOKUP($J312,'[1]Table S6'!$A:$AI,27,FALSE)</f>
        <v>#N/A</v>
      </c>
      <c r="AK312" t="e">
        <f>VLOOKUP($J312,'[1]Table S6'!$A:$AI,28,FALSE)</f>
        <v>#N/A</v>
      </c>
      <c r="AL312" t="e">
        <f>VLOOKUP($J312,'[1]Table S6'!$A:$AI,29,FALSE)</f>
        <v>#N/A</v>
      </c>
      <c r="AM312" t="e">
        <f>VLOOKUP($J312,'[1]Table S6'!$A:$AI,30,FALSE)</f>
        <v>#N/A</v>
      </c>
      <c r="AO312" t="e">
        <f>VLOOKUP($J312,'[1]Table S6'!$A:$AI,32,FALSE)</f>
        <v>#N/A</v>
      </c>
      <c r="AP312" t="e">
        <f>VLOOKUP($J312,'[1]Table S6'!$A:$AI,33,FALSE)</f>
        <v>#N/A</v>
      </c>
      <c r="AQ312" t="e">
        <f>VLOOKUP($J312,'[1]Table S6'!$A:$AI,34,FALSE)</f>
        <v>#N/A</v>
      </c>
      <c r="AR312" t="e">
        <f>VLOOKUP($J312,'[1]Table S6'!$A:$AI,35,FALSE)</f>
        <v>#N/A</v>
      </c>
      <c r="AT312" t="e">
        <f>VLOOKUP($I312,'[2]Table S5'!$A:$K,8,FALSE)</f>
        <v>#N/A</v>
      </c>
      <c r="AU312" t="e">
        <f>VLOOKUP($I312,'[2]Table S5'!$A:$K,9,FALSE)</f>
        <v>#N/A</v>
      </c>
      <c r="AV312" t="e">
        <f>VLOOKUP($I312,'[2]Table S5'!$A:$K,10,FALSE)</f>
        <v>#N/A</v>
      </c>
      <c r="AW312" t="e">
        <f>VLOOKUP($I312,'[2]Table S5'!$A:$K,11,FALSE)</f>
        <v>#N/A</v>
      </c>
    </row>
    <row r="313" spans="1:49">
      <c r="A313" s="12" t="s">
        <v>2361</v>
      </c>
      <c r="B313" t="s">
        <v>2362</v>
      </c>
      <c r="C313" t="s">
        <v>2363</v>
      </c>
      <c r="D313" t="s">
        <v>17</v>
      </c>
      <c r="E313" t="s">
        <v>2364</v>
      </c>
      <c r="F313" s="12" t="s">
        <v>2365</v>
      </c>
      <c r="G313" t="s">
        <v>2366</v>
      </c>
      <c r="H313" t="s">
        <v>2367</v>
      </c>
      <c r="I313" t="s">
        <v>2346</v>
      </c>
      <c r="J313" t="s">
        <v>2346</v>
      </c>
      <c r="K313" t="e">
        <f>VLOOKUP($J313,'[1]Table S6'!$A:$AI,2,FALSE)</f>
        <v>#N/A</v>
      </c>
      <c r="L313" t="e">
        <f>VLOOKUP($J313,'[1]Table S6'!$A:$AI,3,FALSE)</f>
        <v>#N/A</v>
      </c>
      <c r="M313" t="e">
        <f>VLOOKUP($J313,'[1]Table S6'!$A:$AI,4,FALSE)</f>
        <v>#N/A</v>
      </c>
      <c r="N313" t="e">
        <f>VLOOKUP($J313,'[1]Table S6'!$A:$AI,5,FALSE)</f>
        <v>#N/A</v>
      </c>
      <c r="P313" t="e">
        <f>VLOOKUP($J313,'[1]Table S6'!$A:$AI,7,FALSE)</f>
        <v>#N/A</v>
      </c>
      <c r="Q313" t="e">
        <f>VLOOKUP($J313,'[1]Table S6'!$A:$AI,8,FALSE)</f>
        <v>#N/A</v>
      </c>
      <c r="R313" t="e">
        <f>VLOOKUP($J313,'[1]Table S6'!$A:$AI,9,FALSE)</f>
        <v>#N/A</v>
      </c>
      <c r="S313" t="e">
        <f>VLOOKUP($J313,'[1]Table S6'!$A:$AI,10,FALSE)</f>
        <v>#N/A</v>
      </c>
      <c r="U313" t="e">
        <f>VLOOKUP($J313,'[1]Table S6'!$A:$AI,12,FALSE)</f>
        <v>#N/A</v>
      </c>
      <c r="V313" t="e">
        <f>VLOOKUP($J313,'[1]Table S6'!$A:$AI,13,FALSE)</f>
        <v>#N/A</v>
      </c>
      <c r="W313" t="e">
        <f>VLOOKUP($J313,'[1]Table S6'!$A:$AI,14,FALSE)</f>
        <v>#N/A</v>
      </c>
      <c r="X313" t="e">
        <f>VLOOKUP($J313,'[1]Table S6'!$A:$AI,15,FALSE)</f>
        <v>#N/A</v>
      </c>
      <c r="Z313" t="e">
        <f>VLOOKUP($J313,'[1]Table S6'!$A:$AI,17,FALSE)</f>
        <v>#N/A</v>
      </c>
      <c r="AA313" t="e">
        <f>VLOOKUP($J313,'[1]Table S6'!$A:$AI,18,FALSE)</f>
        <v>#N/A</v>
      </c>
      <c r="AB313" t="e">
        <f>VLOOKUP($J313,'[1]Table S6'!$A:$AI,19,FALSE)</f>
        <v>#N/A</v>
      </c>
      <c r="AC313" t="e">
        <f>VLOOKUP($J313,'[1]Table S6'!$A:$AI,20,FALSE)</f>
        <v>#N/A</v>
      </c>
      <c r="AE313" t="e">
        <f>VLOOKUP($J313,'[1]Table S6'!$A:$AI,22,FALSE)</f>
        <v>#N/A</v>
      </c>
      <c r="AF313" t="e">
        <f>VLOOKUP($J313,'[1]Table S6'!$A:$AI,23,FALSE)</f>
        <v>#N/A</v>
      </c>
      <c r="AG313" t="e">
        <f>VLOOKUP($J313,'[1]Table S6'!$A:$AI,24,FALSE)</f>
        <v>#N/A</v>
      </c>
      <c r="AH313" t="e">
        <f>VLOOKUP($J313,'[1]Table S6'!$A:$AI,25,FALSE)</f>
        <v>#N/A</v>
      </c>
      <c r="AJ313" t="e">
        <f>VLOOKUP($J313,'[1]Table S6'!$A:$AI,27,FALSE)</f>
        <v>#N/A</v>
      </c>
      <c r="AK313" t="e">
        <f>VLOOKUP($J313,'[1]Table S6'!$A:$AI,28,FALSE)</f>
        <v>#N/A</v>
      </c>
      <c r="AL313" t="e">
        <f>VLOOKUP($J313,'[1]Table S6'!$A:$AI,29,FALSE)</f>
        <v>#N/A</v>
      </c>
      <c r="AM313" t="e">
        <f>VLOOKUP($J313,'[1]Table S6'!$A:$AI,30,FALSE)</f>
        <v>#N/A</v>
      </c>
      <c r="AO313" t="e">
        <f>VLOOKUP($J313,'[1]Table S6'!$A:$AI,32,FALSE)</f>
        <v>#N/A</v>
      </c>
      <c r="AP313" t="e">
        <f>VLOOKUP($J313,'[1]Table S6'!$A:$AI,33,FALSE)</f>
        <v>#N/A</v>
      </c>
      <c r="AQ313" t="e">
        <f>VLOOKUP($J313,'[1]Table S6'!$A:$AI,34,FALSE)</f>
        <v>#N/A</v>
      </c>
      <c r="AR313" t="e">
        <f>VLOOKUP($J313,'[1]Table S6'!$A:$AI,35,FALSE)</f>
        <v>#N/A</v>
      </c>
      <c r="AT313" t="e">
        <f>VLOOKUP($I313,'[2]Table S5'!$A:$K,8,FALSE)</f>
        <v>#N/A</v>
      </c>
      <c r="AU313" t="e">
        <f>VLOOKUP($I313,'[2]Table S5'!$A:$K,9,FALSE)</f>
        <v>#N/A</v>
      </c>
      <c r="AV313" t="e">
        <f>VLOOKUP($I313,'[2]Table S5'!$A:$K,10,FALSE)</f>
        <v>#N/A</v>
      </c>
      <c r="AW313" t="e">
        <f>VLOOKUP($I313,'[2]Table S5'!$A:$K,11,FALSE)</f>
        <v>#N/A</v>
      </c>
    </row>
    <row r="314" spans="1:49">
      <c r="A314" s="12" t="s">
        <v>2368</v>
      </c>
      <c r="B314" t="s">
        <v>2369</v>
      </c>
      <c r="C314" t="s">
        <v>2370</v>
      </c>
      <c r="D314" t="s">
        <v>17</v>
      </c>
      <c r="E314" t="s">
        <v>2371</v>
      </c>
      <c r="F314" s="12" t="s">
        <v>2372</v>
      </c>
      <c r="G314" t="s">
        <v>2373</v>
      </c>
      <c r="H314" t="s">
        <v>2374</v>
      </c>
      <c r="I314" t="s">
        <v>2375</v>
      </c>
      <c r="J314" t="s">
        <v>2375</v>
      </c>
      <c r="K314" t="e">
        <f>VLOOKUP($J314,'[1]Table S6'!$A:$AI,2,FALSE)</f>
        <v>#N/A</v>
      </c>
      <c r="L314" t="e">
        <f>VLOOKUP($J314,'[1]Table S6'!$A:$AI,3,FALSE)</f>
        <v>#N/A</v>
      </c>
      <c r="M314" t="e">
        <f>VLOOKUP($J314,'[1]Table S6'!$A:$AI,4,FALSE)</f>
        <v>#N/A</v>
      </c>
      <c r="N314" t="e">
        <f>VLOOKUP($J314,'[1]Table S6'!$A:$AI,5,FALSE)</f>
        <v>#N/A</v>
      </c>
      <c r="P314" t="e">
        <f>VLOOKUP($J314,'[1]Table S6'!$A:$AI,7,FALSE)</f>
        <v>#N/A</v>
      </c>
      <c r="Q314" t="e">
        <f>VLOOKUP($J314,'[1]Table S6'!$A:$AI,8,FALSE)</f>
        <v>#N/A</v>
      </c>
      <c r="R314" t="e">
        <f>VLOOKUP($J314,'[1]Table S6'!$A:$AI,9,FALSE)</f>
        <v>#N/A</v>
      </c>
      <c r="S314" t="e">
        <f>VLOOKUP($J314,'[1]Table S6'!$A:$AI,10,FALSE)</f>
        <v>#N/A</v>
      </c>
      <c r="U314" t="e">
        <f>VLOOKUP($J314,'[1]Table S6'!$A:$AI,12,FALSE)</f>
        <v>#N/A</v>
      </c>
      <c r="V314" t="e">
        <f>VLOOKUP($J314,'[1]Table S6'!$A:$AI,13,FALSE)</f>
        <v>#N/A</v>
      </c>
      <c r="W314" t="e">
        <f>VLOOKUP($J314,'[1]Table S6'!$A:$AI,14,FALSE)</f>
        <v>#N/A</v>
      </c>
      <c r="X314" t="e">
        <f>VLOOKUP($J314,'[1]Table S6'!$A:$AI,15,FALSE)</f>
        <v>#N/A</v>
      </c>
      <c r="Z314" t="e">
        <f>VLOOKUP($J314,'[1]Table S6'!$A:$AI,17,FALSE)</f>
        <v>#N/A</v>
      </c>
      <c r="AA314" t="e">
        <f>VLOOKUP($J314,'[1]Table S6'!$A:$AI,18,FALSE)</f>
        <v>#N/A</v>
      </c>
      <c r="AB314" t="e">
        <f>VLOOKUP($J314,'[1]Table S6'!$A:$AI,19,FALSE)</f>
        <v>#N/A</v>
      </c>
      <c r="AC314" t="e">
        <f>VLOOKUP($J314,'[1]Table S6'!$A:$AI,20,FALSE)</f>
        <v>#N/A</v>
      </c>
      <c r="AE314" t="e">
        <f>VLOOKUP($J314,'[1]Table S6'!$A:$AI,22,FALSE)</f>
        <v>#N/A</v>
      </c>
      <c r="AF314" t="e">
        <f>VLOOKUP($J314,'[1]Table S6'!$A:$AI,23,FALSE)</f>
        <v>#N/A</v>
      </c>
      <c r="AG314" t="e">
        <f>VLOOKUP($J314,'[1]Table S6'!$A:$AI,24,FALSE)</f>
        <v>#N/A</v>
      </c>
      <c r="AH314" t="e">
        <f>VLOOKUP($J314,'[1]Table S6'!$A:$AI,25,FALSE)</f>
        <v>#N/A</v>
      </c>
      <c r="AJ314" t="e">
        <f>VLOOKUP($J314,'[1]Table S6'!$A:$AI,27,FALSE)</f>
        <v>#N/A</v>
      </c>
      <c r="AK314" t="e">
        <f>VLOOKUP($J314,'[1]Table S6'!$A:$AI,28,FALSE)</f>
        <v>#N/A</v>
      </c>
      <c r="AL314" t="e">
        <f>VLOOKUP($J314,'[1]Table S6'!$A:$AI,29,FALSE)</f>
        <v>#N/A</v>
      </c>
      <c r="AM314" t="e">
        <f>VLOOKUP($J314,'[1]Table S6'!$A:$AI,30,FALSE)</f>
        <v>#N/A</v>
      </c>
      <c r="AO314" t="e">
        <f>VLOOKUP($J314,'[1]Table S6'!$A:$AI,32,FALSE)</f>
        <v>#N/A</v>
      </c>
      <c r="AP314" t="e">
        <f>VLOOKUP($J314,'[1]Table S6'!$A:$AI,33,FALSE)</f>
        <v>#N/A</v>
      </c>
      <c r="AQ314" t="e">
        <f>VLOOKUP($J314,'[1]Table S6'!$A:$AI,34,FALSE)</f>
        <v>#N/A</v>
      </c>
      <c r="AR314" t="e">
        <f>VLOOKUP($J314,'[1]Table S6'!$A:$AI,35,FALSE)</f>
        <v>#N/A</v>
      </c>
      <c r="AT314" t="e">
        <f>VLOOKUP($I314,'[2]Table S5'!$A:$K,8,FALSE)</f>
        <v>#N/A</v>
      </c>
      <c r="AU314" t="e">
        <f>VLOOKUP($I314,'[2]Table S5'!$A:$K,9,FALSE)</f>
        <v>#N/A</v>
      </c>
      <c r="AV314" t="e">
        <f>VLOOKUP($I314,'[2]Table S5'!$A:$K,10,FALSE)</f>
        <v>#N/A</v>
      </c>
      <c r="AW314" t="e">
        <f>VLOOKUP($I314,'[2]Table S5'!$A:$K,11,FALSE)</f>
        <v>#N/A</v>
      </c>
    </row>
    <row r="315" spans="1:49">
      <c r="A315" s="12" t="s">
        <v>2376</v>
      </c>
      <c r="B315" t="s">
        <v>2377</v>
      </c>
      <c r="C315" t="s">
        <v>2378</v>
      </c>
      <c r="D315" t="s">
        <v>17</v>
      </c>
      <c r="E315" t="s">
        <v>2379</v>
      </c>
      <c r="F315" s="12" t="s">
        <v>2380</v>
      </c>
      <c r="G315" t="s">
        <v>2381</v>
      </c>
      <c r="H315" t="s">
        <v>2382</v>
      </c>
      <c r="I315" t="s">
        <v>2375</v>
      </c>
      <c r="J315" t="s">
        <v>2375</v>
      </c>
      <c r="K315" t="e">
        <f>VLOOKUP($J315,'[1]Table S6'!$A:$AI,2,FALSE)</f>
        <v>#N/A</v>
      </c>
      <c r="L315" t="e">
        <f>VLOOKUP($J315,'[1]Table S6'!$A:$AI,3,FALSE)</f>
        <v>#N/A</v>
      </c>
      <c r="M315" t="e">
        <f>VLOOKUP($J315,'[1]Table S6'!$A:$AI,4,FALSE)</f>
        <v>#N/A</v>
      </c>
      <c r="N315" t="e">
        <f>VLOOKUP($J315,'[1]Table S6'!$A:$AI,5,FALSE)</f>
        <v>#N/A</v>
      </c>
      <c r="P315" t="e">
        <f>VLOOKUP($J315,'[1]Table S6'!$A:$AI,7,FALSE)</f>
        <v>#N/A</v>
      </c>
      <c r="Q315" t="e">
        <f>VLOOKUP($J315,'[1]Table S6'!$A:$AI,8,FALSE)</f>
        <v>#N/A</v>
      </c>
      <c r="R315" t="e">
        <f>VLOOKUP($J315,'[1]Table S6'!$A:$AI,9,FALSE)</f>
        <v>#N/A</v>
      </c>
      <c r="S315" t="e">
        <f>VLOOKUP($J315,'[1]Table S6'!$A:$AI,10,FALSE)</f>
        <v>#N/A</v>
      </c>
      <c r="U315" t="e">
        <f>VLOOKUP($J315,'[1]Table S6'!$A:$AI,12,FALSE)</f>
        <v>#N/A</v>
      </c>
      <c r="V315" t="e">
        <f>VLOOKUP($J315,'[1]Table S6'!$A:$AI,13,FALSE)</f>
        <v>#N/A</v>
      </c>
      <c r="W315" t="e">
        <f>VLOOKUP($J315,'[1]Table S6'!$A:$AI,14,FALSE)</f>
        <v>#N/A</v>
      </c>
      <c r="X315" t="e">
        <f>VLOOKUP($J315,'[1]Table S6'!$A:$AI,15,FALSE)</f>
        <v>#N/A</v>
      </c>
      <c r="Z315" t="e">
        <f>VLOOKUP($J315,'[1]Table S6'!$A:$AI,17,FALSE)</f>
        <v>#N/A</v>
      </c>
      <c r="AA315" t="e">
        <f>VLOOKUP($J315,'[1]Table S6'!$A:$AI,18,FALSE)</f>
        <v>#N/A</v>
      </c>
      <c r="AB315" t="e">
        <f>VLOOKUP($J315,'[1]Table S6'!$A:$AI,19,FALSE)</f>
        <v>#N/A</v>
      </c>
      <c r="AC315" t="e">
        <f>VLOOKUP($J315,'[1]Table S6'!$A:$AI,20,FALSE)</f>
        <v>#N/A</v>
      </c>
      <c r="AE315" t="e">
        <f>VLOOKUP($J315,'[1]Table S6'!$A:$AI,22,FALSE)</f>
        <v>#N/A</v>
      </c>
      <c r="AF315" t="e">
        <f>VLOOKUP($J315,'[1]Table S6'!$A:$AI,23,FALSE)</f>
        <v>#N/A</v>
      </c>
      <c r="AG315" t="e">
        <f>VLOOKUP($J315,'[1]Table S6'!$A:$AI,24,FALSE)</f>
        <v>#N/A</v>
      </c>
      <c r="AH315" t="e">
        <f>VLOOKUP($J315,'[1]Table S6'!$A:$AI,25,FALSE)</f>
        <v>#N/A</v>
      </c>
      <c r="AJ315" t="e">
        <f>VLOOKUP($J315,'[1]Table S6'!$A:$AI,27,FALSE)</f>
        <v>#N/A</v>
      </c>
      <c r="AK315" t="e">
        <f>VLOOKUP($J315,'[1]Table S6'!$A:$AI,28,FALSE)</f>
        <v>#N/A</v>
      </c>
      <c r="AL315" t="e">
        <f>VLOOKUP($J315,'[1]Table S6'!$A:$AI,29,FALSE)</f>
        <v>#N/A</v>
      </c>
      <c r="AM315" t="e">
        <f>VLOOKUP($J315,'[1]Table S6'!$A:$AI,30,FALSE)</f>
        <v>#N/A</v>
      </c>
      <c r="AO315" t="e">
        <f>VLOOKUP($J315,'[1]Table S6'!$A:$AI,32,FALSE)</f>
        <v>#N/A</v>
      </c>
      <c r="AP315" t="e">
        <f>VLOOKUP($J315,'[1]Table S6'!$A:$AI,33,FALSE)</f>
        <v>#N/A</v>
      </c>
      <c r="AQ315" t="e">
        <f>VLOOKUP($J315,'[1]Table S6'!$A:$AI,34,FALSE)</f>
        <v>#N/A</v>
      </c>
      <c r="AR315" t="e">
        <f>VLOOKUP($J315,'[1]Table S6'!$A:$AI,35,FALSE)</f>
        <v>#N/A</v>
      </c>
      <c r="AT315" t="e">
        <f>VLOOKUP($I315,'[2]Table S5'!$A:$K,8,FALSE)</f>
        <v>#N/A</v>
      </c>
      <c r="AU315" t="e">
        <f>VLOOKUP($I315,'[2]Table S5'!$A:$K,9,FALSE)</f>
        <v>#N/A</v>
      </c>
      <c r="AV315" t="e">
        <f>VLOOKUP($I315,'[2]Table S5'!$A:$K,10,FALSE)</f>
        <v>#N/A</v>
      </c>
      <c r="AW315" t="e">
        <f>VLOOKUP($I315,'[2]Table S5'!$A:$K,11,FALSE)</f>
        <v>#N/A</v>
      </c>
    </row>
    <row r="316" spans="1:49">
      <c r="A316" s="12" t="s">
        <v>2383</v>
      </c>
      <c r="B316" t="s">
        <v>2384</v>
      </c>
      <c r="C316" t="s">
        <v>2385</v>
      </c>
      <c r="D316" t="s">
        <v>17</v>
      </c>
      <c r="E316" t="s">
        <v>2386</v>
      </c>
      <c r="F316" s="12" t="s">
        <v>2387</v>
      </c>
      <c r="G316" t="s">
        <v>2388</v>
      </c>
      <c r="H316" t="s">
        <v>2389</v>
      </c>
      <c r="I316" t="s">
        <v>2375</v>
      </c>
      <c r="J316" t="s">
        <v>2375</v>
      </c>
      <c r="K316" t="e">
        <f>VLOOKUP($J316,'[1]Table S6'!$A:$AI,2,FALSE)</f>
        <v>#N/A</v>
      </c>
      <c r="L316" t="e">
        <f>VLOOKUP($J316,'[1]Table S6'!$A:$AI,3,FALSE)</f>
        <v>#N/A</v>
      </c>
      <c r="M316" t="e">
        <f>VLOOKUP($J316,'[1]Table S6'!$A:$AI,4,FALSE)</f>
        <v>#N/A</v>
      </c>
      <c r="N316" t="e">
        <f>VLOOKUP($J316,'[1]Table S6'!$A:$AI,5,FALSE)</f>
        <v>#N/A</v>
      </c>
      <c r="P316" t="e">
        <f>VLOOKUP($J316,'[1]Table S6'!$A:$AI,7,FALSE)</f>
        <v>#N/A</v>
      </c>
      <c r="Q316" t="e">
        <f>VLOOKUP($J316,'[1]Table S6'!$A:$AI,8,FALSE)</f>
        <v>#N/A</v>
      </c>
      <c r="R316" t="e">
        <f>VLOOKUP($J316,'[1]Table S6'!$A:$AI,9,FALSE)</f>
        <v>#N/A</v>
      </c>
      <c r="S316" t="e">
        <f>VLOOKUP($J316,'[1]Table S6'!$A:$AI,10,FALSE)</f>
        <v>#N/A</v>
      </c>
      <c r="U316" t="e">
        <f>VLOOKUP($J316,'[1]Table S6'!$A:$AI,12,FALSE)</f>
        <v>#N/A</v>
      </c>
      <c r="V316" t="e">
        <f>VLOOKUP($J316,'[1]Table S6'!$A:$AI,13,FALSE)</f>
        <v>#N/A</v>
      </c>
      <c r="W316" t="e">
        <f>VLOOKUP($J316,'[1]Table S6'!$A:$AI,14,FALSE)</f>
        <v>#N/A</v>
      </c>
      <c r="X316" t="e">
        <f>VLOOKUP($J316,'[1]Table S6'!$A:$AI,15,FALSE)</f>
        <v>#N/A</v>
      </c>
      <c r="Z316" t="e">
        <f>VLOOKUP($J316,'[1]Table S6'!$A:$AI,17,FALSE)</f>
        <v>#N/A</v>
      </c>
      <c r="AA316" t="e">
        <f>VLOOKUP($J316,'[1]Table S6'!$A:$AI,18,FALSE)</f>
        <v>#N/A</v>
      </c>
      <c r="AB316" t="e">
        <f>VLOOKUP($J316,'[1]Table S6'!$A:$AI,19,FALSE)</f>
        <v>#N/A</v>
      </c>
      <c r="AC316" t="e">
        <f>VLOOKUP($J316,'[1]Table S6'!$A:$AI,20,FALSE)</f>
        <v>#N/A</v>
      </c>
      <c r="AE316" t="e">
        <f>VLOOKUP($J316,'[1]Table S6'!$A:$AI,22,FALSE)</f>
        <v>#N/A</v>
      </c>
      <c r="AF316" t="e">
        <f>VLOOKUP($J316,'[1]Table S6'!$A:$AI,23,FALSE)</f>
        <v>#N/A</v>
      </c>
      <c r="AG316" t="e">
        <f>VLOOKUP($J316,'[1]Table S6'!$A:$AI,24,FALSE)</f>
        <v>#N/A</v>
      </c>
      <c r="AH316" t="e">
        <f>VLOOKUP($J316,'[1]Table S6'!$A:$AI,25,FALSE)</f>
        <v>#N/A</v>
      </c>
      <c r="AJ316" t="e">
        <f>VLOOKUP($J316,'[1]Table S6'!$A:$AI,27,FALSE)</f>
        <v>#N/A</v>
      </c>
      <c r="AK316" t="e">
        <f>VLOOKUP($J316,'[1]Table S6'!$A:$AI,28,FALSE)</f>
        <v>#N/A</v>
      </c>
      <c r="AL316" t="e">
        <f>VLOOKUP($J316,'[1]Table S6'!$A:$AI,29,FALSE)</f>
        <v>#N/A</v>
      </c>
      <c r="AM316" t="e">
        <f>VLOOKUP($J316,'[1]Table S6'!$A:$AI,30,FALSE)</f>
        <v>#N/A</v>
      </c>
      <c r="AO316" t="e">
        <f>VLOOKUP($J316,'[1]Table S6'!$A:$AI,32,FALSE)</f>
        <v>#N/A</v>
      </c>
      <c r="AP316" t="e">
        <f>VLOOKUP($J316,'[1]Table S6'!$A:$AI,33,FALSE)</f>
        <v>#N/A</v>
      </c>
      <c r="AQ316" t="e">
        <f>VLOOKUP($J316,'[1]Table S6'!$A:$AI,34,FALSE)</f>
        <v>#N/A</v>
      </c>
      <c r="AR316" t="e">
        <f>VLOOKUP($J316,'[1]Table S6'!$A:$AI,35,FALSE)</f>
        <v>#N/A</v>
      </c>
      <c r="AT316" t="e">
        <f>VLOOKUP($I316,'[2]Table S5'!$A:$K,8,FALSE)</f>
        <v>#N/A</v>
      </c>
      <c r="AU316" t="e">
        <f>VLOOKUP($I316,'[2]Table S5'!$A:$K,9,FALSE)</f>
        <v>#N/A</v>
      </c>
      <c r="AV316" t="e">
        <f>VLOOKUP($I316,'[2]Table S5'!$A:$K,10,FALSE)</f>
        <v>#N/A</v>
      </c>
      <c r="AW316" t="e">
        <f>VLOOKUP($I316,'[2]Table S5'!$A:$K,11,FALSE)</f>
        <v>#N/A</v>
      </c>
    </row>
    <row r="317" spans="1:49">
      <c r="A317" s="12" t="s">
        <v>2390</v>
      </c>
      <c r="B317" t="s">
        <v>2391</v>
      </c>
      <c r="C317" t="s">
        <v>2392</v>
      </c>
      <c r="D317" t="s">
        <v>17</v>
      </c>
      <c r="E317" t="s">
        <v>2393</v>
      </c>
      <c r="F317" s="12" t="s">
        <v>2394</v>
      </c>
      <c r="G317" t="s">
        <v>2395</v>
      </c>
      <c r="H317" t="s">
        <v>2396</v>
      </c>
      <c r="I317" t="s">
        <v>2375</v>
      </c>
      <c r="J317" t="s">
        <v>2375</v>
      </c>
      <c r="K317" t="e">
        <f>VLOOKUP($J317,'[1]Table S6'!$A:$AI,2,FALSE)</f>
        <v>#N/A</v>
      </c>
      <c r="L317" t="e">
        <f>VLOOKUP($J317,'[1]Table S6'!$A:$AI,3,FALSE)</f>
        <v>#N/A</v>
      </c>
      <c r="M317" t="e">
        <f>VLOOKUP($J317,'[1]Table S6'!$A:$AI,4,FALSE)</f>
        <v>#N/A</v>
      </c>
      <c r="N317" t="e">
        <f>VLOOKUP($J317,'[1]Table S6'!$A:$AI,5,FALSE)</f>
        <v>#N/A</v>
      </c>
      <c r="P317" t="e">
        <f>VLOOKUP($J317,'[1]Table S6'!$A:$AI,7,FALSE)</f>
        <v>#N/A</v>
      </c>
      <c r="Q317" t="e">
        <f>VLOOKUP($J317,'[1]Table S6'!$A:$AI,8,FALSE)</f>
        <v>#N/A</v>
      </c>
      <c r="R317" t="e">
        <f>VLOOKUP($J317,'[1]Table S6'!$A:$AI,9,FALSE)</f>
        <v>#N/A</v>
      </c>
      <c r="S317" t="e">
        <f>VLOOKUP($J317,'[1]Table S6'!$A:$AI,10,FALSE)</f>
        <v>#N/A</v>
      </c>
      <c r="U317" t="e">
        <f>VLOOKUP($J317,'[1]Table S6'!$A:$AI,12,FALSE)</f>
        <v>#N/A</v>
      </c>
      <c r="V317" t="e">
        <f>VLOOKUP($J317,'[1]Table S6'!$A:$AI,13,FALSE)</f>
        <v>#N/A</v>
      </c>
      <c r="W317" t="e">
        <f>VLOOKUP($J317,'[1]Table S6'!$A:$AI,14,FALSE)</f>
        <v>#N/A</v>
      </c>
      <c r="X317" t="e">
        <f>VLOOKUP($J317,'[1]Table S6'!$A:$AI,15,FALSE)</f>
        <v>#N/A</v>
      </c>
      <c r="Z317" t="e">
        <f>VLOOKUP($J317,'[1]Table S6'!$A:$AI,17,FALSE)</f>
        <v>#N/A</v>
      </c>
      <c r="AA317" t="e">
        <f>VLOOKUP($J317,'[1]Table S6'!$A:$AI,18,FALSE)</f>
        <v>#N/A</v>
      </c>
      <c r="AB317" t="e">
        <f>VLOOKUP($J317,'[1]Table S6'!$A:$AI,19,FALSE)</f>
        <v>#N/A</v>
      </c>
      <c r="AC317" t="e">
        <f>VLOOKUP($J317,'[1]Table S6'!$A:$AI,20,FALSE)</f>
        <v>#N/A</v>
      </c>
      <c r="AE317" t="e">
        <f>VLOOKUP($J317,'[1]Table S6'!$A:$AI,22,FALSE)</f>
        <v>#N/A</v>
      </c>
      <c r="AF317" t="e">
        <f>VLOOKUP($J317,'[1]Table S6'!$A:$AI,23,FALSE)</f>
        <v>#N/A</v>
      </c>
      <c r="AG317" t="e">
        <f>VLOOKUP($J317,'[1]Table S6'!$A:$AI,24,FALSE)</f>
        <v>#N/A</v>
      </c>
      <c r="AH317" t="e">
        <f>VLOOKUP($J317,'[1]Table S6'!$A:$AI,25,FALSE)</f>
        <v>#N/A</v>
      </c>
      <c r="AJ317" t="e">
        <f>VLOOKUP($J317,'[1]Table S6'!$A:$AI,27,FALSE)</f>
        <v>#N/A</v>
      </c>
      <c r="AK317" t="e">
        <f>VLOOKUP($J317,'[1]Table S6'!$A:$AI,28,FALSE)</f>
        <v>#N/A</v>
      </c>
      <c r="AL317" t="e">
        <f>VLOOKUP($J317,'[1]Table S6'!$A:$AI,29,FALSE)</f>
        <v>#N/A</v>
      </c>
      <c r="AM317" t="e">
        <f>VLOOKUP($J317,'[1]Table S6'!$A:$AI,30,FALSE)</f>
        <v>#N/A</v>
      </c>
      <c r="AO317" t="e">
        <f>VLOOKUP($J317,'[1]Table S6'!$A:$AI,32,FALSE)</f>
        <v>#N/A</v>
      </c>
      <c r="AP317" t="e">
        <f>VLOOKUP($J317,'[1]Table S6'!$A:$AI,33,FALSE)</f>
        <v>#N/A</v>
      </c>
      <c r="AQ317" t="e">
        <f>VLOOKUP($J317,'[1]Table S6'!$A:$AI,34,FALSE)</f>
        <v>#N/A</v>
      </c>
      <c r="AR317" t="e">
        <f>VLOOKUP($J317,'[1]Table S6'!$A:$AI,35,FALSE)</f>
        <v>#N/A</v>
      </c>
      <c r="AT317" t="e">
        <f>VLOOKUP($I317,'[2]Table S5'!$A:$K,8,FALSE)</f>
        <v>#N/A</v>
      </c>
      <c r="AU317" t="e">
        <f>VLOOKUP($I317,'[2]Table S5'!$A:$K,9,FALSE)</f>
        <v>#N/A</v>
      </c>
      <c r="AV317" t="e">
        <f>VLOOKUP($I317,'[2]Table S5'!$A:$K,10,FALSE)</f>
        <v>#N/A</v>
      </c>
      <c r="AW317" t="e">
        <f>VLOOKUP($I317,'[2]Table S5'!$A:$K,11,FALSE)</f>
        <v>#N/A</v>
      </c>
    </row>
    <row r="318" spans="1:49">
      <c r="A318" s="12" t="s">
        <v>2397</v>
      </c>
      <c r="B318" t="s">
        <v>2398</v>
      </c>
      <c r="C318" t="s">
        <v>2399</v>
      </c>
      <c r="D318" t="s">
        <v>17</v>
      </c>
      <c r="E318" t="s">
        <v>2400</v>
      </c>
      <c r="F318" s="12" t="s">
        <v>2401</v>
      </c>
      <c r="G318" t="s">
        <v>2402</v>
      </c>
      <c r="H318" t="s">
        <v>2403</v>
      </c>
      <c r="I318" t="s">
        <v>2404</v>
      </c>
      <c r="J318" t="s">
        <v>2404</v>
      </c>
      <c r="K318" t="e">
        <f>VLOOKUP($J318,'[1]Table S6'!$A:$AI,2,FALSE)</f>
        <v>#N/A</v>
      </c>
      <c r="L318" t="e">
        <f>VLOOKUP($J318,'[1]Table S6'!$A:$AI,3,FALSE)</f>
        <v>#N/A</v>
      </c>
      <c r="M318" t="e">
        <f>VLOOKUP($J318,'[1]Table S6'!$A:$AI,4,FALSE)</f>
        <v>#N/A</v>
      </c>
      <c r="N318" t="e">
        <f>VLOOKUP($J318,'[1]Table S6'!$A:$AI,5,FALSE)</f>
        <v>#N/A</v>
      </c>
      <c r="P318" t="e">
        <f>VLOOKUP($J318,'[1]Table S6'!$A:$AI,7,FALSE)</f>
        <v>#N/A</v>
      </c>
      <c r="Q318" t="e">
        <f>VLOOKUP($J318,'[1]Table S6'!$A:$AI,8,FALSE)</f>
        <v>#N/A</v>
      </c>
      <c r="R318" t="e">
        <f>VLOOKUP($J318,'[1]Table S6'!$A:$AI,9,FALSE)</f>
        <v>#N/A</v>
      </c>
      <c r="S318" t="e">
        <f>VLOOKUP($J318,'[1]Table S6'!$A:$AI,10,FALSE)</f>
        <v>#N/A</v>
      </c>
      <c r="U318" t="e">
        <f>VLOOKUP($J318,'[1]Table S6'!$A:$AI,12,FALSE)</f>
        <v>#N/A</v>
      </c>
      <c r="V318" t="e">
        <f>VLOOKUP($J318,'[1]Table S6'!$A:$AI,13,FALSE)</f>
        <v>#N/A</v>
      </c>
      <c r="W318" t="e">
        <f>VLOOKUP($J318,'[1]Table S6'!$A:$AI,14,FALSE)</f>
        <v>#N/A</v>
      </c>
      <c r="X318" t="e">
        <f>VLOOKUP($J318,'[1]Table S6'!$A:$AI,15,FALSE)</f>
        <v>#N/A</v>
      </c>
      <c r="Z318" t="e">
        <f>VLOOKUP($J318,'[1]Table S6'!$A:$AI,17,FALSE)</f>
        <v>#N/A</v>
      </c>
      <c r="AA318" t="e">
        <f>VLOOKUP($J318,'[1]Table S6'!$A:$AI,18,FALSE)</f>
        <v>#N/A</v>
      </c>
      <c r="AB318" t="e">
        <f>VLOOKUP($J318,'[1]Table S6'!$A:$AI,19,FALSE)</f>
        <v>#N/A</v>
      </c>
      <c r="AC318" t="e">
        <f>VLOOKUP($J318,'[1]Table S6'!$A:$AI,20,FALSE)</f>
        <v>#N/A</v>
      </c>
      <c r="AE318" t="e">
        <f>VLOOKUP($J318,'[1]Table S6'!$A:$AI,22,FALSE)</f>
        <v>#N/A</v>
      </c>
      <c r="AF318" t="e">
        <f>VLOOKUP($J318,'[1]Table S6'!$A:$AI,23,FALSE)</f>
        <v>#N/A</v>
      </c>
      <c r="AG318" t="e">
        <f>VLOOKUP($J318,'[1]Table S6'!$A:$AI,24,FALSE)</f>
        <v>#N/A</v>
      </c>
      <c r="AH318" t="e">
        <f>VLOOKUP($J318,'[1]Table S6'!$A:$AI,25,FALSE)</f>
        <v>#N/A</v>
      </c>
      <c r="AJ318" t="e">
        <f>VLOOKUP($J318,'[1]Table S6'!$A:$AI,27,FALSE)</f>
        <v>#N/A</v>
      </c>
      <c r="AK318" t="e">
        <f>VLOOKUP($J318,'[1]Table S6'!$A:$AI,28,FALSE)</f>
        <v>#N/A</v>
      </c>
      <c r="AL318" t="e">
        <f>VLOOKUP($J318,'[1]Table S6'!$A:$AI,29,FALSE)</f>
        <v>#N/A</v>
      </c>
      <c r="AM318" t="e">
        <f>VLOOKUP($J318,'[1]Table S6'!$A:$AI,30,FALSE)</f>
        <v>#N/A</v>
      </c>
      <c r="AO318" t="e">
        <f>VLOOKUP($J318,'[1]Table S6'!$A:$AI,32,FALSE)</f>
        <v>#N/A</v>
      </c>
      <c r="AP318" t="e">
        <f>VLOOKUP($J318,'[1]Table S6'!$A:$AI,33,FALSE)</f>
        <v>#N/A</v>
      </c>
      <c r="AQ318" t="e">
        <f>VLOOKUP($J318,'[1]Table S6'!$A:$AI,34,FALSE)</f>
        <v>#N/A</v>
      </c>
      <c r="AR318" t="e">
        <f>VLOOKUP($J318,'[1]Table S6'!$A:$AI,35,FALSE)</f>
        <v>#N/A</v>
      </c>
      <c r="AT318" t="e">
        <f>VLOOKUP($I318,'[2]Table S5'!$A:$K,8,FALSE)</f>
        <v>#N/A</v>
      </c>
      <c r="AU318" t="e">
        <f>VLOOKUP($I318,'[2]Table S5'!$A:$K,9,FALSE)</f>
        <v>#N/A</v>
      </c>
      <c r="AV318" t="e">
        <f>VLOOKUP($I318,'[2]Table S5'!$A:$K,10,FALSE)</f>
        <v>#N/A</v>
      </c>
      <c r="AW318" t="e">
        <f>VLOOKUP($I318,'[2]Table S5'!$A:$K,11,FALSE)</f>
        <v>#N/A</v>
      </c>
    </row>
    <row r="319" spans="1:49">
      <c r="A319" s="12" t="s">
        <v>2405</v>
      </c>
      <c r="B319" t="s">
        <v>2406</v>
      </c>
      <c r="C319" t="s">
        <v>2407</v>
      </c>
      <c r="D319" t="s">
        <v>17</v>
      </c>
      <c r="E319" t="s">
        <v>2408</v>
      </c>
      <c r="F319" s="12" t="s">
        <v>2409</v>
      </c>
      <c r="G319" t="s">
        <v>2410</v>
      </c>
      <c r="H319" t="s">
        <v>2411</v>
      </c>
      <c r="I319" t="s">
        <v>2404</v>
      </c>
      <c r="J319" t="s">
        <v>2404</v>
      </c>
      <c r="K319" t="e">
        <f>VLOOKUP($J319,'[1]Table S6'!$A:$AI,2,FALSE)</f>
        <v>#N/A</v>
      </c>
      <c r="L319" t="e">
        <f>VLOOKUP($J319,'[1]Table S6'!$A:$AI,3,FALSE)</f>
        <v>#N/A</v>
      </c>
      <c r="M319" t="e">
        <f>VLOOKUP($J319,'[1]Table S6'!$A:$AI,4,FALSE)</f>
        <v>#N/A</v>
      </c>
      <c r="N319" t="e">
        <f>VLOOKUP($J319,'[1]Table S6'!$A:$AI,5,FALSE)</f>
        <v>#N/A</v>
      </c>
      <c r="P319" t="e">
        <f>VLOOKUP($J319,'[1]Table S6'!$A:$AI,7,FALSE)</f>
        <v>#N/A</v>
      </c>
      <c r="Q319" t="e">
        <f>VLOOKUP($J319,'[1]Table S6'!$A:$AI,8,FALSE)</f>
        <v>#N/A</v>
      </c>
      <c r="R319" t="e">
        <f>VLOOKUP($J319,'[1]Table S6'!$A:$AI,9,FALSE)</f>
        <v>#N/A</v>
      </c>
      <c r="S319" t="e">
        <f>VLOOKUP($J319,'[1]Table S6'!$A:$AI,10,FALSE)</f>
        <v>#N/A</v>
      </c>
      <c r="U319" t="e">
        <f>VLOOKUP($J319,'[1]Table S6'!$A:$AI,12,FALSE)</f>
        <v>#N/A</v>
      </c>
      <c r="V319" t="e">
        <f>VLOOKUP($J319,'[1]Table S6'!$A:$AI,13,FALSE)</f>
        <v>#N/A</v>
      </c>
      <c r="W319" t="e">
        <f>VLOOKUP($J319,'[1]Table S6'!$A:$AI,14,FALSE)</f>
        <v>#N/A</v>
      </c>
      <c r="X319" t="e">
        <f>VLOOKUP($J319,'[1]Table S6'!$A:$AI,15,FALSE)</f>
        <v>#N/A</v>
      </c>
      <c r="Z319" t="e">
        <f>VLOOKUP($J319,'[1]Table S6'!$A:$AI,17,FALSE)</f>
        <v>#N/A</v>
      </c>
      <c r="AA319" t="e">
        <f>VLOOKUP($J319,'[1]Table S6'!$A:$AI,18,FALSE)</f>
        <v>#N/A</v>
      </c>
      <c r="AB319" t="e">
        <f>VLOOKUP($J319,'[1]Table S6'!$A:$AI,19,FALSE)</f>
        <v>#N/A</v>
      </c>
      <c r="AC319" t="e">
        <f>VLOOKUP($J319,'[1]Table S6'!$A:$AI,20,FALSE)</f>
        <v>#N/A</v>
      </c>
      <c r="AE319" t="e">
        <f>VLOOKUP($J319,'[1]Table S6'!$A:$AI,22,FALSE)</f>
        <v>#N/A</v>
      </c>
      <c r="AF319" t="e">
        <f>VLOOKUP($J319,'[1]Table S6'!$A:$AI,23,FALSE)</f>
        <v>#N/A</v>
      </c>
      <c r="AG319" t="e">
        <f>VLOOKUP($J319,'[1]Table S6'!$A:$AI,24,FALSE)</f>
        <v>#N/A</v>
      </c>
      <c r="AH319" t="e">
        <f>VLOOKUP($J319,'[1]Table S6'!$A:$AI,25,FALSE)</f>
        <v>#N/A</v>
      </c>
      <c r="AJ319" t="e">
        <f>VLOOKUP($J319,'[1]Table S6'!$A:$AI,27,FALSE)</f>
        <v>#N/A</v>
      </c>
      <c r="AK319" t="e">
        <f>VLOOKUP($J319,'[1]Table S6'!$A:$AI,28,FALSE)</f>
        <v>#N/A</v>
      </c>
      <c r="AL319" t="e">
        <f>VLOOKUP($J319,'[1]Table S6'!$A:$AI,29,FALSE)</f>
        <v>#N/A</v>
      </c>
      <c r="AM319" t="e">
        <f>VLOOKUP($J319,'[1]Table S6'!$A:$AI,30,FALSE)</f>
        <v>#N/A</v>
      </c>
      <c r="AO319" t="e">
        <f>VLOOKUP($J319,'[1]Table S6'!$A:$AI,32,FALSE)</f>
        <v>#N/A</v>
      </c>
      <c r="AP319" t="e">
        <f>VLOOKUP($J319,'[1]Table S6'!$A:$AI,33,FALSE)</f>
        <v>#N/A</v>
      </c>
      <c r="AQ319" t="e">
        <f>VLOOKUP($J319,'[1]Table S6'!$A:$AI,34,FALSE)</f>
        <v>#N/A</v>
      </c>
      <c r="AR319" t="e">
        <f>VLOOKUP($J319,'[1]Table S6'!$A:$AI,35,FALSE)</f>
        <v>#N/A</v>
      </c>
      <c r="AT319" t="e">
        <f>VLOOKUP($I319,'[2]Table S5'!$A:$K,8,FALSE)</f>
        <v>#N/A</v>
      </c>
      <c r="AU319" t="e">
        <f>VLOOKUP($I319,'[2]Table S5'!$A:$K,9,FALSE)</f>
        <v>#N/A</v>
      </c>
      <c r="AV319" t="e">
        <f>VLOOKUP($I319,'[2]Table S5'!$A:$K,10,FALSE)</f>
        <v>#N/A</v>
      </c>
      <c r="AW319" t="e">
        <f>VLOOKUP($I319,'[2]Table S5'!$A:$K,11,FALSE)</f>
        <v>#N/A</v>
      </c>
    </row>
    <row r="320" spans="1:49">
      <c r="A320" s="12" t="s">
        <v>2412</v>
      </c>
      <c r="B320" t="s">
        <v>2413</v>
      </c>
      <c r="C320" t="s">
        <v>2414</v>
      </c>
      <c r="D320" t="s">
        <v>17</v>
      </c>
      <c r="E320" t="s">
        <v>2415</v>
      </c>
      <c r="F320" s="12" t="s">
        <v>2416</v>
      </c>
      <c r="G320" t="s">
        <v>2417</v>
      </c>
      <c r="H320" t="s">
        <v>2418</v>
      </c>
      <c r="I320" t="s">
        <v>2419</v>
      </c>
      <c r="J320" t="s">
        <v>2419</v>
      </c>
      <c r="K320" t="e">
        <f>VLOOKUP($J320,'[1]Table S6'!$A:$AI,2,FALSE)</f>
        <v>#N/A</v>
      </c>
      <c r="L320" t="e">
        <f>VLOOKUP($J320,'[1]Table S6'!$A:$AI,3,FALSE)</f>
        <v>#N/A</v>
      </c>
      <c r="M320" t="e">
        <f>VLOOKUP($J320,'[1]Table S6'!$A:$AI,4,FALSE)</f>
        <v>#N/A</v>
      </c>
      <c r="N320" t="e">
        <f>VLOOKUP($J320,'[1]Table S6'!$A:$AI,5,FALSE)</f>
        <v>#N/A</v>
      </c>
      <c r="P320" t="e">
        <f>VLOOKUP($J320,'[1]Table S6'!$A:$AI,7,FALSE)</f>
        <v>#N/A</v>
      </c>
      <c r="Q320" t="e">
        <f>VLOOKUP($J320,'[1]Table S6'!$A:$AI,8,FALSE)</f>
        <v>#N/A</v>
      </c>
      <c r="R320" t="e">
        <f>VLOOKUP($J320,'[1]Table S6'!$A:$AI,9,FALSE)</f>
        <v>#N/A</v>
      </c>
      <c r="S320" t="e">
        <f>VLOOKUP($J320,'[1]Table S6'!$A:$AI,10,FALSE)</f>
        <v>#N/A</v>
      </c>
      <c r="U320" t="e">
        <f>VLOOKUP($J320,'[1]Table S6'!$A:$AI,12,FALSE)</f>
        <v>#N/A</v>
      </c>
      <c r="V320" t="e">
        <f>VLOOKUP($J320,'[1]Table S6'!$A:$AI,13,FALSE)</f>
        <v>#N/A</v>
      </c>
      <c r="W320" t="e">
        <f>VLOOKUP($J320,'[1]Table S6'!$A:$AI,14,FALSE)</f>
        <v>#N/A</v>
      </c>
      <c r="X320" t="e">
        <f>VLOOKUP($J320,'[1]Table S6'!$A:$AI,15,FALSE)</f>
        <v>#N/A</v>
      </c>
      <c r="Z320" t="e">
        <f>VLOOKUP($J320,'[1]Table S6'!$A:$AI,17,FALSE)</f>
        <v>#N/A</v>
      </c>
      <c r="AA320" t="e">
        <f>VLOOKUP($J320,'[1]Table S6'!$A:$AI,18,FALSE)</f>
        <v>#N/A</v>
      </c>
      <c r="AB320" t="e">
        <f>VLOOKUP($J320,'[1]Table S6'!$A:$AI,19,FALSE)</f>
        <v>#N/A</v>
      </c>
      <c r="AC320" t="e">
        <f>VLOOKUP($J320,'[1]Table S6'!$A:$AI,20,FALSE)</f>
        <v>#N/A</v>
      </c>
      <c r="AE320" t="e">
        <f>VLOOKUP($J320,'[1]Table S6'!$A:$AI,22,FALSE)</f>
        <v>#N/A</v>
      </c>
      <c r="AF320" t="e">
        <f>VLOOKUP($J320,'[1]Table S6'!$A:$AI,23,FALSE)</f>
        <v>#N/A</v>
      </c>
      <c r="AG320" t="e">
        <f>VLOOKUP($J320,'[1]Table S6'!$A:$AI,24,FALSE)</f>
        <v>#N/A</v>
      </c>
      <c r="AH320" t="e">
        <f>VLOOKUP($J320,'[1]Table S6'!$A:$AI,25,FALSE)</f>
        <v>#N/A</v>
      </c>
      <c r="AJ320" t="e">
        <f>VLOOKUP($J320,'[1]Table S6'!$A:$AI,27,FALSE)</f>
        <v>#N/A</v>
      </c>
      <c r="AK320" t="e">
        <f>VLOOKUP($J320,'[1]Table S6'!$A:$AI,28,FALSE)</f>
        <v>#N/A</v>
      </c>
      <c r="AL320" t="e">
        <f>VLOOKUP($J320,'[1]Table S6'!$A:$AI,29,FALSE)</f>
        <v>#N/A</v>
      </c>
      <c r="AM320" t="e">
        <f>VLOOKUP($J320,'[1]Table S6'!$A:$AI,30,FALSE)</f>
        <v>#N/A</v>
      </c>
      <c r="AO320" t="e">
        <f>VLOOKUP($J320,'[1]Table S6'!$A:$AI,32,FALSE)</f>
        <v>#N/A</v>
      </c>
      <c r="AP320" t="e">
        <f>VLOOKUP($J320,'[1]Table S6'!$A:$AI,33,FALSE)</f>
        <v>#N/A</v>
      </c>
      <c r="AQ320" t="e">
        <f>VLOOKUP($J320,'[1]Table S6'!$A:$AI,34,FALSE)</f>
        <v>#N/A</v>
      </c>
      <c r="AR320" t="e">
        <f>VLOOKUP($J320,'[1]Table S6'!$A:$AI,35,FALSE)</f>
        <v>#N/A</v>
      </c>
      <c r="AT320" t="e">
        <f>VLOOKUP($I320,'[2]Table S5'!$A:$K,8,FALSE)</f>
        <v>#N/A</v>
      </c>
      <c r="AU320" t="e">
        <f>VLOOKUP($I320,'[2]Table S5'!$A:$K,9,FALSE)</f>
        <v>#N/A</v>
      </c>
      <c r="AV320" t="e">
        <f>VLOOKUP($I320,'[2]Table S5'!$A:$K,10,FALSE)</f>
        <v>#N/A</v>
      </c>
      <c r="AW320" t="e">
        <f>VLOOKUP($I320,'[2]Table S5'!$A:$K,11,FALSE)</f>
        <v>#N/A</v>
      </c>
    </row>
    <row r="321" spans="1:49">
      <c r="A321" s="12" t="s">
        <v>2420</v>
      </c>
      <c r="B321" t="s">
        <v>2421</v>
      </c>
      <c r="C321" t="s">
        <v>2422</v>
      </c>
      <c r="D321" t="s">
        <v>17</v>
      </c>
      <c r="E321" t="s">
        <v>2423</v>
      </c>
      <c r="F321" s="12" t="s">
        <v>2424</v>
      </c>
      <c r="G321" t="s">
        <v>2425</v>
      </c>
      <c r="H321" t="s">
        <v>2426</v>
      </c>
      <c r="I321" t="s">
        <v>2419</v>
      </c>
      <c r="J321" t="s">
        <v>2419</v>
      </c>
      <c r="K321" t="e">
        <f>VLOOKUP($J321,'[1]Table S6'!$A:$AI,2,FALSE)</f>
        <v>#N/A</v>
      </c>
      <c r="L321" t="e">
        <f>VLOOKUP($J321,'[1]Table S6'!$A:$AI,3,FALSE)</f>
        <v>#N/A</v>
      </c>
      <c r="M321" t="e">
        <f>VLOOKUP($J321,'[1]Table S6'!$A:$AI,4,FALSE)</f>
        <v>#N/A</v>
      </c>
      <c r="N321" t="e">
        <f>VLOOKUP($J321,'[1]Table S6'!$A:$AI,5,FALSE)</f>
        <v>#N/A</v>
      </c>
      <c r="P321" t="e">
        <f>VLOOKUP($J321,'[1]Table S6'!$A:$AI,7,FALSE)</f>
        <v>#N/A</v>
      </c>
      <c r="Q321" t="e">
        <f>VLOOKUP($J321,'[1]Table S6'!$A:$AI,8,FALSE)</f>
        <v>#N/A</v>
      </c>
      <c r="R321" t="e">
        <f>VLOOKUP($J321,'[1]Table S6'!$A:$AI,9,FALSE)</f>
        <v>#N/A</v>
      </c>
      <c r="S321" t="e">
        <f>VLOOKUP($J321,'[1]Table S6'!$A:$AI,10,FALSE)</f>
        <v>#N/A</v>
      </c>
      <c r="U321" t="e">
        <f>VLOOKUP($J321,'[1]Table S6'!$A:$AI,12,FALSE)</f>
        <v>#N/A</v>
      </c>
      <c r="V321" t="e">
        <f>VLOOKUP($J321,'[1]Table S6'!$A:$AI,13,FALSE)</f>
        <v>#N/A</v>
      </c>
      <c r="W321" t="e">
        <f>VLOOKUP($J321,'[1]Table S6'!$A:$AI,14,FALSE)</f>
        <v>#N/A</v>
      </c>
      <c r="X321" t="e">
        <f>VLOOKUP($J321,'[1]Table S6'!$A:$AI,15,FALSE)</f>
        <v>#N/A</v>
      </c>
      <c r="Z321" t="e">
        <f>VLOOKUP($J321,'[1]Table S6'!$A:$AI,17,FALSE)</f>
        <v>#N/A</v>
      </c>
      <c r="AA321" t="e">
        <f>VLOOKUP($J321,'[1]Table S6'!$A:$AI,18,FALSE)</f>
        <v>#N/A</v>
      </c>
      <c r="AB321" t="e">
        <f>VLOOKUP($J321,'[1]Table S6'!$A:$AI,19,FALSE)</f>
        <v>#N/A</v>
      </c>
      <c r="AC321" t="e">
        <f>VLOOKUP($J321,'[1]Table S6'!$A:$AI,20,FALSE)</f>
        <v>#N/A</v>
      </c>
      <c r="AE321" t="e">
        <f>VLOOKUP($J321,'[1]Table S6'!$A:$AI,22,FALSE)</f>
        <v>#N/A</v>
      </c>
      <c r="AF321" t="e">
        <f>VLOOKUP($J321,'[1]Table S6'!$A:$AI,23,FALSE)</f>
        <v>#N/A</v>
      </c>
      <c r="AG321" t="e">
        <f>VLOOKUP($J321,'[1]Table S6'!$A:$AI,24,FALSE)</f>
        <v>#N/A</v>
      </c>
      <c r="AH321" t="e">
        <f>VLOOKUP($J321,'[1]Table S6'!$A:$AI,25,FALSE)</f>
        <v>#N/A</v>
      </c>
      <c r="AJ321" t="e">
        <f>VLOOKUP($J321,'[1]Table S6'!$A:$AI,27,FALSE)</f>
        <v>#N/A</v>
      </c>
      <c r="AK321" t="e">
        <f>VLOOKUP($J321,'[1]Table S6'!$A:$AI,28,FALSE)</f>
        <v>#N/A</v>
      </c>
      <c r="AL321" t="e">
        <f>VLOOKUP($J321,'[1]Table S6'!$A:$AI,29,FALSE)</f>
        <v>#N/A</v>
      </c>
      <c r="AM321" t="e">
        <f>VLOOKUP($J321,'[1]Table S6'!$A:$AI,30,FALSE)</f>
        <v>#N/A</v>
      </c>
      <c r="AO321" t="e">
        <f>VLOOKUP($J321,'[1]Table S6'!$A:$AI,32,FALSE)</f>
        <v>#N/A</v>
      </c>
      <c r="AP321" t="e">
        <f>VLOOKUP($J321,'[1]Table S6'!$A:$AI,33,FALSE)</f>
        <v>#N/A</v>
      </c>
      <c r="AQ321" t="e">
        <f>VLOOKUP($J321,'[1]Table S6'!$A:$AI,34,FALSE)</f>
        <v>#N/A</v>
      </c>
      <c r="AR321" t="e">
        <f>VLOOKUP($J321,'[1]Table S6'!$A:$AI,35,FALSE)</f>
        <v>#N/A</v>
      </c>
      <c r="AT321" t="e">
        <f>VLOOKUP($I321,'[2]Table S5'!$A:$K,8,FALSE)</f>
        <v>#N/A</v>
      </c>
      <c r="AU321" t="e">
        <f>VLOOKUP($I321,'[2]Table S5'!$A:$K,9,FALSE)</f>
        <v>#N/A</v>
      </c>
      <c r="AV321" t="e">
        <f>VLOOKUP($I321,'[2]Table S5'!$A:$K,10,FALSE)</f>
        <v>#N/A</v>
      </c>
      <c r="AW321" t="e">
        <f>VLOOKUP($I321,'[2]Table S5'!$A:$K,11,FALSE)</f>
        <v>#N/A</v>
      </c>
    </row>
    <row r="322" spans="1:49">
      <c r="A322" s="12" t="s">
        <v>2427</v>
      </c>
      <c r="B322" t="s">
        <v>2428</v>
      </c>
      <c r="C322" t="s">
        <v>2429</v>
      </c>
      <c r="D322" t="s">
        <v>17</v>
      </c>
      <c r="E322" t="s">
        <v>2430</v>
      </c>
      <c r="F322" s="12" t="s">
        <v>2431</v>
      </c>
      <c r="G322" t="s">
        <v>2432</v>
      </c>
      <c r="H322" t="s">
        <v>2433</v>
      </c>
      <c r="I322" t="s">
        <v>2434</v>
      </c>
      <c r="J322" t="s">
        <v>2434</v>
      </c>
      <c r="K322" t="e">
        <f>VLOOKUP($J322,'[1]Table S6'!$A:$AI,2,FALSE)</f>
        <v>#N/A</v>
      </c>
      <c r="L322" t="e">
        <f>VLOOKUP($J322,'[1]Table S6'!$A:$AI,3,FALSE)</f>
        <v>#N/A</v>
      </c>
      <c r="M322" t="e">
        <f>VLOOKUP($J322,'[1]Table S6'!$A:$AI,4,FALSE)</f>
        <v>#N/A</v>
      </c>
      <c r="N322" t="e">
        <f>VLOOKUP($J322,'[1]Table S6'!$A:$AI,5,FALSE)</f>
        <v>#N/A</v>
      </c>
      <c r="P322" t="e">
        <f>VLOOKUP($J322,'[1]Table S6'!$A:$AI,7,FALSE)</f>
        <v>#N/A</v>
      </c>
      <c r="Q322" t="e">
        <f>VLOOKUP($J322,'[1]Table S6'!$A:$AI,8,FALSE)</f>
        <v>#N/A</v>
      </c>
      <c r="R322" t="e">
        <f>VLOOKUP($J322,'[1]Table S6'!$A:$AI,9,FALSE)</f>
        <v>#N/A</v>
      </c>
      <c r="S322" t="e">
        <f>VLOOKUP($J322,'[1]Table S6'!$A:$AI,10,FALSE)</f>
        <v>#N/A</v>
      </c>
      <c r="U322" t="e">
        <f>VLOOKUP($J322,'[1]Table S6'!$A:$AI,12,FALSE)</f>
        <v>#N/A</v>
      </c>
      <c r="V322" t="e">
        <f>VLOOKUP($J322,'[1]Table S6'!$A:$AI,13,FALSE)</f>
        <v>#N/A</v>
      </c>
      <c r="W322" t="e">
        <f>VLOOKUP($J322,'[1]Table S6'!$A:$AI,14,FALSE)</f>
        <v>#N/A</v>
      </c>
      <c r="X322" t="e">
        <f>VLOOKUP($J322,'[1]Table S6'!$A:$AI,15,FALSE)</f>
        <v>#N/A</v>
      </c>
      <c r="Z322" t="e">
        <f>VLOOKUP($J322,'[1]Table S6'!$A:$AI,17,FALSE)</f>
        <v>#N/A</v>
      </c>
      <c r="AA322" t="e">
        <f>VLOOKUP($J322,'[1]Table S6'!$A:$AI,18,FALSE)</f>
        <v>#N/A</v>
      </c>
      <c r="AB322" t="e">
        <f>VLOOKUP($J322,'[1]Table S6'!$A:$AI,19,FALSE)</f>
        <v>#N/A</v>
      </c>
      <c r="AC322" t="e">
        <f>VLOOKUP($J322,'[1]Table S6'!$A:$AI,20,FALSE)</f>
        <v>#N/A</v>
      </c>
      <c r="AE322" t="e">
        <f>VLOOKUP($J322,'[1]Table S6'!$A:$AI,22,FALSE)</f>
        <v>#N/A</v>
      </c>
      <c r="AF322" t="e">
        <f>VLOOKUP($J322,'[1]Table S6'!$A:$AI,23,FALSE)</f>
        <v>#N/A</v>
      </c>
      <c r="AG322" t="e">
        <f>VLOOKUP($J322,'[1]Table S6'!$A:$AI,24,FALSE)</f>
        <v>#N/A</v>
      </c>
      <c r="AH322" t="e">
        <f>VLOOKUP($J322,'[1]Table S6'!$A:$AI,25,FALSE)</f>
        <v>#N/A</v>
      </c>
      <c r="AJ322" t="e">
        <f>VLOOKUP($J322,'[1]Table S6'!$A:$AI,27,FALSE)</f>
        <v>#N/A</v>
      </c>
      <c r="AK322" t="e">
        <f>VLOOKUP($J322,'[1]Table S6'!$A:$AI,28,FALSE)</f>
        <v>#N/A</v>
      </c>
      <c r="AL322" t="e">
        <f>VLOOKUP($J322,'[1]Table S6'!$A:$AI,29,FALSE)</f>
        <v>#N/A</v>
      </c>
      <c r="AM322" t="e">
        <f>VLOOKUP($J322,'[1]Table S6'!$A:$AI,30,FALSE)</f>
        <v>#N/A</v>
      </c>
      <c r="AO322" t="e">
        <f>VLOOKUP($J322,'[1]Table S6'!$A:$AI,32,FALSE)</f>
        <v>#N/A</v>
      </c>
      <c r="AP322" t="e">
        <f>VLOOKUP($J322,'[1]Table S6'!$A:$AI,33,FALSE)</f>
        <v>#N/A</v>
      </c>
      <c r="AQ322" t="e">
        <f>VLOOKUP($J322,'[1]Table S6'!$A:$AI,34,FALSE)</f>
        <v>#N/A</v>
      </c>
      <c r="AR322" t="e">
        <f>VLOOKUP($J322,'[1]Table S6'!$A:$AI,35,FALSE)</f>
        <v>#N/A</v>
      </c>
      <c r="AT322" t="e">
        <f>VLOOKUP($I322,'[2]Table S5'!$A:$K,8,FALSE)</f>
        <v>#N/A</v>
      </c>
      <c r="AU322" t="e">
        <f>VLOOKUP($I322,'[2]Table S5'!$A:$K,9,FALSE)</f>
        <v>#N/A</v>
      </c>
      <c r="AV322" t="e">
        <f>VLOOKUP($I322,'[2]Table S5'!$A:$K,10,FALSE)</f>
        <v>#N/A</v>
      </c>
      <c r="AW322" t="e">
        <f>VLOOKUP($I322,'[2]Table S5'!$A:$K,11,FALSE)</f>
        <v>#N/A</v>
      </c>
    </row>
    <row r="323" spans="1:49">
      <c r="A323" s="12" t="s">
        <v>2435</v>
      </c>
      <c r="B323" t="s">
        <v>2436</v>
      </c>
      <c r="C323" t="s">
        <v>2437</v>
      </c>
      <c r="D323" t="s">
        <v>17</v>
      </c>
      <c r="E323" t="s">
        <v>2438</v>
      </c>
      <c r="F323" s="12" t="s">
        <v>2439</v>
      </c>
      <c r="G323" t="s">
        <v>2440</v>
      </c>
      <c r="H323" t="s">
        <v>2441</v>
      </c>
      <c r="I323" t="s">
        <v>2434</v>
      </c>
      <c r="J323" t="s">
        <v>2434</v>
      </c>
      <c r="K323" t="e">
        <f>VLOOKUP($J323,'[1]Table S6'!$A:$AI,2,FALSE)</f>
        <v>#N/A</v>
      </c>
      <c r="L323" t="e">
        <f>VLOOKUP($J323,'[1]Table S6'!$A:$AI,3,FALSE)</f>
        <v>#N/A</v>
      </c>
      <c r="M323" t="e">
        <f>VLOOKUP($J323,'[1]Table S6'!$A:$AI,4,FALSE)</f>
        <v>#N/A</v>
      </c>
      <c r="N323" t="e">
        <f>VLOOKUP($J323,'[1]Table S6'!$A:$AI,5,FALSE)</f>
        <v>#N/A</v>
      </c>
      <c r="P323" t="e">
        <f>VLOOKUP($J323,'[1]Table S6'!$A:$AI,7,FALSE)</f>
        <v>#N/A</v>
      </c>
      <c r="Q323" t="e">
        <f>VLOOKUP($J323,'[1]Table S6'!$A:$AI,8,FALSE)</f>
        <v>#N/A</v>
      </c>
      <c r="R323" t="e">
        <f>VLOOKUP($J323,'[1]Table S6'!$A:$AI,9,FALSE)</f>
        <v>#N/A</v>
      </c>
      <c r="S323" t="e">
        <f>VLOOKUP($J323,'[1]Table S6'!$A:$AI,10,FALSE)</f>
        <v>#N/A</v>
      </c>
      <c r="U323" t="e">
        <f>VLOOKUP($J323,'[1]Table S6'!$A:$AI,12,FALSE)</f>
        <v>#N/A</v>
      </c>
      <c r="V323" t="e">
        <f>VLOOKUP($J323,'[1]Table S6'!$A:$AI,13,FALSE)</f>
        <v>#N/A</v>
      </c>
      <c r="W323" t="e">
        <f>VLOOKUP($J323,'[1]Table S6'!$A:$AI,14,FALSE)</f>
        <v>#N/A</v>
      </c>
      <c r="X323" t="e">
        <f>VLOOKUP($J323,'[1]Table S6'!$A:$AI,15,FALSE)</f>
        <v>#N/A</v>
      </c>
      <c r="Z323" t="e">
        <f>VLOOKUP($J323,'[1]Table S6'!$A:$AI,17,FALSE)</f>
        <v>#N/A</v>
      </c>
      <c r="AA323" t="e">
        <f>VLOOKUP($J323,'[1]Table S6'!$A:$AI,18,FALSE)</f>
        <v>#N/A</v>
      </c>
      <c r="AB323" t="e">
        <f>VLOOKUP($J323,'[1]Table S6'!$A:$AI,19,FALSE)</f>
        <v>#N/A</v>
      </c>
      <c r="AC323" t="e">
        <f>VLOOKUP($J323,'[1]Table S6'!$A:$AI,20,FALSE)</f>
        <v>#N/A</v>
      </c>
      <c r="AE323" t="e">
        <f>VLOOKUP($J323,'[1]Table S6'!$A:$AI,22,FALSE)</f>
        <v>#N/A</v>
      </c>
      <c r="AF323" t="e">
        <f>VLOOKUP($J323,'[1]Table S6'!$A:$AI,23,FALSE)</f>
        <v>#N/A</v>
      </c>
      <c r="AG323" t="e">
        <f>VLOOKUP($J323,'[1]Table S6'!$A:$AI,24,FALSE)</f>
        <v>#N/A</v>
      </c>
      <c r="AH323" t="e">
        <f>VLOOKUP($J323,'[1]Table S6'!$A:$AI,25,FALSE)</f>
        <v>#N/A</v>
      </c>
      <c r="AJ323" t="e">
        <f>VLOOKUP($J323,'[1]Table S6'!$A:$AI,27,FALSE)</f>
        <v>#N/A</v>
      </c>
      <c r="AK323" t="e">
        <f>VLOOKUP($J323,'[1]Table S6'!$A:$AI,28,FALSE)</f>
        <v>#N/A</v>
      </c>
      <c r="AL323" t="e">
        <f>VLOOKUP($J323,'[1]Table S6'!$A:$AI,29,FALSE)</f>
        <v>#N/A</v>
      </c>
      <c r="AM323" t="e">
        <f>VLOOKUP($J323,'[1]Table S6'!$A:$AI,30,FALSE)</f>
        <v>#N/A</v>
      </c>
      <c r="AO323" t="e">
        <f>VLOOKUP($J323,'[1]Table S6'!$A:$AI,32,FALSE)</f>
        <v>#N/A</v>
      </c>
      <c r="AP323" t="e">
        <f>VLOOKUP($J323,'[1]Table S6'!$A:$AI,33,FALSE)</f>
        <v>#N/A</v>
      </c>
      <c r="AQ323" t="e">
        <f>VLOOKUP($J323,'[1]Table S6'!$A:$AI,34,FALSE)</f>
        <v>#N/A</v>
      </c>
      <c r="AR323" t="e">
        <f>VLOOKUP($J323,'[1]Table S6'!$A:$AI,35,FALSE)</f>
        <v>#N/A</v>
      </c>
      <c r="AT323" t="e">
        <f>VLOOKUP($I323,'[2]Table S5'!$A:$K,8,FALSE)</f>
        <v>#N/A</v>
      </c>
      <c r="AU323" t="e">
        <f>VLOOKUP($I323,'[2]Table S5'!$A:$K,9,FALSE)</f>
        <v>#N/A</v>
      </c>
      <c r="AV323" t="e">
        <f>VLOOKUP($I323,'[2]Table S5'!$A:$K,10,FALSE)</f>
        <v>#N/A</v>
      </c>
      <c r="AW323" t="e">
        <f>VLOOKUP($I323,'[2]Table S5'!$A:$K,11,FALSE)</f>
        <v>#N/A</v>
      </c>
    </row>
    <row r="324" spans="1:49">
      <c r="A324" s="12" t="s">
        <v>2442</v>
      </c>
      <c r="B324" t="s">
        <v>2443</v>
      </c>
      <c r="C324" t="s">
        <v>2444</v>
      </c>
      <c r="D324" t="s">
        <v>17</v>
      </c>
      <c r="E324" t="s">
        <v>2445</v>
      </c>
      <c r="F324" s="12" t="s">
        <v>2446</v>
      </c>
      <c r="G324" t="s">
        <v>2447</v>
      </c>
      <c r="H324" t="s">
        <v>2448</v>
      </c>
      <c r="I324" t="s">
        <v>2449</v>
      </c>
      <c r="J324" t="s">
        <v>2449</v>
      </c>
      <c r="K324" t="e">
        <f>VLOOKUP($J324,'[1]Table S6'!$A:$AI,2,FALSE)</f>
        <v>#N/A</v>
      </c>
      <c r="L324" t="e">
        <f>VLOOKUP($J324,'[1]Table S6'!$A:$AI,3,FALSE)</f>
        <v>#N/A</v>
      </c>
      <c r="M324" t="e">
        <f>VLOOKUP($J324,'[1]Table S6'!$A:$AI,4,FALSE)</f>
        <v>#N/A</v>
      </c>
      <c r="N324" t="e">
        <f>VLOOKUP($J324,'[1]Table S6'!$A:$AI,5,FALSE)</f>
        <v>#N/A</v>
      </c>
      <c r="P324" t="e">
        <f>VLOOKUP($J324,'[1]Table S6'!$A:$AI,7,FALSE)</f>
        <v>#N/A</v>
      </c>
      <c r="Q324" t="e">
        <f>VLOOKUP($J324,'[1]Table S6'!$A:$AI,8,FALSE)</f>
        <v>#N/A</v>
      </c>
      <c r="R324" t="e">
        <f>VLOOKUP($J324,'[1]Table S6'!$A:$AI,9,FALSE)</f>
        <v>#N/A</v>
      </c>
      <c r="S324" t="e">
        <f>VLOOKUP($J324,'[1]Table S6'!$A:$AI,10,FALSE)</f>
        <v>#N/A</v>
      </c>
      <c r="U324" t="e">
        <f>VLOOKUP($J324,'[1]Table S6'!$A:$AI,12,FALSE)</f>
        <v>#N/A</v>
      </c>
      <c r="V324" t="e">
        <f>VLOOKUP($J324,'[1]Table S6'!$A:$AI,13,FALSE)</f>
        <v>#N/A</v>
      </c>
      <c r="W324" t="e">
        <f>VLOOKUP($J324,'[1]Table S6'!$A:$AI,14,FALSE)</f>
        <v>#N/A</v>
      </c>
      <c r="X324" t="e">
        <f>VLOOKUP($J324,'[1]Table S6'!$A:$AI,15,FALSE)</f>
        <v>#N/A</v>
      </c>
      <c r="Z324" t="e">
        <f>VLOOKUP($J324,'[1]Table S6'!$A:$AI,17,FALSE)</f>
        <v>#N/A</v>
      </c>
      <c r="AA324" t="e">
        <f>VLOOKUP($J324,'[1]Table S6'!$A:$AI,18,FALSE)</f>
        <v>#N/A</v>
      </c>
      <c r="AB324" t="e">
        <f>VLOOKUP($J324,'[1]Table S6'!$A:$AI,19,FALSE)</f>
        <v>#N/A</v>
      </c>
      <c r="AC324" t="e">
        <f>VLOOKUP($J324,'[1]Table S6'!$A:$AI,20,FALSE)</f>
        <v>#N/A</v>
      </c>
      <c r="AE324" t="e">
        <f>VLOOKUP($J324,'[1]Table S6'!$A:$AI,22,FALSE)</f>
        <v>#N/A</v>
      </c>
      <c r="AF324" t="e">
        <f>VLOOKUP($J324,'[1]Table S6'!$A:$AI,23,FALSE)</f>
        <v>#N/A</v>
      </c>
      <c r="AG324" t="e">
        <f>VLOOKUP($J324,'[1]Table S6'!$A:$AI,24,FALSE)</f>
        <v>#N/A</v>
      </c>
      <c r="AH324" t="e">
        <f>VLOOKUP($J324,'[1]Table S6'!$A:$AI,25,FALSE)</f>
        <v>#N/A</v>
      </c>
      <c r="AJ324" t="e">
        <f>VLOOKUP($J324,'[1]Table S6'!$A:$AI,27,FALSE)</f>
        <v>#N/A</v>
      </c>
      <c r="AK324" t="e">
        <f>VLOOKUP($J324,'[1]Table S6'!$A:$AI,28,FALSE)</f>
        <v>#N/A</v>
      </c>
      <c r="AL324" t="e">
        <f>VLOOKUP($J324,'[1]Table S6'!$A:$AI,29,FALSE)</f>
        <v>#N/A</v>
      </c>
      <c r="AM324" t="e">
        <f>VLOOKUP($J324,'[1]Table S6'!$A:$AI,30,FALSE)</f>
        <v>#N/A</v>
      </c>
      <c r="AO324" t="e">
        <f>VLOOKUP($J324,'[1]Table S6'!$A:$AI,32,FALSE)</f>
        <v>#N/A</v>
      </c>
      <c r="AP324" t="e">
        <f>VLOOKUP($J324,'[1]Table S6'!$A:$AI,33,FALSE)</f>
        <v>#N/A</v>
      </c>
      <c r="AQ324" t="e">
        <f>VLOOKUP($J324,'[1]Table S6'!$A:$AI,34,FALSE)</f>
        <v>#N/A</v>
      </c>
      <c r="AR324" t="e">
        <f>VLOOKUP($J324,'[1]Table S6'!$A:$AI,35,FALSE)</f>
        <v>#N/A</v>
      </c>
      <c r="AT324" t="e">
        <f>VLOOKUP($I324,'[2]Table S5'!$A:$K,8,FALSE)</f>
        <v>#N/A</v>
      </c>
      <c r="AU324" t="e">
        <f>VLOOKUP($I324,'[2]Table S5'!$A:$K,9,FALSE)</f>
        <v>#N/A</v>
      </c>
      <c r="AV324" t="e">
        <f>VLOOKUP($I324,'[2]Table S5'!$A:$K,10,FALSE)</f>
        <v>#N/A</v>
      </c>
      <c r="AW324" t="e">
        <f>VLOOKUP($I324,'[2]Table S5'!$A:$K,11,FALSE)</f>
        <v>#N/A</v>
      </c>
    </row>
    <row r="325" spans="1:49">
      <c r="A325" s="12" t="s">
        <v>2450</v>
      </c>
      <c r="B325" t="s">
        <v>2451</v>
      </c>
      <c r="C325" t="s">
        <v>2452</v>
      </c>
      <c r="D325" t="s">
        <v>17</v>
      </c>
      <c r="E325" t="s">
        <v>2453</v>
      </c>
      <c r="F325" s="12" t="s">
        <v>2454</v>
      </c>
      <c r="G325" t="s">
        <v>2455</v>
      </c>
      <c r="H325" t="s">
        <v>2456</v>
      </c>
      <c r="I325" t="s">
        <v>2449</v>
      </c>
      <c r="J325" t="s">
        <v>2449</v>
      </c>
      <c r="K325" t="e">
        <f>VLOOKUP($J325,'[1]Table S6'!$A:$AI,2,FALSE)</f>
        <v>#N/A</v>
      </c>
      <c r="L325" t="e">
        <f>VLOOKUP($J325,'[1]Table S6'!$A:$AI,3,FALSE)</f>
        <v>#N/A</v>
      </c>
      <c r="M325" t="e">
        <f>VLOOKUP($J325,'[1]Table S6'!$A:$AI,4,FALSE)</f>
        <v>#N/A</v>
      </c>
      <c r="N325" t="e">
        <f>VLOOKUP($J325,'[1]Table S6'!$A:$AI,5,FALSE)</f>
        <v>#N/A</v>
      </c>
      <c r="P325" t="e">
        <f>VLOOKUP($J325,'[1]Table S6'!$A:$AI,7,FALSE)</f>
        <v>#N/A</v>
      </c>
      <c r="Q325" t="e">
        <f>VLOOKUP($J325,'[1]Table S6'!$A:$AI,8,FALSE)</f>
        <v>#N/A</v>
      </c>
      <c r="R325" t="e">
        <f>VLOOKUP($J325,'[1]Table S6'!$A:$AI,9,FALSE)</f>
        <v>#N/A</v>
      </c>
      <c r="S325" t="e">
        <f>VLOOKUP($J325,'[1]Table S6'!$A:$AI,10,FALSE)</f>
        <v>#N/A</v>
      </c>
      <c r="U325" t="e">
        <f>VLOOKUP($J325,'[1]Table S6'!$A:$AI,12,FALSE)</f>
        <v>#N/A</v>
      </c>
      <c r="V325" t="e">
        <f>VLOOKUP($J325,'[1]Table S6'!$A:$AI,13,FALSE)</f>
        <v>#N/A</v>
      </c>
      <c r="W325" t="e">
        <f>VLOOKUP($J325,'[1]Table S6'!$A:$AI,14,FALSE)</f>
        <v>#N/A</v>
      </c>
      <c r="X325" t="e">
        <f>VLOOKUP($J325,'[1]Table S6'!$A:$AI,15,FALSE)</f>
        <v>#N/A</v>
      </c>
      <c r="Z325" t="e">
        <f>VLOOKUP($J325,'[1]Table S6'!$A:$AI,17,FALSE)</f>
        <v>#N/A</v>
      </c>
      <c r="AA325" t="e">
        <f>VLOOKUP($J325,'[1]Table S6'!$A:$AI,18,FALSE)</f>
        <v>#N/A</v>
      </c>
      <c r="AB325" t="e">
        <f>VLOOKUP($J325,'[1]Table S6'!$A:$AI,19,FALSE)</f>
        <v>#N/A</v>
      </c>
      <c r="AC325" t="e">
        <f>VLOOKUP($J325,'[1]Table S6'!$A:$AI,20,FALSE)</f>
        <v>#N/A</v>
      </c>
      <c r="AE325" t="e">
        <f>VLOOKUP($J325,'[1]Table S6'!$A:$AI,22,FALSE)</f>
        <v>#N/A</v>
      </c>
      <c r="AF325" t="e">
        <f>VLOOKUP($J325,'[1]Table S6'!$A:$AI,23,FALSE)</f>
        <v>#N/A</v>
      </c>
      <c r="AG325" t="e">
        <f>VLOOKUP($J325,'[1]Table S6'!$A:$AI,24,FALSE)</f>
        <v>#N/A</v>
      </c>
      <c r="AH325" t="e">
        <f>VLOOKUP($J325,'[1]Table S6'!$A:$AI,25,FALSE)</f>
        <v>#N/A</v>
      </c>
      <c r="AJ325" t="e">
        <f>VLOOKUP($J325,'[1]Table S6'!$A:$AI,27,FALSE)</f>
        <v>#N/A</v>
      </c>
      <c r="AK325" t="e">
        <f>VLOOKUP($J325,'[1]Table S6'!$A:$AI,28,FALSE)</f>
        <v>#N/A</v>
      </c>
      <c r="AL325" t="e">
        <f>VLOOKUP($J325,'[1]Table S6'!$A:$AI,29,FALSE)</f>
        <v>#N/A</v>
      </c>
      <c r="AM325" t="e">
        <f>VLOOKUP($J325,'[1]Table S6'!$A:$AI,30,FALSE)</f>
        <v>#N/A</v>
      </c>
      <c r="AO325" t="e">
        <f>VLOOKUP($J325,'[1]Table S6'!$A:$AI,32,FALSE)</f>
        <v>#N/A</v>
      </c>
      <c r="AP325" t="e">
        <f>VLOOKUP($J325,'[1]Table S6'!$A:$AI,33,FALSE)</f>
        <v>#N/A</v>
      </c>
      <c r="AQ325" t="e">
        <f>VLOOKUP($J325,'[1]Table S6'!$A:$AI,34,FALSE)</f>
        <v>#N/A</v>
      </c>
      <c r="AR325" t="e">
        <f>VLOOKUP($J325,'[1]Table S6'!$A:$AI,35,FALSE)</f>
        <v>#N/A</v>
      </c>
      <c r="AT325" t="e">
        <f>VLOOKUP($I325,'[2]Table S5'!$A:$K,8,FALSE)</f>
        <v>#N/A</v>
      </c>
      <c r="AU325" t="e">
        <f>VLOOKUP($I325,'[2]Table S5'!$A:$K,9,FALSE)</f>
        <v>#N/A</v>
      </c>
      <c r="AV325" t="e">
        <f>VLOOKUP($I325,'[2]Table S5'!$A:$K,10,FALSE)</f>
        <v>#N/A</v>
      </c>
      <c r="AW325" t="e">
        <f>VLOOKUP($I325,'[2]Table S5'!$A:$K,11,FALSE)</f>
        <v>#N/A</v>
      </c>
    </row>
    <row r="326" spans="1:49">
      <c r="A326" s="12" t="s">
        <v>2457</v>
      </c>
      <c r="B326" t="s">
        <v>2458</v>
      </c>
      <c r="C326" t="s">
        <v>2459</v>
      </c>
      <c r="D326" t="s">
        <v>17</v>
      </c>
      <c r="E326" t="s">
        <v>2460</v>
      </c>
      <c r="F326" s="12" t="s">
        <v>2461</v>
      </c>
      <c r="G326" t="s">
        <v>2462</v>
      </c>
      <c r="H326" t="s">
        <v>2463</v>
      </c>
      <c r="I326" t="s">
        <v>2464</v>
      </c>
      <c r="J326" t="s">
        <v>2464</v>
      </c>
      <c r="K326" t="e">
        <f>VLOOKUP($J326,'[1]Table S6'!$A:$AI,2,FALSE)</f>
        <v>#N/A</v>
      </c>
      <c r="L326" t="e">
        <f>VLOOKUP($J326,'[1]Table S6'!$A:$AI,3,FALSE)</f>
        <v>#N/A</v>
      </c>
      <c r="M326" t="e">
        <f>VLOOKUP($J326,'[1]Table S6'!$A:$AI,4,FALSE)</f>
        <v>#N/A</v>
      </c>
      <c r="N326" t="e">
        <f>VLOOKUP($J326,'[1]Table S6'!$A:$AI,5,FALSE)</f>
        <v>#N/A</v>
      </c>
      <c r="P326" t="e">
        <f>VLOOKUP($J326,'[1]Table S6'!$A:$AI,7,FALSE)</f>
        <v>#N/A</v>
      </c>
      <c r="Q326" t="e">
        <f>VLOOKUP($J326,'[1]Table S6'!$A:$AI,8,FALSE)</f>
        <v>#N/A</v>
      </c>
      <c r="R326" t="e">
        <f>VLOOKUP($J326,'[1]Table S6'!$A:$AI,9,FALSE)</f>
        <v>#N/A</v>
      </c>
      <c r="S326" t="e">
        <f>VLOOKUP($J326,'[1]Table S6'!$A:$AI,10,FALSE)</f>
        <v>#N/A</v>
      </c>
      <c r="U326" t="e">
        <f>VLOOKUP($J326,'[1]Table S6'!$A:$AI,12,FALSE)</f>
        <v>#N/A</v>
      </c>
      <c r="V326" t="e">
        <f>VLOOKUP($J326,'[1]Table S6'!$A:$AI,13,FALSE)</f>
        <v>#N/A</v>
      </c>
      <c r="W326" t="e">
        <f>VLOOKUP($J326,'[1]Table S6'!$A:$AI,14,FALSE)</f>
        <v>#N/A</v>
      </c>
      <c r="X326" t="e">
        <f>VLOOKUP($J326,'[1]Table S6'!$A:$AI,15,FALSE)</f>
        <v>#N/A</v>
      </c>
      <c r="Z326" t="e">
        <f>VLOOKUP($J326,'[1]Table S6'!$A:$AI,17,FALSE)</f>
        <v>#N/A</v>
      </c>
      <c r="AA326" t="e">
        <f>VLOOKUP($J326,'[1]Table S6'!$A:$AI,18,FALSE)</f>
        <v>#N/A</v>
      </c>
      <c r="AB326" t="e">
        <f>VLOOKUP($J326,'[1]Table S6'!$A:$AI,19,FALSE)</f>
        <v>#N/A</v>
      </c>
      <c r="AC326" t="e">
        <f>VLOOKUP($J326,'[1]Table S6'!$A:$AI,20,FALSE)</f>
        <v>#N/A</v>
      </c>
      <c r="AE326" t="e">
        <f>VLOOKUP($J326,'[1]Table S6'!$A:$AI,22,FALSE)</f>
        <v>#N/A</v>
      </c>
      <c r="AF326" t="e">
        <f>VLOOKUP($J326,'[1]Table S6'!$A:$AI,23,FALSE)</f>
        <v>#N/A</v>
      </c>
      <c r="AG326" t="e">
        <f>VLOOKUP($J326,'[1]Table S6'!$A:$AI,24,FALSE)</f>
        <v>#N/A</v>
      </c>
      <c r="AH326" t="e">
        <f>VLOOKUP($J326,'[1]Table S6'!$A:$AI,25,FALSE)</f>
        <v>#N/A</v>
      </c>
      <c r="AJ326" t="e">
        <f>VLOOKUP($J326,'[1]Table S6'!$A:$AI,27,FALSE)</f>
        <v>#N/A</v>
      </c>
      <c r="AK326" t="e">
        <f>VLOOKUP($J326,'[1]Table S6'!$A:$AI,28,FALSE)</f>
        <v>#N/A</v>
      </c>
      <c r="AL326" t="e">
        <f>VLOOKUP($J326,'[1]Table S6'!$A:$AI,29,FALSE)</f>
        <v>#N/A</v>
      </c>
      <c r="AM326" t="e">
        <f>VLOOKUP($J326,'[1]Table S6'!$A:$AI,30,FALSE)</f>
        <v>#N/A</v>
      </c>
      <c r="AO326" t="e">
        <f>VLOOKUP($J326,'[1]Table S6'!$A:$AI,32,FALSE)</f>
        <v>#N/A</v>
      </c>
      <c r="AP326" t="e">
        <f>VLOOKUP($J326,'[1]Table S6'!$A:$AI,33,FALSE)</f>
        <v>#N/A</v>
      </c>
      <c r="AQ326" t="e">
        <f>VLOOKUP($J326,'[1]Table S6'!$A:$AI,34,FALSE)</f>
        <v>#N/A</v>
      </c>
      <c r="AR326" t="e">
        <f>VLOOKUP($J326,'[1]Table S6'!$A:$AI,35,FALSE)</f>
        <v>#N/A</v>
      </c>
      <c r="AT326" t="e">
        <f>VLOOKUP($I326,'[2]Table S5'!$A:$K,8,FALSE)</f>
        <v>#N/A</v>
      </c>
      <c r="AU326" t="e">
        <f>VLOOKUP($I326,'[2]Table S5'!$A:$K,9,FALSE)</f>
        <v>#N/A</v>
      </c>
      <c r="AV326" t="e">
        <f>VLOOKUP($I326,'[2]Table S5'!$A:$K,10,FALSE)</f>
        <v>#N/A</v>
      </c>
      <c r="AW326" t="e">
        <f>VLOOKUP($I326,'[2]Table S5'!$A:$K,11,FALSE)</f>
        <v>#N/A</v>
      </c>
    </row>
    <row r="327" spans="1:49">
      <c r="A327" s="12" t="s">
        <v>2465</v>
      </c>
      <c r="B327" t="s">
        <v>2466</v>
      </c>
      <c r="C327" t="s">
        <v>2467</v>
      </c>
      <c r="D327" t="s">
        <v>17</v>
      </c>
      <c r="E327" t="s">
        <v>2468</v>
      </c>
      <c r="F327" s="12" t="s">
        <v>2469</v>
      </c>
      <c r="G327" t="s">
        <v>2470</v>
      </c>
      <c r="H327" t="s">
        <v>2471</v>
      </c>
      <c r="I327" t="s">
        <v>2472</v>
      </c>
      <c r="J327" t="s">
        <v>2472</v>
      </c>
      <c r="K327" t="e">
        <f>VLOOKUP($J327,'[1]Table S6'!$A:$AI,2,FALSE)</f>
        <v>#N/A</v>
      </c>
      <c r="L327" t="e">
        <f>VLOOKUP($J327,'[1]Table S6'!$A:$AI,3,FALSE)</f>
        <v>#N/A</v>
      </c>
      <c r="M327" t="e">
        <f>VLOOKUP($J327,'[1]Table S6'!$A:$AI,4,FALSE)</f>
        <v>#N/A</v>
      </c>
      <c r="N327" t="e">
        <f>VLOOKUP($J327,'[1]Table S6'!$A:$AI,5,FALSE)</f>
        <v>#N/A</v>
      </c>
      <c r="P327" t="e">
        <f>VLOOKUP($J327,'[1]Table S6'!$A:$AI,7,FALSE)</f>
        <v>#N/A</v>
      </c>
      <c r="Q327" t="e">
        <f>VLOOKUP($J327,'[1]Table S6'!$A:$AI,8,FALSE)</f>
        <v>#N/A</v>
      </c>
      <c r="R327" t="e">
        <f>VLOOKUP($J327,'[1]Table S6'!$A:$AI,9,FALSE)</f>
        <v>#N/A</v>
      </c>
      <c r="S327" t="e">
        <f>VLOOKUP($J327,'[1]Table S6'!$A:$AI,10,FALSE)</f>
        <v>#N/A</v>
      </c>
      <c r="U327" t="e">
        <f>VLOOKUP($J327,'[1]Table S6'!$A:$AI,12,FALSE)</f>
        <v>#N/A</v>
      </c>
      <c r="V327" t="e">
        <f>VLOOKUP($J327,'[1]Table S6'!$A:$AI,13,FALSE)</f>
        <v>#N/A</v>
      </c>
      <c r="W327" t="e">
        <f>VLOOKUP($J327,'[1]Table S6'!$A:$AI,14,FALSE)</f>
        <v>#N/A</v>
      </c>
      <c r="X327" t="e">
        <f>VLOOKUP($J327,'[1]Table S6'!$A:$AI,15,FALSE)</f>
        <v>#N/A</v>
      </c>
      <c r="Z327" t="e">
        <f>VLOOKUP($J327,'[1]Table S6'!$A:$AI,17,FALSE)</f>
        <v>#N/A</v>
      </c>
      <c r="AA327" t="e">
        <f>VLOOKUP($J327,'[1]Table S6'!$A:$AI,18,FALSE)</f>
        <v>#N/A</v>
      </c>
      <c r="AB327" t="e">
        <f>VLOOKUP($J327,'[1]Table S6'!$A:$AI,19,FALSE)</f>
        <v>#N/A</v>
      </c>
      <c r="AC327" t="e">
        <f>VLOOKUP($J327,'[1]Table S6'!$A:$AI,20,FALSE)</f>
        <v>#N/A</v>
      </c>
      <c r="AE327" t="e">
        <f>VLOOKUP($J327,'[1]Table S6'!$A:$AI,22,FALSE)</f>
        <v>#N/A</v>
      </c>
      <c r="AF327" t="e">
        <f>VLOOKUP($J327,'[1]Table S6'!$A:$AI,23,FALSE)</f>
        <v>#N/A</v>
      </c>
      <c r="AG327" t="e">
        <f>VLOOKUP($J327,'[1]Table S6'!$A:$AI,24,FALSE)</f>
        <v>#N/A</v>
      </c>
      <c r="AH327" t="e">
        <f>VLOOKUP($J327,'[1]Table S6'!$A:$AI,25,FALSE)</f>
        <v>#N/A</v>
      </c>
      <c r="AJ327" t="e">
        <f>VLOOKUP($J327,'[1]Table S6'!$A:$AI,27,FALSE)</f>
        <v>#N/A</v>
      </c>
      <c r="AK327" t="e">
        <f>VLOOKUP($J327,'[1]Table S6'!$A:$AI,28,FALSE)</f>
        <v>#N/A</v>
      </c>
      <c r="AL327" t="e">
        <f>VLOOKUP($J327,'[1]Table S6'!$A:$AI,29,FALSE)</f>
        <v>#N/A</v>
      </c>
      <c r="AM327" t="e">
        <f>VLOOKUP($J327,'[1]Table S6'!$A:$AI,30,FALSE)</f>
        <v>#N/A</v>
      </c>
      <c r="AO327" t="e">
        <f>VLOOKUP($J327,'[1]Table S6'!$A:$AI,32,FALSE)</f>
        <v>#N/A</v>
      </c>
      <c r="AP327" t="e">
        <f>VLOOKUP($J327,'[1]Table S6'!$A:$AI,33,FALSE)</f>
        <v>#N/A</v>
      </c>
      <c r="AQ327" t="e">
        <f>VLOOKUP($J327,'[1]Table S6'!$A:$AI,34,FALSE)</f>
        <v>#N/A</v>
      </c>
      <c r="AR327" t="e">
        <f>VLOOKUP($J327,'[1]Table S6'!$A:$AI,35,FALSE)</f>
        <v>#N/A</v>
      </c>
      <c r="AT327" t="e">
        <f>VLOOKUP($I327,'[2]Table S5'!$A:$K,8,FALSE)</f>
        <v>#N/A</v>
      </c>
      <c r="AU327" t="e">
        <f>VLOOKUP($I327,'[2]Table S5'!$A:$K,9,FALSE)</f>
        <v>#N/A</v>
      </c>
      <c r="AV327" t="e">
        <f>VLOOKUP($I327,'[2]Table S5'!$A:$K,10,FALSE)</f>
        <v>#N/A</v>
      </c>
      <c r="AW327" t="e">
        <f>VLOOKUP($I327,'[2]Table S5'!$A:$K,11,FALSE)</f>
        <v>#N/A</v>
      </c>
    </row>
    <row r="328" spans="1:49">
      <c r="A328" s="12" t="s">
        <v>2473</v>
      </c>
      <c r="B328" t="s">
        <v>2474</v>
      </c>
      <c r="C328" t="s">
        <v>2475</v>
      </c>
      <c r="D328" t="s">
        <v>17</v>
      </c>
      <c r="E328" t="s">
        <v>2476</v>
      </c>
      <c r="F328" s="12" t="s">
        <v>2477</v>
      </c>
      <c r="G328" t="s">
        <v>2478</v>
      </c>
      <c r="H328" t="s">
        <v>2479</v>
      </c>
      <c r="I328" t="s">
        <v>2480</v>
      </c>
      <c r="J328" t="s">
        <v>2480</v>
      </c>
      <c r="K328" t="e">
        <f>VLOOKUP($J328,'[1]Table S6'!$A:$AI,2,FALSE)</f>
        <v>#N/A</v>
      </c>
      <c r="L328" t="e">
        <f>VLOOKUP($J328,'[1]Table S6'!$A:$AI,3,FALSE)</f>
        <v>#N/A</v>
      </c>
      <c r="M328" t="e">
        <f>VLOOKUP($J328,'[1]Table S6'!$A:$AI,4,FALSE)</f>
        <v>#N/A</v>
      </c>
      <c r="N328" t="e">
        <f>VLOOKUP($J328,'[1]Table S6'!$A:$AI,5,FALSE)</f>
        <v>#N/A</v>
      </c>
      <c r="P328" t="e">
        <f>VLOOKUP($J328,'[1]Table S6'!$A:$AI,7,FALSE)</f>
        <v>#N/A</v>
      </c>
      <c r="Q328" t="e">
        <f>VLOOKUP($J328,'[1]Table S6'!$A:$AI,8,FALSE)</f>
        <v>#N/A</v>
      </c>
      <c r="R328" t="e">
        <f>VLOOKUP($J328,'[1]Table S6'!$A:$AI,9,FALSE)</f>
        <v>#N/A</v>
      </c>
      <c r="S328" t="e">
        <f>VLOOKUP($J328,'[1]Table S6'!$A:$AI,10,FALSE)</f>
        <v>#N/A</v>
      </c>
      <c r="U328" t="e">
        <f>VLOOKUP($J328,'[1]Table S6'!$A:$AI,12,FALSE)</f>
        <v>#N/A</v>
      </c>
      <c r="V328" t="e">
        <f>VLOOKUP($J328,'[1]Table S6'!$A:$AI,13,FALSE)</f>
        <v>#N/A</v>
      </c>
      <c r="W328" t="e">
        <f>VLOOKUP($J328,'[1]Table S6'!$A:$AI,14,FALSE)</f>
        <v>#N/A</v>
      </c>
      <c r="X328" t="e">
        <f>VLOOKUP($J328,'[1]Table S6'!$A:$AI,15,FALSE)</f>
        <v>#N/A</v>
      </c>
      <c r="Z328" t="e">
        <f>VLOOKUP($J328,'[1]Table S6'!$A:$AI,17,FALSE)</f>
        <v>#N/A</v>
      </c>
      <c r="AA328" t="e">
        <f>VLOOKUP($J328,'[1]Table S6'!$A:$AI,18,FALSE)</f>
        <v>#N/A</v>
      </c>
      <c r="AB328" t="e">
        <f>VLOOKUP($J328,'[1]Table S6'!$A:$AI,19,FALSE)</f>
        <v>#N/A</v>
      </c>
      <c r="AC328" t="e">
        <f>VLOOKUP($J328,'[1]Table S6'!$A:$AI,20,FALSE)</f>
        <v>#N/A</v>
      </c>
      <c r="AE328" t="e">
        <f>VLOOKUP($J328,'[1]Table S6'!$A:$AI,22,FALSE)</f>
        <v>#N/A</v>
      </c>
      <c r="AF328" t="e">
        <f>VLOOKUP($J328,'[1]Table S6'!$A:$AI,23,FALSE)</f>
        <v>#N/A</v>
      </c>
      <c r="AG328" t="e">
        <f>VLOOKUP($J328,'[1]Table S6'!$A:$AI,24,FALSE)</f>
        <v>#N/A</v>
      </c>
      <c r="AH328" t="e">
        <f>VLOOKUP($J328,'[1]Table S6'!$A:$AI,25,FALSE)</f>
        <v>#N/A</v>
      </c>
      <c r="AJ328" t="e">
        <f>VLOOKUP($J328,'[1]Table S6'!$A:$AI,27,FALSE)</f>
        <v>#N/A</v>
      </c>
      <c r="AK328" t="e">
        <f>VLOOKUP($J328,'[1]Table S6'!$A:$AI,28,FALSE)</f>
        <v>#N/A</v>
      </c>
      <c r="AL328" t="e">
        <f>VLOOKUP($J328,'[1]Table S6'!$A:$AI,29,FALSE)</f>
        <v>#N/A</v>
      </c>
      <c r="AM328" t="e">
        <f>VLOOKUP($J328,'[1]Table S6'!$A:$AI,30,FALSE)</f>
        <v>#N/A</v>
      </c>
      <c r="AO328" t="e">
        <f>VLOOKUP($J328,'[1]Table S6'!$A:$AI,32,FALSE)</f>
        <v>#N/A</v>
      </c>
      <c r="AP328" t="e">
        <f>VLOOKUP($J328,'[1]Table S6'!$A:$AI,33,FALSE)</f>
        <v>#N/A</v>
      </c>
      <c r="AQ328" t="e">
        <f>VLOOKUP($J328,'[1]Table S6'!$A:$AI,34,FALSE)</f>
        <v>#N/A</v>
      </c>
      <c r="AR328" t="e">
        <f>VLOOKUP($J328,'[1]Table S6'!$A:$AI,35,FALSE)</f>
        <v>#N/A</v>
      </c>
      <c r="AT328" t="e">
        <f>VLOOKUP($I328,'[2]Table S5'!$A:$K,8,FALSE)</f>
        <v>#N/A</v>
      </c>
      <c r="AU328" t="e">
        <f>VLOOKUP($I328,'[2]Table S5'!$A:$K,9,FALSE)</f>
        <v>#N/A</v>
      </c>
      <c r="AV328" t="e">
        <f>VLOOKUP($I328,'[2]Table S5'!$A:$K,10,FALSE)</f>
        <v>#N/A</v>
      </c>
      <c r="AW328" t="e">
        <f>VLOOKUP($I328,'[2]Table S5'!$A:$K,11,FALSE)</f>
        <v>#N/A</v>
      </c>
    </row>
    <row r="329" spans="1:49">
      <c r="A329" s="12" t="s">
        <v>2481</v>
      </c>
      <c r="B329" t="s">
        <v>2482</v>
      </c>
      <c r="C329" t="s">
        <v>2483</v>
      </c>
      <c r="D329" t="s">
        <v>17</v>
      </c>
      <c r="E329" t="s">
        <v>2484</v>
      </c>
      <c r="F329" s="12" t="s">
        <v>2485</v>
      </c>
      <c r="G329" t="s">
        <v>2486</v>
      </c>
      <c r="H329" t="s">
        <v>2487</v>
      </c>
      <c r="I329" t="s">
        <v>2488</v>
      </c>
      <c r="J329" t="s">
        <v>2488</v>
      </c>
      <c r="K329" t="e">
        <f>VLOOKUP($J329,'[1]Table S6'!$A:$AI,2,FALSE)</f>
        <v>#N/A</v>
      </c>
      <c r="L329" t="e">
        <f>VLOOKUP($J329,'[1]Table S6'!$A:$AI,3,FALSE)</f>
        <v>#N/A</v>
      </c>
      <c r="M329" t="e">
        <f>VLOOKUP($J329,'[1]Table S6'!$A:$AI,4,FALSE)</f>
        <v>#N/A</v>
      </c>
      <c r="N329" t="e">
        <f>VLOOKUP($J329,'[1]Table S6'!$A:$AI,5,FALSE)</f>
        <v>#N/A</v>
      </c>
      <c r="P329" t="e">
        <f>VLOOKUP($J329,'[1]Table S6'!$A:$AI,7,FALSE)</f>
        <v>#N/A</v>
      </c>
      <c r="Q329" t="e">
        <f>VLOOKUP($J329,'[1]Table S6'!$A:$AI,8,FALSE)</f>
        <v>#N/A</v>
      </c>
      <c r="R329" t="e">
        <f>VLOOKUP($J329,'[1]Table S6'!$A:$AI,9,FALSE)</f>
        <v>#N/A</v>
      </c>
      <c r="S329" t="e">
        <f>VLOOKUP($J329,'[1]Table S6'!$A:$AI,10,FALSE)</f>
        <v>#N/A</v>
      </c>
      <c r="U329" t="e">
        <f>VLOOKUP($J329,'[1]Table S6'!$A:$AI,12,FALSE)</f>
        <v>#N/A</v>
      </c>
      <c r="V329" t="e">
        <f>VLOOKUP($J329,'[1]Table S6'!$A:$AI,13,FALSE)</f>
        <v>#N/A</v>
      </c>
      <c r="W329" t="e">
        <f>VLOOKUP($J329,'[1]Table S6'!$A:$AI,14,FALSE)</f>
        <v>#N/A</v>
      </c>
      <c r="X329" t="e">
        <f>VLOOKUP($J329,'[1]Table S6'!$A:$AI,15,FALSE)</f>
        <v>#N/A</v>
      </c>
      <c r="Z329" t="e">
        <f>VLOOKUP($J329,'[1]Table S6'!$A:$AI,17,FALSE)</f>
        <v>#N/A</v>
      </c>
      <c r="AA329" t="e">
        <f>VLOOKUP($J329,'[1]Table S6'!$A:$AI,18,FALSE)</f>
        <v>#N/A</v>
      </c>
      <c r="AB329" t="e">
        <f>VLOOKUP($J329,'[1]Table S6'!$A:$AI,19,FALSE)</f>
        <v>#N/A</v>
      </c>
      <c r="AC329" t="e">
        <f>VLOOKUP($J329,'[1]Table S6'!$A:$AI,20,FALSE)</f>
        <v>#N/A</v>
      </c>
      <c r="AE329" t="e">
        <f>VLOOKUP($J329,'[1]Table S6'!$A:$AI,22,FALSE)</f>
        <v>#N/A</v>
      </c>
      <c r="AF329" t="e">
        <f>VLOOKUP($J329,'[1]Table S6'!$A:$AI,23,FALSE)</f>
        <v>#N/A</v>
      </c>
      <c r="AG329" t="e">
        <f>VLOOKUP($J329,'[1]Table S6'!$A:$AI,24,FALSE)</f>
        <v>#N/A</v>
      </c>
      <c r="AH329" t="e">
        <f>VLOOKUP($J329,'[1]Table S6'!$A:$AI,25,FALSE)</f>
        <v>#N/A</v>
      </c>
      <c r="AJ329" t="e">
        <f>VLOOKUP($J329,'[1]Table S6'!$A:$AI,27,FALSE)</f>
        <v>#N/A</v>
      </c>
      <c r="AK329" t="e">
        <f>VLOOKUP($J329,'[1]Table S6'!$A:$AI,28,FALSE)</f>
        <v>#N/A</v>
      </c>
      <c r="AL329" t="e">
        <f>VLOOKUP($J329,'[1]Table S6'!$A:$AI,29,FALSE)</f>
        <v>#N/A</v>
      </c>
      <c r="AM329" t="e">
        <f>VLOOKUP($J329,'[1]Table S6'!$A:$AI,30,FALSE)</f>
        <v>#N/A</v>
      </c>
      <c r="AO329" t="e">
        <f>VLOOKUP($J329,'[1]Table S6'!$A:$AI,32,FALSE)</f>
        <v>#N/A</v>
      </c>
      <c r="AP329" t="e">
        <f>VLOOKUP($J329,'[1]Table S6'!$A:$AI,33,FALSE)</f>
        <v>#N/A</v>
      </c>
      <c r="AQ329" t="e">
        <f>VLOOKUP($J329,'[1]Table S6'!$A:$AI,34,FALSE)</f>
        <v>#N/A</v>
      </c>
      <c r="AR329" t="e">
        <f>VLOOKUP($J329,'[1]Table S6'!$A:$AI,35,FALSE)</f>
        <v>#N/A</v>
      </c>
      <c r="AT329" t="e">
        <f>VLOOKUP($I329,'[2]Table S5'!$A:$K,8,FALSE)</f>
        <v>#N/A</v>
      </c>
      <c r="AU329" t="e">
        <f>VLOOKUP($I329,'[2]Table S5'!$A:$K,9,FALSE)</f>
        <v>#N/A</v>
      </c>
      <c r="AV329" t="e">
        <f>VLOOKUP($I329,'[2]Table S5'!$A:$K,10,FALSE)</f>
        <v>#N/A</v>
      </c>
      <c r="AW329" t="e">
        <f>VLOOKUP($I329,'[2]Table S5'!$A:$K,11,FALSE)</f>
        <v>#N/A</v>
      </c>
    </row>
    <row r="330" spans="1:49">
      <c r="A330" s="12" t="s">
        <v>2489</v>
      </c>
      <c r="B330" t="s">
        <v>2490</v>
      </c>
      <c r="C330" t="s">
        <v>2491</v>
      </c>
      <c r="D330" t="s">
        <v>17</v>
      </c>
      <c r="E330" t="s">
        <v>2492</v>
      </c>
      <c r="F330" s="12" t="s">
        <v>2493</v>
      </c>
      <c r="G330" t="s">
        <v>2494</v>
      </c>
      <c r="H330" t="s">
        <v>2495</v>
      </c>
      <c r="I330" t="s">
        <v>2488</v>
      </c>
      <c r="J330" t="s">
        <v>2488</v>
      </c>
      <c r="K330" t="e">
        <f>VLOOKUP($J330,'[1]Table S6'!$A:$AI,2,FALSE)</f>
        <v>#N/A</v>
      </c>
      <c r="L330" t="e">
        <f>VLOOKUP($J330,'[1]Table S6'!$A:$AI,3,FALSE)</f>
        <v>#N/A</v>
      </c>
      <c r="M330" t="e">
        <f>VLOOKUP($J330,'[1]Table S6'!$A:$AI,4,FALSE)</f>
        <v>#N/A</v>
      </c>
      <c r="N330" t="e">
        <f>VLOOKUP($J330,'[1]Table S6'!$A:$AI,5,FALSE)</f>
        <v>#N/A</v>
      </c>
      <c r="P330" t="e">
        <f>VLOOKUP($J330,'[1]Table S6'!$A:$AI,7,FALSE)</f>
        <v>#N/A</v>
      </c>
      <c r="Q330" t="e">
        <f>VLOOKUP($J330,'[1]Table S6'!$A:$AI,8,FALSE)</f>
        <v>#N/A</v>
      </c>
      <c r="R330" t="e">
        <f>VLOOKUP($J330,'[1]Table S6'!$A:$AI,9,FALSE)</f>
        <v>#N/A</v>
      </c>
      <c r="S330" t="e">
        <f>VLOOKUP($J330,'[1]Table S6'!$A:$AI,10,FALSE)</f>
        <v>#N/A</v>
      </c>
      <c r="U330" t="e">
        <f>VLOOKUP($J330,'[1]Table S6'!$A:$AI,12,FALSE)</f>
        <v>#N/A</v>
      </c>
      <c r="V330" t="e">
        <f>VLOOKUP($J330,'[1]Table S6'!$A:$AI,13,FALSE)</f>
        <v>#N/A</v>
      </c>
      <c r="W330" t="e">
        <f>VLOOKUP($J330,'[1]Table S6'!$A:$AI,14,FALSE)</f>
        <v>#N/A</v>
      </c>
      <c r="X330" t="e">
        <f>VLOOKUP($J330,'[1]Table S6'!$A:$AI,15,FALSE)</f>
        <v>#N/A</v>
      </c>
      <c r="Z330" t="e">
        <f>VLOOKUP($J330,'[1]Table S6'!$A:$AI,17,FALSE)</f>
        <v>#N/A</v>
      </c>
      <c r="AA330" t="e">
        <f>VLOOKUP($J330,'[1]Table S6'!$A:$AI,18,FALSE)</f>
        <v>#N/A</v>
      </c>
      <c r="AB330" t="e">
        <f>VLOOKUP($J330,'[1]Table S6'!$A:$AI,19,FALSE)</f>
        <v>#N/A</v>
      </c>
      <c r="AC330" t="e">
        <f>VLOOKUP($J330,'[1]Table S6'!$A:$AI,20,FALSE)</f>
        <v>#N/A</v>
      </c>
      <c r="AE330" t="e">
        <f>VLOOKUP($J330,'[1]Table S6'!$A:$AI,22,FALSE)</f>
        <v>#N/A</v>
      </c>
      <c r="AF330" t="e">
        <f>VLOOKUP($J330,'[1]Table S6'!$A:$AI,23,FALSE)</f>
        <v>#N/A</v>
      </c>
      <c r="AG330" t="e">
        <f>VLOOKUP($J330,'[1]Table S6'!$A:$AI,24,FALSE)</f>
        <v>#N/A</v>
      </c>
      <c r="AH330" t="e">
        <f>VLOOKUP($J330,'[1]Table S6'!$A:$AI,25,FALSE)</f>
        <v>#N/A</v>
      </c>
      <c r="AJ330" t="e">
        <f>VLOOKUP($J330,'[1]Table S6'!$A:$AI,27,FALSE)</f>
        <v>#N/A</v>
      </c>
      <c r="AK330" t="e">
        <f>VLOOKUP($J330,'[1]Table S6'!$A:$AI,28,FALSE)</f>
        <v>#N/A</v>
      </c>
      <c r="AL330" t="e">
        <f>VLOOKUP($J330,'[1]Table S6'!$A:$AI,29,FALSE)</f>
        <v>#N/A</v>
      </c>
      <c r="AM330" t="e">
        <f>VLOOKUP($J330,'[1]Table S6'!$A:$AI,30,FALSE)</f>
        <v>#N/A</v>
      </c>
      <c r="AO330" t="e">
        <f>VLOOKUP($J330,'[1]Table S6'!$A:$AI,32,FALSE)</f>
        <v>#N/A</v>
      </c>
      <c r="AP330" t="e">
        <f>VLOOKUP($J330,'[1]Table S6'!$A:$AI,33,FALSE)</f>
        <v>#N/A</v>
      </c>
      <c r="AQ330" t="e">
        <f>VLOOKUP($J330,'[1]Table S6'!$A:$AI,34,FALSE)</f>
        <v>#N/A</v>
      </c>
      <c r="AR330" t="e">
        <f>VLOOKUP($J330,'[1]Table S6'!$A:$AI,35,FALSE)</f>
        <v>#N/A</v>
      </c>
      <c r="AT330" t="e">
        <f>VLOOKUP($I330,'[2]Table S5'!$A:$K,8,FALSE)</f>
        <v>#N/A</v>
      </c>
      <c r="AU330" t="e">
        <f>VLOOKUP($I330,'[2]Table S5'!$A:$K,9,FALSE)</f>
        <v>#N/A</v>
      </c>
      <c r="AV330" t="e">
        <f>VLOOKUP($I330,'[2]Table S5'!$A:$K,10,FALSE)</f>
        <v>#N/A</v>
      </c>
      <c r="AW330" t="e">
        <f>VLOOKUP($I330,'[2]Table S5'!$A:$K,11,FALSE)</f>
        <v>#N/A</v>
      </c>
    </row>
    <row r="331" spans="1:49">
      <c r="A331" s="12" t="s">
        <v>2496</v>
      </c>
      <c r="B331" t="s">
        <v>2497</v>
      </c>
      <c r="C331" t="s">
        <v>2498</v>
      </c>
      <c r="D331" t="s">
        <v>17</v>
      </c>
      <c r="E331" t="s">
        <v>2499</v>
      </c>
      <c r="F331" s="12" t="s">
        <v>2500</v>
      </c>
      <c r="G331" t="s">
        <v>2501</v>
      </c>
      <c r="H331" t="s">
        <v>2502</v>
      </c>
      <c r="I331" t="s">
        <v>2503</v>
      </c>
      <c r="J331" t="s">
        <v>2503</v>
      </c>
      <c r="K331" t="e">
        <f>VLOOKUP($J331,'[1]Table S6'!$A:$AI,2,FALSE)</f>
        <v>#N/A</v>
      </c>
      <c r="L331" t="e">
        <f>VLOOKUP($J331,'[1]Table S6'!$A:$AI,3,FALSE)</f>
        <v>#N/A</v>
      </c>
      <c r="M331" t="e">
        <f>VLOOKUP($J331,'[1]Table S6'!$A:$AI,4,FALSE)</f>
        <v>#N/A</v>
      </c>
      <c r="N331" t="e">
        <f>VLOOKUP($J331,'[1]Table S6'!$A:$AI,5,FALSE)</f>
        <v>#N/A</v>
      </c>
      <c r="P331" t="e">
        <f>VLOOKUP($J331,'[1]Table S6'!$A:$AI,7,FALSE)</f>
        <v>#N/A</v>
      </c>
      <c r="Q331" t="e">
        <f>VLOOKUP($J331,'[1]Table S6'!$A:$AI,8,FALSE)</f>
        <v>#N/A</v>
      </c>
      <c r="R331" t="e">
        <f>VLOOKUP($J331,'[1]Table S6'!$A:$AI,9,FALSE)</f>
        <v>#N/A</v>
      </c>
      <c r="S331" t="e">
        <f>VLOOKUP($J331,'[1]Table S6'!$A:$AI,10,FALSE)</f>
        <v>#N/A</v>
      </c>
      <c r="U331" t="e">
        <f>VLOOKUP($J331,'[1]Table S6'!$A:$AI,12,FALSE)</f>
        <v>#N/A</v>
      </c>
      <c r="V331" t="e">
        <f>VLOOKUP($J331,'[1]Table S6'!$A:$AI,13,FALSE)</f>
        <v>#N/A</v>
      </c>
      <c r="W331" t="e">
        <f>VLOOKUP($J331,'[1]Table S6'!$A:$AI,14,FALSE)</f>
        <v>#N/A</v>
      </c>
      <c r="X331" t="e">
        <f>VLOOKUP($J331,'[1]Table S6'!$A:$AI,15,FALSE)</f>
        <v>#N/A</v>
      </c>
      <c r="Z331" t="e">
        <f>VLOOKUP($J331,'[1]Table S6'!$A:$AI,17,FALSE)</f>
        <v>#N/A</v>
      </c>
      <c r="AA331" t="e">
        <f>VLOOKUP($J331,'[1]Table S6'!$A:$AI,18,FALSE)</f>
        <v>#N/A</v>
      </c>
      <c r="AB331" t="e">
        <f>VLOOKUP($J331,'[1]Table S6'!$A:$AI,19,FALSE)</f>
        <v>#N/A</v>
      </c>
      <c r="AC331" t="e">
        <f>VLOOKUP($J331,'[1]Table S6'!$A:$AI,20,FALSE)</f>
        <v>#N/A</v>
      </c>
      <c r="AE331" t="e">
        <f>VLOOKUP($J331,'[1]Table S6'!$A:$AI,22,FALSE)</f>
        <v>#N/A</v>
      </c>
      <c r="AF331" t="e">
        <f>VLOOKUP($J331,'[1]Table S6'!$A:$AI,23,FALSE)</f>
        <v>#N/A</v>
      </c>
      <c r="AG331" t="e">
        <f>VLOOKUP($J331,'[1]Table S6'!$A:$AI,24,FALSE)</f>
        <v>#N/A</v>
      </c>
      <c r="AH331" t="e">
        <f>VLOOKUP($J331,'[1]Table S6'!$A:$AI,25,FALSE)</f>
        <v>#N/A</v>
      </c>
      <c r="AJ331" t="e">
        <f>VLOOKUP($J331,'[1]Table S6'!$A:$AI,27,FALSE)</f>
        <v>#N/A</v>
      </c>
      <c r="AK331" t="e">
        <f>VLOOKUP($J331,'[1]Table S6'!$A:$AI,28,FALSE)</f>
        <v>#N/A</v>
      </c>
      <c r="AL331" t="e">
        <f>VLOOKUP($J331,'[1]Table S6'!$A:$AI,29,FALSE)</f>
        <v>#N/A</v>
      </c>
      <c r="AM331" t="e">
        <f>VLOOKUP($J331,'[1]Table S6'!$A:$AI,30,FALSE)</f>
        <v>#N/A</v>
      </c>
      <c r="AO331" t="e">
        <f>VLOOKUP($J331,'[1]Table S6'!$A:$AI,32,FALSE)</f>
        <v>#N/A</v>
      </c>
      <c r="AP331" t="e">
        <f>VLOOKUP($J331,'[1]Table S6'!$A:$AI,33,FALSE)</f>
        <v>#N/A</v>
      </c>
      <c r="AQ331" t="e">
        <f>VLOOKUP($J331,'[1]Table S6'!$A:$AI,34,FALSE)</f>
        <v>#N/A</v>
      </c>
      <c r="AR331" t="e">
        <f>VLOOKUP($J331,'[1]Table S6'!$A:$AI,35,FALSE)</f>
        <v>#N/A</v>
      </c>
      <c r="AT331" t="e">
        <f>VLOOKUP($I331,'[2]Table S5'!$A:$K,8,FALSE)</f>
        <v>#N/A</v>
      </c>
      <c r="AU331" t="e">
        <f>VLOOKUP($I331,'[2]Table S5'!$A:$K,9,FALSE)</f>
        <v>#N/A</v>
      </c>
      <c r="AV331" t="e">
        <f>VLOOKUP($I331,'[2]Table S5'!$A:$K,10,FALSE)</f>
        <v>#N/A</v>
      </c>
      <c r="AW331" t="e">
        <f>VLOOKUP($I331,'[2]Table S5'!$A:$K,11,FALSE)</f>
        <v>#N/A</v>
      </c>
    </row>
    <row r="332" spans="1:49">
      <c r="A332" s="12" t="s">
        <v>2504</v>
      </c>
      <c r="B332" t="s">
        <v>2505</v>
      </c>
      <c r="C332" t="s">
        <v>2506</v>
      </c>
      <c r="D332" t="s">
        <v>17</v>
      </c>
      <c r="E332" t="s">
        <v>2507</v>
      </c>
      <c r="F332" s="12" t="s">
        <v>2508</v>
      </c>
      <c r="G332" t="s">
        <v>2509</v>
      </c>
      <c r="H332" t="s">
        <v>2510</v>
      </c>
      <c r="I332" t="s">
        <v>2511</v>
      </c>
      <c r="J332" t="s">
        <v>2511</v>
      </c>
      <c r="K332" t="e">
        <f>VLOOKUP($J332,'[1]Table S6'!$A:$AI,2,FALSE)</f>
        <v>#N/A</v>
      </c>
      <c r="L332" t="e">
        <f>VLOOKUP($J332,'[1]Table S6'!$A:$AI,3,FALSE)</f>
        <v>#N/A</v>
      </c>
      <c r="M332" t="e">
        <f>VLOOKUP($J332,'[1]Table S6'!$A:$AI,4,FALSE)</f>
        <v>#N/A</v>
      </c>
      <c r="N332" t="e">
        <f>VLOOKUP($J332,'[1]Table S6'!$A:$AI,5,FALSE)</f>
        <v>#N/A</v>
      </c>
      <c r="P332" t="e">
        <f>VLOOKUP($J332,'[1]Table S6'!$A:$AI,7,FALSE)</f>
        <v>#N/A</v>
      </c>
      <c r="Q332" t="e">
        <f>VLOOKUP($J332,'[1]Table S6'!$A:$AI,8,FALSE)</f>
        <v>#N/A</v>
      </c>
      <c r="R332" t="e">
        <f>VLOOKUP($J332,'[1]Table S6'!$A:$AI,9,FALSE)</f>
        <v>#N/A</v>
      </c>
      <c r="S332" t="e">
        <f>VLOOKUP($J332,'[1]Table S6'!$A:$AI,10,FALSE)</f>
        <v>#N/A</v>
      </c>
      <c r="U332" t="e">
        <f>VLOOKUP($J332,'[1]Table S6'!$A:$AI,12,FALSE)</f>
        <v>#N/A</v>
      </c>
      <c r="V332" t="e">
        <f>VLOOKUP($J332,'[1]Table S6'!$A:$AI,13,FALSE)</f>
        <v>#N/A</v>
      </c>
      <c r="W332" t="e">
        <f>VLOOKUP($J332,'[1]Table S6'!$A:$AI,14,FALSE)</f>
        <v>#N/A</v>
      </c>
      <c r="X332" t="e">
        <f>VLOOKUP($J332,'[1]Table S6'!$A:$AI,15,FALSE)</f>
        <v>#N/A</v>
      </c>
      <c r="Z332" t="e">
        <f>VLOOKUP($J332,'[1]Table S6'!$A:$AI,17,FALSE)</f>
        <v>#N/A</v>
      </c>
      <c r="AA332" t="e">
        <f>VLOOKUP($J332,'[1]Table S6'!$A:$AI,18,FALSE)</f>
        <v>#N/A</v>
      </c>
      <c r="AB332" t="e">
        <f>VLOOKUP($J332,'[1]Table S6'!$A:$AI,19,FALSE)</f>
        <v>#N/A</v>
      </c>
      <c r="AC332" t="e">
        <f>VLOOKUP($J332,'[1]Table S6'!$A:$AI,20,FALSE)</f>
        <v>#N/A</v>
      </c>
      <c r="AE332" t="e">
        <f>VLOOKUP($J332,'[1]Table S6'!$A:$AI,22,FALSE)</f>
        <v>#N/A</v>
      </c>
      <c r="AF332" t="e">
        <f>VLOOKUP($J332,'[1]Table S6'!$A:$AI,23,FALSE)</f>
        <v>#N/A</v>
      </c>
      <c r="AG332" t="e">
        <f>VLOOKUP($J332,'[1]Table S6'!$A:$AI,24,FALSE)</f>
        <v>#N/A</v>
      </c>
      <c r="AH332" t="e">
        <f>VLOOKUP($J332,'[1]Table S6'!$A:$AI,25,FALSE)</f>
        <v>#N/A</v>
      </c>
      <c r="AJ332" t="e">
        <f>VLOOKUP($J332,'[1]Table S6'!$A:$AI,27,FALSE)</f>
        <v>#N/A</v>
      </c>
      <c r="AK332" t="e">
        <f>VLOOKUP($J332,'[1]Table S6'!$A:$AI,28,FALSE)</f>
        <v>#N/A</v>
      </c>
      <c r="AL332" t="e">
        <f>VLOOKUP($J332,'[1]Table S6'!$A:$AI,29,FALSE)</f>
        <v>#N/A</v>
      </c>
      <c r="AM332" t="e">
        <f>VLOOKUP($J332,'[1]Table S6'!$A:$AI,30,FALSE)</f>
        <v>#N/A</v>
      </c>
      <c r="AO332" t="e">
        <f>VLOOKUP($J332,'[1]Table S6'!$A:$AI,32,FALSE)</f>
        <v>#N/A</v>
      </c>
      <c r="AP332" t="e">
        <f>VLOOKUP($J332,'[1]Table S6'!$A:$AI,33,FALSE)</f>
        <v>#N/A</v>
      </c>
      <c r="AQ332" t="e">
        <f>VLOOKUP($J332,'[1]Table S6'!$A:$AI,34,FALSE)</f>
        <v>#N/A</v>
      </c>
      <c r="AR332" t="e">
        <f>VLOOKUP($J332,'[1]Table S6'!$A:$AI,35,FALSE)</f>
        <v>#N/A</v>
      </c>
      <c r="AT332" t="e">
        <f>VLOOKUP($I332,'[2]Table S5'!$A:$K,8,FALSE)</f>
        <v>#N/A</v>
      </c>
      <c r="AU332" t="e">
        <f>VLOOKUP($I332,'[2]Table S5'!$A:$K,9,FALSE)</f>
        <v>#N/A</v>
      </c>
      <c r="AV332" t="e">
        <f>VLOOKUP($I332,'[2]Table S5'!$A:$K,10,FALSE)</f>
        <v>#N/A</v>
      </c>
      <c r="AW332" t="e">
        <f>VLOOKUP($I332,'[2]Table S5'!$A:$K,11,FALSE)</f>
        <v>#N/A</v>
      </c>
    </row>
    <row r="333" spans="1:49">
      <c r="A333" s="12" t="s">
        <v>2512</v>
      </c>
      <c r="B333" t="s">
        <v>2513</v>
      </c>
      <c r="C333" t="s">
        <v>2514</v>
      </c>
      <c r="D333" t="s">
        <v>17</v>
      </c>
      <c r="E333" t="s">
        <v>2515</v>
      </c>
      <c r="F333" s="12" t="s">
        <v>2516</v>
      </c>
      <c r="G333" t="s">
        <v>2517</v>
      </c>
      <c r="H333" t="s">
        <v>2518</v>
      </c>
      <c r="I333" t="s">
        <v>2511</v>
      </c>
      <c r="J333" t="s">
        <v>2511</v>
      </c>
      <c r="K333" t="e">
        <f>VLOOKUP($J333,'[1]Table S6'!$A:$AI,2,FALSE)</f>
        <v>#N/A</v>
      </c>
      <c r="L333" t="e">
        <f>VLOOKUP($J333,'[1]Table S6'!$A:$AI,3,FALSE)</f>
        <v>#N/A</v>
      </c>
      <c r="M333" t="e">
        <f>VLOOKUP($J333,'[1]Table S6'!$A:$AI,4,FALSE)</f>
        <v>#N/A</v>
      </c>
      <c r="N333" t="e">
        <f>VLOOKUP($J333,'[1]Table S6'!$A:$AI,5,FALSE)</f>
        <v>#N/A</v>
      </c>
      <c r="P333" t="e">
        <f>VLOOKUP($J333,'[1]Table S6'!$A:$AI,7,FALSE)</f>
        <v>#N/A</v>
      </c>
      <c r="Q333" t="e">
        <f>VLOOKUP($J333,'[1]Table S6'!$A:$AI,8,FALSE)</f>
        <v>#N/A</v>
      </c>
      <c r="R333" t="e">
        <f>VLOOKUP($J333,'[1]Table S6'!$A:$AI,9,FALSE)</f>
        <v>#N/A</v>
      </c>
      <c r="S333" t="e">
        <f>VLOOKUP($J333,'[1]Table S6'!$A:$AI,10,FALSE)</f>
        <v>#N/A</v>
      </c>
      <c r="U333" t="e">
        <f>VLOOKUP($J333,'[1]Table S6'!$A:$AI,12,FALSE)</f>
        <v>#N/A</v>
      </c>
      <c r="V333" t="e">
        <f>VLOOKUP($J333,'[1]Table S6'!$A:$AI,13,FALSE)</f>
        <v>#N/A</v>
      </c>
      <c r="W333" t="e">
        <f>VLOOKUP($J333,'[1]Table S6'!$A:$AI,14,FALSE)</f>
        <v>#N/A</v>
      </c>
      <c r="X333" t="e">
        <f>VLOOKUP($J333,'[1]Table S6'!$A:$AI,15,FALSE)</f>
        <v>#N/A</v>
      </c>
      <c r="Z333" t="e">
        <f>VLOOKUP($J333,'[1]Table S6'!$A:$AI,17,FALSE)</f>
        <v>#N/A</v>
      </c>
      <c r="AA333" t="e">
        <f>VLOOKUP($J333,'[1]Table S6'!$A:$AI,18,FALSE)</f>
        <v>#N/A</v>
      </c>
      <c r="AB333" t="e">
        <f>VLOOKUP($J333,'[1]Table S6'!$A:$AI,19,FALSE)</f>
        <v>#N/A</v>
      </c>
      <c r="AC333" t="e">
        <f>VLOOKUP($J333,'[1]Table S6'!$A:$AI,20,FALSE)</f>
        <v>#N/A</v>
      </c>
      <c r="AE333" t="e">
        <f>VLOOKUP($J333,'[1]Table S6'!$A:$AI,22,FALSE)</f>
        <v>#N/A</v>
      </c>
      <c r="AF333" t="e">
        <f>VLOOKUP($J333,'[1]Table S6'!$A:$AI,23,FALSE)</f>
        <v>#N/A</v>
      </c>
      <c r="AG333" t="e">
        <f>VLOOKUP($J333,'[1]Table S6'!$A:$AI,24,FALSE)</f>
        <v>#N/A</v>
      </c>
      <c r="AH333" t="e">
        <f>VLOOKUP($J333,'[1]Table S6'!$A:$AI,25,FALSE)</f>
        <v>#N/A</v>
      </c>
      <c r="AJ333" t="e">
        <f>VLOOKUP($J333,'[1]Table S6'!$A:$AI,27,FALSE)</f>
        <v>#N/A</v>
      </c>
      <c r="AK333" t="e">
        <f>VLOOKUP($J333,'[1]Table S6'!$A:$AI,28,FALSE)</f>
        <v>#N/A</v>
      </c>
      <c r="AL333" t="e">
        <f>VLOOKUP($J333,'[1]Table S6'!$A:$AI,29,FALSE)</f>
        <v>#N/A</v>
      </c>
      <c r="AM333" t="e">
        <f>VLOOKUP($J333,'[1]Table S6'!$A:$AI,30,FALSE)</f>
        <v>#N/A</v>
      </c>
      <c r="AO333" t="e">
        <f>VLOOKUP($J333,'[1]Table S6'!$A:$AI,32,FALSE)</f>
        <v>#N/A</v>
      </c>
      <c r="AP333" t="e">
        <f>VLOOKUP($J333,'[1]Table S6'!$A:$AI,33,FALSE)</f>
        <v>#N/A</v>
      </c>
      <c r="AQ333" t="e">
        <f>VLOOKUP($J333,'[1]Table S6'!$A:$AI,34,FALSE)</f>
        <v>#N/A</v>
      </c>
      <c r="AR333" t="e">
        <f>VLOOKUP($J333,'[1]Table S6'!$A:$AI,35,FALSE)</f>
        <v>#N/A</v>
      </c>
      <c r="AT333" t="e">
        <f>VLOOKUP($I333,'[2]Table S5'!$A:$K,8,FALSE)</f>
        <v>#N/A</v>
      </c>
      <c r="AU333" t="e">
        <f>VLOOKUP($I333,'[2]Table S5'!$A:$K,9,FALSE)</f>
        <v>#N/A</v>
      </c>
      <c r="AV333" t="e">
        <f>VLOOKUP($I333,'[2]Table S5'!$A:$K,10,FALSE)</f>
        <v>#N/A</v>
      </c>
      <c r="AW333" t="e">
        <f>VLOOKUP($I333,'[2]Table S5'!$A:$K,11,FALSE)</f>
        <v>#N/A</v>
      </c>
    </row>
    <row r="334" spans="1:49">
      <c r="A334" s="12" t="s">
        <v>2519</v>
      </c>
      <c r="B334" t="s">
        <v>2520</v>
      </c>
      <c r="C334" t="s">
        <v>2521</v>
      </c>
      <c r="D334" t="s">
        <v>17</v>
      </c>
      <c r="E334" t="s">
        <v>2522</v>
      </c>
      <c r="F334" s="12" t="s">
        <v>2523</v>
      </c>
      <c r="G334" t="s">
        <v>2524</v>
      </c>
      <c r="H334" t="s">
        <v>2525</v>
      </c>
      <c r="I334" t="s">
        <v>2511</v>
      </c>
      <c r="J334" t="s">
        <v>2511</v>
      </c>
      <c r="K334" t="e">
        <f>VLOOKUP($J334,'[1]Table S6'!$A:$AI,2,FALSE)</f>
        <v>#N/A</v>
      </c>
      <c r="L334" t="e">
        <f>VLOOKUP($J334,'[1]Table S6'!$A:$AI,3,FALSE)</f>
        <v>#N/A</v>
      </c>
      <c r="M334" t="e">
        <f>VLOOKUP($J334,'[1]Table S6'!$A:$AI,4,FALSE)</f>
        <v>#N/A</v>
      </c>
      <c r="N334" t="e">
        <f>VLOOKUP($J334,'[1]Table S6'!$A:$AI,5,FALSE)</f>
        <v>#N/A</v>
      </c>
      <c r="P334" t="e">
        <f>VLOOKUP($J334,'[1]Table S6'!$A:$AI,7,FALSE)</f>
        <v>#N/A</v>
      </c>
      <c r="Q334" t="e">
        <f>VLOOKUP($J334,'[1]Table S6'!$A:$AI,8,FALSE)</f>
        <v>#N/A</v>
      </c>
      <c r="R334" t="e">
        <f>VLOOKUP($J334,'[1]Table S6'!$A:$AI,9,FALSE)</f>
        <v>#N/A</v>
      </c>
      <c r="S334" t="e">
        <f>VLOOKUP($J334,'[1]Table S6'!$A:$AI,10,FALSE)</f>
        <v>#N/A</v>
      </c>
      <c r="U334" t="e">
        <f>VLOOKUP($J334,'[1]Table S6'!$A:$AI,12,FALSE)</f>
        <v>#N/A</v>
      </c>
      <c r="V334" t="e">
        <f>VLOOKUP($J334,'[1]Table S6'!$A:$AI,13,FALSE)</f>
        <v>#N/A</v>
      </c>
      <c r="W334" t="e">
        <f>VLOOKUP($J334,'[1]Table S6'!$A:$AI,14,FALSE)</f>
        <v>#N/A</v>
      </c>
      <c r="X334" t="e">
        <f>VLOOKUP($J334,'[1]Table S6'!$A:$AI,15,FALSE)</f>
        <v>#N/A</v>
      </c>
      <c r="Z334" t="e">
        <f>VLOOKUP($J334,'[1]Table S6'!$A:$AI,17,FALSE)</f>
        <v>#N/A</v>
      </c>
      <c r="AA334" t="e">
        <f>VLOOKUP($J334,'[1]Table S6'!$A:$AI,18,FALSE)</f>
        <v>#N/A</v>
      </c>
      <c r="AB334" t="e">
        <f>VLOOKUP($J334,'[1]Table S6'!$A:$AI,19,FALSE)</f>
        <v>#N/A</v>
      </c>
      <c r="AC334" t="e">
        <f>VLOOKUP($J334,'[1]Table S6'!$A:$AI,20,FALSE)</f>
        <v>#N/A</v>
      </c>
      <c r="AE334" t="e">
        <f>VLOOKUP($J334,'[1]Table S6'!$A:$AI,22,FALSE)</f>
        <v>#N/A</v>
      </c>
      <c r="AF334" t="e">
        <f>VLOOKUP($J334,'[1]Table S6'!$A:$AI,23,FALSE)</f>
        <v>#N/A</v>
      </c>
      <c r="AG334" t="e">
        <f>VLOOKUP($J334,'[1]Table S6'!$A:$AI,24,FALSE)</f>
        <v>#N/A</v>
      </c>
      <c r="AH334" t="e">
        <f>VLOOKUP($J334,'[1]Table S6'!$A:$AI,25,FALSE)</f>
        <v>#N/A</v>
      </c>
      <c r="AJ334" t="e">
        <f>VLOOKUP($J334,'[1]Table S6'!$A:$AI,27,FALSE)</f>
        <v>#N/A</v>
      </c>
      <c r="AK334" t="e">
        <f>VLOOKUP($J334,'[1]Table S6'!$A:$AI,28,FALSE)</f>
        <v>#N/A</v>
      </c>
      <c r="AL334" t="e">
        <f>VLOOKUP($J334,'[1]Table S6'!$A:$AI,29,FALSE)</f>
        <v>#N/A</v>
      </c>
      <c r="AM334" t="e">
        <f>VLOOKUP($J334,'[1]Table S6'!$A:$AI,30,FALSE)</f>
        <v>#N/A</v>
      </c>
      <c r="AO334" t="e">
        <f>VLOOKUP($J334,'[1]Table S6'!$A:$AI,32,FALSE)</f>
        <v>#N/A</v>
      </c>
      <c r="AP334" t="e">
        <f>VLOOKUP($J334,'[1]Table S6'!$A:$AI,33,FALSE)</f>
        <v>#N/A</v>
      </c>
      <c r="AQ334" t="e">
        <f>VLOOKUP($J334,'[1]Table S6'!$A:$AI,34,FALSE)</f>
        <v>#N/A</v>
      </c>
      <c r="AR334" t="e">
        <f>VLOOKUP($J334,'[1]Table S6'!$A:$AI,35,FALSE)</f>
        <v>#N/A</v>
      </c>
      <c r="AT334" t="e">
        <f>VLOOKUP($I334,'[2]Table S5'!$A:$K,8,FALSE)</f>
        <v>#N/A</v>
      </c>
      <c r="AU334" t="e">
        <f>VLOOKUP($I334,'[2]Table S5'!$A:$K,9,FALSE)</f>
        <v>#N/A</v>
      </c>
      <c r="AV334" t="e">
        <f>VLOOKUP($I334,'[2]Table S5'!$A:$K,10,FALSE)</f>
        <v>#N/A</v>
      </c>
      <c r="AW334" t="e">
        <f>VLOOKUP($I334,'[2]Table S5'!$A:$K,11,FALSE)</f>
        <v>#N/A</v>
      </c>
    </row>
    <row r="335" spans="1:49">
      <c r="A335" s="12" t="s">
        <v>2526</v>
      </c>
      <c r="B335" t="s">
        <v>2527</v>
      </c>
      <c r="C335" t="s">
        <v>2528</v>
      </c>
      <c r="D335" t="s">
        <v>17</v>
      </c>
      <c r="E335" t="s">
        <v>2529</v>
      </c>
      <c r="F335" s="12" t="s">
        <v>2530</v>
      </c>
      <c r="G335" t="s">
        <v>2531</v>
      </c>
      <c r="H335" t="s">
        <v>2532</v>
      </c>
      <c r="I335" t="s">
        <v>2533</v>
      </c>
      <c r="J335" t="s">
        <v>2533</v>
      </c>
      <c r="K335" t="e">
        <f>VLOOKUP($J335,'[1]Table S6'!$A:$AI,2,FALSE)</f>
        <v>#N/A</v>
      </c>
      <c r="L335" t="e">
        <f>VLOOKUP($J335,'[1]Table S6'!$A:$AI,3,FALSE)</f>
        <v>#N/A</v>
      </c>
      <c r="M335" t="e">
        <f>VLOOKUP($J335,'[1]Table S6'!$A:$AI,4,FALSE)</f>
        <v>#N/A</v>
      </c>
      <c r="N335" t="e">
        <f>VLOOKUP($J335,'[1]Table S6'!$A:$AI,5,FALSE)</f>
        <v>#N/A</v>
      </c>
      <c r="P335" t="e">
        <f>VLOOKUP($J335,'[1]Table S6'!$A:$AI,7,FALSE)</f>
        <v>#N/A</v>
      </c>
      <c r="Q335" t="e">
        <f>VLOOKUP($J335,'[1]Table S6'!$A:$AI,8,FALSE)</f>
        <v>#N/A</v>
      </c>
      <c r="R335" t="e">
        <f>VLOOKUP($J335,'[1]Table S6'!$A:$AI,9,FALSE)</f>
        <v>#N/A</v>
      </c>
      <c r="S335" t="e">
        <f>VLOOKUP($J335,'[1]Table S6'!$A:$AI,10,FALSE)</f>
        <v>#N/A</v>
      </c>
      <c r="U335" t="e">
        <f>VLOOKUP($J335,'[1]Table S6'!$A:$AI,12,FALSE)</f>
        <v>#N/A</v>
      </c>
      <c r="V335" t="e">
        <f>VLOOKUP($J335,'[1]Table S6'!$A:$AI,13,FALSE)</f>
        <v>#N/A</v>
      </c>
      <c r="W335" t="e">
        <f>VLOOKUP($J335,'[1]Table S6'!$A:$AI,14,FALSE)</f>
        <v>#N/A</v>
      </c>
      <c r="X335" t="e">
        <f>VLOOKUP($J335,'[1]Table S6'!$A:$AI,15,FALSE)</f>
        <v>#N/A</v>
      </c>
      <c r="Z335" t="e">
        <f>VLOOKUP($J335,'[1]Table S6'!$A:$AI,17,FALSE)</f>
        <v>#N/A</v>
      </c>
      <c r="AA335" t="e">
        <f>VLOOKUP($J335,'[1]Table S6'!$A:$AI,18,FALSE)</f>
        <v>#N/A</v>
      </c>
      <c r="AB335" t="e">
        <f>VLOOKUP($J335,'[1]Table S6'!$A:$AI,19,FALSE)</f>
        <v>#N/A</v>
      </c>
      <c r="AC335" t="e">
        <f>VLOOKUP($J335,'[1]Table S6'!$A:$AI,20,FALSE)</f>
        <v>#N/A</v>
      </c>
      <c r="AE335" t="e">
        <f>VLOOKUP($J335,'[1]Table S6'!$A:$AI,22,FALSE)</f>
        <v>#N/A</v>
      </c>
      <c r="AF335" t="e">
        <f>VLOOKUP($J335,'[1]Table S6'!$A:$AI,23,FALSE)</f>
        <v>#N/A</v>
      </c>
      <c r="AG335" t="e">
        <f>VLOOKUP($J335,'[1]Table S6'!$A:$AI,24,FALSE)</f>
        <v>#N/A</v>
      </c>
      <c r="AH335" t="e">
        <f>VLOOKUP($J335,'[1]Table S6'!$A:$AI,25,FALSE)</f>
        <v>#N/A</v>
      </c>
      <c r="AJ335" t="e">
        <f>VLOOKUP($J335,'[1]Table S6'!$A:$AI,27,FALSE)</f>
        <v>#N/A</v>
      </c>
      <c r="AK335" t="e">
        <f>VLOOKUP($J335,'[1]Table S6'!$A:$AI,28,FALSE)</f>
        <v>#N/A</v>
      </c>
      <c r="AL335" t="e">
        <f>VLOOKUP($J335,'[1]Table S6'!$A:$AI,29,FALSE)</f>
        <v>#N/A</v>
      </c>
      <c r="AM335" t="e">
        <f>VLOOKUP($J335,'[1]Table S6'!$A:$AI,30,FALSE)</f>
        <v>#N/A</v>
      </c>
      <c r="AO335" t="e">
        <f>VLOOKUP($J335,'[1]Table S6'!$A:$AI,32,FALSE)</f>
        <v>#N/A</v>
      </c>
      <c r="AP335" t="e">
        <f>VLOOKUP($J335,'[1]Table S6'!$A:$AI,33,FALSE)</f>
        <v>#N/A</v>
      </c>
      <c r="AQ335" t="e">
        <f>VLOOKUP($J335,'[1]Table S6'!$A:$AI,34,FALSE)</f>
        <v>#N/A</v>
      </c>
      <c r="AR335" t="e">
        <f>VLOOKUP($J335,'[1]Table S6'!$A:$AI,35,FALSE)</f>
        <v>#N/A</v>
      </c>
      <c r="AT335" t="e">
        <f>VLOOKUP($I335,'[2]Table S5'!$A:$K,8,FALSE)</f>
        <v>#N/A</v>
      </c>
      <c r="AU335" t="e">
        <f>VLOOKUP($I335,'[2]Table S5'!$A:$K,9,FALSE)</f>
        <v>#N/A</v>
      </c>
      <c r="AV335" t="e">
        <f>VLOOKUP($I335,'[2]Table S5'!$A:$K,10,FALSE)</f>
        <v>#N/A</v>
      </c>
      <c r="AW335" t="e">
        <f>VLOOKUP($I335,'[2]Table S5'!$A:$K,11,FALSE)</f>
        <v>#N/A</v>
      </c>
    </row>
    <row r="336" spans="1:49">
      <c r="A336" s="12" t="s">
        <v>2534</v>
      </c>
      <c r="B336" t="s">
        <v>2535</v>
      </c>
      <c r="C336" t="s">
        <v>2536</v>
      </c>
      <c r="D336" t="s">
        <v>17</v>
      </c>
      <c r="E336" t="s">
        <v>2537</v>
      </c>
      <c r="F336" s="12" t="s">
        <v>2538</v>
      </c>
      <c r="G336" t="s">
        <v>2539</v>
      </c>
      <c r="H336" t="s">
        <v>2540</v>
      </c>
      <c r="I336" t="s">
        <v>2533</v>
      </c>
      <c r="J336" t="s">
        <v>2533</v>
      </c>
      <c r="K336" t="e">
        <f>VLOOKUP($J336,'[1]Table S6'!$A:$AI,2,FALSE)</f>
        <v>#N/A</v>
      </c>
      <c r="L336" t="e">
        <f>VLOOKUP($J336,'[1]Table S6'!$A:$AI,3,FALSE)</f>
        <v>#N/A</v>
      </c>
      <c r="M336" t="e">
        <f>VLOOKUP($J336,'[1]Table S6'!$A:$AI,4,FALSE)</f>
        <v>#N/A</v>
      </c>
      <c r="N336" t="e">
        <f>VLOOKUP($J336,'[1]Table S6'!$A:$AI,5,FALSE)</f>
        <v>#N/A</v>
      </c>
      <c r="P336" t="e">
        <f>VLOOKUP($J336,'[1]Table S6'!$A:$AI,7,FALSE)</f>
        <v>#N/A</v>
      </c>
      <c r="Q336" t="e">
        <f>VLOOKUP($J336,'[1]Table S6'!$A:$AI,8,FALSE)</f>
        <v>#N/A</v>
      </c>
      <c r="R336" t="e">
        <f>VLOOKUP($J336,'[1]Table S6'!$A:$AI,9,FALSE)</f>
        <v>#N/A</v>
      </c>
      <c r="S336" t="e">
        <f>VLOOKUP($J336,'[1]Table S6'!$A:$AI,10,FALSE)</f>
        <v>#N/A</v>
      </c>
      <c r="U336" t="e">
        <f>VLOOKUP($J336,'[1]Table S6'!$A:$AI,12,FALSE)</f>
        <v>#N/A</v>
      </c>
      <c r="V336" t="e">
        <f>VLOOKUP($J336,'[1]Table S6'!$A:$AI,13,FALSE)</f>
        <v>#N/A</v>
      </c>
      <c r="W336" t="e">
        <f>VLOOKUP($J336,'[1]Table S6'!$A:$AI,14,FALSE)</f>
        <v>#N/A</v>
      </c>
      <c r="X336" t="e">
        <f>VLOOKUP($J336,'[1]Table S6'!$A:$AI,15,FALSE)</f>
        <v>#N/A</v>
      </c>
      <c r="Z336" t="e">
        <f>VLOOKUP($J336,'[1]Table S6'!$A:$AI,17,FALSE)</f>
        <v>#N/A</v>
      </c>
      <c r="AA336" t="e">
        <f>VLOOKUP($J336,'[1]Table S6'!$A:$AI,18,FALSE)</f>
        <v>#N/A</v>
      </c>
      <c r="AB336" t="e">
        <f>VLOOKUP($J336,'[1]Table S6'!$A:$AI,19,FALSE)</f>
        <v>#N/A</v>
      </c>
      <c r="AC336" t="e">
        <f>VLOOKUP($J336,'[1]Table S6'!$A:$AI,20,FALSE)</f>
        <v>#N/A</v>
      </c>
      <c r="AE336" t="e">
        <f>VLOOKUP($J336,'[1]Table S6'!$A:$AI,22,FALSE)</f>
        <v>#N/A</v>
      </c>
      <c r="AF336" t="e">
        <f>VLOOKUP($J336,'[1]Table S6'!$A:$AI,23,FALSE)</f>
        <v>#N/A</v>
      </c>
      <c r="AG336" t="e">
        <f>VLOOKUP($J336,'[1]Table S6'!$A:$AI,24,FALSE)</f>
        <v>#N/A</v>
      </c>
      <c r="AH336" t="e">
        <f>VLOOKUP($J336,'[1]Table S6'!$A:$AI,25,FALSE)</f>
        <v>#N/A</v>
      </c>
      <c r="AJ336" t="e">
        <f>VLOOKUP($J336,'[1]Table S6'!$A:$AI,27,FALSE)</f>
        <v>#N/A</v>
      </c>
      <c r="AK336" t="e">
        <f>VLOOKUP($J336,'[1]Table S6'!$A:$AI,28,FALSE)</f>
        <v>#N/A</v>
      </c>
      <c r="AL336" t="e">
        <f>VLOOKUP($J336,'[1]Table S6'!$A:$AI,29,FALSE)</f>
        <v>#N/A</v>
      </c>
      <c r="AM336" t="e">
        <f>VLOOKUP($J336,'[1]Table S6'!$A:$AI,30,FALSE)</f>
        <v>#N/A</v>
      </c>
      <c r="AO336" t="e">
        <f>VLOOKUP($J336,'[1]Table S6'!$A:$AI,32,FALSE)</f>
        <v>#N/A</v>
      </c>
      <c r="AP336" t="e">
        <f>VLOOKUP($J336,'[1]Table S6'!$A:$AI,33,FALSE)</f>
        <v>#N/A</v>
      </c>
      <c r="AQ336" t="e">
        <f>VLOOKUP($J336,'[1]Table S6'!$A:$AI,34,FALSE)</f>
        <v>#N/A</v>
      </c>
      <c r="AR336" t="e">
        <f>VLOOKUP($J336,'[1]Table S6'!$A:$AI,35,FALSE)</f>
        <v>#N/A</v>
      </c>
      <c r="AT336" t="e">
        <f>VLOOKUP($I336,'[2]Table S5'!$A:$K,8,FALSE)</f>
        <v>#N/A</v>
      </c>
      <c r="AU336" t="e">
        <f>VLOOKUP($I336,'[2]Table S5'!$A:$K,9,FALSE)</f>
        <v>#N/A</v>
      </c>
      <c r="AV336" t="e">
        <f>VLOOKUP($I336,'[2]Table S5'!$A:$K,10,FALSE)</f>
        <v>#N/A</v>
      </c>
      <c r="AW336" t="e">
        <f>VLOOKUP($I336,'[2]Table S5'!$A:$K,11,FALSE)</f>
        <v>#N/A</v>
      </c>
    </row>
    <row r="337" spans="1:49">
      <c r="A337" s="12" t="s">
        <v>2541</v>
      </c>
      <c r="B337" t="s">
        <v>2542</v>
      </c>
      <c r="C337" t="s">
        <v>2543</v>
      </c>
      <c r="D337" t="s">
        <v>17</v>
      </c>
      <c r="E337" t="s">
        <v>2544</v>
      </c>
      <c r="F337" s="12" t="s">
        <v>2545</v>
      </c>
      <c r="G337" t="s">
        <v>2546</v>
      </c>
      <c r="H337" t="s">
        <v>2547</v>
      </c>
      <c r="I337" t="s">
        <v>2533</v>
      </c>
      <c r="J337" t="s">
        <v>2533</v>
      </c>
      <c r="K337" t="e">
        <f>VLOOKUP($J337,'[1]Table S6'!$A:$AI,2,FALSE)</f>
        <v>#N/A</v>
      </c>
      <c r="L337" t="e">
        <f>VLOOKUP($J337,'[1]Table S6'!$A:$AI,3,FALSE)</f>
        <v>#N/A</v>
      </c>
      <c r="M337" t="e">
        <f>VLOOKUP($J337,'[1]Table S6'!$A:$AI,4,FALSE)</f>
        <v>#N/A</v>
      </c>
      <c r="N337" t="e">
        <f>VLOOKUP($J337,'[1]Table S6'!$A:$AI,5,FALSE)</f>
        <v>#N/A</v>
      </c>
      <c r="P337" t="e">
        <f>VLOOKUP($J337,'[1]Table S6'!$A:$AI,7,FALSE)</f>
        <v>#N/A</v>
      </c>
      <c r="Q337" t="e">
        <f>VLOOKUP($J337,'[1]Table S6'!$A:$AI,8,FALSE)</f>
        <v>#N/A</v>
      </c>
      <c r="R337" t="e">
        <f>VLOOKUP($J337,'[1]Table S6'!$A:$AI,9,FALSE)</f>
        <v>#N/A</v>
      </c>
      <c r="S337" t="e">
        <f>VLOOKUP($J337,'[1]Table S6'!$A:$AI,10,FALSE)</f>
        <v>#N/A</v>
      </c>
      <c r="U337" t="e">
        <f>VLOOKUP($J337,'[1]Table S6'!$A:$AI,12,FALSE)</f>
        <v>#N/A</v>
      </c>
      <c r="V337" t="e">
        <f>VLOOKUP($J337,'[1]Table S6'!$A:$AI,13,FALSE)</f>
        <v>#N/A</v>
      </c>
      <c r="W337" t="e">
        <f>VLOOKUP($J337,'[1]Table S6'!$A:$AI,14,FALSE)</f>
        <v>#N/A</v>
      </c>
      <c r="X337" t="e">
        <f>VLOOKUP($J337,'[1]Table S6'!$A:$AI,15,FALSE)</f>
        <v>#N/A</v>
      </c>
      <c r="Z337" t="e">
        <f>VLOOKUP($J337,'[1]Table S6'!$A:$AI,17,FALSE)</f>
        <v>#N/A</v>
      </c>
      <c r="AA337" t="e">
        <f>VLOOKUP($J337,'[1]Table S6'!$A:$AI,18,FALSE)</f>
        <v>#N/A</v>
      </c>
      <c r="AB337" t="e">
        <f>VLOOKUP($J337,'[1]Table S6'!$A:$AI,19,FALSE)</f>
        <v>#N/A</v>
      </c>
      <c r="AC337" t="e">
        <f>VLOOKUP($J337,'[1]Table S6'!$A:$AI,20,FALSE)</f>
        <v>#N/A</v>
      </c>
      <c r="AE337" t="e">
        <f>VLOOKUP($J337,'[1]Table S6'!$A:$AI,22,FALSE)</f>
        <v>#N/A</v>
      </c>
      <c r="AF337" t="e">
        <f>VLOOKUP($J337,'[1]Table S6'!$A:$AI,23,FALSE)</f>
        <v>#N/A</v>
      </c>
      <c r="AG337" t="e">
        <f>VLOOKUP($J337,'[1]Table S6'!$A:$AI,24,FALSE)</f>
        <v>#N/A</v>
      </c>
      <c r="AH337" t="e">
        <f>VLOOKUP($J337,'[1]Table S6'!$A:$AI,25,FALSE)</f>
        <v>#N/A</v>
      </c>
      <c r="AJ337" t="e">
        <f>VLOOKUP($J337,'[1]Table S6'!$A:$AI,27,FALSE)</f>
        <v>#N/A</v>
      </c>
      <c r="AK337" t="e">
        <f>VLOOKUP($J337,'[1]Table S6'!$A:$AI,28,FALSE)</f>
        <v>#N/A</v>
      </c>
      <c r="AL337" t="e">
        <f>VLOOKUP($J337,'[1]Table S6'!$A:$AI,29,FALSE)</f>
        <v>#N/A</v>
      </c>
      <c r="AM337" t="e">
        <f>VLOOKUP($J337,'[1]Table S6'!$A:$AI,30,FALSE)</f>
        <v>#N/A</v>
      </c>
      <c r="AO337" t="e">
        <f>VLOOKUP($J337,'[1]Table S6'!$A:$AI,32,FALSE)</f>
        <v>#N/A</v>
      </c>
      <c r="AP337" t="e">
        <f>VLOOKUP($J337,'[1]Table S6'!$A:$AI,33,FALSE)</f>
        <v>#N/A</v>
      </c>
      <c r="AQ337" t="e">
        <f>VLOOKUP($J337,'[1]Table S6'!$A:$AI,34,FALSE)</f>
        <v>#N/A</v>
      </c>
      <c r="AR337" t="e">
        <f>VLOOKUP($J337,'[1]Table S6'!$A:$AI,35,FALSE)</f>
        <v>#N/A</v>
      </c>
      <c r="AT337" t="e">
        <f>VLOOKUP($I337,'[2]Table S5'!$A:$K,8,FALSE)</f>
        <v>#N/A</v>
      </c>
      <c r="AU337" t="e">
        <f>VLOOKUP($I337,'[2]Table S5'!$A:$K,9,FALSE)</f>
        <v>#N/A</v>
      </c>
      <c r="AV337" t="e">
        <f>VLOOKUP($I337,'[2]Table S5'!$A:$K,10,FALSE)</f>
        <v>#N/A</v>
      </c>
      <c r="AW337" t="e">
        <f>VLOOKUP($I337,'[2]Table S5'!$A:$K,11,FALSE)</f>
        <v>#N/A</v>
      </c>
    </row>
    <row r="338" spans="1:49">
      <c r="A338" s="12" t="s">
        <v>2548</v>
      </c>
      <c r="B338" t="s">
        <v>2549</v>
      </c>
      <c r="C338" t="s">
        <v>2550</v>
      </c>
      <c r="D338" t="s">
        <v>17</v>
      </c>
      <c r="E338" t="s">
        <v>2551</v>
      </c>
      <c r="F338" s="12" t="s">
        <v>2552</v>
      </c>
      <c r="G338" t="s">
        <v>2553</v>
      </c>
      <c r="H338" t="s">
        <v>2554</v>
      </c>
      <c r="I338" t="s">
        <v>2555</v>
      </c>
      <c r="J338" t="s">
        <v>2556</v>
      </c>
      <c r="K338" t="e">
        <f>VLOOKUP($J338,'[1]Table S6'!$A:$AI,2,FALSE)</f>
        <v>#N/A</v>
      </c>
      <c r="L338" t="e">
        <f>VLOOKUP($J338,'[1]Table S6'!$A:$AI,3,FALSE)</f>
        <v>#N/A</v>
      </c>
      <c r="M338" t="e">
        <f>VLOOKUP($J338,'[1]Table S6'!$A:$AI,4,FALSE)</f>
        <v>#N/A</v>
      </c>
      <c r="N338" t="e">
        <f>VLOOKUP($J338,'[1]Table S6'!$A:$AI,5,FALSE)</f>
        <v>#N/A</v>
      </c>
      <c r="P338" t="e">
        <f>VLOOKUP($J338,'[1]Table S6'!$A:$AI,7,FALSE)</f>
        <v>#N/A</v>
      </c>
      <c r="Q338" t="e">
        <f>VLOOKUP($J338,'[1]Table S6'!$A:$AI,8,FALSE)</f>
        <v>#N/A</v>
      </c>
      <c r="R338" t="e">
        <f>VLOOKUP($J338,'[1]Table S6'!$A:$AI,9,FALSE)</f>
        <v>#N/A</v>
      </c>
      <c r="S338" t="e">
        <f>VLOOKUP($J338,'[1]Table S6'!$A:$AI,10,FALSE)</f>
        <v>#N/A</v>
      </c>
      <c r="U338" t="e">
        <f>VLOOKUP($J338,'[1]Table S6'!$A:$AI,12,FALSE)</f>
        <v>#N/A</v>
      </c>
      <c r="V338" t="e">
        <f>VLOOKUP($J338,'[1]Table S6'!$A:$AI,13,FALSE)</f>
        <v>#N/A</v>
      </c>
      <c r="W338" t="e">
        <f>VLOOKUP($J338,'[1]Table S6'!$A:$AI,14,FALSE)</f>
        <v>#N/A</v>
      </c>
      <c r="X338" t="e">
        <f>VLOOKUP($J338,'[1]Table S6'!$A:$AI,15,FALSE)</f>
        <v>#N/A</v>
      </c>
      <c r="Z338" t="e">
        <f>VLOOKUP($J338,'[1]Table S6'!$A:$AI,17,FALSE)</f>
        <v>#N/A</v>
      </c>
      <c r="AA338" t="e">
        <f>VLOOKUP($J338,'[1]Table S6'!$A:$AI,18,FALSE)</f>
        <v>#N/A</v>
      </c>
      <c r="AB338" t="e">
        <f>VLOOKUP($J338,'[1]Table S6'!$A:$AI,19,FALSE)</f>
        <v>#N/A</v>
      </c>
      <c r="AC338" t="e">
        <f>VLOOKUP($J338,'[1]Table S6'!$A:$AI,20,FALSE)</f>
        <v>#N/A</v>
      </c>
      <c r="AE338" t="e">
        <f>VLOOKUP($J338,'[1]Table S6'!$A:$AI,22,FALSE)</f>
        <v>#N/A</v>
      </c>
      <c r="AF338" t="e">
        <f>VLOOKUP($J338,'[1]Table S6'!$A:$AI,23,FALSE)</f>
        <v>#N/A</v>
      </c>
      <c r="AG338" t="e">
        <f>VLOOKUP($J338,'[1]Table S6'!$A:$AI,24,FALSE)</f>
        <v>#N/A</v>
      </c>
      <c r="AH338" t="e">
        <f>VLOOKUP($J338,'[1]Table S6'!$A:$AI,25,FALSE)</f>
        <v>#N/A</v>
      </c>
      <c r="AJ338" t="e">
        <f>VLOOKUP($J338,'[1]Table S6'!$A:$AI,27,FALSE)</f>
        <v>#N/A</v>
      </c>
      <c r="AK338" t="e">
        <f>VLOOKUP($J338,'[1]Table S6'!$A:$AI,28,FALSE)</f>
        <v>#N/A</v>
      </c>
      <c r="AL338" t="e">
        <f>VLOOKUP($J338,'[1]Table S6'!$A:$AI,29,FALSE)</f>
        <v>#N/A</v>
      </c>
      <c r="AM338" t="e">
        <f>VLOOKUP($J338,'[1]Table S6'!$A:$AI,30,FALSE)</f>
        <v>#N/A</v>
      </c>
      <c r="AO338" t="e">
        <f>VLOOKUP($J338,'[1]Table S6'!$A:$AI,32,FALSE)</f>
        <v>#N/A</v>
      </c>
      <c r="AP338" t="e">
        <f>VLOOKUP($J338,'[1]Table S6'!$A:$AI,33,FALSE)</f>
        <v>#N/A</v>
      </c>
      <c r="AQ338" t="e">
        <f>VLOOKUP($J338,'[1]Table S6'!$A:$AI,34,FALSE)</f>
        <v>#N/A</v>
      </c>
      <c r="AR338" t="e">
        <f>VLOOKUP($J338,'[1]Table S6'!$A:$AI,35,FALSE)</f>
        <v>#N/A</v>
      </c>
      <c r="AT338" t="e">
        <f>VLOOKUP($I338,'[2]Table S5'!$A:$K,8,FALSE)</f>
        <v>#N/A</v>
      </c>
      <c r="AU338" t="e">
        <f>VLOOKUP($I338,'[2]Table S5'!$A:$K,9,FALSE)</f>
        <v>#N/A</v>
      </c>
      <c r="AV338" t="e">
        <f>VLOOKUP($I338,'[2]Table S5'!$A:$K,10,FALSE)</f>
        <v>#N/A</v>
      </c>
      <c r="AW338" t="e">
        <f>VLOOKUP($I338,'[2]Table S5'!$A:$K,11,FALSE)</f>
        <v>#N/A</v>
      </c>
    </row>
    <row r="339" spans="1:49">
      <c r="A339" s="12" t="s">
        <v>2557</v>
      </c>
      <c r="B339" t="s">
        <v>2558</v>
      </c>
      <c r="C339" t="s">
        <v>2559</v>
      </c>
      <c r="D339" t="s">
        <v>17</v>
      </c>
      <c r="E339" t="s">
        <v>2560</v>
      </c>
      <c r="F339" s="12" t="s">
        <v>2561</v>
      </c>
      <c r="G339" t="s">
        <v>2562</v>
      </c>
      <c r="H339" t="s">
        <v>2563</v>
      </c>
      <c r="I339" t="s">
        <v>2555</v>
      </c>
      <c r="J339" t="s">
        <v>2564</v>
      </c>
      <c r="K339" t="e">
        <f>VLOOKUP($J339,'[1]Table S6'!$A:$AI,2,FALSE)</f>
        <v>#N/A</v>
      </c>
      <c r="L339" t="e">
        <f>VLOOKUP($J339,'[1]Table S6'!$A:$AI,3,FALSE)</f>
        <v>#N/A</v>
      </c>
      <c r="M339" t="e">
        <f>VLOOKUP($J339,'[1]Table S6'!$A:$AI,4,FALSE)</f>
        <v>#N/A</v>
      </c>
      <c r="N339" t="e">
        <f>VLOOKUP($J339,'[1]Table S6'!$A:$AI,5,FALSE)</f>
        <v>#N/A</v>
      </c>
      <c r="P339" t="e">
        <f>VLOOKUP($J339,'[1]Table S6'!$A:$AI,7,FALSE)</f>
        <v>#N/A</v>
      </c>
      <c r="Q339" t="e">
        <f>VLOOKUP($J339,'[1]Table S6'!$A:$AI,8,FALSE)</f>
        <v>#N/A</v>
      </c>
      <c r="R339" t="e">
        <f>VLOOKUP($J339,'[1]Table S6'!$A:$AI,9,FALSE)</f>
        <v>#N/A</v>
      </c>
      <c r="S339" t="e">
        <f>VLOOKUP($J339,'[1]Table S6'!$A:$AI,10,FALSE)</f>
        <v>#N/A</v>
      </c>
      <c r="U339" t="e">
        <f>VLOOKUP($J339,'[1]Table S6'!$A:$AI,12,FALSE)</f>
        <v>#N/A</v>
      </c>
      <c r="V339" t="e">
        <f>VLOOKUP($J339,'[1]Table S6'!$A:$AI,13,FALSE)</f>
        <v>#N/A</v>
      </c>
      <c r="W339" t="e">
        <f>VLOOKUP($J339,'[1]Table S6'!$A:$AI,14,FALSE)</f>
        <v>#N/A</v>
      </c>
      <c r="X339" t="e">
        <f>VLOOKUP($J339,'[1]Table S6'!$A:$AI,15,FALSE)</f>
        <v>#N/A</v>
      </c>
      <c r="Z339" t="e">
        <f>VLOOKUP($J339,'[1]Table S6'!$A:$AI,17,FALSE)</f>
        <v>#N/A</v>
      </c>
      <c r="AA339" t="e">
        <f>VLOOKUP($J339,'[1]Table S6'!$A:$AI,18,FALSE)</f>
        <v>#N/A</v>
      </c>
      <c r="AB339" t="e">
        <f>VLOOKUP($J339,'[1]Table S6'!$A:$AI,19,FALSE)</f>
        <v>#N/A</v>
      </c>
      <c r="AC339" t="e">
        <f>VLOOKUP($J339,'[1]Table S6'!$A:$AI,20,FALSE)</f>
        <v>#N/A</v>
      </c>
      <c r="AE339" t="e">
        <f>VLOOKUP($J339,'[1]Table S6'!$A:$AI,22,FALSE)</f>
        <v>#N/A</v>
      </c>
      <c r="AF339" t="e">
        <f>VLOOKUP($J339,'[1]Table S6'!$A:$AI,23,FALSE)</f>
        <v>#N/A</v>
      </c>
      <c r="AG339" t="e">
        <f>VLOOKUP($J339,'[1]Table S6'!$A:$AI,24,FALSE)</f>
        <v>#N/A</v>
      </c>
      <c r="AH339" t="e">
        <f>VLOOKUP($J339,'[1]Table S6'!$A:$AI,25,FALSE)</f>
        <v>#N/A</v>
      </c>
      <c r="AJ339" t="e">
        <f>VLOOKUP($J339,'[1]Table S6'!$A:$AI,27,FALSE)</f>
        <v>#N/A</v>
      </c>
      <c r="AK339" t="e">
        <f>VLOOKUP($J339,'[1]Table S6'!$A:$AI,28,FALSE)</f>
        <v>#N/A</v>
      </c>
      <c r="AL339" t="e">
        <f>VLOOKUP($J339,'[1]Table S6'!$A:$AI,29,FALSE)</f>
        <v>#N/A</v>
      </c>
      <c r="AM339" t="e">
        <f>VLOOKUP($J339,'[1]Table S6'!$A:$AI,30,FALSE)</f>
        <v>#N/A</v>
      </c>
      <c r="AO339" t="e">
        <f>VLOOKUP($J339,'[1]Table S6'!$A:$AI,32,FALSE)</f>
        <v>#N/A</v>
      </c>
      <c r="AP339" t="e">
        <f>VLOOKUP($J339,'[1]Table S6'!$A:$AI,33,FALSE)</f>
        <v>#N/A</v>
      </c>
      <c r="AQ339" t="e">
        <f>VLOOKUP($J339,'[1]Table S6'!$A:$AI,34,FALSE)</f>
        <v>#N/A</v>
      </c>
      <c r="AR339" t="e">
        <f>VLOOKUP($J339,'[1]Table S6'!$A:$AI,35,FALSE)</f>
        <v>#N/A</v>
      </c>
      <c r="AT339" t="e">
        <f>VLOOKUP($I339,'[2]Table S5'!$A:$K,8,FALSE)</f>
        <v>#N/A</v>
      </c>
      <c r="AU339" t="e">
        <f>VLOOKUP($I339,'[2]Table S5'!$A:$K,9,FALSE)</f>
        <v>#N/A</v>
      </c>
      <c r="AV339" t="e">
        <f>VLOOKUP($I339,'[2]Table S5'!$A:$K,10,FALSE)</f>
        <v>#N/A</v>
      </c>
      <c r="AW339" t="e">
        <f>VLOOKUP($I339,'[2]Table S5'!$A:$K,11,FALSE)</f>
        <v>#N/A</v>
      </c>
    </row>
    <row r="340" spans="1:49">
      <c r="A340" s="12" t="s">
        <v>2565</v>
      </c>
      <c r="B340" t="s">
        <v>2566</v>
      </c>
      <c r="C340" t="s">
        <v>2567</v>
      </c>
      <c r="D340" t="s">
        <v>17</v>
      </c>
      <c r="E340" t="s">
        <v>2568</v>
      </c>
      <c r="F340" s="12" t="s">
        <v>2569</v>
      </c>
      <c r="G340" t="s">
        <v>2570</v>
      </c>
      <c r="H340" t="s">
        <v>2571</v>
      </c>
      <c r="I340" t="s">
        <v>2572</v>
      </c>
      <c r="J340" t="s">
        <v>2573</v>
      </c>
      <c r="K340" t="e">
        <f>VLOOKUP($J340,'[1]Table S6'!$A:$AI,2,FALSE)</f>
        <v>#N/A</v>
      </c>
      <c r="L340" t="e">
        <f>VLOOKUP($J340,'[1]Table S6'!$A:$AI,3,FALSE)</f>
        <v>#N/A</v>
      </c>
      <c r="M340" t="e">
        <f>VLOOKUP($J340,'[1]Table S6'!$A:$AI,4,FALSE)</f>
        <v>#N/A</v>
      </c>
      <c r="N340" t="e">
        <f>VLOOKUP($J340,'[1]Table S6'!$A:$AI,5,FALSE)</f>
        <v>#N/A</v>
      </c>
      <c r="P340" t="e">
        <f>VLOOKUP($J340,'[1]Table S6'!$A:$AI,7,FALSE)</f>
        <v>#N/A</v>
      </c>
      <c r="Q340" t="e">
        <f>VLOOKUP($J340,'[1]Table S6'!$A:$AI,8,FALSE)</f>
        <v>#N/A</v>
      </c>
      <c r="R340" t="e">
        <f>VLOOKUP($J340,'[1]Table S6'!$A:$AI,9,FALSE)</f>
        <v>#N/A</v>
      </c>
      <c r="S340" t="e">
        <f>VLOOKUP($J340,'[1]Table S6'!$A:$AI,10,FALSE)</f>
        <v>#N/A</v>
      </c>
      <c r="U340" t="e">
        <f>VLOOKUP($J340,'[1]Table S6'!$A:$AI,12,FALSE)</f>
        <v>#N/A</v>
      </c>
      <c r="V340" t="e">
        <f>VLOOKUP($J340,'[1]Table S6'!$A:$AI,13,FALSE)</f>
        <v>#N/A</v>
      </c>
      <c r="W340" t="e">
        <f>VLOOKUP($J340,'[1]Table S6'!$A:$AI,14,FALSE)</f>
        <v>#N/A</v>
      </c>
      <c r="X340" t="e">
        <f>VLOOKUP($J340,'[1]Table S6'!$A:$AI,15,FALSE)</f>
        <v>#N/A</v>
      </c>
      <c r="Z340" t="e">
        <f>VLOOKUP($J340,'[1]Table S6'!$A:$AI,17,FALSE)</f>
        <v>#N/A</v>
      </c>
      <c r="AA340" t="e">
        <f>VLOOKUP($J340,'[1]Table S6'!$A:$AI,18,FALSE)</f>
        <v>#N/A</v>
      </c>
      <c r="AB340" t="e">
        <f>VLOOKUP($J340,'[1]Table S6'!$A:$AI,19,FALSE)</f>
        <v>#N/A</v>
      </c>
      <c r="AC340" t="e">
        <f>VLOOKUP($J340,'[1]Table S6'!$A:$AI,20,FALSE)</f>
        <v>#N/A</v>
      </c>
      <c r="AE340" t="e">
        <f>VLOOKUP($J340,'[1]Table S6'!$A:$AI,22,FALSE)</f>
        <v>#N/A</v>
      </c>
      <c r="AF340" t="e">
        <f>VLOOKUP($J340,'[1]Table S6'!$A:$AI,23,FALSE)</f>
        <v>#N/A</v>
      </c>
      <c r="AG340" t="e">
        <f>VLOOKUP($J340,'[1]Table S6'!$A:$AI,24,FALSE)</f>
        <v>#N/A</v>
      </c>
      <c r="AH340" t="e">
        <f>VLOOKUP($J340,'[1]Table S6'!$A:$AI,25,FALSE)</f>
        <v>#N/A</v>
      </c>
      <c r="AJ340" t="e">
        <f>VLOOKUP($J340,'[1]Table S6'!$A:$AI,27,FALSE)</f>
        <v>#N/A</v>
      </c>
      <c r="AK340" t="e">
        <f>VLOOKUP($J340,'[1]Table S6'!$A:$AI,28,FALSE)</f>
        <v>#N/A</v>
      </c>
      <c r="AL340" t="e">
        <f>VLOOKUP($J340,'[1]Table S6'!$A:$AI,29,FALSE)</f>
        <v>#N/A</v>
      </c>
      <c r="AM340" t="e">
        <f>VLOOKUP($J340,'[1]Table S6'!$A:$AI,30,FALSE)</f>
        <v>#N/A</v>
      </c>
      <c r="AO340" t="e">
        <f>VLOOKUP($J340,'[1]Table S6'!$A:$AI,32,FALSE)</f>
        <v>#N/A</v>
      </c>
      <c r="AP340" t="e">
        <f>VLOOKUP($J340,'[1]Table S6'!$A:$AI,33,FALSE)</f>
        <v>#N/A</v>
      </c>
      <c r="AQ340" t="e">
        <f>VLOOKUP($J340,'[1]Table S6'!$A:$AI,34,FALSE)</f>
        <v>#N/A</v>
      </c>
      <c r="AR340" t="e">
        <f>VLOOKUP($J340,'[1]Table S6'!$A:$AI,35,FALSE)</f>
        <v>#N/A</v>
      </c>
      <c r="AT340" t="e">
        <f>VLOOKUP($I340,'[2]Table S5'!$A:$K,8,FALSE)</f>
        <v>#N/A</v>
      </c>
      <c r="AU340" t="e">
        <f>VLOOKUP($I340,'[2]Table S5'!$A:$K,9,FALSE)</f>
        <v>#N/A</v>
      </c>
      <c r="AV340" t="e">
        <f>VLOOKUP($I340,'[2]Table S5'!$A:$K,10,FALSE)</f>
        <v>#N/A</v>
      </c>
      <c r="AW340" t="e">
        <f>VLOOKUP($I340,'[2]Table S5'!$A:$K,11,FALSE)</f>
        <v>#N/A</v>
      </c>
    </row>
    <row r="341" spans="1:49">
      <c r="A341" s="12" t="s">
        <v>2574</v>
      </c>
      <c r="B341" t="s">
        <v>2575</v>
      </c>
      <c r="C341" t="s">
        <v>2576</v>
      </c>
      <c r="D341" t="s">
        <v>17</v>
      </c>
      <c r="E341" t="s">
        <v>2577</v>
      </c>
      <c r="F341" s="12" t="s">
        <v>2578</v>
      </c>
      <c r="G341" t="s">
        <v>2579</v>
      </c>
      <c r="H341" t="s">
        <v>2580</v>
      </c>
      <c r="I341" t="s">
        <v>2572</v>
      </c>
      <c r="J341" t="s">
        <v>2581</v>
      </c>
      <c r="K341" t="e">
        <f>VLOOKUP($J341,'[1]Table S6'!$A:$AI,2,FALSE)</f>
        <v>#N/A</v>
      </c>
      <c r="L341" t="e">
        <f>VLOOKUP($J341,'[1]Table S6'!$A:$AI,3,FALSE)</f>
        <v>#N/A</v>
      </c>
      <c r="M341" t="e">
        <f>VLOOKUP($J341,'[1]Table S6'!$A:$AI,4,FALSE)</f>
        <v>#N/A</v>
      </c>
      <c r="N341" t="e">
        <f>VLOOKUP($J341,'[1]Table S6'!$A:$AI,5,FALSE)</f>
        <v>#N/A</v>
      </c>
      <c r="P341" t="e">
        <f>VLOOKUP($J341,'[1]Table S6'!$A:$AI,7,FALSE)</f>
        <v>#N/A</v>
      </c>
      <c r="Q341" t="e">
        <f>VLOOKUP($J341,'[1]Table S6'!$A:$AI,8,FALSE)</f>
        <v>#N/A</v>
      </c>
      <c r="R341" t="e">
        <f>VLOOKUP($J341,'[1]Table S6'!$A:$AI,9,FALSE)</f>
        <v>#N/A</v>
      </c>
      <c r="S341" t="e">
        <f>VLOOKUP($J341,'[1]Table S6'!$A:$AI,10,FALSE)</f>
        <v>#N/A</v>
      </c>
      <c r="U341" t="e">
        <f>VLOOKUP($J341,'[1]Table S6'!$A:$AI,12,FALSE)</f>
        <v>#N/A</v>
      </c>
      <c r="V341" t="e">
        <f>VLOOKUP($J341,'[1]Table S6'!$A:$AI,13,FALSE)</f>
        <v>#N/A</v>
      </c>
      <c r="W341" t="e">
        <f>VLOOKUP($J341,'[1]Table S6'!$A:$AI,14,FALSE)</f>
        <v>#N/A</v>
      </c>
      <c r="X341" t="e">
        <f>VLOOKUP($J341,'[1]Table S6'!$A:$AI,15,FALSE)</f>
        <v>#N/A</v>
      </c>
      <c r="Z341" t="e">
        <f>VLOOKUP($J341,'[1]Table S6'!$A:$AI,17,FALSE)</f>
        <v>#N/A</v>
      </c>
      <c r="AA341" t="e">
        <f>VLOOKUP($J341,'[1]Table S6'!$A:$AI,18,FALSE)</f>
        <v>#N/A</v>
      </c>
      <c r="AB341" t="e">
        <f>VLOOKUP($J341,'[1]Table S6'!$A:$AI,19,FALSE)</f>
        <v>#N/A</v>
      </c>
      <c r="AC341" t="e">
        <f>VLOOKUP($J341,'[1]Table S6'!$A:$AI,20,FALSE)</f>
        <v>#N/A</v>
      </c>
      <c r="AE341" t="e">
        <f>VLOOKUP($J341,'[1]Table S6'!$A:$AI,22,FALSE)</f>
        <v>#N/A</v>
      </c>
      <c r="AF341" t="e">
        <f>VLOOKUP($J341,'[1]Table S6'!$A:$AI,23,FALSE)</f>
        <v>#N/A</v>
      </c>
      <c r="AG341" t="e">
        <f>VLOOKUP($J341,'[1]Table S6'!$A:$AI,24,FALSE)</f>
        <v>#N/A</v>
      </c>
      <c r="AH341" t="e">
        <f>VLOOKUP($J341,'[1]Table S6'!$A:$AI,25,FALSE)</f>
        <v>#N/A</v>
      </c>
      <c r="AJ341" t="e">
        <f>VLOOKUP($J341,'[1]Table S6'!$A:$AI,27,FALSE)</f>
        <v>#N/A</v>
      </c>
      <c r="AK341" t="e">
        <f>VLOOKUP($J341,'[1]Table S6'!$A:$AI,28,FALSE)</f>
        <v>#N/A</v>
      </c>
      <c r="AL341" t="e">
        <f>VLOOKUP($J341,'[1]Table S6'!$A:$AI,29,FALSE)</f>
        <v>#N/A</v>
      </c>
      <c r="AM341" t="e">
        <f>VLOOKUP($J341,'[1]Table S6'!$A:$AI,30,FALSE)</f>
        <v>#N/A</v>
      </c>
      <c r="AO341" t="e">
        <f>VLOOKUP($J341,'[1]Table S6'!$A:$AI,32,FALSE)</f>
        <v>#N/A</v>
      </c>
      <c r="AP341" t="e">
        <f>VLOOKUP($J341,'[1]Table S6'!$A:$AI,33,FALSE)</f>
        <v>#N/A</v>
      </c>
      <c r="AQ341" t="e">
        <f>VLOOKUP($J341,'[1]Table S6'!$A:$AI,34,FALSE)</f>
        <v>#N/A</v>
      </c>
      <c r="AR341" t="e">
        <f>VLOOKUP($J341,'[1]Table S6'!$A:$AI,35,FALSE)</f>
        <v>#N/A</v>
      </c>
      <c r="AT341" t="e">
        <f>VLOOKUP($I341,'[2]Table S5'!$A:$K,8,FALSE)</f>
        <v>#N/A</v>
      </c>
      <c r="AU341" t="e">
        <f>VLOOKUP($I341,'[2]Table S5'!$A:$K,9,FALSE)</f>
        <v>#N/A</v>
      </c>
      <c r="AV341" t="e">
        <f>VLOOKUP($I341,'[2]Table S5'!$A:$K,10,FALSE)</f>
        <v>#N/A</v>
      </c>
      <c r="AW341" t="e">
        <f>VLOOKUP($I341,'[2]Table S5'!$A:$K,11,FALSE)</f>
        <v>#N/A</v>
      </c>
    </row>
    <row r="342" spans="1:49">
      <c r="A342" s="13" t="s">
        <v>4741</v>
      </c>
      <c r="B342" t="s">
        <v>2582</v>
      </c>
      <c r="C342" t="s">
        <v>2583</v>
      </c>
      <c r="D342" t="s">
        <v>17</v>
      </c>
      <c r="E342" t="s">
        <v>2584</v>
      </c>
      <c r="F342" s="12" t="s">
        <v>2585</v>
      </c>
      <c r="G342" t="s">
        <v>2586</v>
      </c>
      <c r="H342" t="s">
        <v>2587</v>
      </c>
      <c r="I342" t="s">
        <v>2588</v>
      </c>
      <c r="J342" t="s">
        <v>2589</v>
      </c>
      <c r="K342">
        <f>VLOOKUP($J342,'[1]Table S6'!$A:$AI,2,FALSE)</f>
        <v>405.3</v>
      </c>
      <c r="L342">
        <f>VLOOKUP($J342,'[1]Table S6'!$A:$AI,3,FALSE)</f>
        <v>0.86252394126409904</v>
      </c>
      <c r="M342">
        <f>VLOOKUP($J342,'[1]Table S6'!$A:$AI,4,FALSE)</f>
        <v>15.35</v>
      </c>
      <c r="N342" t="str">
        <f>VLOOKUP($J342,'[1]Table S6'!$A:$AI,5,FALSE)</f>
        <v>No</v>
      </c>
      <c r="P342">
        <f>VLOOKUP($J342,'[1]Table S6'!$A:$AI,7,FALSE)</f>
        <v>347.5</v>
      </c>
      <c r="Q342">
        <f>VLOOKUP($J342,'[1]Table S6'!$A:$AI,8,FALSE)</f>
        <v>0.73951904660566103</v>
      </c>
      <c r="R342">
        <f>VLOOKUP($J342,'[1]Table S6'!$A:$AI,9,FALSE)</f>
        <v>4.88</v>
      </c>
      <c r="S342" t="str">
        <f>VLOOKUP($J342,'[1]Table S6'!$A:$AI,10,FALSE)</f>
        <v>No</v>
      </c>
      <c r="U342">
        <f>VLOOKUP($J342,'[1]Table S6'!$A:$AI,12,FALSE)</f>
        <v>433.9</v>
      </c>
      <c r="V342">
        <f>VLOOKUP($J342,'[1]Table S6'!$A:$AI,13,FALSE)</f>
        <v>0.92338795488401804</v>
      </c>
      <c r="W342">
        <f>VLOOKUP($J342,'[1]Table S6'!$A:$AI,14,FALSE)</f>
        <v>47.88</v>
      </c>
      <c r="X342" t="str">
        <f>VLOOKUP($J342,'[1]Table S6'!$A:$AI,15,FALSE)</f>
        <v>No</v>
      </c>
      <c r="Z342">
        <f>VLOOKUP($J342,'[1]Table S6'!$A:$AI,17,FALSE)</f>
        <v>377.4</v>
      </c>
      <c r="AA342">
        <f>VLOOKUP($J342,'[1]Table S6'!$A:$AI,18,FALSE)</f>
        <v>0.80314960629921295</v>
      </c>
      <c r="AB342">
        <f>VLOOKUP($J342,'[1]Table S6'!$A:$AI,19,FALSE)</f>
        <v>10.83</v>
      </c>
      <c r="AC342" t="str">
        <f>VLOOKUP($J342,'[1]Table S6'!$A:$AI,20,FALSE)</f>
        <v>No</v>
      </c>
      <c r="AE342">
        <f>VLOOKUP($J342,'[1]Table S6'!$A:$AI,22,FALSE)</f>
        <v>426</v>
      </c>
      <c r="AF342">
        <f>VLOOKUP($J342,'[1]Table S6'!$A:$AI,23,FALSE)</f>
        <v>0.90657586720578898</v>
      </c>
      <c r="AG342">
        <f>VLOOKUP($J342,'[1]Table S6'!$A:$AI,24,FALSE)</f>
        <v>35.96</v>
      </c>
      <c r="AH342" t="str">
        <f>VLOOKUP($J342,'[1]Table S6'!$A:$AI,25,FALSE)</f>
        <v>No</v>
      </c>
      <c r="AJ342">
        <f>VLOOKUP($J342,'[1]Table S6'!$A:$AI,27,FALSE)</f>
        <v>456.8</v>
      </c>
      <c r="AK342">
        <f>VLOOKUP($J342,'[1]Table S6'!$A:$AI,28,FALSE)</f>
        <v>0.97212172802723995</v>
      </c>
      <c r="AL342">
        <f>VLOOKUP($J342,'[1]Table S6'!$A:$AI,29,FALSE)</f>
        <v>166.2</v>
      </c>
      <c r="AM342" t="str">
        <f>VLOOKUP($J342,'[1]Table S6'!$A:$AI,30,FALSE)</f>
        <v>No</v>
      </c>
      <c r="AO342">
        <f>VLOOKUP($J342,'[1]Table S6'!$A:$AI,32,FALSE)</f>
        <v>462.2</v>
      </c>
      <c r="AP342">
        <f>VLOOKUP($J342,'[1]Table S6'!$A:$AI,33,FALSE)</f>
        <v>0.98361353479463698</v>
      </c>
      <c r="AQ342">
        <f>VLOOKUP($J342,'[1]Table S6'!$A:$AI,34,FALSE)</f>
        <v>237.3</v>
      </c>
      <c r="AR342" t="str">
        <f>VLOOKUP($J342,'[1]Table S6'!$A:$AI,35,FALSE)</f>
        <v>No</v>
      </c>
      <c r="AT342" t="str">
        <f>VLOOKUP($I342,'[2]Table S5'!$A:$K,8,FALSE)</f>
        <v>Resistant</v>
      </c>
      <c r="AU342" t="str">
        <f>VLOOKUP($I342,'[2]Table S5'!$A:$K,9,FALSE)</f>
        <v>Resistant</v>
      </c>
      <c r="AV342" t="str">
        <f>VLOOKUP($I342,'[2]Table S5'!$A:$K,10,FALSE)</f>
        <v>Resistant</v>
      </c>
      <c r="AW342" t="str">
        <f>VLOOKUP($I342,'[2]Table S5'!$A:$K,11,FALSE)</f>
        <v>Resistant</v>
      </c>
    </row>
    <row r="343" spans="1:49">
      <c r="A343" s="12" t="s">
        <v>2590</v>
      </c>
      <c r="B343" t="s">
        <v>2591</v>
      </c>
      <c r="C343" t="s">
        <v>2592</v>
      </c>
      <c r="D343" t="s">
        <v>17</v>
      </c>
      <c r="E343" t="s">
        <v>2593</v>
      </c>
      <c r="F343" s="12" t="s">
        <v>2594</v>
      </c>
      <c r="G343" t="s">
        <v>2595</v>
      </c>
      <c r="H343" t="s">
        <v>2596</v>
      </c>
      <c r="I343" t="s">
        <v>2588</v>
      </c>
      <c r="J343" t="s">
        <v>2589</v>
      </c>
      <c r="K343">
        <f>VLOOKUP($J343,'[1]Table S6'!$A:$AI,2,FALSE)</f>
        <v>405.3</v>
      </c>
      <c r="L343">
        <f>VLOOKUP($J343,'[1]Table S6'!$A:$AI,3,FALSE)</f>
        <v>0.86252394126409904</v>
      </c>
      <c r="M343">
        <f>VLOOKUP($J343,'[1]Table S6'!$A:$AI,4,FALSE)</f>
        <v>15.35</v>
      </c>
      <c r="N343" t="str">
        <f>VLOOKUP($J343,'[1]Table S6'!$A:$AI,5,FALSE)</f>
        <v>No</v>
      </c>
      <c r="P343">
        <f>VLOOKUP($J343,'[1]Table S6'!$A:$AI,7,FALSE)</f>
        <v>347.5</v>
      </c>
      <c r="Q343">
        <f>VLOOKUP($J343,'[1]Table S6'!$A:$AI,8,FALSE)</f>
        <v>0.73951904660566103</v>
      </c>
      <c r="R343">
        <f>VLOOKUP($J343,'[1]Table S6'!$A:$AI,9,FALSE)</f>
        <v>4.88</v>
      </c>
      <c r="S343" t="str">
        <f>VLOOKUP($J343,'[1]Table S6'!$A:$AI,10,FALSE)</f>
        <v>No</v>
      </c>
      <c r="U343">
        <f>VLOOKUP($J343,'[1]Table S6'!$A:$AI,12,FALSE)</f>
        <v>433.9</v>
      </c>
      <c r="V343">
        <f>VLOOKUP($J343,'[1]Table S6'!$A:$AI,13,FALSE)</f>
        <v>0.92338795488401804</v>
      </c>
      <c r="W343">
        <f>VLOOKUP($J343,'[1]Table S6'!$A:$AI,14,FALSE)</f>
        <v>47.88</v>
      </c>
      <c r="X343" t="str">
        <f>VLOOKUP($J343,'[1]Table S6'!$A:$AI,15,FALSE)</f>
        <v>No</v>
      </c>
      <c r="Z343">
        <f>VLOOKUP($J343,'[1]Table S6'!$A:$AI,17,FALSE)</f>
        <v>377.4</v>
      </c>
      <c r="AA343">
        <f>VLOOKUP($J343,'[1]Table S6'!$A:$AI,18,FALSE)</f>
        <v>0.80314960629921295</v>
      </c>
      <c r="AB343">
        <f>VLOOKUP($J343,'[1]Table S6'!$A:$AI,19,FALSE)</f>
        <v>10.83</v>
      </c>
      <c r="AC343" t="str">
        <f>VLOOKUP($J343,'[1]Table S6'!$A:$AI,20,FALSE)</f>
        <v>No</v>
      </c>
      <c r="AE343">
        <f>VLOOKUP($J343,'[1]Table S6'!$A:$AI,22,FALSE)</f>
        <v>426</v>
      </c>
      <c r="AF343">
        <f>VLOOKUP($J343,'[1]Table S6'!$A:$AI,23,FALSE)</f>
        <v>0.90657586720578898</v>
      </c>
      <c r="AG343">
        <f>VLOOKUP($J343,'[1]Table S6'!$A:$AI,24,FALSE)</f>
        <v>35.96</v>
      </c>
      <c r="AH343" t="str">
        <f>VLOOKUP($J343,'[1]Table S6'!$A:$AI,25,FALSE)</f>
        <v>No</v>
      </c>
      <c r="AJ343">
        <f>VLOOKUP($J343,'[1]Table S6'!$A:$AI,27,FALSE)</f>
        <v>456.8</v>
      </c>
      <c r="AK343">
        <f>VLOOKUP($J343,'[1]Table S6'!$A:$AI,28,FALSE)</f>
        <v>0.97212172802723995</v>
      </c>
      <c r="AL343">
        <f>VLOOKUP($J343,'[1]Table S6'!$A:$AI,29,FALSE)</f>
        <v>166.2</v>
      </c>
      <c r="AM343" t="str">
        <f>VLOOKUP($J343,'[1]Table S6'!$A:$AI,30,FALSE)</f>
        <v>No</v>
      </c>
      <c r="AO343">
        <f>VLOOKUP($J343,'[1]Table S6'!$A:$AI,32,FALSE)</f>
        <v>462.2</v>
      </c>
      <c r="AP343">
        <f>VLOOKUP($J343,'[1]Table S6'!$A:$AI,33,FALSE)</f>
        <v>0.98361353479463698</v>
      </c>
      <c r="AQ343">
        <f>VLOOKUP($J343,'[1]Table S6'!$A:$AI,34,FALSE)</f>
        <v>237.3</v>
      </c>
      <c r="AR343" t="str">
        <f>VLOOKUP($J343,'[1]Table S6'!$A:$AI,35,FALSE)</f>
        <v>No</v>
      </c>
      <c r="AT343" t="str">
        <f>VLOOKUP($I343,'[2]Table S5'!$A:$K,8,FALSE)</f>
        <v>Resistant</v>
      </c>
      <c r="AU343" t="str">
        <f>VLOOKUP($I343,'[2]Table S5'!$A:$K,9,FALSE)</f>
        <v>Resistant</v>
      </c>
      <c r="AV343" t="str">
        <f>VLOOKUP($I343,'[2]Table S5'!$A:$K,10,FALSE)</f>
        <v>Resistant</v>
      </c>
      <c r="AW343" t="str">
        <f>VLOOKUP($I343,'[2]Table S5'!$A:$K,11,FALSE)</f>
        <v>Resistant</v>
      </c>
    </row>
    <row r="344" spans="1:49">
      <c r="A344" s="12" t="s">
        <v>2597</v>
      </c>
      <c r="B344" t="s">
        <v>2598</v>
      </c>
      <c r="C344" t="s">
        <v>2599</v>
      </c>
      <c r="D344" t="s">
        <v>17</v>
      </c>
      <c r="E344" t="s">
        <v>2600</v>
      </c>
      <c r="F344" s="12" t="s">
        <v>2601</v>
      </c>
      <c r="G344" t="s">
        <v>2602</v>
      </c>
      <c r="H344" t="s">
        <v>2603</v>
      </c>
      <c r="I344" t="s">
        <v>2604</v>
      </c>
      <c r="J344" t="s">
        <v>2605</v>
      </c>
      <c r="K344">
        <f>VLOOKUP($J344,'[1]Table S6'!$A:$AI,2,FALSE)</f>
        <v>395.6</v>
      </c>
      <c r="L344">
        <f>VLOOKUP($J344,'[1]Table S6'!$A:$AI,3,FALSE)</f>
        <v>0.84188125133006997</v>
      </c>
      <c r="M344">
        <f>VLOOKUP($J344,'[1]Table S6'!$A:$AI,4,FALSE)</f>
        <v>121.7</v>
      </c>
      <c r="N344" t="str">
        <f>VLOOKUP($J344,'[1]Table S6'!$A:$AI,5,FALSE)</f>
        <v>No</v>
      </c>
      <c r="P344">
        <f>VLOOKUP($J344,'[1]Table S6'!$A:$AI,7,FALSE)</f>
        <v>368.4</v>
      </c>
      <c r="Q344">
        <f>VLOOKUP($J344,'[1]Table S6'!$A:$AI,8,FALSE)</f>
        <v>0.78399659502021701</v>
      </c>
      <c r="R344">
        <f>VLOOKUP($J344,'[1]Table S6'!$A:$AI,9,FALSE)</f>
        <v>9.2349999999999994</v>
      </c>
      <c r="S344" t="str">
        <f>VLOOKUP($J344,'[1]Table S6'!$A:$AI,10,FALSE)</f>
        <v>No</v>
      </c>
      <c r="U344">
        <f>VLOOKUP($J344,'[1]Table S6'!$A:$AI,12,FALSE)</f>
        <v>413.2</v>
      </c>
      <c r="V344">
        <f>VLOOKUP($J344,'[1]Table S6'!$A:$AI,13,FALSE)</f>
        <v>0.87933602894232799</v>
      </c>
      <c r="W344">
        <f>VLOOKUP($J344,'[1]Table S6'!$A:$AI,14,FALSE)</f>
        <v>34.369999999999997</v>
      </c>
      <c r="X344" t="str">
        <f>VLOOKUP($J344,'[1]Table S6'!$A:$AI,15,FALSE)</f>
        <v>No</v>
      </c>
      <c r="Z344">
        <f>VLOOKUP($J344,'[1]Table S6'!$A:$AI,17,FALSE)</f>
        <v>349.1</v>
      </c>
      <c r="AA344">
        <f>VLOOKUP($J344,'[1]Table S6'!$A:$AI,18,FALSE)</f>
        <v>0.74292402638859301</v>
      </c>
      <c r="AB344">
        <f>VLOOKUP($J344,'[1]Table S6'!$A:$AI,19,FALSE)</f>
        <v>9.0220000000000002</v>
      </c>
      <c r="AC344" t="str">
        <f>VLOOKUP($J344,'[1]Table S6'!$A:$AI,20,FALSE)</f>
        <v>No</v>
      </c>
      <c r="AE344">
        <f>VLOOKUP($J344,'[1]Table S6'!$A:$AI,22,FALSE)</f>
        <v>392</v>
      </c>
      <c r="AF344">
        <f>VLOOKUP($J344,'[1]Table S6'!$A:$AI,23,FALSE)</f>
        <v>0.83422004681847195</v>
      </c>
      <c r="AG344">
        <f>VLOOKUP($J344,'[1]Table S6'!$A:$AI,24,FALSE)</f>
        <v>20.86</v>
      </c>
      <c r="AH344" t="str">
        <f>VLOOKUP($J344,'[1]Table S6'!$A:$AI,25,FALSE)</f>
        <v>No</v>
      </c>
      <c r="AJ344">
        <f>VLOOKUP($J344,'[1]Table S6'!$A:$AI,27,FALSE)</f>
        <v>390.6</v>
      </c>
      <c r="AK344">
        <f>VLOOKUP($J344,'[1]Table S6'!$A:$AI,28,FALSE)</f>
        <v>0.83124068950840602</v>
      </c>
      <c r="AL344">
        <f>VLOOKUP($J344,'[1]Table S6'!$A:$AI,29,FALSE)</f>
        <v>77.680000000000007</v>
      </c>
      <c r="AM344" t="str">
        <f>VLOOKUP($J344,'[1]Table S6'!$A:$AI,30,FALSE)</f>
        <v>No</v>
      </c>
      <c r="AO344">
        <f>VLOOKUP($J344,'[1]Table S6'!$A:$AI,32,FALSE)</f>
        <v>384.3</v>
      </c>
      <c r="AP344">
        <f>VLOOKUP($J344,'[1]Table S6'!$A:$AI,33,FALSE)</f>
        <v>0.81783358161310904</v>
      </c>
      <c r="AQ344">
        <f>VLOOKUP($J344,'[1]Table S6'!$A:$AI,34,FALSE)</f>
        <v>44.76</v>
      </c>
      <c r="AR344" t="str">
        <f>VLOOKUP($J344,'[1]Table S6'!$A:$AI,35,FALSE)</f>
        <v>No</v>
      </c>
      <c r="AT344" t="str">
        <f>VLOOKUP($I344,'[2]Table S5'!$A:$K,8,FALSE)</f>
        <v>Resistant</v>
      </c>
      <c r="AU344" t="str">
        <f>VLOOKUP($I344,'[2]Table S5'!$A:$K,9,FALSE)</f>
        <v>Resistant</v>
      </c>
      <c r="AV344" t="str">
        <f>VLOOKUP($I344,'[2]Table S5'!$A:$K,10,FALSE)</f>
        <v>Resistant</v>
      </c>
      <c r="AW344" t="str">
        <f>VLOOKUP($I344,'[2]Table S5'!$A:$K,11,FALSE)</f>
        <v>Resistant</v>
      </c>
    </row>
    <row r="345" spans="1:49">
      <c r="A345" s="12" t="s">
        <v>2606</v>
      </c>
      <c r="B345" t="s">
        <v>2607</v>
      </c>
      <c r="C345" t="s">
        <v>2608</v>
      </c>
      <c r="D345" t="s">
        <v>17</v>
      </c>
      <c r="E345" t="s">
        <v>2609</v>
      </c>
      <c r="F345" s="12" t="s">
        <v>2610</v>
      </c>
      <c r="G345" t="s">
        <v>2611</v>
      </c>
      <c r="H345" t="s">
        <v>2612</v>
      </c>
      <c r="I345" t="s">
        <v>2604</v>
      </c>
      <c r="J345" t="s">
        <v>2613</v>
      </c>
      <c r="K345">
        <f>VLOOKUP($J345,'[1]Table S6'!$A:$AI,2,FALSE)</f>
        <v>398.2</v>
      </c>
      <c r="L345">
        <f>VLOOKUP($J345,'[1]Table S6'!$A:$AI,3,FALSE)</f>
        <v>0.84741434347733602</v>
      </c>
      <c r="M345">
        <f>VLOOKUP($J345,'[1]Table S6'!$A:$AI,4,FALSE)</f>
        <v>38.25</v>
      </c>
      <c r="N345" t="str">
        <f>VLOOKUP($J345,'[1]Table S6'!$A:$AI,5,FALSE)</f>
        <v>No</v>
      </c>
      <c r="P345">
        <f>VLOOKUP($J345,'[1]Table S6'!$A:$AI,7,FALSE)</f>
        <v>349.5</v>
      </c>
      <c r="Q345">
        <f>VLOOKUP($J345,'[1]Table S6'!$A:$AI,8,FALSE)</f>
        <v>0.74377527133432697</v>
      </c>
      <c r="R345">
        <f>VLOOKUP($J345,'[1]Table S6'!$A:$AI,9,FALSE)</f>
        <v>4.6710000000000003</v>
      </c>
      <c r="S345" t="str">
        <f>VLOOKUP($J345,'[1]Table S6'!$A:$AI,10,FALSE)</f>
        <v>No</v>
      </c>
      <c r="U345">
        <f>VLOOKUP($J345,'[1]Table S6'!$A:$AI,12,FALSE)</f>
        <v>325.39999999999998</v>
      </c>
      <c r="V345">
        <f>VLOOKUP($J345,'[1]Table S6'!$A:$AI,13,FALSE)</f>
        <v>0.69248776335390505</v>
      </c>
      <c r="W345">
        <f>VLOOKUP($J345,'[1]Table S6'!$A:$AI,14,FALSE)</f>
        <v>2.1970000000000001</v>
      </c>
      <c r="X345" t="str">
        <f>VLOOKUP($J345,'[1]Table S6'!$A:$AI,15,FALSE)</f>
        <v>Yes</v>
      </c>
      <c r="Z345">
        <f>VLOOKUP($J345,'[1]Table S6'!$A:$AI,17,FALSE)</f>
        <v>322.7</v>
      </c>
      <c r="AA345">
        <f>VLOOKUP($J345,'[1]Table S6'!$A:$AI,18,FALSE)</f>
        <v>0.68674185997020598</v>
      </c>
      <c r="AB345">
        <f>VLOOKUP($J345,'[1]Table S6'!$A:$AI,19,FALSE)</f>
        <v>1.841</v>
      </c>
      <c r="AC345" t="str">
        <f>VLOOKUP($J345,'[1]Table S6'!$A:$AI,20,FALSE)</f>
        <v>Yes</v>
      </c>
      <c r="AE345">
        <f>VLOOKUP($J345,'[1]Table S6'!$A:$AI,22,FALSE)</f>
        <v>365.2</v>
      </c>
      <c r="AF345">
        <f>VLOOKUP($J345,'[1]Table S6'!$A:$AI,23,FALSE)</f>
        <v>0.77718663545435196</v>
      </c>
      <c r="AG345">
        <f>VLOOKUP($J345,'[1]Table S6'!$A:$AI,24,FALSE)</f>
        <v>11.57</v>
      </c>
      <c r="AH345" t="str">
        <f>VLOOKUP($J345,'[1]Table S6'!$A:$AI,25,FALSE)</f>
        <v>No</v>
      </c>
      <c r="AJ345">
        <f>VLOOKUP($J345,'[1]Table S6'!$A:$AI,27,FALSE)</f>
        <v>409.9</v>
      </c>
      <c r="AK345">
        <f>VLOOKUP($J345,'[1]Table S6'!$A:$AI,28,FALSE)</f>
        <v>0.87231325814003002</v>
      </c>
      <c r="AL345">
        <f>VLOOKUP($J345,'[1]Table S6'!$A:$AI,29,FALSE)</f>
        <v>85.21</v>
      </c>
      <c r="AM345" t="str">
        <f>VLOOKUP($J345,'[1]Table S6'!$A:$AI,30,FALSE)</f>
        <v>No</v>
      </c>
      <c r="AO345">
        <f>VLOOKUP($J345,'[1]Table S6'!$A:$AI,32,FALSE)</f>
        <v>407.2</v>
      </c>
      <c r="AP345">
        <f>VLOOKUP($J345,'[1]Table S6'!$A:$AI,33,FALSE)</f>
        <v>0.86656735475633095</v>
      </c>
      <c r="AQ345">
        <f>VLOOKUP($J345,'[1]Table S6'!$A:$AI,34,FALSE)</f>
        <v>110</v>
      </c>
      <c r="AR345" t="str">
        <f>VLOOKUP($J345,'[1]Table S6'!$A:$AI,35,FALSE)</f>
        <v>No</v>
      </c>
      <c r="AT345" t="str">
        <f>VLOOKUP($I345,'[2]Table S5'!$A:$K,8,FALSE)</f>
        <v>Resistant</v>
      </c>
      <c r="AU345" t="str">
        <f>VLOOKUP($I345,'[2]Table S5'!$A:$K,9,FALSE)</f>
        <v>Resistant</v>
      </c>
      <c r="AV345" t="str">
        <f>VLOOKUP($I345,'[2]Table S5'!$A:$K,10,FALSE)</f>
        <v>Resistant</v>
      </c>
      <c r="AW345" t="str">
        <f>VLOOKUP($I345,'[2]Table S5'!$A:$K,11,FALSE)</f>
        <v>Resistant</v>
      </c>
    </row>
    <row r="346" spans="1:49">
      <c r="A346" s="12" t="s">
        <v>2614</v>
      </c>
      <c r="B346" t="s">
        <v>2615</v>
      </c>
      <c r="C346" t="s">
        <v>2616</v>
      </c>
      <c r="D346" t="s">
        <v>17</v>
      </c>
      <c r="E346" t="s">
        <v>2617</v>
      </c>
      <c r="F346" s="12" t="s">
        <v>2618</v>
      </c>
      <c r="G346" t="s">
        <v>2619</v>
      </c>
      <c r="H346" t="s">
        <v>2620</v>
      </c>
      <c r="I346" t="s">
        <v>2604</v>
      </c>
      <c r="J346" t="s">
        <v>2621</v>
      </c>
      <c r="K346">
        <f>VLOOKUP($J346,'[1]Table S6'!$A:$AI,2,FALSE)</f>
        <v>411.1</v>
      </c>
      <c r="L346">
        <f>VLOOKUP($J346,'[1]Table S6'!$A:$AI,3,FALSE)</f>
        <v>0.87486699297722903</v>
      </c>
      <c r="M346">
        <f>VLOOKUP($J346,'[1]Table S6'!$A:$AI,4,FALSE)</f>
        <v>31.31</v>
      </c>
      <c r="N346" t="str">
        <f>VLOOKUP($J346,'[1]Table S6'!$A:$AI,5,FALSE)</f>
        <v>No</v>
      </c>
      <c r="P346">
        <f>VLOOKUP($J346,'[1]Table S6'!$A:$AI,7,FALSE)</f>
        <v>324.7</v>
      </c>
      <c r="Q346">
        <f>VLOOKUP($J346,'[1]Table S6'!$A:$AI,8,FALSE)</f>
        <v>0.69099808469887203</v>
      </c>
      <c r="R346">
        <f>VLOOKUP($J346,'[1]Table S6'!$A:$AI,9,FALSE)</f>
        <v>2.1800000000000002</v>
      </c>
      <c r="S346" t="str">
        <f>VLOOKUP($J346,'[1]Table S6'!$A:$AI,10,FALSE)</f>
        <v>Yes</v>
      </c>
      <c r="U346">
        <f>VLOOKUP($J346,'[1]Table S6'!$A:$AI,12,FALSE)</f>
        <v>361.2</v>
      </c>
      <c r="V346">
        <f>VLOOKUP($J346,'[1]Table S6'!$A:$AI,13,FALSE)</f>
        <v>0.76867418599702098</v>
      </c>
      <c r="W346">
        <f>VLOOKUP($J346,'[1]Table S6'!$A:$AI,14,FALSE)</f>
        <v>4.1059999999999999</v>
      </c>
      <c r="X346" t="str">
        <f>VLOOKUP($J346,'[1]Table S6'!$A:$AI,15,FALSE)</f>
        <v>No</v>
      </c>
      <c r="Z346">
        <f>VLOOKUP($J346,'[1]Table S6'!$A:$AI,17,FALSE)</f>
        <v>321.8</v>
      </c>
      <c r="AA346">
        <f>VLOOKUP($J346,'[1]Table S6'!$A:$AI,18,FALSE)</f>
        <v>0.68482655884230703</v>
      </c>
      <c r="AB346">
        <f>VLOOKUP($J346,'[1]Table S6'!$A:$AI,19,FALSE)</f>
        <v>2.1989999999999998</v>
      </c>
      <c r="AC346" t="str">
        <f>VLOOKUP($J346,'[1]Table S6'!$A:$AI,20,FALSE)</f>
        <v>Yes</v>
      </c>
      <c r="AE346">
        <f>VLOOKUP($J346,'[1]Table S6'!$A:$AI,22,FALSE)</f>
        <v>434.7</v>
      </c>
      <c r="AF346">
        <f>VLOOKUP($J346,'[1]Table S6'!$A:$AI,23,FALSE)</f>
        <v>0.92509044477548397</v>
      </c>
      <c r="AG346">
        <f>VLOOKUP($J346,'[1]Table S6'!$A:$AI,24,FALSE)</f>
        <v>66.05</v>
      </c>
      <c r="AH346" t="str">
        <f>VLOOKUP($J346,'[1]Table S6'!$A:$AI,25,FALSE)</f>
        <v>No</v>
      </c>
      <c r="AJ346">
        <f>VLOOKUP($J346,'[1]Table S6'!$A:$AI,27,FALSE)</f>
        <v>453.6</v>
      </c>
      <c r="AK346">
        <f>VLOOKUP($J346,'[1]Table S6'!$A:$AI,28,FALSE)</f>
        <v>0.96531176846137501</v>
      </c>
      <c r="AL346">
        <f>VLOOKUP($J346,'[1]Table S6'!$A:$AI,29,FALSE)</f>
        <v>172.5</v>
      </c>
      <c r="AM346" t="str">
        <f>VLOOKUP($J346,'[1]Table S6'!$A:$AI,30,FALSE)</f>
        <v>No</v>
      </c>
      <c r="AO346">
        <f>VLOOKUP($J346,'[1]Table S6'!$A:$AI,32,FALSE)</f>
        <v>438</v>
      </c>
      <c r="AP346">
        <f>VLOOKUP($J346,'[1]Table S6'!$A:$AI,33,FALSE)</f>
        <v>0.93211321557778304</v>
      </c>
      <c r="AQ346">
        <f>VLOOKUP($J346,'[1]Table S6'!$A:$AI,34,FALSE)</f>
        <v>59.73</v>
      </c>
      <c r="AR346" t="str">
        <f>VLOOKUP($J346,'[1]Table S6'!$A:$AI,35,FALSE)</f>
        <v>No</v>
      </c>
      <c r="AT346" t="str">
        <f>VLOOKUP($I346,'[2]Table S5'!$A:$K,8,FALSE)</f>
        <v>Resistant</v>
      </c>
      <c r="AU346" t="str">
        <f>VLOOKUP($I346,'[2]Table S5'!$A:$K,9,FALSE)</f>
        <v>Resistant</v>
      </c>
      <c r="AV346" t="str">
        <f>VLOOKUP($I346,'[2]Table S5'!$A:$K,10,FALSE)</f>
        <v>Resistant</v>
      </c>
      <c r="AW346" t="str">
        <f>VLOOKUP($I346,'[2]Table S5'!$A:$K,11,FALSE)</f>
        <v>Resistant</v>
      </c>
    </row>
    <row r="347" spans="1:49">
      <c r="A347" s="12" t="s">
        <v>2622</v>
      </c>
      <c r="B347" t="s">
        <v>2623</v>
      </c>
      <c r="C347" t="s">
        <v>2624</v>
      </c>
      <c r="D347" t="s">
        <v>17</v>
      </c>
      <c r="E347" t="s">
        <v>2625</v>
      </c>
      <c r="F347" s="12" t="s">
        <v>2626</v>
      </c>
      <c r="G347" t="s">
        <v>2627</v>
      </c>
      <c r="H347" t="s">
        <v>2628</v>
      </c>
      <c r="I347" t="s">
        <v>2604</v>
      </c>
      <c r="J347" t="s">
        <v>2605</v>
      </c>
      <c r="K347">
        <f>VLOOKUP($J347,'[1]Table S6'!$A:$AI,2,FALSE)</f>
        <v>395.6</v>
      </c>
      <c r="L347">
        <f>VLOOKUP($J347,'[1]Table S6'!$A:$AI,3,FALSE)</f>
        <v>0.84188125133006997</v>
      </c>
      <c r="M347">
        <f>VLOOKUP($J347,'[1]Table S6'!$A:$AI,4,FALSE)</f>
        <v>121.7</v>
      </c>
      <c r="N347" t="str">
        <f>VLOOKUP($J347,'[1]Table S6'!$A:$AI,5,FALSE)</f>
        <v>No</v>
      </c>
      <c r="P347">
        <f>VLOOKUP($J347,'[1]Table S6'!$A:$AI,7,FALSE)</f>
        <v>368.4</v>
      </c>
      <c r="Q347">
        <f>VLOOKUP($J347,'[1]Table S6'!$A:$AI,8,FALSE)</f>
        <v>0.78399659502021701</v>
      </c>
      <c r="R347">
        <f>VLOOKUP($J347,'[1]Table S6'!$A:$AI,9,FALSE)</f>
        <v>9.2349999999999994</v>
      </c>
      <c r="S347" t="str">
        <f>VLOOKUP($J347,'[1]Table S6'!$A:$AI,10,FALSE)</f>
        <v>No</v>
      </c>
      <c r="U347">
        <f>VLOOKUP($J347,'[1]Table S6'!$A:$AI,12,FALSE)</f>
        <v>413.2</v>
      </c>
      <c r="V347">
        <f>VLOOKUP($J347,'[1]Table S6'!$A:$AI,13,FALSE)</f>
        <v>0.87933602894232799</v>
      </c>
      <c r="W347">
        <f>VLOOKUP($J347,'[1]Table S6'!$A:$AI,14,FALSE)</f>
        <v>34.369999999999997</v>
      </c>
      <c r="X347" t="str">
        <f>VLOOKUP($J347,'[1]Table S6'!$A:$AI,15,FALSE)</f>
        <v>No</v>
      </c>
      <c r="Z347">
        <f>VLOOKUP($J347,'[1]Table S6'!$A:$AI,17,FALSE)</f>
        <v>349.1</v>
      </c>
      <c r="AA347">
        <f>VLOOKUP($J347,'[1]Table S6'!$A:$AI,18,FALSE)</f>
        <v>0.74292402638859301</v>
      </c>
      <c r="AB347">
        <f>VLOOKUP($J347,'[1]Table S6'!$A:$AI,19,FALSE)</f>
        <v>9.0220000000000002</v>
      </c>
      <c r="AC347" t="str">
        <f>VLOOKUP($J347,'[1]Table S6'!$A:$AI,20,FALSE)</f>
        <v>No</v>
      </c>
      <c r="AE347">
        <f>VLOOKUP($J347,'[1]Table S6'!$A:$AI,22,FALSE)</f>
        <v>392</v>
      </c>
      <c r="AF347">
        <f>VLOOKUP($J347,'[1]Table S6'!$A:$AI,23,FALSE)</f>
        <v>0.83422004681847195</v>
      </c>
      <c r="AG347">
        <f>VLOOKUP($J347,'[1]Table S6'!$A:$AI,24,FALSE)</f>
        <v>20.86</v>
      </c>
      <c r="AH347" t="str">
        <f>VLOOKUP($J347,'[1]Table S6'!$A:$AI,25,FALSE)</f>
        <v>No</v>
      </c>
      <c r="AJ347">
        <f>VLOOKUP($J347,'[1]Table S6'!$A:$AI,27,FALSE)</f>
        <v>390.6</v>
      </c>
      <c r="AK347">
        <f>VLOOKUP($J347,'[1]Table S6'!$A:$AI,28,FALSE)</f>
        <v>0.83124068950840602</v>
      </c>
      <c r="AL347">
        <f>VLOOKUP($J347,'[1]Table S6'!$A:$AI,29,FALSE)</f>
        <v>77.680000000000007</v>
      </c>
      <c r="AM347" t="str">
        <f>VLOOKUP($J347,'[1]Table S6'!$A:$AI,30,FALSE)</f>
        <v>No</v>
      </c>
      <c r="AO347">
        <f>VLOOKUP($J347,'[1]Table S6'!$A:$AI,32,FALSE)</f>
        <v>384.3</v>
      </c>
      <c r="AP347">
        <f>VLOOKUP($J347,'[1]Table S6'!$A:$AI,33,FALSE)</f>
        <v>0.81783358161310904</v>
      </c>
      <c r="AQ347">
        <f>VLOOKUP($J347,'[1]Table S6'!$A:$AI,34,FALSE)</f>
        <v>44.76</v>
      </c>
      <c r="AR347" t="str">
        <f>VLOOKUP($J347,'[1]Table S6'!$A:$AI,35,FALSE)</f>
        <v>No</v>
      </c>
      <c r="AT347" t="str">
        <f>VLOOKUP($I347,'[2]Table S5'!$A:$K,8,FALSE)</f>
        <v>Resistant</v>
      </c>
      <c r="AU347" t="str">
        <f>VLOOKUP($I347,'[2]Table S5'!$A:$K,9,FALSE)</f>
        <v>Resistant</v>
      </c>
      <c r="AV347" t="str">
        <f>VLOOKUP($I347,'[2]Table S5'!$A:$K,10,FALSE)</f>
        <v>Resistant</v>
      </c>
      <c r="AW347" t="str">
        <f>VLOOKUP($I347,'[2]Table S5'!$A:$K,11,FALSE)</f>
        <v>Resistant</v>
      </c>
    </row>
    <row r="348" spans="1:49">
      <c r="A348" s="12" t="s">
        <v>2629</v>
      </c>
      <c r="B348" t="s">
        <v>2630</v>
      </c>
      <c r="C348" t="s">
        <v>2631</v>
      </c>
      <c r="D348" t="s">
        <v>17</v>
      </c>
      <c r="E348" t="s">
        <v>2632</v>
      </c>
      <c r="F348" s="12" t="s">
        <v>2633</v>
      </c>
      <c r="G348" t="s">
        <v>2634</v>
      </c>
      <c r="H348" t="s">
        <v>2635</v>
      </c>
      <c r="I348" t="s">
        <v>2604</v>
      </c>
      <c r="J348" t="s">
        <v>2613</v>
      </c>
      <c r="K348">
        <f>VLOOKUP($J348,'[1]Table S6'!$A:$AI,2,FALSE)</f>
        <v>398.2</v>
      </c>
      <c r="L348">
        <f>VLOOKUP($J348,'[1]Table S6'!$A:$AI,3,FALSE)</f>
        <v>0.84741434347733602</v>
      </c>
      <c r="M348">
        <f>VLOOKUP($J348,'[1]Table S6'!$A:$AI,4,FALSE)</f>
        <v>38.25</v>
      </c>
      <c r="N348" t="str">
        <f>VLOOKUP($J348,'[1]Table S6'!$A:$AI,5,FALSE)</f>
        <v>No</v>
      </c>
      <c r="P348">
        <f>VLOOKUP($J348,'[1]Table S6'!$A:$AI,7,FALSE)</f>
        <v>349.5</v>
      </c>
      <c r="Q348">
        <f>VLOOKUP($J348,'[1]Table S6'!$A:$AI,8,FALSE)</f>
        <v>0.74377527133432697</v>
      </c>
      <c r="R348">
        <f>VLOOKUP($J348,'[1]Table S6'!$A:$AI,9,FALSE)</f>
        <v>4.6710000000000003</v>
      </c>
      <c r="S348" t="str">
        <f>VLOOKUP($J348,'[1]Table S6'!$A:$AI,10,FALSE)</f>
        <v>No</v>
      </c>
      <c r="U348">
        <f>VLOOKUP($J348,'[1]Table S6'!$A:$AI,12,FALSE)</f>
        <v>325.39999999999998</v>
      </c>
      <c r="V348">
        <f>VLOOKUP($J348,'[1]Table S6'!$A:$AI,13,FALSE)</f>
        <v>0.69248776335390505</v>
      </c>
      <c r="W348">
        <f>VLOOKUP($J348,'[1]Table S6'!$A:$AI,14,FALSE)</f>
        <v>2.1970000000000001</v>
      </c>
      <c r="X348" t="str">
        <f>VLOOKUP($J348,'[1]Table S6'!$A:$AI,15,FALSE)</f>
        <v>Yes</v>
      </c>
      <c r="Z348">
        <f>VLOOKUP($J348,'[1]Table S6'!$A:$AI,17,FALSE)</f>
        <v>322.7</v>
      </c>
      <c r="AA348">
        <f>VLOOKUP($J348,'[1]Table S6'!$A:$AI,18,FALSE)</f>
        <v>0.68674185997020598</v>
      </c>
      <c r="AB348">
        <f>VLOOKUP($J348,'[1]Table S6'!$A:$AI,19,FALSE)</f>
        <v>1.841</v>
      </c>
      <c r="AC348" t="str">
        <f>VLOOKUP($J348,'[1]Table S6'!$A:$AI,20,FALSE)</f>
        <v>Yes</v>
      </c>
      <c r="AE348">
        <f>VLOOKUP($J348,'[1]Table S6'!$A:$AI,22,FALSE)</f>
        <v>365.2</v>
      </c>
      <c r="AF348">
        <f>VLOOKUP($J348,'[1]Table S6'!$A:$AI,23,FALSE)</f>
        <v>0.77718663545435196</v>
      </c>
      <c r="AG348">
        <f>VLOOKUP($J348,'[1]Table S6'!$A:$AI,24,FALSE)</f>
        <v>11.57</v>
      </c>
      <c r="AH348" t="str">
        <f>VLOOKUP($J348,'[1]Table S6'!$A:$AI,25,FALSE)</f>
        <v>No</v>
      </c>
      <c r="AJ348">
        <f>VLOOKUP($J348,'[1]Table S6'!$A:$AI,27,FALSE)</f>
        <v>409.9</v>
      </c>
      <c r="AK348">
        <f>VLOOKUP($J348,'[1]Table S6'!$A:$AI,28,FALSE)</f>
        <v>0.87231325814003002</v>
      </c>
      <c r="AL348">
        <f>VLOOKUP($J348,'[1]Table S6'!$A:$AI,29,FALSE)</f>
        <v>85.21</v>
      </c>
      <c r="AM348" t="str">
        <f>VLOOKUP($J348,'[1]Table S6'!$A:$AI,30,FALSE)</f>
        <v>No</v>
      </c>
      <c r="AO348">
        <f>VLOOKUP($J348,'[1]Table S6'!$A:$AI,32,FALSE)</f>
        <v>407.2</v>
      </c>
      <c r="AP348">
        <f>VLOOKUP($J348,'[1]Table S6'!$A:$AI,33,FALSE)</f>
        <v>0.86656735475633095</v>
      </c>
      <c r="AQ348">
        <f>VLOOKUP($J348,'[1]Table S6'!$A:$AI,34,FALSE)</f>
        <v>110</v>
      </c>
      <c r="AR348" t="str">
        <f>VLOOKUP($J348,'[1]Table S6'!$A:$AI,35,FALSE)</f>
        <v>No</v>
      </c>
      <c r="AT348" t="str">
        <f>VLOOKUP($I348,'[2]Table S5'!$A:$K,8,FALSE)</f>
        <v>Resistant</v>
      </c>
      <c r="AU348" t="str">
        <f>VLOOKUP($I348,'[2]Table S5'!$A:$K,9,FALSE)</f>
        <v>Resistant</v>
      </c>
      <c r="AV348" t="str">
        <f>VLOOKUP($I348,'[2]Table S5'!$A:$K,10,FALSE)</f>
        <v>Resistant</v>
      </c>
      <c r="AW348" t="str">
        <f>VLOOKUP($I348,'[2]Table S5'!$A:$K,11,FALSE)</f>
        <v>Resistant</v>
      </c>
    </row>
    <row r="349" spans="1:49">
      <c r="A349" s="12" t="s">
        <v>2636</v>
      </c>
      <c r="B349" t="s">
        <v>2637</v>
      </c>
      <c r="C349" t="s">
        <v>2638</v>
      </c>
      <c r="D349" t="s">
        <v>17</v>
      </c>
      <c r="E349" t="s">
        <v>2639</v>
      </c>
      <c r="F349" s="12" t="s">
        <v>2640</v>
      </c>
      <c r="G349" t="s">
        <v>2641</v>
      </c>
      <c r="H349" t="s">
        <v>2642</v>
      </c>
      <c r="I349" t="s">
        <v>2604</v>
      </c>
      <c r="J349" t="s">
        <v>2621</v>
      </c>
      <c r="K349">
        <f>VLOOKUP($J349,'[1]Table S6'!$A:$AI,2,FALSE)</f>
        <v>411.1</v>
      </c>
      <c r="L349">
        <f>VLOOKUP($J349,'[1]Table S6'!$A:$AI,3,FALSE)</f>
        <v>0.87486699297722903</v>
      </c>
      <c r="M349">
        <f>VLOOKUP($J349,'[1]Table S6'!$A:$AI,4,FALSE)</f>
        <v>31.31</v>
      </c>
      <c r="N349" t="str">
        <f>VLOOKUP($J349,'[1]Table S6'!$A:$AI,5,FALSE)</f>
        <v>No</v>
      </c>
      <c r="P349">
        <f>VLOOKUP($J349,'[1]Table S6'!$A:$AI,7,FALSE)</f>
        <v>324.7</v>
      </c>
      <c r="Q349">
        <f>VLOOKUP($J349,'[1]Table S6'!$A:$AI,8,FALSE)</f>
        <v>0.69099808469887203</v>
      </c>
      <c r="R349">
        <f>VLOOKUP($J349,'[1]Table S6'!$A:$AI,9,FALSE)</f>
        <v>2.1800000000000002</v>
      </c>
      <c r="S349" t="str">
        <f>VLOOKUP($J349,'[1]Table S6'!$A:$AI,10,FALSE)</f>
        <v>Yes</v>
      </c>
      <c r="U349">
        <f>VLOOKUP($J349,'[1]Table S6'!$A:$AI,12,FALSE)</f>
        <v>361.2</v>
      </c>
      <c r="V349">
        <f>VLOOKUP($J349,'[1]Table S6'!$A:$AI,13,FALSE)</f>
        <v>0.76867418599702098</v>
      </c>
      <c r="W349">
        <f>VLOOKUP($J349,'[1]Table S6'!$A:$AI,14,FALSE)</f>
        <v>4.1059999999999999</v>
      </c>
      <c r="X349" t="str">
        <f>VLOOKUP($J349,'[1]Table S6'!$A:$AI,15,FALSE)</f>
        <v>No</v>
      </c>
      <c r="Z349">
        <f>VLOOKUP($J349,'[1]Table S6'!$A:$AI,17,FALSE)</f>
        <v>321.8</v>
      </c>
      <c r="AA349">
        <f>VLOOKUP($J349,'[1]Table S6'!$A:$AI,18,FALSE)</f>
        <v>0.68482655884230703</v>
      </c>
      <c r="AB349">
        <f>VLOOKUP($J349,'[1]Table S6'!$A:$AI,19,FALSE)</f>
        <v>2.1989999999999998</v>
      </c>
      <c r="AC349" t="str">
        <f>VLOOKUP($J349,'[1]Table S6'!$A:$AI,20,FALSE)</f>
        <v>Yes</v>
      </c>
      <c r="AE349">
        <f>VLOOKUP($J349,'[1]Table S6'!$A:$AI,22,FALSE)</f>
        <v>434.7</v>
      </c>
      <c r="AF349">
        <f>VLOOKUP($J349,'[1]Table S6'!$A:$AI,23,FALSE)</f>
        <v>0.92509044477548397</v>
      </c>
      <c r="AG349">
        <f>VLOOKUP($J349,'[1]Table S6'!$A:$AI,24,FALSE)</f>
        <v>66.05</v>
      </c>
      <c r="AH349" t="str">
        <f>VLOOKUP($J349,'[1]Table S6'!$A:$AI,25,FALSE)</f>
        <v>No</v>
      </c>
      <c r="AJ349">
        <f>VLOOKUP($J349,'[1]Table S6'!$A:$AI,27,FALSE)</f>
        <v>453.6</v>
      </c>
      <c r="AK349">
        <f>VLOOKUP($J349,'[1]Table S6'!$A:$AI,28,FALSE)</f>
        <v>0.96531176846137501</v>
      </c>
      <c r="AL349">
        <f>VLOOKUP($J349,'[1]Table S6'!$A:$AI,29,FALSE)</f>
        <v>172.5</v>
      </c>
      <c r="AM349" t="str">
        <f>VLOOKUP($J349,'[1]Table S6'!$A:$AI,30,FALSE)</f>
        <v>No</v>
      </c>
      <c r="AO349">
        <f>VLOOKUP($J349,'[1]Table S6'!$A:$AI,32,FALSE)</f>
        <v>438</v>
      </c>
      <c r="AP349">
        <f>VLOOKUP($J349,'[1]Table S6'!$A:$AI,33,FALSE)</f>
        <v>0.93211321557778304</v>
      </c>
      <c r="AQ349">
        <f>VLOOKUP($J349,'[1]Table S6'!$A:$AI,34,FALSE)</f>
        <v>59.73</v>
      </c>
      <c r="AR349" t="str">
        <f>VLOOKUP($J349,'[1]Table S6'!$A:$AI,35,FALSE)</f>
        <v>No</v>
      </c>
      <c r="AT349" t="str">
        <f>VLOOKUP($I349,'[2]Table S5'!$A:$K,8,FALSE)</f>
        <v>Resistant</v>
      </c>
      <c r="AU349" t="str">
        <f>VLOOKUP($I349,'[2]Table S5'!$A:$K,9,FALSE)</f>
        <v>Resistant</v>
      </c>
      <c r="AV349" t="str">
        <f>VLOOKUP($I349,'[2]Table S5'!$A:$K,10,FALSE)</f>
        <v>Resistant</v>
      </c>
      <c r="AW349" t="str">
        <f>VLOOKUP($I349,'[2]Table S5'!$A:$K,11,FALSE)</f>
        <v>Resistant</v>
      </c>
    </row>
    <row r="350" spans="1:49">
      <c r="A350" s="12" t="s">
        <v>2643</v>
      </c>
      <c r="B350" t="s">
        <v>2644</v>
      </c>
      <c r="C350" t="s">
        <v>2645</v>
      </c>
      <c r="D350" t="s">
        <v>17</v>
      </c>
      <c r="E350" t="s">
        <v>2646</v>
      </c>
      <c r="F350" s="12" t="s">
        <v>2647</v>
      </c>
      <c r="G350" t="s">
        <v>2648</v>
      </c>
      <c r="H350" t="s">
        <v>2649</v>
      </c>
      <c r="I350" t="s">
        <v>2650</v>
      </c>
      <c r="J350" t="s">
        <v>2651</v>
      </c>
      <c r="K350">
        <f>VLOOKUP($J350,'[1]Table S6'!$A:$AI,2,FALSE)</f>
        <v>345.2</v>
      </c>
      <c r="L350">
        <f>VLOOKUP($J350,'[1]Table S6'!$A:$AI,3,FALSE)</f>
        <v>0.73462438816769504</v>
      </c>
      <c r="M350">
        <f>VLOOKUP($J350,'[1]Table S6'!$A:$AI,4,FALSE)</f>
        <v>7.0449999999999999</v>
      </c>
      <c r="N350" t="str">
        <f>VLOOKUP($J350,'[1]Table S6'!$A:$AI,5,FALSE)</f>
        <v>No</v>
      </c>
      <c r="P350">
        <f>VLOOKUP($J350,'[1]Table S6'!$A:$AI,7,FALSE)</f>
        <v>311.10000000000002</v>
      </c>
      <c r="Q350">
        <f>VLOOKUP($J350,'[1]Table S6'!$A:$AI,8,FALSE)</f>
        <v>0.66205575654394599</v>
      </c>
      <c r="R350">
        <f>VLOOKUP($J350,'[1]Table S6'!$A:$AI,9,FALSE)</f>
        <v>1.681</v>
      </c>
      <c r="S350" t="str">
        <f>VLOOKUP($J350,'[1]Table S6'!$A:$AI,10,FALSE)</f>
        <v>Yes</v>
      </c>
      <c r="U350">
        <f>VLOOKUP($J350,'[1]Table S6'!$A:$AI,12,FALSE)</f>
        <v>307.3</v>
      </c>
      <c r="V350">
        <f>VLOOKUP($J350,'[1]Table S6'!$A:$AI,13,FALSE)</f>
        <v>0.65396892955948105</v>
      </c>
      <c r="W350">
        <f>VLOOKUP($J350,'[1]Table S6'!$A:$AI,14,FALSE)</f>
        <v>1.3919999999999999</v>
      </c>
      <c r="X350" t="str">
        <f>VLOOKUP($J350,'[1]Table S6'!$A:$AI,15,FALSE)</f>
        <v>Yes</v>
      </c>
      <c r="Z350">
        <f>VLOOKUP($J350,'[1]Table S6'!$A:$AI,17,FALSE)</f>
        <v>361.8</v>
      </c>
      <c r="AA350">
        <f>VLOOKUP($J350,'[1]Table S6'!$A:$AI,18,FALSE)</f>
        <v>0.76995105341561998</v>
      </c>
      <c r="AB350">
        <f>VLOOKUP($J350,'[1]Table S6'!$A:$AI,19,FALSE)</f>
        <v>8.1280000000000001</v>
      </c>
      <c r="AC350" t="str">
        <f>VLOOKUP($J350,'[1]Table S6'!$A:$AI,20,FALSE)</f>
        <v>No</v>
      </c>
      <c r="AE350">
        <f>VLOOKUP($J350,'[1]Table S6'!$A:$AI,22,FALSE)</f>
        <v>396.9</v>
      </c>
      <c r="AF350">
        <f>VLOOKUP($J350,'[1]Table S6'!$A:$AI,23,FALSE)</f>
        <v>0.84464779740370299</v>
      </c>
      <c r="AG350">
        <f>VLOOKUP($J350,'[1]Table S6'!$A:$AI,24,FALSE)</f>
        <v>42.4</v>
      </c>
      <c r="AH350" t="str">
        <f>VLOOKUP($J350,'[1]Table S6'!$A:$AI,25,FALSE)</f>
        <v>No</v>
      </c>
      <c r="AJ350">
        <f>VLOOKUP($J350,'[1]Table S6'!$A:$AI,27,FALSE)</f>
        <v>388.8</v>
      </c>
      <c r="AK350">
        <f>VLOOKUP($J350,'[1]Table S6'!$A:$AI,28,FALSE)</f>
        <v>0.82741008725260701</v>
      </c>
      <c r="AL350">
        <f>VLOOKUP($J350,'[1]Table S6'!$A:$AI,29,FALSE)</f>
        <v>33.54</v>
      </c>
      <c r="AM350" t="str">
        <f>VLOOKUP($J350,'[1]Table S6'!$A:$AI,30,FALSE)</f>
        <v>No</v>
      </c>
      <c r="AO350">
        <f>VLOOKUP($J350,'[1]Table S6'!$A:$AI,32,FALSE)</f>
        <v>358.1</v>
      </c>
      <c r="AP350">
        <f>VLOOKUP($J350,'[1]Table S6'!$A:$AI,33,FALSE)</f>
        <v>0.76207703766758905</v>
      </c>
      <c r="AQ350">
        <f>VLOOKUP($J350,'[1]Table S6'!$A:$AI,34,FALSE)</f>
        <v>10.34</v>
      </c>
      <c r="AR350" t="str">
        <f>VLOOKUP($J350,'[1]Table S6'!$A:$AI,35,FALSE)</f>
        <v>No</v>
      </c>
      <c r="AT350" t="str">
        <f>VLOOKUP($I350,'[2]Table S5'!$A:$K,8,FALSE)</f>
        <v>Resistant</v>
      </c>
      <c r="AU350" t="str">
        <f>VLOOKUP($I350,'[2]Table S5'!$A:$K,9,FALSE)</f>
        <v>Resistant</v>
      </c>
      <c r="AV350" t="str">
        <f>VLOOKUP($I350,'[2]Table S5'!$A:$K,10,FALSE)</f>
        <v>Sensitive</v>
      </c>
      <c r="AW350" t="str">
        <f>VLOOKUP($I350,'[2]Table S5'!$A:$K,11,FALSE)</f>
        <v>Resistant</v>
      </c>
    </row>
    <row r="351" spans="1:49">
      <c r="A351" s="12" t="s">
        <v>2652</v>
      </c>
      <c r="B351" t="s">
        <v>2653</v>
      </c>
      <c r="C351" t="s">
        <v>2654</v>
      </c>
      <c r="D351" t="s">
        <v>17</v>
      </c>
      <c r="E351" t="s">
        <v>2655</v>
      </c>
      <c r="F351" s="12" t="s">
        <v>2656</v>
      </c>
      <c r="G351" t="s">
        <v>2657</v>
      </c>
      <c r="H351" t="s">
        <v>2658</v>
      </c>
      <c r="I351" t="s">
        <v>2650</v>
      </c>
      <c r="J351" t="s">
        <v>2659</v>
      </c>
      <c r="K351">
        <f>VLOOKUP($J351,'[1]Table S6'!$A:$AI,2,FALSE)</f>
        <v>409.2</v>
      </c>
      <c r="L351">
        <f>VLOOKUP($J351,'[1]Table S6'!$A:$AI,3,FALSE)</f>
        <v>0.870823579484997</v>
      </c>
      <c r="M351">
        <f>VLOOKUP($J351,'[1]Table S6'!$A:$AI,4,FALSE)</f>
        <v>22.67</v>
      </c>
      <c r="N351" t="str">
        <f>VLOOKUP($J351,'[1]Table S6'!$A:$AI,5,FALSE)</f>
        <v>No</v>
      </c>
      <c r="P351">
        <f>VLOOKUP($J351,'[1]Table S6'!$A:$AI,7,FALSE)</f>
        <v>331.7</v>
      </c>
      <c r="Q351">
        <f>VLOOKUP($J351,'[1]Table S6'!$A:$AI,8,FALSE)</f>
        <v>0.70589487124920203</v>
      </c>
      <c r="R351">
        <f>VLOOKUP($J351,'[1]Table S6'!$A:$AI,9,FALSE)</f>
        <v>2.5099999999999998</v>
      </c>
      <c r="S351" t="str">
        <f>VLOOKUP($J351,'[1]Table S6'!$A:$AI,10,FALSE)</f>
        <v>No</v>
      </c>
      <c r="U351">
        <f>VLOOKUP($J351,'[1]Table S6'!$A:$AI,12,FALSE)</f>
        <v>318</v>
      </c>
      <c r="V351">
        <f>VLOOKUP($J351,'[1]Table S6'!$A:$AI,13,FALSE)</f>
        <v>0.67673973185784198</v>
      </c>
      <c r="W351">
        <f>VLOOKUP($J351,'[1]Table S6'!$A:$AI,14,FALSE)</f>
        <v>1.6180000000000001</v>
      </c>
      <c r="X351" t="str">
        <f>VLOOKUP($J351,'[1]Table S6'!$A:$AI,15,FALSE)</f>
        <v>Yes</v>
      </c>
      <c r="Z351">
        <f>VLOOKUP($J351,'[1]Table S6'!$A:$AI,17,FALSE)</f>
        <v>384.8</v>
      </c>
      <c r="AA351">
        <f>VLOOKUP($J351,'[1]Table S6'!$A:$AI,18,FALSE)</f>
        <v>0.81889763779527602</v>
      </c>
      <c r="AB351">
        <f>VLOOKUP($J351,'[1]Table S6'!$A:$AI,19,FALSE)</f>
        <v>17.600000000000001</v>
      </c>
      <c r="AC351" t="str">
        <f>VLOOKUP($J351,'[1]Table S6'!$A:$AI,20,FALSE)</f>
        <v>No</v>
      </c>
      <c r="AE351">
        <f>VLOOKUP($J351,'[1]Table S6'!$A:$AI,22,FALSE)</f>
        <v>391.4</v>
      </c>
      <c r="AF351">
        <f>VLOOKUP($J351,'[1]Table S6'!$A:$AI,23,FALSE)</f>
        <v>0.83294317939987195</v>
      </c>
      <c r="AG351">
        <f>VLOOKUP($J351,'[1]Table S6'!$A:$AI,24,FALSE)</f>
        <v>20.57</v>
      </c>
      <c r="AH351" t="str">
        <f>VLOOKUP($J351,'[1]Table S6'!$A:$AI,25,FALSE)</f>
        <v>No</v>
      </c>
      <c r="AJ351">
        <f>VLOOKUP($J351,'[1]Table S6'!$A:$AI,27,FALSE)</f>
        <v>418.9</v>
      </c>
      <c r="AK351">
        <f>VLOOKUP($J351,'[1]Table S6'!$A:$AI,28,FALSE)</f>
        <v>0.89146626941902496</v>
      </c>
      <c r="AL351">
        <f>VLOOKUP($J351,'[1]Table S6'!$A:$AI,29,FALSE)</f>
        <v>41.6</v>
      </c>
      <c r="AM351" t="str">
        <f>VLOOKUP($J351,'[1]Table S6'!$A:$AI,30,FALSE)</f>
        <v>No</v>
      </c>
      <c r="AO351">
        <f>VLOOKUP($J351,'[1]Table S6'!$A:$AI,32,FALSE)</f>
        <v>425.9</v>
      </c>
      <c r="AP351">
        <f>VLOOKUP($J351,'[1]Table S6'!$A:$AI,33,FALSE)</f>
        <v>0.90636305596935496</v>
      </c>
      <c r="AQ351">
        <f>VLOOKUP($J351,'[1]Table S6'!$A:$AI,34,FALSE)</f>
        <v>62.21</v>
      </c>
      <c r="AR351" t="str">
        <f>VLOOKUP($J351,'[1]Table S6'!$A:$AI,35,FALSE)</f>
        <v>No</v>
      </c>
      <c r="AT351" t="str">
        <f>VLOOKUP($I351,'[2]Table S5'!$A:$K,8,FALSE)</f>
        <v>Resistant</v>
      </c>
      <c r="AU351" t="str">
        <f>VLOOKUP($I351,'[2]Table S5'!$A:$K,9,FALSE)</f>
        <v>Resistant</v>
      </c>
      <c r="AV351" t="str">
        <f>VLOOKUP($I351,'[2]Table S5'!$A:$K,10,FALSE)</f>
        <v>Sensitive</v>
      </c>
      <c r="AW351" t="str">
        <f>VLOOKUP($I351,'[2]Table S5'!$A:$K,11,FALSE)</f>
        <v>Resistant</v>
      </c>
    </row>
    <row r="352" spans="1:49">
      <c r="A352" s="12" t="s">
        <v>2660</v>
      </c>
      <c r="B352" t="s">
        <v>2661</v>
      </c>
      <c r="C352" t="s">
        <v>2662</v>
      </c>
      <c r="D352" t="s">
        <v>17</v>
      </c>
      <c r="E352" t="s">
        <v>2663</v>
      </c>
      <c r="F352" s="12" t="s">
        <v>2664</v>
      </c>
      <c r="G352" t="s">
        <v>2665</v>
      </c>
      <c r="H352" t="s">
        <v>2666</v>
      </c>
      <c r="I352" t="s">
        <v>2650</v>
      </c>
      <c r="J352" t="s">
        <v>2667</v>
      </c>
      <c r="K352">
        <f>VLOOKUP($J352,'[1]Table S6'!$A:$AI,2,FALSE)</f>
        <v>362</v>
      </c>
      <c r="L352">
        <f>VLOOKUP($J352,'[1]Table S6'!$A:$AI,3,FALSE)</f>
        <v>0.77037667588848702</v>
      </c>
      <c r="M352">
        <f>VLOOKUP($J352,'[1]Table S6'!$A:$AI,4,FALSE)</f>
        <v>7.835</v>
      </c>
      <c r="N352" t="str">
        <f>VLOOKUP($J352,'[1]Table S6'!$A:$AI,5,FALSE)</f>
        <v>No</v>
      </c>
      <c r="P352">
        <f>VLOOKUP($J352,'[1]Table S6'!$A:$AI,7,FALSE)</f>
        <v>328.8</v>
      </c>
      <c r="Q352">
        <f>VLOOKUP($J352,'[1]Table S6'!$A:$AI,8,FALSE)</f>
        <v>0.69972334539263703</v>
      </c>
      <c r="R352">
        <f>VLOOKUP($J352,'[1]Table S6'!$A:$AI,9,FALSE)</f>
        <v>2.5529999999999999</v>
      </c>
      <c r="S352" t="str">
        <f>VLOOKUP($J352,'[1]Table S6'!$A:$AI,10,FALSE)</f>
        <v>No</v>
      </c>
      <c r="U352">
        <f>VLOOKUP($J352,'[1]Table S6'!$A:$AI,12,FALSE)</f>
        <v>321.89999999999998</v>
      </c>
      <c r="V352">
        <f>VLOOKUP($J352,'[1]Table S6'!$A:$AI,13,FALSE)</f>
        <v>0.68503937007874005</v>
      </c>
      <c r="W352">
        <f>VLOOKUP($J352,'[1]Table S6'!$A:$AI,14,FALSE)</f>
        <v>1.9359999999999999</v>
      </c>
      <c r="X352" t="str">
        <f>VLOOKUP($J352,'[1]Table S6'!$A:$AI,15,FALSE)</f>
        <v>Yes</v>
      </c>
      <c r="Z352">
        <f>VLOOKUP($J352,'[1]Table S6'!$A:$AI,17,FALSE)</f>
        <v>315.39999999999998</v>
      </c>
      <c r="AA352">
        <f>VLOOKUP($J352,'[1]Table S6'!$A:$AI,18,FALSE)</f>
        <v>0.67120663971057704</v>
      </c>
      <c r="AB352">
        <f>VLOOKUP($J352,'[1]Table S6'!$A:$AI,19,FALSE)</f>
        <v>1.64</v>
      </c>
      <c r="AC352" t="str">
        <f>VLOOKUP($J352,'[1]Table S6'!$A:$AI,20,FALSE)</f>
        <v>Yes</v>
      </c>
      <c r="AE352">
        <f>VLOOKUP($J352,'[1]Table S6'!$A:$AI,22,FALSE)</f>
        <v>407</v>
      </c>
      <c r="AF352">
        <f>VLOOKUP($J352,'[1]Table S6'!$A:$AI,23,FALSE)</f>
        <v>0.86614173228346503</v>
      </c>
      <c r="AG352">
        <f>VLOOKUP($J352,'[1]Table S6'!$A:$AI,24,FALSE)</f>
        <v>40.89</v>
      </c>
      <c r="AH352" t="str">
        <f>VLOOKUP($J352,'[1]Table S6'!$A:$AI,25,FALSE)</f>
        <v>No</v>
      </c>
      <c r="AJ352">
        <f>VLOOKUP($J352,'[1]Table S6'!$A:$AI,27,FALSE)</f>
        <v>410.4</v>
      </c>
      <c r="AK352">
        <f>VLOOKUP($J352,'[1]Table S6'!$A:$AI,28,FALSE)</f>
        <v>0.87337731432219601</v>
      </c>
      <c r="AL352">
        <f>VLOOKUP($J352,'[1]Table S6'!$A:$AI,29,FALSE)</f>
        <v>45.34</v>
      </c>
      <c r="AM352" t="str">
        <f>VLOOKUP($J352,'[1]Table S6'!$A:$AI,30,FALSE)</f>
        <v>No</v>
      </c>
      <c r="AO352">
        <f>VLOOKUP($J352,'[1]Table S6'!$A:$AI,32,FALSE)</f>
        <v>393</v>
      </c>
      <c r="AP352">
        <f>VLOOKUP($J352,'[1]Table S6'!$A:$AI,33,FALSE)</f>
        <v>0.83634815918280503</v>
      </c>
      <c r="AQ352">
        <f>VLOOKUP($J352,'[1]Table S6'!$A:$AI,34,FALSE)</f>
        <v>20.57</v>
      </c>
      <c r="AR352" t="str">
        <f>VLOOKUP($J352,'[1]Table S6'!$A:$AI,35,FALSE)</f>
        <v>No</v>
      </c>
      <c r="AT352" t="str">
        <f>VLOOKUP($I352,'[2]Table S5'!$A:$K,8,FALSE)</f>
        <v>Resistant</v>
      </c>
      <c r="AU352" t="str">
        <f>VLOOKUP($I352,'[2]Table S5'!$A:$K,9,FALSE)</f>
        <v>Resistant</v>
      </c>
      <c r="AV352" t="str">
        <f>VLOOKUP($I352,'[2]Table S5'!$A:$K,10,FALSE)</f>
        <v>Sensitive</v>
      </c>
      <c r="AW352" t="str">
        <f>VLOOKUP($I352,'[2]Table S5'!$A:$K,11,FALSE)</f>
        <v>Resistant</v>
      </c>
    </row>
    <row r="353" spans="1:49">
      <c r="A353" s="12" t="s">
        <v>2668</v>
      </c>
      <c r="B353" t="s">
        <v>2669</v>
      </c>
      <c r="C353" t="s">
        <v>2670</v>
      </c>
      <c r="D353" t="s">
        <v>17</v>
      </c>
      <c r="E353" t="s">
        <v>2671</v>
      </c>
      <c r="F353" s="12" t="s">
        <v>2672</v>
      </c>
      <c r="G353" t="s">
        <v>2673</v>
      </c>
      <c r="H353" t="s">
        <v>2674</v>
      </c>
      <c r="I353" t="s">
        <v>2650</v>
      </c>
      <c r="J353" t="s">
        <v>2675</v>
      </c>
      <c r="K353">
        <f>VLOOKUP($J353,'[1]Table S6'!$A:$AI,2,FALSE)</f>
        <v>362.2</v>
      </c>
      <c r="L353">
        <f>VLOOKUP($J353,'[1]Table S6'!$A:$AI,3,FALSE)</f>
        <v>0.77080229836135306</v>
      </c>
      <c r="M353">
        <f>VLOOKUP($J353,'[1]Table S6'!$A:$AI,4,FALSE)</f>
        <v>6.577</v>
      </c>
      <c r="N353" t="str">
        <f>VLOOKUP($J353,'[1]Table S6'!$A:$AI,5,FALSE)</f>
        <v>No</v>
      </c>
      <c r="P353">
        <f>VLOOKUP($J353,'[1]Table S6'!$A:$AI,7,FALSE)</f>
        <v>348.1</v>
      </c>
      <c r="Q353">
        <f>VLOOKUP($J353,'[1]Table S6'!$A:$AI,8,FALSE)</f>
        <v>0.74079591402426104</v>
      </c>
      <c r="R353">
        <f>VLOOKUP($J353,'[1]Table S6'!$A:$AI,9,FALSE)</f>
        <v>3.1789999999999998</v>
      </c>
      <c r="S353" t="str">
        <f>VLOOKUP($J353,'[1]Table S6'!$A:$AI,10,FALSE)</f>
        <v>No</v>
      </c>
      <c r="U353">
        <f>VLOOKUP($J353,'[1]Table S6'!$A:$AI,12,FALSE)</f>
        <v>332</v>
      </c>
      <c r="V353">
        <f>VLOOKUP($J353,'[1]Table S6'!$A:$AI,13,FALSE)</f>
        <v>0.70653330495850197</v>
      </c>
      <c r="W353">
        <f>VLOOKUP($J353,'[1]Table S6'!$A:$AI,14,FALSE)</f>
        <v>2.2690000000000001</v>
      </c>
      <c r="X353" t="str">
        <f>VLOOKUP($J353,'[1]Table S6'!$A:$AI,15,FALSE)</f>
        <v>No</v>
      </c>
      <c r="Z353">
        <f>VLOOKUP($J353,'[1]Table S6'!$A:$AI,17,FALSE)</f>
        <v>404.4</v>
      </c>
      <c r="AA353">
        <f>VLOOKUP($J353,'[1]Table S6'!$A:$AI,18,FALSE)</f>
        <v>0.86060864013619898</v>
      </c>
      <c r="AB353">
        <f>VLOOKUP($J353,'[1]Table S6'!$A:$AI,19,FALSE)</f>
        <v>21.1</v>
      </c>
      <c r="AC353" t="str">
        <f>VLOOKUP($J353,'[1]Table S6'!$A:$AI,20,FALSE)</f>
        <v>No</v>
      </c>
      <c r="AE353">
        <f>VLOOKUP($J353,'[1]Table S6'!$A:$AI,22,FALSE)</f>
        <v>454.7</v>
      </c>
      <c r="AF353">
        <f>VLOOKUP($J353,'[1]Table S6'!$A:$AI,23,FALSE)</f>
        <v>0.967652692062141</v>
      </c>
      <c r="AG353">
        <f>VLOOKUP($J353,'[1]Table S6'!$A:$AI,24,FALSE)</f>
        <v>570</v>
      </c>
      <c r="AH353" t="str">
        <f>VLOOKUP($J353,'[1]Table S6'!$A:$AI,25,FALSE)</f>
        <v>No</v>
      </c>
      <c r="AJ353">
        <f>VLOOKUP($J353,'[1]Table S6'!$A:$AI,27,FALSE)</f>
        <v>332.3</v>
      </c>
      <c r="AK353">
        <f>VLOOKUP($J353,'[1]Table S6'!$A:$AI,28,FALSE)</f>
        <v>0.70717173866780203</v>
      </c>
      <c r="AL353">
        <f>VLOOKUP($J353,'[1]Table S6'!$A:$AI,29,FALSE)</f>
        <v>2.516</v>
      </c>
      <c r="AM353" t="str">
        <f>VLOOKUP($J353,'[1]Table S6'!$A:$AI,30,FALSE)</f>
        <v>No</v>
      </c>
      <c r="AO353">
        <f>VLOOKUP($J353,'[1]Table S6'!$A:$AI,32,FALSE)</f>
        <v>443.4</v>
      </c>
      <c r="AP353">
        <f>VLOOKUP($J353,'[1]Table S6'!$A:$AI,33,FALSE)</f>
        <v>0.94360502234517996</v>
      </c>
      <c r="AQ353">
        <f>VLOOKUP($J353,'[1]Table S6'!$A:$AI,34,FALSE)</f>
        <v>62.8</v>
      </c>
      <c r="AR353" t="str">
        <f>VLOOKUP($J353,'[1]Table S6'!$A:$AI,35,FALSE)</f>
        <v>No</v>
      </c>
      <c r="AT353" t="str">
        <f>VLOOKUP($I353,'[2]Table S5'!$A:$K,8,FALSE)</f>
        <v>Resistant</v>
      </c>
      <c r="AU353" t="str">
        <f>VLOOKUP($I353,'[2]Table S5'!$A:$K,9,FALSE)</f>
        <v>Resistant</v>
      </c>
      <c r="AV353" t="str">
        <f>VLOOKUP($I353,'[2]Table S5'!$A:$K,10,FALSE)</f>
        <v>Sensitive</v>
      </c>
      <c r="AW353" t="str">
        <f>VLOOKUP($I353,'[2]Table S5'!$A:$K,11,FALSE)</f>
        <v>Resistant</v>
      </c>
    </row>
    <row r="354" spans="1:49">
      <c r="A354" s="12" t="s">
        <v>2676</v>
      </c>
      <c r="B354" t="s">
        <v>2677</v>
      </c>
      <c r="C354" t="s">
        <v>2678</v>
      </c>
      <c r="D354" t="s">
        <v>17</v>
      </c>
      <c r="E354" t="s">
        <v>2679</v>
      </c>
      <c r="F354" s="12" t="s">
        <v>2680</v>
      </c>
      <c r="G354" t="s">
        <v>2681</v>
      </c>
      <c r="H354" t="s">
        <v>2682</v>
      </c>
      <c r="I354" t="s">
        <v>2650</v>
      </c>
      <c r="J354" t="s">
        <v>2683</v>
      </c>
      <c r="K354">
        <f>VLOOKUP($J354,'[1]Table S6'!$A:$AI,2,FALSE)</f>
        <v>380.7</v>
      </c>
      <c r="L354">
        <f>VLOOKUP($J354,'[1]Table S6'!$A:$AI,3,FALSE)</f>
        <v>0.81017237710151102</v>
      </c>
      <c r="M354">
        <f>VLOOKUP($J354,'[1]Table S6'!$A:$AI,4,FALSE)</f>
        <v>13.49</v>
      </c>
      <c r="N354" t="str">
        <f>VLOOKUP($J354,'[1]Table S6'!$A:$AI,5,FALSE)</f>
        <v>No</v>
      </c>
      <c r="P354">
        <f>VLOOKUP($J354,'[1]Table S6'!$A:$AI,7,FALSE)</f>
        <v>338.3</v>
      </c>
      <c r="Q354">
        <f>VLOOKUP($J354,'[1]Table S6'!$A:$AI,8,FALSE)</f>
        <v>0.71994041285379895</v>
      </c>
      <c r="R354">
        <f>VLOOKUP($J354,'[1]Table S6'!$A:$AI,9,FALSE)</f>
        <v>2.4849999999999999</v>
      </c>
      <c r="S354" t="str">
        <f>VLOOKUP($J354,'[1]Table S6'!$A:$AI,10,FALSE)</f>
        <v>No</v>
      </c>
      <c r="U354">
        <f>VLOOKUP($J354,'[1]Table S6'!$A:$AI,12,FALSE)</f>
        <v>327.9</v>
      </c>
      <c r="V354">
        <f>VLOOKUP($J354,'[1]Table S6'!$A:$AI,13,FALSE)</f>
        <v>0.69780804426473697</v>
      </c>
      <c r="W354">
        <f>VLOOKUP($J354,'[1]Table S6'!$A:$AI,14,FALSE)</f>
        <v>2.411</v>
      </c>
      <c r="X354" t="str">
        <f>VLOOKUP($J354,'[1]Table S6'!$A:$AI,15,FALSE)</f>
        <v>Yes</v>
      </c>
      <c r="Z354">
        <f>VLOOKUP($J354,'[1]Table S6'!$A:$AI,17,FALSE)</f>
        <v>390.3</v>
      </c>
      <c r="AA354">
        <f>VLOOKUP($J354,'[1]Table S6'!$A:$AI,18,FALSE)</f>
        <v>0.83060225579910596</v>
      </c>
      <c r="AB354">
        <f>VLOOKUP($J354,'[1]Table S6'!$A:$AI,19,FALSE)</f>
        <v>19.63</v>
      </c>
      <c r="AC354" t="str">
        <f>VLOOKUP($J354,'[1]Table S6'!$A:$AI,20,FALSE)</f>
        <v>No</v>
      </c>
      <c r="AE354">
        <f>VLOOKUP($J354,'[1]Table S6'!$A:$AI,22,FALSE)</f>
        <v>433.9</v>
      </c>
      <c r="AF354">
        <f>VLOOKUP($J354,'[1]Table S6'!$A:$AI,23,FALSE)</f>
        <v>0.92338795488401804</v>
      </c>
      <c r="AG354">
        <f>VLOOKUP($J354,'[1]Table S6'!$A:$AI,24,FALSE)</f>
        <v>111.3</v>
      </c>
      <c r="AH354" t="str">
        <f>VLOOKUP($J354,'[1]Table S6'!$A:$AI,25,FALSE)</f>
        <v>No</v>
      </c>
      <c r="AJ354">
        <f>VLOOKUP($J354,'[1]Table S6'!$A:$AI,27,FALSE)</f>
        <v>416.7</v>
      </c>
      <c r="AK354">
        <f>VLOOKUP($J354,'[1]Table S6'!$A:$AI,28,FALSE)</f>
        <v>0.88678442221749298</v>
      </c>
      <c r="AL354">
        <f>VLOOKUP($J354,'[1]Table S6'!$A:$AI,29,FALSE)</f>
        <v>45.54</v>
      </c>
      <c r="AM354" t="str">
        <f>VLOOKUP($J354,'[1]Table S6'!$A:$AI,30,FALSE)</f>
        <v>No</v>
      </c>
      <c r="AO354">
        <f>VLOOKUP($J354,'[1]Table S6'!$A:$AI,32,FALSE)</f>
        <v>423.6</v>
      </c>
      <c r="AP354">
        <f>VLOOKUP($J354,'[1]Table S6'!$A:$AI,33,FALSE)</f>
        <v>0.90146839753138996</v>
      </c>
      <c r="AQ354">
        <f>VLOOKUP($J354,'[1]Table S6'!$A:$AI,34,FALSE)</f>
        <v>50.89</v>
      </c>
      <c r="AR354" t="str">
        <f>VLOOKUP($J354,'[1]Table S6'!$A:$AI,35,FALSE)</f>
        <v>No</v>
      </c>
      <c r="AT354" t="str">
        <f>VLOOKUP($I354,'[2]Table S5'!$A:$K,8,FALSE)</f>
        <v>Resistant</v>
      </c>
      <c r="AU354" t="str">
        <f>VLOOKUP($I354,'[2]Table S5'!$A:$K,9,FALSE)</f>
        <v>Resistant</v>
      </c>
      <c r="AV354" t="str">
        <f>VLOOKUP($I354,'[2]Table S5'!$A:$K,10,FALSE)</f>
        <v>Sensitive</v>
      </c>
      <c r="AW354" t="str">
        <f>VLOOKUP($I354,'[2]Table S5'!$A:$K,11,FALSE)</f>
        <v>Resistant</v>
      </c>
    </row>
    <row r="355" spans="1:49">
      <c r="A355" s="12" t="s">
        <v>2684</v>
      </c>
      <c r="B355" t="s">
        <v>2685</v>
      </c>
      <c r="C355" t="s">
        <v>2686</v>
      </c>
      <c r="D355" t="s">
        <v>17</v>
      </c>
      <c r="E355" t="s">
        <v>2687</v>
      </c>
      <c r="F355" s="12" t="s">
        <v>2688</v>
      </c>
      <c r="G355" t="s">
        <v>2689</v>
      </c>
      <c r="H355" t="s">
        <v>2690</v>
      </c>
      <c r="I355" t="s">
        <v>2650</v>
      </c>
      <c r="J355" t="s">
        <v>2675</v>
      </c>
      <c r="K355">
        <f>VLOOKUP($J355,'[1]Table S6'!$A:$AI,2,FALSE)</f>
        <v>362.2</v>
      </c>
      <c r="L355">
        <f>VLOOKUP($J355,'[1]Table S6'!$A:$AI,3,FALSE)</f>
        <v>0.77080229836135306</v>
      </c>
      <c r="M355">
        <f>VLOOKUP($J355,'[1]Table S6'!$A:$AI,4,FALSE)</f>
        <v>6.577</v>
      </c>
      <c r="N355" t="str">
        <f>VLOOKUP($J355,'[1]Table S6'!$A:$AI,5,FALSE)</f>
        <v>No</v>
      </c>
      <c r="P355">
        <f>VLOOKUP($J355,'[1]Table S6'!$A:$AI,7,FALSE)</f>
        <v>348.1</v>
      </c>
      <c r="Q355">
        <f>VLOOKUP($J355,'[1]Table S6'!$A:$AI,8,FALSE)</f>
        <v>0.74079591402426104</v>
      </c>
      <c r="R355">
        <f>VLOOKUP($J355,'[1]Table S6'!$A:$AI,9,FALSE)</f>
        <v>3.1789999999999998</v>
      </c>
      <c r="S355" t="str">
        <f>VLOOKUP($J355,'[1]Table S6'!$A:$AI,10,FALSE)</f>
        <v>No</v>
      </c>
      <c r="U355">
        <f>VLOOKUP($J355,'[1]Table S6'!$A:$AI,12,FALSE)</f>
        <v>332</v>
      </c>
      <c r="V355">
        <f>VLOOKUP($J355,'[1]Table S6'!$A:$AI,13,FALSE)</f>
        <v>0.70653330495850197</v>
      </c>
      <c r="W355">
        <f>VLOOKUP($J355,'[1]Table S6'!$A:$AI,14,FALSE)</f>
        <v>2.2690000000000001</v>
      </c>
      <c r="X355" t="str">
        <f>VLOOKUP($J355,'[1]Table S6'!$A:$AI,15,FALSE)</f>
        <v>No</v>
      </c>
      <c r="Z355">
        <f>VLOOKUP($J355,'[1]Table S6'!$A:$AI,17,FALSE)</f>
        <v>404.4</v>
      </c>
      <c r="AA355">
        <f>VLOOKUP($J355,'[1]Table S6'!$A:$AI,18,FALSE)</f>
        <v>0.86060864013619898</v>
      </c>
      <c r="AB355">
        <f>VLOOKUP($J355,'[1]Table S6'!$A:$AI,19,FALSE)</f>
        <v>21.1</v>
      </c>
      <c r="AC355" t="str">
        <f>VLOOKUP($J355,'[1]Table S6'!$A:$AI,20,FALSE)</f>
        <v>No</v>
      </c>
      <c r="AE355">
        <f>VLOOKUP($J355,'[1]Table S6'!$A:$AI,22,FALSE)</f>
        <v>454.7</v>
      </c>
      <c r="AF355">
        <f>VLOOKUP($J355,'[1]Table S6'!$A:$AI,23,FALSE)</f>
        <v>0.967652692062141</v>
      </c>
      <c r="AG355">
        <f>VLOOKUP($J355,'[1]Table S6'!$A:$AI,24,FALSE)</f>
        <v>570</v>
      </c>
      <c r="AH355" t="str">
        <f>VLOOKUP($J355,'[1]Table S6'!$A:$AI,25,FALSE)</f>
        <v>No</v>
      </c>
      <c r="AJ355">
        <f>VLOOKUP($J355,'[1]Table S6'!$A:$AI,27,FALSE)</f>
        <v>332.3</v>
      </c>
      <c r="AK355">
        <f>VLOOKUP($J355,'[1]Table S6'!$A:$AI,28,FALSE)</f>
        <v>0.70717173866780203</v>
      </c>
      <c r="AL355">
        <f>VLOOKUP($J355,'[1]Table S6'!$A:$AI,29,FALSE)</f>
        <v>2.516</v>
      </c>
      <c r="AM355" t="str">
        <f>VLOOKUP($J355,'[1]Table S6'!$A:$AI,30,FALSE)</f>
        <v>No</v>
      </c>
      <c r="AO355">
        <f>VLOOKUP($J355,'[1]Table S6'!$A:$AI,32,FALSE)</f>
        <v>443.4</v>
      </c>
      <c r="AP355">
        <f>VLOOKUP($J355,'[1]Table S6'!$A:$AI,33,FALSE)</f>
        <v>0.94360502234517996</v>
      </c>
      <c r="AQ355">
        <f>VLOOKUP($J355,'[1]Table S6'!$A:$AI,34,FALSE)</f>
        <v>62.8</v>
      </c>
      <c r="AR355" t="str">
        <f>VLOOKUP($J355,'[1]Table S6'!$A:$AI,35,FALSE)</f>
        <v>No</v>
      </c>
      <c r="AT355" t="str">
        <f>VLOOKUP($I355,'[2]Table S5'!$A:$K,8,FALSE)</f>
        <v>Resistant</v>
      </c>
      <c r="AU355" t="str">
        <f>VLOOKUP($I355,'[2]Table S5'!$A:$K,9,FALSE)</f>
        <v>Resistant</v>
      </c>
      <c r="AV355" t="str">
        <f>VLOOKUP($I355,'[2]Table S5'!$A:$K,10,FALSE)</f>
        <v>Sensitive</v>
      </c>
      <c r="AW355" t="str">
        <f>VLOOKUP($I355,'[2]Table S5'!$A:$K,11,FALSE)</f>
        <v>Resistant</v>
      </c>
    </row>
    <row r="356" spans="1:49">
      <c r="A356" s="12" t="s">
        <v>2691</v>
      </c>
      <c r="B356" t="s">
        <v>2692</v>
      </c>
      <c r="C356" t="s">
        <v>2693</v>
      </c>
      <c r="D356" t="s">
        <v>17</v>
      </c>
      <c r="E356" t="s">
        <v>2694</v>
      </c>
      <c r="F356" s="12" t="s">
        <v>2695</v>
      </c>
      <c r="G356" t="s">
        <v>2696</v>
      </c>
      <c r="H356" t="s">
        <v>2697</v>
      </c>
      <c r="I356" t="s">
        <v>2650</v>
      </c>
      <c r="J356" t="s">
        <v>2683</v>
      </c>
      <c r="K356">
        <f>VLOOKUP($J356,'[1]Table S6'!$A:$AI,2,FALSE)</f>
        <v>380.7</v>
      </c>
      <c r="L356">
        <f>VLOOKUP($J356,'[1]Table S6'!$A:$AI,3,FALSE)</f>
        <v>0.81017237710151102</v>
      </c>
      <c r="M356">
        <f>VLOOKUP($J356,'[1]Table S6'!$A:$AI,4,FALSE)</f>
        <v>13.49</v>
      </c>
      <c r="N356" t="str">
        <f>VLOOKUP($J356,'[1]Table S6'!$A:$AI,5,FALSE)</f>
        <v>No</v>
      </c>
      <c r="P356">
        <f>VLOOKUP($J356,'[1]Table S6'!$A:$AI,7,FALSE)</f>
        <v>338.3</v>
      </c>
      <c r="Q356">
        <f>VLOOKUP($J356,'[1]Table S6'!$A:$AI,8,FALSE)</f>
        <v>0.71994041285379895</v>
      </c>
      <c r="R356">
        <f>VLOOKUP($J356,'[1]Table S6'!$A:$AI,9,FALSE)</f>
        <v>2.4849999999999999</v>
      </c>
      <c r="S356" t="str">
        <f>VLOOKUP($J356,'[1]Table S6'!$A:$AI,10,FALSE)</f>
        <v>No</v>
      </c>
      <c r="U356">
        <f>VLOOKUP($J356,'[1]Table S6'!$A:$AI,12,FALSE)</f>
        <v>327.9</v>
      </c>
      <c r="V356">
        <f>VLOOKUP($J356,'[1]Table S6'!$A:$AI,13,FALSE)</f>
        <v>0.69780804426473697</v>
      </c>
      <c r="W356">
        <f>VLOOKUP($J356,'[1]Table S6'!$A:$AI,14,FALSE)</f>
        <v>2.411</v>
      </c>
      <c r="X356" t="str">
        <f>VLOOKUP($J356,'[1]Table S6'!$A:$AI,15,FALSE)</f>
        <v>Yes</v>
      </c>
      <c r="Z356">
        <f>VLOOKUP($J356,'[1]Table S6'!$A:$AI,17,FALSE)</f>
        <v>390.3</v>
      </c>
      <c r="AA356">
        <f>VLOOKUP($J356,'[1]Table S6'!$A:$AI,18,FALSE)</f>
        <v>0.83060225579910596</v>
      </c>
      <c r="AB356">
        <f>VLOOKUP($J356,'[1]Table S6'!$A:$AI,19,FALSE)</f>
        <v>19.63</v>
      </c>
      <c r="AC356" t="str">
        <f>VLOOKUP($J356,'[1]Table S6'!$A:$AI,20,FALSE)</f>
        <v>No</v>
      </c>
      <c r="AE356">
        <f>VLOOKUP($J356,'[1]Table S6'!$A:$AI,22,FALSE)</f>
        <v>433.9</v>
      </c>
      <c r="AF356">
        <f>VLOOKUP($J356,'[1]Table S6'!$A:$AI,23,FALSE)</f>
        <v>0.92338795488401804</v>
      </c>
      <c r="AG356">
        <f>VLOOKUP($J356,'[1]Table S6'!$A:$AI,24,FALSE)</f>
        <v>111.3</v>
      </c>
      <c r="AH356" t="str">
        <f>VLOOKUP($J356,'[1]Table S6'!$A:$AI,25,FALSE)</f>
        <v>No</v>
      </c>
      <c r="AJ356">
        <f>VLOOKUP($J356,'[1]Table S6'!$A:$AI,27,FALSE)</f>
        <v>416.7</v>
      </c>
      <c r="AK356">
        <f>VLOOKUP($J356,'[1]Table S6'!$A:$AI,28,FALSE)</f>
        <v>0.88678442221749298</v>
      </c>
      <c r="AL356">
        <f>VLOOKUP($J356,'[1]Table S6'!$A:$AI,29,FALSE)</f>
        <v>45.54</v>
      </c>
      <c r="AM356" t="str">
        <f>VLOOKUP($J356,'[1]Table S6'!$A:$AI,30,FALSE)</f>
        <v>No</v>
      </c>
      <c r="AO356">
        <f>VLOOKUP($J356,'[1]Table S6'!$A:$AI,32,FALSE)</f>
        <v>423.6</v>
      </c>
      <c r="AP356">
        <f>VLOOKUP($J356,'[1]Table S6'!$A:$AI,33,FALSE)</f>
        <v>0.90146839753138996</v>
      </c>
      <c r="AQ356">
        <f>VLOOKUP($J356,'[1]Table S6'!$A:$AI,34,FALSE)</f>
        <v>50.89</v>
      </c>
      <c r="AR356" t="str">
        <f>VLOOKUP($J356,'[1]Table S6'!$A:$AI,35,FALSE)</f>
        <v>No</v>
      </c>
      <c r="AT356" t="str">
        <f>VLOOKUP($I356,'[2]Table S5'!$A:$K,8,FALSE)</f>
        <v>Resistant</v>
      </c>
      <c r="AU356" t="str">
        <f>VLOOKUP($I356,'[2]Table S5'!$A:$K,9,FALSE)</f>
        <v>Resistant</v>
      </c>
      <c r="AV356" t="str">
        <f>VLOOKUP($I356,'[2]Table S5'!$A:$K,10,FALSE)</f>
        <v>Sensitive</v>
      </c>
      <c r="AW356" t="str">
        <f>VLOOKUP($I356,'[2]Table S5'!$A:$K,11,FALSE)</f>
        <v>Resistant</v>
      </c>
    </row>
    <row r="357" spans="1:49">
      <c r="A357" s="12" t="s">
        <v>2698</v>
      </c>
      <c r="B357" t="s">
        <v>2699</v>
      </c>
      <c r="C357" t="s">
        <v>2700</v>
      </c>
      <c r="D357" t="s">
        <v>17</v>
      </c>
      <c r="E357" t="s">
        <v>2701</v>
      </c>
      <c r="F357" s="12" t="s">
        <v>2702</v>
      </c>
      <c r="G357" t="s">
        <v>2703</v>
      </c>
      <c r="H357" t="s">
        <v>2704</v>
      </c>
      <c r="I357" t="s">
        <v>2705</v>
      </c>
      <c r="J357" t="s">
        <v>2706</v>
      </c>
      <c r="K357">
        <f>VLOOKUP($J357,'[1]Table S6'!$A:$AI,2,FALSE)</f>
        <v>305.39999999999998</v>
      </c>
      <c r="L357">
        <f>VLOOKUP($J357,'[1]Table S6'!$A:$AI,3,FALSE)</f>
        <v>0.64992551606724802</v>
      </c>
      <c r="M357">
        <f>VLOOKUP($J357,'[1]Table S6'!$A:$AI,4,FALSE)</f>
        <v>1.5920000000000001</v>
      </c>
      <c r="N357" t="str">
        <f>VLOOKUP($J357,'[1]Table S6'!$A:$AI,5,FALSE)</f>
        <v>Yes</v>
      </c>
      <c r="P357">
        <f>VLOOKUP($J357,'[1]Table S6'!$A:$AI,7,FALSE)</f>
        <v>315.10000000000002</v>
      </c>
      <c r="Q357">
        <f>VLOOKUP($J357,'[1]Table S6'!$A:$AI,8,FALSE)</f>
        <v>0.67056820600127698</v>
      </c>
      <c r="R357">
        <f>VLOOKUP($J357,'[1]Table S6'!$A:$AI,9,FALSE)</f>
        <v>1.5880000000000001</v>
      </c>
      <c r="S357" t="str">
        <f>VLOOKUP($J357,'[1]Table S6'!$A:$AI,10,FALSE)</f>
        <v>Yes</v>
      </c>
      <c r="U357">
        <f>VLOOKUP($J357,'[1]Table S6'!$A:$AI,12,FALSE)</f>
        <v>320</v>
      </c>
      <c r="V357">
        <f>VLOOKUP($J357,'[1]Table S6'!$A:$AI,13,FALSE)</f>
        <v>0.68099595658650802</v>
      </c>
      <c r="W357">
        <f>VLOOKUP($J357,'[1]Table S6'!$A:$AI,14,FALSE)</f>
        <v>1.9019999999999999</v>
      </c>
      <c r="X357" t="str">
        <f>VLOOKUP($J357,'[1]Table S6'!$A:$AI,15,FALSE)</f>
        <v>Yes</v>
      </c>
      <c r="Z357">
        <f>VLOOKUP($J357,'[1]Table S6'!$A:$AI,17,FALSE)</f>
        <v>295.2</v>
      </c>
      <c r="AA357">
        <f>VLOOKUP($J357,'[1]Table S6'!$A:$AI,18,FALSE)</f>
        <v>0.62821876995105297</v>
      </c>
      <c r="AB357">
        <f>VLOOKUP($J357,'[1]Table S6'!$A:$AI,19,FALSE)</f>
        <v>1.028</v>
      </c>
      <c r="AC357" t="str">
        <f>VLOOKUP($J357,'[1]Table S6'!$A:$AI,20,FALSE)</f>
        <v>Yes</v>
      </c>
      <c r="AE357">
        <f>VLOOKUP($J357,'[1]Table S6'!$A:$AI,22,FALSE)</f>
        <v>370.2</v>
      </c>
      <c r="AF357">
        <f>VLOOKUP($J357,'[1]Table S6'!$A:$AI,23,FALSE)</f>
        <v>0.78782719727601602</v>
      </c>
      <c r="AG357">
        <f>VLOOKUP($J357,'[1]Table S6'!$A:$AI,24,FALSE)</f>
        <v>18.95</v>
      </c>
      <c r="AH357" t="str">
        <f>VLOOKUP($J357,'[1]Table S6'!$A:$AI,25,FALSE)</f>
        <v>No</v>
      </c>
      <c r="AJ357">
        <f>VLOOKUP($J357,'[1]Table S6'!$A:$AI,27,FALSE)</f>
        <v>472.5</v>
      </c>
      <c r="AK357">
        <f>VLOOKUP($J357,'[1]Table S6'!$A:$AI,28,FALSE)</f>
        <v>1.00553309214727</v>
      </c>
      <c r="AL357">
        <f>VLOOKUP($J357,'[1]Table S6'!$A:$AI,29,FALSE)</f>
        <v>641.9</v>
      </c>
      <c r="AM357" t="str">
        <f>VLOOKUP($J357,'[1]Table S6'!$A:$AI,30,FALSE)</f>
        <v>No</v>
      </c>
      <c r="AO357">
        <f>VLOOKUP($J357,'[1]Table S6'!$A:$AI,32,FALSE)</f>
        <v>436.7</v>
      </c>
      <c r="AP357">
        <f>VLOOKUP($J357,'[1]Table S6'!$A:$AI,33,FALSE)</f>
        <v>0.92934666950415001</v>
      </c>
      <c r="AQ357">
        <f>VLOOKUP($J357,'[1]Table S6'!$A:$AI,34,FALSE)</f>
        <v>427.6</v>
      </c>
      <c r="AR357" t="str">
        <f>VLOOKUP($J357,'[1]Table S6'!$A:$AI,35,FALSE)</f>
        <v>No</v>
      </c>
      <c r="AT357" t="str">
        <f>VLOOKUP($I357,'[2]Table S5'!$A:$K,8,FALSE)</f>
        <v>Sensitive</v>
      </c>
      <c r="AU357" t="str">
        <f>VLOOKUP($I357,'[2]Table S5'!$A:$K,9,FALSE)</f>
        <v>Resistant</v>
      </c>
      <c r="AV357" t="str">
        <f>VLOOKUP($I357,'[2]Table S5'!$A:$K,10,FALSE)</f>
        <v>Resistant</v>
      </c>
      <c r="AW357" t="str">
        <f>VLOOKUP($I357,'[2]Table S5'!$A:$K,11,FALSE)</f>
        <v>Sensitive</v>
      </c>
    </row>
    <row r="358" spans="1:49">
      <c r="A358" s="12" t="s">
        <v>2707</v>
      </c>
      <c r="B358" t="s">
        <v>2708</v>
      </c>
      <c r="C358" t="s">
        <v>2709</v>
      </c>
      <c r="D358" t="s">
        <v>17</v>
      </c>
      <c r="E358" t="s">
        <v>2710</v>
      </c>
      <c r="F358" s="12" t="s">
        <v>2711</v>
      </c>
      <c r="G358" t="s">
        <v>2712</v>
      </c>
      <c r="H358" t="s">
        <v>2713</v>
      </c>
      <c r="I358" t="s">
        <v>2705</v>
      </c>
      <c r="J358" t="s">
        <v>2706</v>
      </c>
      <c r="K358">
        <f>VLOOKUP($J358,'[1]Table S6'!$A:$AI,2,FALSE)</f>
        <v>305.39999999999998</v>
      </c>
      <c r="L358">
        <f>VLOOKUP($J358,'[1]Table S6'!$A:$AI,3,FALSE)</f>
        <v>0.64992551606724802</v>
      </c>
      <c r="M358">
        <f>VLOOKUP($J358,'[1]Table S6'!$A:$AI,4,FALSE)</f>
        <v>1.5920000000000001</v>
      </c>
      <c r="N358" t="str">
        <f>VLOOKUP($J358,'[1]Table S6'!$A:$AI,5,FALSE)</f>
        <v>Yes</v>
      </c>
      <c r="P358">
        <f>VLOOKUP($J358,'[1]Table S6'!$A:$AI,7,FALSE)</f>
        <v>315.10000000000002</v>
      </c>
      <c r="Q358">
        <f>VLOOKUP($J358,'[1]Table S6'!$A:$AI,8,FALSE)</f>
        <v>0.67056820600127698</v>
      </c>
      <c r="R358">
        <f>VLOOKUP($J358,'[1]Table S6'!$A:$AI,9,FALSE)</f>
        <v>1.5880000000000001</v>
      </c>
      <c r="S358" t="str">
        <f>VLOOKUP($J358,'[1]Table S6'!$A:$AI,10,FALSE)</f>
        <v>Yes</v>
      </c>
      <c r="U358">
        <f>VLOOKUP($J358,'[1]Table S6'!$A:$AI,12,FALSE)</f>
        <v>320</v>
      </c>
      <c r="V358">
        <f>VLOOKUP($J358,'[1]Table S6'!$A:$AI,13,FALSE)</f>
        <v>0.68099595658650802</v>
      </c>
      <c r="W358">
        <f>VLOOKUP($J358,'[1]Table S6'!$A:$AI,14,FALSE)</f>
        <v>1.9019999999999999</v>
      </c>
      <c r="X358" t="str">
        <f>VLOOKUP($J358,'[1]Table S6'!$A:$AI,15,FALSE)</f>
        <v>Yes</v>
      </c>
      <c r="Z358">
        <f>VLOOKUP($J358,'[1]Table S6'!$A:$AI,17,FALSE)</f>
        <v>295.2</v>
      </c>
      <c r="AA358">
        <f>VLOOKUP($J358,'[1]Table S6'!$A:$AI,18,FALSE)</f>
        <v>0.62821876995105297</v>
      </c>
      <c r="AB358">
        <f>VLOOKUP($J358,'[1]Table S6'!$A:$AI,19,FALSE)</f>
        <v>1.028</v>
      </c>
      <c r="AC358" t="str">
        <f>VLOOKUP($J358,'[1]Table S6'!$A:$AI,20,FALSE)</f>
        <v>Yes</v>
      </c>
      <c r="AE358">
        <f>VLOOKUP($J358,'[1]Table S6'!$A:$AI,22,FALSE)</f>
        <v>370.2</v>
      </c>
      <c r="AF358">
        <f>VLOOKUP($J358,'[1]Table S6'!$A:$AI,23,FALSE)</f>
        <v>0.78782719727601602</v>
      </c>
      <c r="AG358">
        <f>VLOOKUP($J358,'[1]Table S6'!$A:$AI,24,FALSE)</f>
        <v>18.95</v>
      </c>
      <c r="AH358" t="str">
        <f>VLOOKUP($J358,'[1]Table S6'!$A:$AI,25,FALSE)</f>
        <v>No</v>
      </c>
      <c r="AJ358">
        <f>VLOOKUP($J358,'[1]Table S6'!$A:$AI,27,FALSE)</f>
        <v>472.5</v>
      </c>
      <c r="AK358">
        <f>VLOOKUP($J358,'[1]Table S6'!$A:$AI,28,FALSE)</f>
        <v>1.00553309214727</v>
      </c>
      <c r="AL358">
        <f>VLOOKUP($J358,'[1]Table S6'!$A:$AI,29,FALSE)</f>
        <v>641.9</v>
      </c>
      <c r="AM358" t="str">
        <f>VLOOKUP($J358,'[1]Table S6'!$A:$AI,30,FALSE)</f>
        <v>No</v>
      </c>
      <c r="AO358">
        <f>VLOOKUP($J358,'[1]Table S6'!$A:$AI,32,FALSE)</f>
        <v>436.7</v>
      </c>
      <c r="AP358">
        <f>VLOOKUP($J358,'[1]Table S6'!$A:$AI,33,FALSE)</f>
        <v>0.92934666950415001</v>
      </c>
      <c r="AQ358">
        <f>VLOOKUP($J358,'[1]Table S6'!$A:$AI,34,FALSE)</f>
        <v>427.6</v>
      </c>
      <c r="AR358" t="str">
        <f>VLOOKUP($J358,'[1]Table S6'!$A:$AI,35,FALSE)</f>
        <v>No</v>
      </c>
      <c r="AT358" t="str">
        <f>VLOOKUP($I358,'[2]Table S5'!$A:$K,8,FALSE)</f>
        <v>Sensitive</v>
      </c>
      <c r="AU358" t="str">
        <f>VLOOKUP($I358,'[2]Table S5'!$A:$K,9,FALSE)</f>
        <v>Resistant</v>
      </c>
      <c r="AV358" t="str">
        <f>VLOOKUP($I358,'[2]Table S5'!$A:$K,10,FALSE)</f>
        <v>Resistant</v>
      </c>
      <c r="AW358" t="str">
        <f>VLOOKUP($I358,'[2]Table S5'!$A:$K,11,FALSE)</f>
        <v>Sensitive</v>
      </c>
    </row>
    <row r="359" spans="1:49">
      <c r="A359" s="12" t="s">
        <v>2714</v>
      </c>
      <c r="B359" t="s">
        <v>2715</v>
      </c>
      <c r="C359" t="s">
        <v>2716</v>
      </c>
      <c r="D359" t="s">
        <v>17</v>
      </c>
      <c r="E359" t="s">
        <v>2717</v>
      </c>
      <c r="F359" s="12" t="s">
        <v>2718</v>
      </c>
      <c r="G359" t="s">
        <v>2719</v>
      </c>
      <c r="H359" t="s">
        <v>2720</v>
      </c>
      <c r="I359" t="s">
        <v>2705</v>
      </c>
      <c r="J359" t="s">
        <v>2721</v>
      </c>
      <c r="K359">
        <f>VLOOKUP($J359,'[1]Table S6'!$A:$AI,2,FALSE)</f>
        <v>250.1</v>
      </c>
      <c r="L359">
        <f>VLOOKUP($J359,'[1]Table S6'!$A:$AI,3,FALSE)</f>
        <v>0.53224090231964205</v>
      </c>
      <c r="M359">
        <f>VLOOKUP($J359,'[1]Table S6'!$A:$AI,4,FALSE)</f>
        <v>0.39900000000000002</v>
      </c>
      <c r="N359" t="str">
        <f>VLOOKUP($J359,'[1]Table S6'!$A:$AI,5,FALSE)</f>
        <v>Yes</v>
      </c>
      <c r="P359">
        <f>VLOOKUP($J359,'[1]Table S6'!$A:$AI,7,FALSE)</f>
        <v>321.3</v>
      </c>
      <c r="Q359">
        <f>VLOOKUP($J359,'[1]Table S6'!$A:$AI,8,FALSE)</f>
        <v>0.68376250266014005</v>
      </c>
      <c r="R359">
        <f>VLOOKUP($J359,'[1]Table S6'!$A:$AI,9,FALSE)</f>
        <v>2.1520000000000001</v>
      </c>
      <c r="S359" t="str">
        <f>VLOOKUP($J359,'[1]Table S6'!$A:$AI,10,FALSE)</f>
        <v>Yes</v>
      </c>
      <c r="U359">
        <f>VLOOKUP($J359,'[1]Table S6'!$A:$AI,12,FALSE)</f>
        <v>347.8</v>
      </c>
      <c r="V359">
        <f>VLOOKUP($J359,'[1]Table S6'!$A:$AI,13,FALSE)</f>
        <v>0.74015748031496098</v>
      </c>
      <c r="W359">
        <f>VLOOKUP($J359,'[1]Table S6'!$A:$AI,14,FALSE)</f>
        <v>5.4029999999999996</v>
      </c>
      <c r="X359" t="str">
        <f>VLOOKUP($J359,'[1]Table S6'!$A:$AI,15,FALSE)</f>
        <v>No</v>
      </c>
      <c r="Z359">
        <f>VLOOKUP($J359,'[1]Table S6'!$A:$AI,17,FALSE)</f>
        <v>311.89999999999998</v>
      </c>
      <c r="AA359">
        <f>VLOOKUP($J359,'[1]Table S6'!$A:$AI,18,FALSE)</f>
        <v>0.66375824643541204</v>
      </c>
      <c r="AB359">
        <f>VLOOKUP($J359,'[1]Table S6'!$A:$AI,19,FALSE)</f>
        <v>1.6140000000000001</v>
      </c>
      <c r="AC359" t="str">
        <f>VLOOKUP($J359,'[1]Table S6'!$A:$AI,20,FALSE)</f>
        <v>Yes</v>
      </c>
      <c r="AE359">
        <f>VLOOKUP($J359,'[1]Table S6'!$A:$AI,22,FALSE)</f>
        <v>360.5</v>
      </c>
      <c r="AF359">
        <f>VLOOKUP($J359,'[1]Table S6'!$A:$AI,23,FALSE)</f>
        <v>0.76718450734198795</v>
      </c>
      <c r="AG359">
        <f>VLOOKUP($J359,'[1]Table S6'!$A:$AI,24,FALSE)</f>
        <v>13.73</v>
      </c>
      <c r="AH359" t="str">
        <f>VLOOKUP($J359,'[1]Table S6'!$A:$AI,25,FALSE)</f>
        <v>No</v>
      </c>
      <c r="AJ359">
        <f>VLOOKUP($J359,'[1]Table S6'!$A:$AI,27,FALSE)</f>
        <v>442.6</v>
      </c>
      <c r="AK359">
        <f>VLOOKUP($J359,'[1]Table S6'!$A:$AI,28,FALSE)</f>
        <v>0.94190253245371403</v>
      </c>
      <c r="AL359">
        <f>VLOOKUP($J359,'[1]Table S6'!$A:$AI,29,FALSE)</f>
        <v>193.1</v>
      </c>
      <c r="AM359" t="str">
        <f>VLOOKUP($J359,'[1]Table S6'!$A:$AI,30,FALSE)</f>
        <v>No</v>
      </c>
      <c r="AO359">
        <f>VLOOKUP($J359,'[1]Table S6'!$A:$AI,32,FALSE)</f>
        <v>400.2</v>
      </c>
      <c r="AP359">
        <f>VLOOKUP($J359,'[1]Table S6'!$A:$AI,33,FALSE)</f>
        <v>0.85167056820600096</v>
      </c>
      <c r="AQ359">
        <f>VLOOKUP($J359,'[1]Table S6'!$A:$AI,34,FALSE)</f>
        <v>181.2</v>
      </c>
      <c r="AR359" t="str">
        <f>VLOOKUP($J359,'[1]Table S6'!$A:$AI,35,FALSE)</f>
        <v>No</v>
      </c>
      <c r="AT359" t="str">
        <f>VLOOKUP($I359,'[2]Table S5'!$A:$K,8,FALSE)</f>
        <v>Sensitive</v>
      </c>
      <c r="AU359" t="str">
        <f>VLOOKUP($I359,'[2]Table S5'!$A:$K,9,FALSE)</f>
        <v>Resistant</v>
      </c>
      <c r="AV359" t="str">
        <f>VLOOKUP($I359,'[2]Table S5'!$A:$K,10,FALSE)</f>
        <v>Resistant</v>
      </c>
      <c r="AW359" t="str">
        <f>VLOOKUP($I359,'[2]Table S5'!$A:$K,11,FALSE)</f>
        <v>Sensitive</v>
      </c>
    </row>
    <row r="360" spans="1:49">
      <c r="A360" s="12" t="s">
        <v>2722</v>
      </c>
      <c r="B360" t="s">
        <v>2723</v>
      </c>
      <c r="C360" t="s">
        <v>2724</v>
      </c>
      <c r="D360" t="s">
        <v>17</v>
      </c>
      <c r="E360" t="s">
        <v>2725</v>
      </c>
      <c r="F360" s="12" t="s">
        <v>2726</v>
      </c>
      <c r="G360" t="s">
        <v>2727</v>
      </c>
      <c r="H360" t="s">
        <v>2728</v>
      </c>
      <c r="I360" t="s">
        <v>2705</v>
      </c>
      <c r="J360" t="s">
        <v>2721</v>
      </c>
      <c r="K360">
        <f>VLOOKUP($J360,'[1]Table S6'!$A:$AI,2,FALSE)</f>
        <v>250.1</v>
      </c>
      <c r="L360">
        <f>VLOOKUP($J360,'[1]Table S6'!$A:$AI,3,FALSE)</f>
        <v>0.53224090231964205</v>
      </c>
      <c r="M360">
        <f>VLOOKUP($J360,'[1]Table S6'!$A:$AI,4,FALSE)</f>
        <v>0.39900000000000002</v>
      </c>
      <c r="N360" t="str">
        <f>VLOOKUP($J360,'[1]Table S6'!$A:$AI,5,FALSE)</f>
        <v>Yes</v>
      </c>
      <c r="P360">
        <f>VLOOKUP($J360,'[1]Table S6'!$A:$AI,7,FALSE)</f>
        <v>321.3</v>
      </c>
      <c r="Q360">
        <f>VLOOKUP($J360,'[1]Table S6'!$A:$AI,8,FALSE)</f>
        <v>0.68376250266014005</v>
      </c>
      <c r="R360">
        <f>VLOOKUP($J360,'[1]Table S6'!$A:$AI,9,FALSE)</f>
        <v>2.1520000000000001</v>
      </c>
      <c r="S360" t="str">
        <f>VLOOKUP($J360,'[1]Table S6'!$A:$AI,10,FALSE)</f>
        <v>Yes</v>
      </c>
      <c r="U360">
        <f>VLOOKUP($J360,'[1]Table S6'!$A:$AI,12,FALSE)</f>
        <v>347.8</v>
      </c>
      <c r="V360">
        <f>VLOOKUP($J360,'[1]Table S6'!$A:$AI,13,FALSE)</f>
        <v>0.74015748031496098</v>
      </c>
      <c r="W360">
        <f>VLOOKUP($J360,'[1]Table S6'!$A:$AI,14,FALSE)</f>
        <v>5.4029999999999996</v>
      </c>
      <c r="X360" t="str">
        <f>VLOOKUP($J360,'[1]Table S6'!$A:$AI,15,FALSE)</f>
        <v>No</v>
      </c>
      <c r="Z360">
        <f>VLOOKUP($J360,'[1]Table S6'!$A:$AI,17,FALSE)</f>
        <v>311.89999999999998</v>
      </c>
      <c r="AA360">
        <f>VLOOKUP($J360,'[1]Table S6'!$A:$AI,18,FALSE)</f>
        <v>0.66375824643541204</v>
      </c>
      <c r="AB360">
        <f>VLOOKUP($J360,'[1]Table S6'!$A:$AI,19,FALSE)</f>
        <v>1.6140000000000001</v>
      </c>
      <c r="AC360" t="str">
        <f>VLOOKUP($J360,'[1]Table S6'!$A:$AI,20,FALSE)</f>
        <v>Yes</v>
      </c>
      <c r="AE360">
        <f>VLOOKUP($J360,'[1]Table S6'!$A:$AI,22,FALSE)</f>
        <v>360.5</v>
      </c>
      <c r="AF360">
        <f>VLOOKUP($J360,'[1]Table S6'!$A:$AI,23,FALSE)</f>
        <v>0.76718450734198795</v>
      </c>
      <c r="AG360">
        <f>VLOOKUP($J360,'[1]Table S6'!$A:$AI,24,FALSE)</f>
        <v>13.73</v>
      </c>
      <c r="AH360" t="str">
        <f>VLOOKUP($J360,'[1]Table S6'!$A:$AI,25,FALSE)</f>
        <v>No</v>
      </c>
      <c r="AJ360">
        <f>VLOOKUP($J360,'[1]Table S6'!$A:$AI,27,FALSE)</f>
        <v>442.6</v>
      </c>
      <c r="AK360">
        <f>VLOOKUP($J360,'[1]Table S6'!$A:$AI,28,FALSE)</f>
        <v>0.94190253245371403</v>
      </c>
      <c r="AL360">
        <f>VLOOKUP($J360,'[1]Table S6'!$A:$AI,29,FALSE)</f>
        <v>193.1</v>
      </c>
      <c r="AM360" t="str">
        <f>VLOOKUP($J360,'[1]Table S6'!$A:$AI,30,FALSE)</f>
        <v>No</v>
      </c>
      <c r="AO360">
        <f>VLOOKUP($J360,'[1]Table S6'!$A:$AI,32,FALSE)</f>
        <v>400.2</v>
      </c>
      <c r="AP360">
        <f>VLOOKUP($J360,'[1]Table S6'!$A:$AI,33,FALSE)</f>
        <v>0.85167056820600096</v>
      </c>
      <c r="AQ360">
        <f>VLOOKUP($J360,'[1]Table S6'!$A:$AI,34,FALSE)</f>
        <v>181.2</v>
      </c>
      <c r="AR360" t="str">
        <f>VLOOKUP($J360,'[1]Table S6'!$A:$AI,35,FALSE)</f>
        <v>No</v>
      </c>
      <c r="AT360" t="str">
        <f>VLOOKUP($I360,'[2]Table S5'!$A:$K,8,FALSE)</f>
        <v>Sensitive</v>
      </c>
      <c r="AU360" t="str">
        <f>VLOOKUP($I360,'[2]Table S5'!$A:$K,9,FALSE)</f>
        <v>Resistant</v>
      </c>
      <c r="AV360" t="str">
        <f>VLOOKUP($I360,'[2]Table S5'!$A:$K,10,FALSE)</f>
        <v>Resistant</v>
      </c>
      <c r="AW360" t="str">
        <f>VLOOKUP($I360,'[2]Table S5'!$A:$K,11,FALSE)</f>
        <v>Sensitive</v>
      </c>
    </row>
    <row r="361" spans="1:49">
      <c r="A361" s="12" t="s">
        <v>2729</v>
      </c>
      <c r="B361" t="s">
        <v>2730</v>
      </c>
      <c r="C361" t="s">
        <v>2731</v>
      </c>
      <c r="D361" t="s">
        <v>17</v>
      </c>
      <c r="E361" t="s">
        <v>2732</v>
      </c>
      <c r="F361" s="12" t="s">
        <v>2733</v>
      </c>
      <c r="G361" t="s">
        <v>2734</v>
      </c>
      <c r="H361" t="s">
        <v>2735</v>
      </c>
      <c r="I361" t="s">
        <v>22</v>
      </c>
      <c r="J361" t="s">
        <v>2736</v>
      </c>
      <c r="K361">
        <f>VLOOKUP($J361,'[1]Table S6'!$A:$AI,2,FALSE)</f>
        <v>345.1</v>
      </c>
      <c r="L361">
        <f>VLOOKUP($J361,'[1]Table S6'!$A:$AI,3,FALSE)</f>
        <v>0.73441157693126202</v>
      </c>
      <c r="M361">
        <f>VLOOKUP($J361,'[1]Table S6'!$A:$AI,4,FALSE)</f>
        <v>4.2389999999999999</v>
      </c>
      <c r="N361" t="str">
        <f>VLOOKUP($J361,'[1]Table S6'!$A:$AI,5,FALSE)</f>
        <v>No</v>
      </c>
      <c r="P361">
        <f>VLOOKUP($J361,'[1]Table S6'!$A:$AI,7,FALSE)</f>
        <v>337.7</v>
      </c>
      <c r="Q361">
        <f>VLOOKUP($J361,'[1]Table S6'!$A:$AI,8,FALSE)</f>
        <v>0.71866354543519895</v>
      </c>
      <c r="R361">
        <f>VLOOKUP($J361,'[1]Table S6'!$A:$AI,9,FALSE)</f>
        <v>3.8029999999999999</v>
      </c>
      <c r="S361" t="str">
        <f>VLOOKUP($J361,'[1]Table S6'!$A:$AI,10,FALSE)</f>
        <v>No</v>
      </c>
      <c r="U361">
        <f>VLOOKUP($J361,'[1]Table S6'!$A:$AI,12,FALSE)</f>
        <v>298.39999999999998</v>
      </c>
      <c r="V361">
        <f>VLOOKUP($J361,'[1]Table S6'!$A:$AI,13,FALSE)</f>
        <v>0.63502872951691802</v>
      </c>
      <c r="W361">
        <f>VLOOKUP($J361,'[1]Table S6'!$A:$AI,14,FALSE)</f>
        <v>1.05</v>
      </c>
      <c r="X361" t="str">
        <f>VLOOKUP($J361,'[1]Table S6'!$A:$AI,15,FALSE)</f>
        <v>Yes</v>
      </c>
      <c r="Z361">
        <f>VLOOKUP($J361,'[1]Table S6'!$A:$AI,17,FALSE)</f>
        <v>312.10000000000002</v>
      </c>
      <c r="AA361">
        <f>VLOOKUP($J361,'[1]Table S6'!$A:$AI,18,FALSE)</f>
        <v>0.66418386890827796</v>
      </c>
      <c r="AB361">
        <f>VLOOKUP($J361,'[1]Table S6'!$A:$AI,19,FALSE)</f>
        <v>1.3919999999999999</v>
      </c>
      <c r="AC361" t="str">
        <f>VLOOKUP($J361,'[1]Table S6'!$A:$AI,20,FALSE)</f>
        <v>Yes</v>
      </c>
      <c r="AE361">
        <f>VLOOKUP($J361,'[1]Table S6'!$A:$AI,22,FALSE)</f>
        <v>347.9</v>
      </c>
      <c r="AF361">
        <f>VLOOKUP($J361,'[1]Table S6'!$A:$AI,23,FALSE)</f>
        <v>0.740370291551394</v>
      </c>
      <c r="AG361">
        <f>VLOOKUP($J361,'[1]Table S6'!$A:$AI,24,FALSE)</f>
        <v>6.3920000000000003</v>
      </c>
      <c r="AH361" t="str">
        <f>VLOOKUP($J361,'[1]Table S6'!$A:$AI,25,FALSE)</f>
        <v>No</v>
      </c>
      <c r="AJ361">
        <f>VLOOKUP($J361,'[1]Table S6'!$A:$AI,27,FALSE)</f>
        <v>404.8</v>
      </c>
      <c r="AK361">
        <f>VLOOKUP($J361,'[1]Table S6'!$A:$AI,28,FALSE)</f>
        <v>0.86145988508193205</v>
      </c>
      <c r="AL361">
        <f>VLOOKUP($J361,'[1]Table S6'!$A:$AI,29,FALSE)</f>
        <v>115.3</v>
      </c>
      <c r="AM361" t="str">
        <f>VLOOKUP($J361,'[1]Table S6'!$A:$AI,30,FALSE)</f>
        <v>No</v>
      </c>
      <c r="AO361">
        <f>VLOOKUP($J361,'[1]Table S6'!$A:$AI,32,FALSE)</f>
        <v>429.2</v>
      </c>
      <c r="AP361">
        <f>VLOOKUP($J361,'[1]Table S6'!$A:$AI,33,FALSE)</f>
        <v>0.91338582677165403</v>
      </c>
      <c r="AQ361">
        <f>VLOOKUP($J361,'[1]Table S6'!$A:$AI,34,FALSE)</f>
        <v>196.8</v>
      </c>
      <c r="AR361" t="str">
        <f>VLOOKUP($J361,'[1]Table S6'!$A:$AI,35,FALSE)</f>
        <v>No</v>
      </c>
      <c r="AT361" t="str">
        <f>VLOOKUP($I361,'[2]Table S5'!$A:$K,8,FALSE)</f>
        <v>Resistant</v>
      </c>
      <c r="AU361" t="str">
        <f>VLOOKUP($I361,'[2]Table S5'!$A:$K,9,FALSE)</f>
        <v>Resistant</v>
      </c>
      <c r="AV361" t="str">
        <f>VLOOKUP($I361,'[2]Table S5'!$A:$K,10,FALSE)</f>
        <v>Resistant</v>
      </c>
      <c r="AW361" t="str">
        <f>VLOOKUP($I361,'[2]Table S5'!$A:$K,11,FALSE)</f>
        <v>Resistant</v>
      </c>
    </row>
    <row r="362" spans="1:49">
      <c r="A362" s="12" t="s">
        <v>2737</v>
      </c>
      <c r="B362" t="s">
        <v>2738</v>
      </c>
      <c r="C362" t="s">
        <v>2739</v>
      </c>
      <c r="D362" t="s">
        <v>17</v>
      </c>
      <c r="E362" t="s">
        <v>2740</v>
      </c>
      <c r="F362" s="12" t="s">
        <v>2741</v>
      </c>
      <c r="G362" t="s">
        <v>2742</v>
      </c>
      <c r="H362" t="s">
        <v>2743</v>
      </c>
      <c r="I362" t="s">
        <v>22</v>
      </c>
      <c r="J362" t="s">
        <v>2736</v>
      </c>
      <c r="K362">
        <f>VLOOKUP($J362,'[1]Table S6'!$A:$AI,2,FALSE)</f>
        <v>345.1</v>
      </c>
      <c r="L362">
        <f>VLOOKUP($J362,'[1]Table S6'!$A:$AI,3,FALSE)</f>
        <v>0.73441157693126202</v>
      </c>
      <c r="M362">
        <f>VLOOKUP($J362,'[1]Table S6'!$A:$AI,4,FALSE)</f>
        <v>4.2389999999999999</v>
      </c>
      <c r="N362" t="str">
        <f>VLOOKUP($J362,'[1]Table S6'!$A:$AI,5,FALSE)</f>
        <v>No</v>
      </c>
      <c r="P362">
        <f>VLOOKUP($J362,'[1]Table S6'!$A:$AI,7,FALSE)</f>
        <v>337.7</v>
      </c>
      <c r="Q362">
        <f>VLOOKUP($J362,'[1]Table S6'!$A:$AI,8,FALSE)</f>
        <v>0.71866354543519895</v>
      </c>
      <c r="R362">
        <f>VLOOKUP($J362,'[1]Table S6'!$A:$AI,9,FALSE)</f>
        <v>3.8029999999999999</v>
      </c>
      <c r="S362" t="str">
        <f>VLOOKUP($J362,'[1]Table S6'!$A:$AI,10,FALSE)</f>
        <v>No</v>
      </c>
      <c r="U362">
        <f>VLOOKUP($J362,'[1]Table S6'!$A:$AI,12,FALSE)</f>
        <v>298.39999999999998</v>
      </c>
      <c r="V362">
        <f>VLOOKUP($J362,'[1]Table S6'!$A:$AI,13,FALSE)</f>
        <v>0.63502872951691802</v>
      </c>
      <c r="W362">
        <f>VLOOKUP($J362,'[1]Table S6'!$A:$AI,14,FALSE)</f>
        <v>1.05</v>
      </c>
      <c r="X362" t="str">
        <f>VLOOKUP($J362,'[1]Table S6'!$A:$AI,15,FALSE)</f>
        <v>Yes</v>
      </c>
      <c r="Z362">
        <f>VLOOKUP($J362,'[1]Table S6'!$A:$AI,17,FALSE)</f>
        <v>312.10000000000002</v>
      </c>
      <c r="AA362">
        <f>VLOOKUP($J362,'[1]Table S6'!$A:$AI,18,FALSE)</f>
        <v>0.66418386890827796</v>
      </c>
      <c r="AB362">
        <f>VLOOKUP($J362,'[1]Table S6'!$A:$AI,19,FALSE)</f>
        <v>1.3919999999999999</v>
      </c>
      <c r="AC362" t="str">
        <f>VLOOKUP($J362,'[1]Table S6'!$A:$AI,20,FALSE)</f>
        <v>Yes</v>
      </c>
      <c r="AE362">
        <f>VLOOKUP($J362,'[1]Table S6'!$A:$AI,22,FALSE)</f>
        <v>347.9</v>
      </c>
      <c r="AF362">
        <f>VLOOKUP($J362,'[1]Table S6'!$A:$AI,23,FALSE)</f>
        <v>0.740370291551394</v>
      </c>
      <c r="AG362">
        <f>VLOOKUP($J362,'[1]Table S6'!$A:$AI,24,FALSE)</f>
        <v>6.3920000000000003</v>
      </c>
      <c r="AH362" t="str">
        <f>VLOOKUP($J362,'[1]Table S6'!$A:$AI,25,FALSE)</f>
        <v>No</v>
      </c>
      <c r="AJ362">
        <f>VLOOKUP($J362,'[1]Table S6'!$A:$AI,27,FALSE)</f>
        <v>404.8</v>
      </c>
      <c r="AK362">
        <f>VLOOKUP($J362,'[1]Table S6'!$A:$AI,28,FALSE)</f>
        <v>0.86145988508193205</v>
      </c>
      <c r="AL362">
        <f>VLOOKUP($J362,'[1]Table S6'!$A:$AI,29,FALSE)</f>
        <v>115.3</v>
      </c>
      <c r="AM362" t="str">
        <f>VLOOKUP($J362,'[1]Table S6'!$A:$AI,30,FALSE)</f>
        <v>No</v>
      </c>
      <c r="AO362">
        <f>VLOOKUP($J362,'[1]Table S6'!$A:$AI,32,FALSE)</f>
        <v>429.2</v>
      </c>
      <c r="AP362">
        <f>VLOOKUP($J362,'[1]Table S6'!$A:$AI,33,FALSE)</f>
        <v>0.91338582677165403</v>
      </c>
      <c r="AQ362">
        <f>VLOOKUP($J362,'[1]Table S6'!$A:$AI,34,FALSE)</f>
        <v>196.8</v>
      </c>
      <c r="AR362" t="str">
        <f>VLOOKUP($J362,'[1]Table S6'!$A:$AI,35,FALSE)</f>
        <v>No</v>
      </c>
      <c r="AT362" t="str">
        <f>VLOOKUP($I362,'[2]Table S5'!$A:$K,8,FALSE)</f>
        <v>Resistant</v>
      </c>
      <c r="AU362" t="str">
        <f>VLOOKUP($I362,'[2]Table S5'!$A:$K,9,FALSE)</f>
        <v>Resistant</v>
      </c>
      <c r="AV362" t="str">
        <f>VLOOKUP($I362,'[2]Table S5'!$A:$K,10,FALSE)</f>
        <v>Resistant</v>
      </c>
      <c r="AW362" t="str">
        <f>VLOOKUP($I362,'[2]Table S5'!$A:$K,11,FALSE)</f>
        <v>Resistant</v>
      </c>
    </row>
    <row r="363" spans="1:49">
      <c r="A363" s="12" t="s">
        <v>2744</v>
      </c>
      <c r="B363" t="s">
        <v>2745</v>
      </c>
      <c r="C363" t="s">
        <v>2746</v>
      </c>
      <c r="D363" t="s">
        <v>17</v>
      </c>
      <c r="E363" t="s">
        <v>18</v>
      </c>
      <c r="F363" s="12" t="s">
        <v>19</v>
      </c>
      <c r="G363" t="s">
        <v>20</v>
      </c>
      <c r="H363" t="s">
        <v>21</v>
      </c>
      <c r="I363" t="s">
        <v>22</v>
      </c>
      <c r="J363" t="s">
        <v>23</v>
      </c>
      <c r="K363">
        <f>VLOOKUP($J363,'[1]Table S6'!$A:$AI,2,FALSE)</f>
        <v>306.5</v>
      </c>
      <c r="L363">
        <f>VLOOKUP($J363,'[1]Table S6'!$A:$AI,3,FALSE)</f>
        <v>0.65226643966801401</v>
      </c>
      <c r="M363">
        <f>VLOOKUP($J363,'[1]Table S6'!$A:$AI,4,FALSE)</f>
        <v>1.093</v>
      </c>
      <c r="N363" t="str">
        <f>VLOOKUP($J363,'[1]Table S6'!$A:$AI,5,FALSE)</f>
        <v>Yes</v>
      </c>
      <c r="P363">
        <f>VLOOKUP($J363,'[1]Table S6'!$A:$AI,7,FALSE)</f>
        <v>316.89999999999998</v>
      </c>
      <c r="Q363">
        <f>VLOOKUP($J363,'[1]Table S6'!$A:$AI,8,FALSE)</f>
        <v>0.67439880825707599</v>
      </c>
      <c r="R363">
        <f>VLOOKUP($J363,'[1]Table S6'!$A:$AI,9,FALSE)</f>
        <v>1.17</v>
      </c>
      <c r="S363" t="str">
        <f>VLOOKUP($J363,'[1]Table S6'!$A:$AI,10,FALSE)</f>
        <v>Yes</v>
      </c>
      <c r="U363">
        <f>VLOOKUP($J363,'[1]Table S6'!$A:$AI,12,FALSE)</f>
        <v>359.1</v>
      </c>
      <c r="V363">
        <f>VLOOKUP($J363,'[1]Table S6'!$A:$AI,13,FALSE)</f>
        <v>0.76420515003192202</v>
      </c>
      <c r="W363">
        <f>VLOOKUP($J363,'[1]Table S6'!$A:$AI,14,FALSE)</f>
        <v>6.6349999999999998</v>
      </c>
      <c r="X363" t="str">
        <f>VLOOKUP($J363,'[1]Table S6'!$A:$AI,15,FALSE)</f>
        <v>No</v>
      </c>
      <c r="Z363">
        <f>VLOOKUP($J363,'[1]Table S6'!$A:$AI,17,FALSE)</f>
        <v>388.3</v>
      </c>
      <c r="AA363">
        <f>VLOOKUP($J363,'[1]Table S6'!$A:$AI,18,FALSE)</f>
        <v>0.82634603107044102</v>
      </c>
      <c r="AB363">
        <f>VLOOKUP($J363,'[1]Table S6'!$A:$AI,19,FALSE)</f>
        <v>11.69</v>
      </c>
      <c r="AC363" t="str">
        <f>VLOOKUP($J363,'[1]Table S6'!$A:$AI,20,FALSE)</f>
        <v>No</v>
      </c>
      <c r="AE363">
        <f>VLOOKUP($J363,'[1]Table S6'!$A:$AI,22,FALSE)</f>
        <v>378.1</v>
      </c>
      <c r="AF363">
        <f>VLOOKUP($J363,'[1]Table S6'!$A:$AI,23,FALSE)</f>
        <v>0.80463928495424597</v>
      </c>
      <c r="AG363">
        <f>VLOOKUP($J363,'[1]Table S6'!$A:$AI,24,FALSE)</f>
        <v>8.8510000000000009</v>
      </c>
      <c r="AH363" t="str">
        <f>VLOOKUP($J363,'[1]Table S6'!$A:$AI,25,FALSE)</f>
        <v>No</v>
      </c>
      <c r="AJ363">
        <f>VLOOKUP($J363,'[1]Table S6'!$A:$AI,27,FALSE)</f>
        <v>424.4</v>
      </c>
      <c r="AK363">
        <f>VLOOKUP($J363,'[1]Table S6'!$A:$AI,28,FALSE)</f>
        <v>0.90317088742285601</v>
      </c>
      <c r="AL363">
        <f>VLOOKUP($J363,'[1]Table S6'!$A:$AI,29,FALSE)</f>
        <v>84.01</v>
      </c>
      <c r="AM363" t="str">
        <f>VLOOKUP($J363,'[1]Table S6'!$A:$AI,30,FALSE)</f>
        <v>No</v>
      </c>
      <c r="AO363">
        <f>VLOOKUP($J363,'[1]Table S6'!$A:$AI,32,FALSE)</f>
        <v>408</v>
      </c>
      <c r="AP363">
        <f>VLOOKUP($J363,'[1]Table S6'!$A:$AI,33,FALSE)</f>
        <v>0.868269844647797</v>
      </c>
      <c r="AQ363">
        <f>VLOOKUP($J363,'[1]Table S6'!$A:$AI,34,FALSE)</f>
        <v>33.61</v>
      </c>
      <c r="AR363" t="str">
        <f>VLOOKUP($J363,'[1]Table S6'!$A:$AI,35,FALSE)</f>
        <v>No</v>
      </c>
      <c r="AT363" t="str">
        <f>VLOOKUP($I363,'[2]Table S5'!$A:$K,8,FALSE)</f>
        <v>Resistant</v>
      </c>
      <c r="AU363" t="str">
        <f>VLOOKUP($I363,'[2]Table S5'!$A:$K,9,FALSE)</f>
        <v>Resistant</v>
      </c>
      <c r="AV363" t="str">
        <f>VLOOKUP($I363,'[2]Table S5'!$A:$K,10,FALSE)</f>
        <v>Resistant</v>
      </c>
      <c r="AW363" t="str">
        <f>VLOOKUP($I363,'[2]Table S5'!$A:$K,11,FALSE)</f>
        <v>Resistant</v>
      </c>
    </row>
    <row r="364" spans="1:49">
      <c r="A364" s="12" t="s">
        <v>2747</v>
      </c>
      <c r="B364" t="s">
        <v>2748</v>
      </c>
      <c r="C364" t="s">
        <v>2749</v>
      </c>
      <c r="D364" t="s">
        <v>17</v>
      </c>
      <c r="E364" t="s">
        <v>27</v>
      </c>
      <c r="F364" s="12" t="s">
        <v>28</v>
      </c>
      <c r="G364" t="s">
        <v>29</v>
      </c>
      <c r="H364" t="s">
        <v>30</v>
      </c>
      <c r="I364" t="s">
        <v>22</v>
      </c>
      <c r="J364" t="s">
        <v>31</v>
      </c>
      <c r="K364">
        <f>VLOOKUP($J364,'[1]Table S6'!$A:$AI,2,FALSE)</f>
        <v>245.9</v>
      </c>
      <c r="L364">
        <f>VLOOKUP($J364,'[1]Table S6'!$A:$AI,3,FALSE)</f>
        <v>0.52330283038944503</v>
      </c>
      <c r="M364">
        <f>VLOOKUP($J364,'[1]Table S6'!$A:$AI,4,FALSE)</f>
        <v>0.31319999999999998</v>
      </c>
      <c r="N364" t="str">
        <f>VLOOKUP($J364,'[1]Table S6'!$A:$AI,5,FALSE)</f>
        <v>Yes</v>
      </c>
      <c r="P364">
        <f>VLOOKUP($J364,'[1]Table S6'!$A:$AI,7,FALSE)</f>
        <v>282.3</v>
      </c>
      <c r="Q364">
        <f>VLOOKUP($J364,'[1]Table S6'!$A:$AI,8,FALSE)</f>
        <v>0.60076612045115996</v>
      </c>
      <c r="R364">
        <f>VLOOKUP($J364,'[1]Table S6'!$A:$AI,9,FALSE)</f>
        <v>0.61819999999999997</v>
      </c>
      <c r="S364" t="str">
        <f>VLOOKUP($J364,'[1]Table S6'!$A:$AI,10,FALSE)</f>
        <v>Yes</v>
      </c>
      <c r="U364">
        <f>VLOOKUP($J364,'[1]Table S6'!$A:$AI,12,FALSE)</f>
        <v>304.89999999999998</v>
      </c>
      <c r="V364">
        <f>VLOOKUP($J364,'[1]Table S6'!$A:$AI,13,FALSE)</f>
        <v>0.64886145988508204</v>
      </c>
      <c r="W364">
        <f>VLOOKUP($J364,'[1]Table S6'!$A:$AI,14,FALSE)</f>
        <v>1.4930000000000001</v>
      </c>
      <c r="X364" t="str">
        <f>VLOOKUP($J364,'[1]Table S6'!$A:$AI,15,FALSE)</f>
        <v>Yes</v>
      </c>
      <c r="Z364">
        <f>VLOOKUP($J364,'[1]Table S6'!$A:$AI,17,FALSE)</f>
        <v>359.8</v>
      </c>
      <c r="AA364">
        <f>VLOOKUP($J364,'[1]Table S6'!$A:$AI,18,FALSE)</f>
        <v>0.76569482868695504</v>
      </c>
      <c r="AB364">
        <f>VLOOKUP($J364,'[1]Table S6'!$A:$AI,19,FALSE)</f>
        <v>6.5410000000000004</v>
      </c>
      <c r="AC364" t="str">
        <f>VLOOKUP($J364,'[1]Table S6'!$A:$AI,20,FALSE)</f>
        <v>No</v>
      </c>
      <c r="AE364">
        <f>VLOOKUP($J364,'[1]Table S6'!$A:$AI,22,FALSE)</f>
        <v>380.8</v>
      </c>
      <c r="AF364">
        <f>VLOOKUP($J364,'[1]Table S6'!$A:$AI,23,FALSE)</f>
        <v>0.81038518833794404</v>
      </c>
      <c r="AG364">
        <f>VLOOKUP($J364,'[1]Table S6'!$A:$AI,24,FALSE)</f>
        <v>11.32</v>
      </c>
      <c r="AH364" t="str">
        <f>VLOOKUP($J364,'[1]Table S6'!$A:$AI,25,FALSE)</f>
        <v>No</v>
      </c>
      <c r="AJ364">
        <f>VLOOKUP($J364,'[1]Table S6'!$A:$AI,27,FALSE)</f>
        <v>411.5</v>
      </c>
      <c r="AK364">
        <f>VLOOKUP($J364,'[1]Table S6'!$A:$AI,28,FALSE)</f>
        <v>0.875718237922962</v>
      </c>
      <c r="AL364">
        <f>VLOOKUP($J364,'[1]Table S6'!$A:$AI,29,FALSE)</f>
        <v>49.03</v>
      </c>
      <c r="AM364" t="str">
        <f>VLOOKUP($J364,'[1]Table S6'!$A:$AI,30,FALSE)</f>
        <v>No</v>
      </c>
      <c r="AO364">
        <f>VLOOKUP($J364,'[1]Table S6'!$A:$AI,32,FALSE)</f>
        <v>403.4</v>
      </c>
      <c r="AP364">
        <f>VLOOKUP($J364,'[1]Table S6'!$A:$AI,33,FALSE)</f>
        <v>0.85848052777186601</v>
      </c>
      <c r="AQ364">
        <f>VLOOKUP($J364,'[1]Table S6'!$A:$AI,34,FALSE)</f>
        <v>26.97</v>
      </c>
      <c r="AR364" t="str">
        <f>VLOOKUP($J364,'[1]Table S6'!$A:$AI,35,FALSE)</f>
        <v>No</v>
      </c>
      <c r="AT364" t="str">
        <f>VLOOKUP($I364,'[2]Table S5'!$A:$K,8,FALSE)</f>
        <v>Resistant</v>
      </c>
      <c r="AU364" t="str">
        <f>VLOOKUP($I364,'[2]Table S5'!$A:$K,9,FALSE)</f>
        <v>Resistant</v>
      </c>
      <c r="AV364" t="str">
        <f>VLOOKUP($I364,'[2]Table S5'!$A:$K,10,FALSE)</f>
        <v>Resistant</v>
      </c>
      <c r="AW364" t="str">
        <f>VLOOKUP($I364,'[2]Table S5'!$A:$K,11,FALSE)</f>
        <v>Resistant</v>
      </c>
    </row>
    <row r="365" spans="1:49">
      <c r="A365" s="12" t="s">
        <v>2750</v>
      </c>
      <c r="B365" t="s">
        <v>2751</v>
      </c>
      <c r="C365" t="s">
        <v>2752</v>
      </c>
      <c r="D365" t="s">
        <v>17</v>
      </c>
      <c r="E365" t="s">
        <v>2753</v>
      </c>
      <c r="F365" s="12" t="s">
        <v>2754</v>
      </c>
      <c r="G365" t="s">
        <v>2755</v>
      </c>
      <c r="H365" t="s">
        <v>2756</v>
      </c>
      <c r="I365" t="s">
        <v>22</v>
      </c>
      <c r="J365" t="s">
        <v>39</v>
      </c>
      <c r="K365">
        <f>VLOOKUP($J365,'[1]Table S6'!$A:$AI,2,FALSE)</f>
        <v>306.10000000000002</v>
      </c>
      <c r="L365">
        <f>VLOOKUP($J365,'[1]Table S6'!$A:$AI,3,FALSE)</f>
        <v>0.65141519472228104</v>
      </c>
      <c r="M365">
        <f>VLOOKUP($J365,'[1]Table S6'!$A:$AI,4,FALSE)</f>
        <v>1.179</v>
      </c>
      <c r="N365" t="str">
        <f>VLOOKUP($J365,'[1]Table S6'!$A:$AI,5,FALSE)</f>
        <v>Yes</v>
      </c>
      <c r="P365">
        <f>VLOOKUP($J365,'[1]Table S6'!$A:$AI,7,FALSE)</f>
        <v>393.6</v>
      </c>
      <c r="Q365">
        <f>VLOOKUP($J365,'[1]Table S6'!$A:$AI,8,FALSE)</f>
        <v>0.83762502660140503</v>
      </c>
      <c r="R365">
        <f>VLOOKUP($J365,'[1]Table S6'!$A:$AI,9,FALSE)</f>
        <v>20.23</v>
      </c>
      <c r="S365" t="str">
        <f>VLOOKUP($J365,'[1]Table S6'!$A:$AI,10,FALSE)</f>
        <v>No</v>
      </c>
      <c r="U365">
        <f>VLOOKUP($J365,'[1]Table S6'!$A:$AI,12,FALSE)</f>
        <v>265</v>
      </c>
      <c r="V365">
        <f>VLOOKUP($J365,'[1]Table S6'!$A:$AI,13,FALSE)</f>
        <v>0.563949776548202</v>
      </c>
      <c r="W365">
        <f>VLOOKUP($J365,'[1]Table S6'!$A:$AI,14,FALSE)</f>
        <v>0.38069999999999998</v>
      </c>
      <c r="X365" t="str">
        <f>VLOOKUP($J365,'[1]Table S6'!$A:$AI,15,FALSE)</f>
        <v>Yes</v>
      </c>
      <c r="Z365">
        <f>VLOOKUP($J365,'[1]Table S6'!$A:$AI,17,FALSE)</f>
        <v>331.9</v>
      </c>
      <c r="AA365">
        <f>VLOOKUP($J365,'[1]Table S6'!$A:$AI,18,FALSE)</f>
        <v>0.70632049372206895</v>
      </c>
      <c r="AB365">
        <f>VLOOKUP($J365,'[1]Table S6'!$A:$AI,19,FALSE)</f>
        <v>2.403</v>
      </c>
      <c r="AC365" t="str">
        <f>VLOOKUP($J365,'[1]Table S6'!$A:$AI,20,FALSE)</f>
        <v>No</v>
      </c>
      <c r="AE365">
        <f>VLOOKUP($J365,'[1]Table S6'!$A:$AI,22,FALSE)</f>
        <v>376.5</v>
      </c>
      <c r="AF365">
        <f>VLOOKUP($J365,'[1]Table S6'!$A:$AI,23,FALSE)</f>
        <v>0.801234305171313</v>
      </c>
      <c r="AG365">
        <f>VLOOKUP($J365,'[1]Table S6'!$A:$AI,24,FALSE)</f>
        <v>8.6720000000000006</v>
      </c>
      <c r="AH365" t="str">
        <f>VLOOKUP($J365,'[1]Table S6'!$A:$AI,25,FALSE)</f>
        <v>No</v>
      </c>
      <c r="AJ365">
        <f>VLOOKUP($J365,'[1]Table S6'!$A:$AI,27,FALSE)</f>
        <v>377.3</v>
      </c>
      <c r="AK365">
        <f>VLOOKUP($J365,'[1]Table S6'!$A:$AI,28,FALSE)</f>
        <v>0.80293679506277904</v>
      </c>
      <c r="AL365">
        <f>VLOOKUP($J365,'[1]Table S6'!$A:$AI,29,FALSE)</f>
        <v>32.5</v>
      </c>
      <c r="AM365" t="str">
        <f>VLOOKUP($J365,'[1]Table S6'!$A:$AI,30,FALSE)</f>
        <v>No</v>
      </c>
      <c r="AO365">
        <f>VLOOKUP($J365,'[1]Table S6'!$A:$AI,32,FALSE)</f>
        <v>416.5</v>
      </c>
      <c r="AP365">
        <f>VLOOKUP($J365,'[1]Table S6'!$A:$AI,33,FALSE)</f>
        <v>0.88635879974462695</v>
      </c>
      <c r="AQ365">
        <f>VLOOKUP($J365,'[1]Table S6'!$A:$AI,34,FALSE)</f>
        <v>43.31</v>
      </c>
      <c r="AR365" t="str">
        <f>VLOOKUP($J365,'[1]Table S6'!$A:$AI,35,FALSE)</f>
        <v>No</v>
      </c>
      <c r="AT365" t="str">
        <f>VLOOKUP($I365,'[2]Table S5'!$A:$K,8,FALSE)</f>
        <v>Resistant</v>
      </c>
      <c r="AU365" t="str">
        <f>VLOOKUP($I365,'[2]Table S5'!$A:$K,9,FALSE)</f>
        <v>Resistant</v>
      </c>
      <c r="AV365" t="str">
        <f>VLOOKUP($I365,'[2]Table S5'!$A:$K,10,FALSE)</f>
        <v>Resistant</v>
      </c>
      <c r="AW365" t="str">
        <f>VLOOKUP($I365,'[2]Table S5'!$A:$K,11,FALSE)</f>
        <v>Resistant</v>
      </c>
    </row>
    <row r="366" spans="1:49">
      <c r="A366" s="12" t="s">
        <v>2757</v>
      </c>
      <c r="B366" t="s">
        <v>2758</v>
      </c>
      <c r="C366" t="s">
        <v>2759</v>
      </c>
      <c r="D366" t="s">
        <v>17</v>
      </c>
      <c r="E366" t="s">
        <v>2760</v>
      </c>
      <c r="F366" s="12" t="s">
        <v>2761</v>
      </c>
      <c r="G366" t="s">
        <v>2762</v>
      </c>
      <c r="H366" t="s">
        <v>2763</v>
      </c>
      <c r="I366" t="s">
        <v>22</v>
      </c>
      <c r="J366" t="s">
        <v>47</v>
      </c>
      <c r="K366">
        <f>VLOOKUP($J366,'[1]Table S6'!$A:$AI,2,FALSE)</f>
        <v>291.89999999999998</v>
      </c>
      <c r="L366">
        <f>VLOOKUP($J366,'[1]Table S6'!$A:$AI,3,FALSE)</f>
        <v>0.62119599914875501</v>
      </c>
      <c r="M366">
        <f>VLOOKUP($J366,'[1]Table S6'!$A:$AI,4,FALSE)</f>
        <v>0.78280000000000005</v>
      </c>
      <c r="N366" t="str">
        <f>VLOOKUP($J366,'[1]Table S6'!$A:$AI,5,FALSE)</f>
        <v>Yes</v>
      </c>
      <c r="P366">
        <f>VLOOKUP($J366,'[1]Table S6'!$A:$AI,7,FALSE)</f>
        <v>365.9</v>
      </c>
      <c r="Q366">
        <f>VLOOKUP($J366,'[1]Table S6'!$A:$AI,8,FALSE)</f>
        <v>0.77867631410938498</v>
      </c>
      <c r="R366">
        <f>VLOOKUP($J366,'[1]Table S6'!$A:$AI,9,FALSE)</f>
        <v>8.5079999999999991</v>
      </c>
      <c r="S366" t="str">
        <f>VLOOKUP($J366,'[1]Table S6'!$A:$AI,10,FALSE)</f>
        <v>No</v>
      </c>
      <c r="U366">
        <f>VLOOKUP($J366,'[1]Table S6'!$A:$AI,12,FALSE)</f>
        <v>318.60000000000002</v>
      </c>
      <c r="V366">
        <f>VLOOKUP($J366,'[1]Table S6'!$A:$AI,13,FALSE)</f>
        <v>0.67801659927644198</v>
      </c>
      <c r="W366">
        <f>VLOOKUP($J366,'[1]Table S6'!$A:$AI,14,FALSE)</f>
        <v>1.6679999999999999</v>
      </c>
      <c r="X366" t="str">
        <f>VLOOKUP($J366,'[1]Table S6'!$A:$AI,15,FALSE)</f>
        <v>Yes</v>
      </c>
      <c r="Z366">
        <f>VLOOKUP($J366,'[1]Table S6'!$A:$AI,17,FALSE)</f>
        <v>353.8</v>
      </c>
      <c r="AA366">
        <f>VLOOKUP($J366,'[1]Table S6'!$A:$AI,18,FALSE)</f>
        <v>0.75292615450095801</v>
      </c>
      <c r="AB366">
        <f>VLOOKUP($J366,'[1]Table S6'!$A:$AI,19,FALSE)</f>
        <v>6.09</v>
      </c>
      <c r="AC366" t="str">
        <f>VLOOKUP($J366,'[1]Table S6'!$A:$AI,20,FALSE)</f>
        <v>No</v>
      </c>
      <c r="AE366">
        <f>VLOOKUP($J366,'[1]Table S6'!$A:$AI,22,FALSE)</f>
        <v>396.9</v>
      </c>
      <c r="AF366">
        <f>VLOOKUP($J366,'[1]Table S6'!$A:$AI,23,FALSE)</f>
        <v>0.84464779740370299</v>
      </c>
      <c r="AG366">
        <f>VLOOKUP($J366,'[1]Table S6'!$A:$AI,24,FALSE)</f>
        <v>11.4</v>
      </c>
      <c r="AH366" t="str">
        <f>VLOOKUP($J366,'[1]Table S6'!$A:$AI,25,FALSE)</f>
        <v>No</v>
      </c>
      <c r="AJ366">
        <f>VLOOKUP($J366,'[1]Table S6'!$A:$AI,27,FALSE)</f>
        <v>417.8</v>
      </c>
      <c r="AK366">
        <f>VLOOKUP($J366,'[1]Table S6'!$A:$AI,28,FALSE)</f>
        <v>0.88912534581825897</v>
      </c>
      <c r="AL366">
        <f>VLOOKUP($J366,'[1]Table S6'!$A:$AI,29,FALSE)</f>
        <v>60.77</v>
      </c>
      <c r="AM366" t="str">
        <f>VLOOKUP($J366,'[1]Table S6'!$A:$AI,30,FALSE)</f>
        <v>No</v>
      </c>
      <c r="AO366">
        <f>VLOOKUP($J366,'[1]Table S6'!$A:$AI,32,FALSE)</f>
        <v>401.9</v>
      </c>
      <c r="AP366">
        <f>VLOOKUP($J366,'[1]Table S6'!$A:$AI,33,FALSE)</f>
        <v>0.85528835922536695</v>
      </c>
      <c r="AQ366">
        <f>VLOOKUP($J366,'[1]Table S6'!$A:$AI,34,FALSE)</f>
        <v>30.71</v>
      </c>
      <c r="AR366" t="str">
        <f>VLOOKUP($J366,'[1]Table S6'!$A:$AI,35,FALSE)</f>
        <v>No</v>
      </c>
      <c r="AT366" t="str">
        <f>VLOOKUP($I366,'[2]Table S5'!$A:$K,8,FALSE)</f>
        <v>Resistant</v>
      </c>
      <c r="AU366" t="str">
        <f>VLOOKUP($I366,'[2]Table S5'!$A:$K,9,FALSE)</f>
        <v>Resistant</v>
      </c>
      <c r="AV366" t="str">
        <f>VLOOKUP($I366,'[2]Table S5'!$A:$K,10,FALSE)</f>
        <v>Resistant</v>
      </c>
      <c r="AW366" t="str">
        <f>VLOOKUP($I366,'[2]Table S5'!$A:$K,11,FALSE)</f>
        <v>Resistant</v>
      </c>
    </row>
    <row r="367" spans="1:49">
      <c r="A367" s="12" t="s">
        <v>2764</v>
      </c>
      <c r="B367" t="s">
        <v>2765</v>
      </c>
      <c r="C367" t="s">
        <v>2766</v>
      </c>
      <c r="D367" t="s">
        <v>17</v>
      </c>
      <c r="E367" t="s">
        <v>51</v>
      </c>
      <c r="F367" s="12" t="s">
        <v>52</v>
      </c>
      <c r="G367" t="s">
        <v>53</v>
      </c>
      <c r="H367" t="s">
        <v>54</v>
      </c>
      <c r="I367" t="s">
        <v>22</v>
      </c>
      <c r="J367" t="s">
        <v>23</v>
      </c>
      <c r="K367">
        <f>VLOOKUP($J367,'[1]Table S6'!$A:$AI,2,FALSE)</f>
        <v>306.5</v>
      </c>
      <c r="L367">
        <f>VLOOKUP($J367,'[1]Table S6'!$A:$AI,3,FALSE)</f>
        <v>0.65226643966801401</v>
      </c>
      <c r="M367">
        <f>VLOOKUP($J367,'[1]Table S6'!$A:$AI,4,FALSE)</f>
        <v>1.093</v>
      </c>
      <c r="N367" t="str">
        <f>VLOOKUP($J367,'[1]Table S6'!$A:$AI,5,FALSE)</f>
        <v>Yes</v>
      </c>
      <c r="P367">
        <f>VLOOKUP($J367,'[1]Table S6'!$A:$AI,7,FALSE)</f>
        <v>316.89999999999998</v>
      </c>
      <c r="Q367">
        <f>VLOOKUP($J367,'[1]Table S6'!$A:$AI,8,FALSE)</f>
        <v>0.67439880825707599</v>
      </c>
      <c r="R367">
        <f>VLOOKUP($J367,'[1]Table S6'!$A:$AI,9,FALSE)</f>
        <v>1.17</v>
      </c>
      <c r="S367" t="str">
        <f>VLOOKUP($J367,'[1]Table S6'!$A:$AI,10,FALSE)</f>
        <v>Yes</v>
      </c>
      <c r="U367">
        <f>VLOOKUP($J367,'[1]Table S6'!$A:$AI,12,FALSE)</f>
        <v>359.1</v>
      </c>
      <c r="V367">
        <f>VLOOKUP($J367,'[1]Table S6'!$A:$AI,13,FALSE)</f>
        <v>0.76420515003192202</v>
      </c>
      <c r="W367">
        <f>VLOOKUP($J367,'[1]Table S6'!$A:$AI,14,FALSE)</f>
        <v>6.6349999999999998</v>
      </c>
      <c r="X367" t="str">
        <f>VLOOKUP($J367,'[1]Table S6'!$A:$AI,15,FALSE)</f>
        <v>No</v>
      </c>
      <c r="Z367">
        <f>VLOOKUP($J367,'[1]Table S6'!$A:$AI,17,FALSE)</f>
        <v>388.3</v>
      </c>
      <c r="AA367">
        <f>VLOOKUP($J367,'[1]Table S6'!$A:$AI,18,FALSE)</f>
        <v>0.82634603107044102</v>
      </c>
      <c r="AB367">
        <f>VLOOKUP($J367,'[1]Table S6'!$A:$AI,19,FALSE)</f>
        <v>11.69</v>
      </c>
      <c r="AC367" t="str">
        <f>VLOOKUP($J367,'[1]Table S6'!$A:$AI,20,FALSE)</f>
        <v>No</v>
      </c>
      <c r="AE367">
        <f>VLOOKUP($J367,'[1]Table S6'!$A:$AI,22,FALSE)</f>
        <v>378.1</v>
      </c>
      <c r="AF367">
        <f>VLOOKUP($J367,'[1]Table S6'!$A:$AI,23,FALSE)</f>
        <v>0.80463928495424597</v>
      </c>
      <c r="AG367">
        <f>VLOOKUP($J367,'[1]Table S6'!$A:$AI,24,FALSE)</f>
        <v>8.8510000000000009</v>
      </c>
      <c r="AH367" t="str">
        <f>VLOOKUP($J367,'[1]Table S6'!$A:$AI,25,FALSE)</f>
        <v>No</v>
      </c>
      <c r="AJ367">
        <f>VLOOKUP($J367,'[1]Table S6'!$A:$AI,27,FALSE)</f>
        <v>424.4</v>
      </c>
      <c r="AK367">
        <f>VLOOKUP($J367,'[1]Table S6'!$A:$AI,28,FALSE)</f>
        <v>0.90317088742285601</v>
      </c>
      <c r="AL367">
        <f>VLOOKUP($J367,'[1]Table S6'!$A:$AI,29,FALSE)</f>
        <v>84.01</v>
      </c>
      <c r="AM367" t="str">
        <f>VLOOKUP($J367,'[1]Table S6'!$A:$AI,30,FALSE)</f>
        <v>No</v>
      </c>
      <c r="AO367">
        <f>VLOOKUP($J367,'[1]Table S6'!$A:$AI,32,FALSE)</f>
        <v>408</v>
      </c>
      <c r="AP367">
        <f>VLOOKUP($J367,'[1]Table S6'!$A:$AI,33,FALSE)</f>
        <v>0.868269844647797</v>
      </c>
      <c r="AQ367">
        <f>VLOOKUP($J367,'[1]Table S6'!$A:$AI,34,FALSE)</f>
        <v>33.61</v>
      </c>
      <c r="AR367" t="str">
        <f>VLOOKUP($J367,'[1]Table S6'!$A:$AI,35,FALSE)</f>
        <v>No</v>
      </c>
      <c r="AT367" t="str">
        <f>VLOOKUP($I367,'[2]Table S5'!$A:$K,8,FALSE)</f>
        <v>Resistant</v>
      </c>
      <c r="AU367" t="str">
        <f>VLOOKUP($I367,'[2]Table S5'!$A:$K,9,FALSE)</f>
        <v>Resistant</v>
      </c>
      <c r="AV367" t="str">
        <f>VLOOKUP($I367,'[2]Table S5'!$A:$K,10,FALSE)</f>
        <v>Resistant</v>
      </c>
      <c r="AW367" t="str">
        <f>VLOOKUP($I367,'[2]Table S5'!$A:$K,11,FALSE)</f>
        <v>Resistant</v>
      </c>
    </row>
    <row r="368" spans="1:49">
      <c r="A368" s="12" t="s">
        <v>2767</v>
      </c>
      <c r="B368" t="s">
        <v>2768</v>
      </c>
      <c r="C368" t="s">
        <v>2769</v>
      </c>
      <c r="D368" t="s">
        <v>17</v>
      </c>
      <c r="E368" t="s">
        <v>58</v>
      </c>
      <c r="F368" s="12" t="s">
        <v>59</v>
      </c>
      <c r="G368" t="s">
        <v>60</v>
      </c>
      <c r="H368" t="s">
        <v>61</v>
      </c>
      <c r="I368" t="s">
        <v>22</v>
      </c>
      <c r="J368" t="s">
        <v>31</v>
      </c>
      <c r="K368">
        <f>VLOOKUP($J368,'[1]Table S6'!$A:$AI,2,FALSE)</f>
        <v>245.9</v>
      </c>
      <c r="L368">
        <f>VLOOKUP($J368,'[1]Table S6'!$A:$AI,3,FALSE)</f>
        <v>0.52330283038944503</v>
      </c>
      <c r="M368">
        <f>VLOOKUP($J368,'[1]Table S6'!$A:$AI,4,FALSE)</f>
        <v>0.31319999999999998</v>
      </c>
      <c r="N368" t="str">
        <f>VLOOKUP($J368,'[1]Table S6'!$A:$AI,5,FALSE)</f>
        <v>Yes</v>
      </c>
      <c r="P368">
        <f>VLOOKUP($J368,'[1]Table S6'!$A:$AI,7,FALSE)</f>
        <v>282.3</v>
      </c>
      <c r="Q368">
        <f>VLOOKUP($J368,'[1]Table S6'!$A:$AI,8,FALSE)</f>
        <v>0.60076612045115996</v>
      </c>
      <c r="R368">
        <f>VLOOKUP($J368,'[1]Table S6'!$A:$AI,9,FALSE)</f>
        <v>0.61819999999999997</v>
      </c>
      <c r="S368" t="str">
        <f>VLOOKUP($J368,'[1]Table S6'!$A:$AI,10,FALSE)</f>
        <v>Yes</v>
      </c>
      <c r="U368">
        <f>VLOOKUP($J368,'[1]Table S6'!$A:$AI,12,FALSE)</f>
        <v>304.89999999999998</v>
      </c>
      <c r="V368">
        <f>VLOOKUP($J368,'[1]Table S6'!$A:$AI,13,FALSE)</f>
        <v>0.64886145988508204</v>
      </c>
      <c r="W368">
        <f>VLOOKUP($J368,'[1]Table S6'!$A:$AI,14,FALSE)</f>
        <v>1.4930000000000001</v>
      </c>
      <c r="X368" t="str">
        <f>VLOOKUP($J368,'[1]Table S6'!$A:$AI,15,FALSE)</f>
        <v>Yes</v>
      </c>
      <c r="Z368">
        <f>VLOOKUP($J368,'[1]Table S6'!$A:$AI,17,FALSE)</f>
        <v>359.8</v>
      </c>
      <c r="AA368">
        <f>VLOOKUP($J368,'[1]Table S6'!$A:$AI,18,FALSE)</f>
        <v>0.76569482868695504</v>
      </c>
      <c r="AB368">
        <f>VLOOKUP($J368,'[1]Table S6'!$A:$AI,19,FALSE)</f>
        <v>6.5410000000000004</v>
      </c>
      <c r="AC368" t="str">
        <f>VLOOKUP($J368,'[1]Table S6'!$A:$AI,20,FALSE)</f>
        <v>No</v>
      </c>
      <c r="AE368">
        <f>VLOOKUP($J368,'[1]Table S6'!$A:$AI,22,FALSE)</f>
        <v>380.8</v>
      </c>
      <c r="AF368">
        <f>VLOOKUP($J368,'[1]Table S6'!$A:$AI,23,FALSE)</f>
        <v>0.81038518833794404</v>
      </c>
      <c r="AG368">
        <f>VLOOKUP($J368,'[1]Table S6'!$A:$AI,24,FALSE)</f>
        <v>11.32</v>
      </c>
      <c r="AH368" t="str">
        <f>VLOOKUP($J368,'[1]Table S6'!$A:$AI,25,FALSE)</f>
        <v>No</v>
      </c>
      <c r="AJ368">
        <f>VLOOKUP($J368,'[1]Table S6'!$A:$AI,27,FALSE)</f>
        <v>411.5</v>
      </c>
      <c r="AK368">
        <f>VLOOKUP($J368,'[1]Table S6'!$A:$AI,28,FALSE)</f>
        <v>0.875718237922962</v>
      </c>
      <c r="AL368">
        <f>VLOOKUP($J368,'[1]Table S6'!$A:$AI,29,FALSE)</f>
        <v>49.03</v>
      </c>
      <c r="AM368" t="str">
        <f>VLOOKUP($J368,'[1]Table S6'!$A:$AI,30,FALSE)</f>
        <v>No</v>
      </c>
      <c r="AO368">
        <f>VLOOKUP($J368,'[1]Table S6'!$A:$AI,32,FALSE)</f>
        <v>403.4</v>
      </c>
      <c r="AP368">
        <f>VLOOKUP($J368,'[1]Table S6'!$A:$AI,33,FALSE)</f>
        <v>0.85848052777186601</v>
      </c>
      <c r="AQ368">
        <f>VLOOKUP($J368,'[1]Table S6'!$A:$AI,34,FALSE)</f>
        <v>26.97</v>
      </c>
      <c r="AR368" t="str">
        <f>VLOOKUP($J368,'[1]Table S6'!$A:$AI,35,FALSE)</f>
        <v>No</v>
      </c>
      <c r="AT368" t="str">
        <f>VLOOKUP($I368,'[2]Table S5'!$A:$K,8,FALSE)</f>
        <v>Resistant</v>
      </c>
      <c r="AU368" t="str">
        <f>VLOOKUP($I368,'[2]Table S5'!$A:$K,9,FALSE)</f>
        <v>Resistant</v>
      </c>
      <c r="AV368" t="str">
        <f>VLOOKUP($I368,'[2]Table S5'!$A:$K,10,FALSE)</f>
        <v>Resistant</v>
      </c>
      <c r="AW368" t="str">
        <f>VLOOKUP($I368,'[2]Table S5'!$A:$K,11,FALSE)</f>
        <v>Resistant</v>
      </c>
    </row>
    <row r="369" spans="1:49">
      <c r="A369" s="12" t="s">
        <v>2770</v>
      </c>
      <c r="B369" t="s">
        <v>2771</v>
      </c>
      <c r="C369" t="s">
        <v>2772</v>
      </c>
      <c r="D369" t="s">
        <v>17</v>
      </c>
      <c r="E369" t="s">
        <v>35</v>
      </c>
      <c r="F369" s="12" t="s">
        <v>36</v>
      </c>
      <c r="G369" t="s">
        <v>37</v>
      </c>
      <c r="H369" t="s">
        <v>38</v>
      </c>
      <c r="I369" t="s">
        <v>22</v>
      </c>
      <c r="J369" t="s">
        <v>39</v>
      </c>
      <c r="K369">
        <f>VLOOKUP($J369,'[1]Table S6'!$A:$AI,2,FALSE)</f>
        <v>306.10000000000002</v>
      </c>
      <c r="L369">
        <f>VLOOKUP($J369,'[1]Table S6'!$A:$AI,3,FALSE)</f>
        <v>0.65141519472228104</v>
      </c>
      <c r="M369">
        <f>VLOOKUP($J369,'[1]Table S6'!$A:$AI,4,FALSE)</f>
        <v>1.179</v>
      </c>
      <c r="N369" t="str">
        <f>VLOOKUP($J369,'[1]Table S6'!$A:$AI,5,FALSE)</f>
        <v>Yes</v>
      </c>
      <c r="P369">
        <f>VLOOKUP($J369,'[1]Table S6'!$A:$AI,7,FALSE)</f>
        <v>393.6</v>
      </c>
      <c r="Q369">
        <f>VLOOKUP($J369,'[1]Table S6'!$A:$AI,8,FALSE)</f>
        <v>0.83762502660140503</v>
      </c>
      <c r="R369">
        <f>VLOOKUP($J369,'[1]Table S6'!$A:$AI,9,FALSE)</f>
        <v>20.23</v>
      </c>
      <c r="S369" t="str">
        <f>VLOOKUP($J369,'[1]Table S6'!$A:$AI,10,FALSE)</f>
        <v>No</v>
      </c>
      <c r="U369">
        <f>VLOOKUP($J369,'[1]Table S6'!$A:$AI,12,FALSE)</f>
        <v>265</v>
      </c>
      <c r="V369">
        <f>VLOOKUP($J369,'[1]Table S6'!$A:$AI,13,FALSE)</f>
        <v>0.563949776548202</v>
      </c>
      <c r="W369">
        <f>VLOOKUP($J369,'[1]Table S6'!$A:$AI,14,FALSE)</f>
        <v>0.38069999999999998</v>
      </c>
      <c r="X369" t="str">
        <f>VLOOKUP($J369,'[1]Table S6'!$A:$AI,15,FALSE)</f>
        <v>Yes</v>
      </c>
      <c r="Z369">
        <f>VLOOKUP($J369,'[1]Table S6'!$A:$AI,17,FALSE)</f>
        <v>331.9</v>
      </c>
      <c r="AA369">
        <f>VLOOKUP($J369,'[1]Table S6'!$A:$AI,18,FALSE)</f>
        <v>0.70632049372206895</v>
      </c>
      <c r="AB369">
        <f>VLOOKUP($J369,'[1]Table S6'!$A:$AI,19,FALSE)</f>
        <v>2.403</v>
      </c>
      <c r="AC369" t="str">
        <f>VLOOKUP($J369,'[1]Table S6'!$A:$AI,20,FALSE)</f>
        <v>No</v>
      </c>
      <c r="AE369">
        <f>VLOOKUP($J369,'[1]Table S6'!$A:$AI,22,FALSE)</f>
        <v>376.5</v>
      </c>
      <c r="AF369">
        <f>VLOOKUP($J369,'[1]Table S6'!$A:$AI,23,FALSE)</f>
        <v>0.801234305171313</v>
      </c>
      <c r="AG369">
        <f>VLOOKUP($J369,'[1]Table S6'!$A:$AI,24,FALSE)</f>
        <v>8.6720000000000006</v>
      </c>
      <c r="AH369" t="str">
        <f>VLOOKUP($J369,'[1]Table S6'!$A:$AI,25,FALSE)</f>
        <v>No</v>
      </c>
      <c r="AJ369">
        <f>VLOOKUP($J369,'[1]Table S6'!$A:$AI,27,FALSE)</f>
        <v>377.3</v>
      </c>
      <c r="AK369">
        <f>VLOOKUP($J369,'[1]Table S6'!$A:$AI,28,FALSE)</f>
        <v>0.80293679506277904</v>
      </c>
      <c r="AL369">
        <f>VLOOKUP($J369,'[1]Table S6'!$A:$AI,29,FALSE)</f>
        <v>32.5</v>
      </c>
      <c r="AM369" t="str">
        <f>VLOOKUP($J369,'[1]Table S6'!$A:$AI,30,FALSE)</f>
        <v>No</v>
      </c>
      <c r="AO369">
        <f>VLOOKUP($J369,'[1]Table S6'!$A:$AI,32,FALSE)</f>
        <v>416.5</v>
      </c>
      <c r="AP369">
        <f>VLOOKUP($J369,'[1]Table S6'!$A:$AI,33,FALSE)</f>
        <v>0.88635879974462695</v>
      </c>
      <c r="AQ369">
        <f>VLOOKUP($J369,'[1]Table S6'!$A:$AI,34,FALSE)</f>
        <v>43.31</v>
      </c>
      <c r="AR369" t="str">
        <f>VLOOKUP($J369,'[1]Table S6'!$A:$AI,35,FALSE)</f>
        <v>No</v>
      </c>
      <c r="AT369" t="str">
        <f>VLOOKUP($I369,'[2]Table S5'!$A:$K,8,FALSE)</f>
        <v>Resistant</v>
      </c>
      <c r="AU369" t="str">
        <f>VLOOKUP($I369,'[2]Table S5'!$A:$K,9,FALSE)</f>
        <v>Resistant</v>
      </c>
      <c r="AV369" t="str">
        <f>VLOOKUP($I369,'[2]Table S5'!$A:$K,10,FALSE)</f>
        <v>Resistant</v>
      </c>
      <c r="AW369" t="str">
        <f>VLOOKUP($I369,'[2]Table S5'!$A:$K,11,FALSE)</f>
        <v>Resistant</v>
      </c>
    </row>
    <row r="370" spans="1:49">
      <c r="A370" s="12" t="s">
        <v>2773</v>
      </c>
      <c r="B370" t="s">
        <v>2774</v>
      </c>
      <c r="C370" t="s">
        <v>2775</v>
      </c>
      <c r="D370" t="s">
        <v>17</v>
      </c>
      <c r="E370" t="s">
        <v>43</v>
      </c>
      <c r="F370" s="12" t="s">
        <v>44</v>
      </c>
      <c r="G370" t="s">
        <v>45</v>
      </c>
      <c r="H370" t="s">
        <v>46</v>
      </c>
      <c r="I370" t="s">
        <v>22</v>
      </c>
      <c r="J370" t="s">
        <v>47</v>
      </c>
      <c r="K370">
        <f>VLOOKUP($J370,'[1]Table S6'!$A:$AI,2,FALSE)</f>
        <v>291.89999999999998</v>
      </c>
      <c r="L370">
        <f>VLOOKUP($J370,'[1]Table S6'!$A:$AI,3,FALSE)</f>
        <v>0.62119599914875501</v>
      </c>
      <c r="M370">
        <f>VLOOKUP($J370,'[1]Table S6'!$A:$AI,4,FALSE)</f>
        <v>0.78280000000000005</v>
      </c>
      <c r="N370" t="str">
        <f>VLOOKUP($J370,'[1]Table S6'!$A:$AI,5,FALSE)</f>
        <v>Yes</v>
      </c>
      <c r="P370">
        <f>VLOOKUP($J370,'[1]Table S6'!$A:$AI,7,FALSE)</f>
        <v>365.9</v>
      </c>
      <c r="Q370">
        <f>VLOOKUP($J370,'[1]Table S6'!$A:$AI,8,FALSE)</f>
        <v>0.77867631410938498</v>
      </c>
      <c r="R370">
        <f>VLOOKUP($J370,'[1]Table S6'!$A:$AI,9,FALSE)</f>
        <v>8.5079999999999991</v>
      </c>
      <c r="S370" t="str">
        <f>VLOOKUP($J370,'[1]Table S6'!$A:$AI,10,FALSE)</f>
        <v>No</v>
      </c>
      <c r="U370">
        <f>VLOOKUP($J370,'[1]Table S6'!$A:$AI,12,FALSE)</f>
        <v>318.60000000000002</v>
      </c>
      <c r="V370">
        <f>VLOOKUP($J370,'[1]Table S6'!$A:$AI,13,FALSE)</f>
        <v>0.67801659927644198</v>
      </c>
      <c r="W370">
        <f>VLOOKUP($J370,'[1]Table S6'!$A:$AI,14,FALSE)</f>
        <v>1.6679999999999999</v>
      </c>
      <c r="X370" t="str">
        <f>VLOOKUP($J370,'[1]Table S6'!$A:$AI,15,FALSE)</f>
        <v>Yes</v>
      </c>
      <c r="Z370">
        <f>VLOOKUP($J370,'[1]Table S6'!$A:$AI,17,FALSE)</f>
        <v>353.8</v>
      </c>
      <c r="AA370">
        <f>VLOOKUP($J370,'[1]Table S6'!$A:$AI,18,FALSE)</f>
        <v>0.75292615450095801</v>
      </c>
      <c r="AB370">
        <f>VLOOKUP($J370,'[1]Table S6'!$A:$AI,19,FALSE)</f>
        <v>6.09</v>
      </c>
      <c r="AC370" t="str">
        <f>VLOOKUP($J370,'[1]Table S6'!$A:$AI,20,FALSE)</f>
        <v>No</v>
      </c>
      <c r="AE370">
        <f>VLOOKUP($J370,'[1]Table S6'!$A:$AI,22,FALSE)</f>
        <v>396.9</v>
      </c>
      <c r="AF370">
        <f>VLOOKUP($J370,'[1]Table S6'!$A:$AI,23,FALSE)</f>
        <v>0.84464779740370299</v>
      </c>
      <c r="AG370">
        <f>VLOOKUP($J370,'[1]Table S6'!$A:$AI,24,FALSE)</f>
        <v>11.4</v>
      </c>
      <c r="AH370" t="str">
        <f>VLOOKUP($J370,'[1]Table S6'!$A:$AI,25,FALSE)</f>
        <v>No</v>
      </c>
      <c r="AJ370">
        <f>VLOOKUP($J370,'[1]Table S6'!$A:$AI,27,FALSE)</f>
        <v>417.8</v>
      </c>
      <c r="AK370">
        <f>VLOOKUP($J370,'[1]Table S6'!$A:$AI,28,FALSE)</f>
        <v>0.88912534581825897</v>
      </c>
      <c r="AL370">
        <f>VLOOKUP($J370,'[1]Table S6'!$A:$AI,29,FALSE)</f>
        <v>60.77</v>
      </c>
      <c r="AM370" t="str">
        <f>VLOOKUP($J370,'[1]Table S6'!$A:$AI,30,FALSE)</f>
        <v>No</v>
      </c>
      <c r="AO370">
        <f>VLOOKUP($J370,'[1]Table S6'!$A:$AI,32,FALSE)</f>
        <v>401.9</v>
      </c>
      <c r="AP370">
        <f>VLOOKUP($J370,'[1]Table S6'!$A:$AI,33,FALSE)</f>
        <v>0.85528835922536695</v>
      </c>
      <c r="AQ370">
        <f>VLOOKUP($J370,'[1]Table S6'!$A:$AI,34,FALSE)</f>
        <v>30.71</v>
      </c>
      <c r="AR370" t="str">
        <f>VLOOKUP($J370,'[1]Table S6'!$A:$AI,35,FALSE)</f>
        <v>No</v>
      </c>
      <c r="AT370" t="str">
        <f>VLOOKUP($I370,'[2]Table S5'!$A:$K,8,FALSE)</f>
        <v>Resistant</v>
      </c>
      <c r="AU370" t="str">
        <f>VLOOKUP($I370,'[2]Table S5'!$A:$K,9,FALSE)</f>
        <v>Resistant</v>
      </c>
      <c r="AV370" t="str">
        <f>VLOOKUP($I370,'[2]Table S5'!$A:$K,10,FALSE)</f>
        <v>Resistant</v>
      </c>
      <c r="AW370" t="str">
        <f>VLOOKUP($I370,'[2]Table S5'!$A:$K,11,FALSE)</f>
        <v>Resistant</v>
      </c>
    </row>
    <row r="371" spans="1:49">
      <c r="A371" s="12" t="s">
        <v>2776</v>
      </c>
      <c r="B371" t="s">
        <v>2777</v>
      </c>
      <c r="C371" t="s">
        <v>2778</v>
      </c>
      <c r="D371" t="s">
        <v>17</v>
      </c>
      <c r="E371" t="s">
        <v>72</v>
      </c>
      <c r="F371" s="12" t="s">
        <v>73</v>
      </c>
      <c r="G371" t="s">
        <v>74</v>
      </c>
      <c r="H371" t="s">
        <v>75</v>
      </c>
      <c r="I371" t="s">
        <v>76</v>
      </c>
      <c r="J371" t="s">
        <v>77</v>
      </c>
      <c r="K371">
        <f>VLOOKUP($J371,'[1]Table S6'!$A:$AI,2,FALSE)</f>
        <v>294.7</v>
      </c>
      <c r="L371">
        <f>VLOOKUP($J371,'[1]Table S6'!$A:$AI,3,FALSE)</f>
        <v>0.62715471376888698</v>
      </c>
      <c r="M371">
        <f>VLOOKUP($J371,'[1]Table S6'!$A:$AI,4,FALSE)</f>
        <v>0.83079999999999998</v>
      </c>
      <c r="N371" t="str">
        <f>VLOOKUP($J371,'[1]Table S6'!$A:$AI,5,FALSE)</f>
        <v>Yes</v>
      </c>
      <c r="P371">
        <f>VLOOKUP($J371,'[1]Table S6'!$A:$AI,7,FALSE)</f>
        <v>350.3</v>
      </c>
      <c r="Q371">
        <f>VLOOKUP($J371,'[1]Table S6'!$A:$AI,8,FALSE)</f>
        <v>0.74547776122579301</v>
      </c>
      <c r="R371">
        <f>VLOOKUP($J371,'[1]Table S6'!$A:$AI,9,FALSE)</f>
        <v>5.3730000000000002</v>
      </c>
      <c r="S371" t="str">
        <f>VLOOKUP($J371,'[1]Table S6'!$A:$AI,10,FALSE)</f>
        <v>No</v>
      </c>
      <c r="U371">
        <f>VLOOKUP($J371,'[1]Table S6'!$A:$AI,12,FALSE)</f>
        <v>357.6</v>
      </c>
      <c r="V371">
        <f>VLOOKUP($J371,'[1]Table S6'!$A:$AI,13,FALSE)</f>
        <v>0.76101298148542296</v>
      </c>
      <c r="W371">
        <f>VLOOKUP($J371,'[1]Table S6'!$A:$AI,14,FALSE)</f>
        <v>6.41</v>
      </c>
      <c r="X371" t="str">
        <f>VLOOKUP($J371,'[1]Table S6'!$A:$AI,15,FALSE)</f>
        <v>No</v>
      </c>
      <c r="Z371">
        <f>VLOOKUP($J371,'[1]Table S6'!$A:$AI,17,FALSE)</f>
        <v>364</v>
      </c>
      <c r="AA371">
        <f>VLOOKUP($J371,'[1]Table S6'!$A:$AI,18,FALSE)</f>
        <v>0.77463290061715295</v>
      </c>
      <c r="AB371">
        <f>VLOOKUP($J371,'[1]Table S6'!$A:$AI,19,FALSE)</f>
        <v>8.0939999999999994</v>
      </c>
      <c r="AC371" t="str">
        <f>VLOOKUP($J371,'[1]Table S6'!$A:$AI,20,FALSE)</f>
        <v>No</v>
      </c>
      <c r="AE371">
        <f>VLOOKUP($J371,'[1]Table S6'!$A:$AI,22,FALSE)</f>
        <v>338.8</v>
      </c>
      <c r="AF371">
        <f>VLOOKUP($J371,'[1]Table S6'!$A:$AI,23,FALSE)</f>
        <v>0.72100446903596505</v>
      </c>
      <c r="AG371">
        <f>VLOOKUP($J371,'[1]Table S6'!$A:$AI,24,FALSE)</f>
        <v>3.073</v>
      </c>
      <c r="AH371" t="str">
        <f>VLOOKUP($J371,'[1]Table S6'!$A:$AI,25,FALSE)</f>
        <v>No</v>
      </c>
      <c r="AJ371">
        <f>VLOOKUP($J371,'[1]Table S6'!$A:$AI,27,FALSE)</f>
        <v>390.5</v>
      </c>
      <c r="AK371">
        <f>VLOOKUP($J371,'[1]Table S6'!$A:$AI,28,FALSE)</f>
        <v>0.831027878271973</v>
      </c>
      <c r="AL371">
        <f>VLOOKUP($J371,'[1]Table S6'!$A:$AI,29,FALSE)</f>
        <v>43.24</v>
      </c>
      <c r="AM371" t="str">
        <f>VLOOKUP($J371,'[1]Table S6'!$A:$AI,30,FALSE)</f>
        <v>No</v>
      </c>
      <c r="AO371">
        <f>VLOOKUP($J371,'[1]Table S6'!$A:$AI,32,FALSE)</f>
        <v>370.9</v>
      </c>
      <c r="AP371">
        <f>VLOOKUP($J371,'[1]Table S6'!$A:$AI,33,FALSE)</f>
        <v>0.78931687593104904</v>
      </c>
      <c r="AQ371">
        <f>VLOOKUP($J371,'[1]Table S6'!$A:$AI,34,FALSE)</f>
        <v>15.84</v>
      </c>
      <c r="AR371" t="str">
        <f>VLOOKUP($J371,'[1]Table S6'!$A:$AI,35,FALSE)</f>
        <v>No</v>
      </c>
      <c r="AT371" t="e">
        <f>VLOOKUP($I371,'[2]Table S5'!$A:$K,8,FALSE)</f>
        <v>#N/A</v>
      </c>
      <c r="AU371" t="e">
        <f>VLOOKUP($I371,'[2]Table S5'!$A:$K,9,FALSE)</f>
        <v>#N/A</v>
      </c>
      <c r="AV371" t="e">
        <f>VLOOKUP($I371,'[2]Table S5'!$A:$K,10,FALSE)</f>
        <v>#N/A</v>
      </c>
      <c r="AW371" t="e">
        <f>VLOOKUP($I371,'[2]Table S5'!$A:$K,11,FALSE)</f>
        <v>#N/A</v>
      </c>
    </row>
    <row r="372" spans="1:49">
      <c r="A372" s="12" t="s">
        <v>2779</v>
      </c>
      <c r="B372" t="s">
        <v>2780</v>
      </c>
      <c r="C372" t="s">
        <v>2781</v>
      </c>
      <c r="D372" t="s">
        <v>17</v>
      </c>
      <c r="E372" t="s">
        <v>81</v>
      </c>
      <c r="F372" s="12" t="s">
        <v>82</v>
      </c>
      <c r="G372" t="s">
        <v>83</v>
      </c>
      <c r="H372" t="s">
        <v>84</v>
      </c>
      <c r="I372" t="s">
        <v>76</v>
      </c>
      <c r="J372" t="s">
        <v>77</v>
      </c>
      <c r="K372">
        <f>VLOOKUP($J372,'[1]Table S6'!$A:$AI,2,FALSE)</f>
        <v>294.7</v>
      </c>
      <c r="L372">
        <f>VLOOKUP($J372,'[1]Table S6'!$A:$AI,3,FALSE)</f>
        <v>0.62715471376888698</v>
      </c>
      <c r="M372">
        <f>VLOOKUP($J372,'[1]Table S6'!$A:$AI,4,FALSE)</f>
        <v>0.83079999999999998</v>
      </c>
      <c r="N372" t="str">
        <f>VLOOKUP($J372,'[1]Table S6'!$A:$AI,5,FALSE)</f>
        <v>Yes</v>
      </c>
      <c r="P372">
        <f>VLOOKUP($J372,'[1]Table S6'!$A:$AI,7,FALSE)</f>
        <v>350.3</v>
      </c>
      <c r="Q372">
        <f>VLOOKUP($J372,'[1]Table S6'!$A:$AI,8,FALSE)</f>
        <v>0.74547776122579301</v>
      </c>
      <c r="R372">
        <f>VLOOKUP($J372,'[1]Table S6'!$A:$AI,9,FALSE)</f>
        <v>5.3730000000000002</v>
      </c>
      <c r="S372" t="str">
        <f>VLOOKUP($J372,'[1]Table S6'!$A:$AI,10,FALSE)</f>
        <v>No</v>
      </c>
      <c r="U372">
        <f>VLOOKUP($J372,'[1]Table S6'!$A:$AI,12,FALSE)</f>
        <v>357.6</v>
      </c>
      <c r="V372">
        <f>VLOOKUP($J372,'[1]Table S6'!$A:$AI,13,FALSE)</f>
        <v>0.76101298148542296</v>
      </c>
      <c r="W372">
        <f>VLOOKUP($J372,'[1]Table S6'!$A:$AI,14,FALSE)</f>
        <v>6.41</v>
      </c>
      <c r="X372" t="str">
        <f>VLOOKUP($J372,'[1]Table S6'!$A:$AI,15,FALSE)</f>
        <v>No</v>
      </c>
      <c r="Z372">
        <f>VLOOKUP($J372,'[1]Table S6'!$A:$AI,17,FALSE)</f>
        <v>364</v>
      </c>
      <c r="AA372">
        <f>VLOOKUP($J372,'[1]Table S6'!$A:$AI,18,FALSE)</f>
        <v>0.77463290061715295</v>
      </c>
      <c r="AB372">
        <f>VLOOKUP($J372,'[1]Table S6'!$A:$AI,19,FALSE)</f>
        <v>8.0939999999999994</v>
      </c>
      <c r="AC372" t="str">
        <f>VLOOKUP($J372,'[1]Table S6'!$A:$AI,20,FALSE)</f>
        <v>No</v>
      </c>
      <c r="AE372">
        <f>VLOOKUP($J372,'[1]Table S6'!$A:$AI,22,FALSE)</f>
        <v>338.8</v>
      </c>
      <c r="AF372">
        <f>VLOOKUP($J372,'[1]Table S6'!$A:$AI,23,FALSE)</f>
        <v>0.72100446903596505</v>
      </c>
      <c r="AG372">
        <f>VLOOKUP($J372,'[1]Table S6'!$A:$AI,24,FALSE)</f>
        <v>3.073</v>
      </c>
      <c r="AH372" t="str">
        <f>VLOOKUP($J372,'[1]Table S6'!$A:$AI,25,FALSE)</f>
        <v>No</v>
      </c>
      <c r="AJ372">
        <f>VLOOKUP($J372,'[1]Table S6'!$A:$AI,27,FALSE)</f>
        <v>390.5</v>
      </c>
      <c r="AK372">
        <f>VLOOKUP($J372,'[1]Table S6'!$A:$AI,28,FALSE)</f>
        <v>0.831027878271973</v>
      </c>
      <c r="AL372">
        <f>VLOOKUP($J372,'[1]Table S6'!$A:$AI,29,FALSE)</f>
        <v>43.24</v>
      </c>
      <c r="AM372" t="str">
        <f>VLOOKUP($J372,'[1]Table S6'!$A:$AI,30,FALSE)</f>
        <v>No</v>
      </c>
      <c r="AO372">
        <f>VLOOKUP($J372,'[1]Table S6'!$A:$AI,32,FALSE)</f>
        <v>370.9</v>
      </c>
      <c r="AP372">
        <f>VLOOKUP($J372,'[1]Table S6'!$A:$AI,33,FALSE)</f>
        <v>0.78931687593104904</v>
      </c>
      <c r="AQ372">
        <f>VLOOKUP($J372,'[1]Table S6'!$A:$AI,34,FALSE)</f>
        <v>15.84</v>
      </c>
      <c r="AR372" t="str">
        <f>VLOOKUP($J372,'[1]Table S6'!$A:$AI,35,FALSE)</f>
        <v>No</v>
      </c>
      <c r="AT372" t="e">
        <f>VLOOKUP($I372,'[2]Table S5'!$A:$K,8,FALSE)</f>
        <v>#N/A</v>
      </c>
      <c r="AU372" t="e">
        <f>VLOOKUP($I372,'[2]Table S5'!$A:$K,9,FALSE)</f>
        <v>#N/A</v>
      </c>
      <c r="AV372" t="e">
        <f>VLOOKUP($I372,'[2]Table S5'!$A:$K,10,FALSE)</f>
        <v>#N/A</v>
      </c>
      <c r="AW372" t="e">
        <f>VLOOKUP($I372,'[2]Table S5'!$A:$K,11,FALSE)</f>
        <v>#N/A</v>
      </c>
    </row>
    <row r="373" spans="1:49">
      <c r="A373" s="12" t="s">
        <v>2782</v>
      </c>
      <c r="B373" t="s">
        <v>2783</v>
      </c>
      <c r="C373" t="s">
        <v>2784</v>
      </c>
      <c r="D373" t="s">
        <v>17</v>
      </c>
      <c r="E373" t="s">
        <v>111</v>
      </c>
      <c r="F373" s="12" t="s">
        <v>112</v>
      </c>
      <c r="G373" t="s">
        <v>113</v>
      </c>
      <c r="H373" t="s">
        <v>114</v>
      </c>
      <c r="I373" t="s">
        <v>99</v>
      </c>
      <c r="J373" t="s">
        <v>115</v>
      </c>
      <c r="K373">
        <f>VLOOKUP($J373,'[1]Table S6'!$A:$AI,2,FALSE)</f>
        <v>291.60000000000002</v>
      </c>
      <c r="L373">
        <f>VLOOKUP($J373,'[1]Table S6'!$A:$AI,3,FALSE)</f>
        <v>0.62055756543945495</v>
      </c>
      <c r="M373">
        <f>VLOOKUP($J373,'[1]Table S6'!$A:$AI,4,FALSE)</f>
        <v>0.90900000000000003</v>
      </c>
      <c r="N373" t="str">
        <f>VLOOKUP($J373,'[1]Table S6'!$A:$AI,5,FALSE)</f>
        <v>Yes</v>
      </c>
      <c r="P373">
        <f>VLOOKUP($J373,'[1]Table S6'!$A:$AI,7,FALSE)</f>
        <v>286.89999999999998</v>
      </c>
      <c r="Q373">
        <f>VLOOKUP($J373,'[1]Table S6'!$A:$AI,8,FALSE)</f>
        <v>0.61055543732709106</v>
      </c>
      <c r="R373">
        <f>VLOOKUP($J373,'[1]Table S6'!$A:$AI,9,FALSE)</f>
        <v>0.75409999999999999</v>
      </c>
      <c r="S373" t="str">
        <f>VLOOKUP($J373,'[1]Table S6'!$A:$AI,10,FALSE)</f>
        <v>Yes</v>
      </c>
      <c r="U373">
        <f>VLOOKUP($J373,'[1]Table S6'!$A:$AI,12,FALSE)</f>
        <v>290.7</v>
      </c>
      <c r="V373">
        <f>VLOOKUP($J373,'[1]Table S6'!$A:$AI,13,FALSE)</f>
        <v>0.618642264311556</v>
      </c>
      <c r="W373">
        <f>VLOOKUP($J373,'[1]Table S6'!$A:$AI,14,FALSE)</f>
        <v>0.76890000000000003</v>
      </c>
      <c r="X373" t="str">
        <f>VLOOKUP($J373,'[1]Table S6'!$A:$AI,15,FALSE)</f>
        <v>Yes</v>
      </c>
      <c r="Z373">
        <f>VLOOKUP($J373,'[1]Table S6'!$A:$AI,17,FALSE)</f>
        <v>339.9</v>
      </c>
      <c r="AA373">
        <f>VLOOKUP($J373,'[1]Table S6'!$A:$AI,18,FALSE)</f>
        <v>0.72334539263673103</v>
      </c>
      <c r="AB373">
        <f>VLOOKUP($J373,'[1]Table S6'!$A:$AI,19,FALSE)</f>
        <v>4.1159999999999997</v>
      </c>
      <c r="AC373" t="str">
        <f>VLOOKUP($J373,'[1]Table S6'!$A:$AI,20,FALSE)</f>
        <v>No</v>
      </c>
      <c r="AE373">
        <f>VLOOKUP($J373,'[1]Table S6'!$A:$AI,22,FALSE)</f>
        <v>427.1</v>
      </c>
      <c r="AF373">
        <f>VLOOKUP($J373,'[1]Table S6'!$A:$AI,23,FALSE)</f>
        <v>0.90891679080655496</v>
      </c>
      <c r="AG373">
        <f>VLOOKUP($J373,'[1]Table S6'!$A:$AI,24,FALSE)</f>
        <v>64.2</v>
      </c>
      <c r="AH373" t="str">
        <f>VLOOKUP($J373,'[1]Table S6'!$A:$AI,25,FALSE)</f>
        <v>No</v>
      </c>
      <c r="AJ373">
        <f>VLOOKUP($J373,'[1]Table S6'!$A:$AI,27,FALSE)</f>
        <v>395.7</v>
      </c>
      <c r="AK373">
        <f>VLOOKUP($J373,'[1]Table S6'!$A:$AI,28,FALSE)</f>
        <v>0.84209406256650399</v>
      </c>
      <c r="AL373">
        <f>VLOOKUP($J373,'[1]Table S6'!$A:$AI,29,FALSE)</f>
        <v>21.99</v>
      </c>
      <c r="AM373" t="str">
        <f>VLOOKUP($J373,'[1]Table S6'!$A:$AI,30,FALSE)</f>
        <v>No</v>
      </c>
      <c r="AO373">
        <f>VLOOKUP($J373,'[1]Table S6'!$A:$AI,32,FALSE)</f>
        <v>416.8</v>
      </c>
      <c r="AP373">
        <f>VLOOKUP($J373,'[1]Table S6'!$A:$AI,33,FALSE)</f>
        <v>0.886997233453926</v>
      </c>
      <c r="AQ373">
        <f>VLOOKUP($J373,'[1]Table S6'!$A:$AI,34,FALSE)</f>
        <v>34.96</v>
      </c>
      <c r="AR373" t="str">
        <f>VLOOKUP($J373,'[1]Table S6'!$A:$AI,35,FALSE)</f>
        <v>No</v>
      </c>
      <c r="AT373" t="str">
        <f>VLOOKUP($I373,'[2]Table S5'!$A:$K,8,FALSE)</f>
        <v>Resistant</v>
      </c>
      <c r="AU373" t="str">
        <f>VLOOKUP($I373,'[2]Table S5'!$A:$K,9,FALSE)</f>
        <v>Resistant</v>
      </c>
      <c r="AV373" t="str">
        <f>VLOOKUP($I373,'[2]Table S5'!$A:$K,10,FALSE)</f>
        <v>Resistant</v>
      </c>
      <c r="AW373" t="str">
        <f>VLOOKUP($I373,'[2]Table S5'!$A:$K,11,FALSE)</f>
        <v>Resistant</v>
      </c>
    </row>
    <row r="374" spans="1:49">
      <c r="A374" s="12" t="s">
        <v>2785</v>
      </c>
      <c r="B374" t="s">
        <v>2786</v>
      </c>
      <c r="C374" t="s">
        <v>2787</v>
      </c>
      <c r="D374" t="s">
        <v>17</v>
      </c>
      <c r="E374" t="s">
        <v>119</v>
      </c>
      <c r="F374" s="12" t="s">
        <v>120</v>
      </c>
      <c r="G374" t="s">
        <v>121</v>
      </c>
      <c r="H374" t="s">
        <v>122</v>
      </c>
      <c r="I374" t="s">
        <v>99</v>
      </c>
      <c r="J374" t="s">
        <v>123</v>
      </c>
      <c r="K374">
        <f>VLOOKUP($J374,'[1]Table S6'!$A:$AI,2,FALSE)</f>
        <v>351.4</v>
      </c>
      <c r="L374">
        <f>VLOOKUP($J374,'[1]Table S6'!$A:$AI,3,FALSE)</f>
        <v>0.747818684826559</v>
      </c>
      <c r="M374">
        <f>VLOOKUP($J374,'[1]Table S6'!$A:$AI,4,FALSE)</f>
        <v>4.8949999999999996</v>
      </c>
      <c r="N374" t="str">
        <f>VLOOKUP($J374,'[1]Table S6'!$A:$AI,5,FALSE)</f>
        <v>No</v>
      </c>
      <c r="P374">
        <f>VLOOKUP($J374,'[1]Table S6'!$A:$AI,7,FALSE)</f>
        <v>309</v>
      </c>
      <c r="Q374">
        <f>VLOOKUP($J374,'[1]Table S6'!$A:$AI,8,FALSE)</f>
        <v>0.65758672057884704</v>
      </c>
      <c r="R374">
        <f>VLOOKUP($J374,'[1]Table S6'!$A:$AI,9,FALSE)</f>
        <v>1.0409999999999999</v>
      </c>
      <c r="S374" t="str">
        <f>VLOOKUP($J374,'[1]Table S6'!$A:$AI,10,FALSE)</f>
        <v>Yes</v>
      </c>
      <c r="U374">
        <f>VLOOKUP($J374,'[1]Table S6'!$A:$AI,12,FALSE)</f>
        <v>354.6</v>
      </c>
      <c r="V374">
        <f>VLOOKUP($J374,'[1]Table S6'!$A:$AI,13,FALSE)</f>
        <v>0.75462864439242405</v>
      </c>
      <c r="W374">
        <f>VLOOKUP($J374,'[1]Table S6'!$A:$AI,14,FALSE)</f>
        <v>6.532</v>
      </c>
      <c r="X374" t="str">
        <f>VLOOKUP($J374,'[1]Table S6'!$A:$AI,15,FALSE)</f>
        <v>No</v>
      </c>
      <c r="Z374">
        <f>VLOOKUP($J374,'[1]Table S6'!$A:$AI,17,FALSE)</f>
        <v>334</v>
      </c>
      <c r="AA374">
        <f>VLOOKUP($J374,'[1]Table S6'!$A:$AI,18,FALSE)</f>
        <v>0.71078952968716702</v>
      </c>
      <c r="AB374">
        <f>VLOOKUP($J374,'[1]Table S6'!$A:$AI,19,FALSE)</f>
        <v>3.4180000000000001</v>
      </c>
      <c r="AC374" t="str">
        <f>VLOOKUP($J374,'[1]Table S6'!$A:$AI,20,FALSE)</f>
        <v>No</v>
      </c>
      <c r="AE374">
        <f>VLOOKUP($J374,'[1]Table S6'!$A:$AI,22,FALSE)</f>
        <v>409.3</v>
      </c>
      <c r="AF374">
        <f>VLOOKUP($J374,'[1]Table S6'!$A:$AI,23,FALSE)</f>
        <v>0.87103639072143002</v>
      </c>
      <c r="AG374">
        <f>VLOOKUP($J374,'[1]Table S6'!$A:$AI,24,FALSE)</f>
        <v>55.06</v>
      </c>
      <c r="AH374" t="str">
        <f>VLOOKUP($J374,'[1]Table S6'!$A:$AI,25,FALSE)</f>
        <v>No</v>
      </c>
      <c r="AJ374">
        <f>VLOOKUP($J374,'[1]Table S6'!$A:$AI,27,FALSE)</f>
        <v>404.3</v>
      </c>
      <c r="AK374">
        <f>VLOOKUP($J374,'[1]Table S6'!$A:$AI,28,FALSE)</f>
        <v>0.86039582889976596</v>
      </c>
      <c r="AL374">
        <f>VLOOKUP($J374,'[1]Table S6'!$A:$AI,29,FALSE)</f>
        <v>44.13</v>
      </c>
      <c r="AM374" t="str">
        <f>VLOOKUP($J374,'[1]Table S6'!$A:$AI,30,FALSE)</f>
        <v>No</v>
      </c>
      <c r="AO374">
        <f>VLOOKUP($J374,'[1]Table S6'!$A:$AI,32,FALSE)</f>
        <v>415</v>
      </c>
      <c r="AP374">
        <f>VLOOKUP($J374,'[1]Table S6'!$A:$AI,33,FALSE)</f>
        <v>0.88316663119812699</v>
      </c>
      <c r="AQ374">
        <f>VLOOKUP($J374,'[1]Table S6'!$A:$AI,34,FALSE)</f>
        <v>61.82</v>
      </c>
      <c r="AR374" t="str">
        <f>VLOOKUP($J374,'[1]Table S6'!$A:$AI,35,FALSE)</f>
        <v>No</v>
      </c>
      <c r="AT374" t="str">
        <f>VLOOKUP($I374,'[2]Table S5'!$A:$K,8,FALSE)</f>
        <v>Resistant</v>
      </c>
      <c r="AU374" t="str">
        <f>VLOOKUP($I374,'[2]Table S5'!$A:$K,9,FALSE)</f>
        <v>Resistant</v>
      </c>
      <c r="AV374" t="str">
        <f>VLOOKUP($I374,'[2]Table S5'!$A:$K,10,FALSE)</f>
        <v>Resistant</v>
      </c>
      <c r="AW374" t="str">
        <f>VLOOKUP($I374,'[2]Table S5'!$A:$K,11,FALSE)</f>
        <v>Resistant</v>
      </c>
    </row>
    <row r="375" spans="1:49">
      <c r="A375" s="12" t="s">
        <v>2788</v>
      </c>
      <c r="B375" t="s">
        <v>2789</v>
      </c>
      <c r="C375" t="s">
        <v>2790</v>
      </c>
      <c r="D375" t="s">
        <v>17</v>
      </c>
      <c r="E375" t="s">
        <v>141</v>
      </c>
      <c r="F375" s="12" t="s">
        <v>142</v>
      </c>
      <c r="G375" t="s">
        <v>143</v>
      </c>
      <c r="H375" t="s">
        <v>144</v>
      </c>
      <c r="I375" t="s">
        <v>99</v>
      </c>
      <c r="J375" t="s">
        <v>123</v>
      </c>
      <c r="K375">
        <f>VLOOKUP($J375,'[1]Table S6'!$A:$AI,2,FALSE)</f>
        <v>351.4</v>
      </c>
      <c r="L375">
        <f>VLOOKUP($J375,'[1]Table S6'!$A:$AI,3,FALSE)</f>
        <v>0.747818684826559</v>
      </c>
      <c r="M375">
        <f>VLOOKUP($J375,'[1]Table S6'!$A:$AI,4,FALSE)</f>
        <v>4.8949999999999996</v>
      </c>
      <c r="N375" t="str">
        <f>VLOOKUP($J375,'[1]Table S6'!$A:$AI,5,FALSE)</f>
        <v>No</v>
      </c>
      <c r="P375">
        <f>VLOOKUP($J375,'[1]Table S6'!$A:$AI,7,FALSE)</f>
        <v>309</v>
      </c>
      <c r="Q375">
        <f>VLOOKUP($J375,'[1]Table S6'!$A:$AI,8,FALSE)</f>
        <v>0.65758672057884704</v>
      </c>
      <c r="R375">
        <f>VLOOKUP($J375,'[1]Table S6'!$A:$AI,9,FALSE)</f>
        <v>1.0409999999999999</v>
      </c>
      <c r="S375" t="str">
        <f>VLOOKUP($J375,'[1]Table S6'!$A:$AI,10,FALSE)</f>
        <v>Yes</v>
      </c>
      <c r="U375">
        <f>VLOOKUP($J375,'[1]Table S6'!$A:$AI,12,FALSE)</f>
        <v>354.6</v>
      </c>
      <c r="V375">
        <f>VLOOKUP($J375,'[1]Table S6'!$A:$AI,13,FALSE)</f>
        <v>0.75462864439242405</v>
      </c>
      <c r="W375">
        <f>VLOOKUP($J375,'[1]Table S6'!$A:$AI,14,FALSE)</f>
        <v>6.532</v>
      </c>
      <c r="X375" t="str">
        <f>VLOOKUP($J375,'[1]Table S6'!$A:$AI,15,FALSE)</f>
        <v>No</v>
      </c>
      <c r="Z375">
        <f>VLOOKUP($J375,'[1]Table S6'!$A:$AI,17,FALSE)</f>
        <v>334</v>
      </c>
      <c r="AA375">
        <f>VLOOKUP($J375,'[1]Table S6'!$A:$AI,18,FALSE)</f>
        <v>0.71078952968716702</v>
      </c>
      <c r="AB375">
        <f>VLOOKUP($J375,'[1]Table S6'!$A:$AI,19,FALSE)</f>
        <v>3.4180000000000001</v>
      </c>
      <c r="AC375" t="str">
        <f>VLOOKUP($J375,'[1]Table S6'!$A:$AI,20,FALSE)</f>
        <v>No</v>
      </c>
      <c r="AE375">
        <f>VLOOKUP($J375,'[1]Table S6'!$A:$AI,22,FALSE)</f>
        <v>409.3</v>
      </c>
      <c r="AF375">
        <f>VLOOKUP($J375,'[1]Table S6'!$A:$AI,23,FALSE)</f>
        <v>0.87103639072143002</v>
      </c>
      <c r="AG375">
        <f>VLOOKUP($J375,'[1]Table S6'!$A:$AI,24,FALSE)</f>
        <v>55.06</v>
      </c>
      <c r="AH375" t="str">
        <f>VLOOKUP($J375,'[1]Table S6'!$A:$AI,25,FALSE)</f>
        <v>No</v>
      </c>
      <c r="AJ375">
        <f>VLOOKUP($J375,'[1]Table S6'!$A:$AI,27,FALSE)</f>
        <v>404.3</v>
      </c>
      <c r="AK375">
        <f>VLOOKUP($J375,'[1]Table S6'!$A:$AI,28,FALSE)</f>
        <v>0.86039582889976596</v>
      </c>
      <c r="AL375">
        <f>VLOOKUP($J375,'[1]Table S6'!$A:$AI,29,FALSE)</f>
        <v>44.13</v>
      </c>
      <c r="AM375" t="str">
        <f>VLOOKUP($J375,'[1]Table S6'!$A:$AI,30,FALSE)</f>
        <v>No</v>
      </c>
      <c r="AO375">
        <f>VLOOKUP($J375,'[1]Table S6'!$A:$AI,32,FALSE)</f>
        <v>415</v>
      </c>
      <c r="AP375">
        <f>VLOOKUP($J375,'[1]Table S6'!$A:$AI,33,FALSE)</f>
        <v>0.88316663119812699</v>
      </c>
      <c r="AQ375">
        <f>VLOOKUP($J375,'[1]Table S6'!$A:$AI,34,FALSE)</f>
        <v>61.82</v>
      </c>
      <c r="AR375" t="str">
        <f>VLOOKUP($J375,'[1]Table S6'!$A:$AI,35,FALSE)</f>
        <v>No</v>
      </c>
      <c r="AT375" t="str">
        <f>VLOOKUP($I375,'[2]Table S5'!$A:$K,8,FALSE)</f>
        <v>Resistant</v>
      </c>
      <c r="AU375" t="str">
        <f>VLOOKUP($I375,'[2]Table S5'!$A:$K,9,FALSE)</f>
        <v>Resistant</v>
      </c>
      <c r="AV375" t="str">
        <f>VLOOKUP($I375,'[2]Table S5'!$A:$K,10,FALSE)</f>
        <v>Resistant</v>
      </c>
      <c r="AW375" t="str">
        <f>VLOOKUP($I375,'[2]Table S5'!$A:$K,11,FALSE)</f>
        <v>Resistant</v>
      </c>
    </row>
    <row r="376" spans="1:49">
      <c r="A376" s="12" t="s">
        <v>2791</v>
      </c>
      <c r="B376" t="s">
        <v>2792</v>
      </c>
      <c r="C376" t="s">
        <v>2793</v>
      </c>
      <c r="D376" t="s">
        <v>17</v>
      </c>
      <c r="E376" t="s">
        <v>194</v>
      </c>
      <c r="F376" s="12" t="s">
        <v>195</v>
      </c>
      <c r="G376" t="s">
        <v>196</v>
      </c>
      <c r="H376" t="s">
        <v>197</v>
      </c>
      <c r="I376" t="s">
        <v>190</v>
      </c>
      <c r="J376" t="s">
        <v>198</v>
      </c>
      <c r="K376">
        <f>VLOOKUP($J376,'[1]Table S6'!$A:$AI,2,FALSE)</f>
        <v>343.8</v>
      </c>
      <c r="L376">
        <f>VLOOKUP($J376,'[1]Table S6'!$A:$AI,3,FALSE)</f>
        <v>0.731645030857629</v>
      </c>
      <c r="M376">
        <f>VLOOKUP($J376,'[1]Table S6'!$A:$AI,4,FALSE)</f>
        <v>4.8529999999999998</v>
      </c>
      <c r="N376" t="str">
        <f>VLOOKUP($J376,'[1]Table S6'!$A:$AI,5,FALSE)</f>
        <v>No</v>
      </c>
      <c r="P376">
        <f>VLOOKUP($J376,'[1]Table S6'!$A:$AI,7,FALSE)</f>
        <v>354.7</v>
      </c>
      <c r="Q376">
        <f>VLOOKUP($J376,'[1]Table S6'!$A:$AI,8,FALSE)</f>
        <v>0.75484145562885696</v>
      </c>
      <c r="R376">
        <f>VLOOKUP($J376,'[1]Table S6'!$A:$AI,9,FALSE)</f>
        <v>5.9210000000000003</v>
      </c>
      <c r="S376" t="str">
        <f>VLOOKUP($J376,'[1]Table S6'!$A:$AI,10,FALSE)</f>
        <v>No</v>
      </c>
      <c r="U376">
        <f>VLOOKUP($J376,'[1]Table S6'!$A:$AI,12,FALSE)</f>
        <v>384</v>
      </c>
      <c r="V376">
        <f>VLOOKUP($J376,'[1]Table S6'!$A:$AI,13,FALSE)</f>
        <v>0.81719514790380898</v>
      </c>
      <c r="W376">
        <f>VLOOKUP($J376,'[1]Table S6'!$A:$AI,14,FALSE)</f>
        <v>9.4730000000000008</v>
      </c>
      <c r="X376" t="str">
        <f>VLOOKUP($J376,'[1]Table S6'!$A:$AI,15,FALSE)</f>
        <v>No</v>
      </c>
      <c r="Z376">
        <f>VLOOKUP($J376,'[1]Table S6'!$A:$AI,17,FALSE)</f>
        <v>389.1</v>
      </c>
      <c r="AA376">
        <f>VLOOKUP($J376,'[1]Table S6'!$A:$AI,18,FALSE)</f>
        <v>0.82804852096190695</v>
      </c>
      <c r="AB376">
        <f>VLOOKUP($J376,'[1]Table S6'!$A:$AI,19,FALSE)</f>
        <v>18.2</v>
      </c>
      <c r="AC376" t="str">
        <f>VLOOKUP($J376,'[1]Table S6'!$A:$AI,20,FALSE)</f>
        <v>No</v>
      </c>
      <c r="AE376">
        <f>VLOOKUP($J376,'[1]Table S6'!$A:$AI,22,FALSE)</f>
        <v>357.9</v>
      </c>
      <c r="AF376">
        <f>VLOOKUP($J376,'[1]Table S6'!$A:$AI,23,FALSE)</f>
        <v>0.76165141519472201</v>
      </c>
      <c r="AG376">
        <f>VLOOKUP($J376,'[1]Table S6'!$A:$AI,24,FALSE)</f>
        <v>8.5779999999999994</v>
      </c>
      <c r="AH376" t="str">
        <f>VLOOKUP($J376,'[1]Table S6'!$A:$AI,25,FALSE)</f>
        <v>No</v>
      </c>
      <c r="AJ376">
        <f>VLOOKUP($J376,'[1]Table S6'!$A:$AI,27,FALSE)</f>
        <v>461.2</v>
      </c>
      <c r="AK376">
        <f>VLOOKUP($J376,'[1]Table S6'!$A:$AI,28,FALSE)</f>
        <v>0.98148542243030401</v>
      </c>
      <c r="AL376">
        <f>VLOOKUP($J376,'[1]Table S6'!$A:$AI,29,FALSE)</f>
        <v>269.39999999999998</v>
      </c>
      <c r="AM376" t="str">
        <f>VLOOKUP($J376,'[1]Table S6'!$A:$AI,30,FALSE)</f>
        <v>No</v>
      </c>
      <c r="AO376">
        <f>VLOOKUP($J376,'[1]Table S6'!$A:$AI,32,FALSE)</f>
        <v>420</v>
      </c>
      <c r="AP376">
        <f>VLOOKUP($J376,'[1]Table S6'!$A:$AI,33,FALSE)</f>
        <v>0.89380719301979195</v>
      </c>
      <c r="AQ376">
        <f>VLOOKUP($J376,'[1]Table S6'!$A:$AI,34,FALSE)</f>
        <v>261.8</v>
      </c>
      <c r="AR376" t="str">
        <f>VLOOKUP($J376,'[1]Table S6'!$A:$AI,35,FALSE)</f>
        <v>No</v>
      </c>
      <c r="AT376" t="str">
        <f>VLOOKUP($I376,'[2]Table S5'!$A:$K,8,FALSE)</f>
        <v>Resistant</v>
      </c>
      <c r="AU376" t="str">
        <f>VLOOKUP($I376,'[2]Table S5'!$A:$K,9,FALSE)</f>
        <v>Resistant</v>
      </c>
      <c r="AV376" t="str">
        <f>VLOOKUP($I376,'[2]Table S5'!$A:$K,10,FALSE)</f>
        <v>Resistant</v>
      </c>
      <c r="AW376" t="str">
        <f>VLOOKUP($I376,'[2]Table S5'!$A:$K,11,FALSE)</f>
        <v>Resistant</v>
      </c>
    </row>
    <row r="377" spans="1:49">
      <c r="A377" s="12" t="s">
        <v>2794</v>
      </c>
      <c r="B377" t="s">
        <v>2795</v>
      </c>
      <c r="C377" t="s">
        <v>2796</v>
      </c>
      <c r="D377" t="s">
        <v>17</v>
      </c>
      <c r="E377" t="s">
        <v>202</v>
      </c>
      <c r="F377" s="12" t="s">
        <v>203</v>
      </c>
      <c r="G377" t="s">
        <v>204</v>
      </c>
      <c r="H377" t="s">
        <v>205</v>
      </c>
      <c r="I377" t="s">
        <v>190</v>
      </c>
      <c r="J377" t="s">
        <v>206</v>
      </c>
      <c r="K377">
        <f>VLOOKUP($J377,'[1]Table S6'!$A:$AI,2,FALSE)</f>
        <v>305.89999999999998</v>
      </c>
      <c r="L377">
        <f>VLOOKUP($J377,'[1]Table S6'!$A:$AI,3,FALSE)</f>
        <v>0.650989572249415</v>
      </c>
      <c r="M377">
        <f>VLOOKUP($J377,'[1]Table S6'!$A:$AI,4,FALSE)</f>
        <v>1.4870000000000001</v>
      </c>
      <c r="N377" t="str">
        <f>VLOOKUP($J377,'[1]Table S6'!$A:$AI,5,FALSE)</f>
        <v>Yes</v>
      </c>
      <c r="P377">
        <f>VLOOKUP($J377,'[1]Table S6'!$A:$AI,7,FALSE)</f>
        <v>363</v>
      </c>
      <c r="Q377">
        <f>VLOOKUP($J377,'[1]Table S6'!$A:$AI,8,FALSE)</f>
        <v>0.77250478825281998</v>
      </c>
      <c r="R377">
        <f>VLOOKUP($J377,'[1]Table S6'!$A:$AI,9,FALSE)</f>
        <v>9.5350000000000001</v>
      </c>
      <c r="S377" t="str">
        <f>VLOOKUP($J377,'[1]Table S6'!$A:$AI,10,FALSE)</f>
        <v>No</v>
      </c>
      <c r="U377">
        <f>VLOOKUP($J377,'[1]Table S6'!$A:$AI,12,FALSE)</f>
        <v>346.1</v>
      </c>
      <c r="V377">
        <f>VLOOKUP($J377,'[1]Table S6'!$A:$AI,13,FALSE)</f>
        <v>0.73653968929559499</v>
      </c>
      <c r="W377">
        <f>VLOOKUP($J377,'[1]Table S6'!$A:$AI,14,FALSE)</f>
        <v>5.7060000000000004</v>
      </c>
      <c r="X377" t="str">
        <f>VLOOKUP($J377,'[1]Table S6'!$A:$AI,15,FALSE)</f>
        <v>No</v>
      </c>
      <c r="Z377">
        <f>VLOOKUP($J377,'[1]Table S6'!$A:$AI,17,FALSE)</f>
        <v>341.2</v>
      </c>
      <c r="AA377">
        <f>VLOOKUP($J377,'[1]Table S6'!$A:$AI,18,FALSE)</f>
        <v>0.72611193871036395</v>
      </c>
      <c r="AB377">
        <f>VLOOKUP($J377,'[1]Table S6'!$A:$AI,19,FALSE)</f>
        <v>4.5330000000000004</v>
      </c>
      <c r="AC377" t="str">
        <f>VLOOKUP($J377,'[1]Table S6'!$A:$AI,20,FALSE)</f>
        <v>No</v>
      </c>
      <c r="AE377">
        <f>VLOOKUP($J377,'[1]Table S6'!$A:$AI,22,FALSE)</f>
        <v>336.9</v>
      </c>
      <c r="AF377">
        <f>VLOOKUP($J377,'[1]Table S6'!$A:$AI,23,FALSE)</f>
        <v>0.71696105554373302</v>
      </c>
      <c r="AG377">
        <f>VLOOKUP($J377,'[1]Table S6'!$A:$AI,24,FALSE)</f>
        <v>3.6659999999999999</v>
      </c>
      <c r="AH377" t="str">
        <f>VLOOKUP($J377,'[1]Table S6'!$A:$AI,25,FALSE)</f>
        <v>No</v>
      </c>
      <c r="AJ377">
        <f>VLOOKUP($J377,'[1]Table S6'!$A:$AI,27,FALSE)</f>
        <v>408.9</v>
      </c>
      <c r="AK377">
        <f>VLOOKUP($J377,'[1]Table S6'!$A:$AI,28,FALSE)</f>
        <v>0.87018514577569706</v>
      </c>
      <c r="AL377">
        <f>VLOOKUP($J377,'[1]Table S6'!$A:$AI,29,FALSE)</f>
        <v>119.7</v>
      </c>
      <c r="AM377" t="str">
        <f>VLOOKUP($J377,'[1]Table S6'!$A:$AI,30,FALSE)</f>
        <v>No</v>
      </c>
      <c r="AO377">
        <f>VLOOKUP($J377,'[1]Table S6'!$A:$AI,32,FALSE)</f>
        <v>431.7</v>
      </c>
      <c r="AP377">
        <f>VLOOKUP($J377,'[1]Table S6'!$A:$AI,33,FALSE)</f>
        <v>0.91870610768248595</v>
      </c>
      <c r="AQ377">
        <f>VLOOKUP($J377,'[1]Table S6'!$A:$AI,34,FALSE)</f>
        <v>243.9</v>
      </c>
      <c r="AR377" t="str">
        <f>VLOOKUP($J377,'[1]Table S6'!$A:$AI,35,FALSE)</f>
        <v>No</v>
      </c>
      <c r="AT377" t="str">
        <f>VLOOKUP($I377,'[2]Table S5'!$A:$K,8,FALSE)</f>
        <v>Resistant</v>
      </c>
      <c r="AU377" t="str">
        <f>VLOOKUP($I377,'[2]Table S5'!$A:$K,9,FALSE)</f>
        <v>Resistant</v>
      </c>
      <c r="AV377" t="str">
        <f>VLOOKUP($I377,'[2]Table S5'!$A:$K,10,FALSE)</f>
        <v>Resistant</v>
      </c>
      <c r="AW377" t="str">
        <f>VLOOKUP($I377,'[2]Table S5'!$A:$K,11,FALSE)</f>
        <v>Resistant</v>
      </c>
    </row>
    <row r="378" spans="1:49">
      <c r="A378" s="12" t="s">
        <v>2797</v>
      </c>
      <c r="B378" t="s">
        <v>2798</v>
      </c>
      <c r="C378" t="s">
        <v>2799</v>
      </c>
      <c r="D378" t="s">
        <v>17</v>
      </c>
      <c r="E378" t="s">
        <v>210</v>
      </c>
      <c r="F378" s="12" t="s">
        <v>211</v>
      </c>
      <c r="G378" t="s">
        <v>212</v>
      </c>
      <c r="H378" t="s">
        <v>213</v>
      </c>
      <c r="I378" t="s">
        <v>190</v>
      </c>
      <c r="J378" t="s">
        <v>214</v>
      </c>
      <c r="K378">
        <f>VLOOKUP($J378,'[1]Table S6'!$A:$AI,2,FALSE)</f>
        <v>284.10000000000002</v>
      </c>
      <c r="L378">
        <f>VLOOKUP($J378,'[1]Table S6'!$A:$AI,3,FALSE)</f>
        <v>0.60459672270695897</v>
      </c>
      <c r="M378">
        <f>VLOOKUP($J378,'[1]Table S6'!$A:$AI,4,FALSE)</f>
        <v>0.70130000000000003</v>
      </c>
      <c r="N378" t="str">
        <f>VLOOKUP($J378,'[1]Table S6'!$A:$AI,5,FALSE)</f>
        <v>Yes</v>
      </c>
      <c r="P378">
        <f>VLOOKUP($J378,'[1]Table S6'!$A:$AI,7,FALSE)</f>
        <v>358.8</v>
      </c>
      <c r="Q378">
        <f>VLOOKUP($J378,'[1]Table S6'!$A:$AI,8,FALSE)</f>
        <v>0.76356671632262196</v>
      </c>
      <c r="R378">
        <f>VLOOKUP($J378,'[1]Table S6'!$A:$AI,9,FALSE)</f>
        <v>9.7089999999999996</v>
      </c>
      <c r="S378" t="str">
        <f>VLOOKUP($J378,'[1]Table S6'!$A:$AI,10,FALSE)</f>
        <v>No</v>
      </c>
      <c r="U378">
        <f>VLOOKUP($J378,'[1]Table S6'!$A:$AI,12,FALSE)</f>
        <v>304.7</v>
      </c>
      <c r="V378">
        <f>VLOOKUP($J378,'[1]Table S6'!$A:$AI,13,FALSE)</f>
        <v>0.648435837412215</v>
      </c>
      <c r="W378">
        <f>VLOOKUP($J378,'[1]Table S6'!$A:$AI,14,FALSE)</f>
        <v>1.8160000000000001</v>
      </c>
      <c r="X378" t="str">
        <f>VLOOKUP($J378,'[1]Table S6'!$A:$AI,15,FALSE)</f>
        <v>Yes</v>
      </c>
      <c r="Z378">
        <f>VLOOKUP($J378,'[1]Table S6'!$A:$AI,17,FALSE)</f>
        <v>367.2</v>
      </c>
      <c r="AA378">
        <f>VLOOKUP($J378,'[1]Table S6'!$A:$AI,18,FALSE)</f>
        <v>0.78144286018301801</v>
      </c>
      <c r="AB378">
        <f>VLOOKUP($J378,'[1]Table S6'!$A:$AI,19,FALSE)</f>
        <v>9.9269999999999996</v>
      </c>
      <c r="AC378" t="str">
        <f>VLOOKUP($J378,'[1]Table S6'!$A:$AI,20,FALSE)</f>
        <v>No</v>
      </c>
      <c r="AE378">
        <f>VLOOKUP($J378,'[1]Table S6'!$A:$AI,22,FALSE)</f>
        <v>290.89999999999998</v>
      </c>
      <c r="AF378">
        <f>VLOOKUP($J378,'[1]Table S6'!$A:$AI,23,FALSE)</f>
        <v>0.61906788678442204</v>
      </c>
      <c r="AG378">
        <f>VLOOKUP($J378,'[1]Table S6'!$A:$AI,24,FALSE)</f>
        <v>0.98629999999999995</v>
      </c>
      <c r="AH378" t="str">
        <f>VLOOKUP($J378,'[1]Table S6'!$A:$AI,25,FALSE)</f>
        <v>Yes</v>
      </c>
      <c r="AJ378">
        <f>VLOOKUP($J378,'[1]Table S6'!$A:$AI,27,FALSE)</f>
        <v>407.1</v>
      </c>
      <c r="AK378">
        <f>VLOOKUP($J378,'[1]Table S6'!$A:$AI,28,FALSE)</f>
        <v>0.86635454351989805</v>
      </c>
      <c r="AL378">
        <f>VLOOKUP($J378,'[1]Table S6'!$A:$AI,29,FALSE)</f>
        <v>123.8</v>
      </c>
      <c r="AM378" t="str">
        <f>VLOOKUP($J378,'[1]Table S6'!$A:$AI,30,FALSE)</f>
        <v>No</v>
      </c>
      <c r="AO378">
        <f>VLOOKUP($J378,'[1]Table S6'!$A:$AI,32,FALSE)</f>
        <v>407.2</v>
      </c>
      <c r="AP378">
        <f>VLOOKUP($J378,'[1]Table S6'!$A:$AI,33,FALSE)</f>
        <v>0.86656735475633095</v>
      </c>
      <c r="AQ378">
        <f>VLOOKUP($J378,'[1]Table S6'!$A:$AI,34,FALSE)</f>
        <v>80.69</v>
      </c>
      <c r="AR378" t="str">
        <f>VLOOKUP($J378,'[1]Table S6'!$A:$AI,35,FALSE)</f>
        <v>No</v>
      </c>
      <c r="AT378" t="str">
        <f>VLOOKUP($I378,'[2]Table S5'!$A:$K,8,FALSE)</f>
        <v>Resistant</v>
      </c>
      <c r="AU378" t="str">
        <f>VLOOKUP($I378,'[2]Table S5'!$A:$K,9,FALSE)</f>
        <v>Resistant</v>
      </c>
      <c r="AV378" t="str">
        <f>VLOOKUP($I378,'[2]Table S5'!$A:$K,10,FALSE)</f>
        <v>Resistant</v>
      </c>
      <c r="AW378" t="str">
        <f>VLOOKUP($I378,'[2]Table S5'!$A:$K,11,FALSE)</f>
        <v>Resistant</v>
      </c>
    </row>
    <row r="379" spans="1:49">
      <c r="A379" s="12" t="s">
        <v>2800</v>
      </c>
      <c r="B379" t="s">
        <v>2801</v>
      </c>
      <c r="C379" t="s">
        <v>2802</v>
      </c>
      <c r="D379" t="s">
        <v>17</v>
      </c>
      <c r="E379" t="s">
        <v>218</v>
      </c>
      <c r="F379" s="12" t="s">
        <v>219</v>
      </c>
      <c r="G379" t="s">
        <v>220</v>
      </c>
      <c r="H379" t="s">
        <v>221</v>
      </c>
      <c r="I379" t="s">
        <v>190</v>
      </c>
      <c r="J379" t="s">
        <v>198</v>
      </c>
      <c r="K379">
        <f>VLOOKUP($J379,'[1]Table S6'!$A:$AI,2,FALSE)</f>
        <v>343.8</v>
      </c>
      <c r="L379">
        <f>VLOOKUP($J379,'[1]Table S6'!$A:$AI,3,FALSE)</f>
        <v>0.731645030857629</v>
      </c>
      <c r="M379">
        <f>VLOOKUP($J379,'[1]Table S6'!$A:$AI,4,FALSE)</f>
        <v>4.8529999999999998</v>
      </c>
      <c r="N379" t="str">
        <f>VLOOKUP($J379,'[1]Table S6'!$A:$AI,5,FALSE)</f>
        <v>No</v>
      </c>
      <c r="P379">
        <f>VLOOKUP($J379,'[1]Table S6'!$A:$AI,7,FALSE)</f>
        <v>354.7</v>
      </c>
      <c r="Q379">
        <f>VLOOKUP($J379,'[1]Table S6'!$A:$AI,8,FALSE)</f>
        <v>0.75484145562885696</v>
      </c>
      <c r="R379">
        <f>VLOOKUP($J379,'[1]Table S6'!$A:$AI,9,FALSE)</f>
        <v>5.9210000000000003</v>
      </c>
      <c r="S379" t="str">
        <f>VLOOKUP($J379,'[1]Table S6'!$A:$AI,10,FALSE)</f>
        <v>No</v>
      </c>
      <c r="U379">
        <f>VLOOKUP($J379,'[1]Table S6'!$A:$AI,12,FALSE)</f>
        <v>384</v>
      </c>
      <c r="V379">
        <f>VLOOKUP($J379,'[1]Table S6'!$A:$AI,13,FALSE)</f>
        <v>0.81719514790380898</v>
      </c>
      <c r="W379">
        <f>VLOOKUP($J379,'[1]Table S6'!$A:$AI,14,FALSE)</f>
        <v>9.4730000000000008</v>
      </c>
      <c r="X379" t="str">
        <f>VLOOKUP($J379,'[1]Table S6'!$A:$AI,15,FALSE)</f>
        <v>No</v>
      </c>
      <c r="Z379">
        <f>VLOOKUP($J379,'[1]Table S6'!$A:$AI,17,FALSE)</f>
        <v>389.1</v>
      </c>
      <c r="AA379">
        <f>VLOOKUP($J379,'[1]Table S6'!$A:$AI,18,FALSE)</f>
        <v>0.82804852096190695</v>
      </c>
      <c r="AB379">
        <f>VLOOKUP($J379,'[1]Table S6'!$A:$AI,19,FALSE)</f>
        <v>18.2</v>
      </c>
      <c r="AC379" t="str">
        <f>VLOOKUP($J379,'[1]Table S6'!$A:$AI,20,FALSE)</f>
        <v>No</v>
      </c>
      <c r="AE379">
        <f>VLOOKUP($J379,'[1]Table S6'!$A:$AI,22,FALSE)</f>
        <v>357.9</v>
      </c>
      <c r="AF379">
        <f>VLOOKUP($J379,'[1]Table S6'!$A:$AI,23,FALSE)</f>
        <v>0.76165141519472201</v>
      </c>
      <c r="AG379">
        <f>VLOOKUP($J379,'[1]Table S6'!$A:$AI,24,FALSE)</f>
        <v>8.5779999999999994</v>
      </c>
      <c r="AH379" t="str">
        <f>VLOOKUP($J379,'[1]Table S6'!$A:$AI,25,FALSE)</f>
        <v>No</v>
      </c>
      <c r="AJ379">
        <f>VLOOKUP($J379,'[1]Table S6'!$A:$AI,27,FALSE)</f>
        <v>461.2</v>
      </c>
      <c r="AK379">
        <f>VLOOKUP($J379,'[1]Table S6'!$A:$AI,28,FALSE)</f>
        <v>0.98148542243030401</v>
      </c>
      <c r="AL379">
        <f>VLOOKUP($J379,'[1]Table S6'!$A:$AI,29,FALSE)</f>
        <v>269.39999999999998</v>
      </c>
      <c r="AM379" t="str">
        <f>VLOOKUP($J379,'[1]Table S6'!$A:$AI,30,FALSE)</f>
        <v>No</v>
      </c>
      <c r="AO379">
        <f>VLOOKUP($J379,'[1]Table S6'!$A:$AI,32,FALSE)</f>
        <v>420</v>
      </c>
      <c r="AP379">
        <f>VLOOKUP($J379,'[1]Table S6'!$A:$AI,33,FALSE)</f>
        <v>0.89380719301979195</v>
      </c>
      <c r="AQ379">
        <f>VLOOKUP($J379,'[1]Table S6'!$A:$AI,34,FALSE)</f>
        <v>261.8</v>
      </c>
      <c r="AR379" t="str">
        <f>VLOOKUP($J379,'[1]Table S6'!$A:$AI,35,FALSE)</f>
        <v>No</v>
      </c>
      <c r="AT379" t="str">
        <f>VLOOKUP($I379,'[2]Table S5'!$A:$K,8,FALSE)</f>
        <v>Resistant</v>
      </c>
      <c r="AU379" t="str">
        <f>VLOOKUP($I379,'[2]Table S5'!$A:$K,9,FALSE)</f>
        <v>Resistant</v>
      </c>
      <c r="AV379" t="str">
        <f>VLOOKUP($I379,'[2]Table S5'!$A:$K,10,FALSE)</f>
        <v>Resistant</v>
      </c>
      <c r="AW379" t="str">
        <f>VLOOKUP($I379,'[2]Table S5'!$A:$K,11,FALSE)</f>
        <v>Resistant</v>
      </c>
    </row>
    <row r="380" spans="1:49">
      <c r="A380" s="12" t="s">
        <v>2803</v>
      </c>
      <c r="B380" t="s">
        <v>2804</v>
      </c>
      <c r="C380" t="s">
        <v>2805</v>
      </c>
      <c r="D380" t="s">
        <v>17</v>
      </c>
      <c r="E380" t="s">
        <v>225</v>
      </c>
      <c r="F380" s="12" t="s">
        <v>226</v>
      </c>
      <c r="G380" t="s">
        <v>227</v>
      </c>
      <c r="H380" t="s">
        <v>228</v>
      </c>
      <c r="I380" t="s">
        <v>190</v>
      </c>
      <c r="J380" t="s">
        <v>206</v>
      </c>
      <c r="K380">
        <f>VLOOKUP($J380,'[1]Table S6'!$A:$AI,2,FALSE)</f>
        <v>305.89999999999998</v>
      </c>
      <c r="L380">
        <f>VLOOKUP($J380,'[1]Table S6'!$A:$AI,3,FALSE)</f>
        <v>0.650989572249415</v>
      </c>
      <c r="M380">
        <f>VLOOKUP($J380,'[1]Table S6'!$A:$AI,4,FALSE)</f>
        <v>1.4870000000000001</v>
      </c>
      <c r="N380" t="str">
        <f>VLOOKUP($J380,'[1]Table S6'!$A:$AI,5,FALSE)</f>
        <v>Yes</v>
      </c>
      <c r="P380">
        <f>VLOOKUP($J380,'[1]Table S6'!$A:$AI,7,FALSE)</f>
        <v>363</v>
      </c>
      <c r="Q380">
        <f>VLOOKUP($J380,'[1]Table S6'!$A:$AI,8,FALSE)</f>
        <v>0.77250478825281998</v>
      </c>
      <c r="R380">
        <f>VLOOKUP($J380,'[1]Table S6'!$A:$AI,9,FALSE)</f>
        <v>9.5350000000000001</v>
      </c>
      <c r="S380" t="str">
        <f>VLOOKUP($J380,'[1]Table S6'!$A:$AI,10,FALSE)</f>
        <v>No</v>
      </c>
      <c r="U380">
        <f>VLOOKUP($J380,'[1]Table S6'!$A:$AI,12,FALSE)</f>
        <v>346.1</v>
      </c>
      <c r="V380">
        <f>VLOOKUP($J380,'[1]Table S6'!$A:$AI,13,FALSE)</f>
        <v>0.73653968929559499</v>
      </c>
      <c r="W380">
        <f>VLOOKUP($J380,'[1]Table S6'!$A:$AI,14,FALSE)</f>
        <v>5.7060000000000004</v>
      </c>
      <c r="X380" t="str">
        <f>VLOOKUP($J380,'[1]Table S6'!$A:$AI,15,FALSE)</f>
        <v>No</v>
      </c>
      <c r="Z380">
        <f>VLOOKUP($J380,'[1]Table S6'!$A:$AI,17,FALSE)</f>
        <v>341.2</v>
      </c>
      <c r="AA380">
        <f>VLOOKUP($J380,'[1]Table S6'!$A:$AI,18,FALSE)</f>
        <v>0.72611193871036395</v>
      </c>
      <c r="AB380">
        <f>VLOOKUP($J380,'[1]Table S6'!$A:$AI,19,FALSE)</f>
        <v>4.5330000000000004</v>
      </c>
      <c r="AC380" t="str">
        <f>VLOOKUP($J380,'[1]Table S6'!$A:$AI,20,FALSE)</f>
        <v>No</v>
      </c>
      <c r="AE380">
        <f>VLOOKUP($J380,'[1]Table S6'!$A:$AI,22,FALSE)</f>
        <v>336.9</v>
      </c>
      <c r="AF380">
        <f>VLOOKUP($J380,'[1]Table S6'!$A:$AI,23,FALSE)</f>
        <v>0.71696105554373302</v>
      </c>
      <c r="AG380">
        <f>VLOOKUP($J380,'[1]Table S6'!$A:$AI,24,FALSE)</f>
        <v>3.6659999999999999</v>
      </c>
      <c r="AH380" t="str">
        <f>VLOOKUP($J380,'[1]Table S6'!$A:$AI,25,FALSE)</f>
        <v>No</v>
      </c>
      <c r="AJ380">
        <f>VLOOKUP($J380,'[1]Table S6'!$A:$AI,27,FALSE)</f>
        <v>408.9</v>
      </c>
      <c r="AK380">
        <f>VLOOKUP($J380,'[1]Table S6'!$A:$AI,28,FALSE)</f>
        <v>0.87018514577569706</v>
      </c>
      <c r="AL380">
        <f>VLOOKUP($J380,'[1]Table S6'!$A:$AI,29,FALSE)</f>
        <v>119.7</v>
      </c>
      <c r="AM380" t="str">
        <f>VLOOKUP($J380,'[1]Table S6'!$A:$AI,30,FALSE)</f>
        <v>No</v>
      </c>
      <c r="AO380">
        <f>VLOOKUP($J380,'[1]Table S6'!$A:$AI,32,FALSE)</f>
        <v>431.7</v>
      </c>
      <c r="AP380">
        <f>VLOOKUP($J380,'[1]Table S6'!$A:$AI,33,FALSE)</f>
        <v>0.91870610768248595</v>
      </c>
      <c r="AQ380">
        <f>VLOOKUP($J380,'[1]Table S6'!$A:$AI,34,FALSE)</f>
        <v>243.9</v>
      </c>
      <c r="AR380" t="str">
        <f>VLOOKUP($J380,'[1]Table S6'!$A:$AI,35,FALSE)</f>
        <v>No</v>
      </c>
      <c r="AT380" t="str">
        <f>VLOOKUP($I380,'[2]Table S5'!$A:$K,8,FALSE)</f>
        <v>Resistant</v>
      </c>
      <c r="AU380" t="str">
        <f>VLOOKUP($I380,'[2]Table S5'!$A:$K,9,FALSE)</f>
        <v>Resistant</v>
      </c>
      <c r="AV380" t="str">
        <f>VLOOKUP($I380,'[2]Table S5'!$A:$K,10,FALSE)</f>
        <v>Resistant</v>
      </c>
      <c r="AW380" t="str">
        <f>VLOOKUP($I380,'[2]Table S5'!$A:$K,11,FALSE)</f>
        <v>Resistant</v>
      </c>
    </row>
    <row r="381" spans="1:49">
      <c r="A381" s="12" t="s">
        <v>2806</v>
      </c>
      <c r="B381" t="s">
        <v>2807</v>
      </c>
      <c r="C381" t="s">
        <v>2808</v>
      </c>
      <c r="D381" t="s">
        <v>17</v>
      </c>
      <c r="E381" t="s">
        <v>232</v>
      </c>
      <c r="F381" s="12" t="s">
        <v>233</v>
      </c>
      <c r="G381" t="s">
        <v>234</v>
      </c>
      <c r="H381" t="s">
        <v>235</v>
      </c>
      <c r="I381" t="s">
        <v>190</v>
      </c>
      <c r="J381" t="s">
        <v>214</v>
      </c>
      <c r="K381">
        <f>VLOOKUP($J381,'[1]Table S6'!$A:$AI,2,FALSE)</f>
        <v>284.10000000000002</v>
      </c>
      <c r="L381">
        <f>VLOOKUP($J381,'[1]Table S6'!$A:$AI,3,FALSE)</f>
        <v>0.60459672270695897</v>
      </c>
      <c r="M381">
        <f>VLOOKUP($J381,'[1]Table S6'!$A:$AI,4,FALSE)</f>
        <v>0.70130000000000003</v>
      </c>
      <c r="N381" t="str">
        <f>VLOOKUP($J381,'[1]Table S6'!$A:$AI,5,FALSE)</f>
        <v>Yes</v>
      </c>
      <c r="P381">
        <f>VLOOKUP($J381,'[1]Table S6'!$A:$AI,7,FALSE)</f>
        <v>358.8</v>
      </c>
      <c r="Q381">
        <f>VLOOKUP($J381,'[1]Table S6'!$A:$AI,8,FALSE)</f>
        <v>0.76356671632262196</v>
      </c>
      <c r="R381">
        <f>VLOOKUP($J381,'[1]Table S6'!$A:$AI,9,FALSE)</f>
        <v>9.7089999999999996</v>
      </c>
      <c r="S381" t="str">
        <f>VLOOKUP($J381,'[1]Table S6'!$A:$AI,10,FALSE)</f>
        <v>No</v>
      </c>
      <c r="U381">
        <f>VLOOKUP($J381,'[1]Table S6'!$A:$AI,12,FALSE)</f>
        <v>304.7</v>
      </c>
      <c r="V381">
        <f>VLOOKUP($J381,'[1]Table S6'!$A:$AI,13,FALSE)</f>
        <v>0.648435837412215</v>
      </c>
      <c r="W381">
        <f>VLOOKUP($J381,'[1]Table S6'!$A:$AI,14,FALSE)</f>
        <v>1.8160000000000001</v>
      </c>
      <c r="X381" t="str">
        <f>VLOOKUP($J381,'[1]Table S6'!$A:$AI,15,FALSE)</f>
        <v>Yes</v>
      </c>
      <c r="Z381">
        <f>VLOOKUP($J381,'[1]Table S6'!$A:$AI,17,FALSE)</f>
        <v>367.2</v>
      </c>
      <c r="AA381">
        <f>VLOOKUP($J381,'[1]Table S6'!$A:$AI,18,FALSE)</f>
        <v>0.78144286018301801</v>
      </c>
      <c r="AB381">
        <f>VLOOKUP($J381,'[1]Table S6'!$A:$AI,19,FALSE)</f>
        <v>9.9269999999999996</v>
      </c>
      <c r="AC381" t="str">
        <f>VLOOKUP($J381,'[1]Table S6'!$A:$AI,20,FALSE)</f>
        <v>No</v>
      </c>
      <c r="AE381">
        <f>VLOOKUP($J381,'[1]Table S6'!$A:$AI,22,FALSE)</f>
        <v>290.89999999999998</v>
      </c>
      <c r="AF381">
        <f>VLOOKUP($J381,'[1]Table S6'!$A:$AI,23,FALSE)</f>
        <v>0.61906788678442204</v>
      </c>
      <c r="AG381">
        <f>VLOOKUP($J381,'[1]Table S6'!$A:$AI,24,FALSE)</f>
        <v>0.98629999999999995</v>
      </c>
      <c r="AH381" t="str">
        <f>VLOOKUP($J381,'[1]Table S6'!$A:$AI,25,FALSE)</f>
        <v>Yes</v>
      </c>
      <c r="AJ381">
        <f>VLOOKUP($J381,'[1]Table S6'!$A:$AI,27,FALSE)</f>
        <v>407.1</v>
      </c>
      <c r="AK381">
        <f>VLOOKUP($J381,'[1]Table S6'!$A:$AI,28,FALSE)</f>
        <v>0.86635454351989805</v>
      </c>
      <c r="AL381">
        <f>VLOOKUP($J381,'[1]Table S6'!$A:$AI,29,FALSE)</f>
        <v>123.8</v>
      </c>
      <c r="AM381" t="str">
        <f>VLOOKUP($J381,'[1]Table S6'!$A:$AI,30,FALSE)</f>
        <v>No</v>
      </c>
      <c r="AO381">
        <f>VLOOKUP($J381,'[1]Table S6'!$A:$AI,32,FALSE)</f>
        <v>407.2</v>
      </c>
      <c r="AP381">
        <f>VLOOKUP($J381,'[1]Table S6'!$A:$AI,33,FALSE)</f>
        <v>0.86656735475633095</v>
      </c>
      <c r="AQ381">
        <f>VLOOKUP($J381,'[1]Table S6'!$A:$AI,34,FALSE)</f>
        <v>80.69</v>
      </c>
      <c r="AR381" t="str">
        <f>VLOOKUP($J381,'[1]Table S6'!$A:$AI,35,FALSE)</f>
        <v>No</v>
      </c>
      <c r="AT381" t="str">
        <f>VLOOKUP($I381,'[2]Table S5'!$A:$K,8,FALSE)</f>
        <v>Resistant</v>
      </c>
      <c r="AU381" t="str">
        <f>VLOOKUP($I381,'[2]Table S5'!$A:$K,9,FALSE)</f>
        <v>Resistant</v>
      </c>
      <c r="AV381" t="str">
        <f>VLOOKUP($I381,'[2]Table S5'!$A:$K,10,FALSE)</f>
        <v>Resistant</v>
      </c>
      <c r="AW381" t="str">
        <f>VLOOKUP($I381,'[2]Table S5'!$A:$K,11,FALSE)</f>
        <v>Resistant</v>
      </c>
    </row>
    <row r="382" spans="1:49">
      <c r="A382" s="12" t="s">
        <v>2809</v>
      </c>
      <c r="B382" t="s">
        <v>2810</v>
      </c>
      <c r="C382" t="s">
        <v>2811</v>
      </c>
      <c r="D382" t="s">
        <v>17</v>
      </c>
      <c r="E382" t="s">
        <v>247</v>
      </c>
      <c r="F382" s="12" t="s">
        <v>248</v>
      </c>
      <c r="G382" t="s">
        <v>249</v>
      </c>
      <c r="H382" t="s">
        <v>250</v>
      </c>
      <c r="I382" t="s">
        <v>243</v>
      </c>
      <c r="J382" t="s">
        <v>251</v>
      </c>
      <c r="K382">
        <f>VLOOKUP($J382,'[1]Table S6'!$A:$AI,2,FALSE)</f>
        <v>347.8</v>
      </c>
      <c r="L382">
        <f>VLOOKUP($J382,'[1]Table S6'!$A:$AI,3,FALSE)</f>
        <v>0.74015748031496098</v>
      </c>
      <c r="M382">
        <f>VLOOKUP($J382,'[1]Table S6'!$A:$AI,4,FALSE)</f>
        <v>4.72</v>
      </c>
      <c r="N382" t="str">
        <f>VLOOKUP($J382,'[1]Table S6'!$A:$AI,5,FALSE)</f>
        <v>No</v>
      </c>
      <c r="P382">
        <f>VLOOKUP($J382,'[1]Table S6'!$A:$AI,7,FALSE)</f>
        <v>350.7</v>
      </c>
      <c r="Q382">
        <f>VLOOKUP($J382,'[1]Table S6'!$A:$AI,8,FALSE)</f>
        <v>0.74632900617152598</v>
      </c>
      <c r="R382">
        <f>VLOOKUP($J382,'[1]Table S6'!$A:$AI,9,FALSE)</f>
        <v>5.9020000000000001</v>
      </c>
      <c r="S382" t="str">
        <f>VLOOKUP($J382,'[1]Table S6'!$A:$AI,10,FALSE)</f>
        <v>No</v>
      </c>
      <c r="U382">
        <f>VLOOKUP($J382,'[1]Table S6'!$A:$AI,12,FALSE)</f>
        <v>351.5</v>
      </c>
      <c r="V382">
        <f>VLOOKUP($J382,'[1]Table S6'!$A:$AI,13,FALSE)</f>
        <v>0.74803149606299202</v>
      </c>
      <c r="W382">
        <f>VLOOKUP($J382,'[1]Table S6'!$A:$AI,14,FALSE)</f>
        <v>3.9359999999999999</v>
      </c>
      <c r="X382" t="str">
        <f>VLOOKUP($J382,'[1]Table S6'!$A:$AI,15,FALSE)</f>
        <v>No</v>
      </c>
      <c r="Z382">
        <f>VLOOKUP($J382,'[1]Table S6'!$A:$AI,17,FALSE)</f>
        <v>325.10000000000002</v>
      </c>
      <c r="AA382">
        <f>VLOOKUP($J382,'[1]Table S6'!$A:$AI,18,FALSE)</f>
        <v>0.69184932964460499</v>
      </c>
      <c r="AB382">
        <f>VLOOKUP($J382,'[1]Table S6'!$A:$AI,19,FALSE)</f>
        <v>2.4540000000000002</v>
      </c>
      <c r="AC382" t="str">
        <f>VLOOKUP($J382,'[1]Table S6'!$A:$AI,20,FALSE)</f>
        <v>Yes</v>
      </c>
      <c r="AE382">
        <f>VLOOKUP($J382,'[1]Table S6'!$A:$AI,22,FALSE)</f>
        <v>342.2</v>
      </c>
      <c r="AF382">
        <f>VLOOKUP($J382,'[1]Table S6'!$A:$AI,23,FALSE)</f>
        <v>0.72824005107469703</v>
      </c>
      <c r="AG382">
        <f>VLOOKUP($J382,'[1]Table S6'!$A:$AI,24,FALSE)</f>
        <v>3.238</v>
      </c>
      <c r="AH382" t="str">
        <f>VLOOKUP($J382,'[1]Table S6'!$A:$AI,25,FALSE)</f>
        <v>No</v>
      </c>
      <c r="AJ382">
        <f>VLOOKUP($J382,'[1]Table S6'!$A:$AI,27,FALSE)</f>
        <v>421.4</v>
      </c>
      <c r="AK382">
        <f>VLOOKUP($J382,'[1]Table S6'!$A:$AI,28,FALSE)</f>
        <v>0.89678655032985699</v>
      </c>
      <c r="AL382">
        <f>VLOOKUP($J382,'[1]Table S6'!$A:$AI,29,FALSE)</f>
        <v>87.27</v>
      </c>
      <c r="AM382" t="str">
        <f>VLOOKUP($J382,'[1]Table S6'!$A:$AI,30,FALSE)</f>
        <v>No</v>
      </c>
      <c r="AO382">
        <f>VLOOKUP($J382,'[1]Table S6'!$A:$AI,32,FALSE)</f>
        <v>430.2</v>
      </c>
      <c r="AP382">
        <f>VLOOKUP($J382,'[1]Table S6'!$A:$AI,33,FALSE)</f>
        <v>0.915513939135986</v>
      </c>
      <c r="AQ382">
        <f>VLOOKUP($J382,'[1]Table S6'!$A:$AI,34,FALSE)</f>
        <v>185.8</v>
      </c>
      <c r="AR382" t="str">
        <f>VLOOKUP($J382,'[1]Table S6'!$A:$AI,35,FALSE)</f>
        <v>No</v>
      </c>
      <c r="AT382" t="str">
        <f>VLOOKUP($I382,'[2]Table S5'!$A:$K,8,FALSE)</f>
        <v>Resistant</v>
      </c>
      <c r="AU382" t="str">
        <f>VLOOKUP($I382,'[2]Table S5'!$A:$K,9,FALSE)</f>
        <v>Resistant</v>
      </c>
      <c r="AV382" t="str">
        <f>VLOOKUP($I382,'[2]Table S5'!$A:$K,10,FALSE)</f>
        <v>Resistant</v>
      </c>
      <c r="AW382" t="str">
        <f>VLOOKUP($I382,'[2]Table S5'!$A:$K,11,FALSE)</f>
        <v>Resistant</v>
      </c>
    </row>
    <row r="383" spans="1:49">
      <c r="A383" s="12" t="s">
        <v>2812</v>
      </c>
      <c r="B383" t="s">
        <v>2813</v>
      </c>
      <c r="C383" t="s">
        <v>2814</v>
      </c>
      <c r="D383" t="s">
        <v>17</v>
      </c>
      <c r="E383" t="s">
        <v>255</v>
      </c>
      <c r="F383" s="12" t="s">
        <v>256</v>
      </c>
      <c r="G383" t="s">
        <v>257</v>
      </c>
      <c r="H383" t="s">
        <v>258</v>
      </c>
      <c r="I383" t="s">
        <v>243</v>
      </c>
      <c r="J383" t="s">
        <v>259</v>
      </c>
      <c r="K383">
        <f>VLOOKUP($J383,'[1]Table S6'!$A:$AI,2,FALSE)</f>
        <v>310.89999999999998</v>
      </c>
      <c r="L383">
        <f>VLOOKUP($J383,'[1]Table S6'!$A:$AI,3,FALSE)</f>
        <v>0.66163013407107896</v>
      </c>
      <c r="M383">
        <f>VLOOKUP($J383,'[1]Table S6'!$A:$AI,4,FALSE)</f>
        <v>1.7030000000000001</v>
      </c>
      <c r="N383" t="str">
        <f>VLOOKUP($J383,'[1]Table S6'!$A:$AI,5,FALSE)</f>
        <v>Yes</v>
      </c>
      <c r="P383">
        <f>VLOOKUP($J383,'[1]Table S6'!$A:$AI,7,FALSE)</f>
        <v>357.6</v>
      </c>
      <c r="Q383">
        <f>VLOOKUP($J383,'[1]Table S6'!$A:$AI,8,FALSE)</f>
        <v>0.76101298148542296</v>
      </c>
      <c r="R383">
        <f>VLOOKUP($J383,'[1]Table S6'!$A:$AI,9,FALSE)</f>
        <v>9.4429999999999996</v>
      </c>
      <c r="S383" t="str">
        <f>VLOOKUP($J383,'[1]Table S6'!$A:$AI,10,FALSE)</f>
        <v>No</v>
      </c>
      <c r="U383">
        <f>VLOOKUP($J383,'[1]Table S6'!$A:$AI,12,FALSE)</f>
        <v>373.1</v>
      </c>
      <c r="V383">
        <f>VLOOKUP($J383,'[1]Table S6'!$A:$AI,13,FALSE)</f>
        <v>0.79399872313258102</v>
      </c>
      <c r="W383">
        <f>VLOOKUP($J383,'[1]Table S6'!$A:$AI,14,FALSE)</f>
        <v>21.11</v>
      </c>
      <c r="X383" t="str">
        <f>VLOOKUP($J383,'[1]Table S6'!$A:$AI,15,FALSE)</f>
        <v>No</v>
      </c>
      <c r="Z383">
        <f>VLOOKUP($J383,'[1]Table S6'!$A:$AI,17,FALSE)</f>
        <v>382.3</v>
      </c>
      <c r="AA383">
        <f>VLOOKUP($J383,'[1]Table S6'!$A:$AI,18,FALSE)</f>
        <v>0.81357735688444399</v>
      </c>
      <c r="AB383">
        <f>VLOOKUP($J383,'[1]Table S6'!$A:$AI,19,FALSE)</f>
        <v>8.3140000000000001</v>
      </c>
      <c r="AC383" t="str">
        <f>VLOOKUP($J383,'[1]Table S6'!$A:$AI,20,FALSE)</f>
        <v>No</v>
      </c>
      <c r="AE383">
        <f>VLOOKUP($J383,'[1]Table S6'!$A:$AI,22,FALSE)</f>
        <v>289.60000000000002</v>
      </c>
      <c r="AF383">
        <f>VLOOKUP($J383,'[1]Table S6'!$A:$AI,23,FALSE)</f>
        <v>0.61630134071079001</v>
      </c>
      <c r="AG383">
        <f>VLOOKUP($J383,'[1]Table S6'!$A:$AI,24,FALSE)</f>
        <v>0.98580000000000001</v>
      </c>
      <c r="AH383" t="str">
        <f>VLOOKUP($J383,'[1]Table S6'!$A:$AI,25,FALSE)</f>
        <v>Yes</v>
      </c>
      <c r="AJ383">
        <f>VLOOKUP($J383,'[1]Table S6'!$A:$AI,27,FALSE)</f>
        <v>406.9</v>
      </c>
      <c r="AK383">
        <f>VLOOKUP($J383,'[1]Table S6'!$A:$AI,28,FALSE)</f>
        <v>0.86592892104703101</v>
      </c>
      <c r="AL383">
        <f>VLOOKUP($J383,'[1]Table S6'!$A:$AI,29,FALSE)</f>
        <v>125.1</v>
      </c>
      <c r="AM383" t="str">
        <f>VLOOKUP($J383,'[1]Table S6'!$A:$AI,30,FALSE)</f>
        <v>No</v>
      </c>
      <c r="AO383">
        <f>VLOOKUP($J383,'[1]Table S6'!$A:$AI,32,FALSE)</f>
        <v>414.8</v>
      </c>
      <c r="AP383">
        <f>VLOOKUP($J383,'[1]Table S6'!$A:$AI,33,FALSE)</f>
        <v>0.88274100872526096</v>
      </c>
      <c r="AQ383">
        <f>VLOOKUP($J383,'[1]Table S6'!$A:$AI,34,FALSE)</f>
        <v>124.2</v>
      </c>
      <c r="AR383" t="str">
        <f>VLOOKUP($J383,'[1]Table S6'!$A:$AI,35,FALSE)</f>
        <v>No</v>
      </c>
      <c r="AT383" t="str">
        <f>VLOOKUP($I383,'[2]Table S5'!$A:$K,8,FALSE)</f>
        <v>Resistant</v>
      </c>
      <c r="AU383" t="str">
        <f>VLOOKUP($I383,'[2]Table S5'!$A:$K,9,FALSE)</f>
        <v>Resistant</v>
      </c>
      <c r="AV383" t="str">
        <f>VLOOKUP($I383,'[2]Table S5'!$A:$K,10,FALSE)</f>
        <v>Resistant</v>
      </c>
      <c r="AW383" t="str">
        <f>VLOOKUP($I383,'[2]Table S5'!$A:$K,11,FALSE)</f>
        <v>Resistant</v>
      </c>
    </row>
    <row r="384" spans="1:49">
      <c r="A384" s="12" t="s">
        <v>2815</v>
      </c>
      <c r="B384" t="s">
        <v>2816</v>
      </c>
      <c r="C384" t="s">
        <v>2817</v>
      </c>
      <c r="D384" t="s">
        <v>17</v>
      </c>
      <c r="E384" t="s">
        <v>263</v>
      </c>
      <c r="F384" s="12" t="s">
        <v>264</v>
      </c>
      <c r="G384" t="s">
        <v>265</v>
      </c>
      <c r="H384" t="s">
        <v>266</v>
      </c>
      <c r="I384" t="s">
        <v>243</v>
      </c>
      <c r="J384" t="s">
        <v>267</v>
      </c>
      <c r="K384">
        <f>VLOOKUP($J384,'[1]Table S6'!$A:$AI,2,FALSE)</f>
        <v>290</v>
      </c>
      <c r="L384">
        <f>VLOOKUP($J384,'[1]Table S6'!$A:$AI,3,FALSE)</f>
        <v>0.61715258565652298</v>
      </c>
      <c r="M384">
        <f>VLOOKUP($J384,'[1]Table S6'!$A:$AI,4,FALSE)</f>
        <v>0.94599999999999995</v>
      </c>
      <c r="N384" t="str">
        <f>VLOOKUP($J384,'[1]Table S6'!$A:$AI,5,FALSE)</f>
        <v>Yes</v>
      </c>
      <c r="P384">
        <f>VLOOKUP($J384,'[1]Table S6'!$A:$AI,7,FALSE)</f>
        <v>371.8</v>
      </c>
      <c r="Q384">
        <f>VLOOKUP($J384,'[1]Table S6'!$A:$AI,8,FALSE)</f>
        <v>0.79123217705894899</v>
      </c>
      <c r="R384">
        <f>VLOOKUP($J384,'[1]Table S6'!$A:$AI,9,FALSE)</f>
        <v>12.49</v>
      </c>
      <c r="S384" t="str">
        <f>VLOOKUP($J384,'[1]Table S6'!$A:$AI,10,FALSE)</f>
        <v>No</v>
      </c>
      <c r="U384">
        <f>VLOOKUP($J384,'[1]Table S6'!$A:$AI,12,FALSE)</f>
        <v>377</v>
      </c>
      <c r="V384">
        <f>VLOOKUP($J384,'[1]Table S6'!$A:$AI,13,FALSE)</f>
        <v>0.80229836135347998</v>
      </c>
      <c r="W384">
        <f>VLOOKUP($J384,'[1]Table S6'!$A:$AI,14,FALSE)</f>
        <v>14.69</v>
      </c>
      <c r="X384" t="str">
        <f>VLOOKUP($J384,'[1]Table S6'!$A:$AI,15,FALSE)</f>
        <v>No</v>
      </c>
      <c r="Z384">
        <f>VLOOKUP($J384,'[1]Table S6'!$A:$AI,17,FALSE)</f>
        <v>330</v>
      </c>
      <c r="AA384">
        <f>VLOOKUP($J384,'[1]Table S6'!$A:$AI,18,FALSE)</f>
        <v>0.70227708022983604</v>
      </c>
      <c r="AB384">
        <f>VLOOKUP($J384,'[1]Table S6'!$A:$AI,19,FALSE)</f>
        <v>3.0840000000000001</v>
      </c>
      <c r="AC384" t="str">
        <f>VLOOKUP($J384,'[1]Table S6'!$A:$AI,20,FALSE)</f>
        <v>No</v>
      </c>
      <c r="AE384">
        <f>VLOOKUP($J384,'[1]Table S6'!$A:$AI,22,FALSE)</f>
        <v>359.9</v>
      </c>
      <c r="AF384">
        <f>VLOOKUP($J384,'[1]Table S6'!$A:$AI,23,FALSE)</f>
        <v>0.76590763992338795</v>
      </c>
      <c r="AG384">
        <f>VLOOKUP($J384,'[1]Table S6'!$A:$AI,24,FALSE)</f>
        <v>11.02</v>
      </c>
      <c r="AH384" t="str">
        <f>VLOOKUP($J384,'[1]Table S6'!$A:$AI,25,FALSE)</f>
        <v>No</v>
      </c>
      <c r="AJ384">
        <f>VLOOKUP($J384,'[1]Table S6'!$A:$AI,27,FALSE)</f>
        <v>408.2</v>
      </c>
      <c r="AK384">
        <f>VLOOKUP($J384,'[1]Table S6'!$A:$AI,28,FALSE)</f>
        <v>0.86869546712066403</v>
      </c>
      <c r="AL384">
        <f>VLOOKUP($J384,'[1]Table S6'!$A:$AI,29,FALSE)</f>
        <v>94.53</v>
      </c>
      <c r="AM384" t="str">
        <f>VLOOKUP($J384,'[1]Table S6'!$A:$AI,30,FALSE)</f>
        <v>No</v>
      </c>
      <c r="AO384">
        <f>VLOOKUP($J384,'[1]Table S6'!$A:$AI,32,FALSE)</f>
        <v>424.8</v>
      </c>
      <c r="AP384">
        <f>VLOOKUP($J384,'[1]Table S6'!$A:$AI,33,FALSE)</f>
        <v>0.90402213236858897</v>
      </c>
      <c r="AQ384">
        <f>VLOOKUP($J384,'[1]Table S6'!$A:$AI,34,FALSE)</f>
        <v>81.650000000000006</v>
      </c>
      <c r="AR384" t="str">
        <f>VLOOKUP($J384,'[1]Table S6'!$A:$AI,35,FALSE)</f>
        <v>No</v>
      </c>
      <c r="AT384" t="str">
        <f>VLOOKUP($I384,'[2]Table S5'!$A:$K,8,FALSE)</f>
        <v>Resistant</v>
      </c>
      <c r="AU384" t="str">
        <f>VLOOKUP($I384,'[2]Table S5'!$A:$K,9,FALSE)</f>
        <v>Resistant</v>
      </c>
      <c r="AV384" t="str">
        <f>VLOOKUP($I384,'[2]Table S5'!$A:$K,10,FALSE)</f>
        <v>Resistant</v>
      </c>
      <c r="AW384" t="str">
        <f>VLOOKUP($I384,'[2]Table S5'!$A:$K,11,FALSE)</f>
        <v>Resistant</v>
      </c>
    </row>
    <row r="385" spans="1:49">
      <c r="A385" s="12" t="s">
        <v>2818</v>
      </c>
      <c r="B385" t="s">
        <v>2819</v>
      </c>
      <c r="C385" t="s">
        <v>2820</v>
      </c>
      <c r="D385" t="s">
        <v>17</v>
      </c>
      <c r="E385" t="s">
        <v>271</v>
      </c>
      <c r="F385" s="12" t="s">
        <v>272</v>
      </c>
      <c r="G385" t="s">
        <v>273</v>
      </c>
      <c r="H385" t="s">
        <v>274</v>
      </c>
      <c r="I385" t="s">
        <v>243</v>
      </c>
      <c r="J385" t="s">
        <v>251</v>
      </c>
      <c r="K385">
        <f>VLOOKUP($J385,'[1]Table S6'!$A:$AI,2,FALSE)</f>
        <v>347.8</v>
      </c>
      <c r="L385">
        <f>VLOOKUP($J385,'[1]Table S6'!$A:$AI,3,FALSE)</f>
        <v>0.74015748031496098</v>
      </c>
      <c r="M385">
        <f>VLOOKUP($J385,'[1]Table S6'!$A:$AI,4,FALSE)</f>
        <v>4.72</v>
      </c>
      <c r="N385" t="str">
        <f>VLOOKUP($J385,'[1]Table S6'!$A:$AI,5,FALSE)</f>
        <v>No</v>
      </c>
      <c r="P385">
        <f>VLOOKUP($J385,'[1]Table S6'!$A:$AI,7,FALSE)</f>
        <v>350.7</v>
      </c>
      <c r="Q385">
        <f>VLOOKUP($J385,'[1]Table S6'!$A:$AI,8,FALSE)</f>
        <v>0.74632900617152598</v>
      </c>
      <c r="R385">
        <f>VLOOKUP($J385,'[1]Table S6'!$A:$AI,9,FALSE)</f>
        <v>5.9020000000000001</v>
      </c>
      <c r="S385" t="str">
        <f>VLOOKUP($J385,'[1]Table S6'!$A:$AI,10,FALSE)</f>
        <v>No</v>
      </c>
      <c r="U385">
        <f>VLOOKUP($J385,'[1]Table S6'!$A:$AI,12,FALSE)</f>
        <v>351.5</v>
      </c>
      <c r="V385">
        <f>VLOOKUP($J385,'[1]Table S6'!$A:$AI,13,FALSE)</f>
        <v>0.74803149606299202</v>
      </c>
      <c r="W385">
        <f>VLOOKUP($J385,'[1]Table S6'!$A:$AI,14,FALSE)</f>
        <v>3.9359999999999999</v>
      </c>
      <c r="X385" t="str">
        <f>VLOOKUP($J385,'[1]Table S6'!$A:$AI,15,FALSE)</f>
        <v>No</v>
      </c>
      <c r="Z385">
        <f>VLOOKUP($J385,'[1]Table S6'!$A:$AI,17,FALSE)</f>
        <v>325.10000000000002</v>
      </c>
      <c r="AA385">
        <f>VLOOKUP($J385,'[1]Table S6'!$A:$AI,18,FALSE)</f>
        <v>0.69184932964460499</v>
      </c>
      <c r="AB385">
        <f>VLOOKUP($J385,'[1]Table S6'!$A:$AI,19,FALSE)</f>
        <v>2.4540000000000002</v>
      </c>
      <c r="AC385" t="str">
        <f>VLOOKUP($J385,'[1]Table S6'!$A:$AI,20,FALSE)</f>
        <v>Yes</v>
      </c>
      <c r="AE385">
        <f>VLOOKUP($J385,'[1]Table S6'!$A:$AI,22,FALSE)</f>
        <v>342.2</v>
      </c>
      <c r="AF385">
        <f>VLOOKUP($J385,'[1]Table S6'!$A:$AI,23,FALSE)</f>
        <v>0.72824005107469703</v>
      </c>
      <c r="AG385">
        <f>VLOOKUP($J385,'[1]Table S6'!$A:$AI,24,FALSE)</f>
        <v>3.238</v>
      </c>
      <c r="AH385" t="str">
        <f>VLOOKUP($J385,'[1]Table S6'!$A:$AI,25,FALSE)</f>
        <v>No</v>
      </c>
      <c r="AJ385">
        <f>VLOOKUP($J385,'[1]Table S6'!$A:$AI,27,FALSE)</f>
        <v>421.4</v>
      </c>
      <c r="AK385">
        <f>VLOOKUP($J385,'[1]Table S6'!$A:$AI,28,FALSE)</f>
        <v>0.89678655032985699</v>
      </c>
      <c r="AL385">
        <f>VLOOKUP($J385,'[1]Table S6'!$A:$AI,29,FALSE)</f>
        <v>87.27</v>
      </c>
      <c r="AM385" t="str">
        <f>VLOOKUP($J385,'[1]Table S6'!$A:$AI,30,FALSE)</f>
        <v>No</v>
      </c>
      <c r="AO385">
        <f>VLOOKUP($J385,'[1]Table S6'!$A:$AI,32,FALSE)</f>
        <v>430.2</v>
      </c>
      <c r="AP385">
        <f>VLOOKUP($J385,'[1]Table S6'!$A:$AI,33,FALSE)</f>
        <v>0.915513939135986</v>
      </c>
      <c r="AQ385">
        <f>VLOOKUP($J385,'[1]Table S6'!$A:$AI,34,FALSE)</f>
        <v>185.8</v>
      </c>
      <c r="AR385" t="str">
        <f>VLOOKUP($J385,'[1]Table S6'!$A:$AI,35,FALSE)</f>
        <v>No</v>
      </c>
      <c r="AT385" t="str">
        <f>VLOOKUP($I385,'[2]Table S5'!$A:$K,8,FALSE)</f>
        <v>Resistant</v>
      </c>
      <c r="AU385" t="str">
        <f>VLOOKUP($I385,'[2]Table S5'!$A:$K,9,FALSE)</f>
        <v>Resistant</v>
      </c>
      <c r="AV385" t="str">
        <f>VLOOKUP($I385,'[2]Table S5'!$A:$K,10,FALSE)</f>
        <v>Resistant</v>
      </c>
      <c r="AW385" t="str">
        <f>VLOOKUP($I385,'[2]Table S5'!$A:$K,11,FALSE)</f>
        <v>Resistant</v>
      </c>
    </row>
    <row r="386" spans="1:49">
      <c r="A386" s="12" t="s">
        <v>2821</v>
      </c>
      <c r="B386" t="s">
        <v>2822</v>
      </c>
      <c r="C386" t="s">
        <v>2823</v>
      </c>
      <c r="D386" t="s">
        <v>17</v>
      </c>
      <c r="E386" t="s">
        <v>278</v>
      </c>
      <c r="F386" s="12" t="s">
        <v>279</v>
      </c>
      <c r="G386" t="s">
        <v>280</v>
      </c>
      <c r="H386" t="s">
        <v>281</v>
      </c>
      <c r="I386" t="s">
        <v>243</v>
      </c>
      <c r="J386" t="s">
        <v>259</v>
      </c>
      <c r="K386">
        <f>VLOOKUP($J386,'[1]Table S6'!$A:$AI,2,FALSE)</f>
        <v>310.89999999999998</v>
      </c>
      <c r="L386">
        <f>VLOOKUP($J386,'[1]Table S6'!$A:$AI,3,FALSE)</f>
        <v>0.66163013407107896</v>
      </c>
      <c r="M386">
        <f>VLOOKUP($J386,'[1]Table S6'!$A:$AI,4,FALSE)</f>
        <v>1.7030000000000001</v>
      </c>
      <c r="N386" t="str">
        <f>VLOOKUP($J386,'[1]Table S6'!$A:$AI,5,FALSE)</f>
        <v>Yes</v>
      </c>
      <c r="P386">
        <f>VLOOKUP($J386,'[1]Table S6'!$A:$AI,7,FALSE)</f>
        <v>357.6</v>
      </c>
      <c r="Q386">
        <f>VLOOKUP($J386,'[1]Table S6'!$A:$AI,8,FALSE)</f>
        <v>0.76101298148542296</v>
      </c>
      <c r="R386">
        <f>VLOOKUP($J386,'[1]Table S6'!$A:$AI,9,FALSE)</f>
        <v>9.4429999999999996</v>
      </c>
      <c r="S386" t="str">
        <f>VLOOKUP($J386,'[1]Table S6'!$A:$AI,10,FALSE)</f>
        <v>No</v>
      </c>
      <c r="U386">
        <f>VLOOKUP($J386,'[1]Table S6'!$A:$AI,12,FALSE)</f>
        <v>373.1</v>
      </c>
      <c r="V386">
        <f>VLOOKUP($J386,'[1]Table S6'!$A:$AI,13,FALSE)</f>
        <v>0.79399872313258102</v>
      </c>
      <c r="W386">
        <f>VLOOKUP($J386,'[1]Table S6'!$A:$AI,14,FALSE)</f>
        <v>21.11</v>
      </c>
      <c r="X386" t="str">
        <f>VLOOKUP($J386,'[1]Table S6'!$A:$AI,15,FALSE)</f>
        <v>No</v>
      </c>
      <c r="Z386">
        <f>VLOOKUP($J386,'[1]Table S6'!$A:$AI,17,FALSE)</f>
        <v>382.3</v>
      </c>
      <c r="AA386">
        <f>VLOOKUP($J386,'[1]Table S6'!$A:$AI,18,FALSE)</f>
        <v>0.81357735688444399</v>
      </c>
      <c r="AB386">
        <f>VLOOKUP($J386,'[1]Table S6'!$A:$AI,19,FALSE)</f>
        <v>8.3140000000000001</v>
      </c>
      <c r="AC386" t="str">
        <f>VLOOKUP($J386,'[1]Table S6'!$A:$AI,20,FALSE)</f>
        <v>No</v>
      </c>
      <c r="AE386">
        <f>VLOOKUP($J386,'[1]Table S6'!$A:$AI,22,FALSE)</f>
        <v>289.60000000000002</v>
      </c>
      <c r="AF386">
        <f>VLOOKUP($J386,'[1]Table S6'!$A:$AI,23,FALSE)</f>
        <v>0.61630134071079001</v>
      </c>
      <c r="AG386">
        <f>VLOOKUP($J386,'[1]Table S6'!$A:$AI,24,FALSE)</f>
        <v>0.98580000000000001</v>
      </c>
      <c r="AH386" t="str">
        <f>VLOOKUP($J386,'[1]Table S6'!$A:$AI,25,FALSE)</f>
        <v>Yes</v>
      </c>
      <c r="AJ386">
        <f>VLOOKUP($J386,'[1]Table S6'!$A:$AI,27,FALSE)</f>
        <v>406.9</v>
      </c>
      <c r="AK386">
        <f>VLOOKUP($J386,'[1]Table S6'!$A:$AI,28,FALSE)</f>
        <v>0.86592892104703101</v>
      </c>
      <c r="AL386">
        <f>VLOOKUP($J386,'[1]Table S6'!$A:$AI,29,FALSE)</f>
        <v>125.1</v>
      </c>
      <c r="AM386" t="str">
        <f>VLOOKUP($J386,'[1]Table S6'!$A:$AI,30,FALSE)</f>
        <v>No</v>
      </c>
      <c r="AO386">
        <f>VLOOKUP($J386,'[1]Table S6'!$A:$AI,32,FALSE)</f>
        <v>414.8</v>
      </c>
      <c r="AP386">
        <f>VLOOKUP($J386,'[1]Table S6'!$A:$AI,33,FALSE)</f>
        <v>0.88274100872526096</v>
      </c>
      <c r="AQ386">
        <f>VLOOKUP($J386,'[1]Table S6'!$A:$AI,34,FALSE)</f>
        <v>124.2</v>
      </c>
      <c r="AR386" t="str">
        <f>VLOOKUP($J386,'[1]Table S6'!$A:$AI,35,FALSE)</f>
        <v>No</v>
      </c>
      <c r="AT386" t="str">
        <f>VLOOKUP($I386,'[2]Table S5'!$A:$K,8,FALSE)</f>
        <v>Resistant</v>
      </c>
      <c r="AU386" t="str">
        <f>VLOOKUP($I386,'[2]Table S5'!$A:$K,9,FALSE)</f>
        <v>Resistant</v>
      </c>
      <c r="AV386" t="str">
        <f>VLOOKUP($I386,'[2]Table S5'!$A:$K,10,FALSE)</f>
        <v>Resistant</v>
      </c>
      <c r="AW386" t="str">
        <f>VLOOKUP($I386,'[2]Table S5'!$A:$K,11,FALSE)</f>
        <v>Resistant</v>
      </c>
    </row>
    <row r="387" spans="1:49">
      <c r="A387" s="12" t="s">
        <v>2824</v>
      </c>
      <c r="B387" t="s">
        <v>2825</v>
      </c>
      <c r="C387" t="s">
        <v>2826</v>
      </c>
      <c r="D387" t="s">
        <v>17</v>
      </c>
      <c r="E387" t="s">
        <v>285</v>
      </c>
      <c r="F387" s="12" t="s">
        <v>286</v>
      </c>
      <c r="G387" t="s">
        <v>287</v>
      </c>
      <c r="H387" t="s">
        <v>288</v>
      </c>
      <c r="I387" t="s">
        <v>243</v>
      </c>
      <c r="J387" t="s">
        <v>267</v>
      </c>
      <c r="K387">
        <f>VLOOKUP($J387,'[1]Table S6'!$A:$AI,2,FALSE)</f>
        <v>290</v>
      </c>
      <c r="L387">
        <f>VLOOKUP($J387,'[1]Table S6'!$A:$AI,3,FALSE)</f>
        <v>0.61715258565652298</v>
      </c>
      <c r="M387">
        <f>VLOOKUP($J387,'[1]Table S6'!$A:$AI,4,FALSE)</f>
        <v>0.94599999999999995</v>
      </c>
      <c r="N387" t="str">
        <f>VLOOKUP($J387,'[1]Table S6'!$A:$AI,5,FALSE)</f>
        <v>Yes</v>
      </c>
      <c r="P387">
        <f>VLOOKUP($J387,'[1]Table S6'!$A:$AI,7,FALSE)</f>
        <v>371.8</v>
      </c>
      <c r="Q387">
        <f>VLOOKUP($J387,'[1]Table S6'!$A:$AI,8,FALSE)</f>
        <v>0.79123217705894899</v>
      </c>
      <c r="R387">
        <f>VLOOKUP($J387,'[1]Table S6'!$A:$AI,9,FALSE)</f>
        <v>12.49</v>
      </c>
      <c r="S387" t="str">
        <f>VLOOKUP($J387,'[1]Table S6'!$A:$AI,10,FALSE)</f>
        <v>No</v>
      </c>
      <c r="U387">
        <f>VLOOKUP($J387,'[1]Table S6'!$A:$AI,12,FALSE)</f>
        <v>377</v>
      </c>
      <c r="V387">
        <f>VLOOKUP($J387,'[1]Table S6'!$A:$AI,13,FALSE)</f>
        <v>0.80229836135347998</v>
      </c>
      <c r="W387">
        <f>VLOOKUP($J387,'[1]Table S6'!$A:$AI,14,FALSE)</f>
        <v>14.69</v>
      </c>
      <c r="X387" t="str">
        <f>VLOOKUP($J387,'[1]Table S6'!$A:$AI,15,FALSE)</f>
        <v>No</v>
      </c>
      <c r="Z387">
        <f>VLOOKUP($J387,'[1]Table S6'!$A:$AI,17,FALSE)</f>
        <v>330</v>
      </c>
      <c r="AA387">
        <f>VLOOKUP($J387,'[1]Table S6'!$A:$AI,18,FALSE)</f>
        <v>0.70227708022983604</v>
      </c>
      <c r="AB387">
        <f>VLOOKUP($J387,'[1]Table S6'!$A:$AI,19,FALSE)</f>
        <v>3.0840000000000001</v>
      </c>
      <c r="AC387" t="str">
        <f>VLOOKUP($J387,'[1]Table S6'!$A:$AI,20,FALSE)</f>
        <v>No</v>
      </c>
      <c r="AE387">
        <f>VLOOKUP($J387,'[1]Table S6'!$A:$AI,22,FALSE)</f>
        <v>359.9</v>
      </c>
      <c r="AF387">
        <f>VLOOKUP($J387,'[1]Table S6'!$A:$AI,23,FALSE)</f>
        <v>0.76590763992338795</v>
      </c>
      <c r="AG387">
        <f>VLOOKUP($J387,'[1]Table S6'!$A:$AI,24,FALSE)</f>
        <v>11.02</v>
      </c>
      <c r="AH387" t="str">
        <f>VLOOKUP($J387,'[1]Table S6'!$A:$AI,25,FALSE)</f>
        <v>No</v>
      </c>
      <c r="AJ387">
        <f>VLOOKUP($J387,'[1]Table S6'!$A:$AI,27,FALSE)</f>
        <v>408.2</v>
      </c>
      <c r="AK387">
        <f>VLOOKUP($J387,'[1]Table S6'!$A:$AI,28,FALSE)</f>
        <v>0.86869546712066403</v>
      </c>
      <c r="AL387">
        <f>VLOOKUP($J387,'[1]Table S6'!$A:$AI,29,FALSE)</f>
        <v>94.53</v>
      </c>
      <c r="AM387" t="str">
        <f>VLOOKUP($J387,'[1]Table S6'!$A:$AI,30,FALSE)</f>
        <v>No</v>
      </c>
      <c r="AO387">
        <f>VLOOKUP($J387,'[1]Table S6'!$A:$AI,32,FALSE)</f>
        <v>424.8</v>
      </c>
      <c r="AP387">
        <f>VLOOKUP($J387,'[1]Table S6'!$A:$AI,33,FALSE)</f>
        <v>0.90402213236858897</v>
      </c>
      <c r="AQ387">
        <f>VLOOKUP($J387,'[1]Table S6'!$A:$AI,34,FALSE)</f>
        <v>81.650000000000006</v>
      </c>
      <c r="AR387" t="str">
        <f>VLOOKUP($J387,'[1]Table S6'!$A:$AI,35,FALSE)</f>
        <v>No</v>
      </c>
      <c r="AT387" t="str">
        <f>VLOOKUP($I387,'[2]Table S5'!$A:$K,8,FALSE)</f>
        <v>Resistant</v>
      </c>
      <c r="AU387" t="str">
        <f>VLOOKUP($I387,'[2]Table S5'!$A:$K,9,FALSE)</f>
        <v>Resistant</v>
      </c>
      <c r="AV387" t="str">
        <f>VLOOKUP($I387,'[2]Table S5'!$A:$K,10,FALSE)</f>
        <v>Resistant</v>
      </c>
      <c r="AW387" t="str">
        <f>VLOOKUP($I387,'[2]Table S5'!$A:$K,11,FALSE)</f>
        <v>Resistant</v>
      </c>
    </row>
    <row r="388" spans="1:49">
      <c r="A388" s="12" t="s">
        <v>2827</v>
      </c>
      <c r="B388" t="s">
        <v>2828</v>
      </c>
      <c r="C388" t="s">
        <v>2829</v>
      </c>
      <c r="D388" t="s">
        <v>17</v>
      </c>
      <c r="E388" t="s">
        <v>300</v>
      </c>
      <c r="F388" s="12" t="s">
        <v>301</v>
      </c>
      <c r="G388" t="s">
        <v>302</v>
      </c>
      <c r="H388" t="s">
        <v>303</v>
      </c>
      <c r="I388" t="s">
        <v>296</v>
      </c>
      <c r="J388" t="s">
        <v>304</v>
      </c>
      <c r="K388">
        <f>VLOOKUP($J388,'[1]Table S6'!$A:$AI,2,FALSE)</f>
        <v>389.1</v>
      </c>
      <c r="L388">
        <f>VLOOKUP($J388,'[1]Table S6'!$A:$AI,3,FALSE)</f>
        <v>0.82804852096190695</v>
      </c>
      <c r="M388">
        <f>VLOOKUP($J388,'[1]Table S6'!$A:$AI,4,FALSE)</f>
        <v>10.69</v>
      </c>
      <c r="N388" t="str">
        <f>VLOOKUP($J388,'[1]Table S6'!$A:$AI,5,FALSE)</f>
        <v>No</v>
      </c>
      <c r="P388">
        <f>VLOOKUP($J388,'[1]Table S6'!$A:$AI,7,FALSE)</f>
        <v>403.3</v>
      </c>
      <c r="Q388">
        <f>VLOOKUP($J388,'[1]Table S6'!$A:$AI,8,FALSE)</f>
        <v>0.85826771653543299</v>
      </c>
      <c r="R388">
        <f>VLOOKUP($J388,'[1]Table S6'!$A:$AI,9,FALSE)</f>
        <v>18.760000000000002</v>
      </c>
      <c r="S388" t="str">
        <f>VLOOKUP($J388,'[1]Table S6'!$A:$AI,10,FALSE)</f>
        <v>No</v>
      </c>
      <c r="U388">
        <f>VLOOKUP($J388,'[1]Table S6'!$A:$AI,12,FALSE)</f>
        <v>377.4</v>
      </c>
      <c r="V388">
        <f>VLOOKUP($J388,'[1]Table S6'!$A:$AI,13,FALSE)</f>
        <v>0.80314960629921295</v>
      </c>
      <c r="W388">
        <f>VLOOKUP($J388,'[1]Table S6'!$A:$AI,14,FALSE)</f>
        <v>8.6059999999999999</v>
      </c>
      <c r="X388" t="str">
        <f>VLOOKUP($J388,'[1]Table S6'!$A:$AI,15,FALSE)</f>
        <v>No</v>
      </c>
      <c r="Z388">
        <f>VLOOKUP($J388,'[1]Table S6'!$A:$AI,17,FALSE)</f>
        <v>405.4</v>
      </c>
      <c r="AA388">
        <f>VLOOKUP($J388,'[1]Table S6'!$A:$AI,18,FALSE)</f>
        <v>0.86273675250053194</v>
      </c>
      <c r="AB388">
        <f>VLOOKUP($J388,'[1]Table S6'!$A:$AI,19,FALSE)</f>
        <v>19.36</v>
      </c>
      <c r="AC388" t="str">
        <f>VLOOKUP($J388,'[1]Table S6'!$A:$AI,20,FALSE)</f>
        <v>No</v>
      </c>
      <c r="AE388">
        <f>VLOOKUP($J388,'[1]Table S6'!$A:$AI,22,FALSE)</f>
        <v>352.9</v>
      </c>
      <c r="AF388">
        <f>VLOOKUP($J388,'[1]Table S6'!$A:$AI,23,FALSE)</f>
        <v>0.75101085337305795</v>
      </c>
      <c r="AG388">
        <f>VLOOKUP($J388,'[1]Table S6'!$A:$AI,24,FALSE)</f>
        <v>6.3230000000000004</v>
      </c>
      <c r="AH388" t="str">
        <f>VLOOKUP($J388,'[1]Table S6'!$A:$AI,25,FALSE)</f>
        <v>No</v>
      </c>
      <c r="AJ388">
        <f>VLOOKUP($J388,'[1]Table S6'!$A:$AI,27,FALSE)</f>
        <v>454.2</v>
      </c>
      <c r="AK388">
        <f>VLOOKUP($J388,'[1]Table S6'!$A:$AI,28,FALSE)</f>
        <v>0.96658863587997401</v>
      </c>
      <c r="AL388">
        <f>VLOOKUP($J388,'[1]Table S6'!$A:$AI,29,FALSE)</f>
        <v>201.6</v>
      </c>
      <c r="AM388" t="str">
        <f>VLOOKUP($J388,'[1]Table S6'!$A:$AI,30,FALSE)</f>
        <v>No</v>
      </c>
      <c r="AO388">
        <f>VLOOKUP($J388,'[1]Table S6'!$A:$AI,32,FALSE)</f>
        <v>426.5</v>
      </c>
      <c r="AP388">
        <f>VLOOKUP($J388,'[1]Table S6'!$A:$AI,33,FALSE)</f>
        <v>0.90763992338795496</v>
      </c>
      <c r="AQ388">
        <f>VLOOKUP($J388,'[1]Table S6'!$A:$AI,34,FALSE)</f>
        <v>139.19999999999999</v>
      </c>
      <c r="AR388" t="str">
        <f>VLOOKUP($J388,'[1]Table S6'!$A:$AI,35,FALSE)</f>
        <v>No</v>
      </c>
      <c r="AT388" t="str">
        <f>VLOOKUP($I388,'[2]Table S5'!$A:$K,8,FALSE)</f>
        <v>Resistant</v>
      </c>
      <c r="AU388" t="str">
        <f>VLOOKUP($I388,'[2]Table S5'!$A:$K,9,FALSE)</f>
        <v>Resistant</v>
      </c>
      <c r="AV388" t="str">
        <f>VLOOKUP($I388,'[2]Table S5'!$A:$K,10,FALSE)</f>
        <v>Resistant</v>
      </c>
      <c r="AW388" t="str">
        <f>VLOOKUP($I388,'[2]Table S5'!$A:$K,11,FALSE)</f>
        <v>Resistant</v>
      </c>
    </row>
    <row r="389" spans="1:49">
      <c r="A389" s="12" t="s">
        <v>2830</v>
      </c>
      <c r="B389" t="s">
        <v>2831</v>
      </c>
      <c r="C389" t="s">
        <v>2832</v>
      </c>
      <c r="D389" t="s">
        <v>17</v>
      </c>
      <c r="E389" t="s">
        <v>308</v>
      </c>
      <c r="F389" s="12" t="s">
        <v>309</v>
      </c>
      <c r="G389" t="s">
        <v>310</v>
      </c>
      <c r="H389" t="s">
        <v>311</v>
      </c>
      <c r="I389" t="s">
        <v>296</v>
      </c>
      <c r="J389" t="s">
        <v>312</v>
      </c>
      <c r="K389">
        <f>VLOOKUP($J389,'[1]Table S6'!$A:$AI,2,FALSE)</f>
        <v>315.39999999999998</v>
      </c>
      <c r="L389">
        <f>VLOOKUP($J389,'[1]Table S6'!$A:$AI,3,FALSE)</f>
        <v>0.67120663971057704</v>
      </c>
      <c r="M389">
        <f>VLOOKUP($J389,'[1]Table S6'!$A:$AI,4,FALSE)</f>
        <v>1.4530000000000001</v>
      </c>
      <c r="N389" t="str">
        <f>VLOOKUP($J389,'[1]Table S6'!$A:$AI,5,FALSE)</f>
        <v>Yes</v>
      </c>
      <c r="P389">
        <f>VLOOKUP($J389,'[1]Table S6'!$A:$AI,7,FALSE)</f>
        <v>392.4</v>
      </c>
      <c r="Q389">
        <f>VLOOKUP($J389,'[1]Table S6'!$A:$AI,8,FALSE)</f>
        <v>0.83507129176420503</v>
      </c>
      <c r="R389">
        <f>VLOOKUP($J389,'[1]Table S6'!$A:$AI,9,FALSE)</f>
        <v>20.87</v>
      </c>
      <c r="S389" t="str">
        <f>VLOOKUP($J389,'[1]Table S6'!$A:$AI,10,FALSE)</f>
        <v>No</v>
      </c>
      <c r="U389">
        <f>VLOOKUP($J389,'[1]Table S6'!$A:$AI,12,FALSE)</f>
        <v>359.5</v>
      </c>
      <c r="V389">
        <f>VLOOKUP($J389,'[1]Table S6'!$A:$AI,13,FALSE)</f>
        <v>0.76505639497765499</v>
      </c>
      <c r="W389">
        <f>VLOOKUP($J389,'[1]Table S6'!$A:$AI,14,FALSE)</f>
        <v>7.1710000000000003</v>
      </c>
      <c r="X389" t="str">
        <f>VLOOKUP($J389,'[1]Table S6'!$A:$AI,15,FALSE)</f>
        <v>No</v>
      </c>
      <c r="Z389">
        <f>VLOOKUP($J389,'[1]Table S6'!$A:$AI,17,FALSE)</f>
        <v>319.8</v>
      </c>
      <c r="AA389">
        <f>VLOOKUP($J389,'[1]Table S6'!$A:$AI,18,FALSE)</f>
        <v>0.68057033411364098</v>
      </c>
      <c r="AB389">
        <f>VLOOKUP($J389,'[1]Table S6'!$A:$AI,19,FALSE)</f>
        <v>1.99</v>
      </c>
      <c r="AC389" t="str">
        <f>VLOOKUP($J389,'[1]Table S6'!$A:$AI,20,FALSE)</f>
        <v>Yes</v>
      </c>
      <c r="AE389">
        <f>VLOOKUP($J389,'[1]Table S6'!$A:$AI,22,FALSE)</f>
        <v>382.5</v>
      </c>
      <c r="AF389">
        <f>VLOOKUP($J389,'[1]Table S6'!$A:$AI,23,FALSE)</f>
        <v>0.81400297935731003</v>
      </c>
      <c r="AG389">
        <f>VLOOKUP($J389,'[1]Table S6'!$A:$AI,24,FALSE)</f>
        <v>12.23</v>
      </c>
      <c r="AH389" t="str">
        <f>VLOOKUP($J389,'[1]Table S6'!$A:$AI,25,FALSE)</f>
        <v>No</v>
      </c>
      <c r="AJ389">
        <f>VLOOKUP($J389,'[1]Table S6'!$A:$AI,27,FALSE)</f>
        <v>433.8</v>
      </c>
      <c r="AK389">
        <f>VLOOKUP($J389,'[1]Table S6'!$A:$AI,28,FALSE)</f>
        <v>0.92317514364758502</v>
      </c>
      <c r="AL389">
        <f>VLOOKUP($J389,'[1]Table S6'!$A:$AI,29,FALSE)</f>
        <v>268.10000000000002</v>
      </c>
      <c r="AM389" t="str">
        <f>VLOOKUP($J389,'[1]Table S6'!$A:$AI,30,FALSE)</f>
        <v>No</v>
      </c>
      <c r="AO389">
        <f>VLOOKUP($J389,'[1]Table S6'!$A:$AI,32,FALSE)</f>
        <v>422.6</v>
      </c>
      <c r="AP389">
        <f>VLOOKUP($J389,'[1]Table S6'!$A:$AI,33,FALSE)</f>
        <v>0.899340285167057</v>
      </c>
      <c r="AQ389">
        <f>VLOOKUP($J389,'[1]Table S6'!$A:$AI,34,FALSE)</f>
        <v>92.23</v>
      </c>
      <c r="AR389" t="str">
        <f>VLOOKUP($J389,'[1]Table S6'!$A:$AI,35,FALSE)</f>
        <v>No</v>
      </c>
      <c r="AT389" t="str">
        <f>VLOOKUP($I389,'[2]Table S5'!$A:$K,8,FALSE)</f>
        <v>Resistant</v>
      </c>
      <c r="AU389" t="str">
        <f>VLOOKUP($I389,'[2]Table S5'!$A:$K,9,FALSE)</f>
        <v>Resistant</v>
      </c>
      <c r="AV389" t="str">
        <f>VLOOKUP($I389,'[2]Table S5'!$A:$K,10,FALSE)</f>
        <v>Resistant</v>
      </c>
      <c r="AW389" t="str">
        <f>VLOOKUP($I389,'[2]Table S5'!$A:$K,11,FALSE)</f>
        <v>Resistant</v>
      </c>
    </row>
    <row r="390" spans="1:49">
      <c r="A390" s="12" t="s">
        <v>2833</v>
      </c>
      <c r="B390" t="s">
        <v>2834</v>
      </c>
      <c r="C390" t="s">
        <v>2835</v>
      </c>
      <c r="D390" t="s">
        <v>17</v>
      </c>
      <c r="E390" t="s">
        <v>316</v>
      </c>
      <c r="F390" s="12" t="s">
        <v>317</v>
      </c>
      <c r="G390" t="s">
        <v>318</v>
      </c>
      <c r="H390" t="s">
        <v>319</v>
      </c>
      <c r="I390" t="s">
        <v>296</v>
      </c>
      <c r="J390" t="s">
        <v>320</v>
      </c>
      <c r="K390">
        <f>VLOOKUP($J390,'[1]Table S6'!$A:$AI,2,FALSE)</f>
        <v>383.6</v>
      </c>
      <c r="L390">
        <f>VLOOKUP($J390,'[1]Table S6'!$A:$AI,3,FALSE)</f>
        <v>0.81634390295807602</v>
      </c>
      <c r="M390">
        <f>VLOOKUP($J390,'[1]Table S6'!$A:$AI,4,FALSE)</f>
        <v>11.01</v>
      </c>
      <c r="N390" t="str">
        <f>VLOOKUP($J390,'[1]Table S6'!$A:$AI,5,FALSE)</f>
        <v>No</v>
      </c>
      <c r="P390">
        <f>VLOOKUP($J390,'[1]Table S6'!$A:$AI,7,FALSE)</f>
        <v>391.7</v>
      </c>
      <c r="Q390">
        <f>VLOOKUP($J390,'[1]Table S6'!$A:$AI,8,FALSE)</f>
        <v>0.833581613109172</v>
      </c>
      <c r="R390">
        <f>VLOOKUP($J390,'[1]Table S6'!$A:$AI,9,FALSE)</f>
        <v>19.28</v>
      </c>
      <c r="S390" t="str">
        <f>VLOOKUP($J390,'[1]Table S6'!$A:$AI,10,FALSE)</f>
        <v>No</v>
      </c>
      <c r="U390">
        <f>VLOOKUP($J390,'[1]Table S6'!$A:$AI,12,FALSE)</f>
        <v>378.9</v>
      </c>
      <c r="V390">
        <f>VLOOKUP($J390,'[1]Table S6'!$A:$AI,13,FALSE)</f>
        <v>0.80634177484571201</v>
      </c>
      <c r="W390">
        <f>VLOOKUP($J390,'[1]Table S6'!$A:$AI,14,FALSE)</f>
        <v>8.9009999999999998</v>
      </c>
      <c r="X390" t="str">
        <f>VLOOKUP($J390,'[1]Table S6'!$A:$AI,15,FALSE)</f>
        <v>No</v>
      </c>
      <c r="Z390">
        <f>VLOOKUP($J390,'[1]Table S6'!$A:$AI,17,FALSE)</f>
        <v>384.4</v>
      </c>
      <c r="AA390">
        <f>VLOOKUP($J390,'[1]Table S6'!$A:$AI,18,FALSE)</f>
        <v>0.81804639284954195</v>
      </c>
      <c r="AB390">
        <f>VLOOKUP($J390,'[1]Table S6'!$A:$AI,19,FALSE)</f>
        <v>17.989999999999998</v>
      </c>
      <c r="AC390" t="str">
        <f>VLOOKUP($J390,'[1]Table S6'!$A:$AI,20,FALSE)</f>
        <v>No</v>
      </c>
      <c r="AE390">
        <f>VLOOKUP($J390,'[1]Table S6'!$A:$AI,22,FALSE)</f>
        <v>362.5</v>
      </c>
      <c r="AF390">
        <f>VLOOKUP($J390,'[1]Table S6'!$A:$AI,23,FALSE)</f>
        <v>0.771440732070653</v>
      </c>
      <c r="AG390">
        <f>VLOOKUP($J390,'[1]Table S6'!$A:$AI,24,FALSE)</f>
        <v>9.1289999999999996</v>
      </c>
      <c r="AH390" t="str">
        <f>VLOOKUP($J390,'[1]Table S6'!$A:$AI,25,FALSE)</f>
        <v>No</v>
      </c>
      <c r="AJ390">
        <f>VLOOKUP($J390,'[1]Table S6'!$A:$AI,27,FALSE)</f>
        <v>398</v>
      </c>
      <c r="AK390">
        <f>VLOOKUP($J390,'[1]Table S6'!$A:$AI,28,FALSE)</f>
        <v>0.84698872100446898</v>
      </c>
      <c r="AL390">
        <f>VLOOKUP($J390,'[1]Table S6'!$A:$AI,29,FALSE)</f>
        <v>42.28</v>
      </c>
      <c r="AM390" t="str">
        <f>VLOOKUP($J390,'[1]Table S6'!$A:$AI,30,FALSE)</f>
        <v>No</v>
      </c>
      <c r="AO390">
        <f>VLOOKUP($J390,'[1]Table S6'!$A:$AI,32,FALSE)</f>
        <v>366.5</v>
      </c>
      <c r="AP390">
        <f>VLOOKUP($J390,'[1]Table S6'!$A:$AI,33,FALSE)</f>
        <v>0.77995318152798498</v>
      </c>
      <c r="AQ390">
        <f>VLOOKUP($J390,'[1]Table S6'!$A:$AI,34,FALSE)</f>
        <v>10.35</v>
      </c>
      <c r="AR390" t="str">
        <f>VLOOKUP($J390,'[1]Table S6'!$A:$AI,35,FALSE)</f>
        <v>No</v>
      </c>
      <c r="AT390" t="str">
        <f>VLOOKUP($I390,'[2]Table S5'!$A:$K,8,FALSE)</f>
        <v>Resistant</v>
      </c>
      <c r="AU390" t="str">
        <f>VLOOKUP($I390,'[2]Table S5'!$A:$K,9,FALSE)</f>
        <v>Resistant</v>
      </c>
      <c r="AV390" t="str">
        <f>VLOOKUP($I390,'[2]Table S5'!$A:$K,10,FALSE)</f>
        <v>Resistant</v>
      </c>
      <c r="AW390" t="str">
        <f>VLOOKUP($I390,'[2]Table S5'!$A:$K,11,FALSE)</f>
        <v>Resistant</v>
      </c>
    </row>
    <row r="391" spans="1:49">
      <c r="A391" s="12" t="s">
        <v>2836</v>
      </c>
      <c r="B391" t="s">
        <v>2837</v>
      </c>
      <c r="C391" t="s">
        <v>2838</v>
      </c>
      <c r="D391" t="s">
        <v>17</v>
      </c>
      <c r="E391" t="s">
        <v>324</v>
      </c>
      <c r="F391" s="12" t="s">
        <v>325</v>
      </c>
      <c r="G391" t="s">
        <v>326</v>
      </c>
      <c r="H391" t="s">
        <v>327</v>
      </c>
      <c r="I391" t="s">
        <v>296</v>
      </c>
      <c r="J391" t="s">
        <v>304</v>
      </c>
      <c r="K391">
        <f>VLOOKUP($J391,'[1]Table S6'!$A:$AI,2,FALSE)</f>
        <v>389.1</v>
      </c>
      <c r="L391">
        <f>VLOOKUP($J391,'[1]Table S6'!$A:$AI,3,FALSE)</f>
        <v>0.82804852096190695</v>
      </c>
      <c r="M391">
        <f>VLOOKUP($J391,'[1]Table S6'!$A:$AI,4,FALSE)</f>
        <v>10.69</v>
      </c>
      <c r="N391" t="str">
        <f>VLOOKUP($J391,'[1]Table S6'!$A:$AI,5,FALSE)</f>
        <v>No</v>
      </c>
      <c r="P391">
        <f>VLOOKUP($J391,'[1]Table S6'!$A:$AI,7,FALSE)</f>
        <v>403.3</v>
      </c>
      <c r="Q391">
        <f>VLOOKUP($J391,'[1]Table S6'!$A:$AI,8,FALSE)</f>
        <v>0.85826771653543299</v>
      </c>
      <c r="R391">
        <f>VLOOKUP($J391,'[1]Table S6'!$A:$AI,9,FALSE)</f>
        <v>18.760000000000002</v>
      </c>
      <c r="S391" t="str">
        <f>VLOOKUP($J391,'[1]Table S6'!$A:$AI,10,FALSE)</f>
        <v>No</v>
      </c>
      <c r="U391">
        <f>VLOOKUP($J391,'[1]Table S6'!$A:$AI,12,FALSE)</f>
        <v>377.4</v>
      </c>
      <c r="V391">
        <f>VLOOKUP($J391,'[1]Table S6'!$A:$AI,13,FALSE)</f>
        <v>0.80314960629921295</v>
      </c>
      <c r="W391">
        <f>VLOOKUP($J391,'[1]Table S6'!$A:$AI,14,FALSE)</f>
        <v>8.6059999999999999</v>
      </c>
      <c r="X391" t="str">
        <f>VLOOKUP($J391,'[1]Table S6'!$A:$AI,15,FALSE)</f>
        <v>No</v>
      </c>
      <c r="Z391">
        <f>VLOOKUP($J391,'[1]Table S6'!$A:$AI,17,FALSE)</f>
        <v>405.4</v>
      </c>
      <c r="AA391">
        <f>VLOOKUP($J391,'[1]Table S6'!$A:$AI,18,FALSE)</f>
        <v>0.86273675250053194</v>
      </c>
      <c r="AB391">
        <f>VLOOKUP($J391,'[1]Table S6'!$A:$AI,19,FALSE)</f>
        <v>19.36</v>
      </c>
      <c r="AC391" t="str">
        <f>VLOOKUP($J391,'[1]Table S6'!$A:$AI,20,FALSE)</f>
        <v>No</v>
      </c>
      <c r="AE391">
        <f>VLOOKUP($J391,'[1]Table S6'!$A:$AI,22,FALSE)</f>
        <v>352.9</v>
      </c>
      <c r="AF391">
        <f>VLOOKUP($J391,'[1]Table S6'!$A:$AI,23,FALSE)</f>
        <v>0.75101085337305795</v>
      </c>
      <c r="AG391">
        <f>VLOOKUP($J391,'[1]Table S6'!$A:$AI,24,FALSE)</f>
        <v>6.3230000000000004</v>
      </c>
      <c r="AH391" t="str">
        <f>VLOOKUP($J391,'[1]Table S6'!$A:$AI,25,FALSE)</f>
        <v>No</v>
      </c>
      <c r="AJ391">
        <f>VLOOKUP($J391,'[1]Table S6'!$A:$AI,27,FALSE)</f>
        <v>454.2</v>
      </c>
      <c r="AK391">
        <f>VLOOKUP($J391,'[1]Table S6'!$A:$AI,28,FALSE)</f>
        <v>0.96658863587997401</v>
      </c>
      <c r="AL391">
        <f>VLOOKUP($J391,'[1]Table S6'!$A:$AI,29,FALSE)</f>
        <v>201.6</v>
      </c>
      <c r="AM391" t="str">
        <f>VLOOKUP($J391,'[1]Table S6'!$A:$AI,30,FALSE)</f>
        <v>No</v>
      </c>
      <c r="AO391">
        <f>VLOOKUP($J391,'[1]Table S6'!$A:$AI,32,FALSE)</f>
        <v>426.5</v>
      </c>
      <c r="AP391">
        <f>VLOOKUP($J391,'[1]Table S6'!$A:$AI,33,FALSE)</f>
        <v>0.90763992338795496</v>
      </c>
      <c r="AQ391">
        <f>VLOOKUP($J391,'[1]Table S6'!$A:$AI,34,FALSE)</f>
        <v>139.19999999999999</v>
      </c>
      <c r="AR391" t="str">
        <f>VLOOKUP($J391,'[1]Table S6'!$A:$AI,35,FALSE)</f>
        <v>No</v>
      </c>
      <c r="AT391" t="str">
        <f>VLOOKUP($I391,'[2]Table S5'!$A:$K,8,FALSE)</f>
        <v>Resistant</v>
      </c>
      <c r="AU391" t="str">
        <f>VLOOKUP($I391,'[2]Table S5'!$A:$K,9,FALSE)</f>
        <v>Resistant</v>
      </c>
      <c r="AV391" t="str">
        <f>VLOOKUP($I391,'[2]Table S5'!$A:$K,10,FALSE)</f>
        <v>Resistant</v>
      </c>
      <c r="AW391" t="str">
        <f>VLOOKUP($I391,'[2]Table S5'!$A:$K,11,FALSE)</f>
        <v>Resistant</v>
      </c>
    </row>
    <row r="392" spans="1:49">
      <c r="A392" s="12" t="s">
        <v>2839</v>
      </c>
      <c r="B392" t="s">
        <v>2840</v>
      </c>
      <c r="C392" t="s">
        <v>2841</v>
      </c>
      <c r="D392" t="s">
        <v>17</v>
      </c>
      <c r="E392" t="s">
        <v>331</v>
      </c>
      <c r="F392" s="12" t="s">
        <v>332</v>
      </c>
      <c r="G392" t="s">
        <v>333</v>
      </c>
      <c r="H392" t="s">
        <v>334</v>
      </c>
      <c r="I392" t="s">
        <v>296</v>
      </c>
      <c r="J392" t="s">
        <v>312</v>
      </c>
      <c r="K392">
        <f>VLOOKUP($J392,'[1]Table S6'!$A:$AI,2,FALSE)</f>
        <v>315.39999999999998</v>
      </c>
      <c r="L392">
        <f>VLOOKUP($J392,'[1]Table S6'!$A:$AI,3,FALSE)</f>
        <v>0.67120663971057704</v>
      </c>
      <c r="M392">
        <f>VLOOKUP($J392,'[1]Table S6'!$A:$AI,4,FALSE)</f>
        <v>1.4530000000000001</v>
      </c>
      <c r="N392" t="str">
        <f>VLOOKUP($J392,'[1]Table S6'!$A:$AI,5,FALSE)</f>
        <v>Yes</v>
      </c>
      <c r="P392">
        <f>VLOOKUP($J392,'[1]Table S6'!$A:$AI,7,FALSE)</f>
        <v>392.4</v>
      </c>
      <c r="Q392">
        <f>VLOOKUP($J392,'[1]Table S6'!$A:$AI,8,FALSE)</f>
        <v>0.83507129176420503</v>
      </c>
      <c r="R392">
        <f>VLOOKUP($J392,'[1]Table S6'!$A:$AI,9,FALSE)</f>
        <v>20.87</v>
      </c>
      <c r="S392" t="str">
        <f>VLOOKUP($J392,'[1]Table S6'!$A:$AI,10,FALSE)</f>
        <v>No</v>
      </c>
      <c r="U392">
        <f>VLOOKUP($J392,'[1]Table S6'!$A:$AI,12,FALSE)</f>
        <v>359.5</v>
      </c>
      <c r="V392">
        <f>VLOOKUP($J392,'[1]Table S6'!$A:$AI,13,FALSE)</f>
        <v>0.76505639497765499</v>
      </c>
      <c r="W392">
        <f>VLOOKUP($J392,'[1]Table S6'!$A:$AI,14,FALSE)</f>
        <v>7.1710000000000003</v>
      </c>
      <c r="X392" t="str">
        <f>VLOOKUP($J392,'[1]Table S6'!$A:$AI,15,FALSE)</f>
        <v>No</v>
      </c>
      <c r="Z392">
        <f>VLOOKUP($J392,'[1]Table S6'!$A:$AI,17,FALSE)</f>
        <v>319.8</v>
      </c>
      <c r="AA392">
        <f>VLOOKUP($J392,'[1]Table S6'!$A:$AI,18,FALSE)</f>
        <v>0.68057033411364098</v>
      </c>
      <c r="AB392">
        <f>VLOOKUP($J392,'[1]Table S6'!$A:$AI,19,FALSE)</f>
        <v>1.99</v>
      </c>
      <c r="AC392" t="str">
        <f>VLOOKUP($J392,'[1]Table S6'!$A:$AI,20,FALSE)</f>
        <v>Yes</v>
      </c>
      <c r="AE392">
        <f>VLOOKUP($J392,'[1]Table S6'!$A:$AI,22,FALSE)</f>
        <v>382.5</v>
      </c>
      <c r="AF392">
        <f>VLOOKUP($J392,'[1]Table S6'!$A:$AI,23,FALSE)</f>
        <v>0.81400297935731003</v>
      </c>
      <c r="AG392">
        <f>VLOOKUP($J392,'[1]Table S6'!$A:$AI,24,FALSE)</f>
        <v>12.23</v>
      </c>
      <c r="AH392" t="str">
        <f>VLOOKUP($J392,'[1]Table S6'!$A:$AI,25,FALSE)</f>
        <v>No</v>
      </c>
      <c r="AJ392">
        <f>VLOOKUP($J392,'[1]Table S6'!$A:$AI,27,FALSE)</f>
        <v>433.8</v>
      </c>
      <c r="AK392">
        <f>VLOOKUP($J392,'[1]Table S6'!$A:$AI,28,FALSE)</f>
        <v>0.92317514364758502</v>
      </c>
      <c r="AL392">
        <f>VLOOKUP($J392,'[1]Table S6'!$A:$AI,29,FALSE)</f>
        <v>268.10000000000002</v>
      </c>
      <c r="AM392" t="str">
        <f>VLOOKUP($J392,'[1]Table S6'!$A:$AI,30,FALSE)</f>
        <v>No</v>
      </c>
      <c r="AO392">
        <f>VLOOKUP($J392,'[1]Table S6'!$A:$AI,32,FALSE)</f>
        <v>422.6</v>
      </c>
      <c r="AP392">
        <f>VLOOKUP($J392,'[1]Table S6'!$A:$AI,33,FALSE)</f>
        <v>0.899340285167057</v>
      </c>
      <c r="AQ392">
        <f>VLOOKUP($J392,'[1]Table S6'!$A:$AI,34,FALSE)</f>
        <v>92.23</v>
      </c>
      <c r="AR392" t="str">
        <f>VLOOKUP($J392,'[1]Table S6'!$A:$AI,35,FALSE)</f>
        <v>No</v>
      </c>
      <c r="AT392" t="str">
        <f>VLOOKUP($I392,'[2]Table S5'!$A:$K,8,FALSE)</f>
        <v>Resistant</v>
      </c>
      <c r="AU392" t="str">
        <f>VLOOKUP($I392,'[2]Table S5'!$A:$K,9,FALSE)</f>
        <v>Resistant</v>
      </c>
      <c r="AV392" t="str">
        <f>VLOOKUP($I392,'[2]Table S5'!$A:$K,10,FALSE)</f>
        <v>Resistant</v>
      </c>
      <c r="AW392" t="str">
        <f>VLOOKUP($I392,'[2]Table S5'!$A:$K,11,FALSE)</f>
        <v>Resistant</v>
      </c>
    </row>
    <row r="393" spans="1:49">
      <c r="A393" s="12" t="s">
        <v>2842</v>
      </c>
      <c r="B393" t="s">
        <v>2843</v>
      </c>
      <c r="C393" t="s">
        <v>2844</v>
      </c>
      <c r="D393" t="s">
        <v>17</v>
      </c>
      <c r="E393" t="s">
        <v>338</v>
      </c>
      <c r="F393" s="12" t="s">
        <v>339</v>
      </c>
      <c r="G393" t="s">
        <v>340</v>
      </c>
      <c r="H393" t="s">
        <v>341</v>
      </c>
      <c r="I393" t="s">
        <v>296</v>
      </c>
      <c r="J393" t="s">
        <v>320</v>
      </c>
      <c r="K393">
        <f>VLOOKUP($J393,'[1]Table S6'!$A:$AI,2,FALSE)</f>
        <v>383.6</v>
      </c>
      <c r="L393">
        <f>VLOOKUP($J393,'[1]Table S6'!$A:$AI,3,FALSE)</f>
        <v>0.81634390295807602</v>
      </c>
      <c r="M393">
        <f>VLOOKUP($J393,'[1]Table S6'!$A:$AI,4,FALSE)</f>
        <v>11.01</v>
      </c>
      <c r="N393" t="str">
        <f>VLOOKUP($J393,'[1]Table S6'!$A:$AI,5,FALSE)</f>
        <v>No</v>
      </c>
      <c r="P393">
        <f>VLOOKUP($J393,'[1]Table S6'!$A:$AI,7,FALSE)</f>
        <v>391.7</v>
      </c>
      <c r="Q393">
        <f>VLOOKUP($J393,'[1]Table S6'!$A:$AI,8,FALSE)</f>
        <v>0.833581613109172</v>
      </c>
      <c r="R393">
        <f>VLOOKUP($J393,'[1]Table S6'!$A:$AI,9,FALSE)</f>
        <v>19.28</v>
      </c>
      <c r="S393" t="str">
        <f>VLOOKUP($J393,'[1]Table S6'!$A:$AI,10,FALSE)</f>
        <v>No</v>
      </c>
      <c r="U393">
        <f>VLOOKUP($J393,'[1]Table S6'!$A:$AI,12,FALSE)</f>
        <v>378.9</v>
      </c>
      <c r="V393">
        <f>VLOOKUP($J393,'[1]Table S6'!$A:$AI,13,FALSE)</f>
        <v>0.80634177484571201</v>
      </c>
      <c r="W393">
        <f>VLOOKUP($J393,'[1]Table S6'!$A:$AI,14,FALSE)</f>
        <v>8.9009999999999998</v>
      </c>
      <c r="X393" t="str">
        <f>VLOOKUP($J393,'[1]Table S6'!$A:$AI,15,FALSE)</f>
        <v>No</v>
      </c>
      <c r="Z393">
        <f>VLOOKUP($J393,'[1]Table S6'!$A:$AI,17,FALSE)</f>
        <v>384.4</v>
      </c>
      <c r="AA393">
        <f>VLOOKUP($J393,'[1]Table S6'!$A:$AI,18,FALSE)</f>
        <v>0.81804639284954195</v>
      </c>
      <c r="AB393">
        <f>VLOOKUP($J393,'[1]Table S6'!$A:$AI,19,FALSE)</f>
        <v>17.989999999999998</v>
      </c>
      <c r="AC393" t="str">
        <f>VLOOKUP($J393,'[1]Table S6'!$A:$AI,20,FALSE)</f>
        <v>No</v>
      </c>
      <c r="AE393">
        <f>VLOOKUP($J393,'[1]Table S6'!$A:$AI,22,FALSE)</f>
        <v>362.5</v>
      </c>
      <c r="AF393">
        <f>VLOOKUP($J393,'[1]Table S6'!$A:$AI,23,FALSE)</f>
        <v>0.771440732070653</v>
      </c>
      <c r="AG393">
        <f>VLOOKUP($J393,'[1]Table S6'!$A:$AI,24,FALSE)</f>
        <v>9.1289999999999996</v>
      </c>
      <c r="AH393" t="str">
        <f>VLOOKUP($J393,'[1]Table S6'!$A:$AI,25,FALSE)</f>
        <v>No</v>
      </c>
      <c r="AJ393">
        <f>VLOOKUP($J393,'[1]Table S6'!$A:$AI,27,FALSE)</f>
        <v>398</v>
      </c>
      <c r="AK393">
        <f>VLOOKUP($J393,'[1]Table S6'!$A:$AI,28,FALSE)</f>
        <v>0.84698872100446898</v>
      </c>
      <c r="AL393">
        <f>VLOOKUP($J393,'[1]Table S6'!$A:$AI,29,FALSE)</f>
        <v>42.28</v>
      </c>
      <c r="AM393" t="str">
        <f>VLOOKUP($J393,'[1]Table S6'!$A:$AI,30,FALSE)</f>
        <v>No</v>
      </c>
      <c r="AO393">
        <f>VLOOKUP($J393,'[1]Table S6'!$A:$AI,32,FALSE)</f>
        <v>366.5</v>
      </c>
      <c r="AP393">
        <f>VLOOKUP($J393,'[1]Table S6'!$A:$AI,33,FALSE)</f>
        <v>0.77995318152798498</v>
      </c>
      <c r="AQ393">
        <f>VLOOKUP($J393,'[1]Table S6'!$A:$AI,34,FALSE)</f>
        <v>10.35</v>
      </c>
      <c r="AR393" t="str">
        <f>VLOOKUP($J393,'[1]Table S6'!$A:$AI,35,FALSE)</f>
        <v>No</v>
      </c>
      <c r="AT393" t="str">
        <f>VLOOKUP($I393,'[2]Table S5'!$A:$K,8,FALSE)</f>
        <v>Resistant</v>
      </c>
      <c r="AU393" t="str">
        <f>VLOOKUP($I393,'[2]Table S5'!$A:$K,9,FALSE)</f>
        <v>Resistant</v>
      </c>
      <c r="AV393" t="str">
        <f>VLOOKUP($I393,'[2]Table S5'!$A:$K,10,FALSE)</f>
        <v>Resistant</v>
      </c>
      <c r="AW393" t="str">
        <f>VLOOKUP($I393,'[2]Table S5'!$A:$K,11,FALSE)</f>
        <v>Resistant</v>
      </c>
    </row>
    <row r="394" spans="1:49">
      <c r="A394" s="12" t="s">
        <v>2845</v>
      </c>
      <c r="B394" t="s">
        <v>2846</v>
      </c>
      <c r="C394" t="s">
        <v>2847</v>
      </c>
      <c r="D394" t="s">
        <v>17</v>
      </c>
      <c r="E394" t="s">
        <v>2848</v>
      </c>
      <c r="F394" s="12" t="s">
        <v>2849</v>
      </c>
      <c r="G394" t="s">
        <v>2850</v>
      </c>
      <c r="H394" t="s">
        <v>2851</v>
      </c>
      <c r="I394" t="s">
        <v>349</v>
      </c>
      <c r="J394" t="s">
        <v>349</v>
      </c>
      <c r="K394" t="e">
        <f>VLOOKUP($J394,'[1]Table S6'!$A:$AI,2,FALSE)</f>
        <v>#N/A</v>
      </c>
      <c r="L394" t="e">
        <f>VLOOKUP($J394,'[1]Table S6'!$A:$AI,3,FALSE)</f>
        <v>#N/A</v>
      </c>
      <c r="M394" t="e">
        <f>VLOOKUP($J394,'[1]Table S6'!$A:$AI,4,FALSE)</f>
        <v>#N/A</v>
      </c>
      <c r="N394" t="e">
        <f>VLOOKUP($J394,'[1]Table S6'!$A:$AI,5,FALSE)</f>
        <v>#N/A</v>
      </c>
      <c r="P394" t="e">
        <f>VLOOKUP($J394,'[1]Table S6'!$A:$AI,7,FALSE)</f>
        <v>#N/A</v>
      </c>
      <c r="Q394" t="e">
        <f>VLOOKUP($J394,'[1]Table S6'!$A:$AI,8,FALSE)</f>
        <v>#N/A</v>
      </c>
      <c r="R394" t="e">
        <f>VLOOKUP($J394,'[1]Table S6'!$A:$AI,9,FALSE)</f>
        <v>#N/A</v>
      </c>
      <c r="S394" t="e">
        <f>VLOOKUP($J394,'[1]Table S6'!$A:$AI,10,FALSE)</f>
        <v>#N/A</v>
      </c>
      <c r="U394" t="e">
        <f>VLOOKUP($J394,'[1]Table S6'!$A:$AI,12,FALSE)</f>
        <v>#N/A</v>
      </c>
      <c r="V394" t="e">
        <f>VLOOKUP($J394,'[1]Table S6'!$A:$AI,13,FALSE)</f>
        <v>#N/A</v>
      </c>
      <c r="W394" t="e">
        <f>VLOOKUP($J394,'[1]Table S6'!$A:$AI,14,FALSE)</f>
        <v>#N/A</v>
      </c>
      <c r="X394" t="e">
        <f>VLOOKUP($J394,'[1]Table S6'!$A:$AI,15,FALSE)</f>
        <v>#N/A</v>
      </c>
      <c r="Z394" t="e">
        <f>VLOOKUP($J394,'[1]Table S6'!$A:$AI,17,FALSE)</f>
        <v>#N/A</v>
      </c>
      <c r="AA394" t="e">
        <f>VLOOKUP($J394,'[1]Table S6'!$A:$AI,18,FALSE)</f>
        <v>#N/A</v>
      </c>
      <c r="AB394" t="e">
        <f>VLOOKUP($J394,'[1]Table S6'!$A:$AI,19,FALSE)</f>
        <v>#N/A</v>
      </c>
      <c r="AC394" t="e">
        <f>VLOOKUP($J394,'[1]Table S6'!$A:$AI,20,FALSE)</f>
        <v>#N/A</v>
      </c>
      <c r="AE394" t="e">
        <f>VLOOKUP($J394,'[1]Table S6'!$A:$AI,22,FALSE)</f>
        <v>#N/A</v>
      </c>
      <c r="AF394" t="e">
        <f>VLOOKUP($J394,'[1]Table S6'!$A:$AI,23,FALSE)</f>
        <v>#N/A</v>
      </c>
      <c r="AG394" t="e">
        <f>VLOOKUP($J394,'[1]Table S6'!$A:$AI,24,FALSE)</f>
        <v>#N/A</v>
      </c>
      <c r="AH394" t="e">
        <f>VLOOKUP($J394,'[1]Table S6'!$A:$AI,25,FALSE)</f>
        <v>#N/A</v>
      </c>
      <c r="AJ394" t="e">
        <f>VLOOKUP($J394,'[1]Table S6'!$A:$AI,27,FALSE)</f>
        <v>#N/A</v>
      </c>
      <c r="AK394" t="e">
        <f>VLOOKUP($J394,'[1]Table S6'!$A:$AI,28,FALSE)</f>
        <v>#N/A</v>
      </c>
      <c r="AL394" t="e">
        <f>VLOOKUP($J394,'[1]Table S6'!$A:$AI,29,FALSE)</f>
        <v>#N/A</v>
      </c>
      <c r="AM394" t="e">
        <f>VLOOKUP($J394,'[1]Table S6'!$A:$AI,30,FALSE)</f>
        <v>#N/A</v>
      </c>
      <c r="AO394" t="e">
        <f>VLOOKUP($J394,'[1]Table S6'!$A:$AI,32,FALSE)</f>
        <v>#N/A</v>
      </c>
      <c r="AP394" t="e">
        <f>VLOOKUP($J394,'[1]Table S6'!$A:$AI,33,FALSE)</f>
        <v>#N/A</v>
      </c>
      <c r="AQ394" t="e">
        <f>VLOOKUP($J394,'[1]Table S6'!$A:$AI,34,FALSE)</f>
        <v>#N/A</v>
      </c>
      <c r="AR394" t="e">
        <f>VLOOKUP($J394,'[1]Table S6'!$A:$AI,35,FALSE)</f>
        <v>#N/A</v>
      </c>
      <c r="AT394" t="str">
        <f>VLOOKUP($I394,'[2]Table S5'!$A:$K,8,FALSE)</f>
        <v>Sensitive</v>
      </c>
      <c r="AU394" t="str">
        <f>VLOOKUP($I394,'[2]Table S5'!$A:$K,9,FALSE)</f>
        <v>Resistant</v>
      </c>
      <c r="AV394" t="str">
        <f>VLOOKUP($I394,'[2]Table S5'!$A:$K,10,FALSE)</f>
        <v>Resistant</v>
      </c>
      <c r="AW394" t="str">
        <f>VLOOKUP($I394,'[2]Table S5'!$A:$K,11,FALSE)</f>
        <v>Sensitive</v>
      </c>
    </row>
    <row r="395" spans="1:49">
      <c r="A395" s="12" t="s">
        <v>2852</v>
      </c>
      <c r="B395" t="s">
        <v>2853</v>
      </c>
      <c r="C395" t="s">
        <v>2854</v>
      </c>
      <c r="D395" t="s">
        <v>17</v>
      </c>
      <c r="E395" t="s">
        <v>2855</v>
      </c>
      <c r="F395" s="12" t="s">
        <v>2856</v>
      </c>
      <c r="G395" t="s">
        <v>2857</v>
      </c>
      <c r="H395" t="s">
        <v>2858</v>
      </c>
      <c r="I395" t="s">
        <v>349</v>
      </c>
      <c r="J395" t="s">
        <v>349</v>
      </c>
      <c r="K395" t="e">
        <f>VLOOKUP($J395,'[1]Table S6'!$A:$AI,2,FALSE)</f>
        <v>#N/A</v>
      </c>
      <c r="L395" t="e">
        <f>VLOOKUP($J395,'[1]Table S6'!$A:$AI,3,FALSE)</f>
        <v>#N/A</v>
      </c>
      <c r="M395" t="e">
        <f>VLOOKUP($J395,'[1]Table S6'!$A:$AI,4,FALSE)</f>
        <v>#N/A</v>
      </c>
      <c r="N395" t="e">
        <f>VLOOKUP($J395,'[1]Table S6'!$A:$AI,5,FALSE)</f>
        <v>#N/A</v>
      </c>
      <c r="P395" t="e">
        <f>VLOOKUP($J395,'[1]Table S6'!$A:$AI,7,FALSE)</f>
        <v>#N/A</v>
      </c>
      <c r="Q395" t="e">
        <f>VLOOKUP($J395,'[1]Table S6'!$A:$AI,8,FALSE)</f>
        <v>#N/A</v>
      </c>
      <c r="R395" t="e">
        <f>VLOOKUP($J395,'[1]Table S6'!$A:$AI,9,FALSE)</f>
        <v>#N/A</v>
      </c>
      <c r="S395" t="e">
        <f>VLOOKUP($J395,'[1]Table S6'!$A:$AI,10,FALSE)</f>
        <v>#N/A</v>
      </c>
      <c r="U395" t="e">
        <f>VLOOKUP($J395,'[1]Table S6'!$A:$AI,12,FALSE)</f>
        <v>#N/A</v>
      </c>
      <c r="V395" t="e">
        <f>VLOOKUP($J395,'[1]Table S6'!$A:$AI,13,FALSE)</f>
        <v>#N/A</v>
      </c>
      <c r="W395" t="e">
        <f>VLOOKUP($J395,'[1]Table S6'!$A:$AI,14,FALSE)</f>
        <v>#N/A</v>
      </c>
      <c r="X395" t="e">
        <f>VLOOKUP($J395,'[1]Table S6'!$A:$AI,15,FALSE)</f>
        <v>#N/A</v>
      </c>
      <c r="Z395" t="e">
        <f>VLOOKUP($J395,'[1]Table S6'!$A:$AI,17,FALSE)</f>
        <v>#N/A</v>
      </c>
      <c r="AA395" t="e">
        <f>VLOOKUP($J395,'[1]Table S6'!$A:$AI,18,FALSE)</f>
        <v>#N/A</v>
      </c>
      <c r="AB395" t="e">
        <f>VLOOKUP($J395,'[1]Table S6'!$A:$AI,19,FALSE)</f>
        <v>#N/A</v>
      </c>
      <c r="AC395" t="e">
        <f>VLOOKUP($J395,'[1]Table S6'!$A:$AI,20,FALSE)</f>
        <v>#N/A</v>
      </c>
      <c r="AE395" t="e">
        <f>VLOOKUP($J395,'[1]Table S6'!$A:$AI,22,FALSE)</f>
        <v>#N/A</v>
      </c>
      <c r="AF395" t="e">
        <f>VLOOKUP($J395,'[1]Table S6'!$A:$AI,23,FALSE)</f>
        <v>#N/A</v>
      </c>
      <c r="AG395" t="e">
        <f>VLOOKUP($J395,'[1]Table S6'!$A:$AI,24,FALSE)</f>
        <v>#N/A</v>
      </c>
      <c r="AH395" t="e">
        <f>VLOOKUP($J395,'[1]Table S6'!$A:$AI,25,FALSE)</f>
        <v>#N/A</v>
      </c>
      <c r="AJ395" t="e">
        <f>VLOOKUP($J395,'[1]Table S6'!$A:$AI,27,FALSE)</f>
        <v>#N/A</v>
      </c>
      <c r="AK395" t="e">
        <f>VLOOKUP($J395,'[1]Table S6'!$A:$AI,28,FALSE)</f>
        <v>#N/A</v>
      </c>
      <c r="AL395" t="e">
        <f>VLOOKUP($J395,'[1]Table S6'!$A:$AI,29,FALSE)</f>
        <v>#N/A</v>
      </c>
      <c r="AM395" t="e">
        <f>VLOOKUP($J395,'[1]Table S6'!$A:$AI,30,FALSE)</f>
        <v>#N/A</v>
      </c>
      <c r="AO395" t="e">
        <f>VLOOKUP($J395,'[1]Table S6'!$A:$AI,32,FALSE)</f>
        <v>#N/A</v>
      </c>
      <c r="AP395" t="e">
        <f>VLOOKUP($J395,'[1]Table S6'!$A:$AI,33,FALSE)</f>
        <v>#N/A</v>
      </c>
      <c r="AQ395" t="e">
        <f>VLOOKUP($J395,'[1]Table S6'!$A:$AI,34,FALSE)</f>
        <v>#N/A</v>
      </c>
      <c r="AR395" t="e">
        <f>VLOOKUP($J395,'[1]Table S6'!$A:$AI,35,FALSE)</f>
        <v>#N/A</v>
      </c>
      <c r="AT395" t="str">
        <f>VLOOKUP($I395,'[2]Table S5'!$A:$K,8,FALSE)</f>
        <v>Sensitive</v>
      </c>
      <c r="AU395" t="str">
        <f>VLOOKUP($I395,'[2]Table S5'!$A:$K,9,FALSE)</f>
        <v>Resistant</v>
      </c>
      <c r="AV395" t="str">
        <f>VLOOKUP($I395,'[2]Table S5'!$A:$K,10,FALSE)</f>
        <v>Resistant</v>
      </c>
      <c r="AW395" t="str">
        <f>VLOOKUP($I395,'[2]Table S5'!$A:$K,11,FALSE)</f>
        <v>Sensitive</v>
      </c>
    </row>
    <row r="396" spans="1:49">
      <c r="A396" s="12" t="s">
        <v>2859</v>
      </c>
      <c r="B396" t="s">
        <v>2860</v>
      </c>
      <c r="C396" t="s">
        <v>2861</v>
      </c>
      <c r="D396" t="s">
        <v>17</v>
      </c>
      <c r="E396" t="s">
        <v>353</v>
      </c>
      <c r="F396" s="12" t="s">
        <v>354</v>
      </c>
      <c r="G396" t="s">
        <v>355</v>
      </c>
      <c r="H396" t="s">
        <v>356</v>
      </c>
      <c r="I396" t="s">
        <v>349</v>
      </c>
      <c r="J396" t="s">
        <v>357</v>
      </c>
      <c r="K396">
        <f>VLOOKUP($J396,'[1]Table S6'!$A:$AI,2,FALSE)</f>
        <v>270</v>
      </c>
      <c r="L396">
        <f>VLOOKUP($J396,'[1]Table S6'!$A:$AI,3,FALSE)</f>
        <v>0.57459033836986595</v>
      </c>
      <c r="M396">
        <f>VLOOKUP($J396,'[1]Table S6'!$A:$AI,4,FALSE)</f>
        <v>0.45100000000000001</v>
      </c>
      <c r="N396" t="str">
        <f>VLOOKUP($J396,'[1]Table S6'!$A:$AI,5,FALSE)</f>
        <v>Yes</v>
      </c>
      <c r="P396">
        <f>VLOOKUP($J396,'[1]Table S6'!$A:$AI,7,FALSE)</f>
        <v>347.2</v>
      </c>
      <c r="Q396">
        <f>VLOOKUP($J396,'[1]Table S6'!$A:$AI,8,FALSE)</f>
        <v>0.73888061289636098</v>
      </c>
      <c r="R396">
        <f>VLOOKUP($J396,'[1]Table S6'!$A:$AI,9,FALSE)</f>
        <v>3.0579999999999998</v>
      </c>
      <c r="S396" t="str">
        <f>VLOOKUP($J396,'[1]Table S6'!$A:$AI,10,FALSE)</f>
        <v>No</v>
      </c>
      <c r="U396">
        <f>VLOOKUP($J396,'[1]Table S6'!$A:$AI,12,FALSE)</f>
        <v>335.9</v>
      </c>
      <c r="V396">
        <f>VLOOKUP($J396,'[1]Table S6'!$A:$AI,13,FALSE)</f>
        <v>0.71483294317940005</v>
      </c>
      <c r="W396">
        <f>VLOOKUP($J396,'[1]Table S6'!$A:$AI,14,FALSE)</f>
        <v>3.16</v>
      </c>
      <c r="X396" t="str">
        <f>VLOOKUP($J396,'[1]Table S6'!$A:$AI,15,FALSE)</f>
        <v>No</v>
      </c>
      <c r="Z396">
        <f>VLOOKUP($J396,'[1]Table S6'!$A:$AI,17,FALSE)</f>
        <v>295.8</v>
      </c>
      <c r="AA396">
        <f>VLOOKUP($J396,'[1]Table S6'!$A:$AI,18,FALSE)</f>
        <v>0.62949563736965297</v>
      </c>
      <c r="AB396">
        <f>VLOOKUP($J396,'[1]Table S6'!$A:$AI,19,FALSE)</f>
        <v>1.486</v>
      </c>
      <c r="AC396" t="str">
        <f>VLOOKUP($J396,'[1]Table S6'!$A:$AI,20,FALSE)</f>
        <v>Yes</v>
      </c>
      <c r="AE396">
        <f>VLOOKUP($J396,'[1]Table S6'!$A:$AI,22,FALSE)</f>
        <v>322.60000000000002</v>
      </c>
      <c r="AF396">
        <f>VLOOKUP($J396,'[1]Table S6'!$A:$AI,23,FALSE)</f>
        <v>0.68652904873377296</v>
      </c>
      <c r="AG396">
        <f>VLOOKUP($J396,'[1]Table S6'!$A:$AI,24,FALSE)</f>
        <v>2.5449999999999999</v>
      </c>
      <c r="AH396" t="str">
        <f>VLOOKUP($J396,'[1]Table S6'!$A:$AI,25,FALSE)</f>
        <v>Yes</v>
      </c>
      <c r="AJ396">
        <f>VLOOKUP($J396,'[1]Table S6'!$A:$AI,27,FALSE)</f>
        <v>417.3</v>
      </c>
      <c r="AK396">
        <f>VLOOKUP($J396,'[1]Table S6'!$A:$AI,28,FALSE)</f>
        <v>0.88806128963609299</v>
      </c>
      <c r="AL396">
        <f>VLOOKUP($J396,'[1]Table S6'!$A:$AI,29,FALSE)</f>
        <v>134.1</v>
      </c>
      <c r="AM396" t="str">
        <f>VLOOKUP($J396,'[1]Table S6'!$A:$AI,30,FALSE)</f>
        <v>No</v>
      </c>
      <c r="AO396">
        <f>VLOOKUP($J396,'[1]Table S6'!$A:$AI,32,FALSE)</f>
        <v>380.5</v>
      </c>
      <c r="AP396">
        <f>VLOOKUP($J396,'[1]Table S6'!$A:$AI,33,FALSE)</f>
        <v>0.80974675462864398</v>
      </c>
      <c r="AQ396">
        <f>VLOOKUP($J396,'[1]Table S6'!$A:$AI,34,FALSE)</f>
        <v>60.05</v>
      </c>
      <c r="AR396" t="str">
        <f>VLOOKUP($J396,'[1]Table S6'!$A:$AI,35,FALSE)</f>
        <v>No</v>
      </c>
      <c r="AT396" t="str">
        <f>VLOOKUP($I396,'[2]Table S5'!$A:$K,8,FALSE)</f>
        <v>Sensitive</v>
      </c>
      <c r="AU396" t="str">
        <f>VLOOKUP($I396,'[2]Table S5'!$A:$K,9,FALSE)</f>
        <v>Resistant</v>
      </c>
      <c r="AV396" t="str">
        <f>VLOOKUP($I396,'[2]Table S5'!$A:$K,10,FALSE)</f>
        <v>Resistant</v>
      </c>
      <c r="AW396" t="str">
        <f>VLOOKUP($I396,'[2]Table S5'!$A:$K,11,FALSE)</f>
        <v>Sensitive</v>
      </c>
    </row>
    <row r="397" spans="1:49">
      <c r="A397" s="12" t="s">
        <v>2862</v>
      </c>
      <c r="B397" t="s">
        <v>2863</v>
      </c>
      <c r="C397" t="s">
        <v>2864</v>
      </c>
      <c r="D397" t="s">
        <v>17</v>
      </c>
      <c r="E397" t="s">
        <v>361</v>
      </c>
      <c r="F397" s="12" t="s">
        <v>362</v>
      </c>
      <c r="G397" t="s">
        <v>363</v>
      </c>
      <c r="H397" t="s">
        <v>364</v>
      </c>
      <c r="I397" t="s">
        <v>349</v>
      </c>
      <c r="J397" t="s">
        <v>365</v>
      </c>
      <c r="K397">
        <f>VLOOKUP($J397,'[1]Table S6'!$A:$AI,2,FALSE)</f>
        <v>301.3</v>
      </c>
      <c r="L397">
        <f>VLOOKUP($J397,'[1]Table S6'!$A:$AI,3,FALSE)</f>
        <v>0.64120025537348402</v>
      </c>
      <c r="M397">
        <f>VLOOKUP($J397,'[1]Table S6'!$A:$AI,4,FALSE)</f>
        <v>1.139</v>
      </c>
      <c r="N397" t="str">
        <f>VLOOKUP($J397,'[1]Table S6'!$A:$AI,5,FALSE)</f>
        <v>Yes</v>
      </c>
      <c r="P397">
        <f>VLOOKUP($J397,'[1]Table S6'!$A:$AI,7,FALSE)</f>
        <v>321.10000000000002</v>
      </c>
      <c r="Q397">
        <f>VLOOKUP($J397,'[1]Table S6'!$A:$AI,8,FALSE)</f>
        <v>0.68333688018727401</v>
      </c>
      <c r="R397">
        <f>VLOOKUP($J397,'[1]Table S6'!$A:$AI,9,FALSE)</f>
        <v>1.75</v>
      </c>
      <c r="S397" t="str">
        <f>VLOOKUP($J397,'[1]Table S6'!$A:$AI,10,FALSE)</f>
        <v>Yes</v>
      </c>
      <c r="U397">
        <f>VLOOKUP($J397,'[1]Table S6'!$A:$AI,12,FALSE)</f>
        <v>364.7</v>
      </c>
      <c r="V397">
        <f>VLOOKUP($J397,'[1]Table S6'!$A:$AI,13,FALSE)</f>
        <v>0.77612257927218598</v>
      </c>
      <c r="W397">
        <f>VLOOKUP($J397,'[1]Table S6'!$A:$AI,14,FALSE)</f>
        <v>12.64</v>
      </c>
      <c r="X397" t="str">
        <f>VLOOKUP($J397,'[1]Table S6'!$A:$AI,15,FALSE)</f>
        <v>No</v>
      </c>
      <c r="Z397">
        <f>VLOOKUP($J397,'[1]Table S6'!$A:$AI,17,FALSE)</f>
        <v>306.2</v>
      </c>
      <c r="AA397">
        <f>VLOOKUP($J397,'[1]Table S6'!$A:$AI,18,FALSE)</f>
        <v>0.65162800595871495</v>
      </c>
      <c r="AB397">
        <f>VLOOKUP($J397,'[1]Table S6'!$A:$AI,19,FALSE)</f>
        <v>1.393</v>
      </c>
      <c r="AC397" t="str">
        <f>VLOOKUP($J397,'[1]Table S6'!$A:$AI,20,FALSE)</f>
        <v>Yes</v>
      </c>
      <c r="AE397">
        <f>VLOOKUP($J397,'[1]Table S6'!$A:$AI,22,FALSE)</f>
        <v>375.4</v>
      </c>
      <c r="AF397">
        <f>VLOOKUP($J397,'[1]Table S6'!$A:$AI,23,FALSE)</f>
        <v>0.79889338157054701</v>
      </c>
      <c r="AG397">
        <f>VLOOKUP($J397,'[1]Table S6'!$A:$AI,24,FALSE)</f>
        <v>14.79</v>
      </c>
      <c r="AH397" t="str">
        <f>VLOOKUP($J397,'[1]Table S6'!$A:$AI,25,FALSE)</f>
        <v>No</v>
      </c>
      <c r="AJ397">
        <f>VLOOKUP($J397,'[1]Table S6'!$A:$AI,27,FALSE)</f>
        <v>407.5</v>
      </c>
      <c r="AK397">
        <f>VLOOKUP($J397,'[1]Table S6'!$A:$AI,28,FALSE)</f>
        <v>0.86720578846563101</v>
      </c>
      <c r="AL397">
        <f>VLOOKUP($J397,'[1]Table S6'!$A:$AI,29,FALSE)</f>
        <v>108.3</v>
      </c>
      <c r="AM397" t="str">
        <f>VLOOKUP($J397,'[1]Table S6'!$A:$AI,30,FALSE)</f>
        <v>No</v>
      </c>
      <c r="AO397">
        <f>VLOOKUP($J397,'[1]Table S6'!$A:$AI,32,FALSE)</f>
        <v>390.1</v>
      </c>
      <c r="AP397">
        <f>VLOOKUP($J397,'[1]Table S6'!$A:$AI,33,FALSE)</f>
        <v>0.83017663332624003</v>
      </c>
      <c r="AQ397">
        <f>VLOOKUP($J397,'[1]Table S6'!$A:$AI,34,FALSE)</f>
        <v>95.6</v>
      </c>
      <c r="AR397" t="str">
        <f>VLOOKUP($J397,'[1]Table S6'!$A:$AI,35,FALSE)</f>
        <v>No</v>
      </c>
      <c r="AT397" t="str">
        <f>VLOOKUP($I397,'[2]Table S5'!$A:$K,8,FALSE)</f>
        <v>Sensitive</v>
      </c>
      <c r="AU397" t="str">
        <f>VLOOKUP($I397,'[2]Table S5'!$A:$K,9,FALSE)</f>
        <v>Resistant</v>
      </c>
      <c r="AV397" t="str">
        <f>VLOOKUP($I397,'[2]Table S5'!$A:$K,10,FALSE)</f>
        <v>Resistant</v>
      </c>
      <c r="AW397" t="str">
        <f>VLOOKUP($I397,'[2]Table S5'!$A:$K,11,FALSE)</f>
        <v>Sensitive</v>
      </c>
    </row>
    <row r="398" spans="1:49">
      <c r="A398" s="12" t="s">
        <v>2865</v>
      </c>
      <c r="B398" t="s">
        <v>2866</v>
      </c>
      <c r="C398" t="s">
        <v>2867</v>
      </c>
      <c r="D398" t="s">
        <v>17</v>
      </c>
      <c r="E398" t="s">
        <v>369</v>
      </c>
      <c r="F398" s="12" t="s">
        <v>370</v>
      </c>
      <c r="G398" t="s">
        <v>371</v>
      </c>
      <c r="H398" t="s">
        <v>372</v>
      </c>
      <c r="I398" t="s">
        <v>349</v>
      </c>
      <c r="J398" t="s">
        <v>373</v>
      </c>
      <c r="K398">
        <f>VLOOKUP($J398,'[1]Table S6'!$A:$AI,2,FALSE)</f>
        <v>308.10000000000002</v>
      </c>
      <c r="L398">
        <f>VLOOKUP($J398,'[1]Table S6'!$A:$AI,3,FALSE)</f>
        <v>0.65567141945094698</v>
      </c>
      <c r="M398">
        <f>VLOOKUP($J398,'[1]Table S6'!$A:$AI,4,FALSE)</f>
        <v>1.2869999999999999</v>
      </c>
      <c r="N398" t="str">
        <f>VLOOKUP($J398,'[1]Table S6'!$A:$AI,5,FALSE)</f>
        <v>Yes</v>
      </c>
      <c r="P398">
        <f>VLOOKUP($J398,'[1]Table S6'!$A:$AI,7,FALSE)</f>
        <v>319.10000000000002</v>
      </c>
      <c r="Q398">
        <f>VLOOKUP($J398,'[1]Table S6'!$A:$AI,8,FALSE)</f>
        <v>0.67908065545860796</v>
      </c>
      <c r="R398">
        <f>VLOOKUP($J398,'[1]Table S6'!$A:$AI,9,FALSE)</f>
        <v>1.6619999999999999</v>
      </c>
      <c r="S398" t="str">
        <f>VLOOKUP($J398,'[1]Table S6'!$A:$AI,10,FALSE)</f>
        <v>Yes</v>
      </c>
      <c r="U398">
        <f>VLOOKUP($J398,'[1]Table S6'!$A:$AI,12,FALSE)</f>
        <v>306.7</v>
      </c>
      <c r="V398">
        <f>VLOOKUP($J398,'[1]Table S6'!$A:$AI,13,FALSE)</f>
        <v>0.65269206214088105</v>
      </c>
      <c r="W398">
        <f>VLOOKUP($J398,'[1]Table S6'!$A:$AI,14,FALSE)</f>
        <v>1.395</v>
      </c>
      <c r="X398" t="str">
        <f>VLOOKUP($J398,'[1]Table S6'!$A:$AI,15,FALSE)</f>
        <v>Yes</v>
      </c>
      <c r="Z398">
        <f>VLOOKUP($J398,'[1]Table S6'!$A:$AI,17,FALSE)</f>
        <v>297.5</v>
      </c>
      <c r="AA398">
        <f>VLOOKUP($J398,'[1]Table S6'!$A:$AI,18,FALSE)</f>
        <v>0.63311342838901896</v>
      </c>
      <c r="AB398">
        <f>VLOOKUP($J398,'[1]Table S6'!$A:$AI,19,FALSE)</f>
        <v>1.1619999999999999</v>
      </c>
      <c r="AC398" t="str">
        <f>VLOOKUP($J398,'[1]Table S6'!$A:$AI,20,FALSE)</f>
        <v>Yes</v>
      </c>
      <c r="AE398">
        <f>VLOOKUP($J398,'[1]Table S6'!$A:$AI,22,FALSE)</f>
        <v>418.5</v>
      </c>
      <c r="AF398">
        <f>VLOOKUP($J398,'[1]Table S6'!$A:$AI,23,FALSE)</f>
        <v>0.89061502447329199</v>
      </c>
      <c r="AG398">
        <f>VLOOKUP($J398,'[1]Table S6'!$A:$AI,24,FALSE)</f>
        <v>46.33</v>
      </c>
      <c r="AH398" t="str">
        <f>VLOOKUP($J398,'[1]Table S6'!$A:$AI,25,FALSE)</f>
        <v>No</v>
      </c>
      <c r="AJ398">
        <f>VLOOKUP($J398,'[1]Table S6'!$A:$AI,27,FALSE)</f>
        <v>442.1</v>
      </c>
      <c r="AK398">
        <f>VLOOKUP($J398,'[1]Table S6'!$A:$AI,28,FALSE)</f>
        <v>0.94083847627154704</v>
      </c>
      <c r="AL398">
        <f>VLOOKUP($J398,'[1]Table S6'!$A:$AI,29,FALSE)</f>
        <v>249.8</v>
      </c>
      <c r="AM398" t="str">
        <f>VLOOKUP($J398,'[1]Table S6'!$A:$AI,30,FALSE)</f>
        <v>No</v>
      </c>
      <c r="AO398">
        <f>VLOOKUP($J398,'[1]Table S6'!$A:$AI,32,FALSE)</f>
        <v>439.8</v>
      </c>
      <c r="AP398">
        <f>VLOOKUP($J398,'[1]Table S6'!$A:$AI,33,FALSE)</f>
        <v>0.93594381783358205</v>
      </c>
      <c r="AQ398">
        <f>VLOOKUP($J398,'[1]Table S6'!$A:$AI,34,FALSE)</f>
        <v>229.8</v>
      </c>
      <c r="AR398" t="str">
        <f>VLOOKUP($J398,'[1]Table S6'!$A:$AI,35,FALSE)</f>
        <v>No</v>
      </c>
      <c r="AT398" t="str">
        <f>VLOOKUP($I398,'[2]Table S5'!$A:$K,8,FALSE)</f>
        <v>Sensitive</v>
      </c>
      <c r="AU398" t="str">
        <f>VLOOKUP($I398,'[2]Table S5'!$A:$K,9,FALSE)</f>
        <v>Resistant</v>
      </c>
      <c r="AV398" t="str">
        <f>VLOOKUP($I398,'[2]Table S5'!$A:$K,10,FALSE)</f>
        <v>Resistant</v>
      </c>
      <c r="AW398" t="str">
        <f>VLOOKUP($I398,'[2]Table S5'!$A:$K,11,FALSE)</f>
        <v>Sensitive</v>
      </c>
    </row>
    <row r="399" spans="1:49">
      <c r="A399" s="12" t="s">
        <v>2868</v>
      </c>
      <c r="B399" t="s">
        <v>2869</v>
      </c>
      <c r="C399" t="s">
        <v>2870</v>
      </c>
      <c r="D399" t="s">
        <v>17</v>
      </c>
      <c r="E399" t="s">
        <v>377</v>
      </c>
      <c r="F399" s="12" t="s">
        <v>378</v>
      </c>
      <c r="G399" t="s">
        <v>379</v>
      </c>
      <c r="H399" t="s">
        <v>380</v>
      </c>
      <c r="I399" t="s">
        <v>349</v>
      </c>
      <c r="J399" t="s">
        <v>381</v>
      </c>
      <c r="K399">
        <f>VLOOKUP($J399,'[1]Table S6'!$A:$AI,2,FALSE)</f>
        <v>304.3</v>
      </c>
      <c r="L399">
        <f>VLOOKUP($J399,'[1]Table S6'!$A:$AI,3,FALSE)</f>
        <v>0.64758459246648203</v>
      </c>
      <c r="M399">
        <f>VLOOKUP($J399,'[1]Table S6'!$A:$AI,4,FALSE)</f>
        <v>1.1519999999999999</v>
      </c>
      <c r="N399" t="str">
        <f>VLOOKUP($J399,'[1]Table S6'!$A:$AI,5,FALSE)</f>
        <v>Yes</v>
      </c>
      <c r="P399">
        <f>VLOOKUP($J399,'[1]Table S6'!$A:$AI,7,FALSE)</f>
        <v>294.89999999999998</v>
      </c>
      <c r="Q399">
        <f>VLOOKUP($J399,'[1]Table S6'!$A:$AI,8,FALSE)</f>
        <v>0.62758033624175402</v>
      </c>
      <c r="R399">
        <f>VLOOKUP($J399,'[1]Table S6'!$A:$AI,9,FALSE)</f>
        <v>0.94069999999999998</v>
      </c>
      <c r="S399" t="str">
        <f>VLOOKUP($J399,'[1]Table S6'!$A:$AI,10,FALSE)</f>
        <v>Yes</v>
      </c>
      <c r="U399">
        <f>VLOOKUP($J399,'[1]Table S6'!$A:$AI,12,FALSE)</f>
        <v>287.7</v>
      </c>
      <c r="V399">
        <f>VLOOKUP($J399,'[1]Table S6'!$A:$AI,13,FALSE)</f>
        <v>0.61225792721855699</v>
      </c>
      <c r="W399">
        <f>VLOOKUP($J399,'[1]Table S6'!$A:$AI,14,FALSE)</f>
        <v>0.97889999999999999</v>
      </c>
      <c r="X399" t="str">
        <f>VLOOKUP($J399,'[1]Table S6'!$A:$AI,15,FALSE)</f>
        <v>Yes</v>
      </c>
      <c r="Z399">
        <f>VLOOKUP($J399,'[1]Table S6'!$A:$AI,17,FALSE)</f>
        <v>317.7</v>
      </c>
      <c r="AA399">
        <f>VLOOKUP($J399,'[1]Table S6'!$A:$AI,18,FALSE)</f>
        <v>0.67610129814854203</v>
      </c>
      <c r="AB399">
        <f>VLOOKUP($J399,'[1]Table S6'!$A:$AI,19,FALSE)</f>
        <v>1.728</v>
      </c>
      <c r="AC399" t="str">
        <f>VLOOKUP($J399,'[1]Table S6'!$A:$AI,20,FALSE)</f>
        <v>Yes</v>
      </c>
      <c r="AE399">
        <f>VLOOKUP($J399,'[1]Table S6'!$A:$AI,22,FALSE)</f>
        <v>415.6</v>
      </c>
      <c r="AF399">
        <f>VLOOKUP($J399,'[1]Table S6'!$A:$AI,23,FALSE)</f>
        <v>0.884443498616727</v>
      </c>
      <c r="AG399">
        <f>VLOOKUP($J399,'[1]Table S6'!$A:$AI,24,FALSE)</f>
        <v>72.55</v>
      </c>
      <c r="AH399" t="str">
        <f>VLOOKUP($J399,'[1]Table S6'!$A:$AI,25,FALSE)</f>
        <v>No</v>
      </c>
      <c r="AJ399">
        <f>VLOOKUP($J399,'[1]Table S6'!$A:$AI,27,FALSE)</f>
        <v>417.6</v>
      </c>
      <c r="AK399">
        <f>VLOOKUP($J399,'[1]Table S6'!$A:$AI,28,FALSE)</f>
        <v>0.88869972334539304</v>
      </c>
      <c r="AL399">
        <f>VLOOKUP($J399,'[1]Table S6'!$A:$AI,29,FALSE)</f>
        <v>57.92</v>
      </c>
      <c r="AM399" t="str">
        <f>VLOOKUP($J399,'[1]Table S6'!$A:$AI,30,FALSE)</f>
        <v>No</v>
      </c>
      <c r="AO399">
        <f>VLOOKUP($J399,'[1]Table S6'!$A:$AI,32,FALSE)</f>
        <v>415.2</v>
      </c>
      <c r="AP399">
        <f>VLOOKUP($J399,'[1]Table S6'!$A:$AI,33,FALSE)</f>
        <v>0.88359225367099403</v>
      </c>
      <c r="AQ399">
        <f>VLOOKUP($J399,'[1]Table S6'!$A:$AI,34,FALSE)</f>
        <v>60.58</v>
      </c>
      <c r="AR399" t="str">
        <f>VLOOKUP($J399,'[1]Table S6'!$A:$AI,35,FALSE)</f>
        <v>No</v>
      </c>
      <c r="AT399" t="str">
        <f>VLOOKUP($I399,'[2]Table S5'!$A:$K,8,FALSE)</f>
        <v>Sensitive</v>
      </c>
      <c r="AU399" t="str">
        <f>VLOOKUP($I399,'[2]Table S5'!$A:$K,9,FALSE)</f>
        <v>Resistant</v>
      </c>
      <c r="AV399" t="str">
        <f>VLOOKUP($I399,'[2]Table S5'!$A:$K,10,FALSE)</f>
        <v>Resistant</v>
      </c>
      <c r="AW399" t="str">
        <f>VLOOKUP($I399,'[2]Table S5'!$A:$K,11,FALSE)</f>
        <v>Sensitive</v>
      </c>
    </row>
    <row r="400" spans="1:49">
      <c r="A400" s="12" t="s">
        <v>2871</v>
      </c>
      <c r="B400" t="s">
        <v>2872</v>
      </c>
      <c r="C400" t="s">
        <v>2873</v>
      </c>
      <c r="D400" t="s">
        <v>17</v>
      </c>
      <c r="E400" t="s">
        <v>385</v>
      </c>
      <c r="F400" s="12" t="s">
        <v>386</v>
      </c>
      <c r="G400" t="s">
        <v>387</v>
      </c>
      <c r="H400" t="s">
        <v>388</v>
      </c>
      <c r="I400" t="s">
        <v>349</v>
      </c>
      <c r="J400" t="s">
        <v>357</v>
      </c>
      <c r="K400">
        <f>VLOOKUP($J400,'[1]Table S6'!$A:$AI,2,FALSE)</f>
        <v>270</v>
      </c>
      <c r="L400">
        <f>VLOOKUP($J400,'[1]Table S6'!$A:$AI,3,FALSE)</f>
        <v>0.57459033836986595</v>
      </c>
      <c r="M400">
        <f>VLOOKUP($J400,'[1]Table S6'!$A:$AI,4,FALSE)</f>
        <v>0.45100000000000001</v>
      </c>
      <c r="N400" t="str">
        <f>VLOOKUP($J400,'[1]Table S6'!$A:$AI,5,FALSE)</f>
        <v>Yes</v>
      </c>
      <c r="P400">
        <f>VLOOKUP($J400,'[1]Table S6'!$A:$AI,7,FALSE)</f>
        <v>347.2</v>
      </c>
      <c r="Q400">
        <f>VLOOKUP($J400,'[1]Table S6'!$A:$AI,8,FALSE)</f>
        <v>0.73888061289636098</v>
      </c>
      <c r="R400">
        <f>VLOOKUP($J400,'[1]Table S6'!$A:$AI,9,FALSE)</f>
        <v>3.0579999999999998</v>
      </c>
      <c r="S400" t="str">
        <f>VLOOKUP($J400,'[1]Table S6'!$A:$AI,10,FALSE)</f>
        <v>No</v>
      </c>
      <c r="U400">
        <f>VLOOKUP($J400,'[1]Table S6'!$A:$AI,12,FALSE)</f>
        <v>335.9</v>
      </c>
      <c r="V400">
        <f>VLOOKUP($J400,'[1]Table S6'!$A:$AI,13,FALSE)</f>
        <v>0.71483294317940005</v>
      </c>
      <c r="W400">
        <f>VLOOKUP($J400,'[1]Table S6'!$A:$AI,14,FALSE)</f>
        <v>3.16</v>
      </c>
      <c r="X400" t="str">
        <f>VLOOKUP($J400,'[1]Table S6'!$A:$AI,15,FALSE)</f>
        <v>No</v>
      </c>
      <c r="Z400">
        <f>VLOOKUP($J400,'[1]Table S6'!$A:$AI,17,FALSE)</f>
        <v>295.8</v>
      </c>
      <c r="AA400">
        <f>VLOOKUP($J400,'[1]Table S6'!$A:$AI,18,FALSE)</f>
        <v>0.62949563736965297</v>
      </c>
      <c r="AB400">
        <f>VLOOKUP($J400,'[1]Table S6'!$A:$AI,19,FALSE)</f>
        <v>1.486</v>
      </c>
      <c r="AC400" t="str">
        <f>VLOOKUP($J400,'[1]Table S6'!$A:$AI,20,FALSE)</f>
        <v>Yes</v>
      </c>
      <c r="AE400">
        <f>VLOOKUP($J400,'[1]Table S6'!$A:$AI,22,FALSE)</f>
        <v>322.60000000000002</v>
      </c>
      <c r="AF400">
        <f>VLOOKUP($J400,'[1]Table S6'!$A:$AI,23,FALSE)</f>
        <v>0.68652904873377296</v>
      </c>
      <c r="AG400">
        <f>VLOOKUP($J400,'[1]Table S6'!$A:$AI,24,FALSE)</f>
        <v>2.5449999999999999</v>
      </c>
      <c r="AH400" t="str">
        <f>VLOOKUP($J400,'[1]Table S6'!$A:$AI,25,FALSE)</f>
        <v>Yes</v>
      </c>
      <c r="AJ400">
        <f>VLOOKUP($J400,'[1]Table S6'!$A:$AI,27,FALSE)</f>
        <v>417.3</v>
      </c>
      <c r="AK400">
        <f>VLOOKUP($J400,'[1]Table S6'!$A:$AI,28,FALSE)</f>
        <v>0.88806128963609299</v>
      </c>
      <c r="AL400">
        <f>VLOOKUP($J400,'[1]Table S6'!$A:$AI,29,FALSE)</f>
        <v>134.1</v>
      </c>
      <c r="AM400" t="str">
        <f>VLOOKUP($J400,'[1]Table S6'!$A:$AI,30,FALSE)</f>
        <v>No</v>
      </c>
      <c r="AO400">
        <f>VLOOKUP($J400,'[1]Table S6'!$A:$AI,32,FALSE)</f>
        <v>380.5</v>
      </c>
      <c r="AP400">
        <f>VLOOKUP($J400,'[1]Table S6'!$A:$AI,33,FALSE)</f>
        <v>0.80974675462864398</v>
      </c>
      <c r="AQ400">
        <f>VLOOKUP($J400,'[1]Table S6'!$A:$AI,34,FALSE)</f>
        <v>60.05</v>
      </c>
      <c r="AR400" t="str">
        <f>VLOOKUP($J400,'[1]Table S6'!$A:$AI,35,FALSE)</f>
        <v>No</v>
      </c>
      <c r="AT400" t="str">
        <f>VLOOKUP($I400,'[2]Table S5'!$A:$K,8,FALSE)</f>
        <v>Sensitive</v>
      </c>
      <c r="AU400" t="str">
        <f>VLOOKUP($I400,'[2]Table S5'!$A:$K,9,FALSE)</f>
        <v>Resistant</v>
      </c>
      <c r="AV400" t="str">
        <f>VLOOKUP($I400,'[2]Table S5'!$A:$K,10,FALSE)</f>
        <v>Resistant</v>
      </c>
      <c r="AW400" t="str">
        <f>VLOOKUP($I400,'[2]Table S5'!$A:$K,11,FALSE)</f>
        <v>Sensitive</v>
      </c>
    </row>
    <row r="401" spans="1:49">
      <c r="A401" s="12" t="s">
        <v>2874</v>
      </c>
      <c r="B401" t="s">
        <v>2875</v>
      </c>
      <c r="C401" t="s">
        <v>2876</v>
      </c>
      <c r="D401" t="s">
        <v>17</v>
      </c>
      <c r="E401" t="s">
        <v>392</v>
      </c>
      <c r="F401" s="12" t="s">
        <v>393</v>
      </c>
      <c r="G401" t="s">
        <v>394</v>
      </c>
      <c r="H401" t="s">
        <v>395</v>
      </c>
      <c r="I401" t="s">
        <v>349</v>
      </c>
      <c r="J401" t="s">
        <v>365</v>
      </c>
      <c r="K401">
        <f>VLOOKUP($J401,'[1]Table S6'!$A:$AI,2,FALSE)</f>
        <v>301.3</v>
      </c>
      <c r="L401">
        <f>VLOOKUP($J401,'[1]Table S6'!$A:$AI,3,FALSE)</f>
        <v>0.64120025537348402</v>
      </c>
      <c r="M401">
        <f>VLOOKUP($J401,'[1]Table S6'!$A:$AI,4,FALSE)</f>
        <v>1.139</v>
      </c>
      <c r="N401" t="str">
        <f>VLOOKUP($J401,'[1]Table S6'!$A:$AI,5,FALSE)</f>
        <v>Yes</v>
      </c>
      <c r="P401">
        <f>VLOOKUP($J401,'[1]Table S6'!$A:$AI,7,FALSE)</f>
        <v>321.10000000000002</v>
      </c>
      <c r="Q401">
        <f>VLOOKUP($J401,'[1]Table S6'!$A:$AI,8,FALSE)</f>
        <v>0.68333688018727401</v>
      </c>
      <c r="R401">
        <f>VLOOKUP($J401,'[1]Table S6'!$A:$AI,9,FALSE)</f>
        <v>1.75</v>
      </c>
      <c r="S401" t="str">
        <f>VLOOKUP($J401,'[1]Table S6'!$A:$AI,10,FALSE)</f>
        <v>Yes</v>
      </c>
      <c r="U401">
        <f>VLOOKUP($J401,'[1]Table S6'!$A:$AI,12,FALSE)</f>
        <v>364.7</v>
      </c>
      <c r="V401">
        <f>VLOOKUP($J401,'[1]Table S6'!$A:$AI,13,FALSE)</f>
        <v>0.77612257927218598</v>
      </c>
      <c r="W401">
        <f>VLOOKUP($J401,'[1]Table S6'!$A:$AI,14,FALSE)</f>
        <v>12.64</v>
      </c>
      <c r="X401" t="str">
        <f>VLOOKUP($J401,'[1]Table S6'!$A:$AI,15,FALSE)</f>
        <v>No</v>
      </c>
      <c r="Z401">
        <f>VLOOKUP($J401,'[1]Table S6'!$A:$AI,17,FALSE)</f>
        <v>306.2</v>
      </c>
      <c r="AA401">
        <f>VLOOKUP($J401,'[1]Table S6'!$A:$AI,18,FALSE)</f>
        <v>0.65162800595871495</v>
      </c>
      <c r="AB401">
        <f>VLOOKUP($J401,'[1]Table S6'!$A:$AI,19,FALSE)</f>
        <v>1.393</v>
      </c>
      <c r="AC401" t="str">
        <f>VLOOKUP($J401,'[1]Table S6'!$A:$AI,20,FALSE)</f>
        <v>Yes</v>
      </c>
      <c r="AE401">
        <f>VLOOKUP($J401,'[1]Table S6'!$A:$AI,22,FALSE)</f>
        <v>375.4</v>
      </c>
      <c r="AF401">
        <f>VLOOKUP($J401,'[1]Table S6'!$A:$AI,23,FALSE)</f>
        <v>0.79889338157054701</v>
      </c>
      <c r="AG401">
        <f>VLOOKUP($J401,'[1]Table S6'!$A:$AI,24,FALSE)</f>
        <v>14.79</v>
      </c>
      <c r="AH401" t="str">
        <f>VLOOKUP($J401,'[1]Table S6'!$A:$AI,25,FALSE)</f>
        <v>No</v>
      </c>
      <c r="AJ401">
        <f>VLOOKUP($J401,'[1]Table S6'!$A:$AI,27,FALSE)</f>
        <v>407.5</v>
      </c>
      <c r="AK401">
        <f>VLOOKUP($J401,'[1]Table S6'!$A:$AI,28,FALSE)</f>
        <v>0.86720578846563101</v>
      </c>
      <c r="AL401">
        <f>VLOOKUP($J401,'[1]Table S6'!$A:$AI,29,FALSE)</f>
        <v>108.3</v>
      </c>
      <c r="AM401" t="str">
        <f>VLOOKUP($J401,'[1]Table S6'!$A:$AI,30,FALSE)</f>
        <v>No</v>
      </c>
      <c r="AO401">
        <f>VLOOKUP($J401,'[1]Table S6'!$A:$AI,32,FALSE)</f>
        <v>390.1</v>
      </c>
      <c r="AP401">
        <f>VLOOKUP($J401,'[1]Table S6'!$A:$AI,33,FALSE)</f>
        <v>0.83017663332624003</v>
      </c>
      <c r="AQ401">
        <f>VLOOKUP($J401,'[1]Table S6'!$A:$AI,34,FALSE)</f>
        <v>95.6</v>
      </c>
      <c r="AR401" t="str">
        <f>VLOOKUP($J401,'[1]Table S6'!$A:$AI,35,FALSE)</f>
        <v>No</v>
      </c>
      <c r="AT401" t="str">
        <f>VLOOKUP($I401,'[2]Table S5'!$A:$K,8,FALSE)</f>
        <v>Sensitive</v>
      </c>
      <c r="AU401" t="str">
        <f>VLOOKUP($I401,'[2]Table S5'!$A:$K,9,FALSE)</f>
        <v>Resistant</v>
      </c>
      <c r="AV401" t="str">
        <f>VLOOKUP($I401,'[2]Table S5'!$A:$K,10,FALSE)</f>
        <v>Resistant</v>
      </c>
      <c r="AW401" t="str">
        <f>VLOOKUP($I401,'[2]Table S5'!$A:$K,11,FALSE)</f>
        <v>Sensitive</v>
      </c>
    </row>
    <row r="402" spans="1:49">
      <c r="A402" s="12" t="s">
        <v>2877</v>
      </c>
      <c r="B402" t="s">
        <v>2878</v>
      </c>
      <c r="C402" t="s">
        <v>2879</v>
      </c>
      <c r="D402" t="s">
        <v>17</v>
      </c>
      <c r="E402" t="s">
        <v>399</v>
      </c>
      <c r="F402" s="12" t="s">
        <v>400</v>
      </c>
      <c r="G402" t="s">
        <v>401</v>
      </c>
      <c r="H402" t="s">
        <v>402</v>
      </c>
      <c r="I402" t="s">
        <v>349</v>
      </c>
      <c r="J402" t="s">
        <v>373</v>
      </c>
      <c r="K402">
        <f>VLOOKUP($J402,'[1]Table S6'!$A:$AI,2,FALSE)</f>
        <v>308.10000000000002</v>
      </c>
      <c r="L402">
        <f>VLOOKUP($J402,'[1]Table S6'!$A:$AI,3,FALSE)</f>
        <v>0.65567141945094698</v>
      </c>
      <c r="M402">
        <f>VLOOKUP($J402,'[1]Table S6'!$A:$AI,4,FALSE)</f>
        <v>1.2869999999999999</v>
      </c>
      <c r="N402" t="str">
        <f>VLOOKUP($J402,'[1]Table S6'!$A:$AI,5,FALSE)</f>
        <v>Yes</v>
      </c>
      <c r="P402">
        <f>VLOOKUP($J402,'[1]Table S6'!$A:$AI,7,FALSE)</f>
        <v>319.10000000000002</v>
      </c>
      <c r="Q402">
        <f>VLOOKUP($J402,'[1]Table S6'!$A:$AI,8,FALSE)</f>
        <v>0.67908065545860796</v>
      </c>
      <c r="R402">
        <f>VLOOKUP($J402,'[1]Table S6'!$A:$AI,9,FALSE)</f>
        <v>1.6619999999999999</v>
      </c>
      <c r="S402" t="str">
        <f>VLOOKUP($J402,'[1]Table S6'!$A:$AI,10,FALSE)</f>
        <v>Yes</v>
      </c>
      <c r="U402">
        <f>VLOOKUP($J402,'[1]Table S6'!$A:$AI,12,FALSE)</f>
        <v>306.7</v>
      </c>
      <c r="V402">
        <f>VLOOKUP($J402,'[1]Table S6'!$A:$AI,13,FALSE)</f>
        <v>0.65269206214088105</v>
      </c>
      <c r="W402">
        <f>VLOOKUP($J402,'[1]Table S6'!$A:$AI,14,FALSE)</f>
        <v>1.395</v>
      </c>
      <c r="X402" t="str">
        <f>VLOOKUP($J402,'[1]Table S6'!$A:$AI,15,FALSE)</f>
        <v>Yes</v>
      </c>
      <c r="Z402">
        <f>VLOOKUP($J402,'[1]Table S6'!$A:$AI,17,FALSE)</f>
        <v>297.5</v>
      </c>
      <c r="AA402">
        <f>VLOOKUP($J402,'[1]Table S6'!$A:$AI,18,FALSE)</f>
        <v>0.63311342838901896</v>
      </c>
      <c r="AB402">
        <f>VLOOKUP($J402,'[1]Table S6'!$A:$AI,19,FALSE)</f>
        <v>1.1619999999999999</v>
      </c>
      <c r="AC402" t="str">
        <f>VLOOKUP($J402,'[1]Table S6'!$A:$AI,20,FALSE)</f>
        <v>Yes</v>
      </c>
      <c r="AE402">
        <f>VLOOKUP($J402,'[1]Table S6'!$A:$AI,22,FALSE)</f>
        <v>418.5</v>
      </c>
      <c r="AF402">
        <f>VLOOKUP($J402,'[1]Table S6'!$A:$AI,23,FALSE)</f>
        <v>0.89061502447329199</v>
      </c>
      <c r="AG402">
        <f>VLOOKUP($J402,'[1]Table S6'!$A:$AI,24,FALSE)</f>
        <v>46.33</v>
      </c>
      <c r="AH402" t="str">
        <f>VLOOKUP($J402,'[1]Table S6'!$A:$AI,25,FALSE)</f>
        <v>No</v>
      </c>
      <c r="AJ402">
        <f>VLOOKUP($J402,'[1]Table S6'!$A:$AI,27,FALSE)</f>
        <v>442.1</v>
      </c>
      <c r="AK402">
        <f>VLOOKUP($J402,'[1]Table S6'!$A:$AI,28,FALSE)</f>
        <v>0.94083847627154704</v>
      </c>
      <c r="AL402">
        <f>VLOOKUP($J402,'[1]Table S6'!$A:$AI,29,FALSE)</f>
        <v>249.8</v>
      </c>
      <c r="AM402" t="str">
        <f>VLOOKUP($J402,'[1]Table S6'!$A:$AI,30,FALSE)</f>
        <v>No</v>
      </c>
      <c r="AO402">
        <f>VLOOKUP($J402,'[1]Table S6'!$A:$AI,32,FALSE)</f>
        <v>439.8</v>
      </c>
      <c r="AP402">
        <f>VLOOKUP($J402,'[1]Table S6'!$A:$AI,33,FALSE)</f>
        <v>0.93594381783358205</v>
      </c>
      <c r="AQ402">
        <f>VLOOKUP($J402,'[1]Table S6'!$A:$AI,34,FALSE)</f>
        <v>229.8</v>
      </c>
      <c r="AR402" t="str">
        <f>VLOOKUP($J402,'[1]Table S6'!$A:$AI,35,FALSE)</f>
        <v>No</v>
      </c>
      <c r="AT402" t="str">
        <f>VLOOKUP($I402,'[2]Table S5'!$A:$K,8,FALSE)</f>
        <v>Sensitive</v>
      </c>
      <c r="AU402" t="str">
        <f>VLOOKUP($I402,'[2]Table S5'!$A:$K,9,FALSE)</f>
        <v>Resistant</v>
      </c>
      <c r="AV402" t="str">
        <f>VLOOKUP($I402,'[2]Table S5'!$A:$K,10,FALSE)</f>
        <v>Resistant</v>
      </c>
      <c r="AW402" t="str">
        <f>VLOOKUP($I402,'[2]Table S5'!$A:$K,11,FALSE)</f>
        <v>Sensitive</v>
      </c>
    </row>
    <row r="403" spans="1:49">
      <c r="A403" s="12" t="s">
        <v>2880</v>
      </c>
      <c r="B403" t="s">
        <v>2881</v>
      </c>
      <c r="C403" t="s">
        <v>2882</v>
      </c>
      <c r="D403" t="s">
        <v>17</v>
      </c>
      <c r="E403" t="s">
        <v>406</v>
      </c>
      <c r="F403" s="12" t="s">
        <v>407</v>
      </c>
      <c r="G403" t="s">
        <v>408</v>
      </c>
      <c r="H403" t="s">
        <v>409</v>
      </c>
      <c r="I403" t="s">
        <v>349</v>
      </c>
      <c r="J403" t="s">
        <v>381</v>
      </c>
      <c r="K403">
        <f>VLOOKUP($J403,'[1]Table S6'!$A:$AI,2,FALSE)</f>
        <v>304.3</v>
      </c>
      <c r="L403">
        <f>VLOOKUP($J403,'[1]Table S6'!$A:$AI,3,FALSE)</f>
        <v>0.64758459246648203</v>
      </c>
      <c r="M403">
        <f>VLOOKUP($J403,'[1]Table S6'!$A:$AI,4,FALSE)</f>
        <v>1.1519999999999999</v>
      </c>
      <c r="N403" t="str">
        <f>VLOOKUP($J403,'[1]Table S6'!$A:$AI,5,FALSE)</f>
        <v>Yes</v>
      </c>
      <c r="P403">
        <f>VLOOKUP($J403,'[1]Table S6'!$A:$AI,7,FALSE)</f>
        <v>294.89999999999998</v>
      </c>
      <c r="Q403">
        <f>VLOOKUP($J403,'[1]Table S6'!$A:$AI,8,FALSE)</f>
        <v>0.62758033624175402</v>
      </c>
      <c r="R403">
        <f>VLOOKUP($J403,'[1]Table S6'!$A:$AI,9,FALSE)</f>
        <v>0.94069999999999998</v>
      </c>
      <c r="S403" t="str">
        <f>VLOOKUP($J403,'[1]Table S6'!$A:$AI,10,FALSE)</f>
        <v>Yes</v>
      </c>
      <c r="U403">
        <f>VLOOKUP($J403,'[1]Table S6'!$A:$AI,12,FALSE)</f>
        <v>287.7</v>
      </c>
      <c r="V403">
        <f>VLOOKUP($J403,'[1]Table S6'!$A:$AI,13,FALSE)</f>
        <v>0.61225792721855699</v>
      </c>
      <c r="W403">
        <f>VLOOKUP($J403,'[1]Table S6'!$A:$AI,14,FALSE)</f>
        <v>0.97889999999999999</v>
      </c>
      <c r="X403" t="str">
        <f>VLOOKUP($J403,'[1]Table S6'!$A:$AI,15,FALSE)</f>
        <v>Yes</v>
      </c>
      <c r="Z403">
        <f>VLOOKUP($J403,'[1]Table S6'!$A:$AI,17,FALSE)</f>
        <v>317.7</v>
      </c>
      <c r="AA403">
        <f>VLOOKUP($J403,'[1]Table S6'!$A:$AI,18,FALSE)</f>
        <v>0.67610129814854203</v>
      </c>
      <c r="AB403">
        <f>VLOOKUP($J403,'[1]Table S6'!$A:$AI,19,FALSE)</f>
        <v>1.728</v>
      </c>
      <c r="AC403" t="str">
        <f>VLOOKUP($J403,'[1]Table S6'!$A:$AI,20,FALSE)</f>
        <v>Yes</v>
      </c>
      <c r="AE403">
        <f>VLOOKUP($J403,'[1]Table S6'!$A:$AI,22,FALSE)</f>
        <v>415.6</v>
      </c>
      <c r="AF403">
        <f>VLOOKUP($J403,'[1]Table S6'!$A:$AI,23,FALSE)</f>
        <v>0.884443498616727</v>
      </c>
      <c r="AG403">
        <f>VLOOKUP($J403,'[1]Table S6'!$A:$AI,24,FALSE)</f>
        <v>72.55</v>
      </c>
      <c r="AH403" t="str">
        <f>VLOOKUP($J403,'[1]Table S6'!$A:$AI,25,FALSE)</f>
        <v>No</v>
      </c>
      <c r="AJ403">
        <f>VLOOKUP($J403,'[1]Table S6'!$A:$AI,27,FALSE)</f>
        <v>417.6</v>
      </c>
      <c r="AK403">
        <f>VLOOKUP($J403,'[1]Table S6'!$A:$AI,28,FALSE)</f>
        <v>0.88869972334539304</v>
      </c>
      <c r="AL403">
        <f>VLOOKUP($J403,'[1]Table S6'!$A:$AI,29,FALSE)</f>
        <v>57.92</v>
      </c>
      <c r="AM403" t="str">
        <f>VLOOKUP($J403,'[1]Table S6'!$A:$AI,30,FALSE)</f>
        <v>No</v>
      </c>
      <c r="AO403">
        <f>VLOOKUP($J403,'[1]Table S6'!$A:$AI,32,FALSE)</f>
        <v>415.2</v>
      </c>
      <c r="AP403">
        <f>VLOOKUP($J403,'[1]Table S6'!$A:$AI,33,FALSE)</f>
        <v>0.88359225367099403</v>
      </c>
      <c r="AQ403">
        <f>VLOOKUP($J403,'[1]Table S6'!$A:$AI,34,FALSE)</f>
        <v>60.58</v>
      </c>
      <c r="AR403" t="str">
        <f>VLOOKUP($J403,'[1]Table S6'!$A:$AI,35,FALSE)</f>
        <v>No</v>
      </c>
      <c r="AT403" t="str">
        <f>VLOOKUP($I403,'[2]Table S5'!$A:$K,8,FALSE)</f>
        <v>Sensitive</v>
      </c>
      <c r="AU403" t="str">
        <f>VLOOKUP($I403,'[2]Table S5'!$A:$K,9,FALSE)</f>
        <v>Resistant</v>
      </c>
      <c r="AV403" t="str">
        <f>VLOOKUP($I403,'[2]Table S5'!$A:$K,10,FALSE)</f>
        <v>Resistant</v>
      </c>
      <c r="AW403" t="str">
        <f>VLOOKUP($I403,'[2]Table S5'!$A:$K,11,FALSE)</f>
        <v>Sensitive</v>
      </c>
    </row>
    <row r="404" spans="1:49">
      <c r="A404" s="12" t="s">
        <v>2883</v>
      </c>
      <c r="B404" t="s">
        <v>2884</v>
      </c>
      <c r="C404" t="s">
        <v>2885</v>
      </c>
      <c r="D404" t="s">
        <v>17</v>
      </c>
      <c r="E404" t="s">
        <v>421</v>
      </c>
      <c r="F404" s="12" t="s">
        <v>422</v>
      </c>
      <c r="G404" t="s">
        <v>423</v>
      </c>
      <c r="H404" t="s">
        <v>424</v>
      </c>
      <c r="I404" t="s">
        <v>417</v>
      </c>
      <c r="J404" t="s">
        <v>425</v>
      </c>
      <c r="K404">
        <f>VLOOKUP($J404,'[1]Table S6'!$A:$AI,2,FALSE)</f>
        <v>330.1</v>
      </c>
      <c r="L404">
        <f>VLOOKUP($J404,'[1]Table S6'!$A:$AI,3,FALSE)</f>
        <v>0.70248989146626994</v>
      </c>
      <c r="M404">
        <f>VLOOKUP($J404,'[1]Table S6'!$A:$AI,4,FALSE)</f>
        <v>2.2429999999999999</v>
      </c>
      <c r="N404" t="str">
        <f>VLOOKUP($J404,'[1]Table S6'!$A:$AI,5,FALSE)</f>
        <v>Yes</v>
      </c>
      <c r="P404">
        <f>VLOOKUP($J404,'[1]Table S6'!$A:$AI,7,FALSE)</f>
        <v>395.9</v>
      </c>
      <c r="Q404">
        <f>VLOOKUP($J404,'[1]Table S6'!$A:$AI,8,FALSE)</f>
        <v>0.84251968503937003</v>
      </c>
      <c r="R404">
        <f>VLOOKUP($J404,'[1]Table S6'!$A:$AI,9,FALSE)</f>
        <v>22.78</v>
      </c>
      <c r="S404" t="str">
        <f>VLOOKUP($J404,'[1]Table S6'!$A:$AI,10,FALSE)</f>
        <v>No</v>
      </c>
      <c r="U404">
        <f>VLOOKUP($J404,'[1]Table S6'!$A:$AI,12,FALSE)</f>
        <v>393.2</v>
      </c>
      <c r="V404">
        <f>VLOOKUP($J404,'[1]Table S6'!$A:$AI,13,FALSE)</f>
        <v>0.83677378165567096</v>
      </c>
      <c r="W404">
        <f>VLOOKUP($J404,'[1]Table S6'!$A:$AI,14,FALSE)</f>
        <v>21.84</v>
      </c>
      <c r="X404" t="str">
        <f>VLOOKUP($J404,'[1]Table S6'!$A:$AI,15,FALSE)</f>
        <v>No</v>
      </c>
      <c r="Z404">
        <f>VLOOKUP($J404,'[1]Table S6'!$A:$AI,17,FALSE)</f>
        <v>410.5</v>
      </c>
      <c r="AA404">
        <f>VLOOKUP($J404,'[1]Table S6'!$A:$AI,18,FALSE)</f>
        <v>0.87359012555863003</v>
      </c>
      <c r="AB404">
        <f>VLOOKUP($J404,'[1]Table S6'!$A:$AI,19,FALSE)</f>
        <v>41.44</v>
      </c>
      <c r="AC404" t="str">
        <f>VLOOKUP($J404,'[1]Table S6'!$A:$AI,20,FALSE)</f>
        <v>No</v>
      </c>
      <c r="AE404">
        <f>VLOOKUP($J404,'[1]Table S6'!$A:$AI,22,FALSE)</f>
        <v>417</v>
      </c>
      <c r="AF404">
        <f>VLOOKUP($J404,'[1]Table S6'!$A:$AI,23,FALSE)</f>
        <v>0.88742285592679304</v>
      </c>
      <c r="AG404">
        <f>VLOOKUP($J404,'[1]Table S6'!$A:$AI,24,FALSE)</f>
        <v>25.58</v>
      </c>
      <c r="AH404" t="str">
        <f>VLOOKUP($J404,'[1]Table S6'!$A:$AI,25,FALSE)</f>
        <v>No</v>
      </c>
      <c r="AJ404">
        <f>VLOOKUP($J404,'[1]Table S6'!$A:$AI,27,FALSE)</f>
        <v>441.5</v>
      </c>
      <c r="AK404">
        <f>VLOOKUP($J404,'[1]Table S6'!$A:$AI,28,FALSE)</f>
        <v>0.93956160885294704</v>
      </c>
      <c r="AL404">
        <f>VLOOKUP($J404,'[1]Table S6'!$A:$AI,29,FALSE)</f>
        <v>57.63</v>
      </c>
      <c r="AM404" t="str">
        <f>VLOOKUP($J404,'[1]Table S6'!$A:$AI,30,FALSE)</f>
        <v>No</v>
      </c>
      <c r="AO404">
        <f>VLOOKUP($J404,'[1]Table S6'!$A:$AI,32,FALSE)</f>
        <v>437.5</v>
      </c>
      <c r="AP404">
        <f>VLOOKUP($J404,'[1]Table S6'!$A:$AI,33,FALSE)</f>
        <v>0.93104915939561605</v>
      </c>
      <c r="AQ404">
        <f>VLOOKUP($J404,'[1]Table S6'!$A:$AI,34,FALSE)</f>
        <v>113.7</v>
      </c>
      <c r="AR404" t="str">
        <f>VLOOKUP($J404,'[1]Table S6'!$A:$AI,35,FALSE)</f>
        <v>No</v>
      </c>
      <c r="AT404" t="str">
        <f>VLOOKUP($I404,'[2]Table S5'!$A:$K,8,FALSE)</f>
        <v>Resistant</v>
      </c>
      <c r="AU404" t="str">
        <f>VLOOKUP($I404,'[2]Table S5'!$A:$K,9,FALSE)</f>
        <v>Resistant</v>
      </c>
      <c r="AV404" t="str">
        <f>VLOOKUP($I404,'[2]Table S5'!$A:$K,10,FALSE)</f>
        <v>Resistant</v>
      </c>
      <c r="AW404" t="str">
        <f>VLOOKUP($I404,'[2]Table S5'!$A:$K,11,FALSE)</f>
        <v>Resistant</v>
      </c>
    </row>
    <row r="405" spans="1:49">
      <c r="A405" s="12" t="s">
        <v>2886</v>
      </c>
      <c r="B405" t="s">
        <v>2887</v>
      </c>
      <c r="C405" t="s">
        <v>2888</v>
      </c>
      <c r="D405" t="s">
        <v>17</v>
      </c>
      <c r="E405" t="s">
        <v>429</v>
      </c>
      <c r="F405" s="12" t="s">
        <v>430</v>
      </c>
      <c r="G405" t="s">
        <v>431</v>
      </c>
      <c r="H405" t="s">
        <v>432</v>
      </c>
      <c r="I405" t="s">
        <v>417</v>
      </c>
      <c r="J405" t="s">
        <v>433</v>
      </c>
      <c r="K405">
        <f>VLOOKUP($J405,'[1]Table S6'!$A:$AI,2,FALSE)</f>
        <v>331.2</v>
      </c>
      <c r="L405">
        <f>VLOOKUP($J405,'[1]Table S6'!$A:$AI,3,FALSE)</f>
        <v>0.70483081506703604</v>
      </c>
      <c r="M405">
        <f>VLOOKUP($J405,'[1]Table S6'!$A:$AI,4,FALSE)</f>
        <v>3.1240000000000001</v>
      </c>
      <c r="N405" t="str">
        <f>VLOOKUP($J405,'[1]Table S6'!$A:$AI,5,FALSE)</f>
        <v>Yes</v>
      </c>
      <c r="P405">
        <f>VLOOKUP($J405,'[1]Table S6'!$A:$AI,7,FALSE)</f>
        <v>375.7</v>
      </c>
      <c r="Q405">
        <f>VLOOKUP($J405,'[1]Table S6'!$A:$AI,8,FALSE)</f>
        <v>0.79953181527984696</v>
      </c>
      <c r="R405">
        <f>VLOOKUP($J405,'[1]Table S6'!$A:$AI,9,FALSE)</f>
        <v>11.32</v>
      </c>
      <c r="S405" t="str">
        <f>VLOOKUP($J405,'[1]Table S6'!$A:$AI,10,FALSE)</f>
        <v>No</v>
      </c>
      <c r="U405">
        <f>VLOOKUP($J405,'[1]Table S6'!$A:$AI,12,FALSE)</f>
        <v>375.7</v>
      </c>
      <c r="V405">
        <f>VLOOKUP($J405,'[1]Table S6'!$A:$AI,13,FALSE)</f>
        <v>0.79953181527984696</v>
      </c>
      <c r="W405">
        <f>VLOOKUP($J405,'[1]Table S6'!$A:$AI,14,FALSE)</f>
        <v>11.71</v>
      </c>
      <c r="X405" t="str">
        <f>VLOOKUP($J405,'[1]Table S6'!$A:$AI,15,FALSE)</f>
        <v>No</v>
      </c>
      <c r="Z405">
        <f>VLOOKUP($J405,'[1]Table S6'!$A:$AI,17,FALSE)</f>
        <v>370.3</v>
      </c>
      <c r="AA405">
        <f>VLOOKUP($J405,'[1]Table S6'!$A:$AI,18,FALSE)</f>
        <v>0.78804000851244904</v>
      </c>
      <c r="AB405">
        <f>VLOOKUP($J405,'[1]Table S6'!$A:$AI,19,FALSE)</f>
        <v>9.4890000000000008</v>
      </c>
      <c r="AC405" t="str">
        <f>VLOOKUP($J405,'[1]Table S6'!$A:$AI,20,FALSE)</f>
        <v>No</v>
      </c>
      <c r="AE405">
        <f>VLOOKUP($J405,'[1]Table S6'!$A:$AI,22,FALSE)</f>
        <v>374.5</v>
      </c>
      <c r="AF405">
        <f>VLOOKUP($J405,'[1]Table S6'!$A:$AI,23,FALSE)</f>
        <v>0.79697808044264695</v>
      </c>
      <c r="AG405">
        <f>VLOOKUP($J405,'[1]Table S6'!$A:$AI,24,FALSE)</f>
        <v>14.22</v>
      </c>
      <c r="AH405" t="str">
        <f>VLOOKUP($J405,'[1]Table S6'!$A:$AI,25,FALSE)</f>
        <v>No</v>
      </c>
      <c r="AJ405">
        <f>VLOOKUP($J405,'[1]Table S6'!$A:$AI,27,FALSE)</f>
        <v>413.4</v>
      </c>
      <c r="AK405">
        <f>VLOOKUP($J405,'[1]Table S6'!$A:$AI,28,FALSE)</f>
        <v>0.87976165141519502</v>
      </c>
      <c r="AL405">
        <f>VLOOKUP($J405,'[1]Table S6'!$A:$AI,29,FALSE)</f>
        <v>31.83</v>
      </c>
      <c r="AM405" t="str">
        <f>VLOOKUP($J405,'[1]Table S6'!$A:$AI,30,FALSE)</f>
        <v>No</v>
      </c>
      <c r="AO405">
        <f>VLOOKUP($J405,'[1]Table S6'!$A:$AI,32,FALSE)</f>
        <v>445.5</v>
      </c>
      <c r="AP405">
        <f>VLOOKUP($J405,'[1]Table S6'!$A:$AI,33,FALSE)</f>
        <v>0.94807405831027902</v>
      </c>
      <c r="AQ405">
        <f>VLOOKUP($J405,'[1]Table S6'!$A:$AI,34,FALSE)</f>
        <v>123.9</v>
      </c>
      <c r="AR405" t="str">
        <f>VLOOKUP($J405,'[1]Table S6'!$A:$AI,35,FALSE)</f>
        <v>No</v>
      </c>
      <c r="AT405" t="str">
        <f>VLOOKUP($I405,'[2]Table S5'!$A:$K,8,FALSE)</f>
        <v>Resistant</v>
      </c>
      <c r="AU405" t="str">
        <f>VLOOKUP($I405,'[2]Table S5'!$A:$K,9,FALSE)</f>
        <v>Resistant</v>
      </c>
      <c r="AV405" t="str">
        <f>VLOOKUP($I405,'[2]Table S5'!$A:$K,10,FALSE)</f>
        <v>Resistant</v>
      </c>
      <c r="AW405" t="str">
        <f>VLOOKUP($I405,'[2]Table S5'!$A:$K,11,FALSE)</f>
        <v>Resistant</v>
      </c>
    </row>
    <row r="406" spans="1:49">
      <c r="A406" s="12" t="s">
        <v>2889</v>
      </c>
      <c r="B406" t="s">
        <v>2890</v>
      </c>
      <c r="C406" t="s">
        <v>2891</v>
      </c>
      <c r="D406" t="s">
        <v>17</v>
      </c>
      <c r="E406" t="s">
        <v>437</v>
      </c>
      <c r="F406" s="12" t="s">
        <v>438</v>
      </c>
      <c r="G406" t="s">
        <v>439</v>
      </c>
      <c r="H406" t="s">
        <v>440</v>
      </c>
      <c r="I406" t="s">
        <v>417</v>
      </c>
      <c r="J406" t="s">
        <v>441</v>
      </c>
      <c r="K406">
        <f>VLOOKUP($J406,'[1]Table S6'!$A:$AI,2,FALSE)</f>
        <v>344.8</v>
      </c>
      <c r="L406">
        <f>VLOOKUP($J406,'[1]Table S6'!$A:$AI,3,FALSE)</f>
        <v>0.73377314322196197</v>
      </c>
      <c r="M406">
        <f>VLOOKUP($J406,'[1]Table S6'!$A:$AI,4,FALSE)</f>
        <v>3.6150000000000002</v>
      </c>
      <c r="N406" t="str">
        <f>VLOOKUP($J406,'[1]Table S6'!$A:$AI,5,FALSE)</f>
        <v>No</v>
      </c>
      <c r="P406">
        <f>VLOOKUP($J406,'[1]Table S6'!$A:$AI,7,FALSE)</f>
        <v>394.3</v>
      </c>
      <c r="Q406">
        <f>VLOOKUP($J406,'[1]Table S6'!$A:$AI,8,FALSE)</f>
        <v>0.83911470525643805</v>
      </c>
      <c r="R406">
        <f>VLOOKUP($J406,'[1]Table S6'!$A:$AI,9,FALSE)</f>
        <v>23.27</v>
      </c>
      <c r="S406" t="str">
        <f>VLOOKUP($J406,'[1]Table S6'!$A:$AI,10,FALSE)</f>
        <v>No</v>
      </c>
      <c r="U406">
        <f>VLOOKUP($J406,'[1]Table S6'!$A:$AI,12,FALSE)</f>
        <v>407.3</v>
      </c>
      <c r="V406">
        <f>VLOOKUP($J406,'[1]Table S6'!$A:$AI,13,FALSE)</f>
        <v>0.86678016599276497</v>
      </c>
      <c r="W406">
        <f>VLOOKUP($J406,'[1]Table S6'!$A:$AI,14,FALSE)</f>
        <v>32.51</v>
      </c>
      <c r="X406" t="str">
        <f>VLOOKUP($J406,'[1]Table S6'!$A:$AI,15,FALSE)</f>
        <v>No</v>
      </c>
      <c r="Z406">
        <f>VLOOKUP($J406,'[1]Table S6'!$A:$AI,17,FALSE)</f>
        <v>387.3</v>
      </c>
      <c r="AA406">
        <f>VLOOKUP($J406,'[1]Table S6'!$A:$AI,18,FALSE)</f>
        <v>0.82421791870610805</v>
      </c>
      <c r="AB406">
        <f>VLOOKUP($J406,'[1]Table S6'!$A:$AI,19,FALSE)</f>
        <v>17.350000000000001</v>
      </c>
      <c r="AC406" t="str">
        <f>VLOOKUP($J406,'[1]Table S6'!$A:$AI,20,FALSE)</f>
        <v>No</v>
      </c>
      <c r="AE406">
        <f>VLOOKUP($J406,'[1]Table S6'!$A:$AI,22,FALSE)</f>
        <v>389.2</v>
      </c>
      <c r="AF406">
        <f>VLOOKUP($J406,'[1]Table S6'!$A:$AI,23,FALSE)</f>
        <v>0.82826133219833997</v>
      </c>
      <c r="AG406">
        <f>VLOOKUP($J406,'[1]Table S6'!$A:$AI,24,FALSE)</f>
        <v>17.2</v>
      </c>
      <c r="AH406" t="str">
        <f>VLOOKUP($J406,'[1]Table S6'!$A:$AI,25,FALSE)</f>
        <v>No</v>
      </c>
      <c r="AJ406">
        <f>VLOOKUP($J406,'[1]Table S6'!$A:$AI,27,FALSE)</f>
        <v>407.7</v>
      </c>
      <c r="AK406">
        <f>VLOOKUP($J406,'[1]Table S6'!$A:$AI,28,FALSE)</f>
        <v>0.86763141093849805</v>
      </c>
      <c r="AL406">
        <f>VLOOKUP($J406,'[1]Table S6'!$A:$AI,29,FALSE)</f>
        <v>39.58</v>
      </c>
      <c r="AM406" t="str">
        <f>VLOOKUP($J406,'[1]Table S6'!$A:$AI,30,FALSE)</f>
        <v>No</v>
      </c>
      <c r="AO406">
        <f>VLOOKUP($J406,'[1]Table S6'!$A:$AI,32,FALSE)</f>
        <v>437.7</v>
      </c>
      <c r="AP406">
        <f>VLOOKUP($J406,'[1]Table S6'!$A:$AI,33,FALSE)</f>
        <v>0.93147478186848298</v>
      </c>
      <c r="AQ406">
        <f>VLOOKUP($J406,'[1]Table S6'!$A:$AI,34,FALSE)</f>
        <v>106.7</v>
      </c>
      <c r="AR406" t="str">
        <f>VLOOKUP($J406,'[1]Table S6'!$A:$AI,35,FALSE)</f>
        <v>No</v>
      </c>
      <c r="AT406" t="str">
        <f>VLOOKUP($I406,'[2]Table S5'!$A:$K,8,FALSE)</f>
        <v>Resistant</v>
      </c>
      <c r="AU406" t="str">
        <f>VLOOKUP($I406,'[2]Table S5'!$A:$K,9,FALSE)</f>
        <v>Resistant</v>
      </c>
      <c r="AV406" t="str">
        <f>VLOOKUP($I406,'[2]Table S5'!$A:$K,10,FALSE)</f>
        <v>Resistant</v>
      </c>
      <c r="AW406" t="str">
        <f>VLOOKUP($I406,'[2]Table S5'!$A:$K,11,FALSE)</f>
        <v>Resistant</v>
      </c>
    </row>
    <row r="407" spans="1:49">
      <c r="A407" s="12" t="s">
        <v>2892</v>
      </c>
      <c r="B407" t="s">
        <v>2893</v>
      </c>
      <c r="C407" t="s">
        <v>2894</v>
      </c>
      <c r="D407" t="s">
        <v>17</v>
      </c>
      <c r="E407" t="s">
        <v>445</v>
      </c>
      <c r="F407" s="12" t="s">
        <v>446</v>
      </c>
      <c r="G407" t="s">
        <v>447</v>
      </c>
      <c r="H407" t="s">
        <v>448</v>
      </c>
      <c r="I407" t="s">
        <v>417</v>
      </c>
      <c r="J407" t="s">
        <v>425</v>
      </c>
      <c r="K407">
        <f>VLOOKUP($J407,'[1]Table S6'!$A:$AI,2,FALSE)</f>
        <v>330.1</v>
      </c>
      <c r="L407">
        <f>VLOOKUP($J407,'[1]Table S6'!$A:$AI,3,FALSE)</f>
        <v>0.70248989146626994</v>
      </c>
      <c r="M407">
        <f>VLOOKUP($J407,'[1]Table S6'!$A:$AI,4,FALSE)</f>
        <v>2.2429999999999999</v>
      </c>
      <c r="N407" t="str">
        <f>VLOOKUP($J407,'[1]Table S6'!$A:$AI,5,FALSE)</f>
        <v>Yes</v>
      </c>
      <c r="P407">
        <f>VLOOKUP($J407,'[1]Table S6'!$A:$AI,7,FALSE)</f>
        <v>395.9</v>
      </c>
      <c r="Q407">
        <f>VLOOKUP($J407,'[1]Table S6'!$A:$AI,8,FALSE)</f>
        <v>0.84251968503937003</v>
      </c>
      <c r="R407">
        <f>VLOOKUP($J407,'[1]Table S6'!$A:$AI,9,FALSE)</f>
        <v>22.78</v>
      </c>
      <c r="S407" t="str">
        <f>VLOOKUP($J407,'[1]Table S6'!$A:$AI,10,FALSE)</f>
        <v>No</v>
      </c>
      <c r="U407">
        <f>VLOOKUP($J407,'[1]Table S6'!$A:$AI,12,FALSE)</f>
        <v>393.2</v>
      </c>
      <c r="V407">
        <f>VLOOKUP($J407,'[1]Table S6'!$A:$AI,13,FALSE)</f>
        <v>0.83677378165567096</v>
      </c>
      <c r="W407">
        <f>VLOOKUP($J407,'[1]Table S6'!$A:$AI,14,FALSE)</f>
        <v>21.84</v>
      </c>
      <c r="X407" t="str">
        <f>VLOOKUP($J407,'[1]Table S6'!$A:$AI,15,FALSE)</f>
        <v>No</v>
      </c>
      <c r="Z407">
        <f>VLOOKUP($J407,'[1]Table S6'!$A:$AI,17,FALSE)</f>
        <v>410.5</v>
      </c>
      <c r="AA407">
        <f>VLOOKUP($J407,'[1]Table S6'!$A:$AI,18,FALSE)</f>
        <v>0.87359012555863003</v>
      </c>
      <c r="AB407">
        <f>VLOOKUP($J407,'[1]Table S6'!$A:$AI,19,FALSE)</f>
        <v>41.44</v>
      </c>
      <c r="AC407" t="str">
        <f>VLOOKUP($J407,'[1]Table S6'!$A:$AI,20,FALSE)</f>
        <v>No</v>
      </c>
      <c r="AE407">
        <f>VLOOKUP($J407,'[1]Table S6'!$A:$AI,22,FALSE)</f>
        <v>417</v>
      </c>
      <c r="AF407">
        <f>VLOOKUP($J407,'[1]Table S6'!$A:$AI,23,FALSE)</f>
        <v>0.88742285592679304</v>
      </c>
      <c r="AG407">
        <f>VLOOKUP($J407,'[1]Table S6'!$A:$AI,24,FALSE)</f>
        <v>25.58</v>
      </c>
      <c r="AH407" t="str">
        <f>VLOOKUP($J407,'[1]Table S6'!$A:$AI,25,FALSE)</f>
        <v>No</v>
      </c>
      <c r="AJ407">
        <f>VLOOKUP($J407,'[1]Table S6'!$A:$AI,27,FALSE)</f>
        <v>441.5</v>
      </c>
      <c r="AK407">
        <f>VLOOKUP($J407,'[1]Table S6'!$A:$AI,28,FALSE)</f>
        <v>0.93956160885294704</v>
      </c>
      <c r="AL407">
        <f>VLOOKUP($J407,'[1]Table S6'!$A:$AI,29,FALSE)</f>
        <v>57.63</v>
      </c>
      <c r="AM407" t="str">
        <f>VLOOKUP($J407,'[1]Table S6'!$A:$AI,30,FALSE)</f>
        <v>No</v>
      </c>
      <c r="AO407">
        <f>VLOOKUP($J407,'[1]Table S6'!$A:$AI,32,FALSE)</f>
        <v>437.5</v>
      </c>
      <c r="AP407">
        <f>VLOOKUP($J407,'[1]Table S6'!$A:$AI,33,FALSE)</f>
        <v>0.93104915939561605</v>
      </c>
      <c r="AQ407">
        <f>VLOOKUP($J407,'[1]Table S6'!$A:$AI,34,FALSE)</f>
        <v>113.7</v>
      </c>
      <c r="AR407" t="str">
        <f>VLOOKUP($J407,'[1]Table S6'!$A:$AI,35,FALSE)</f>
        <v>No</v>
      </c>
      <c r="AT407" t="str">
        <f>VLOOKUP($I407,'[2]Table S5'!$A:$K,8,FALSE)</f>
        <v>Resistant</v>
      </c>
      <c r="AU407" t="str">
        <f>VLOOKUP($I407,'[2]Table S5'!$A:$K,9,FALSE)</f>
        <v>Resistant</v>
      </c>
      <c r="AV407" t="str">
        <f>VLOOKUP($I407,'[2]Table S5'!$A:$K,10,FALSE)</f>
        <v>Resistant</v>
      </c>
      <c r="AW407" t="str">
        <f>VLOOKUP($I407,'[2]Table S5'!$A:$K,11,FALSE)</f>
        <v>Resistant</v>
      </c>
    </row>
    <row r="408" spans="1:49">
      <c r="A408" s="12" t="s">
        <v>2895</v>
      </c>
      <c r="B408" t="s">
        <v>2896</v>
      </c>
      <c r="C408" t="s">
        <v>2897</v>
      </c>
      <c r="D408" t="s">
        <v>17</v>
      </c>
      <c r="E408" t="s">
        <v>452</v>
      </c>
      <c r="F408" s="12" t="s">
        <v>453</v>
      </c>
      <c r="G408" t="s">
        <v>454</v>
      </c>
      <c r="H408" t="s">
        <v>455</v>
      </c>
      <c r="I408" t="s">
        <v>417</v>
      </c>
      <c r="J408" t="s">
        <v>433</v>
      </c>
      <c r="K408">
        <f>VLOOKUP($J408,'[1]Table S6'!$A:$AI,2,FALSE)</f>
        <v>331.2</v>
      </c>
      <c r="L408">
        <f>VLOOKUP($J408,'[1]Table S6'!$A:$AI,3,FALSE)</f>
        <v>0.70483081506703604</v>
      </c>
      <c r="M408">
        <f>VLOOKUP($J408,'[1]Table S6'!$A:$AI,4,FALSE)</f>
        <v>3.1240000000000001</v>
      </c>
      <c r="N408" t="str">
        <f>VLOOKUP($J408,'[1]Table S6'!$A:$AI,5,FALSE)</f>
        <v>Yes</v>
      </c>
      <c r="P408">
        <f>VLOOKUP($J408,'[1]Table S6'!$A:$AI,7,FALSE)</f>
        <v>375.7</v>
      </c>
      <c r="Q408">
        <f>VLOOKUP($J408,'[1]Table S6'!$A:$AI,8,FALSE)</f>
        <v>0.79953181527984696</v>
      </c>
      <c r="R408">
        <f>VLOOKUP($J408,'[1]Table S6'!$A:$AI,9,FALSE)</f>
        <v>11.32</v>
      </c>
      <c r="S408" t="str">
        <f>VLOOKUP($J408,'[1]Table S6'!$A:$AI,10,FALSE)</f>
        <v>No</v>
      </c>
      <c r="U408">
        <f>VLOOKUP($J408,'[1]Table S6'!$A:$AI,12,FALSE)</f>
        <v>375.7</v>
      </c>
      <c r="V408">
        <f>VLOOKUP($J408,'[1]Table S6'!$A:$AI,13,FALSE)</f>
        <v>0.79953181527984696</v>
      </c>
      <c r="W408">
        <f>VLOOKUP($J408,'[1]Table S6'!$A:$AI,14,FALSE)</f>
        <v>11.71</v>
      </c>
      <c r="X408" t="str">
        <f>VLOOKUP($J408,'[1]Table S6'!$A:$AI,15,FALSE)</f>
        <v>No</v>
      </c>
      <c r="Z408">
        <f>VLOOKUP($J408,'[1]Table S6'!$A:$AI,17,FALSE)</f>
        <v>370.3</v>
      </c>
      <c r="AA408">
        <f>VLOOKUP($J408,'[1]Table S6'!$A:$AI,18,FALSE)</f>
        <v>0.78804000851244904</v>
      </c>
      <c r="AB408">
        <f>VLOOKUP($J408,'[1]Table S6'!$A:$AI,19,FALSE)</f>
        <v>9.4890000000000008</v>
      </c>
      <c r="AC408" t="str">
        <f>VLOOKUP($J408,'[1]Table S6'!$A:$AI,20,FALSE)</f>
        <v>No</v>
      </c>
      <c r="AE408">
        <f>VLOOKUP($J408,'[1]Table S6'!$A:$AI,22,FALSE)</f>
        <v>374.5</v>
      </c>
      <c r="AF408">
        <f>VLOOKUP($J408,'[1]Table S6'!$A:$AI,23,FALSE)</f>
        <v>0.79697808044264695</v>
      </c>
      <c r="AG408">
        <f>VLOOKUP($J408,'[1]Table S6'!$A:$AI,24,FALSE)</f>
        <v>14.22</v>
      </c>
      <c r="AH408" t="str">
        <f>VLOOKUP($J408,'[1]Table S6'!$A:$AI,25,FALSE)</f>
        <v>No</v>
      </c>
      <c r="AJ408">
        <f>VLOOKUP($J408,'[1]Table S6'!$A:$AI,27,FALSE)</f>
        <v>413.4</v>
      </c>
      <c r="AK408">
        <f>VLOOKUP($J408,'[1]Table S6'!$A:$AI,28,FALSE)</f>
        <v>0.87976165141519502</v>
      </c>
      <c r="AL408">
        <f>VLOOKUP($J408,'[1]Table S6'!$A:$AI,29,FALSE)</f>
        <v>31.83</v>
      </c>
      <c r="AM408" t="str">
        <f>VLOOKUP($J408,'[1]Table S6'!$A:$AI,30,FALSE)</f>
        <v>No</v>
      </c>
      <c r="AO408">
        <f>VLOOKUP($J408,'[1]Table S6'!$A:$AI,32,FALSE)</f>
        <v>445.5</v>
      </c>
      <c r="AP408">
        <f>VLOOKUP($J408,'[1]Table S6'!$A:$AI,33,FALSE)</f>
        <v>0.94807405831027902</v>
      </c>
      <c r="AQ408">
        <f>VLOOKUP($J408,'[1]Table S6'!$A:$AI,34,FALSE)</f>
        <v>123.9</v>
      </c>
      <c r="AR408" t="str">
        <f>VLOOKUP($J408,'[1]Table S6'!$A:$AI,35,FALSE)</f>
        <v>No</v>
      </c>
      <c r="AT408" t="str">
        <f>VLOOKUP($I408,'[2]Table S5'!$A:$K,8,FALSE)</f>
        <v>Resistant</v>
      </c>
      <c r="AU408" t="str">
        <f>VLOOKUP($I408,'[2]Table S5'!$A:$K,9,FALSE)</f>
        <v>Resistant</v>
      </c>
      <c r="AV408" t="str">
        <f>VLOOKUP($I408,'[2]Table S5'!$A:$K,10,FALSE)</f>
        <v>Resistant</v>
      </c>
      <c r="AW408" t="str">
        <f>VLOOKUP($I408,'[2]Table S5'!$A:$K,11,FALSE)</f>
        <v>Resistant</v>
      </c>
    </row>
    <row r="409" spans="1:49">
      <c r="A409" s="12" t="s">
        <v>2898</v>
      </c>
      <c r="B409" t="s">
        <v>2899</v>
      </c>
      <c r="C409" t="s">
        <v>2900</v>
      </c>
      <c r="D409" t="s">
        <v>17</v>
      </c>
      <c r="E409" t="s">
        <v>459</v>
      </c>
      <c r="F409" s="12" t="s">
        <v>460</v>
      </c>
      <c r="G409" t="s">
        <v>461</v>
      </c>
      <c r="H409" t="s">
        <v>462</v>
      </c>
      <c r="I409" t="s">
        <v>417</v>
      </c>
      <c r="J409" t="s">
        <v>441</v>
      </c>
      <c r="K409">
        <f>VLOOKUP($J409,'[1]Table S6'!$A:$AI,2,FALSE)</f>
        <v>344.8</v>
      </c>
      <c r="L409">
        <f>VLOOKUP($J409,'[1]Table S6'!$A:$AI,3,FALSE)</f>
        <v>0.73377314322196197</v>
      </c>
      <c r="M409">
        <f>VLOOKUP($J409,'[1]Table S6'!$A:$AI,4,FALSE)</f>
        <v>3.6150000000000002</v>
      </c>
      <c r="N409" t="str">
        <f>VLOOKUP($J409,'[1]Table S6'!$A:$AI,5,FALSE)</f>
        <v>No</v>
      </c>
      <c r="P409">
        <f>VLOOKUP($J409,'[1]Table S6'!$A:$AI,7,FALSE)</f>
        <v>394.3</v>
      </c>
      <c r="Q409">
        <f>VLOOKUP($J409,'[1]Table S6'!$A:$AI,8,FALSE)</f>
        <v>0.83911470525643805</v>
      </c>
      <c r="R409">
        <f>VLOOKUP($J409,'[1]Table S6'!$A:$AI,9,FALSE)</f>
        <v>23.27</v>
      </c>
      <c r="S409" t="str">
        <f>VLOOKUP($J409,'[1]Table S6'!$A:$AI,10,FALSE)</f>
        <v>No</v>
      </c>
      <c r="U409">
        <f>VLOOKUP($J409,'[1]Table S6'!$A:$AI,12,FALSE)</f>
        <v>407.3</v>
      </c>
      <c r="V409">
        <f>VLOOKUP($J409,'[1]Table S6'!$A:$AI,13,FALSE)</f>
        <v>0.86678016599276497</v>
      </c>
      <c r="W409">
        <f>VLOOKUP($J409,'[1]Table S6'!$A:$AI,14,FALSE)</f>
        <v>32.51</v>
      </c>
      <c r="X409" t="str">
        <f>VLOOKUP($J409,'[1]Table S6'!$A:$AI,15,FALSE)</f>
        <v>No</v>
      </c>
      <c r="Z409">
        <f>VLOOKUP($J409,'[1]Table S6'!$A:$AI,17,FALSE)</f>
        <v>387.3</v>
      </c>
      <c r="AA409">
        <f>VLOOKUP($J409,'[1]Table S6'!$A:$AI,18,FALSE)</f>
        <v>0.82421791870610805</v>
      </c>
      <c r="AB409">
        <f>VLOOKUP($J409,'[1]Table S6'!$A:$AI,19,FALSE)</f>
        <v>17.350000000000001</v>
      </c>
      <c r="AC409" t="str">
        <f>VLOOKUP($J409,'[1]Table S6'!$A:$AI,20,FALSE)</f>
        <v>No</v>
      </c>
      <c r="AE409">
        <f>VLOOKUP($J409,'[1]Table S6'!$A:$AI,22,FALSE)</f>
        <v>389.2</v>
      </c>
      <c r="AF409">
        <f>VLOOKUP($J409,'[1]Table S6'!$A:$AI,23,FALSE)</f>
        <v>0.82826133219833997</v>
      </c>
      <c r="AG409">
        <f>VLOOKUP($J409,'[1]Table S6'!$A:$AI,24,FALSE)</f>
        <v>17.2</v>
      </c>
      <c r="AH409" t="str">
        <f>VLOOKUP($J409,'[1]Table S6'!$A:$AI,25,FALSE)</f>
        <v>No</v>
      </c>
      <c r="AJ409">
        <f>VLOOKUP($J409,'[1]Table S6'!$A:$AI,27,FALSE)</f>
        <v>407.7</v>
      </c>
      <c r="AK409">
        <f>VLOOKUP($J409,'[1]Table S6'!$A:$AI,28,FALSE)</f>
        <v>0.86763141093849805</v>
      </c>
      <c r="AL409">
        <f>VLOOKUP($J409,'[1]Table S6'!$A:$AI,29,FALSE)</f>
        <v>39.58</v>
      </c>
      <c r="AM409" t="str">
        <f>VLOOKUP($J409,'[1]Table S6'!$A:$AI,30,FALSE)</f>
        <v>No</v>
      </c>
      <c r="AO409">
        <f>VLOOKUP($J409,'[1]Table S6'!$A:$AI,32,FALSE)</f>
        <v>437.7</v>
      </c>
      <c r="AP409">
        <f>VLOOKUP($J409,'[1]Table S6'!$A:$AI,33,FALSE)</f>
        <v>0.93147478186848298</v>
      </c>
      <c r="AQ409">
        <f>VLOOKUP($J409,'[1]Table S6'!$A:$AI,34,FALSE)</f>
        <v>106.7</v>
      </c>
      <c r="AR409" t="str">
        <f>VLOOKUP($J409,'[1]Table S6'!$A:$AI,35,FALSE)</f>
        <v>No</v>
      </c>
      <c r="AT409" t="str">
        <f>VLOOKUP($I409,'[2]Table S5'!$A:$K,8,FALSE)</f>
        <v>Resistant</v>
      </c>
      <c r="AU409" t="str">
        <f>VLOOKUP($I409,'[2]Table S5'!$A:$K,9,FALSE)</f>
        <v>Resistant</v>
      </c>
      <c r="AV409" t="str">
        <f>VLOOKUP($I409,'[2]Table S5'!$A:$K,10,FALSE)</f>
        <v>Resistant</v>
      </c>
      <c r="AW409" t="str">
        <f>VLOOKUP($I409,'[2]Table S5'!$A:$K,11,FALSE)</f>
        <v>Resistant</v>
      </c>
    </row>
    <row r="410" spans="1:49">
      <c r="A410" s="12" t="s">
        <v>2901</v>
      </c>
      <c r="B410" t="s">
        <v>2902</v>
      </c>
      <c r="C410" t="s">
        <v>2903</v>
      </c>
      <c r="D410" t="s">
        <v>17</v>
      </c>
      <c r="E410" t="s">
        <v>2904</v>
      </c>
      <c r="F410" s="12" t="s">
        <v>2905</v>
      </c>
      <c r="G410" t="s">
        <v>2906</v>
      </c>
      <c r="H410" t="s">
        <v>2907</v>
      </c>
      <c r="I410" t="s">
        <v>470</v>
      </c>
      <c r="J410" t="s">
        <v>2908</v>
      </c>
      <c r="K410">
        <f>VLOOKUP($J410,'[1]Table S6'!$A:$AI,2,FALSE)</f>
        <v>418.4</v>
      </c>
      <c r="L410">
        <f>VLOOKUP($J410,'[1]Table S6'!$A:$AI,3,FALSE)</f>
        <v>0.89040221323685897</v>
      </c>
      <c r="M410">
        <f>VLOOKUP($J410,'[1]Table S6'!$A:$AI,4,FALSE)</f>
        <v>22.58</v>
      </c>
      <c r="N410" t="str">
        <f>VLOOKUP($J410,'[1]Table S6'!$A:$AI,5,FALSE)</f>
        <v>No</v>
      </c>
      <c r="P410">
        <f>VLOOKUP($J410,'[1]Table S6'!$A:$AI,7,FALSE)</f>
        <v>386.5</v>
      </c>
      <c r="Q410">
        <f>VLOOKUP($J410,'[1]Table S6'!$A:$AI,8,FALSE)</f>
        <v>0.82251542881464101</v>
      </c>
      <c r="R410">
        <f>VLOOKUP($J410,'[1]Table S6'!$A:$AI,9,FALSE)</f>
        <v>18.079999999999998</v>
      </c>
      <c r="S410" t="str">
        <f>VLOOKUP($J410,'[1]Table S6'!$A:$AI,10,FALSE)</f>
        <v>No</v>
      </c>
      <c r="U410">
        <f>VLOOKUP($J410,'[1]Table S6'!$A:$AI,12,FALSE)</f>
        <v>356.4</v>
      </c>
      <c r="V410">
        <f>VLOOKUP($J410,'[1]Table S6'!$A:$AI,13,FALSE)</f>
        <v>0.75845924664822295</v>
      </c>
      <c r="W410">
        <f>VLOOKUP($J410,'[1]Table S6'!$A:$AI,14,FALSE)</f>
        <v>6.8849999999999998</v>
      </c>
      <c r="X410" t="str">
        <f>VLOOKUP($J410,'[1]Table S6'!$A:$AI,15,FALSE)</f>
        <v>No</v>
      </c>
      <c r="Z410">
        <f>VLOOKUP($J410,'[1]Table S6'!$A:$AI,17,FALSE)</f>
        <v>335.4</v>
      </c>
      <c r="AA410">
        <f>VLOOKUP($J410,'[1]Table S6'!$A:$AI,18,FALSE)</f>
        <v>0.71376888699723295</v>
      </c>
      <c r="AB410">
        <f>VLOOKUP($J410,'[1]Table S6'!$A:$AI,19,FALSE)</f>
        <v>3.1709999999999998</v>
      </c>
      <c r="AC410" t="str">
        <f>VLOOKUP($J410,'[1]Table S6'!$A:$AI,20,FALSE)</f>
        <v>No</v>
      </c>
      <c r="AE410">
        <f>VLOOKUP($J410,'[1]Table S6'!$A:$AI,22,FALSE)</f>
        <v>394</v>
      </c>
      <c r="AF410">
        <f>VLOOKUP($J410,'[1]Table S6'!$A:$AI,23,FALSE)</f>
        <v>0.838476271547138</v>
      </c>
      <c r="AG410">
        <f>VLOOKUP($J410,'[1]Table S6'!$A:$AI,24,FALSE)</f>
        <v>13.95</v>
      </c>
      <c r="AH410" t="str">
        <f>VLOOKUP($J410,'[1]Table S6'!$A:$AI,25,FALSE)</f>
        <v>No</v>
      </c>
      <c r="AJ410">
        <f>VLOOKUP($J410,'[1]Table S6'!$A:$AI,27,FALSE)</f>
        <v>468.7</v>
      </c>
      <c r="AK410">
        <f>VLOOKUP($J410,'[1]Table S6'!$A:$AI,28,FALSE)</f>
        <v>0.99744626516280099</v>
      </c>
      <c r="AL410">
        <f>VLOOKUP($J410,'[1]Table S6'!$A:$AI,29,FALSE)</f>
        <v>399.8</v>
      </c>
      <c r="AM410" t="str">
        <f>VLOOKUP($J410,'[1]Table S6'!$A:$AI,30,FALSE)</f>
        <v>No</v>
      </c>
      <c r="AO410">
        <f>VLOOKUP($J410,'[1]Table S6'!$A:$AI,32,FALSE)</f>
        <v>426.8</v>
      </c>
      <c r="AP410">
        <f>VLOOKUP($J410,'[1]Table S6'!$A:$AI,33,FALSE)</f>
        <v>0.90827835709725502</v>
      </c>
      <c r="AQ410">
        <f>VLOOKUP($J410,'[1]Table S6'!$A:$AI,34,FALSE)</f>
        <v>109.3</v>
      </c>
      <c r="AR410" t="str">
        <f>VLOOKUP($J410,'[1]Table S6'!$A:$AI,35,FALSE)</f>
        <v>No</v>
      </c>
      <c r="AT410" t="e">
        <f>VLOOKUP($I410,'[2]Table S5'!$A:$K,8,FALSE)</f>
        <v>#N/A</v>
      </c>
      <c r="AU410" t="e">
        <f>VLOOKUP($I410,'[2]Table S5'!$A:$K,9,FALSE)</f>
        <v>#N/A</v>
      </c>
      <c r="AV410" t="e">
        <f>VLOOKUP($I410,'[2]Table S5'!$A:$K,10,FALSE)</f>
        <v>#N/A</v>
      </c>
      <c r="AW410" t="e">
        <f>VLOOKUP($I410,'[2]Table S5'!$A:$K,11,FALSE)</f>
        <v>#N/A</v>
      </c>
    </row>
    <row r="411" spans="1:49">
      <c r="A411" s="12" t="s">
        <v>2909</v>
      </c>
      <c r="B411" t="s">
        <v>2910</v>
      </c>
      <c r="C411" t="s">
        <v>2911</v>
      </c>
      <c r="D411" t="s">
        <v>17</v>
      </c>
      <c r="E411" t="s">
        <v>474</v>
      </c>
      <c r="F411" s="12" t="s">
        <v>475</v>
      </c>
      <c r="G411" t="s">
        <v>476</v>
      </c>
      <c r="H411" t="s">
        <v>477</v>
      </c>
      <c r="I411" t="s">
        <v>470</v>
      </c>
      <c r="J411" t="s">
        <v>478</v>
      </c>
      <c r="K411">
        <f>VLOOKUP($J411,'[1]Table S6'!$A:$AI,2,FALSE)</f>
        <v>389.9</v>
      </c>
      <c r="L411">
        <f>VLOOKUP($J411,'[1]Table S6'!$A:$AI,3,FALSE)</f>
        <v>0.82975101085337299</v>
      </c>
      <c r="M411">
        <f>VLOOKUP($J411,'[1]Table S6'!$A:$AI,4,FALSE)</f>
        <v>9.5009999999999994</v>
      </c>
      <c r="N411" t="str">
        <f>VLOOKUP($J411,'[1]Table S6'!$A:$AI,5,FALSE)</f>
        <v>No</v>
      </c>
      <c r="P411">
        <f>VLOOKUP($J411,'[1]Table S6'!$A:$AI,7,FALSE)</f>
        <v>390</v>
      </c>
      <c r="Q411">
        <f>VLOOKUP($J411,'[1]Table S6'!$A:$AI,8,FALSE)</f>
        <v>0.82996382208980601</v>
      </c>
      <c r="R411">
        <f>VLOOKUP($J411,'[1]Table S6'!$A:$AI,9,FALSE)</f>
        <v>19.79</v>
      </c>
      <c r="S411" t="str">
        <f>VLOOKUP($J411,'[1]Table S6'!$A:$AI,10,FALSE)</f>
        <v>No</v>
      </c>
      <c r="U411">
        <f>VLOOKUP($J411,'[1]Table S6'!$A:$AI,12,FALSE)</f>
        <v>345.5</v>
      </c>
      <c r="V411">
        <f>VLOOKUP($J411,'[1]Table S6'!$A:$AI,13,FALSE)</f>
        <v>0.73526282187699499</v>
      </c>
      <c r="W411">
        <f>VLOOKUP($J411,'[1]Table S6'!$A:$AI,14,FALSE)</f>
        <v>5.9989999999999997</v>
      </c>
      <c r="X411" t="str">
        <f>VLOOKUP($J411,'[1]Table S6'!$A:$AI,15,FALSE)</f>
        <v>No</v>
      </c>
      <c r="Z411">
        <f>VLOOKUP($J411,'[1]Table S6'!$A:$AI,17,FALSE)</f>
        <v>349.5</v>
      </c>
      <c r="AA411">
        <f>VLOOKUP($J411,'[1]Table S6'!$A:$AI,18,FALSE)</f>
        <v>0.74377527133432697</v>
      </c>
      <c r="AB411">
        <f>VLOOKUP($J411,'[1]Table S6'!$A:$AI,19,FALSE)</f>
        <v>4.0270000000000001</v>
      </c>
      <c r="AC411" t="str">
        <f>VLOOKUP($J411,'[1]Table S6'!$A:$AI,20,FALSE)</f>
        <v>No</v>
      </c>
      <c r="AE411">
        <f>VLOOKUP($J411,'[1]Table S6'!$A:$AI,22,FALSE)</f>
        <v>312.8</v>
      </c>
      <c r="AF411">
        <f>VLOOKUP($J411,'[1]Table S6'!$A:$AI,23,FALSE)</f>
        <v>0.66567354756331099</v>
      </c>
      <c r="AG411">
        <f>VLOOKUP($J411,'[1]Table S6'!$A:$AI,24,FALSE)</f>
        <v>1.722</v>
      </c>
      <c r="AH411" t="str">
        <f>VLOOKUP($J411,'[1]Table S6'!$A:$AI,25,FALSE)</f>
        <v>Yes</v>
      </c>
      <c r="AJ411">
        <f>VLOOKUP($J411,'[1]Table S6'!$A:$AI,27,FALSE)</f>
        <v>430.9</v>
      </c>
      <c r="AK411">
        <f>VLOOKUP($J411,'[1]Table S6'!$A:$AI,28,FALSE)</f>
        <v>0.91700361779101902</v>
      </c>
      <c r="AL411">
        <f>VLOOKUP($J411,'[1]Table S6'!$A:$AI,29,FALSE)</f>
        <v>98.14</v>
      </c>
      <c r="AM411" t="str">
        <f>VLOOKUP($J411,'[1]Table S6'!$A:$AI,30,FALSE)</f>
        <v>No</v>
      </c>
      <c r="AO411">
        <f>VLOOKUP($J411,'[1]Table S6'!$A:$AI,32,FALSE)</f>
        <v>400.3</v>
      </c>
      <c r="AP411">
        <f>VLOOKUP($J411,'[1]Table S6'!$A:$AI,33,FALSE)</f>
        <v>0.85188337944243497</v>
      </c>
      <c r="AQ411">
        <f>VLOOKUP($J411,'[1]Table S6'!$A:$AI,34,FALSE)</f>
        <v>24.87</v>
      </c>
      <c r="AR411" t="str">
        <f>VLOOKUP($J411,'[1]Table S6'!$A:$AI,35,FALSE)</f>
        <v>No</v>
      </c>
      <c r="AT411" t="e">
        <f>VLOOKUP($I411,'[2]Table S5'!$A:$K,8,FALSE)</f>
        <v>#N/A</v>
      </c>
      <c r="AU411" t="e">
        <f>VLOOKUP($I411,'[2]Table S5'!$A:$K,9,FALSE)</f>
        <v>#N/A</v>
      </c>
      <c r="AV411" t="e">
        <f>VLOOKUP($I411,'[2]Table S5'!$A:$K,10,FALSE)</f>
        <v>#N/A</v>
      </c>
      <c r="AW411" t="e">
        <f>VLOOKUP($I411,'[2]Table S5'!$A:$K,11,FALSE)</f>
        <v>#N/A</v>
      </c>
    </row>
    <row r="412" spans="1:49">
      <c r="A412" s="12" t="s">
        <v>2912</v>
      </c>
      <c r="B412" t="s">
        <v>2913</v>
      </c>
      <c r="C412" t="s">
        <v>2914</v>
      </c>
      <c r="D412" t="s">
        <v>17</v>
      </c>
      <c r="E412" t="s">
        <v>482</v>
      </c>
      <c r="F412" s="12" t="s">
        <v>483</v>
      </c>
      <c r="G412" t="s">
        <v>484</v>
      </c>
      <c r="H412" t="s">
        <v>485</v>
      </c>
      <c r="I412" t="s">
        <v>470</v>
      </c>
      <c r="J412" t="s">
        <v>478</v>
      </c>
      <c r="K412">
        <f>VLOOKUP($J412,'[1]Table S6'!$A:$AI,2,FALSE)</f>
        <v>389.9</v>
      </c>
      <c r="L412">
        <f>VLOOKUP($J412,'[1]Table S6'!$A:$AI,3,FALSE)</f>
        <v>0.82975101085337299</v>
      </c>
      <c r="M412">
        <f>VLOOKUP($J412,'[1]Table S6'!$A:$AI,4,FALSE)</f>
        <v>9.5009999999999994</v>
      </c>
      <c r="N412" t="str">
        <f>VLOOKUP($J412,'[1]Table S6'!$A:$AI,5,FALSE)</f>
        <v>No</v>
      </c>
      <c r="P412">
        <f>VLOOKUP($J412,'[1]Table S6'!$A:$AI,7,FALSE)</f>
        <v>390</v>
      </c>
      <c r="Q412">
        <f>VLOOKUP($J412,'[1]Table S6'!$A:$AI,8,FALSE)</f>
        <v>0.82996382208980601</v>
      </c>
      <c r="R412">
        <f>VLOOKUP($J412,'[1]Table S6'!$A:$AI,9,FALSE)</f>
        <v>19.79</v>
      </c>
      <c r="S412" t="str">
        <f>VLOOKUP($J412,'[1]Table S6'!$A:$AI,10,FALSE)</f>
        <v>No</v>
      </c>
      <c r="U412">
        <f>VLOOKUP($J412,'[1]Table S6'!$A:$AI,12,FALSE)</f>
        <v>345.5</v>
      </c>
      <c r="V412">
        <f>VLOOKUP($J412,'[1]Table S6'!$A:$AI,13,FALSE)</f>
        <v>0.73526282187699499</v>
      </c>
      <c r="W412">
        <f>VLOOKUP($J412,'[1]Table S6'!$A:$AI,14,FALSE)</f>
        <v>5.9989999999999997</v>
      </c>
      <c r="X412" t="str">
        <f>VLOOKUP($J412,'[1]Table S6'!$A:$AI,15,FALSE)</f>
        <v>No</v>
      </c>
      <c r="Z412">
        <f>VLOOKUP($J412,'[1]Table S6'!$A:$AI,17,FALSE)</f>
        <v>349.5</v>
      </c>
      <c r="AA412">
        <f>VLOOKUP($J412,'[1]Table S6'!$A:$AI,18,FALSE)</f>
        <v>0.74377527133432697</v>
      </c>
      <c r="AB412">
        <f>VLOOKUP($J412,'[1]Table S6'!$A:$AI,19,FALSE)</f>
        <v>4.0270000000000001</v>
      </c>
      <c r="AC412" t="str">
        <f>VLOOKUP($J412,'[1]Table S6'!$A:$AI,20,FALSE)</f>
        <v>No</v>
      </c>
      <c r="AE412">
        <f>VLOOKUP($J412,'[1]Table S6'!$A:$AI,22,FALSE)</f>
        <v>312.8</v>
      </c>
      <c r="AF412">
        <f>VLOOKUP($J412,'[1]Table S6'!$A:$AI,23,FALSE)</f>
        <v>0.66567354756331099</v>
      </c>
      <c r="AG412">
        <f>VLOOKUP($J412,'[1]Table S6'!$A:$AI,24,FALSE)</f>
        <v>1.722</v>
      </c>
      <c r="AH412" t="str">
        <f>VLOOKUP($J412,'[1]Table S6'!$A:$AI,25,FALSE)</f>
        <v>Yes</v>
      </c>
      <c r="AJ412">
        <f>VLOOKUP($J412,'[1]Table S6'!$A:$AI,27,FALSE)</f>
        <v>430.9</v>
      </c>
      <c r="AK412">
        <f>VLOOKUP($J412,'[1]Table S6'!$A:$AI,28,FALSE)</f>
        <v>0.91700361779101902</v>
      </c>
      <c r="AL412">
        <f>VLOOKUP($J412,'[1]Table S6'!$A:$AI,29,FALSE)</f>
        <v>98.14</v>
      </c>
      <c r="AM412" t="str">
        <f>VLOOKUP($J412,'[1]Table S6'!$A:$AI,30,FALSE)</f>
        <v>No</v>
      </c>
      <c r="AO412">
        <f>VLOOKUP($J412,'[1]Table S6'!$A:$AI,32,FALSE)</f>
        <v>400.3</v>
      </c>
      <c r="AP412">
        <f>VLOOKUP($J412,'[1]Table S6'!$A:$AI,33,FALSE)</f>
        <v>0.85188337944243497</v>
      </c>
      <c r="AQ412">
        <f>VLOOKUP($J412,'[1]Table S6'!$A:$AI,34,FALSE)</f>
        <v>24.87</v>
      </c>
      <c r="AR412" t="str">
        <f>VLOOKUP($J412,'[1]Table S6'!$A:$AI,35,FALSE)</f>
        <v>No</v>
      </c>
      <c r="AT412" t="e">
        <f>VLOOKUP($I412,'[2]Table S5'!$A:$K,8,FALSE)</f>
        <v>#N/A</v>
      </c>
      <c r="AU412" t="e">
        <f>VLOOKUP($I412,'[2]Table S5'!$A:$K,9,FALSE)</f>
        <v>#N/A</v>
      </c>
      <c r="AV412" t="e">
        <f>VLOOKUP($I412,'[2]Table S5'!$A:$K,10,FALSE)</f>
        <v>#N/A</v>
      </c>
      <c r="AW412" t="e">
        <f>VLOOKUP($I412,'[2]Table S5'!$A:$K,11,FALSE)</f>
        <v>#N/A</v>
      </c>
    </row>
    <row r="413" spans="1:49">
      <c r="A413" s="12" t="s">
        <v>2915</v>
      </c>
      <c r="B413" t="s">
        <v>2916</v>
      </c>
      <c r="C413" t="s">
        <v>2917</v>
      </c>
      <c r="D413" t="s">
        <v>17</v>
      </c>
      <c r="E413" t="s">
        <v>2918</v>
      </c>
      <c r="F413" s="12" t="s">
        <v>2919</v>
      </c>
      <c r="G413" t="s">
        <v>2920</v>
      </c>
      <c r="H413" t="s">
        <v>2921</v>
      </c>
      <c r="I413" t="s">
        <v>493</v>
      </c>
      <c r="J413" t="s">
        <v>493</v>
      </c>
      <c r="K413" t="e">
        <f>VLOOKUP($J413,'[1]Table S6'!$A:$AI,2,FALSE)</f>
        <v>#N/A</v>
      </c>
      <c r="L413" t="e">
        <f>VLOOKUP($J413,'[1]Table S6'!$A:$AI,3,FALSE)</f>
        <v>#N/A</v>
      </c>
      <c r="M413" t="e">
        <f>VLOOKUP($J413,'[1]Table S6'!$A:$AI,4,FALSE)</f>
        <v>#N/A</v>
      </c>
      <c r="N413" t="e">
        <f>VLOOKUP($J413,'[1]Table S6'!$A:$AI,5,FALSE)</f>
        <v>#N/A</v>
      </c>
      <c r="P413" t="e">
        <f>VLOOKUP($J413,'[1]Table S6'!$A:$AI,7,FALSE)</f>
        <v>#N/A</v>
      </c>
      <c r="Q413" t="e">
        <f>VLOOKUP($J413,'[1]Table S6'!$A:$AI,8,FALSE)</f>
        <v>#N/A</v>
      </c>
      <c r="R413" t="e">
        <f>VLOOKUP($J413,'[1]Table S6'!$A:$AI,9,FALSE)</f>
        <v>#N/A</v>
      </c>
      <c r="S413" t="e">
        <f>VLOOKUP($J413,'[1]Table S6'!$A:$AI,10,FALSE)</f>
        <v>#N/A</v>
      </c>
      <c r="U413" t="e">
        <f>VLOOKUP($J413,'[1]Table S6'!$A:$AI,12,FALSE)</f>
        <v>#N/A</v>
      </c>
      <c r="V413" t="e">
        <f>VLOOKUP($J413,'[1]Table S6'!$A:$AI,13,FALSE)</f>
        <v>#N/A</v>
      </c>
      <c r="W413" t="e">
        <f>VLOOKUP($J413,'[1]Table S6'!$A:$AI,14,FALSE)</f>
        <v>#N/A</v>
      </c>
      <c r="X413" t="e">
        <f>VLOOKUP($J413,'[1]Table S6'!$A:$AI,15,FALSE)</f>
        <v>#N/A</v>
      </c>
      <c r="Z413" t="e">
        <f>VLOOKUP($J413,'[1]Table S6'!$A:$AI,17,FALSE)</f>
        <v>#N/A</v>
      </c>
      <c r="AA413" t="e">
        <f>VLOOKUP($J413,'[1]Table S6'!$A:$AI,18,FALSE)</f>
        <v>#N/A</v>
      </c>
      <c r="AB413" t="e">
        <f>VLOOKUP($J413,'[1]Table S6'!$A:$AI,19,FALSE)</f>
        <v>#N/A</v>
      </c>
      <c r="AC413" t="e">
        <f>VLOOKUP($J413,'[1]Table S6'!$A:$AI,20,FALSE)</f>
        <v>#N/A</v>
      </c>
      <c r="AE413" t="e">
        <f>VLOOKUP($J413,'[1]Table S6'!$A:$AI,22,FALSE)</f>
        <v>#N/A</v>
      </c>
      <c r="AF413" t="e">
        <f>VLOOKUP($J413,'[1]Table S6'!$A:$AI,23,FALSE)</f>
        <v>#N/A</v>
      </c>
      <c r="AG413" t="e">
        <f>VLOOKUP($J413,'[1]Table S6'!$A:$AI,24,FALSE)</f>
        <v>#N/A</v>
      </c>
      <c r="AH413" t="e">
        <f>VLOOKUP($J413,'[1]Table S6'!$A:$AI,25,FALSE)</f>
        <v>#N/A</v>
      </c>
      <c r="AJ413" t="e">
        <f>VLOOKUP($J413,'[1]Table S6'!$A:$AI,27,FALSE)</f>
        <v>#N/A</v>
      </c>
      <c r="AK413" t="e">
        <f>VLOOKUP($J413,'[1]Table S6'!$A:$AI,28,FALSE)</f>
        <v>#N/A</v>
      </c>
      <c r="AL413" t="e">
        <f>VLOOKUP($J413,'[1]Table S6'!$A:$AI,29,FALSE)</f>
        <v>#N/A</v>
      </c>
      <c r="AM413" t="e">
        <f>VLOOKUP($J413,'[1]Table S6'!$A:$AI,30,FALSE)</f>
        <v>#N/A</v>
      </c>
      <c r="AO413" t="e">
        <f>VLOOKUP($J413,'[1]Table S6'!$A:$AI,32,FALSE)</f>
        <v>#N/A</v>
      </c>
      <c r="AP413" t="e">
        <f>VLOOKUP($J413,'[1]Table S6'!$A:$AI,33,FALSE)</f>
        <v>#N/A</v>
      </c>
      <c r="AQ413" t="e">
        <f>VLOOKUP($J413,'[1]Table S6'!$A:$AI,34,FALSE)</f>
        <v>#N/A</v>
      </c>
      <c r="AR413" t="e">
        <f>VLOOKUP($J413,'[1]Table S6'!$A:$AI,35,FALSE)</f>
        <v>#N/A</v>
      </c>
      <c r="AT413" t="str">
        <f>VLOOKUP($I413,'[2]Table S5'!$A:$K,8,FALSE)</f>
        <v>Resistant</v>
      </c>
      <c r="AU413" t="str">
        <f>VLOOKUP($I413,'[2]Table S5'!$A:$K,9,FALSE)</f>
        <v>Resistant</v>
      </c>
      <c r="AV413" t="str">
        <f>VLOOKUP($I413,'[2]Table S5'!$A:$K,10,FALSE)</f>
        <v>Resistant</v>
      </c>
      <c r="AW413" t="str">
        <f>VLOOKUP($I413,'[2]Table S5'!$A:$K,11,FALSE)</f>
        <v>Resistant</v>
      </c>
    </row>
    <row r="414" spans="1:49">
      <c r="A414" s="12" t="s">
        <v>2922</v>
      </c>
      <c r="B414" t="s">
        <v>2923</v>
      </c>
      <c r="C414" t="s">
        <v>2924</v>
      </c>
      <c r="D414" t="s">
        <v>17</v>
      </c>
      <c r="E414" t="s">
        <v>2925</v>
      </c>
      <c r="F414" s="12" t="s">
        <v>2926</v>
      </c>
      <c r="G414" t="s">
        <v>2927</v>
      </c>
      <c r="H414" t="s">
        <v>2928</v>
      </c>
      <c r="I414" t="s">
        <v>493</v>
      </c>
      <c r="J414" t="s">
        <v>493</v>
      </c>
      <c r="K414" t="e">
        <f>VLOOKUP($J414,'[1]Table S6'!$A:$AI,2,FALSE)</f>
        <v>#N/A</v>
      </c>
      <c r="L414" t="e">
        <f>VLOOKUP($J414,'[1]Table S6'!$A:$AI,3,FALSE)</f>
        <v>#N/A</v>
      </c>
      <c r="M414" t="e">
        <f>VLOOKUP($J414,'[1]Table S6'!$A:$AI,4,FALSE)</f>
        <v>#N/A</v>
      </c>
      <c r="N414" t="e">
        <f>VLOOKUP($J414,'[1]Table S6'!$A:$AI,5,FALSE)</f>
        <v>#N/A</v>
      </c>
      <c r="P414" t="e">
        <f>VLOOKUP($J414,'[1]Table S6'!$A:$AI,7,FALSE)</f>
        <v>#N/A</v>
      </c>
      <c r="Q414" t="e">
        <f>VLOOKUP($J414,'[1]Table S6'!$A:$AI,8,FALSE)</f>
        <v>#N/A</v>
      </c>
      <c r="R414" t="e">
        <f>VLOOKUP($J414,'[1]Table S6'!$A:$AI,9,FALSE)</f>
        <v>#N/A</v>
      </c>
      <c r="S414" t="e">
        <f>VLOOKUP($J414,'[1]Table S6'!$A:$AI,10,FALSE)</f>
        <v>#N/A</v>
      </c>
      <c r="U414" t="e">
        <f>VLOOKUP($J414,'[1]Table S6'!$A:$AI,12,FALSE)</f>
        <v>#N/A</v>
      </c>
      <c r="V414" t="e">
        <f>VLOOKUP($J414,'[1]Table S6'!$A:$AI,13,FALSE)</f>
        <v>#N/A</v>
      </c>
      <c r="W414" t="e">
        <f>VLOOKUP($J414,'[1]Table S6'!$A:$AI,14,FALSE)</f>
        <v>#N/A</v>
      </c>
      <c r="X414" t="e">
        <f>VLOOKUP($J414,'[1]Table S6'!$A:$AI,15,FALSE)</f>
        <v>#N/A</v>
      </c>
      <c r="Z414" t="e">
        <f>VLOOKUP($J414,'[1]Table S6'!$A:$AI,17,FALSE)</f>
        <v>#N/A</v>
      </c>
      <c r="AA414" t="e">
        <f>VLOOKUP($J414,'[1]Table S6'!$A:$AI,18,FALSE)</f>
        <v>#N/A</v>
      </c>
      <c r="AB414" t="e">
        <f>VLOOKUP($J414,'[1]Table S6'!$A:$AI,19,FALSE)</f>
        <v>#N/A</v>
      </c>
      <c r="AC414" t="e">
        <f>VLOOKUP($J414,'[1]Table S6'!$A:$AI,20,FALSE)</f>
        <v>#N/A</v>
      </c>
      <c r="AE414" t="e">
        <f>VLOOKUP($J414,'[1]Table S6'!$A:$AI,22,FALSE)</f>
        <v>#N/A</v>
      </c>
      <c r="AF414" t="e">
        <f>VLOOKUP($J414,'[1]Table S6'!$A:$AI,23,FALSE)</f>
        <v>#N/A</v>
      </c>
      <c r="AG414" t="e">
        <f>VLOOKUP($J414,'[1]Table S6'!$A:$AI,24,FALSE)</f>
        <v>#N/A</v>
      </c>
      <c r="AH414" t="e">
        <f>VLOOKUP($J414,'[1]Table S6'!$A:$AI,25,FALSE)</f>
        <v>#N/A</v>
      </c>
      <c r="AJ414" t="e">
        <f>VLOOKUP($J414,'[1]Table S6'!$A:$AI,27,FALSE)</f>
        <v>#N/A</v>
      </c>
      <c r="AK414" t="e">
        <f>VLOOKUP($J414,'[1]Table S6'!$A:$AI,28,FALSE)</f>
        <v>#N/A</v>
      </c>
      <c r="AL414" t="e">
        <f>VLOOKUP($J414,'[1]Table S6'!$A:$AI,29,FALSE)</f>
        <v>#N/A</v>
      </c>
      <c r="AM414" t="e">
        <f>VLOOKUP($J414,'[1]Table S6'!$A:$AI,30,FALSE)</f>
        <v>#N/A</v>
      </c>
      <c r="AO414" t="e">
        <f>VLOOKUP($J414,'[1]Table S6'!$A:$AI,32,FALSE)</f>
        <v>#N/A</v>
      </c>
      <c r="AP414" t="e">
        <f>VLOOKUP($J414,'[1]Table S6'!$A:$AI,33,FALSE)</f>
        <v>#N/A</v>
      </c>
      <c r="AQ414" t="e">
        <f>VLOOKUP($J414,'[1]Table S6'!$A:$AI,34,FALSE)</f>
        <v>#N/A</v>
      </c>
      <c r="AR414" t="e">
        <f>VLOOKUP($J414,'[1]Table S6'!$A:$AI,35,FALSE)</f>
        <v>#N/A</v>
      </c>
      <c r="AT414" t="str">
        <f>VLOOKUP($I414,'[2]Table S5'!$A:$K,8,FALSE)</f>
        <v>Resistant</v>
      </c>
      <c r="AU414" t="str">
        <f>VLOOKUP($I414,'[2]Table S5'!$A:$K,9,FALSE)</f>
        <v>Resistant</v>
      </c>
      <c r="AV414" t="str">
        <f>VLOOKUP($I414,'[2]Table S5'!$A:$K,10,FALSE)</f>
        <v>Resistant</v>
      </c>
      <c r="AW414" t="str">
        <f>VLOOKUP($I414,'[2]Table S5'!$A:$K,11,FALSE)</f>
        <v>Resistant</v>
      </c>
    </row>
    <row r="415" spans="1:49">
      <c r="A415" s="12" t="s">
        <v>2929</v>
      </c>
      <c r="B415" t="s">
        <v>2930</v>
      </c>
      <c r="C415" t="s">
        <v>2931</v>
      </c>
      <c r="D415" t="s">
        <v>17</v>
      </c>
      <c r="E415" t="s">
        <v>497</v>
      </c>
      <c r="F415" s="12" t="s">
        <v>498</v>
      </c>
      <c r="G415" t="s">
        <v>499</v>
      </c>
      <c r="H415" t="s">
        <v>500</v>
      </c>
      <c r="I415" t="s">
        <v>493</v>
      </c>
      <c r="J415" t="s">
        <v>501</v>
      </c>
      <c r="K415">
        <f>VLOOKUP($J415,'[1]Table S6'!$A:$AI,2,FALSE)</f>
        <v>297.39999999999998</v>
      </c>
      <c r="L415">
        <f>VLOOKUP($J415,'[1]Table S6'!$A:$AI,3,FALSE)</f>
        <v>0.63290061715258605</v>
      </c>
      <c r="M415">
        <f>VLOOKUP($J415,'[1]Table S6'!$A:$AI,4,FALSE)</f>
        <v>1.056</v>
      </c>
      <c r="N415" t="str">
        <f>VLOOKUP($J415,'[1]Table S6'!$A:$AI,5,FALSE)</f>
        <v>Yes</v>
      </c>
      <c r="P415">
        <f>VLOOKUP($J415,'[1]Table S6'!$A:$AI,7,FALSE)</f>
        <v>395.7</v>
      </c>
      <c r="Q415">
        <f>VLOOKUP($J415,'[1]Table S6'!$A:$AI,8,FALSE)</f>
        <v>0.84209406256650399</v>
      </c>
      <c r="R415">
        <f>VLOOKUP($J415,'[1]Table S6'!$A:$AI,9,FALSE)</f>
        <v>22.2</v>
      </c>
      <c r="S415" t="str">
        <f>VLOOKUP($J415,'[1]Table S6'!$A:$AI,10,FALSE)</f>
        <v>No</v>
      </c>
      <c r="U415">
        <f>VLOOKUP($J415,'[1]Table S6'!$A:$AI,12,FALSE)</f>
        <v>350.1</v>
      </c>
      <c r="V415">
        <f>VLOOKUP($J415,'[1]Table S6'!$A:$AI,13,FALSE)</f>
        <v>0.74505213875292597</v>
      </c>
      <c r="W415">
        <f>VLOOKUP($J415,'[1]Table S6'!$A:$AI,14,FALSE)</f>
        <v>6.1150000000000002</v>
      </c>
      <c r="X415" t="str">
        <f>VLOOKUP($J415,'[1]Table S6'!$A:$AI,15,FALSE)</f>
        <v>No</v>
      </c>
      <c r="Z415">
        <f>VLOOKUP($J415,'[1]Table S6'!$A:$AI,17,FALSE)</f>
        <v>383.8</v>
      </c>
      <c r="AA415">
        <f>VLOOKUP($J415,'[1]Table S6'!$A:$AI,18,FALSE)</f>
        <v>0.81676952543094306</v>
      </c>
      <c r="AB415">
        <f>VLOOKUP($J415,'[1]Table S6'!$A:$AI,19,FALSE)</f>
        <v>15.15</v>
      </c>
      <c r="AC415" t="str">
        <f>VLOOKUP($J415,'[1]Table S6'!$A:$AI,20,FALSE)</f>
        <v>No</v>
      </c>
      <c r="AE415">
        <f>VLOOKUP($J415,'[1]Table S6'!$A:$AI,22,FALSE)</f>
        <v>339.7</v>
      </c>
      <c r="AF415">
        <f>VLOOKUP($J415,'[1]Table S6'!$A:$AI,23,FALSE)</f>
        <v>0.72291977016386499</v>
      </c>
      <c r="AG415">
        <f>VLOOKUP($J415,'[1]Table S6'!$A:$AI,24,FALSE)</f>
        <v>5.8620000000000001</v>
      </c>
      <c r="AH415" t="str">
        <f>VLOOKUP($J415,'[1]Table S6'!$A:$AI,25,FALSE)</f>
        <v>No</v>
      </c>
      <c r="AJ415">
        <f>VLOOKUP($J415,'[1]Table S6'!$A:$AI,27,FALSE)</f>
        <v>435.7</v>
      </c>
      <c r="AK415">
        <f>VLOOKUP($J415,'[1]Table S6'!$A:$AI,28,FALSE)</f>
        <v>0.92721855713981705</v>
      </c>
      <c r="AL415">
        <f>VLOOKUP($J415,'[1]Table S6'!$A:$AI,29,FALSE)</f>
        <v>101.5</v>
      </c>
      <c r="AM415" t="str">
        <f>VLOOKUP($J415,'[1]Table S6'!$A:$AI,30,FALSE)</f>
        <v>No</v>
      </c>
      <c r="AO415">
        <f>VLOOKUP($J415,'[1]Table S6'!$A:$AI,32,FALSE)</f>
        <v>422.6</v>
      </c>
      <c r="AP415">
        <f>VLOOKUP($J415,'[1]Table S6'!$A:$AI,33,FALSE)</f>
        <v>0.899340285167057</v>
      </c>
      <c r="AQ415">
        <f>VLOOKUP($J415,'[1]Table S6'!$A:$AI,34,FALSE)</f>
        <v>97.38</v>
      </c>
      <c r="AR415" t="str">
        <f>VLOOKUP($J415,'[1]Table S6'!$A:$AI,35,FALSE)</f>
        <v>No</v>
      </c>
      <c r="AT415" t="str">
        <f>VLOOKUP($I415,'[2]Table S5'!$A:$K,8,FALSE)</f>
        <v>Resistant</v>
      </c>
      <c r="AU415" t="str">
        <f>VLOOKUP($I415,'[2]Table S5'!$A:$K,9,FALSE)</f>
        <v>Resistant</v>
      </c>
      <c r="AV415" t="str">
        <f>VLOOKUP($I415,'[2]Table S5'!$A:$K,10,FALSE)</f>
        <v>Resistant</v>
      </c>
      <c r="AW415" t="str">
        <f>VLOOKUP($I415,'[2]Table S5'!$A:$K,11,FALSE)</f>
        <v>Resistant</v>
      </c>
    </row>
    <row r="416" spans="1:49">
      <c r="A416" s="12" t="s">
        <v>2932</v>
      </c>
      <c r="B416" t="s">
        <v>2933</v>
      </c>
      <c r="C416" t="s">
        <v>2934</v>
      </c>
      <c r="D416" t="s">
        <v>17</v>
      </c>
      <c r="E416" t="s">
        <v>505</v>
      </c>
      <c r="F416" s="12" t="s">
        <v>506</v>
      </c>
      <c r="G416" t="s">
        <v>507</v>
      </c>
      <c r="H416" t="s">
        <v>508</v>
      </c>
      <c r="I416" t="s">
        <v>493</v>
      </c>
      <c r="J416" t="s">
        <v>509</v>
      </c>
      <c r="K416">
        <f>VLOOKUP($J416,'[1]Table S6'!$A:$AI,2,FALSE)</f>
        <v>359.2</v>
      </c>
      <c r="L416">
        <f>VLOOKUP($J416,'[1]Table S6'!$A:$AI,3,FALSE)</f>
        <v>0.76441796126835504</v>
      </c>
      <c r="M416">
        <f>VLOOKUP($J416,'[1]Table S6'!$A:$AI,4,FALSE)</f>
        <v>5.08</v>
      </c>
      <c r="N416" t="str">
        <f>VLOOKUP($J416,'[1]Table S6'!$A:$AI,5,FALSE)</f>
        <v>No</v>
      </c>
      <c r="P416">
        <f>VLOOKUP($J416,'[1]Table S6'!$A:$AI,7,FALSE)</f>
        <v>376.1</v>
      </c>
      <c r="Q416">
        <f>VLOOKUP($J416,'[1]Table S6'!$A:$AI,8,FALSE)</f>
        <v>0.80038306022558003</v>
      </c>
      <c r="R416">
        <f>VLOOKUP($J416,'[1]Table S6'!$A:$AI,9,FALSE)</f>
        <v>13.39</v>
      </c>
      <c r="S416" t="str">
        <f>VLOOKUP($J416,'[1]Table S6'!$A:$AI,10,FALSE)</f>
        <v>No</v>
      </c>
      <c r="U416">
        <f>VLOOKUP($J416,'[1]Table S6'!$A:$AI,12,FALSE)</f>
        <v>297.2</v>
      </c>
      <c r="V416">
        <f>VLOOKUP($J416,'[1]Table S6'!$A:$AI,13,FALSE)</f>
        <v>0.63247499467971902</v>
      </c>
      <c r="W416">
        <f>VLOOKUP($J416,'[1]Table S6'!$A:$AI,14,FALSE)</f>
        <v>0.99080000000000001</v>
      </c>
      <c r="X416" t="str">
        <f>VLOOKUP($J416,'[1]Table S6'!$A:$AI,15,FALSE)</f>
        <v>Yes</v>
      </c>
      <c r="Z416">
        <f>VLOOKUP($J416,'[1]Table S6'!$A:$AI,17,FALSE)</f>
        <v>377</v>
      </c>
      <c r="AA416">
        <f>VLOOKUP($J416,'[1]Table S6'!$A:$AI,18,FALSE)</f>
        <v>0.80229836135347998</v>
      </c>
      <c r="AB416">
        <f>VLOOKUP($J416,'[1]Table S6'!$A:$AI,19,FALSE)</f>
        <v>12.38</v>
      </c>
      <c r="AC416" t="str">
        <f>VLOOKUP($J416,'[1]Table S6'!$A:$AI,20,FALSE)</f>
        <v>No</v>
      </c>
      <c r="AE416">
        <f>VLOOKUP($J416,'[1]Table S6'!$A:$AI,22,FALSE)</f>
        <v>310.60000000000002</v>
      </c>
      <c r="AF416">
        <f>VLOOKUP($J416,'[1]Table S6'!$A:$AI,23,FALSE)</f>
        <v>0.66099170036177901</v>
      </c>
      <c r="AG416">
        <f>VLOOKUP($J416,'[1]Table S6'!$A:$AI,24,FALSE)</f>
        <v>2.2149999999999999</v>
      </c>
      <c r="AH416" t="str">
        <f>VLOOKUP($J416,'[1]Table S6'!$A:$AI,25,FALSE)</f>
        <v>Yes</v>
      </c>
      <c r="AJ416">
        <f>VLOOKUP($J416,'[1]Table S6'!$A:$AI,27,FALSE)</f>
        <v>362.9</v>
      </c>
      <c r="AK416">
        <f>VLOOKUP($J416,'[1]Table S6'!$A:$AI,28,FALSE)</f>
        <v>0.77229197701638597</v>
      </c>
      <c r="AL416">
        <f>VLOOKUP($J416,'[1]Table S6'!$A:$AI,29,FALSE)</f>
        <v>13.39</v>
      </c>
      <c r="AM416" t="str">
        <f>VLOOKUP($J416,'[1]Table S6'!$A:$AI,30,FALSE)</f>
        <v>No</v>
      </c>
      <c r="AO416">
        <f>VLOOKUP($J416,'[1]Table S6'!$A:$AI,32,FALSE)</f>
        <v>338.2</v>
      </c>
      <c r="AP416">
        <f>VLOOKUP($J416,'[1]Table S6'!$A:$AI,33,FALSE)</f>
        <v>0.71972760161736504</v>
      </c>
      <c r="AQ416">
        <f>VLOOKUP($J416,'[1]Table S6'!$A:$AI,34,FALSE)</f>
        <v>8.0879999999999992</v>
      </c>
      <c r="AR416" t="str">
        <f>VLOOKUP($J416,'[1]Table S6'!$A:$AI,35,FALSE)</f>
        <v>No</v>
      </c>
      <c r="AT416" t="str">
        <f>VLOOKUP($I416,'[2]Table S5'!$A:$K,8,FALSE)</f>
        <v>Resistant</v>
      </c>
      <c r="AU416" t="str">
        <f>VLOOKUP($I416,'[2]Table S5'!$A:$K,9,FALSE)</f>
        <v>Resistant</v>
      </c>
      <c r="AV416" t="str">
        <f>VLOOKUP($I416,'[2]Table S5'!$A:$K,10,FALSE)</f>
        <v>Resistant</v>
      </c>
      <c r="AW416" t="str">
        <f>VLOOKUP($I416,'[2]Table S5'!$A:$K,11,FALSE)</f>
        <v>Resistant</v>
      </c>
    </row>
    <row r="417" spans="1:49">
      <c r="A417" s="12" t="s">
        <v>2935</v>
      </c>
      <c r="B417" t="s">
        <v>2936</v>
      </c>
      <c r="C417" t="s">
        <v>2937</v>
      </c>
      <c r="D417" t="s">
        <v>17</v>
      </c>
      <c r="E417" t="s">
        <v>513</v>
      </c>
      <c r="F417" s="12" t="s">
        <v>514</v>
      </c>
      <c r="G417" t="s">
        <v>515</v>
      </c>
      <c r="H417" t="s">
        <v>516</v>
      </c>
      <c r="I417" t="s">
        <v>493</v>
      </c>
      <c r="J417" t="s">
        <v>501</v>
      </c>
      <c r="K417">
        <f>VLOOKUP($J417,'[1]Table S6'!$A:$AI,2,FALSE)</f>
        <v>297.39999999999998</v>
      </c>
      <c r="L417">
        <f>VLOOKUP($J417,'[1]Table S6'!$A:$AI,3,FALSE)</f>
        <v>0.63290061715258605</v>
      </c>
      <c r="M417">
        <f>VLOOKUP($J417,'[1]Table S6'!$A:$AI,4,FALSE)</f>
        <v>1.056</v>
      </c>
      <c r="N417" t="str">
        <f>VLOOKUP($J417,'[1]Table S6'!$A:$AI,5,FALSE)</f>
        <v>Yes</v>
      </c>
      <c r="P417">
        <f>VLOOKUP($J417,'[1]Table S6'!$A:$AI,7,FALSE)</f>
        <v>395.7</v>
      </c>
      <c r="Q417">
        <f>VLOOKUP($J417,'[1]Table S6'!$A:$AI,8,FALSE)</f>
        <v>0.84209406256650399</v>
      </c>
      <c r="R417">
        <f>VLOOKUP($J417,'[1]Table S6'!$A:$AI,9,FALSE)</f>
        <v>22.2</v>
      </c>
      <c r="S417" t="str">
        <f>VLOOKUP($J417,'[1]Table S6'!$A:$AI,10,FALSE)</f>
        <v>No</v>
      </c>
      <c r="U417">
        <f>VLOOKUP($J417,'[1]Table S6'!$A:$AI,12,FALSE)</f>
        <v>350.1</v>
      </c>
      <c r="V417">
        <f>VLOOKUP($J417,'[1]Table S6'!$A:$AI,13,FALSE)</f>
        <v>0.74505213875292597</v>
      </c>
      <c r="W417">
        <f>VLOOKUP($J417,'[1]Table S6'!$A:$AI,14,FALSE)</f>
        <v>6.1150000000000002</v>
      </c>
      <c r="X417" t="str">
        <f>VLOOKUP($J417,'[1]Table S6'!$A:$AI,15,FALSE)</f>
        <v>No</v>
      </c>
      <c r="Z417">
        <f>VLOOKUP($J417,'[1]Table S6'!$A:$AI,17,FALSE)</f>
        <v>383.8</v>
      </c>
      <c r="AA417">
        <f>VLOOKUP($J417,'[1]Table S6'!$A:$AI,18,FALSE)</f>
        <v>0.81676952543094306</v>
      </c>
      <c r="AB417">
        <f>VLOOKUP($J417,'[1]Table S6'!$A:$AI,19,FALSE)</f>
        <v>15.15</v>
      </c>
      <c r="AC417" t="str">
        <f>VLOOKUP($J417,'[1]Table S6'!$A:$AI,20,FALSE)</f>
        <v>No</v>
      </c>
      <c r="AE417">
        <f>VLOOKUP($J417,'[1]Table S6'!$A:$AI,22,FALSE)</f>
        <v>339.7</v>
      </c>
      <c r="AF417">
        <f>VLOOKUP($J417,'[1]Table S6'!$A:$AI,23,FALSE)</f>
        <v>0.72291977016386499</v>
      </c>
      <c r="AG417">
        <f>VLOOKUP($J417,'[1]Table S6'!$A:$AI,24,FALSE)</f>
        <v>5.8620000000000001</v>
      </c>
      <c r="AH417" t="str">
        <f>VLOOKUP($J417,'[1]Table S6'!$A:$AI,25,FALSE)</f>
        <v>No</v>
      </c>
      <c r="AJ417">
        <f>VLOOKUP($J417,'[1]Table S6'!$A:$AI,27,FALSE)</f>
        <v>435.7</v>
      </c>
      <c r="AK417">
        <f>VLOOKUP($J417,'[1]Table S6'!$A:$AI,28,FALSE)</f>
        <v>0.92721855713981705</v>
      </c>
      <c r="AL417">
        <f>VLOOKUP($J417,'[1]Table S6'!$A:$AI,29,FALSE)</f>
        <v>101.5</v>
      </c>
      <c r="AM417" t="str">
        <f>VLOOKUP($J417,'[1]Table S6'!$A:$AI,30,FALSE)</f>
        <v>No</v>
      </c>
      <c r="AO417">
        <f>VLOOKUP($J417,'[1]Table S6'!$A:$AI,32,FALSE)</f>
        <v>422.6</v>
      </c>
      <c r="AP417">
        <f>VLOOKUP($J417,'[1]Table S6'!$A:$AI,33,FALSE)</f>
        <v>0.899340285167057</v>
      </c>
      <c r="AQ417">
        <f>VLOOKUP($J417,'[1]Table S6'!$A:$AI,34,FALSE)</f>
        <v>97.38</v>
      </c>
      <c r="AR417" t="str">
        <f>VLOOKUP($J417,'[1]Table S6'!$A:$AI,35,FALSE)</f>
        <v>No</v>
      </c>
      <c r="AT417" t="str">
        <f>VLOOKUP($I417,'[2]Table S5'!$A:$K,8,FALSE)</f>
        <v>Resistant</v>
      </c>
      <c r="AU417" t="str">
        <f>VLOOKUP($I417,'[2]Table S5'!$A:$K,9,FALSE)</f>
        <v>Resistant</v>
      </c>
      <c r="AV417" t="str">
        <f>VLOOKUP($I417,'[2]Table S5'!$A:$K,10,FALSE)</f>
        <v>Resistant</v>
      </c>
      <c r="AW417" t="str">
        <f>VLOOKUP($I417,'[2]Table S5'!$A:$K,11,FALSE)</f>
        <v>Resistant</v>
      </c>
    </row>
    <row r="418" spans="1:49">
      <c r="A418" s="12" t="s">
        <v>2938</v>
      </c>
      <c r="B418" t="s">
        <v>2939</v>
      </c>
      <c r="C418" t="s">
        <v>2940</v>
      </c>
      <c r="D418" t="s">
        <v>17</v>
      </c>
      <c r="E418" t="s">
        <v>520</v>
      </c>
      <c r="F418" s="12" t="s">
        <v>521</v>
      </c>
      <c r="G418" t="s">
        <v>522</v>
      </c>
      <c r="H418" t="s">
        <v>523</v>
      </c>
      <c r="I418" t="s">
        <v>493</v>
      </c>
      <c r="J418" t="s">
        <v>509</v>
      </c>
      <c r="K418">
        <f>VLOOKUP($J418,'[1]Table S6'!$A:$AI,2,FALSE)</f>
        <v>359.2</v>
      </c>
      <c r="L418">
        <f>VLOOKUP($J418,'[1]Table S6'!$A:$AI,3,FALSE)</f>
        <v>0.76441796126835504</v>
      </c>
      <c r="M418">
        <f>VLOOKUP($J418,'[1]Table S6'!$A:$AI,4,FALSE)</f>
        <v>5.08</v>
      </c>
      <c r="N418" t="str">
        <f>VLOOKUP($J418,'[1]Table S6'!$A:$AI,5,FALSE)</f>
        <v>No</v>
      </c>
      <c r="P418">
        <f>VLOOKUP($J418,'[1]Table S6'!$A:$AI,7,FALSE)</f>
        <v>376.1</v>
      </c>
      <c r="Q418">
        <f>VLOOKUP($J418,'[1]Table S6'!$A:$AI,8,FALSE)</f>
        <v>0.80038306022558003</v>
      </c>
      <c r="R418">
        <f>VLOOKUP($J418,'[1]Table S6'!$A:$AI,9,FALSE)</f>
        <v>13.39</v>
      </c>
      <c r="S418" t="str">
        <f>VLOOKUP($J418,'[1]Table S6'!$A:$AI,10,FALSE)</f>
        <v>No</v>
      </c>
      <c r="U418">
        <f>VLOOKUP($J418,'[1]Table S6'!$A:$AI,12,FALSE)</f>
        <v>297.2</v>
      </c>
      <c r="V418">
        <f>VLOOKUP($J418,'[1]Table S6'!$A:$AI,13,FALSE)</f>
        <v>0.63247499467971902</v>
      </c>
      <c r="W418">
        <f>VLOOKUP($J418,'[1]Table S6'!$A:$AI,14,FALSE)</f>
        <v>0.99080000000000001</v>
      </c>
      <c r="X418" t="str">
        <f>VLOOKUP($J418,'[1]Table S6'!$A:$AI,15,FALSE)</f>
        <v>Yes</v>
      </c>
      <c r="Z418">
        <f>VLOOKUP($J418,'[1]Table S6'!$A:$AI,17,FALSE)</f>
        <v>377</v>
      </c>
      <c r="AA418">
        <f>VLOOKUP($J418,'[1]Table S6'!$A:$AI,18,FALSE)</f>
        <v>0.80229836135347998</v>
      </c>
      <c r="AB418">
        <f>VLOOKUP($J418,'[1]Table S6'!$A:$AI,19,FALSE)</f>
        <v>12.38</v>
      </c>
      <c r="AC418" t="str">
        <f>VLOOKUP($J418,'[1]Table S6'!$A:$AI,20,FALSE)</f>
        <v>No</v>
      </c>
      <c r="AE418">
        <f>VLOOKUP($J418,'[1]Table S6'!$A:$AI,22,FALSE)</f>
        <v>310.60000000000002</v>
      </c>
      <c r="AF418">
        <f>VLOOKUP($J418,'[1]Table S6'!$A:$AI,23,FALSE)</f>
        <v>0.66099170036177901</v>
      </c>
      <c r="AG418">
        <f>VLOOKUP($J418,'[1]Table S6'!$A:$AI,24,FALSE)</f>
        <v>2.2149999999999999</v>
      </c>
      <c r="AH418" t="str">
        <f>VLOOKUP($J418,'[1]Table S6'!$A:$AI,25,FALSE)</f>
        <v>Yes</v>
      </c>
      <c r="AJ418">
        <f>VLOOKUP($J418,'[1]Table S6'!$A:$AI,27,FALSE)</f>
        <v>362.9</v>
      </c>
      <c r="AK418">
        <f>VLOOKUP($J418,'[1]Table S6'!$A:$AI,28,FALSE)</f>
        <v>0.77229197701638597</v>
      </c>
      <c r="AL418">
        <f>VLOOKUP($J418,'[1]Table S6'!$A:$AI,29,FALSE)</f>
        <v>13.39</v>
      </c>
      <c r="AM418" t="str">
        <f>VLOOKUP($J418,'[1]Table S6'!$A:$AI,30,FALSE)</f>
        <v>No</v>
      </c>
      <c r="AO418">
        <f>VLOOKUP($J418,'[1]Table S6'!$A:$AI,32,FALSE)</f>
        <v>338.2</v>
      </c>
      <c r="AP418">
        <f>VLOOKUP($J418,'[1]Table S6'!$A:$AI,33,FALSE)</f>
        <v>0.71972760161736504</v>
      </c>
      <c r="AQ418">
        <f>VLOOKUP($J418,'[1]Table S6'!$A:$AI,34,FALSE)</f>
        <v>8.0879999999999992</v>
      </c>
      <c r="AR418" t="str">
        <f>VLOOKUP($J418,'[1]Table S6'!$A:$AI,35,FALSE)</f>
        <v>No</v>
      </c>
      <c r="AT418" t="str">
        <f>VLOOKUP($I418,'[2]Table S5'!$A:$K,8,FALSE)</f>
        <v>Resistant</v>
      </c>
      <c r="AU418" t="str">
        <f>VLOOKUP($I418,'[2]Table S5'!$A:$K,9,FALSE)</f>
        <v>Resistant</v>
      </c>
      <c r="AV418" t="str">
        <f>VLOOKUP($I418,'[2]Table S5'!$A:$K,10,FALSE)</f>
        <v>Resistant</v>
      </c>
      <c r="AW418" t="str">
        <f>VLOOKUP($I418,'[2]Table S5'!$A:$K,11,FALSE)</f>
        <v>Resistant</v>
      </c>
    </row>
    <row r="419" spans="1:49">
      <c r="A419" s="12" t="s">
        <v>2941</v>
      </c>
      <c r="B419" t="s">
        <v>2942</v>
      </c>
      <c r="C419" t="s">
        <v>2943</v>
      </c>
      <c r="D419" t="s">
        <v>17</v>
      </c>
      <c r="E419" t="s">
        <v>2944</v>
      </c>
      <c r="F419" s="12" t="s">
        <v>2945</v>
      </c>
      <c r="G419" t="s">
        <v>2946</v>
      </c>
      <c r="H419" t="s">
        <v>2947</v>
      </c>
      <c r="I419" t="s">
        <v>531</v>
      </c>
      <c r="J419" t="s">
        <v>531</v>
      </c>
      <c r="K419" t="e">
        <f>VLOOKUP($J419,'[1]Table S6'!$A:$AI,2,FALSE)</f>
        <v>#N/A</v>
      </c>
      <c r="L419" t="e">
        <f>VLOOKUP($J419,'[1]Table S6'!$A:$AI,3,FALSE)</f>
        <v>#N/A</v>
      </c>
      <c r="M419" t="e">
        <f>VLOOKUP($J419,'[1]Table S6'!$A:$AI,4,FALSE)</f>
        <v>#N/A</v>
      </c>
      <c r="N419" t="e">
        <f>VLOOKUP($J419,'[1]Table S6'!$A:$AI,5,FALSE)</f>
        <v>#N/A</v>
      </c>
      <c r="P419" t="e">
        <f>VLOOKUP($J419,'[1]Table S6'!$A:$AI,7,FALSE)</f>
        <v>#N/A</v>
      </c>
      <c r="Q419" t="e">
        <f>VLOOKUP($J419,'[1]Table S6'!$A:$AI,8,FALSE)</f>
        <v>#N/A</v>
      </c>
      <c r="R419" t="e">
        <f>VLOOKUP($J419,'[1]Table S6'!$A:$AI,9,FALSE)</f>
        <v>#N/A</v>
      </c>
      <c r="S419" t="e">
        <f>VLOOKUP($J419,'[1]Table S6'!$A:$AI,10,FALSE)</f>
        <v>#N/A</v>
      </c>
      <c r="U419" t="e">
        <f>VLOOKUP($J419,'[1]Table S6'!$A:$AI,12,FALSE)</f>
        <v>#N/A</v>
      </c>
      <c r="V419" t="e">
        <f>VLOOKUP($J419,'[1]Table S6'!$A:$AI,13,FALSE)</f>
        <v>#N/A</v>
      </c>
      <c r="W419" t="e">
        <f>VLOOKUP($J419,'[1]Table S6'!$A:$AI,14,FALSE)</f>
        <v>#N/A</v>
      </c>
      <c r="X419" t="e">
        <f>VLOOKUP($J419,'[1]Table S6'!$A:$AI,15,FALSE)</f>
        <v>#N/A</v>
      </c>
      <c r="Z419" t="e">
        <f>VLOOKUP($J419,'[1]Table S6'!$A:$AI,17,FALSE)</f>
        <v>#N/A</v>
      </c>
      <c r="AA419" t="e">
        <f>VLOOKUP($J419,'[1]Table S6'!$A:$AI,18,FALSE)</f>
        <v>#N/A</v>
      </c>
      <c r="AB419" t="e">
        <f>VLOOKUP($J419,'[1]Table S6'!$A:$AI,19,FALSE)</f>
        <v>#N/A</v>
      </c>
      <c r="AC419" t="e">
        <f>VLOOKUP($J419,'[1]Table S6'!$A:$AI,20,FALSE)</f>
        <v>#N/A</v>
      </c>
      <c r="AE419" t="e">
        <f>VLOOKUP($J419,'[1]Table S6'!$A:$AI,22,FALSE)</f>
        <v>#N/A</v>
      </c>
      <c r="AF419" t="e">
        <f>VLOOKUP($J419,'[1]Table S6'!$A:$AI,23,FALSE)</f>
        <v>#N/A</v>
      </c>
      <c r="AG419" t="e">
        <f>VLOOKUP($J419,'[1]Table S6'!$A:$AI,24,FALSE)</f>
        <v>#N/A</v>
      </c>
      <c r="AH419" t="e">
        <f>VLOOKUP($J419,'[1]Table S6'!$A:$AI,25,FALSE)</f>
        <v>#N/A</v>
      </c>
      <c r="AJ419" t="e">
        <f>VLOOKUP($J419,'[1]Table S6'!$A:$AI,27,FALSE)</f>
        <v>#N/A</v>
      </c>
      <c r="AK419" t="e">
        <f>VLOOKUP($J419,'[1]Table S6'!$A:$AI,28,FALSE)</f>
        <v>#N/A</v>
      </c>
      <c r="AL419" t="e">
        <f>VLOOKUP($J419,'[1]Table S6'!$A:$AI,29,FALSE)</f>
        <v>#N/A</v>
      </c>
      <c r="AM419" t="e">
        <f>VLOOKUP($J419,'[1]Table S6'!$A:$AI,30,FALSE)</f>
        <v>#N/A</v>
      </c>
      <c r="AO419" t="e">
        <f>VLOOKUP($J419,'[1]Table S6'!$A:$AI,32,FALSE)</f>
        <v>#N/A</v>
      </c>
      <c r="AP419" t="e">
        <f>VLOOKUP($J419,'[1]Table S6'!$A:$AI,33,FALSE)</f>
        <v>#N/A</v>
      </c>
      <c r="AQ419" t="e">
        <f>VLOOKUP($J419,'[1]Table S6'!$A:$AI,34,FALSE)</f>
        <v>#N/A</v>
      </c>
      <c r="AR419" t="e">
        <f>VLOOKUP($J419,'[1]Table S6'!$A:$AI,35,FALSE)</f>
        <v>#N/A</v>
      </c>
      <c r="AT419" t="str">
        <f>VLOOKUP($I419,'[2]Table S5'!$A:$K,8,FALSE)</f>
        <v>Resistant</v>
      </c>
      <c r="AU419" t="str">
        <f>VLOOKUP($I419,'[2]Table S5'!$A:$K,9,FALSE)</f>
        <v>Resistant</v>
      </c>
      <c r="AV419" t="str">
        <f>VLOOKUP($I419,'[2]Table S5'!$A:$K,10,FALSE)</f>
        <v>Resistant</v>
      </c>
      <c r="AW419" t="str">
        <f>VLOOKUP($I419,'[2]Table S5'!$A:$K,11,FALSE)</f>
        <v>Sensitive</v>
      </c>
    </row>
    <row r="420" spans="1:49">
      <c r="A420" s="12" t="s">
        <v>2948</v>
      </c>
      <c r="B420" t="s">
        <v>2949</v>
      </c>
      <c r="C420" t="s">
        <v>2950</v>
      </c>
      <c r="D420" t="s">
        <v>17</v>
      </c>
      <c r="E420" t="s">
        <v>2951</v>
      </c>
      <c r="F420" s="12" t="s">
        <v>2952</v>
      </c>
      <c r="G420" t="s">
        <v>2953</v>
      </c>
      <c r="H420" t="s">
        <v>2954</v>
      </c>
      <c r="I420" t="s">
        <v>531</v>
      </c>
      <c r="J420" t="s">
        <v>531</v>
      </c>
      <c r="K420" t="e">
        <f>VLOOKUP($J420,'[1]Table S6'!$A:$AI,2,FALSE)</f>
        <v>#N/A</v>
      </c>
      <c r="L420" t="e">
        <f>VLOOKUP($J420,'[1]Table S6'!$A:$AI,3,FALSE)</f>
        <v>#N/A</v>
      </c>
      <c r="M420" t="e">
        <f>VLOOKUP($J420,'[1]Table S6'!$A:$AI,4,FALSE)</f>
        <v>#N/A</v>
      </c>
      <c r="N420" t="e">
        <f>VLOOKUP($J420,'[1]Table S6'!$A:$AI,5,FALSE)</f>
        <v>#N/A</v>
      </c>
      <c r="P420" t="e">
        <f>VLOOKUP($J420,'[1]Table S6'!$A:$AI,7,FALSE)</f>
        <v>#N/A</v>
      </c>
      <c r="Q420" t="e">
        <f>VLOOKUP($J420,'[1]Table S6'!$A:$AI,8,FALSE)</f>
        <v>#N/A</v>
      </c>
      <c r="R420" t="e">
        <f>VLOOKUP($J420,'[1]Table S6'!$A:$AI,9,FALSE)</f>
        <v>#N/A</v>
      </c>
      <c r="S420" t="e">
        <f>VLOOKUP($J420,'[1]Table S6'!$A:$AI,10,FALSE)</f>
        <v>#N/A</v>
      </c>
      <c r="U420" t="e">
        <f>VLOOKUP($J420,'[1]Table S6'!$A:$AI,12,FALSE)</f>
        <v>#N/A</v>
      </c>
      <c r="V420" t="e">
        <f>VLOOKUP($J420,'[1]Table S6'!$A:$AI,13,FALSE)</f>
        <v>#N/A</v>
      </c>
      <c r="W420" t="e">
        <f>VLOOKUP($J420,'[1]Table S6'!$A:$AI,14,FALSE)</f>
        <v>#N/A</v>
      </c>
      <c r="X420" t="e">
        <f>VLOOKUP($J420,'[1]Table S6'!$A:$AI,15,FALSE)</f>
        <v>#N/A</v>
      </c>
      <c r="Z420" t="e">
        <f>VLOOKUP($J420,'[1]Table S6'!$A:$AI,17,FALSE)</f>
        <v>#N/A</v>
      </c>
      <c r="AA420" t="e">
        <f>VLOOKUP($J420,'[1]Table S6'!$A:$AI,18,FALSE)</f>
        <v>#N/A</v>
      </c>
      <c r="AB420" t="e">
        <f>VLOOKUP($J420,'[1]Table S6'!$A:$AI,19,FALSE)</f>
        <v>#N/A</v>
      </c>
      <c r="AC420" t="e">
        <f>VLOOKUP($J420,'[1]Table S6'!$A:$AI,20,FALSE)</f>
        <v>#N/A</v>
      </c>
      <c r="AE420" t="e">
        <f>VLOOKUP($J420,'[1]Table S6'!$A:$AI,22,FALSE)</f>
        <v>#N/A</v>
      </c>
      <c r="AF420" t="e">
        <f>VLOOKUP($J420,'[1]Table S6'!$A:$AI,23,FALSE)</f>
        <v>#N/A</v>
      </c>
      <c r="AG420" t="e">
        <f>VLOOKUP($J420,'[1]Table S6'!$A:$AI,24,FALSE)</f>
        <v>#N/A</v>
      </c>
      <c r="AH420" t="e">
        <f>VLOOKUP($J420,'[1]Table S6'!$A:$AI,25,FALSE)</f>
        <v>#N/A</v>
      </c>
      <c r="AJ420" t="e">
        <f>VLOOKUP($J420,'[1]Table S6'!$A:$AI,27,FALSE)</f>
        <v>#N/A</v>
      </c>
      <c r="AK420" t="e">
        <f>VLOOKUP($J420,'[1]Table S6'!$A:$AI,28,FALSE)</f>
        <v>#N/A</v>
      </c>
      <c r="AL420" t="e">
        <f>VLOOKUP($J420,'[1]Table S6'!$A:$AI,29,FALSE)</f>
        <v>#N/A</v>
      </c>
      <c r="AM420" t="e">
        <f>VLOOKUP($J420,'[1]Table S6'!$A:$AI,30,FALSE)</f>
        <v>#N/A</v>
      </c>
      <c r="AO420" t="e">
        <f>VLOOKUP($J420,'[1]Table S6'!$A:$AI,32,FALSE)</f>
        <v>#N/A</v>
      </c>
      <c r="AP420" t="e">
        <f>VLOOKUP($J420,'[1]Table S6'!$A:$AI,33,FALSE)</f>
        <v>#N/A</v>
      </c>
      <c r="AQ420" t="e">
        <f>VLOOKUP($J420,'[1]Table S6'!$A:$AI,34,FALSE)</f>
        <v>#N/A</v>
      </c>
      <c r="AR420" t="e">
        <f>VLOOKUP($J420,'[1]Table S6'!$A:$AI,35,FALSE)</f>
        <v>#N/A</v>
      </c>
      <c r="AT420" t="str">
        <f>VLOOKUP($I420,'[2]Table S5'!$A:$K,8,FALSE)</f>
        <v>Resistant</v>
      </c>
      <c r="AU420" t="str">
        <f>VLOOKUP($I420,'[2]Table S5'!$A:$K,9,FALSE)</f>
        <v>Resistant</v>
      </c>
      <c r="AV420" t="str">
        <f>VLOOKUP($I420,'[2]Table S5'!$A:$K,10,FALSE)</f>
        <v>Resistant</v>
      </c>
      <c r="AW420" t="str">
        <f>VLOOKUP($I420,'[2]Table S5'!$A:$K,11,FALSE)</f>
        <v>Sensitive</v>
      </c>
    </row>
    <row r="421" spans="1:49">
      <c r="A421" s="12" t="s">
        <v>2955</v>
      </c>
      <c r="B421" t="s">
        <v>2956</v>
      </c>
      <c r="C421" t="s">
        <v>2957</v>
      </c>
      <c r="D421" t="s">
        <v>17</v>
      </c>
      <c r="E421" t="s">
        <v>535</v>
      </c>
      <c r="F421" s="12" t="s">
        <v>536</v>
      </c>
      <c r="G421" t="s">
        <v>537</v>
      </c>
      <c r="H421" t="s">
        <v>538</v>
      </c>
      <c r="I421" t="s">
        <v>531</v>
      </c>
      <c r="J421" t="s">
        <v>539</v>
      </c>
      <c r="K421">
        <f>VLOOKUP($J421,'[1]Table S6'!$A:$AI,2,FALSE)</f>
        <v>343</v>
      </c>
      <c r="L421">
        <f>VLOOKUP($J421,'[1]Table S6'!$A:$AI,3,FALSE)</f>
        <v>0.72994254096616296</v>
      </c>
      <c r="M421">
        <f>VLOOKUP($J421,'[1]Table S6'!$A:$AI,4,FALSE)</f>
        <v>4.2869999999999999</v>
      </c>
      <c r="N421" t="str">
        <f>VLOOKUP($J421,'[1]Table S6'!$A:$AI,5,FALSE)</f>
        <v>No</v>
      </c>
      <c r="P421">
        <f>VLOOKUP($J421,'[1]Table S6'!$A:$AI,7,FALSE)</f>
        <v>399.9</v>
      </c>
      <c r="Q421">
        <f>VLOOKUP($J421,'[1]Table S6'!$A:$AI,8,FALSE)</f>
        <v>0.85103213449670101</v>
      </c>
      <c r="R421">
        <f>VLOOKUP($J421,'[1]Table S6'!$A:$AI,9,FALSE)</f>
        <v>30.64</v>
      </c>
      <c r="S421" t="str">
        <f>VLOOKUP($J421,'[1]Table S6'!$A:$AI,10,FALSE)</f>
        <v>No</v>
      </c>
      <c r="U421">
        <f>VLOOKUP($J421,'[1]Table S6'!$A:$AI,12,FALSE)</f>
        <v>334.8</v>
      </c>
      <c r="V421">
        <f>VLOOKUP($J421,'[1]Table S6'!$A:$AI,13,FALSE)</f>
        <v>0.71249201957863395</v>
      </c>
      <c r="W421">
        <f>VLOOKUP($J421,'[1]Table S6'!$A:$AI,14,FALSE)</f>
        <v>2.3420000000000001</v>
      </c>
      <c r="X421" t="str">
        <f>VLOOKUP($J421,'[1]Table S6'!$A:$AI,15,FALSE)</f>
        <v>No</v>
      </c>
      <c r="Z421">
        <f>VLOOKUP($J421,'[1]Table S6'!$A:$AI,17,FALSE)</f>
        <v>325.7</v>
      </c>
      <c r="AA421">
        <f>VLOOKUP($J421,'[1]Table S6'!$A:$AI,18,FALSE)</f>
        <v>0.693126197063205</v>
      </c>
      <c r="AB421">
        <f>VLOOKUP($J421,'[1]Table S6'!$A:$AI,19,FALSE)</f>
        <v>2.41</v>
      </c>
      <c r="AC421" t="str">
        <f>VLOOKUP($J421,'[1]Table S6'!$A:$AI,20,FALSE)</f>
        <v>Yes</v>
      </c>
      <c r="AE421">
        <f>VLOOKUP($J421,'[1]Table S6'!$A:$AI,22,FALSE)</f>
        <v>364.8</v>
      </c>
      <c r="AF421">
        <f>VLOOKUP($J421,'[1]Table S6'!$A:$AI,23,FALSE)</f>
        <v>0.77633539050861899</v>
      </c>
      <c r="AG421">
        <f>VLOOKUP($J421,'[1]Table S6'!$A:$AI,24,FALSE)</f>
        <v>6.7539999999999996</v>
      </c>
      <c r="AH421" t="str">
        <f>VLOOKUP($J421,'[1]Table S6'!$A:$AI,25,FALSE)</f>
        <v>No</v>
      </c>
      <c r="AJ421">
        <f>VLOOKUP($J421,'[1]Table S6'!$A:$AI,27,FALSE)</f>
        <v>439.5</v>
      </c>
      <c r="AK421">
        <f>VLOOKUP($J421,'[1]Table S6'!$A:$AI,28,FALSE)</f>
        <v>0.93530538412428199</v>
      </c>
      <c r="AL421">
        <f>VLOOKUP($J421,'[1]Table S6'!$A:$AI,29,FALSE)</f>
        <v>150.19999999999999</v>
      </c>
      <c r="AM421" t="str">
        <f>VLOOKUP($J421,'[1]Table S6'!$A:$AI,30,FALSE)</f>
        <v>No</v>
      </c>
      <c r="AO421">
        <f>VLOOKUP($J421,'[1]Table S6'!$A:$AI,32,FALSE)</f>
        <v>430.8</v>
      </c>
      <c r="AP421">
        <f>VLOOKUP($J421,'[1]Table S6'!$A:$AI,33,FALSE)</f>
        <v>0.916790806554586</v>
      </c>
      <c r="AQ421">
        <f>VLOOKUP($J421,'[1]Table S6'!$A:$AI,34,FALSE)</f>
        <v>234.3</v>
      </c>
      <c r="AR421" t="str">
        <f>VLOOKUP($J421,'[1]Table S6'!$A:$AI,35,FALSE)</f>
        <v>No</v>
      </c>
      <c r="AT421" t="str">
        <f>VLOOKUP($I421,'[2]Table S5'!$A:$K,8,FALSE)</f>
        <v>Resistant</v>
      </c>
      <c r="AU421" t="str">
        <f>VLOOKUP($I421,'[2]Table S5'!$A:$K,9,FALSE)</f>
        <v>Resistant</v>
      </c>
      <c r="AV421" t="str">
        <f>VLOOKUP($I421,'[2]Table S5'!$A:$K,10,FALSE)</f>
        <v>Resistant</v>
      </c>
      <c r="AW421" t="str">
        <f>VLOOKUP($I421,'[2]Table S5'!$A:$K,11,FALSE)</f>
        <v>Sensitive</v>
      </c>
    </row>
    <row r="422" spans="1:49">
      <c r="A422" s="12" t="s">
        <v>2958</v>
      </c>
      <c r="B422" t="s">
        <v>2959</v>
      </c>
      <c r="C422" t="s">
        <v>2960</v>
      </c>
      <c r="D422" t="s">
        <v>17</v>
      </c>
      <c r="E422" t="s">
        <v>543</v>
      </c>
      <c r="F422" s="12" t="s">
        <v>544</v>
      </c>
      <c r="G422" t="s">
        <v>545</v>
      </c>
      <c r="H422" t="s">
        <v>546</v>
      </c>
      <c r="I422" t="s">
        <v>531</v>
      </c>
      <c r="J422" t="s">
        <v>547</v>
      </c>
      <c r="K422">
        <f>VLOOKUP($J422,'[1]Table S6'!$A:$AI,2,FALSE)</f>
        <v>354.7</v>
      </c>
      <c r="L422">
        <f>VLOOKUP($J422,'[1]Table S6'!$A:$AI,3,FALSE)</f>
        <v>0.75484145562885696</v>
      </c>
      <c r="M422">
        <f>VLOOKUP($J422,'[1]Table S6'!$A:$AI,4,FALSE)</f>
        <v>4.5129999999999999</v>
      </c>
      <c r="N422" t="str">
        <f>VLOOKUP($J422,'[1]Table S6'!$A:$AI,5,FALSE)</f>
        <v>No</v>
      </c>
      <c r="P422">
        <f>VLOOKUP($J422,'[1]Table S6'!$A:$AI,7,FALSE)</f>
        <v>402.5</v>
      </c>
      <c r="Q422">
        <f>VLOOKUP($J422,'[1]Table S6'!$A:$AI,8,FALSE)</f>
        <v>0.85656522664396695</v>
      </c>
      <c r="R422">
        <f>VLOOKUP($J422,'[1]Table S6'!$A:$AI,9,FALSE)</f>
        <v>33.61</v>
      </c>
      <c r="S422" t="str">
        <f>VLOOKUP($J422,'[1]Table S6'!$A:$AI,10,FALSE)</f>
        <v>No</v>
      </c>
      <c r="U422">
        <f>VLOOKUP($J422,'[1]Table S6'!$A:$AI,12,FALSE)</f>
        <v>335.1</v>
      </c>
      <c r="V422">
        <f>VLOOKUP($J422,'[1]Table S6'!$A:$AI,13,FALSE)</f>
        <v>0.71313045328793401</v>
      </c>
      <c r="W422">
        <f>VLOOKUP($J422,'[1]Table S6'!$A:$AI,14,FALSE)</f>
        <v>2.8450000000000002</v>
      </c>
      <c r="X422" t="str">
        <f>VLOOKUP($J422,'[1]Table S6'!$A:$AI,15,FALSE)</f>
        <v>No</v>
      </c>
      <c r="Z422">
        <f>VLOOKUP($J422,'[1]Table S6'!$A:$AI,17,FALSE)</f>
        <v>322.5</v>
      </c>
      <c r="AA422">
        <f>VLOOKUP($J422,'[1]Table S6'!$A:$AI,18,FALSE)</f>
        <v>0.68631623749734005</v>
      </c>
      <c r="AB422">
        <f>VLOOKUP($J422,'[1]Table S6'!$A:$AI,19,FALSE)</f>
        <v>2.1640000000000001</v>
      </c>
      <c r="AC422" t="str">
        <f>VLOOKUP($J422,'[1]Table S6'!$A:$AI,20,FALSE)</f>
        <v>Yes</v>
      </c>
      <c r="AE422">
        <f>VLOOKUP($J422,'[1]Table S6'!$A:$AI,22,FALSE)</f>
        <v>397.3</v>
      </c>
      <c r="AF422">
        <f>VLOOKUP($J422,'[1]Table S6'!$A:$AI,23,FALSE)</f>
        <v>0.84549904234943596</v>
      </c>
      <c r="AG422">
        <f>VLOOKUP($J422,'[1]Table S6'!$A:$AI,24,FALSE)</f>
        <v>14.66</v>
      </c>
      <c r="AH422" t="str">
        <f>VLOOKUP($J422,'[1]Table S6'!$A:$AI,25,FALSE)</f>
        <v>No</v>
      </c>
      <c r="AJ422">
        <f>VLOOKUP($J422,'[1]Table S6'!$A:$AI,27,FALSE)</f>
        <v>450.9</v>
      </c>
      <c r="AK422">
        <f>VLOOKUP($J422,'[1]Table S6'!$A:$AI,28,FALSE)</f>
        <v>0.95956586507767605</v>
      </c>
      <c r="AL422">
        <f>VLOOKUP($J422,'[1]Table S6'!$A:$AI,29,FALSE)</f>
        <v>290.39999999999998</v>
      </c>
      <c r="AM422" t="str">
        <f>VLOOKUP($J422,'[1]Table S6'!$A:$AI,30,FALSE)</f>
        <v>No</v>
      </c>
      <c r="AO422">
        <f>VLOOKUP($J422,'[1]Table S6'!$A:$AI,32,FALSE)</f>
        <v>435.9</v>
      </c>
      <c r="AP422">
        <f>VLOOKUP($J422,'[1]Table S6'!$A:$AI,33,FALSE)</f>
        <v>0.92764417961268397</v>
      </c>
      <c r="AQ422">
        <f>VLOOKUP($J422,'[1]Table S6'!$A:$AI,34,FALSE)</f>
        <v>146.69999999999999</v>
      </c>
      <c r="AR422" t="str">
        <f>VLOOKUP($J422,'[1]Table S6'!$A:$AI,35,FALSE)</f>
        <v>No</v>
      </c>
      <c r="AT422" t="str">
        <f>VLOOKUP($I422,'[2]Table S5'!$A:$K,8,FALSE)</f>
        <v>Resistant</v>
      </c>
      <c r="AU422" t="str">
        <f>VLOOKUP($I422,'[2]Table S5'!$A:$K,9,FALSE)</f>
        <v>Resistant</v>
      </c>
      <c r="AV422" t="str">
        <f>VLOOKUP($I422,'[2]Table S5'!$A:$K,10,FALSE)</f>
        <v>Resistant</v>
      </c>
      <c r="AW422" t="str">
        <f>VLOOKUP($I422,'[2]Table S5'!$A:$K,11,FALSE)</f>
        <v>Sensitive</v>
      </c>
    </row>
    <row r="423" spans="1:49">
      <c r="A423" s="12" t="s">
        <v>2961</v>
      </c>
      <c r="B423" t="s">
        <v>2962</v>
      </c>
      <c r="C423" t="s">
        <v>2963</v>
      </c>
      <c r="D423" t="s">
        <v>17</v>
      </c>
      <c r="E423" t="s">
        <v>551</v>
      </c>
      <c r="F423" s="12" t="s">
        <v>552</v>
      </c>
      <c r="G423" t="s">
        <v>553</v>
      </c>
      <c r="H423" t="s">
        <v>554</v>
      </c>
      <c r="I423" t="s">
        <v>531</v>
      </c>
      <c r="J423" t="s">
        <v>555</v>
      </c>
      <c r="K423">
        <f>VLOOKUP($J423,'[1]Table S6'!$A:$AI,2,FALSE)</f>
        <v>293.2</v>
      </c>
      <c r="L423">
        <f>VLOOKUP($J423,'[1]Table S6'!$A:$AI,3,FALSE)</f>
        <v>0.62396254522238803</v>
      </c>
      <c r="M423">
        <f>VLOOKUP($J423,'[1]Table S6'!$A:$AI,4,FALSE)</f>
        <v>0.97489999999999999</v>
      </c>
      <c r="N423" t="str">
        <f>VLOOKUP($J423,'[1]Table S6'!$A:$AI,5,FALSE)</f>
        <v>Yes</v>
      </c>
      <c r="P423">
        <f>VLOOKUP($J423,'[1]Table S6'!$A:$AI,7,FALSE)</f>
        <v>399.3</v>
      </c>
      <c r="Q423">
        <f>VLOOKUP($J423,'[1]Table S6'!$A:$AI,8,FALSE)</f>
        <v>0.84975526707810201</v>
      </c>
      <c r="R423">
        <f>VLOOKUP($J423,'[1]Table S6'!$A:$AI,9,FALSE)</f>
        <v>31.23</v>
      </c>
      <c r="S423" t="str">
        <f>VLOOKUP($J423,'[1]Table S6'!$A:$AI,10,FALSE)</f>
        <v>No</v>
      </c>
      <c r="U423">
        <f>VLOOKUP($J423,'[1]Table S6'!$A:$AI,12,FALSE)</f>
        <v>319.10000000000002</v>
      </c>
      <c r="V423">
        <f>VLOOKUP($J423,'[1]Table S6'!$A:$AI,13,FALSE)</f>
        <v>0.67908065545860796</v>
      </c>
      <c r="W423">
        <f>VLOOKUP($J423,'[1]Table S6'!$A:$AI,14,FALSE)</f>
        <v>1.5309999999999999</v>
      </c>
      <c r="X423" t="str">
        <f>VLOOKUP($J423,'[1]Table S6'!$A:$AI,15,FALSE)</f>
        <v>Yes</v>
      </c>
      <c r="Z423">
        <f>VLOOKUP($J423,'[1]Table S6'!$A:$AI,17,FALSE)</f>
        <v>321.5</v>
      </c>
      <c r="AA423">
        <f>VLOOKUP($J423,'[1]Table S6'!$A:$AI,18,FALSE)</f>
        <v>0.68418812513300697</v>
      </c>
      <c r="AB423">
        <f>VLOOKUP($J423,'[1]Table S6'!$A:$AI,19,FALSE)</f>
        <v>1.786</v>
      </c>
      <c r="AC423" t="str">
        <f>VLOOKUP($J423,'[1]Table S6'!$A:$AI,20,FALSE)</f>
        <v>Yes</v>
      </c>
      <c r="AE423">
        <f>VLOOKUP($J423,'[1]Table S6'!$A:$AI,22,FALSE)</f>
        <v>400.6</v>
      </c>
      <c r="AF423">
        <f>VLOOKUP($J423,'[1]Table S6'!$A:$AI,23,FALSE)</f>
        <v>0.85252181315173403</v>
      </c>
      <c r="AG423">
        <f>VLOOKUP($J423,'[1]Table S6'!$A:$AI,24,FALSE)</f>
        <v>28.73</v>
      </c>
      <c r="AH423" t="str">
        <f>VLOOKUP($J423,'[1]Table S6'!$A:$AI,25,FALSE)</f>
        <v>No</v>
      </c>
      <c r="AJ423">
        <f>VLOOKUP($J423,'[1]Table S6'!$A:$AI,27,FALSE)</f>
        <v>432.1</v>
      </c>
      <c r="AK423">
        <f>VLOOKUP($J423,'[1]Table S6'!$A:$AI,28,FALSE)</f>
        <v>0.91955735262821903</v>
      </c>
      <c r="AL423">
        <f>VLOOKUP($J423,'[1]Table S6'!$A:$AI,29,FALSE)</f>
        <v>129.80000000000001</v>
      </c>
      <c r="AM423" t="str">
        <f>VLOOKUP($J423,'[1]Table S6'!$A:$AI,30,FALSE)</f>
        <v>No</v>
      </c>
      <c r="AO423">
        <f>VLOOKUP($J423,'[1]Table S6'!$A:$AI,32,FALSE)</f>
        <v>432.1</v>
      </c>
      <c r="AP423">
        <f>VLOOKUP($J423,'[1]Table S6'!$A:$AI,33,FALSE)</f>
        <v>0.91955735262821903</v>
      </c>
      <c r="AQ423">
        <f>VLOOKUP($J423,'[1]Table S6'!$A:$AI,34,FALSE)</f>
        <v>106.6</v>
      </c>
      <c r="AR423" t="str">
        <f>VLOOKUP($J423,'[1]Table S6'!$A:$AI,35,FALSE)</f>
        <v>No</v>
      </c>
      <c r="AT423" t="str">
        <f>VLOOKUP($I423,'[2]Table S5'!$A:$K,8,FALSE)</f>
        <v>Resistant</v>
      </c>
      <c r="AU423" t="str">
        <f>VLOOKUP($I423,'[2]Table S5'!$A:$K,9,FALSE)</f>
        <v>Resistant</v>
      </c>
      <c r="AV423" t="str">
        <f>VLOOKUP($I423,'[2]Table S5'!$A:$K,10,FALSE)</f>
        <v>Resistant</v>
      </c>
      <c r="AW423" t="str">
        <f>VLOOKUP($I423,'[2]Table S5'!$A:$K,11,FALSE)</f>
        <v>Sensitive</v>
      </c>
    </row>
    <row r="424" spans="1:49">
      <c r="A424" s="12" t="s">
        <v>2964</v>
      </c>
      <c r="B424" t="s">
        <v>2965</v>
      </c>
      <c r="C424" t="s">
        <v>2966</v>
      </c>
      <c r="D424" t="s">
        <v>17</v>
      </c>
      <c r="E424" t="s">
        <v>559</v>
      </c>
      <c r="F424" s="12" t="s">
        <v>560</v>
      </c>
      <c r="G424" t="s">
        <v>561</v>
      </c>
      <c r="H424" t="s">
        <v>562</v>
      </c>
      <c r="I424" t="s">
        <v>531</v>
      </c>
      <c r="J424" t="s">
        <v>539</v>
      </c>
      <c r="K424">
        <f>VLOOKUP($J424,'[1]Table S6'!$A:$AI,2,FALSE)</f>
        <v>343</v>
      </c>
      <c r="L424">
        <f>VLOOKUP($J424,'[1]Table S6'!$A:$AI,3,FALSE)</f>
        <v>0.72994254096616296</v>
      </c>
      <c r="M424">
        <f>VLOOKUP($J424,'[1]Table S6'!$A:$AI,4,FALSE)</f>
        <v>4.2869999999999999</v>
      </c>
      <c r="N424" t="str">
        <f>VLOOKUP($J424,'[1]Table S6'!$A:$AI,5,FALSE)</f>
        <v>No</v>
      </c>
      <c r="P424">
        <f>VLOOKUP($J424,'[1]Table S6'!$A:$AI,7,FALSE)</f>
        <v>399.9</v>
      </c>
      <c r="Q424">
        <f>VLOOKUP($J424,'[1]Table S6'!$A:$AI,8,FALSE)</f>
        <v>0.85103213449670101</v>
      </c>
      <c r="R424">
        <f>VLOOKUP($J424,'[1]Table S6'!$A:$AI,9,FALSE)</f>
        <v>30.64</v>
      </c>
      <c r="S424" t="str">
        <f>VLOOKUP($J424,'[1]Table S6'!$A:$AI,10,FALSE)</f>
        <v>No</v>
      </c>
      <c r="U424">
        <f>VLOOKUP($J424,'[1]Table S6'!$A:$AI,12,FALSE)</f>
        <v>334.8</v>
      </c>
      <c r="V424">
        <f>VLOOKUP($J424,'[1]Table S6'!$A:$AI,13,FALSE)</f>
        <v>0.71249201957863395</v>
      </c>
      <c r="W424">
        <f>VLOOKUP($J424,'[1]Table S6'!$A:$AI,14,FALSE)</f>
        <v>2.3420000000000001</v>
      </c>
      <c r="X424" t="str">
        <f>VLOOKUP($J424,'[1]Table S6'!$A:$AI,15,FALSE)</f>
        <v>No</v>
      </c>
      <c r="Z424">
        <f>VLOOKUP($J424,'[1]Table S6'!$A:$AI,17,FALSE)</f>
        <v>325.7</v>
      </c>
      <c r="AA424">
        <f>VLOOKUP($J424,'[1]Table S6'!$A:$AI,18,FALSE)</f>
        <v>0.693126197063205</v>
      </c>
      <c r="AB424">
        <f>VLOOKUP($J424,'[1]Table S6'!$A:$AI,19,FALSE)</f>
        <v>2.41</v>
      </c>
      <c r="AC424" t="str">
        <f>VLOOKUP($J424,'[1]Table S6'!$A:$AI,20,FALSE)</f>
        <v>Yes</v>
      </c>
      <c r="AE424">
        <f>VLOOKUP($J424,'[1]Table S6'!$A:$AI,22,FALSE)</f>
        <v>364.8</v>
      </c>
      <c r="AF424">
        <f>VLOOKUP($J424,'[1]Table S6'!$A:$AI,23,FALSE)</f>
        <v>0.77633539050861899</v>
      </c>
      <c r="AG424">
        <f>VLOOKUP($J424,'[1]Table S6'!$A:$AI,24,FALSE)</f>
        <v>6.7539999999999996</v>
      </c>
      <c r="AH424" t="str">
        <f>VLOOKUP($J424,'[1]Table S6'!$A:$AI,25,FALSE)</f>
        <v>No</v>
      </c>
      <c r="AJ424">
        <f>VLOOKUP($J424,'[1]Table S6'!$A:$AI,27,FALSE)</f>
        <v>439.5</v>
      </c>
      <c r="AK424">
        <f>VLOOKUP($J424,'[1]Table S6'!$A:$AI,28,FALSE)</f>
        <v>0.93530538412428199</v>
      </c>
      <c r="AL424">
        <f>VLOOKUP($J424,'[1]Table S6'!$A:$AI,29,FALSE)</f>
        <v>150.19999999999999</v>
      </c>
      <c r="AM424" t="str">
        <f>VLOOKUP($J424,'[1]Table S6'!$A:$AI,30,FALSE)</f>
        <v>No</v>
      </c>
      <c r="AO424">
        <f>VLOOKUP($J424,'[1]Table S6'!$A:$AI,32,FALSE)</f>
        <v>430.8</v>
      </c>
      <c r="AP424">
        <f>VLOOKUP($J424,'[1]Table S6'!$A:$AI,33,FALSE)</f>
        <v>0.916790806554586</v>
      </c>
      <c r="AQ424">
        <f>VLOOKUP($J424,'[1]Table S6'!$A:$AI,34,FALSE)</f>
        <v>234.3</v>
      </c>
      <c r="AR424" t="str">
        <f>VLOOKUP($J424,'[1]Table S6'!$A:$AI,35,FALSE)</f>
        <v>No</v>
      </c>
      <c r="AT424" t="str">
        <f>VLOOKUP($I424,'[2]Table S5'!$A:$K,8,FALSE)</f>
        <v>Resistant</v>
      </c>
      <c r="AU424" t="str">
        <f>VLOOKUP($I424,'[2]Table S5'!$A:$K,9,FALSE)</f>
        <v>Resistant</v>
      </c>
      <c r="AV424" t="str">
        <f>VLOOKUP($I424,'[2]Table S5'!$A:$K,10,FALSE)</f>
        <v>Resistant</v>
      </c>
      <c r="AW424" t="str">
        <f>VLOOKUP($I424,'[2]Table S5'!$A:$K,11,FALSE)</f>
        <v>Sensitive</v>
      </c>
    </row>
    <row r="425" spans="1:49">
      <c r="A425" s="12" t="s">
        <v>2967</v>
      </c>
      <c r="B425" t="s">
        <v>2968</v>
      </c>
      <c r="C425" t="s">
        <v>2969</v>
      </c>
      <c r="D425" t="s">
        <v>17</v>
      </c>
      <c r="E425" t="s">
        <v>566</v>
      </c>
      <c r="F425" s="12" t="s">
        <v>567</v>
      </c>
      <c r="G425" t="s">
        <v>568</v>
      </c>
      <c r="H425" t="s">
        <v>569</v>
      </c>
      <c r="I425" t="s">
        <v>531</v>
      </c>
      <c r="J425" t="s">
        <v>547</v>
      </c>
      <c r="K425">
        <f>VLOOKUP($J425,'[1]Table S6'!$A:$AI,2,FALSE)</f>
        <v>354.7</v>
      </c>
      <c r="L425">
        <f>VLOOKUP($J425,'[1]Table S6'!$A:$AI,3,FALSE)</f>
        <v>0.75484145562885696</v>
      </c>
      <c r="M425">
        <f>VLOOKUP($J425,'[1]Table S6'!$A:$AI,4,FALSE)</f>
        <v>4.5129999999999999</v>
      </c>
      <c r="N425" t="str">
        <f>VLOOKUP($J425,'[1]Table S6'!$A:$AI,5,FALSE)</f>
        <v>No</v>
      </c>
      <c r="P425">
        <f>VLOOKUP($J425,'[1]Table S6'!$A:$AI,7,FALSE)</f>
        <v>402.5</v>
      </c>
      <c r="Q425">
        <f>VLOOKUP($J425,'[1]Table S6'!$A:$AI,8,FALSE)</f>
        <v>0.85656522664396695</v>
      </c>
      <c r="R425">
        <f>VLOOKUP($J425,'[1]Table S6'!$A:$AI,9,FALSE)</f>
        <v>33.61</v>
      </c>
      <c r="S425" t="str">
        <f>VLOOKUP($J425,'[1]Table S6'!$A:$AI,10,FALSE)</f>
        <v>No</v>
      </c>
      <c r="U425">
        <f>VLOOKUP($J425,'[1]Table S6'!$A:$AI,12,FALSE)</f>
        <v>335.1</v>
      </c>
      <c r="V425">
        <f>VLOOKUP($J425,'[1]Table S6'!$A:$AI,13,FALSE)</f>
        <v>0.71313045328793401</v>
      </c>
      <c r="W425">
        <f>VLOOKUP($J425,'[1]Table S6'!$A:$AI,14,FALSE)</f>
        <v>2.8450000000000002</v>
      </c>
      <c r="X425" t="str">
        <f>VLOOKUP($J425,'[1]Table S6'!$A:$AI,15,FALSE)</f>
        <v>No</v>
      </c>
      <c r="Z425">
        <f>VLOOKUP($J425,'[1]Table S6'!$A:$AI,17,FALSE)</f>
        <v>322.5</v>
      </c>
      <c r="AA425">
        <f>VLOOKUP($J425,'[1]Table S6'!$A:$AI,18,FALSE)</f>
        <v>0.68631623749734005</v>
      </c>
      <c r="AB425">
        <f>VLOOKUP($J425,'[1]Table S6'!$A:$AI,19,FALSE)</f>
        <v>2.1640000000000001</v>
      </c>
      <c r="AC425" t="str">
        <f>VLOOKUP($J425,'[1]Table S6'!$A:$AI,20,FALSE)</f>
        <v>Yes</v>
      </c>
      <c r="AE425">
        <f>VLOOKUP($J425,'[1]Table S6'!$A:$AI,22,FALSE)</f>
        <v>397.3</v>
      </c>
      <c r="AF425">
        <f>VLOOKUP($J425,'[1]Table S6'!$A:$AI,23,FALSE)</f>
        <v>0.84549904234943596</v>
      </c>
      <c r="AG425">
        <f>VLOOKUP($J425,'[1]Table S6'!$A:$AI,24,FALSE)</f>
        <v>14.66</v>
      </c>
      <c r="AH425" t="str">
        <f>VLOOKUP($J425,'[1]Table S6'!$A:$AI,25,FALSE)</f>
        <v>No</v>
      </c>
      <c r="AJ425">
        <f>VLOOKUP($J425,'[1]Table S6'!$A:$AI,27,FALSE)</f>
        <v>450.9</v>
      </c>
      <c r="AK425">
        <f>VLOOKUP($J425,'[1]Table S6'!$A:$AI,28,FALSE)</f>
        <v>0.95956586507767605</v>
      </c>
      <c r="AL425">
        <f>VLOOKUP($J425,'[1]Table S6'!$A:$AI,29,FALSE)</f>
        <v>290.39999999999998</v>
      </c>
      <c r="AM425" t="str">
        <f>VLOOKUP($J425,'[1]Table S6'!$A:$AI,30,FALSE)</f>
        <v>No</v>
      </c>
      <c r="AO425">
        <f>VLOOKUP($J425,'[1]Table S6'!$A:$AI,32,FALSE)</f>
        <v>435.9</v>
      </c>
      <c r="AP425">
        <f>VLOOKUP($J425,'[1]Table S6'!$A:$AI,33,FALSE)</f>
        <v>0.92764417961268397</v>
      </c>
      <c r="AQ425">
        <f>VLOOKUP($J425,'[1]Table S6'!$A:$AI,34,FALSE)</f>
        <v>146.69999999999999</v>
      </c>
      <c r="AR425" t="str">
        <f>VLOOKUP($J425,'[1]Table S6'!$A:$AI,35,FALSE)</f>
        <v>No</v>
      </c>
      <c r="AT425" t="str">
        <f>VLOOKUP($I425,'[2]Table S5'!$A:$K,8,FALSE)</f>
        <v>Resistant</v>
      </c>
      <c r="AU425" t="str">
        <f>VLOOKUP($I425,'[2]Table S5'!$A:$K,9,FALSE)</f>
        <v>Resistant</v>
      </c>
      <c r="AV425" t="str">
        <f>VLOOKUP($I425,'[2]Table S5'!$A:$K,10,FALSE)</f>
        <v>Resistant</v>
      </c>
      <c r="AW425" t="str">
        <f>VLOOKUP($I425,'[2]Table S5'!$A:$K,11,FALSE)</f>
        <v>Sensitive</v>
      </c>
    </row>
    <row r="426" spans="1:49">
      <c r="A426" s="12" t="s">
        <v>2970</v>
      </c>
      <c r="B426" t="s">
        <v>2971</v>
      </c>
      <c r="C426" t="s">
        <v>2972</v>
      </c>
      <c r="D426" t="s">
        <v>17</v>
      </c>
      <c r="E426" t="s">
        <v>573</v>
      </c>
      <c r="F426" s="12" t="s">
        <v>574</v>
      </c>
      <c r="G426" t="s">
        <v>575</v>
      </c>
      <c r="H426" t="s">
        <v>576</v>
      </c>
      <c r="I426" t="s">
        <v>531</v>
      </c>
      <c r="J426" t="s">
        <v>555</v>
      </c>
      <c r="K426">
        <f>VLOOKUP($J426,'[1]Table S6'!$A:$AI,2,FALSE)</f>
        <v>293.2</v>
      </c>
      <c r="L426">
        <f>VLOOKUP($J426,'[1]Table S6'!$A:$AI,3,FALSE)</f>
        <v>0.62396254522238803</v>
      </c>
      <c r="M426">
        <f>VLOOKUP($J426,'[1]Table S6'!$A:$AI,4,FALSE)</f>
        <v>0.97489999999999999</v>
      </c>
      <c r="N426" t="str">
        <f>VLOOKUP($J426,'[1]Table S6'!$A:$AI,5,FALSE)</f>
        <v>Yes</v>
      </c>
      <c r="P426">
        <f>VLOOKUP($J426,'[1]Table S6'!$A:$AI,7,FALSE)</f>
        <v>399.3</v>
      </c>
      <c r="Q426">
        <f>VLOOKUP($J426,'[1]Table S6'!$A:$AI,8,FALSE)</f>
        <v>0.84975526707810201</v>
      </c>
      <c r="R426">
        <f>VLOOKUP($J426,'[1]Table S6'!$A:$AI,9,FALSE)</f>
        <v>31.23</v>
      </c>
      <c r="S426" t="str">
        <f>VLOOKUP($J426,'[1]Table S6'!$A:$AI,10,FALSE)</f>
        <v>No</v>
      </c>
      <c r="U426">
        <f>VLOOKUP($J426,'[1]Table S6'!$A:$AI,12,FALSE)</f>
        <v>319.10000000000002</v>
      </c>
      <c r="V426">
        <f>VLOOKUP($J426,'[1]Table S6'!$A:$AI,13,FALSE)</f>
        <v>0.67908065545860796</v>
      </c>
      <c r="W426">
        <f>VLOOKUP($J426,'[1]Table S6'!$A:$AI,14,FALSE)</f>
        <v>1.5309999999999999</v>
      </c>
      <c r="X426" t="str">
        <f>VLOOKUP($J426,'[1]Table S6'!$A:$AI,15,FALSE)</f>
        <v>Yes</v>
      </c>
      <c r="Z426">
        <f>VLOOKUP($J426,'[1]Table S6'!$A:$AI,17,FALSE)</f>
        <v>321.5</v>
      </c>
      <c r="AA426">
        <f>VLOOKUP($J426,'[1]Table S6'!$A:$AI,18,FALSE)</f>
        <v>0.68418812513300697</v>
      </c>
      <c r="AB426">
        <f>VLOOKUP($J426,'[1]Table S6'!$A:$AI,19,FALSE)</f>
        <v>1.786</v>
      </c>
      <c r="AC426" t="str">
        <f>VLOOKUP($J426,'[1]Table S6'!$A:$AI,20,FALSE)</f>
        <v>Yes</v>
      </c>
      <c r="AE426">
        <f>VLOOKUP($J426,'[1]Table S6'!$A:$AI,22,FALSE)</f>
        <v>400.6</v>
      </c>
      <c r="AF426">
        <f>VLOOKUP($J426,'[1]Table S6'!$A:$AI,23,FALSE)</f>
        <v>0.85252181315173403</v>
      </c>
      <c r="AG426">
        <f>VLOOKUP($J426,'[1]Table S6'!$A:$AI,24,FALSE)</f>
        <v>28.73</v>
      </c>
      <c r="AH426" t="str">
        <f>VLOOKUP($J426,'[1]Table S6'!$A:$AI,25,FALSE)</f>
        <v>No</v>
      </c>
      <c r="AJ426">
        <f>VLOOKUP($J426,'[1]Table S6'!$A:$AI,27,FALSE)</f>
        <v>432.1</v>
      </c>
      <c r="AK426">
        <f>VLOOKUP($J426,'[1]Table S6'!$A:$AI,28,FALSE)</f>
        <v>0.91955735262821903</v>
      </c>
      <c r="AL426">
        <f>VLOOKUP($J426,'[1]Table S6'!$A:$AI,29,FALSE)</f>
        <v>129.80000000000001</v>
      </c>
      <c r="AM426" t="str">
        <f>VLOOKUP($J426,'[1]Table S6'!$A:$AI,30,FALSE)</f>
        <v>No</v>
      </c>
      <c r="AO426">
        <f>VLOOKUP($J426,'[1]Table S6'!$A:$AI,32,FALSE)</f>
        <v>432.1</v>
      </c>
      <c r="AP426">
        <f>VLOOKUP($J426,'[1]Table S6'!$A:$AI,33,FALSE)</f>
        <v>0.91955735262821903</v>
      </c>
      <c r="AQ426">
        <f>VLOOKUP($J426,'[1]Table S6'!$A:$AI,34,FALSE)</f>
        <v>106.6</v>
      </c>
      <c r="AR426" t="str">
        <f>VLOOKUP($J426,'[1]Table S6'!$A:$AI,35,FALSE)</f>
        <v>No</v>
      </c>
      <c r="AT426" t="str">
        <f>VLOOKUP($I426,'[2]Table S5'!$A:$K,8,FALSE)</f>
        <v>Resistant</v>
      </c>
      <c r="AU426" t="str">
        <f>VLOOKUP($I426,'[2]Table S5'!$A:$K,9,FALSE)</f>
        <v>Resistant</v>
      </c>
      <c r="AV426" t="str">
        <f>VLOOKUP($I426,'[2]Table S5'!$A:$K,10,FALSE)</f>
        <v>Resistant</v>
      </c>
      <c r="AW426" t="str">
        <f>VLOOKUP($I426,'[2]Table S5'!$A:$K,11,FALSE)</f>
        <v>Sensitive</v>
      </c>
    </row>
    <row r="427" spans="1:49">
      <c r="A427" s="12" t="s">
        <v>2973</v>
      </c>
      <c r="B427" t="s">
        <v>2974</v>
      </c>
      <c r="C427" t="s">
        <v>2975</v>
      </c>
      <c r="D427" t="s">
        <v>17</v>
      </c>
      <c r="E427" t="s">
        <v>612</v>
      </c>
      <c r="F427" s="12" t="s">
        <v>613</v>
      </c>
      <c r="G427" t="s">
        <v>614</v>
      </c>
      <c r="H427" t="s">
        <v>615</v>
      </c>
      <c r="I427" t="s">
        <v>584</v>
      </c>
      <c r="J427" t="s">
        <v>593</v>
      </c>
      <c r="K427">
        <f>VLOOKUP($J427,'[1]Table S6'!$A:$AI,2,FALSE)</f>
        <v>323.60000000000002</v>
      </c>
      <c r="L427">
        <f>VLOOKUP($J427,'[1]Table S6'!$A:$AI,3,FALSE)</f>
        <v>0.68865716109810604</v>
      </c>
      <c r="M427">
        <f>VLOOKUP($J427,'[1]Table S6'!$A:$AI,4,FALSE)</f>
        <v>2.0539999999999998</v>
      </c>
      <c r="N427" t="str">
        <f>VLOOKUP($J427,'[1]Table S6'!$A:$AI,5,FALSE)</f>
        <v>Yes</v>
      </c>
      <c r="P427">
        <f>VLOOKUP($J427,'[1]Table S6'!$A:$AI,7,FALSE)</f>
        <v>338.4</v>
      </c>
      <c r="Q427">
        <f>VLOOKUP($J427,'[1]Table S6'!$A:$AI,8,FALSE)</f>
        <v>0.72015322409023197</v>
      </c>
      <c r="R427">
        <f>VLOOKUP($J427,'[1]Table S6'!$A:$AI,9,FALSE)</f>
        <v>6.0810000000000004</v>
      </c>
      <c r="S427" t="str">
        <f>VLOOKUP($J427,'[1]Table S6'!$A:$AI,10,FALSE)</f>
        <v>No</v>
      </c>
      <c r="U427">
        <f>VLOOKUP($J427,'[1]Table S6'!$A:$AI,12,FALSE)</f>
        <v>339.6</v>
      </c>
      <c r="V427">
        <f>VLOOKUP($J427,'[1]Table S6'!$A:$AI,13,FALSE)</f>
        <v>0.72270695892743098</v>
      </c>
      <c r="W427">
        <f>VLOOKUP($J427,'[1]Table S6'!$A:$AI,14,FALSE)</f>
        <v>6.6840000000000002</v>
      </c>
      <c r="X427" t="str">
        <f>VLOOKUP($J427,'[1]Table S6'!$A:$AI,15,FALSE)</f>
        <v>No</v>
      </c>
      <c r="Z427">
        <f>VLOOKUP($J427,'[1]Table S6'!$A:$AI,17,FALSE)</f>
        <v>365.8</v>
      </c>
      <c r="AA427">
        <f>VLOOKUP($J427,'[1]Table S6'!$A:$AI,18,FALSE)</f>
        <v>0.77846350287295196</v>
      </c>
      <c r="AB427">
        <f>VLOOKUP($J427,'[1]Table S6'!$A:$AI,19,FALSE)</f>
        <v>8.532</v>
      </c>
      <c r="AC427" t="str">
        <f>VLOOKUP($J427,'[1]Table S6'!$A:$AI,20,FALSE)</f>
        <v>No</v>
      </c>
      <c r="AE427">
        <f>VLOOKUP($J427,'[1]Table S6'!$A:$AI,22,FALSE)</f>
        <v>360.6</v>
      </c>
      <c r="AF427">
        <f>VLOOKUP($J427,'[1]Table S6'!$A:$AI,23,FALSE)</f>
        <v>0.76739731857842097</v>
      </c>
      <c r="AG427">
        <f>VLOOKUP($J427,'[1]Table S6'!$A:$AI,24,FALSE)</f>
        <v>8.1560000000000006</v>
      </c>
      <c r="AH427" t="str">
        <f>VLOOKUP($J427,'[1]Table S6'!$A:$AI,25,FALSE)</f>
        <v>No</v>
      </c>
      <c r="AJ427">
        <f>VLOOKUP($J427,'[1]Table S6'!$A:$AI,27,FALSE)</f>
        <v>409.9</v>
      </c>
      <c r="AK427">
        <f>VLOOKUP($J427,'[1]Table S6'!$A:$AI,28,FALSE)</f>
        <v>0.87231325814003002</v>
      </c>
      <c r="AL427">
        <f>VLOOKUP($J427,'[1]Table S6'!$A:$AI,29,FALSE)</f>
        <v>117.1</v>
      </c>
      <c r="AM427" t="str">
        <f>VLOOKUP($J427,'[1]Table S6'!$A:$AI,30,FALSE)</f>
        <v>No</v>
      </c>
      <c r="AO427">
        <f>VLOOKUP($J427,'[1]Table S6'!$A:$AI,32,FALSE)</f>
        <v>435</v>
      </c>
      <c r="AP427">
        <f>VLOOKUP($J427,'[1]Table S6'!$A:$AI,33,FALSE)</f>
        <v>0.92572887848478402</v>
      </c>
      <c r="AQ427">
        <f>VLOOKUP($J427,'[1]Table S6'!$A:$AI,34,FALSE)</f>
        <v>127.6</v>
      </c>
      <c r="AR427" t="str">
        <f>VLOOKUP($J427,'[1]Table S6'!$A:$AI,35,FALSE)</f>
        <v>No</v>
      </c>
      <c r="AT427" t="str">
        <f>VLOOKUP($I427,'[2]Table S5'!$A:$K,8,FALSE)</f>
        <v>Sensitive</v>
      </c>
      <c r="AU427" t="str">
        <f>VLOOKUP($I427,'[2]Table S5'!$A:$K,9,FALSE)</f>
        <v>Resistant</v>
      </c>
      <c r="AV427" t="str">
        <f>VLOOKUP($I427,'[2]Table S5'!$A:$K,10,FALSE)</f>
        <v>Resistant</v>
      </c>
      <c r="AW427" t="str">
        <f>VLOOKUP($I427,'[2]Table S5'!$A:$K,11,FALSE)</f>
        <v>Resistant</v>
      </c>
    </row>
    <row r="428" spans="1:49">
      <c r="A428" s="12" t="s">
        <v>2976</v>
      </c>
      <c r="B428" t="s">
        <v>2977</v>
      </c>
      <c r="C428" t="s">
        <v>2978</v>
      </c>
      <c r="D428" t="s">
        <v>17</v>
      </c>
      <c r="E428" t="s">
        <v>597</v>
      </c>
      <c r="F428" s="12" t="s">
        <v>598</v>
      </c>
      <c r="G428" t="s">
        <v>599</v>
      </c>
      <c r="H428" t="s">
        <v>600</v>
      </c>
      <c r="I428" t="s">
        <v>584</v>
      </c>
      <c r="J428" t="s">
        <v>601</v>
      </c>
      <c r="K428">
        <f>VLOOKUP($J428,'[1]Table S6'!$A:$AI,2,FALSE)</f>
        <v>282.60000000000002</v>
      </c>
      <c r="L428">
        <f>VLOOKUP($J428,'[1]Table S6'!$A:$AI,3,FALSE)</f>
        <v>0.60140455416046001</v>
      </c>
      <c r="M428">
        <f>VLOOKUP($J428,'[1]Table S6'!$A:$AI,4,FALSE)</f>
        <v>0.73580000000000001</v>
      </c>
      <c r="N428" t="str">
        <f>VLOOKUP($J428,'[1]Table S6'!$A:$AI,5,FALSE)</f>
        <v>Yes</v>
      </c>
      <c r="P428">
        <f>VLOOKUP($J428,'[1]Table S6'!$A:$AI,7,FALSE)</f>
        <v>305.39999999999998</v>
      </c>
      <c r="Q428">
        <f>VLOOKUP($J428,'[1]Table S6'!$A:$AI,8,FALSE)</f>
        <v>0.64992551606724802</v>
      </c>
      <c r="R428">
        <f>VLOOKUP($J428,'[1]Table S6'!$A:$AI,9,FALSE)</f>
        <v>1.0669999999999999</v>
      </c>
      <c r="S428" t="str">
        <f>VLOOKUP($J428,'[1]Table S6'!$A:$AI,10,FALSE)</f>
        <v>Yes</v>
      </c>
      <c r="U428">
        <f>VLOOKUP($J428,'[1]Table S6'!$A:$AI,12,FALSE)</f>
        <v>331.6</v>
      </c>
      <c r="V428">
        <f>VLOOKUP($J428,'[1]Table S6'!$A:$AI,13,FALSE)</f>
        <v>0.70568206001276901</v>
      </c>
      <c r="W428">
        <f>VLOOKUP($J428,'[1]Table S6'!$A:$AI,14,FALSE)</f>
        <v>2.746</v>
      </c>
      <c r="X428" t="str">
        <f>VLOOKUP($J428,'[1]Table S6'!$A:$AI,15,FALSE)</f>
        <v>No</v>
      </c>
      <c r="Z428">
        <f>VLOOKUP($J428,'[1]Table S6'!$A:$AI,17,FALSE)</f>
        <v>339</v>
      </c>
      <c r="AA428">
        <f>VLOOKUP($J428,'[1]Table S6'!$A:$AI,18,FALSE)</f>
        <v>0.72143009150883197</v>
      </c>
      <c r="AB428">
        <f>VLOOKUP($J428,'[1]Table S6'!$A:$AI,19,FALSE)</f>
        <v>4.0970000000000004</v>
      </c>
      <c r="AC428" t="str">
        <f>VLOOKUP($J428,'[1]Table S6'!$A:$AI,20,FALSE)</f>
        <v>No</v>
      </c>
      <c r="AE428">
        <f>VLOOKUP($J428,'[1]Table S6'!$A:$AI,22,FALSE)</f>
        <v>321.89999999999998</v>
      </c>
      <c r="AF428">
        <f>VLOOKUP($J428,'[1]Table S6'!$A:$AI,23,FALSE)</f>
        <v>0.68503937007874005</v>
      </c>
      <c r="AG428">
        <f>VLOOKUP($J428,'[1]Table S6'!$A:$AI,24,FALSE)</f>
        <v>1.8879999999999999</v>
      </c>
      <c r="AH428" t="str">
        <f>VLOOKUP($J428,'[1]Table S6'!$A:$AI,25,FALSE)</f>
        <v>Yes</v>
      </c>
      <c r="AJ428">
        <f>VLOOKUP($J428,'[1]Table S6'!$A:$AI,27,FALSE)</f>
        <v>417.9</v>
      </c>
      <c r="AK428">
        <f>VLOOKUP($J428,'[1]Table S6'!$A:$AI,28,FALSE)</f>
        <v>0.88933815705469199</v>
      </c>
      <c r="AL428">
        <f>VLOOKUP($J428,'[1]Table S6'!$A:$AI,29,FALSE)</f>
        <v>92.75</v>
      </c>
      <c r="AM428" t="str">
        <f>VLOOKUP($J428,'[1]Table S6'!$A:$AI,30,FALSE)</f>
        <v>No</v>
      </c>
      <c r="AO428">
        <f>VLOOKUP($J428,'[1]Table S6'!$A:$AI,32,FALSE)</f>
        <v>401.9</v>
      </c>
      <c r="AP428">
        <f>VLOOKUP($J428,'[1]Table S6'!$A:$AI,33,FALSE)</f>
        <v>0.85528835922536695</v>
      </c>
      <c r="AQ428">
        <f>VLOOKUP($J428,'[1]Table S6'!$A:$AI,34,FALSE)</f>
        <v>116.4</v>
      </c>
      <c r="AR428" t="str">
        <f>VLOOKUP($J428,'[1]Table S6'!$A:$AI,35,FALSE)</f>
        <v>No</v>
      </c>
      <c r="AT428" t="str">
        <f>VLOOKUP($I428,'[2]Table S5'!$A:$K,8,FALSE)</f>
        <v>Sensitive</v>
      </c>
      <c r="AU428" t="str">
        <f>VLOOKUP($I428,'[2]Table S5'!$A:$K,9,FALSE)</f>
        <v>Resistant</v>
      </c>
      <c r="AV428" t="str">
        <f>VLOOKUP($I428,'[2]Table S5'!$A:$K,10,FALSE)</f>
        <v>Resistant</v>
      </c>
      <c r="AW428" t="str">
        <f>VLOOKUP($I428,'[2]Table S5'!$A:$K,11,FALSE)</f>
        <v>Resistant</v>
      </c>
    </row>
    <row r="429" spans="1:49">
      <c r="A429" s="12" t="s">
        <v>2979</v>
      </c>
      <c r="B429" t="s">
        <v>2980</v>
      </c>
      <c r="C429" t="s">
        <v>2981</v>
      </c>
      <c r="D429" t="s">
        <v>17</v>
      </c>
      <c r="E429" t="s">
        <v>619</v>
      </c>
      <c r="F429" s="12" t="s">
        <v>620</v>
      </c>
      <c r="G429" t="s">
        <v>621</v>
      </c>
      <c r="H429" t="s">
        <v>622</v>
      </c>
      <c r="I429" t="s">
        <v>584</v>
      </c>
      <c r="J429" t="s">
        <v>601</v>
      </c>
      <c r="K429">
        <f>VLOOKUP($J429,'[1]Table S6'!$A:$AI,2,FALSE)</f>
        <v>282.60000000000002</v>
      </c>
      <c r="L429">
        <f>VLOOKUP($J429,'[1]Table S6'!$A:$AI,3,FALSE)</f>
        <v>0.60140455416046001</v>
      </c>
      <c r="M429">
        <f>VLOOKUP($J429,'[1]Table S6'!$A:$AI,4,FALSE)</f>
        <v>0.73580000000000001</v>
      </c>
      <c r="N429" t="str">
        <f>VLOOKUP($J429,'[1]Table S6'!$A:$AI,5,FALSE)</f>
        <v>Yes</v>
      </c>
      <c r="P429">
        <f>VLOOKUP($J429,'[1]Table S6'!$A:$AI,7,FALSE)</f>
        <v>305.39999999999998</v>
      </c>
      <c r="Q429">
        <f>VLOOKUP($J429,'[1]Table S6'!$A:$AI,8,FALSE)</f>
        <v>0.64992551606724802</v>
      </c>
      <c r="R429">
        <f>VLOOKUP($J429,'[1]Table S6'!$A:$AI,9,FALSE)</f>
        <v>1.0669999999999999</v>
      </c>
      <c r="S429" t="str">
        <f>VLOOKUP($J429,'[1]Table S6'!$A:$AI,10,FALSE)</f>
        <v>Yes</v>
      </c>
      <c r="U429">
        <f>VLOOKUP($J429,'[1]Table S6'!$A:$AI,12,FALSE)</f>
        <v>331.6</v>
      </c>
      <c r="V429">
        <f>VLOOKUP($J429,'[1]Table S6'!$A:$AI,13,FALSE)</f>
        <v>0.70568206001276901</v>
      </c>
      <c r="W429">
        <f>VLOOKUP($J429,'[1]Table S6'!$A:$AI,14,FALSE)</f>
        <v>2.746</v>
      </c>
      <c r="X429" t="str">
        <f>VLOOKUP($J429,'[1]Table S6'!$A:$AI,15,FALSE)</f>
        <v>No</v>
      </c>
      <c r="Z429">
        <f>VLOOKUP($J429,'[1]Table S6'!$A:$AI,17,FALSE)</f>
        <v>339</v>
      </c>
      <c r="AA429">
        <f>VLOOKUP($J429,'[1]Table S6'!$A:$AI,18,FALSE)</f>
        <v>0.72143009150883197</v>
      </c>
      <c r="AB429">
        <f>VLOOKUP($J429,'[1]Table S6'!$A:$AI,19,FALSE)</f>
        <v>4.0970000000000004</v>
      </c>
      <c r="AC429" t="str">
        <f>VLOOKUP($J429,'[1]Table S6'!$A:$AI,20,FALSE)</f>
        <v>No</v>
      </c>
      <c r="AE429">
        <f>VLOOKUP($J429,'[1]Table S6'!$A:$AI,22,FALSE)</f>
        <v>321.89999999999998</v>
      </c>
      <c r="AF429">
        <f>VLOOKUP($J429,'[1]Table S6'!$A:$AI,23,FALSE)</f>
        <v>0.68503937007874005</v>
      </c>
      <c r="AG429">
        <f>VLOOKUP($J429,'[1]Table S6'!$A:$AI,24,FALSE)</f>
        <v>1.8879999999999999</v>
      </c>
      <c r="AH429" t="str">
        <f>VLOOKUP($J429,'[1]Table S6'!$A:$AI,25,FALSE)</f>
        <v>Yes</v>
      </c>
      <c r="AJ429">
        <f>VLOOKUP($J429,'[1]Table S6'!$A:$AI,27,FALSE)</f>
        <v>417.9</v>
      </c>
      <c r="AK429">
        <f>VLOOKUP($J429,'[1]Table S6'!$A:$AI,28,FALSE)</f>
        <v>0.88933815705469199</v>
      </c>
      <c r="AL429">
        <f>VLOOKUP($J429,'[1]Table S6'!$A:$AI,29,FALSE)</f>
        <v>92.75</v>
      </c>
      <c r="AM429" t="str">
        <f>VLOOKUP($J429,'[1]Table S6'!$A:$AI,30,FALSE)</f>
        <v>No</v>
      </c>
      <c r="AO429">
        <f>VLOOKUP($J429,'[1]Table S6'!$A:$AI,32,FALSE)</f>
        <v>401.9</v>
      </c>
      <c r="AP429">
        <f>VLOOKUP($J429,'[1]Table S6'!$A:$AI,33,FALSE)</f>
        <v>0.85528835922536695</v>
      </c>
      <c r="AQ429">
        <f>VLOOKUP($J429,'[1]Table S6'!$A:$AI,34,FALSE)</f>
        <v>116.4</v>
      </c>
      <c r="AR429" t="str">
        <f>VLOOKUP($J429,'[1]Table S6'!$A:$AI,35,FALSE)</f>
        <v>No</v>
      </c>
      <c r="AT429" t="str">
        <f>VLOOKUP($I429,'[2]Table S5'!$A:$K,8,FALSE)</f>
        <v>Sensitive</v>
      </c>
      <c r="AU429" t="str">
        <f>VLOOKUP($I429,'[2]Table S5'!$A:$K,9,FALSE)</f>
        <v>Resistant</v>
      </c>
      <c r="AV429" t="str">
        <f>VLOOKUP($I429,'[2]Table S5'!$A:$K,10,FALSE)</f>
        <v>Resistant</v>
      </c>
      <c r="AW429" t="str">
        <f>VLOOKUP($I429,'[2]Table S5'!$A:$K,11,FALSE)</f>
        <v>Resistant</v>
      </c>
    </row>
    <row r="430" spans="1:49">
      <c r="A430" s="12" t="s">
        <v>2982</v>
      </c>
      <c r="B430" t="s">
        <v>2983</v>
      </c>
      <c r="C430" t="s">
        <v>2984</v>
      </c>
      <c r="D430" t="s">
        <v>17</v>
      </c>
      <c r="E430" t="s">
        <v>642</v>
      </c>
      <c r="F430" s="12" t="s">
        <v>643</v>
      </c>
      <c r="G430" t="s">
        <v>644</v>
      </c>
      <c r="H430" t="s">
        <v>645</v>
      </c>
      <c r="I430" t="s">
        <v>637</v>
      </c>
      <c r="J430" t="s">
        <v>646</v>
      </c>
      <c r="K430">
        <f>VLOOKUP($J430,'[1]Table S6'!$A:$AI,2,FALSE)</f>
        <v>334.1</v>
      </c>
      <c r="L430">
        <f>VLOOKUP($J430,'[1]Table S6'!$A:$AI,3,FALSE)</f>
        <v>0.71100234092360104</v>
      </c>
      <c r="M430">
        <f>VLOOKUP($J430,'[1]Table S6'!$A:$AI,4,FALSE)</f>
        <v>2.7839999999999998</v>
      </c>
      <c r="N430" t="str">
        <f>VLOOKUP($J430,'[1]Table S6'!$A:$AI,5,FALSE)</f>
        <v>No</v>
      </c>
      <c r="P430">
        <f>VLOOKUP($J430,'[1]Table S6'!$A:$AI,7,FALSE)</f>
        <v>302.89999999999998</v>
      </c>
      <c r="Q430">
        <f>VLOOKUP($J430,'[1]Table S6'!$A:$AI,8,FALSE)</f>
        <v>0.64460523515641599</v>
      </c>
      <c r="R430">
        <f>VLOOKUP($J430,'[1]Table S6'!$A:$AI,9,FALSE)</f>
        <v>1.3839999999999999</v>
      </c>
      <c r="S430" t="str">
        <f>VLOOKUP($J430,'[1]Table S6'!$A:$AI,10,FALSE)</f>
        <v>Yes</v>
      </c>
      <c r="U430">
        <f>VLOOKUP($J430,'[1]Table S6'!$A:$AI,12,FALSE)</f>
        <v>317.5</v>
      </c>
      <c r="V430">
        <f>VLOOKUP($J430,'[1]Table S6'!$A:$AI,13,FALSE)</f>
        <v>0.67567567567567599</v>
      </c>
      <c r="W430">
        <f>VLOOKUP($J430,'[1]Table S6'!$A:$AI,14,FALSE)</f>
        <v>1.772</v>
      </c>
      <c r="X430" t="str">
        <f>VLOOKUP($J430,'[1]Table S6'!$A:$AI,15,FALSE)</f>
        <v>Yes</v>
      </c>
      <c r="Z430">
        <f>VLOOKUP($J430,'[1]Table S6'!$A:$AI,17,FALSE)</f>
        <v>330.5</v>
      </c>
      <c r="AA430">
        <f>VLOOKUP($J430,'[1]Table S6'!$A:$AI,18,FALSE)</f>
        <v>0.70334113641200302</v>
      </c>
      <c r="AB430">
        <f>VLOOKUP($J430,'[1]Table S6'!$A:$AI,19,FALSE)</f>
        <v>2.1589999999999998</v>
      </c>
      <c r="AC430" t="str">
        <f>VLOOKUP($J430,'[1]Table S6'!$A:$AI,20,FALSE)</f>
        <v>No</v>
      </c>
      <c r="AE430">
        <f>VLOOKUP($J430,'[1]Table S6'!$A:$AI,22,FALSE)</f>
        <v>310.2</v>
      </c>
      <c r="AF430">
        <f>VLOOKUP($J430,'[1]Table S6'!$A:$AI,23,FALSE)</f>
        <v>0.66014045541604605</v>
      </c>
      <c r="AG430">
        <f>VLOOKUP($J430,'[1]Table S6'!$A:$AI,24,FALSE)</f>
        <v>1.387</v>
      </c>
      <c r="AH430" t="str">
        <f>VLOOKUP($J430,'[1]Table S6'!$A:$AI,25,FALSE)</f>
        <v>Yes</v>
      </c>
      <c r="AJ430">
        <f>VLOOKUP($J430,'[1]Table S6'!$A:$AI,27,FALSE)</f>
        <v>412.1</v>
      </c>
      <c r="AK430">
        <f>VLOOKUP($J430,'[1]Table S6'!$A:$AI,28,FALSE)</f>
        <v>0.876995105341562</v>
      </c>
      <c r="AL430">
        <f>VLOOKUP($J430,'[1]Table S6'!$A:$AI,29,FALSE)</f>
        <v>135</v>
      </c>
      <c r="AM430" t="str">
        <f>VLOOKUP($J430,'[1]Table S6'!$A:$AI,30,FALSE)</f>
        <v>No</v>
      </c>
      <c r="AO430">
        <f>VLOOKUP($J430,'[1]Table S6'!$A:$AI,32,FALSE)</f>
        <v>455.1</v>
      </c>
      <c r="AP430">
        <f>VLOOKUP($J430,'[1]Table S6'!$A:$AI,33,FALSE)</f>
        <v>0.96850393700787396</v>
      </c>
      <c r="AQ430">
        <f>VLOOKUP($J430,'[1]Table S6'!$A:$AI,34,FALSE)</f>
        <v>240.9</v>
      </c>
      <c r="AR430" t="str">
        <f>VLOOKUP($J430,'[1]Table S6'!$A:$AI,35,FALSE)</f>
        <v>No</v>
      </c>
      <c r="AT430" t="str">
        <f>VLOOKUP($I430,'[2]Table S5'!$A:$K,8,FALSE)</f>
        <v>Resistant</v>
      </c>
      <c r="AU430" t="str">
        <f>VLOOKUP($I430,'[2]Table S5'!$A:$K,9,FALSE)</f>
        <v>Sensitive</v>
      </c>
      <c r="AV430" t="str">
        <f>VLOOKUP($I430,'[2]Table S5'!$A:$K,10,FALSE)</f>
        <v>Resistant</v>
      </c>
      <c r="AW430" t="str">
        <f>VLOOKUP($I430,'[2]Table S5'!$A:$K,11,FALSE)</f>
        <v>Resistant</v>
      </c>
    </row>
    <row r="431" spans="1:49">
      <c r="A431" s="12" t="s">
        <v>2985</v>
      </c>
      <c r="B431" t="s">
        <v>2986</v>
      </c>
      <c r="C431" t="s">
        <v>2987</v>
      </c>
      <c r="D431" t="s">
        <v>17</v>
      </c>
      <c r="E431" t="s">
        <v>650</v>
      </c>
      <c r="F431" s="12" t="s">
        <v>651</v>
      </c>
      <c r="G431" t="s">
        <v>652</v>
      </c>
      <c r="H431" t="s">
        <v>653</v>
      </c>
      <c r="I431" t="s">
        <v>637</v>
      </c>
      <c r="J431" t="s">
        <v>654</v>
      </c>
      <c r="K431">
        <f>VLOOKUP($J431,'[1]Table S6'!$A:$AI,2,FALSE)</f>
        <v>301.5</v>
      </c>
      <c r="L431">
        <f>VLOOKUP($J431,'[1]Table S6'!$A:$AI,3,FALSE)</f>
        <v>0.64162587784634995</v>
      </c>
      <c r="M431">
        <f>VLOOKUP($J431,'[1]Table S6'!$A:$AI,4,FALSE)</f>
        <v>1.0029999999999999</v>
      </c>
      <c r="N431" t="str">
        <f>VLOOKUP($J431,'[1]Table S6'!$A:$AI,5,FALSE)</f>
        <v>Yes</v>
      </c>
      <c r="P431">
        <f>VLOOKUP($J431,'[1]Table S6'!$A:$AI,7,FALSE)</f>
        <v>317.3</v>
      </c>
      <c r="Q431">
        <f>VLOOKUP($J431,'[1]Table S6'!$A:$AI,8,FALSE)</f>
        <v>0.67525005320280895</v>
      </c>
      <c r="R431">
        <f>VLOOKUP($J431,'[1]Table S6'!$A:$AI,9,FALSE)</f>
        <v>2.004</v>
      </c>
      <c r="S431" t="str">
        <f>VLOOKUP($J431,'[1]Table S6'!$A:$AI,10,FALSE)</f>
        <v>Yes</v>
      </c>
      <c r="U431">
        <f>VLOOKUP($J431,'[1]Table S6'!$A:$AI,12,FALSE)</f>
        <v>350.5</v>
      </c>
      <c r="V431">
        <f>VLOOKUP($J431,'[1]Table S6'!$A:$AI,13,FALSE)</f>
        <v>0.74590338369865905</v>
      </c>
      <c r="W431">
        <f>VLOOKUP($J431,'[1]Table S6'!$A:$AI,14,FALSE)</f>
        <v>5.5090000000000003</v>
      </c>
      <c r="X431" t="str">
        <f>VLOOKUP($J431,'[1]Table S6'!$A:$AI,15,FALSE)</f>
        <v>No</v>
      </c>
      <c r="Z431">
        <f>VLOOKUP($J431,'[1]Table S6'!$A:$AI,17,FALSE)</f>
        <v>346.8</v>
      </c>
      <c r="AA431">
        <f>VLOOKUP($J431,'[1]Table S6'!$A:$AI,18,FALSE)</f>
        <v>0.73802936795062801</v>
      </c>
      <c r="AB431">
        <f>VLOOKUP($J431,'[1]Table S6'!$A:$AI,19,FALSE)</f>
        <v>4.806</v>
      </c>
      <c r="AC431" t="str">
        <f>VLOOKUP($J431,'[1]Table S6'!$A:$AI,20,FALSE)</f>
        <v>No</v>
      </c>
      <c r="AE431">
        <f>VLOOKUP($J431,'[1]Table S6'!$A:$AI,22,FALSE)</f>
        <v>350</v>
      </c>
      <c r="AF431">
        <f>VLOOKUP($J431,'[1]Table S6'!$A:$AI,23,FALSE)</f>
        <v>0.74483932751649296</v>
      </c>
      <c r="AG431">
        <f>VLOOKUP($J431,'[1]Table S6'!$A:$AI,24,FALSE)</f>
        <v>5.8979999999999997</v>
      </c>
      <c r="AH431" t="str">
        <f>VLOOKUP($J431,'[1]Table S6'!$A:$AI,25,FALSE)</f>
        <v>No</v>
      </c>
      <c r="AJ431">
        <f>VLOOKUP($J431,'[1]Table S6'!$A:$AI,27,FALSE)</f>
        <v>427.5</v>
      </c>
      <c r="AK431">
        <f>VLOOKUP($J431,'[1]Table S6'!$A:$AI,28,FALSE)</f>
        <v>0.90976803575228804</v>
      </c>
      <c r="AL431">
        <f>VLOOKUP($J431,'[1]Table S6'!$A:$AI,29,FALSE)</f>
        <v>137.6</v>
      </c>
      <c r="AM431" t="str">
        <f>VLOOKUP($J431,'[1]Table S6'!$A:$AI,30,FALSE)</f>
        <v>No</v>
      </c>
      <c r="AO431">
        <f>VLOOKUP($J431,'[1]Table S6'!$A:$AI,32,FALSE)</f>
        <v>434.5</v>
      </c>
      <c r="AP431">
        <f>VLOOKUP($J431,'[1]Table S6'!$A:$AI,33,FALSE)</f>
        <v>0.92466482230261804</v>
      </c>
      <c r="AQ431">
        <f>VLOOKUP($J431,'[1]Table S6'!$A:$AI,34,FALSE)</f>
        <v>183.1</v>
      </c>
      <c r="AR431" t="str">
        <f>VLOOKUP($J431,'[1]Table S6'!$A:$AI,35,FALSE)</f>
        <v>No</v>
      </c>
      <c r="AT431" t="str">
        <f>VLOOKUP($I431,'[2]Table S5'!$A:$K,8,FALSE)</f>
        <v>Resistant</v>
      </c>
      <c r="AU431" t="str">
        <f>VLOOKUP($I431,'[2]Table S5'!$A:$K,9,FALSE)</f>
        <v>Sensitive</v>
      </c>
      <c r="AV431" t="str">
        <f>VLOOKUP($I431,'[2]Table S5'!$A:$K,10,FALSE)</f>
        <v>Resistant</v>
      </c>
      <c r="AW431" t="str">
        <f>VLOOKUP($I431,'[2]Table S5'!$A:$K,11,FALSE)</f>
        <v>Resistant</v>
      </c>
    </row>
    <row r="432" spans="1:49">
      <c r="A432" s="12" t="s">
        <v>2988</v>
      </c>
      <c r="B432" t="s">
        <v>2989</v>
      </c>
      <c r="C432" t="s">
        <v>2990</v>
      </c>
      <c r="D432" t="s">
        <v>17</v>
      </c>
      <c r="E432" t="s">
        <v>665</v>
      </c>
      <c r="F432" s="12" t="s">
        <v>666</v>
      </c>
      <c r="G432" t="s">
        <v>667</v>
      </c>
      <c r="H432" t="s">
        <v>668</v>
      </c>
      <c r="I432" t="s">
        <v>637</v>
      </c>
      <c r="J432" t="s">
        <v>646</v>
      </c>
      <c r="K432">
        <f>VLOOKUP($J432,'[1]Table S6'!$A:$AI,2,FALSE)</f>
        <v>334.1</v>
      </c>
      <c r="L432">
        <f>VLOOKUP($J432,'[1]Table S6'!$A:$AI,3,FALSE)</f>
        <v>0.71100234092360104</v>
      </c>
      <c r="M432">
        <f>VLOOKUP($J432,'[1]Table S6'!$A:$AI,4,FALSE)</f>
        <v>2.7839999999999998</v>
      </c>
      <c r="N432" t="str">
        <f>VLOOKUP($J432,'[1]Table S6'!$A:$AI,5,FALSE)</f>
        <v>No</v>
      </c>
      <c r="P432">
        <f>VLOOKUP($J432,'[1]Table S6'!$A:$AI,7,FALSE)</f>
        <v>302.89999999999998</v>
      </c>
      <c r="Q432">
        <f>VLOOKUP($J432,'[1]Table S6'!$A:$AI,8,FALSE)</f>
        <v>0.64460523515641599</v>
      </c>
      <c r="R432">
        <f>VLOOKUP($J432,'[1]Table S6'!$A:$AI,9,FALSE)</f>
        <v>1.3839999999999999</v>
      </c>
      <c r="S432" t="str">
        <f>VLOOKUP($J432,'[1]Table S6'!$A:$AI,10,FALSE)</f>
        <v>Yes</v>
      </c>
      <c r="U432">
        <f>VLOOKUP($J432,'[1]Table S6'!$A:$AI,12,FALSE)</f>
        <v>317.5</v>
      </c>
      <c r="V432">
        <f>VLOOKUP($J432,'[1]Table S6'!$A:$AI,13,FALSE)</f>
        <v>0.67567567567567599</v>
      </c>
      <c r="W432">
        <f>VLOOKUP($J432,'[1]Table S6'!$A:$AI,14,FALSE)</f>
        <v>1.772</v>
      </c>
      <c r="X432" t="str">
        <f>VLOOKUP($J432,'[1]Table S6'!$A:$AI,15,FALSE)</f>
        <v>Yes</v>
      </c>
      <c r="Z432">
        <f>VLOOKUP($J432,'[1]Table S6'!$A:$AI,17,FALSE)</f>
        <v>330.5</v>
      </c>
      <c r="AA432">
        <f>VLOOKUP($J432,'[1]Table S6'!$A:$AI,18,FALSE)</f>
        <v>0.70334113641200302</v>
      </c>
      <c r="AB432">
        <f>VLOOKUP($J432,'[1]Table S6'!$A:$AI,19,FALSE)</f>
        <v>2.1589999999999998</v>
      </c>
      <c r="AC432" t="str">
        <f>VLOOKUP($J432,'[1]Table S6'!$A:$AI,20,FALSE)</f>
        <v>No</v>
      </c>
      <c r="AE432">
        <f>VLOOKUP($J432,'[1]Table S6'!$A:$AI,22,FALSE)</f>
        <v>310.2</v>
      </c>
      <c r="AF432">
        <f>VLOOKUP($J432,'[1]Table S6'!$A:$AI,23,FALSE)</f>
        <v>0.66014045541604605</v>
      </c>
      <c r="AG432">
        <f>VLOOKUP($J432,'[1]Table S6'!$A:$AI,24,FALSE)</f>
        <v>1.387</v>
      </c>
      <c r="AH432" t="str">
        <f>VLOOKUP($J432,'[1]Table S6'!$A:$AI,25,FALSE)</f>
        <v>Yes</v>
      </c>
      <c r="AJ432">
        <f>VLOOKUP($J432,'[1]Table S6'!$A:$AI,27,FALSE)</f>
        <v>412.1</v>
      </c>
      <c r="AK432">
        <f>VLOOKUP($J432,'[1]Table S6'!$A:$AI,28,FALSE)</f>
        <v>0.876995105341562</v>
      </c>
      <c r="AL432">
        <f>VLOOKUP($J432,'[1]Table S6'!$A:$AI,29,FALSE)</f>
        <v>135</v>
      </c>
      <c r="AM432" t="str">
        <f>VLOOKUP($J432,'[1]Table S6'!$A:$AI,30,FALSE)</f>
        <v>No</v>
      </c>
      <c r="AO432">
        <f>VLOOKUP($J432,'[1]Table S6'!$A:$AI,32,FALSE)</f>
        <v>455.1</v>
      </c>
      <c r="AP432">
        <f>VLOOKUP($J432,'[1]Table S6'!$A:$AI,33,FALSE)</f>
        <v>0.96850393700787396</v>
      </c>
      <c r="AQ432">
        <f>VLOOKUP($J432,'[1]Table S6'!$A:$AI,34,FALSE)</f>
        <v>240.9</v>
      </c>
      <c r="AR432" t="str">
        <f>VLOOKUP($J432,'[1]Table S6'!$A:$AI,35,FALSE)</f>
        <v>No</v>
      </c>
      <c r="AT432" t="str">
        <f>VLOOKUP($I432,'[2]Table S5'!$A:$K,8,FALSE)</f>
        <v>Resistant</v>
      </c>
      <c r="AU432" t="str">
        <f>VLOOKUP($I432,'[2]Table S5'!$A:$K,9,FALSE)</f>
        <v>Sensitive</v>
      </c>
      <c r="AV432" t="str">
        <f>VLOOKUP($I432,'[2]Table S5'!$A:$K,10,FALSE)</f>
        <v>Resistant</v>
      </c>
      <c r="AW432" t="str">
        <f>VLOOKUP($I432,'[2]Table S5'!$A:$K,11,FALSE)</f>
        <v>Resistant</v>
      </c>
    </row>
    <row r="433" spans="1:49">
      <c r="A433" s="12" t="s">
        <v>2991</v>
      </c>
      <c r="B433" t="s">
        <v>2992</v>
      </c>
      <c r="C433" t="s">
        <v>2993</v>
      </c>
      <c r="D433" t="s">
        <v>17</v>
      </c>
      <c r="E433" t="s">
        <v>672</v>
      </c>
      <c r="F433" s="12" t="s">
        <v>673</v>
      </c>
      <c r="G433" t="s">
        <v>674</v>
      </c>
      <c r="H433" t="s">
        <v>675</v>
      </c>
      <c r="I433" t="s">
        <v>637</v>
      </c>
      <c r="J433" t="s">
        <v>654</v>
      </c>
      <c r="K433">
        <f>VLOOKUP($J433,'[1]Table S6'!$A:$AI,2,FALSE)</f>
        <v>301.5</v>
      </c>
      <c r="L433">
        <f>VLOOKUP($J433,'[1]Table S6'!$A:$AI,3,FALSE)</f>
        <v>0.64162587784634995</v>
      </c>
      <c r="M433">
        <f>VLOOKUP($J433,'[1]Table S6'!$A:$AI,4,FALSE)</f>
        <v>1.0029999999999999</v>
      </c>
      <c r="N433" t="str">
        <f>VLOOKUP($J433,'[1]Table S6'!$A:$AI,5,FALSE)</f>
        <v>Yes</v>
      </c>
      <c r="P433">
        <f>VLOOKUP($J433,'[1]Table S6'!$A:$AI,7,FALSE)</f>
        <v>317.3</v>
      </c>
      <c r="Q433">
        <f>VLOOKUP($J433,'[1]Table S6'!$A:$AI,8,FALSE)</f>
        <v>0.67525005320280895</v>
      </c>
      <c r="R433">
        <f>VLOOKUP($J433,'[1]Table S6'!$A:$AI,9,FALSE)</f>
        <v>2.004</v>
      </c>
      <c r="S433" t="str">
        <f>VLOOKUP($J433,'[1]Table S6'!$A:$AI,10,FALSE)</f>
        <v>Yes</v>
      </c>
      <c r="U433">
        <f>VLOOKUP($J433,'[1]Table S6'!$A:$AI,12,FALSE)</f>
        <v>350.5</v>
      </c>
      <c r="V433">
        <f>VLOOKUP($J433,'[1]Table S6'!$A:$AI,13,FALSE)</f>
        <v>0.74590338369865905</v>
      </c>
      <c r="W433">
        <f>VLOOKUP($J433,'[1]Table S6'!$A:$AI,14,FALSE)</f>
        <v>5.5090000000000003</v>
      </c>
      <c r="X433" t="str">
        <f>VLOOKUP($J433,'[1]Table S6'!$A:$AI,15,FALSE)</f>
        <v>No</v>
      </c>
      <c r="Z433">
        <f>VLOOKUP($J433,'[1]Table S6'!$A:$AI,17,FALSE)</f>
        <v>346.8</v>
      </c>
      <c r="AA433">
        <f>VLOOKUP($J433,'[1]Table S6'!$A:$AI,18,FALSE)</f>
        <v>0.73802936795062801</v>
      </c>
      <c r="AB433">
        <f>VLOOKUP($J433,'[1]Table S6'!$A:$AI,19,FALSE)</f>
        <v>4.806</v>
      </c>
      <c r="AC433" t="str">
        <f>VLOOKUP($J433,'[1]Table S6'!$A:$AI,20,FALSE)</f>
        <v>No</v>
      </c>
      <c r="AE433">
        <f>VLOOKUP($J433,'[1]Table S6'!$A:$AI,22,FALSE)</f>
        <v>350</v>
      </c>
      <c r="AF433">
        <f>VLOOKUP($J433,'[1]Table S6'!$A:$AI,23,FALSE)</f>
        <v>0.74483932751649296</v>
      </c>
      <c r="AG433">
        <f>VLOOKUP($J433,'[1]Table S6'!$A:$AI,24,FALSE)</f>
        <v>5.8979999999999997</v>
      </c>
      <c r="AH433" t="str">
        <f>VLOOKUP($J433,'[1]Table S6'!$A:$AI,25,FALSE)</f>
        <v>No</v>
      </c>
      <c r="AJ433">
        <f>VLOOKUP($J433,'[1]Table S6'!$A:$AI,27,FALSE)</f>
        <v>427.5</v>
      </c>
      <c r="AK433">
        <f>VLOOKUP($J433,'[1]Table S6'!$A:$AI,28,FALSE)</f>
        <v>0.90976803575228804</v>
      </c>
      <c r="AL433">
        <f>VLOOKUP($J433,'[1]Table S6'!$A:$AI,29,FALSE)</f>
        <v>137.6</v>
      </c>
      <c r="AM433" t="str">
        <f>VLOOKUP($J433,'[1]Table S6'!$A:$AI,30,FALSE)</f>
        <v>No</v>
      </c>
      <c r="AO433">
        <f>VLOOKUP($J433,'[1]Table S6'!$A:$AI,32,FALSE)</f>
        <v>434.5</v>
      </c>
      <c r="AP433">
        <f>VLOOKUP($J433,'[1]Table S6'!$A:$AI,33,FALSE)</f>
        <v>0.92466482230261804</v>
      </c>
      <c r="AQ433">
        <f>VLOOKUP($J433,'[1]Table S6'!$A:$AI,34,FALSE)</f>
        <v>183.1</v>
      </c>
      <c r="AR433" t="str">
        <f>VLOOKUP($J433,'[1]Table S6'!$A:$AI,35,FALSE)</f>
        <v>No</v>
      </c>
      <c r="AT433" t="str">
        <f>VLOOKUP($I433,'[2]Table S5'!$A:$K,8,FALSE)</f>
        <v>Resistant</v>
      </c>
      <c r="AU433" t="str">
        <f>VLOOKUP($I433,'[2]Table S5'!$A:$K,9,FALSE)</f>
        <v>Sensitive</v>
      </c>
      <c r="AV433" t="str">
        <f>VLOOKUP($I433,'[2]Table S5'!$A:$K,10,FALSE)</f>
        <v>Resistant</v>
      </c>
      <c r="AW433" t="str">
        <f>VLOOKUP($I433,'[2]Table S5'!$A:$K,11,FALSE)</f>
        <v>Resistant</v>
      </c>
    </row>
    <row r="434" spans="1:49">
      <c r="A434" s="12" t="s">
        <v>2994</v>
      </c>
      <c r="B434" t="s">
        <v>2995</v>
      </c>
      <c r="C434" t="s">
        <v>2996</v>
      </c>
      <c r="D434" t="s">
        <v>17</v>
      </c>
      <c r="E434" t="s">
        <v>633</v>
      </c>
      <c r="F434" s="12" t="s">
        <v>634</v>
      </c>
      <c r="G434" t="s">
        <v>635</v>
      </c>
      <c r="H434" t="s">
        <v>636</v>
      </c>
      <c r="I434" t="s">
        <v>637</v>
      </c>
      <c r="J434" t="s">
        <v>638</v>
      </c>
      <c r="K434">
        <f>VLOOKUP($J434,'[1]Table S6'!$A:$AI,2,FALSE)</f>
        <v>296.5</v>
      </c>
      <c r="L434">
        <f>VLOOKUP($J434,'[1]Table S6'!$A:$AI,3,FALSE)</f>
        <v>0.63098531602468599</v>
      </c>
      <c r="M434">
        <f>VLOOKUP($J434,'[1]Table S6'!$A:$AI,4,FALSE)</f>
        <v>1.0920000000000001</v>
      </c>
      <c r="N434" t="str">
        <f>VLOOKUP($J434,'[1]Table S6'!$A:$AI,5,FALSE)</f>
        <v>Yes</v>
      </c>
      <c r="P434">
        <f>VLOOKUP($J434,'[1]Table S6'!$A:$AI,7,FALSE)</f>
        <v>322.60000000000002</v>
      </c>
      <c r="Q434">
        <f>VLOOKUP($J434,'[1]Table S6'!$A:$AI,8,FALSE)</f>
        <v>0.68652904873377296</v>
      </c>
      <c r="R434">
        <f>VLOOKUP($J434,'[1]Table S6'!$A:$AI,9,FALSE)</f>
        <v>1.9970000000000001</v>
      </c>
      <c r="S434" t="str">
        <f>VLOOKUP($J434,'[1]Table S6'!$A:$AI,10,FALSE)</f>
        <v>Yes</v>
      </c>
      <c r="U434">
        <f>VLOOKUP($J434,'[1]Table S6'!$A:$AI,12,FALSE)</f>
        <v>348.1</v>
      </c>
      <c r="V434">
        <f>VLOOKUP($J434,'[1]Table S6'!$A:$AI,13,FALSE)</f>
        <v>0.74079591402426104</v>
      </c>
      <c r="W434">
        <f>VLOOKUP($J434,'[1]Table S6'!$A:$AI,14,FALSE)</f>
        <v>6.258</v>
      </c>
      <c r="X434" t="str">
        <f>VLOOKUP($J434,'[1]Table S6'!$A:$AI,15,FALSE)</f>
        <v>No</v>
      </c>
      <c r="Z434">
        <f>VLOOKUP($J434,'[1]Table S6'!$A:$AI,17,FALSE)</f>
        <v>346.6</v>
      </c>
      <c r="AA434">
        <f>VLOOKUP($J434,'[1]Table S6'!$A:$AI,18,FALSE)</f>
        <v>0.73760374547776097</v>
      </c>
      <c r="AB434">
        <f>VLOOKUP($J434,'[1]Table S6'!$A:$AI,19,FALSE)</f>
        <v>5.38</v>
      </c>
      <c r="AC434" t="str">
        <f>VLOOKUP($J434,'[1]Table S6'!$A:$AI,20,FALSE)</f>
        <v>No</v>
      </c>
      <c r="AE434">
        <f>VLOOKUP($J434,'[1]Table S6'!$A:$AI,22,FALSE)</f>
        <v>333.8</v>
      </c>
      <c r="AF434">
        <f>VLOOKUP($J434,'[1]Table S6'!$A:$AI,23,FALSE)</f>
        <v>0.71036390721430098</v>
      </c>
      <c r="AG434">
        <f>VLOOKUP($J434,'[1]Table S6'!$A:$AI,24,FALSE)</f>
        <v>3.9950000000000001</v>
      </c>
      <c r="AH434" t="str">
        <f>VLOOKUP($J434,'[1]Table S6'!$A:$AI,25,FALSE)</f>
        <v>No</v>
      </c>
      <c r="AJ434">
        <f>VLOOKUP($J434,'[1]Table S6'!$A:$AI,27,FALSE)</f>
        <v>424.7</v>
      </c>
      <c r="AK434">
        <f>VLOOKUP($J434,'[1]Table S6'!$A:$AI,28,FALSE)</f>
        <v>0.90380932113215595</v>
      </c>
      <c r="AL434">
        <f>VLOOKUP($J434,'[1]Table S6'!$A:$AI,29,FALSE)</f>
        <v>152.9</v>
      </c>
      <c r="AM434" t="str">
        <f>VLOOKUP($J434,'[1]Table S6'!$A:$AI,30,FALSE)</f>
        <v>No</v>
      </c>
      <c r="AO434">
        <f>VLOOKUP($J434,'[1]Table S6'!$A:$AI,32,FALSE)</f>
        <v>402</v>
      </c>
      <c r="AP434">
        <f>VLOOKUP($J434,'[1]Table S6'!$A:$AI,33,FALSE)</f>
        <v>0.85550117046179996</v>
      </c>
      <c r="AQ434">
        <f>VLOOKUP($J434,'[1]Table S6'!$A:$AI,34,FALSE)</f>
        <v>159.80000000000001</v>
      </c>
      <c r="AR434" t="str">
        <f>VLOOKUP($J434,'[1]Table S6'!$A:$AI,35,FALSE)</f>
        <v>No</v>
      </c>
      <c r="AT434" t="str">
        <f>VLOOKUP($I434,'[2]Table S5'!$A:$K,8,FALSE)</f>
        <v>Resistant</v>
      </c>
      <c r="AU434" t="str">
        <f>VLOOKUP($I434,'[2]Table S5'!$A:$K,9,FALSE)</f>
        <v>Sensitive</v>
      </c>
      <c r="AV434" t="str">
        <f>VLOOKUP($I434,'[2]Table S5'!$A:$K,10,FALSE)</f>
        <v>Resistant</v>
      </c>
      <c r="AW434" t="str">
        <f>VLOOKUP($I434,'[2]Table S5'!$A:$K,11,FALSE)</f>
        <v>Resistant</v>
      </c>
    </row>
    <row r="435" spans="1:49">
      <c r="A435" s="12" t="s">
        <v>2997</v>
      </c>
      <c r="B435" t="s">
        <v>2998</v>
      </c>
      <c r="C435" t="s">
        <v>2999</v>
      </c>
      <c r="D435" t="s">
        <v>17</v>
      </c>
      <c r="E435" t="s">
        <v>658</v>
      </c>
      <c r="F435" s="12" t="s">
        <v>659</v>
      </c>
      <c r="G435" t="s">
        <v>660</v>
      </c>
      <c r="H435" t="s">
        <v>661</v>
      </c>
      <c r="I435" t="s">
        <v>637</v>
      </c>
      <c r="J435" t="s">
        <v>638</v>
      </c>
      <c r="K435">
        <f>VLOOKUP($J435,'[1]Table S6'!$A:$AI,2,FALSE)</f>
        <v>296.5</v>
      </c>
      <c r="L435">
        <f>VLOOKUP($J435,'[1]Table S6'!$A:$AI,3,FALSE)</f>
        <v>0.63098531602468599</v>
      </c>
      <c r="M435">
        <f>VLOOKUP($J435,'[1]Table S6'!$A:$AI,4,FALSE)</f>
        <v>1.0920000000000001</v>
      </c>
      <c r="N435" t="str">
        <f>VLOOKUP($J435,'[1]Table S6'!$A:$AI,5,FALSE)</f>
        <v>Yes</v>
      </c>
      <c r="P435">
        <f>VLOOKUP($J435,'[1]Table S6'!$A:$AI,7,FALSE)</f>
        <v>322.60000000000002</v>
      </c>
      <c r="Q435">
        <f>VLOOKUP($J435,'[1]Table S6'!$A:$AI,8,FALSE)</f>
        <v>0.68652904873377296</v>
      </c>
      <c r="R435">
        <f>VLOOKUP($J435,'[1]Table S6'!$A:$AI,9,FALSE)</f>
        <v>1.9970000000000001</v>
      </c>
      <c r="S435" t="str">
        <f>VLOOKUP($J435,'[1]Table S6'!$A:$AI,10,FALSE)</f>
        <v>Yes</v>
      </c>
      <c r="U435">
        <f>VLOOKUP($J435,'[1]Table S6'!$A:$AI,12,FALSE)</f>
        <v>348.1</v>
      </c>
      <c r="V435">
        <f>VLOOKUP($J435,'[1]Table S6'!$A:$AI,13,FALSE)</f>
        <v>0.74079591402426104</v>
      </c>
      <c r="W435">
        <f>VLOOKUP($J435,'[1]Table S6'!$A:$AI,14,FALSE)</f>
        <v>6.258</v>
      </c>
      <c r="X435" t="str">
        <f>VLOOKUP($J435,'[1]Table S6'!$A:$AI,15,FALSE)</f>
        <v>No</v>
      </c>
      <c r="Z435">
        <f>VLOOKUP($J435,'[1]Table S6'!$A:$AI,17,FALSE)</f>
        <v>346.6</v>
      </c>
      <c r="AA435">
        <f>VLOOKUP($J435,'[1]Table S6'!$A:$AI,18,FALSE)</f>
        <v>0.73760374547776097</v>
      </c>
      <c r="AB435">
        <f>VLOOKUP($J435,'[1]Table S6'!$A:$AI,19,FALSE)</f>
        <v>5.38</v>
      </c>
      <c r="AC435" t="str">
        <f>VLOOKUP($J435,'[1]Table S6'!$A:$AI,20,FALSE)</f>
        <v>No</v>
      </c>
      <c r="AE435">
        <f>VLOOKUP($J435,'[1]Table S6'!$A:$AI,22,FALSE)</f>
        <v>333.8</v>
      </c>
      <c r="AF435">
        <f>VLOOKUP($J435,'[1]Table S6'!$A:$AI,23,FALSE)</f>
        <v>0.71036390721430098</v>
      </c>
      <c r="AG435">
        <f>VLOOKUP($J435,'[1]Table S6'!$A:$AI,24,FALSE)</f>
        <v>3.9950000000000001</v>
      </c>
      <c r="AH435" t="str">
        <f>VLOOKUP($J435,'[1]Table S6'!$A:$AI,25,FALSE)</f>
        <v>No</v>
      </c>
      <c r="AJ435">
        <f>VLOOKUP($J435,'[1]Table S6'!$A:$AI,27,FALSE)</f>
        <v>424.7</v>
      </c>
      <c r="AK435">
        <f>VLOOKUP($J435,'[1]Table S6'!$A:$AI,28,FALSE)</f>
        <v>0.90380932113215595</v>
      </c>
      <c r="AL435">
        <f>VLOOKUP($J435,'[1]Table S6'!$A:$AI,29,FALSE)</f>
        <v>152.9</v>
      </c>
      <c r="AM435" t="str">
        <f>VLOOKUP($J435,'[1]Table S6'!$A:$AI,30,FALSE)</f>
        <v>No</v>
      </c>
      <c r="AO435">
        <f>VLOOKUP($J435,'[1]Table S6'!$A:$AI,32,FALSE)</f>
        <v>402</v>
      </c>
      <c r="AP435">
        <f>VLOOKUP($J435,'[1]Table S6'!$A:$AI,33,FALSE)</f>
        <v>0.85550117046179996</v>
      </c>
      <c r="AQ435">
        <f>VLOOKUP($J435,'[1]Table S6'!$A:$AI,34,FALSE)</f>
        <v>159.80000000000001</v>
      </c>
      <c r="AR435" t="str">
        <f>VLOOKUP($J435,'[1]Table S6'!$A:$AI,35,FALSE)</f>
        <v>No</v>
      </c>
      <c r="AT435" t="str">
        <f>VLOOKUP($I435,'[2]Table S5'!$A:$K,8,FALSE)</f>
        <v>Resistant</v>
      </c>
      <c r="AU435" t="str">
        <f>VLOOKUP($I435,'[2]Table S5'!$A:$K,9,FALSE)</f>
        <v>Sensitive</v>
      </c>
      <c r="AV435" t="str">
        <f>VLOOKUP($I435,'[2]Table S5'!$A:$K,10,FALSE)</f>
        <v>Resistant</v>
      </c>
      <c r="AW435" t="str">
        <f>VLOOKUP($I435,'[2]Table S5'!$A:$K,11,FALSE)</f>
        <v>Resistant</v>
      </c>
    </row>
    <row r="436" spans="1:49">
      <c r="A436" s="12" t="s">
        <v>3000</v>
      </c>
      <c r="B436" t="s">
        <v>3001</v>
      </c>
      <c r="C436" t="s">
        <v>3002</v>
      </c>
      <c r="D436" t="s">
        <v>17</v>
      </c>
      <c r="E436" t="s">
        <v>686</v>
      </c>
      <c r="F436" s="12" t="s">
        <v>687</v>
      </c>
      <c r="G436" t="s">
        <v>688</v>
      </c>
      <c r="H436" t="s">
        <v>689</v>
      </c>
      <c r="I436" t="s">
        <v>690</v>
      </c>
      <c r="J436" t="s">
        <v>691</v>
      </c>
      <c r="K436">
        <f>VLOOKUP($J436,'[1]Table S6'!$A:$AI,2,FALSE)</f>
        <v>354.3</v>
      </c>
      <c r="L436">
        <f>VLOOKUP($J436,'[1]Table S6'!$A:$AI,3,FALSE)</f>
        <v>0.753990210683124</v>
      </c>
      <c r="M436">
        <f>VLOOKUP($J436,'[1]Table S6'!$A:$AI,4,FALSE)</f>
        <v>5.1449999999999996</v>
      </c>
      <c r="N436" t="str">
        <f>VLOOKUP($J436,'[1]Table S6'!$A:$AI,5,FALSE)</f>
        <v>No</v>
      </c>
      <c r="P436">
        <f>VLOOKUP($J436,'[1]Table S6'!$A:$AI,7,FALSE)</f>
        <v>388.2</v>
      </c>
      <c r="Q436">
        <f>VLOOKUP($J436,'[1]Table S6'!$A:$AI,8,FALSE)</f>
        <v>0.826133219834007</v>
      </c>
      <c r="R436">
        <f>VLOOKUP($J436,'[1]Table S6'!$A:$AI,9,FALSE)</f>
        <v>19.760000000000002</v>
      </c>
      <c r="S436" t="str">
        <f>VLOOKUP($J436,'[1]Table S6'!$A:$AI,10,FALSE)</f>
        <v>No</v>
      </c>
      <c r="U436">
        <f>VLOOKUP($J436,'[1]Table S6'!$A:$AI,12,FALSE)</f>
        <v>367.7</v>
      </c>
      <c r="V436">
        <f>VLOOKUP($J436,'[1]Table S6'!$A:$AI,13,FALSE)</f>
        <v>0.78250691636518399</v>
      </c>
      <c r="W436">
        <f>VLOOKUP($J436,'[1]Table S6'!$A:$AI,14,FALSE)</f>
        <v>8.6910000000000007</v>
      </c>
      <c r="X436" t="str">
        <f>VLOOKUP($J436,'[1]Table S6'!$A:$AI,15,FALSE)</f>
        <v>No</v>
      </c>
      <c r="Z436">
        <f>VLOOKUP($J436,'[1]Table S6'!$A:$AI,17,FALSE)</f>
        <v>381.3</v>
      </c>
      <c r="AA436">
        <f>VLOOKUP($J436,'[1]Table S6'!$A:$AI,18,FALSE)</f>
        <v>0.81144924452011102</v>
      </c>
      <c r="AB436">
        <f>VLOOKUP($J436,'[1]Table S6'!$A:$AI,19,FALSE)</f>
        <v>13.22</v>
      </c>
      <c r="AC436" t="str">
        <f>VLOOKUP($J436,'[1]Table S6'!$A:$AI,20,FALSE)</f>
        <v>No</v>
      </c>
      <c r="AE436">
        <f>VLOOKUP($J436,'[1]Table S6'!$A:$AI,22,FALSE)</f>
        <v>337.6</v>
      </c>
      <c r="AF436">
        <f>VLOOKUP($J436,'[1]Table S6'!$A:$AI,23,FALSE)</f>
        <v>0.71845073419876604</v>
      </c>
      <c r="AG436">
        <f>VLOOKUP($J436,'[1]Table S6'!$A:$AI,24,FALSE)</f>
        <v>3.58</v>
      </c>
      <c r="AH436" t="str">
        <f>VLOOKUP($J436,'[1]Table S6'!$A:$AI,25,FALSE)</f>
        <v>No</v>
      </c>
      <c r="AJ436">
        <f>VLOOKUP($J436,'[1]Table S6'!$A:$AI,27,FALSE)</f>
        <v>447.5</v>
      </c>
      <c r="AK436">
        <f>VLOOKUP($J436,'[1]Table S6'!$A:$AI,28,FALSE)</f>
        <v>0.95233028303894496</v>
      </c>
      <c r="AL436">
        <f>VLOOKUP($J436,'[1]Table S6'!$A:$AI,29,FALSE)</f>
        <v>212.9</v>
      </c>
      <c r="AM436" t="str">
        <f>VLOOKUP($J436,'[1]Table S6'!$A:$AI,30,FALSE)</f>
        <v>No</v>
      </c>
      <c r="AO436">
        <f>VLOOKUP($J436,'[1]Table S6'!$A:$AI,32,FALSE)</f>
        <v>444.3</v>
      </c>
      <c r="AP436">
        <f>VLOOKUP($J436,'[1]Table S6'!$A:$AI,33,FALSE)</f>
        <v>0.94552032347307902</v>
      </c>
      <c r="AQ436">
        <f>VLOOKUP($J436,'[1]Table S6'!$A:$AI,34,FALSE)</f>
        <v>128</v>
      </c>
      <c r="AR436" t="str">
        <f>VLOOKUP($J436,'[1]Table S6'!$A:$AI,35,FALSE)</f>
        <v>No</v>
      </c>
      <c r="AT436" t="str">
        <f>VLOOKUP($I436,'[2]Table S5'!$A:$K,8,FALSE)</f>
        <v>Resistant</v>
      </c>
      <c r="AU436" t="str">
        <f>VLOOKUP($I436,'[2]Table S5'!$A:$K,9,FALSE)</f>
        <v>Resistant</v>
      </c>
      <c r="AV436" t="str">
        <f>VLOOKUP($I436,'[2]Table S5'!$A:$K,10,FALSE)</f>
        <v>Resistant</v>
      </c>
      <c r="AW436" t="str">
        <f>VLOOKUP($I436,'[2]Table S5'!$A:$K,11,FALSE)</f>
        <v>Resistant</v>
      </c>
    </row>
    <row r="437" spans="1:49">
      <c r="A437" s="12" t="s">
        <v>3003</v>
      </c>
      <c r="B437" t="s">
        <v>3004</v>
      </c>
      <c r="C437" t="s">
        <v>3005</v>
      </c>
      <c r="D437" t="s">
        <v>17</v>
      </c>
      <c r="E437" t="s">
        <v>695</v>
      </c>
      <c r="F437" s="12" t="s">
        <v>696</v>
      </c>
      <c r="G437" t="s">
        <v>697</v>
      </c>
      <c r="H437" t="s">
        <v>698</v>
      </c>
      <c r="I437" t="s">
        <v>690</v>
      </c>
      <c r="J437" t="s">
        <v>699</v>
      </c>
      <c r="K437">
        <f>VLOOKUP($J437,'[1]Table S6'!$A:$AI,2,FALSE)</f>
        <v>373.7</v>
      </c>
      <c r="L437">
        <f>VLOOKUP($J437,'[1]Table S6'!$A:$AI,3,FALSE)</f>
        <v>0.79527559055118102</v>
      </c>
      <c r="M437">
        <f>VLOOKUP($J437,'[1]Table S6'!$A:$AI,4,FALSE)</f>
        <v>9.016</v>
      </c>
      <c r="N437" t="str">
        <f>VLOOKUP($J437,'[1]Table S6'!$A:$AI,5,FALSE)</f>
        <v>No</v>
      </c>
      <c r="P437">
        <f>VLOOKUP($J437,'[1]Table S6'!$A:$AI,7,FALSE)</f>
        <v>388.9</v>
      </c>
      <c r="Q437">
        <f>VLOOKUP($J437,'[1]Table S6'!$A:$AI,8,FALSE)</f>
        <v>0.82762289848904003</v>
      </c>
      <c r="R437">
        <f>VLOOKUP($J437,'[1]Table S6'!$A:$AI,9,FALSE)</f>
        <v>18.649999999999999</v>
      </c>
      <c r="S437" t="str">
        <f>VLOOKUP($J437,'[1]Table S6'!$A:$AI,10,FALSE)</f>
        <v>No</v>
      </c>
      <c r="U437">
        <f>VLOOKUP($J437,'[1]Table S6'!$A:$AI,12,FALSE)</f>
        <v>354.4</v>
      </c>
      <c r="V437">
        <f>VLOOKUP($J437,'[1]Table S6'!$A:$AI,13,FALSE)</f>
        <v>0.75420302191955702</v>
      </c>
      <c r="W437">
        <f>VLOOKUP($J437,'[1]Table S6'!$A:$AI,14,FALSE)</f>
        <v>4.5129999999999999</v>
      </c>
      <c r="X437" t="str">
        <f>VLOOKUP($J437,'[1]Table S6'!$A:$AI,15,FALSE)</f>
        <v>No</v>
      </c>
      <c r="Z437">
        <f>VLOOKUP($J437,'[1]Table S6'!$A:$AI,17,FALSE)</f>
        <v>344</v>
      </c>
      <c r="AA437">
        <f>VLOOKUP($J437,'[1]Table S6'!$A:$AI,18,FALSE)</f>
        <v>0.73207065333049604</v>
      </c>
      <c r="AB437">
        <f>VLOOKUP($J437,'[1]Table S6'!$A:$AI,19,FALSE)</f>
        <v>3.6219999999999999</v>
      </c>
      <c r="AC437" t="str">
        <f>VLOOKUP($J437,'[1]Table S6'!$A:$AI,20,FALSE)</f>
        <v>No</v>
      </c>
      <c r="AE437">
        <f>VLOOKUP($J437,'[1]Table S6'!$A:$AI,22,FALSE)</f>
        <v>330</v>
      </c>
      <c r="AF437">
        <f>VLOOKUP($J437,'[1]Table S6'!$A:$AI,23,FALSE)</f>
        <v>0.70227708022983604</v>
      </c>
      <c r="AG437">
        <f>VLOOKUP($J437,'[1]Table S6'!$A:$AI,24,FALSE)</f>
        <v>2.4089999999999998</v>
      </c>
      <c r="AH437" t="str">
        <f>VLOOKUP($J437,'[1]Table S6'!$A:$AI,25,FALSE)</f>
        <v>No</v>
      </c>
      <c r="AJ437">
        <f>VLOOKUP($J437,'[1]Table S6'!$A:$AI,27,FALSE)</f>
        <v>454.7</v>
      </c>
      <c r="AK437">
        <f>VLOOKUP($J437,'[1]Table S6'!$A:$AI,28,FALSE)</f>
        <v>0.967652692062141</v>
      </c>
      <c r="AL437">
        <f>VLOOKUP($J437,'[1]Table S6'!$A:$AI,29,FALSE)</f>
        <v>239.2</v>
      </c>
      <c r="AM437" t="str">
        <f>VLOOKUP($J437,'[1]Table S6'!$A:$AI,30,FALSE)</f>
        <v>No</v>
      </c>
      <c r="AO437">
        <f>VLOOKUP($J437,'[1]Table S6'!$A:$AI,32,FALSE)</f>
        <v>434.5</v>
      </c>
      <c r="AP437">
        <f>VLOOKUP($J437,'[1]Table S6'!$A:$AI,33,FALSE)</f>
        <v>0.92466482230261804</v>
      </c>
      <c r="AQ437">
        <f>VLOOKUP($J437,'[1]Table S6'!$A:$AI,34,FALSE)</f>
        <v>128.19999999999999</v>
      </c>
      <c r="AR437" t="str">
        <f>VLOOKUP($J437,'[1]Table S6'!$A:$AI,35,FALSE)</f>
        <v>No</v>
      </c>
      <c r="AT437" t="str">
        <f>VLOOKUP($I437,'[2]Table S5'!$A:$K,8,FALSE)</f>
        <v>Resistant</v>
      </c>
      <c r="AU437" t="str">
        <f>VLOOKUP($I437,'[2]Table S5'!$A:$K,9,FALSE)</f>
        <v>Resistant</v>
      </c>
      <c r="AV437" t="str">
        <f>VLOOKUP($I437,'[2]Table S5'!$A:$K,10,FALSE)</f>
        <v>Resistant</v>
      </c>
      <c r="AW437" t="str">
        <f>VLOOKUP($I437,'[2]Table S5'!$A:$K,11,FALSE)</f>
        <v>Resistant</v>
      </c>
    </row>
    <row r="438" spans="1:49">
      <c r="A438" s="12" t="s">
        <v>3006</v>
      </c>
      <c r="B438" t="s">
        <v>3007</v>
      </c>
      <c r="C438" t="s">
        <v>3008</v>
      </c>
      <c r="D438" t="s">
        <v>17</v>
      </c>
      <c r="E438" t="s">
        <v>703</v>
      </c>
      <c r="F438" s="12" t="s">
        <v>704</v>
      </c>
      <c r="G438" t="s">
        <v>705</v>
      </c>
      <c r="H438" t="s">
        <v>706</v>
      </c>
      <c r="I438" t="s">
        <v>690</v>
      </c>
      <c r="J438" t="s">
        <v>707</v>
      </c>
      <c r="K438">
        <f>VLOOKUP($J438,'[1]Table S6'!$A:$AI,2,FALSE)</f>
        <v>282.3</v>
      </c>
      <c r="L438">
        <f>VLOOKUP($J438,'[1]Table S6'!$A:$AI,3,FALSE)</f>
        <v>0.60076612045115996</v>
      </c>
      <c r="M438">
        <f>VLOOKUP($J438,'[1]Table S6'!$A:$AI,4,FALSE)</f>
        <v>0.92430000000000001</v>
      </c>
      <c r="N438" t="str">
        <f>VLOOKUP($J438,'[1]Table S6'!$A:$AI,5,FALSE)</f>
        <v>Yes</v>
      </c>
      <c r="P438">
        <f>VLOOKUP($J438,'[1]Table S6'!$A:$AI,7,FALSE)</f>
        <v>392.4</v>
      </c>
      <c r="Q438">
        <f>VLOOKUP($J438,'[1]Table S6'!$A:$AI,8,FALSE)</f>
        <v>0.83507129176420503</v>
      </c>
      <c r="R438">
        <f>VLOOKUP($J438,'[1]Table S6'!$A:$AI,9,FALSE)</f>
        <v>19.53</v>
      </c>
      <c r="S438" t="str">
        <f>VLOOKUP($J438,'[1]Table S6'!$A:$AI,10,FALSE)</f>
        <v>No</v>
      </c>
      <c r="U438">
        <f>VLOOKUP($J438,'[1]Table S6'!$A:$AI,12,FALSE)</f>
        <v>303.89999999999998</v>
      </c>
      <c r="V438">
        <f>VLOOKUP($J438,'[1]Table S6'!$A:$AI,13,FALSE)</f>
        <v>0.64673334752074896</v>
      </c>
      <c r="W438">
        <f>VLOOKUP($J438,'[1]Table S6'!$A:$AI,14,FALSE)</f>
        <v>1.4650000000000001</v>
      </c>
      <c r="X438" t="str">
        <f>VLOOKUP($J438,'[1]Table S6'!$A:$AI,15,FALSE)</f>
        <v>Yes</v>
      </c>
      <c r="Z438">
        <f>VLOOKUP($J438,'[1]Table S6'!$A:$AI,17,FALSE)</f>
        <v>306.89999999999998</v>
      </c>
      <c r="AA438">
        <f>VLOOKUP($J438,'[1]Table S6'!$A:$AI,18,FALSE)</f>
        <v>0.65311768461374797</v>
      </c>
      <c r="AB438">
        <f>VLOOKUP($J438,'[1]Table S6'!$A:$AI,19,FALSE)</f>
        <v>1.405</v>
      </c>
      <c r="AC438" t="str">
        <f>VLOOKUP($J438,'[1]Table S6'!$A:$AI,20,FALSE)</f>
        <v>Yes</v>
      </c>
      <c r="AE438">
        <f>VLOOKUP($J438,'[1]Table S6'!$A:$AI,22,FALSE)</f>
        <v>384.1</v>
      </c>
      <c r="AF438">
        <f>VLOOKUP($J438,'[1]Table S6'!$A:$AI,23,FALSE)</f>
        <v>0.817407959140243</v>
      </c>
      <c r="AG438">
        <f>VLOOKUP($J438,'[1]Table S6'!$A:$AI,24,FALSE)</f>
        <v>14.57</v>
      </c>
      <c r="AH438" t="str">
        <f>VLOOKUP($J438,'[1]Table S6'!$A:$AI,25,FALSE)</f>
        <v>No</v>
      </c>
      <c r="AJ438">
        <f>VLOOKUP($J438,'[1]Table S6'!$A:$AI,27,FALSE)</f>
        <v>405.4</v>
      </c>
      <c r="AK438">
        <f>VLOOKUP($J438,'[1]Table S6'!$A:$AI,28,FALSE)</f>
        <v>0.86273675250053194</v>
      </c>
      <c r="AL438">
        <f>VLOOKUP($J438,'[1]Table S6'!$A:$AI,29,FALSE)</f>
        <v>43.37</v>
      </c>
      <c r="AM438" t="str">
        <f>VLOOKUP($J438,'[1]Table S6'!$A:$AI,30,FALSE)</f>
        <v>No</v>
      </c>
      <c r="AO438">
        <f>VLOOKUP($J438,'[1]Table S6'!$A:$AI,32,FALSE)</f>
        <v>430.1</v>
      </c>
      <c r="AP438">
        <f>VLOOKUP($J438,'[1]Table S6'!$A:$AI,33,FALSE)</f>
        <v>0.91530112789955298</v>
      </c>
      <c r="AQ438">
        <f>VLOOKUP($J438,'[1]Table S6'!$A:$AI,34,FALSE)</f>
        <v>63.65</v>
      </c>
      <c r="AR438" t="str">
        <f>VLOOKUP($J438,'[1]Table S6'!$A:$AI,35,FALSE)</f>
        <v>No</v>
      </c>
      <c r="AT438" t="str">
        <f>VLOOKUP($I438,'[2]Table S5'!$A:$K,8,FALSE)</f>
        <v>Resistant</v>
      </c>
      <c r="AU438" t="str">
        <f>VLOOKUP($I438,'[2]Table S5'!$A:$K,9,FALSE)</f>
        <v>Resistant</v>
      </c>
      <c r="AV438" t="str">
        <f>VLOOKUP($I438,'[2]Table S5'!$A:$K,10,FALSE)</f>
        <v>Resistant</v>
      </c>
      <c r="AW438" t="str">
        <f>VLOOKUP($I438,'[2]Table S5'!$A:$K,11,FALSE)</f>
        <v>Resistant</v>
      </c>
    </row>
    <row r="439" spans="1:49">
      <c r="A439" s="12" t="s">
        <v>3009</v>
      </c>
      <c r="B439" t="s">
        <v>3010</v>
      </c>
      <c r="C439" t="s">
        <v>3011</v>
      </c>
      <c r="D439" t="s">
        <v>17</v>
      </c>
      <c r="E439" t="s">
        <v>711</v>
      </c>
      <c r="F439" s="12" t="s">
        <v>712</v>
      </c>
      <c r="G439" t="s">
        <v>713</v>
      </c>
      <c r="H439" t="s">
        <v>714</v>
      </c>
      <c r="I439" t="s">
        <v>690</v>
      </c>
      <c r="J439" t="s">
        <v>715</v>
      </c>
      <c r="K439">
        <f>VLOOKUP($J439,'[1]Table S6'!$A:$AI,2,FALSE)</f>
        <v>295.3</v>
      </c>
      <c r="L439">
        <f>VLOOKUP($J439,'[1]Table S6'!$A:$AI,3,FALSE)</f>
        <v>0.62843158118748699</v>
      </c>
      <c r="M439">
        <f>VLOOKUP($J439,'[1]Table S6'!$A:$AI,4,FALSE)</f>
        <v>1.177</v>
      </c>
      <c r="N439" t="str">
        <f>VLOOKUP($J439,'[1]Table S6'!$A:$AI,5,FALSE)</f>
        <v>Yes</v>
      </c>
      <c r="P439">
        <f>VLOOKUP($J439,'[1]Table S6'!$A:$AI,7,FALSE)</f>
        <v>303.7</v>
      </c>
      <c r="Q439">
        <f>VLOOKUP($J439,'[1]Table S6'!$A:$AI,8,FALSE)</f>
        <v>0.64630772504788303</v>
      </c>
      <c r="R439">
        <f>VLOOKUP($J439,'[1]Table S6'!$A:$AI,9,FALSE)</f>
        <v>1.5740000000000001</v>
      </c>
      <c r="S439" t="str">
        <f>VLOOKUP($J439,'[1]Table S6'!$A:$AI,10,FALSE)</f>
        <v>Yes</v>
      </c>
      <c r="U439">
        <f>VLOOKUP($J439,'[1]Table S6'!$A:$AI,12,FALSE)</f>
        <v>277.89999999999998</v>
      </c>
      <c r="V439">
        <f>VLOOKUP($J439,'[1]Table S6'!$A:$AI,13,FALSE)</f>
        <v>0.59140242604809501</v>
      </c>
      <c r="W439">
        <f>VLOOKUP($J439,'[1]Table S6'!$A:$AI,14,FALSE)</f>
        <v>0.89290000000000003</v>
      </c>
      <c r="X439" t="str">
        <f>VLOOKUP($J439,'[1]Table S6'!$A:$AI,15,FALSE)</f>
        <v>Yes</v>
      </c>
      <c r="Z439">
        <f>VLOOKUP($J439,'[1]Table S6'!$A:$AI,17,FALSE)</f>
        <v>302.10000000000002</v>
      </c>
      <c r="AA439">
        <f>VLOOKUP($J439,'[1]Table S6'!$A:$AI,18,FALSE)</f>
        <v>0.64290274526494995</v>
      </c>
      <c r="AB439">
        <f>VLOOKUP($J439,'[1]Table S6'!$A:$AI,19,FALSE)</f>
        <v>1.5640000000000001</v>
      </c>
      <c r="AC439" t="str">
        <f>VLOOKUP($J439,'[1]Table S6'!$A:$AI,20,FALSE)</f>
        <v>Yes</v>
      </c>
      <c r="AE439">
        <f>VLOOKUP($J439,'[1]Table S6'!$A:$AI,22,FALSE)</f>
        <v>311.8</v>
      </c>
      <c r="AF439">
        <f>VLOOKUP($J439,'[1]Table S6'!$A:$AI,23,FALSE)</f>
        <v>0.66354543519897902</v>
      </c>
      <c r="AG439">
        <f>VLOOKUP($J439,'[1]Table S6'!$A:$AI,24,FALSE)</f>
        <v>2.1760000000000002</v>
      </c>
      <c r="AH439" t="str">
        <f>VLOOKUP($J439,'[1]Table S6'!$A:$AI,25,FALSE)</f>
        <v>Yes</v>
      </c>
      <c r="AJ439">
        <f>VLOOKUP($J439,'[1]Table S6'!$A:$AI,27,FALSE)</f>
        <v>369.1</v>
      </c>
      <c r="AK439">
        <f>VLOOKUP($J439,'[1]Table S6'!$A:$AI,28,FALSE)</f>
        <v>0.78548627367525004</v>
      </c>
      <c r="AL439">
        <f>VLOOKUP($J439,'[1]Table S6'!$A:$AI,29,FALSE)</f>
        <v>18.829999999999998</v>
      </c>
      <c r="AM439" t="str">
        <f>VLOOKUP($J439,'[1]Table S6'!$A:$AI,30,FALSE)</f>
        <v>No</v>
      </c>
      <c r="AO439">
        <f>VLOOKUP($J439,'[1]Table S6'!$A:$AI,32,FALSE)</f>
        <v>426</v>
      </c>
      <c r="AP439">
        <f>VLOOKUP($J439,'[1]Table S6'!$A:$AI,33,FALSE)</f>
        <v>0.90657586720578898</v>
      </c>
      <c r="AQ439">
        <f>VLOOKUP($J439,'[1]Table S6'!$A:$AI,34,FALSE)</f>
        <v>72.63</v>
      </c>
      <c r="AR439" t="str">
        <f>VLOOKUP($J439,'[1]Table S6'!$A:$AI,35,FALSE)</f>
        <v>No</v>
      </c>
      <c r="AT439" t="str">
        <f>VLOOKUP($I439,'[2]Table S5'!$A:$K,8,FALSE)</f>
        <v>Resistant</v>
      </c>
      <c r="AU439" t="str">
        <f>VLOOKUP($I439,'[2]Table S5'!$A:$K,9,FALSE)</f>
        <v>Resistant</v>
      </c>
      <c r="AV439" t="str">
        <f>VLOOKUP($I439,'[2]Table S5'!$A:$K,10,FALSE)</f>
        <v>Resistant</v>
      </c>
      <c r="AW439" t="str">
        <f>VLOOKUP($I439,'[2]Table S5'!$A:$K,11,FALSE)</f>
        <v>Resistant</v>
      </c>
    </row>
    <row r="440" spans="1:49">
      <c r="A440" s="12" t="s">
        <v>3012</v>
      </c>
      <c r="B440" t="s">
        <v>3013</v>
      </c>
      <c r="C440" t="s">
        <v>3014</v>
      </c>
      <c r="D440" t="s">
        <v>17</v>
      </c>
      <c r="E440" t="s">
        <v>719</v>
      </c>
      <c r="F440" s="12" t="s">
        <v>720</v>
      </c>
      <c r="G440" t="s">
        <v>721</v>
      </c>
      <c r="H440" t="s">
        <v>722</v>
      </c>
      <c r="I440" t="s">
        <v>690</v>
      </c>
      <c r="J440" t="s">
        <v>691</v>
      </c>
      <c r="K440">
        <f>VLOOKUP($J440,'[1]Table S6'!$A:$AI,2,FALSE)</f>
        <v>354.3</v>
      </c>
      <c r="L440">
        <f>VLOOKUP($J440,'[1]Table S6'!$A:$AI,3,FALSE)</f>
        <v>0.753990210683124</v>
      </c>
      <c r="M440">
        <f>VLOOKUP($J440,'[1]Table S6'!$A:$AI,4,FALSE)</f>
        <v>5.1449999999999996</v>
      </c>
      <c r="N440" t="str">
        <f>VLOOKUP($J440,'[1]Table S6'!$A:$AI,5,FALSE)</f>
        <v>No</v>
      </c>
      <c r="P440">
        <f>VLOOKUP($J440,'[1]Table S6'!$A:$AI,7,FALSE)</f>
        <v>388.2</v>
      </c>
      <c r="Q440">
        <f>VLOOKUP($J440,'[1]Table S6'!$A:$AI,8,FALSE)</f>
        <v>0.826133219834007</v>
      </c>
      <c r="R440">
        <f>VLOOKUP($J440,'[1]Table S6'!$A:$AI,9,FALSE)</f>
        <v>19.760000000000002</v>
      </c>
      <c r="S440" t="str">
        <f>VLOOKUP($J440,'[1]Table S6'!$A:$AI,10,FALSE)</f>
        <v>No</v>
      </c>
      <c r="U440">
        <f>VLOOKUP($J440,'[1]Table S6'!$A:$AI,12,FALSE)</f>
        <v>367.7</v>
      </c>
      <c r="V440">
        <f>VLOOKUP($J440,'[1]Table S6'!$A:$AI,13,FALSE)</f>
        <v>0.78250691636518399</v>
      </c>
      <c r="W440">
        <f>VLOOKUP($J440,'[1]Table S6'!$A:$AI,14,FALSE)</f>
        <v>8.6910000000000007</v>
      </c>
      <c r="X440" t="str">
        <f>VLOOKUP($J440,'[1]Table S6'!$A:$AI,15,FALSE)</f>
        <v>No</v>
      </c>
      <c r="Z440">
        <f>VLOOKUP($J440,'[1]Table S6'!$A:$AI,17,FALSE)</f>
        <v>381.3</v>
      </c>
      <c r="AA440">
        <f>VLOOKUP($J440,'[1]Table S6'!$A:$AI,18,FALSE)</f>
        <v>0.81144924452011102</v>
      </c>
      <c r="AB440">
        <f>VLOOKUP($J440,'[1]Table S6'!$A:$AI,19,FALSE)</f>
        <v>13.22</v>
      </c>
      <c r="AC440" t="str">
        <f>VLOOKUP($J440,'[1]Table S6'!$A:$AI,20,FALSE)</f>
        <v>No</v>
      </c>
      <c r="AE440">
        <f>VLOOKUP($J440,'[1]Table S6'!$A:$AI,22,FALSE)</f>
        <v>337.6</v>
      </c>
      <c r="AF440">
        <f>VLOOKUP($J440,'[1]Table S6'!$A:$AI,23,FALSE)</f>
        <v>0.71845073419876604</v>
      </c>
      <c r="AG440">
        <f>VLOOKUP($J440,'[1]Table S6'!$A:$AI,24,FALSE)</f>
        <v>3.58</v>
      </c>
      <c r="AH440" t="str">
        <f>VLOOKUP($J440,'[1]Table S6'!$A:$AI,25,FALSE)</f>
        <v>No</v>
      </c>
      <c r="AJ440">
        <f>VLOOKUP($J440,'[1]Table S6'!$A:$AI,27,FALSE)</f>
        <v>447.5</v>
      </c>
      <c r="AK440">
        <f>VLOOKUP($J440,'[1]Table S6'!$A:$AI,28,FALSE)</f>
        <v>0.95233028303894496</v>
      </c>
      <c r="AL440">
        <f>VLOOKUP($J440,'[1]Table S6'!$A:$AI,29,FALSE)</f>
        <v>212.9</v>
      </c>
      <c r="AM440" t="str">
        <f>VLOOKUP($J440,'[1]Table S6'!$A:$AI,30,FALSE)</f>
        <v>No</v>
      </c>
      <c r="AO440">
        <f>VLOOKUP($J440,'[1]Table S6'!$A:$AI,32,FALSE)</f>
        <v>444.3</v>
      </c>
      <c r="AP440">
        <f>VLOOKUP($J440,'[1]Table S6'!$A:$AI,33,FALSE)</f>
        <v>0.94552032347307902</v>
      </c>
      <c r="AQ440">
        <f>VLOOKUP($J440,'[1]Table S6'!$A:$AI,34,FALSE)</f>
        <v>128</v>
      </c>
      <c r="AR440" t="str">
        <f>VLOOKUP($J440,'[1]Table S6'!$A:$AI,35,FALSE)</f>
        <v>No</v>
      </c>
      <c r="AT440" t="str">
        <f>VLOOKUP($I440,'[2]Table S5'!$A:$K,8,FALSE)</f>
        <v>Resistant</v>
      </c>
      <c r="AU440" t="str">
        <f>VLOOKUP($I440,'[2]Table S5'!$A:$K,9,FALSE)</f>
        <v>Resistant</v>
      </c>
      <c r="AV440" t="str">
        <f>VLOOKUP($I440,'[2]Table S5'!$A:$K,10,FALSE)</f>
        <v>Resistant</v>
      </c>
      <c r="AW440" t="str">
        <f>VLOOKUP($I440,'[2]Table S5'!$A:$K,11,FALSE)</f>
        <v>Resistant</v>
      </c>
    </row>
    <row r="441" spans="1:49">
      <c r="A441" s="12" t="s">
        <v>3015</v>
      </c>
      <c r="B441" t="s">
        <v>3016</v>
      </c>
      <c r="C441" t="s">
        <v>3017</v>
      </c>
      <c r="D441" t="s">
        <v>17</v>
      </c>
      <c r="E441" t="s">
        <v>726</v>
      </c>
      <c r="F441" s="12" t="s">
        <v>727</v>
      </c>
      <c r="G441" t="s">
        <v>728</v>
      </c>
      <c r="H441" t="s">
        <v>729</v>
      </c>
      <c r="I441" t="s">
        <v>690</v>
      </c>
      <c r="J441" t="s">
        <v>699</v>
      </c>
      <c r="K441">
        <f>VLOOKUP($J441,'[1]Table S6'!$A:$AI,2,FALSE)</f>
        <v>373.7</v>
      </c>
      <c r="L441">
        <f>VLOOKUP($J441,'[1]Table S6'!$A:$AI,3,FALSE)</f>
        <v>0.79527559055118102</v>
      </c>
      <c r="M441">
        <f>VLOOKUP($J441,'[1]Table S6'!$A:$AI,4,FALSE)</f>
        <v>9.016</v>
      </c>
      <c r="N441" t="str">
        <f>VLOOKUP($J441,'[1]Table S6'!$A:$AI,5,FALSE)</f>
        <v>No</v>
      </c>
      <c r="P441">
        <f>VLOOKUP($J441,'[1]Table S6'!$A:$AI,7,FALSE)</f>
        <v>388.9</v>
      </c>
      <c r="Q441">
        <f>VLOOKUP($J441,'[1]Table S6'!$A:$AI,8,FALSE)</f>
        <v>0.82762289848904003</v>
      </c>
      <c r="R441">
        <f>VLOOKUP($J441,'[1]Table S6'!$A:$AI,9,FALSE)</f>
        <v>18.649999999999999</v>
      </c>
      <c r="S441" t="str">
        <f>VLOOKUP($J441,'[1]Table S6'!$A:$AI,10,FALSE)</f>
        <v>No</v>
      </c>
      <c r="U441">
        <f>VLOOKUP($J441,'[1]Table S6'!$A:$AI,12,FALSE)</f>
        <v>354.4</v>
      </c>
      <c r="V441">
        <f>VLOOKUP($J441,'[1]Table S6'!$A:$AI,13,FALSE)</f>
        <v>0.75420302191955702</v>
      </c>
      <c r="W441">
        <f>VLOOKUP($J441,'[1]Table S6'!$A:$AI,14,FALSE)</f>
        <v>4.5129999999999999</v>
      </c>
      <c r="X441" t="str">
        <f>VLOOKUP($J441,'[1]Table S6'!$A:$AI,15,FALSE)</f>
        <v>No</v>
      </c>
      <c r="Z441">
        <f>VLOOKUP($J441,'[1]Table S6'!$A:$AI,17,FALSE)</f>
        <v>344</v>
      </c>
      <c r="AA441">
        <f>VLOOKUP($J441,'[1]Table S6'!$A:$AI,18,FALSE)</f>
        <v>0.73207065333049604</v>
      </c>
      <c r="AB441">
        <f>VLOOKUP($J441,'[1]Table S6'!$A:$AI,19,FALSE)</f>
        <v>3.6219999999999999</v>
      </c>
      <c r="AC441" t="str">
        <f>VLOOKUP($J441,'[1]Table S6'!$A:$AI,20,FALSE)</f>
        <v>No</v>
      </c>
      <c r="AE441">
        <f>VLOOKUP($J441,'[1]Table S6'!$A:$AI,22,FALSE)</f>
        <v>330</v>
      </c>
      <c r="AF441">
        <f>VLOOKUP($J441,'[1]Table S6'!$A:$AI,23,FALSE)</f>
        <v>0.70227708022983604</v>
      </c>
      <c r="AG441">
        <f>VLOOKUP($J441,'[1]Table S6'!$A:$AI,24,FALSE)</f>
        <v>2.4089999999999998</v>
      </c>
      <c r="AH441" t="str">
        <f>VLOOKUP($J441,'[1]Table S6'!$A:$AI,25,FALSE)</f>
        <v>No</v>
      </c>
      <c r="AJ441">
        <f>VLOOKUP($J441,'[1]Table S6'!$A:$AI,27,FALSE)</f>
        <v>454.7</v>
      </c>
      <c r="AK441">
        <f>VLOOKUP($J441,'[1]Table S6'!$A:$AI,28,FALSE)</f>
        <v>0.967652692062141</v>
      </c>
      <c r="AL441">
        <f>VLOOKUP($J441,'[1]Table S6'!$A:$AI,29,FALSE)</f>
        <v>239.2</v>
      </c>
      <c r="AM441" t="str">
        <f>VLOOKUP($J441,'[1]Table S6'!$A:$AI,30,FALSE)</f>
        <v>No</v>
      </c>
      <c r="AO441">
        <f>VLOOKUP($J441,'[1]Table S6'!$A:$AI,32,FALSE)</f>
        <v>434.5</v>
      </c>
      <c r="AP441">
        <f>VLOOKUP($J441,'[1]Table S6'!$A:$AI,33,FALSE)</f>
        <v>0.92466482230261804</v>
      </c>
      <c r="AQ441">
        <f>VLOOKUP($J441,'[1]Table S6'!$A:$AI,34,FALSE)</f>
        <v>128.19999999999999</v>
      </c>
      <c r="AR441" t="str">
        <f>VLOOKUP($J441,'[1]Table S6'!$A:$AI,35,FALSE)</f>
        <v>No</v>
      </c>
      <c r="AT441" t="str">
        <f>VLOOKUP($I441,'[2]Table S5'!$A:$K,8,FALSE)</f>
        <v>Resistant</v>
      </c>
      <c r="AU441" t="str">
        <f>VLOOKUP($I441,'[2]Table S5'!$A:$K,9,FALSE)</f>
        <v>Resistant</v>
      </c>
      <c r="AV441" t="str">
        <f>VLOOKUP($I441,'[2]Table S5'!$A:$K,10,FALSE)</f>
        <v>Resistant</v>
      </c>
      <c r="AW441" t="str">
        <f>VLOOKUP($I441,'[2]Table S5'!$A:$K,11,FALSE)</f>
        <v>Resistant</v>
      </c>
    </row>
    <row r="442" spans="1:49">
      <c r="A442" s="12" t="s">
        <v>3018</v>
      </c>
      <c r="B442" t="s">
        <v>3019</v>
      </c>
      <c r="C442" t="s">
        <v>3020</v>
      </c>
      <c r="D442" t="s">
        <v>17</v>
      </c>
      <c r="E442" t="s">
        <v>733</v>
      </c>
      <c r="F442" s="12" t="s">
        <v>734</v>
      </c>
      <c r="G442" t="s">
        <v>735</v>
      </c>
      <c r="H442" t="s">
        <v>736</v>
      </c>
      <c r="I442" t="s">
        <v>690</v>
      </c>
      <c r="J442" t="s">
        <v>707</v>
      </c>
      <c r="K442">
        <f>VLOOKUP($J442,'[1]Table S6'!$A:$AI,2,FALSE)</f>
        <v>282.3</v>
      </c>
      <c r="L442">
        <f>VLOOKUP($J442,'[1]Table S6'!$A:$AI,3,FALSE)</f>
        <v>0.60076612045115996</v>
      </c>
      <c r="M442">
        <f>VLOOKUP($J442,'[1]Table S6'!$A:$AI,4,FALSE)</f>
        <v>0.92430000000000001</v>
      </c>
      <c r="N442" t="str">
        <f>VLOOKUP($J442,'[1]Table S6'!$A:$AI,5,FALSE)</f>
        <v>Yes</v>
      </c>
      <c r="P442">
        <f>VLOOKUP($J442,'[1]Table S6'!$A:$AI,7,FALSE)</f>
        <v>392.4</v>
      </c>
      <c r="Q442">
        <f>VLOOKUP($J442,'[1]Table S6'!$A:$AI,8,FALSE)</f>
        <v>0.83507129176420503</v>
      </c>
      <c r="R442">
        <f>VLOOKUP($J442,'[1]Table S6'!$A:$AI,9,FALSE)</f>
        <v>19.53</v>
      </c>
      <c r="S442" t="str">
        <f>VLOOKUP($J442,'[1]Table S6'!$A:$AI,10,FALSE)</f>
        <v>No</v>
      </c>
      <c r="U442">
        <f>VLOOKUP($J442,'[1]Table S6'!$A:$AI,12,FALSE)</f>
        <v>303.89999999999998</v>
      </c>
      <c r="V442">
        <f>VLOOKUP($J442,'[1]Table S6'!$A:$AI,13,FALSE)</f>
        <v>0.64673334752074896</v>
      </c>
      <c r="W442">
        <f>VLOOKUP($J442,'[1]Table S6'!$A:$AI,14,FALSE)</f>
        <v>1.4650000000000001</v>
      </c>
      <c r="X442" t="str">
        <f>VLOOKUP($J442,'[1]Table S6'!$A:$AI,15,FALSE)</f>
        <v>Yes</v>
      </c>
      <c r="Z442">
        <f>VLOOKUP($J442,'[1]Table S6'!$A:$AI,17,FALSE)</f>
        <v>306.89999999999998</v>
      </c>
      <c r="AA442">
        <f>VLOOKUP($J442,'[1]Table S6'!$A:$AI,18,FALSE)</f>
        <v>0.65311768461374797</v>
      </c>
      <c r="AB442">
        <f>VLOOKUP($J442,'[1]Table S6'!$A:$AI,19,FALSE)</f>
        <v>1.405</v>
      </c>
      <c r="AC442" t="str">
        <f>VLOOKUP($J442,'[1]Table S6'!$A:$AI,20,FALSE)</f>
        <v>Yes</v>
      </c>
      <c r="AE442">
        <f>VLOOKUP($J442,'[1]Table S6'!$A:$AI,22,FALSE)</f>
        <v>384.1</v>
      </c>
      <c r="AF442">
        <f>VLOOKUP($J442,'[1]Table S6'!$A:$AI,23,FALSE)</f>
        <v>0.817407959140243</v>
      </c>
      <c r="AG442">
        <f>VLOOKUP($J442,'[1]Table S6'!$A:$AI,24,FALSE)</f>
        <v>14.57</v>
      </c>
      <c r="AH442" t="str">
        <f>VLOOKUP($J442,'[1]Table S6'!$A:$AI,25,FALSE)</f>
        <v>No</v>
      </c>
      <c r="AJ442">
        <f>VLOOKUP($J442,'[1]Table S6'!$A:$AI,27,FALSE)</f>
        <v>405.4</v>
      </c>
      <c r="AK442">
        <f>VLOOKUP($J442,'[1]Table S6'!$A:$AI,28,FALSE)</f>
        <v>0.86273675250053194</v>
      </c>
      <c r="AL442">
        <f>VLOOKUP($J442,'[1]Table S6'!$A:$AI,29,FALSE)</f>
        <v>43.37</v>
      </c>
      <c r="AM442" t="str">
        <f>VLOOKUP($J442,'[1]Table S6'!$A:$AI,30,FALSE)</f>
        <v>No</v>
      </c>
      <c r="AO442">
        <f>VLOOKUP($J442,'[1]Table S6'!$A:$AI,32,FALSE)</f>
        <v>430.1</v>
      </c>
      <c r="AP442">
        <f>VLOOKUP($J442,'[1]Table S6'!$A:$AI,33,FALSE)</f>
        <v>0.91530112789955298</v>
      </c>
      <c r="AQ442">
        <f>VLOOKUP($J442,'[1]Table S6'!$A:$AI,34,FALSE)</f>
        <v>63.65</v>
      </c>
      <c r="AR442" t="str">
        <f>VLOOKUP($J442,'[1]Table S6'!$A:$AI,35,FALSE)</f>
        <v>No</v>
      </c>
      <c r="AT442" t="str">
        <f>VLOOKUP($I442,'[2]Table S5'!$A:$K,8,FALSE)</f>
        <v>Resistant</v>
      </c>
      <c r="AU442" t="str">
        <f>VLOOKUP($I442,'[2]Table S5'!$A:$K,9,FALSE)</f>
        <v>Resistant</v>
      </c>
      <c r="AV442" t="str">
        <f>VLOOKUP($I442,'[2]Table S5'!$A:$K,10,FALSE)</f>
        <v>Resistant</v>
      </c>
      <c r="AW442" t="str">
        <f>VLOOKUP($I442,'[2]Table S5'!$A:$K,11,FALSE)</f>
        <v>Resistant</v>
      </c>
    </row>
    <row r="443" spans="1:49">
      <c r="A443" s="12" t="s">
        <v>3021</v>
      </c>
      <c r="B443" t="s">
        <v>3022</v>
      </c>
      <c r="C443" t="s">
        <v>3023</v>
      </c>
      <c r="D443" t="s">
        <v>17</v>
      </c>
      <c r="E443" t="s">
        <v>740</v>
      </c>
      <c r="F443" s="12" t="s">
        <v>741</v>
      </c>
      <c r="G443" t="s">
        <v>742</v>
      </c>
      <c r="H443" t="s">
        <v>743</v>
      </c>
      <c r="I443" t="s">
        <v>690</v>
      </c>
      <c r="J443" t="s">
        <v>715</v>
      </c>
      <c r="K443">
        <f>VLOOKUP($J443,'[1]Table S6'!$A:$AI,2,FALSE)</f>
        <v>295.3</v>
      </c>
      <c r="L443">
        <f>VLOOKUP($J443,'[1]Table S6'!$A:$AI,3,FALSE)</f>
        <v>0.62843158118748699</v>
      </c>
      <c r="M443">
        <f>VLOOKUP($J443,'[1]Table S6'!$A:$AI,4,FALSE)</f>
        <v>1.177</v>
      </c>
      <c r="N443" t="str">
        <f>VLOOKUP($J443,'[1]Table S6'!$A:$AI,5,FALSE)</f>
        <v>Yes</v>
      </c>
      <c r="P443">
        <f>VLOOKUP($J443,'[1]Table S6'!$A:$AI,7,FALSE)</f>
        <v>303.7</v>
      </c>
      <c r="Q443">
        <f>VLOOKUP($J443,'[1]Table S6'!$A:$AI,8,FALSE)</f>
        <v>0.64630772504788303</v>
      </c>
      <c r="R443">
        <f>VLOOKUP($J443,'[1]Table S6'!$A:$AI,9,FALSE)</f>
        <v>1.5740000000000001</v>
      </c>
      <c r="S443" t="str">
        <f>VLOOKUP($J443,'[1]Table S6'!$A:$AI,10,FALSE)</f>
        <v>Yes</v>
      </c>
      <c r="U443">
        <f>VLOOKUP($J443,'[1]Table S6'!$A:$AI,12,FALSE)</f>
        <v>277.89999999999998</v>
      </c>
      <c r="V443">
        <f>VLOOKUP($J443,'[1]Table S6'!$A:$AI,13,FALSE)</f>
        <v>0.59140242604809501</v>
      </c>
      <c r="W443">
        <f>VLOOKUP($J443,'[1]Table S6'!$A:$AI,14,FALSE)</f>
        <v>0.89290000000000003</v>
      </c>
      <c r="X443" t="str">
        <f>VLOOKUP($J443,'[1]Table S6'!$A:$AI,15,FALSE)</f>
        <v>Yes</v>
      </c>
      <c r="Z443">
        <f>VLOOKUP($J443,'[1]Table S6'!$A:$AI,17,FALSE)</f>
        <v>302.10000000000002</v>
      </c>
      <c r="AA443">
        <f>VLOOKUP($J443,'[1]Table S6'!$A:$AI,18,FALSE)</f>
        <v>0.64290274526494995</v>
      </c>
      <c r="AB443">
        <f>VLOOKUP($J443,'[1]Table S6'!$A:$AI,19,FALSE)</f>
        <v>1.5640000000000001</v>
      </c>
      <c r="AC443" t="str">
        <f>VLOOKUP($J443,'[1]Table S6'!$A:$AI,20,FALSE)</f>
        <v>Yes</v>
      </c>
      <c r="AE443">
        <f>VLOOKUP($J443,'[1]Table S6'!$A:$AI,22,FALSE)</f>
        <v>311.8</v>
      </c>
      <c r="AF443">
        <f>VLOOKUP($J443,'[1]Table S6'!$A:$AI,23,FALSE)</f>
        <v>0.66354543519897902</v>
      </c>
      <c r="AG443">
        <f>VLOOKUP($J443,'[1]Table S6'!$A:$AI,24,FALSE)</f>
        <v>2.1760000000000002</v>
      </c>
      <c r="AH443" t="str">
        <f>VLOOKUP($J443,'[1]Table S6'!$A:$AI,25,FALSE)</f>
        <v>Yes</v>
      </c>
      <c r="AJ443">
        <f>VLOOKUP($J443,'[1]Table S6'!$A:$AI,27,FALSE)</f>
        <v>369.1</v>
      </c>
      <c r="AK443">
        <f>VLOOKUP($J443,'[1]Table S6'!$A:$AI,28,FALSE)</f>
        <v>0.78548627367525004</v>
      </c>
      <c r="AL443">
        <f>VLOOKUP($J443,'[1]Table S6'!$A:$AI,29,FALSE)</f>
        <v>18.829999999999998</v>
      </c>
      <c r="AM443" t="str">
        <f>VLOOKUP($J443,'[1]Table S6'!$A:$AI,30,FALSE)</f>
        <v>No</v>
      </c>
      <c r="AO443">
        <f>VLOOKUP($J443,'[1]Table S6'!$A:$AI,32,FALSE)</f>
        <v>426</v>
      </c>
      <c r="AP443">
        <f>VLOOKUP($J443,'[1]Table S6'!$A:$AI,33,FALSE)</f>
        <v>0.90657586720578898</v>
      </c>
      <c r="AQ443">
        <f>VLOOKUP($J443,'[1]Table S6'!$A:$AI,34,FALSE)</f>
        <v>72.63</v>
      </c>
      <c r="AR443" t="str">
        <f>VLOOKUP($J443,'[1]Table S6'!$A:$AI,35,FALSE)</f>
        <v>No</v>
      </c>
      <c r="AT443" t="str">
        <f>VLOOKUP($I443,'[2]Table S5'!$A:$K,8,FALSE)</f>
        <v>Resistant</v>
      </c>
      <c r="AU443" t="str">
        <f>VLOOKUP($I443,'[2]Table S5'!$A:$K,9,FALSE)</f>
        <v>Resistant</v>
      </c>
      <c r="AV443" t="str">
        <f>VLOOKUP($I443,'[2]Table S5'!$A:$K,10,FALSE)</f>
        <v>Resistant</v>
      </c>
      <c r="AW443" t="str">
        <f>VLOOKUP($I443,'[2]Table S5'!$A:$K,11,FALSE)</f>
        <v>Resistant</v>
      </c>
    </row>
    <row r="444" spans="1:49">
      <c r="A444" s="12" t="s">
        <v>3024</v>
      </c>
      <c r="B444" t="s">
        <v>3025</v>
      </c>
      <c r="C444" t="s">
        <v>3026</v>
      </c>
      <c r="D444" t="s">
        <v>17</v>
      </c>
      <c r="E444" t="s">
        <v>754</v>
      </c>
      <c r="F444" s="12" t="s">
        <v>755</v>
      </c>
      <c r="G444" t="s">
        <v>756</v>
      </c>
      <c r="H444" t="s">
        <v>757</v>
      </c>
      <c r="I444" t="s">
        <v>758</v>
      </c>
      <c r="J444" t="s">
        <v>759</v>
      </c>
      <c r="K444">
        <f>VLOOKUP($J444,'[1]Table S6'!$A:$AI,2,FALSE)</f>
        <v>297.39999999999998</v>
      </c>
      <c r="L444">
        <f>VLOOKUP($J444,'[1]Table S6'!$A:$AI,3,FALSE)</f>
        <v>0.63290061715258605</v>
      </c>
      <c r="M444">
        <f>VLOOKUP($J444,'[1]Table S6'!$A:$AI,4,FALSE)</f>
        <v>1.006</v>
      </c>
      <c r="N444" t="str">
        <f>VLOOKUP($J444,'[1]Table S6'!$A:$AI,5,FALSE)</f>
        <v>Yes</v>
      </c>
      <c r="P444">
        <f>VLOOKUP($J444,'[1]Table S6'!$A:$AI,7,FALSE)</f>
        <v>363.9</v>
      </c>
      <c r="Q444">
        <f>VLOOKUP($J444,'[1]Table S6'!$A:$AI,8,FALSE)</f>
        <v>0.77442008938071905</v>
      </c>
      <c r="R444">
        <f>VLOOKUP($J444,'[1]Table S6'!$A:$AI,9,FALSE)</f>
        <v>8.3829999999999991</v>
      </c>
      <c r="S444" t="str">
        <f>VLOOKUP($J444,'[1]Table S6'!$A:$AI,10,FALSE)</f>
        <v>No</v>
      </c>
      <c r="U444">
        <f>VLOOKUP($J444,'[1]Table S6'!$A:$AI,12,FALSE)</f>
        <v>337.2</v>
      </c>
      <c r="V444">
        <f>VLOOKUP($J444,'[1]Table S6'!$A:$AI,13,FALSE)</f>
        <v>0.71759948925303296</v>
      </c>
      <c r="W444">
        <f>VLOOKUP($J444,'[1]Table S6'!$A:$AI,14,FALSE)</f>
        <v>3.8610000000000002</v>
      </c>
      <c r="X444" t="str">
        <f>VLOOKUP($J444,'[1]Table S6'!$A:$AI,15,FALSE)</f>
        <v>No</v>
      </c>
      <c r="Z444">
        <f>VLOOKUP($J444,'[1]Table S6'!$A:$AI,17,FALSE)</f>
        <v>320.10000000000002</v>
      </c>
      <c r="AA444">
        <f>VLOOKUP($J444,'[1]Table S6'!$A:$AI,18,FALSE)</f>
        <v>0.68120876782294104</v>
      </c>
      <c r="AB444">
        <f>VLOOKUP($J444,'[1]Table S6'!$A:$AI,19,FALSE)</f>
        <v>1.9350000000000001</v>
      </c>
      <c r="AC444" t="str">
        <f>VLOOKUP($J444,'[1]Table S6'!$A:$AI,20,FALSE)</f>
        <v>Yes</v>
      </c>
      <c r="AE444">
        <f>VLOOKUP($J444,'[1]Table S6'!$A:$AI,22,FALSE)</f>
        <v>350.7</v>
      </c>
      <c r="AF444">
        <f>VLOOKUP($J444,'[1]Table S6'!$A:$AI,23,FALSE)</f>
        <v>0.74632900617152598</v>
      </c>
      <c r="AG444">
        <f>VLOOKUP($J444,'[1]Table S6'!$A:$AI,24,FALSE)</f>
        <v>5.6239999999999997</v>
      </c>
      <c r="AH444" t="str">
        <f>VLOOKUP($J444,'[1]Table S6'!$A:$AI,25,FALSE)</f>
        <v>No</v>
      </c>
      <c r="AJ444">
        <f>VLOOKUP($J444,'[1]Table S6'!$A:$AI,27,FALSE)</f>
        <v>455</v>
      </c>
      <c r="AK444">
        <f>VLOOKUP($J444,'[1]Table S6'!$A:$AI,28,FALSE)</f>
        <v>0.96829112577144105</v>
      </c>
      <c r="AL444">
        <f>VLOOKUP($J444,'[1]Table S6'!$A:$AI,29,FALSE)</f>
        <v>139</v>
      </c>
      <c r="AM444" t="str">
        <f>VLOOKUP($J444,'[1]Table S6'!$A:$AI,30,FALSE)</f>
        <v>No</v>
      </c>
      <c r="AO444">
        <f>VLOOKUP($J444,'[1]Table S6'!$A:$AI,32,FALSE)</f>
        <v>449.4</v>
      </c>
      <c r="AP444">
        <f>VLOOKUP($J444,'[1]Table S6'!$A:$AI,33,FALSE)</f>
        <v>0.95637369653117699</v>
      </c>
      <c r="AQ444">
        <f>VLOOKUP($J444,'[1]Table S6'!$A:$AI,34,FALSE)</f>
        <v>107.4</v>
      </c>
      <c r="AR444" t="str">
        <f>VLOOKUP($J444,'[1]Table S6'!$A:$AI,35,FALSE)</f>
        <v>No</v>
      </c>
      <c r="AT444" t="str">
        <f>VLOOKUP($I444,'[2]Table S5'!$A:$K,8,FALSE)</f>
        <v>Resistant</v>
      </c>
      <c r="AU444" t="str">
        <f>VLOOKUP($I444,'[2]Table S5'!$A:$K,9,FALSE)</f>
        <v>Resistant</v>
      </c>
      <c r="AV444" t="str">
        <f>VLOOKUP($I444,'[2]Table S5'!$A:$K,10,FALSE)</f>
        <v>Resistant</v>
      </c>
      <c r="AW444" t="str">
        <f>VLOOKUP($I444,'[2]Table S5'!$A:$K,11,FALSE)</f>
        <v>Resistant</v>
      </c>
    </row>
    <row r="445" spans="1:49">
      <c r="A445" s="12" t="s">
        <v>3027</v>
      </c>
      <c r="B445" t="s">
        <v>3028</v>
      </c>
      <c r="C445" t="s">
        <v>3029</v>
      </c>
      <c r="D445" t="s">
        <v>17</v>
      </c>
      <c r="E445" t="s">
        <v>763</v>
      </c>
      <c r="F445" s="12" t="s">
        <v>764</v>
      </c>
      <c r="G445" t="s">
        <v>765</v>
      </c>
      <c r="H445" t="s">
        <v>766</v>
      </c>
      <c r="I445" t="s">
        <v>758</v>
      </c>
      <c r="J445" t="s">
        <v>767</v>
      </c>
      <c r="K445">
        <f>VLOOKUP($J445,'[1]Table S6'!$A:$AI,2,FALSE)</f>
        <v>332.6</v>
      </c>
      <c r="L445">
        <f>VLOOKUP($J445,'[1]Table S6'!$A:$AI,3,FALSE)</f>
        <v>0.70781017237710198</v>
      </c>
      <c r="M445">
        <f>VLOOKUP($J445,'[1]Table S6'!$A:$AI,4,FALSE)</f>
        <v>2.407</v>
      </c>
      <c r="N445" t="str">
        <f>VLOOKUP($J445,'[1]Table S6'!$A:$AI,5,FALSE)</f>
        <v>No</v>
      </c>
      <c r="P445">
        <f>VLOOKUP($J445,'[1]Table S6'!$A:$AI,7,FALSE)</f>
        <v>388.2</v>
      </c>
      <c r="Q445">
        <f>VLOOKUP($J445,'[1]Table S6'!$A:$AI,8,FALSE)</f>
        <v>0.826133219834007</v>
      </c>
      <c r="R445">
        <f>VLOOKUP($J445,'[1]Table S6'!$A:$AI,9,FALSE)</f>
        <v>19.96</v>
      </c>
      <c r="S445" t="str">
        <f>VLOOKUP($J445,'[1]Table S6'!$A:$AI,10,FALSE)</f>
        <v>No</v>
      </c>
      <c r="U445">
        <f>VLOOKUP($J445,'[1]Table S6'!$A:$AI,12,FALSE)</f>
        <v>348.3</v>
      </c>
      <c r="V445">
        <f>VLOOKUP($J445,'[1]Table S6'!$A:$AI,13,FALSE)</f>
        <v>0.74122153649712696</v>
      </c>
      <c r="W445">
        <f>VLOOKUP($J445,'[1]Table S6'!$A:$AI,14,FALSE)</f>
        <v>6.141</v>
      </c>
      <c r="X445" t="str">
        <f>VLOOKUP($J445,'[1]Table S6'!$A:$AI,15,FALSE)</f>
        <v>No</v>
      </c>
      <c r="Z445">
        <f>VLOOKUP($J445,'[1]Table S6'!$A:$AI,17,FALSE)</f>
        <v>323.8</v>
      </c>
      <c r="AA445">
        <f>VLOOKUP($J445,'[1]Table S6'!$A:$AI,18,FALSE)</f>
        <v>0.68908278357097297</v>
      </c>
      <c r="AB445">
        <f>VLOOKUP($J445,'[1]Table S6'!$A:$AI,19,FALSE)</f>
        <v>1.6919999999999999</v>
      </c>
      <c r="AC445" t="str">
        <f>VLOOKUP($J445,'[1]Table S6'!$A:$AI,20,FALSE)</f>
        <v>Yes</v>
      </c>
      <c r="AE445">
        <f>VLOOKUP($J445,'[1]Table S6'!$A:$AI,22,FALSE)</f>
        <v>367.8</v>
      </c>
      <c r="AF445">
        <f>VLOOKUP($J445,'[1]Table S6'!$A:$AI,23,FALSE)</f>
        <v>0.78271972760161701</v>
      </c>
      <c r="AG445">
        <f>VLOOKUP($J445,'[1]Table S6'!$A:$AI,24,FALSE)</f>
        <v>9.8629999999999995</v>
      </c>
      <c r="AH445" t="str">
        <f>VLOOKUP($J445,'[1]Table S6'!$A:$AI,25,FALSE)</f>
        <v>No</v>
      </c>
      <c r="AJ445">
        <f>VLOOKUP($J445,'[1]Table S6'!$A:$AI,27,FALSE)</f>
        <v>459.6</v>
      </c>
      <c r="AK445">
        <f>VLOOKUP($J445,'[1]Table S6'!$A:$AI,28,FALSE)</f>
        <v>0.97808044264737204</v>
      </c>
      <c r="AL445">
        <f>VLOOKUP($J445,'[1]Table S6'!$A:$AI,29,FALSE)</f>
        <v>223.6</v>
      </c>
      <c r="AM445" t="str">
        <f>VLOOKUP($J445,'[1]Table S6'!$A:$AI,30,FALSE)</f>
        <v>No</v>
      </c>
      <c r="AO445">
        <f>VLOOKUP($J445,'[1]Table S6'!$A:$AI,32,FALSE)</f>
        <v>465.2</v>
      </c>
      <c r="AP445">
        <f>VLOOKUP($J445,'[1]Table S6'!$A:$AI,33,FALSE)</f>
        <v>0.98999787188763599</v>
      </c>
      <c r="AQ445">
        <f>VLOOKUP($J445,'[1]Table S6'!$A:$AI,34,FALSE)</f>
        <v>1046</v>
      </c>
      <c r="AR445" t="str">
        <f>VLOOKUP($J445,'[1]Table S6'!$A:$AI,35,FALSE)</f>
        <v>No</v>
      </c>
      <c r="AT445" t="str">
        <f>VLOOKUP($I445,'[2]Table S5'!$A:$K,8,FALSE)</f>
        <v>Resistant</v>
      </c>
      <c r="AU445" t="str">
        <f>VLOOKUP($I445,'[2]Table S5'!$A:$K,9,FALSE)</f>
        <v>Resistant</v>
      </c>
      <c r="AV445" t="str">
        <f>VLOOKUP($I445,'[2]Table S5'!$A:$K,10,FALSE)</f>
        <v>Resistant</v>
      </c>
      <c r="AW445" t="str">
        <f>VLOOKUP($I445,'[2]Table S5'!$A:$K,11,FALSE)</f>
        <v>Resistant</v>
      </c>
    </row>
    <row r="446" spans="1:49">
      <c r="A446" s="12" t="s">
        <v>3030</v>
      </c>
      <c r="B446" t="s">
        <v>3031</v>
      </c>
      <c r="C446" t="s">
        <v>3032</v>
      </c>
      <c r="D446" t="s">
        <v>17</v>
      </c>
      <c r="E446" t="s">
        <v>771</v>
      </c>
      <c r="F446" s="12" t="s">
        <v>772</v>
      </c>
      <c r="G446" t="s">
        <v>773</v>
      </c>
      <c r="H446" t="s">
        <v>774</v>
      </c>
      <c r="I446" t="s">
        <v>758</v>
      </c>
      <c r="J446" t="s">
        <v>775</v>
      </c>
      <c r="K446">
        <f>VLOOKUP($J446,'[1]Table S6'!$A:$AI,2,FALSE)</f>
        <v>323.5</v>
      </c>
      <c r="L446">
        <f>VLOOKUP($J446,'[1]Table S6'!$A:$AI,3,FALSE)</f>
        <v>0.68844434986167302</v>
      </c>
      <c r="M446">
        <f>VLOOKUP($J446,'[1]Table S6'!$A:$AI,4,FALSE)</f>
        <v>1.6439999999999999</v>
      </c>
      <c r="N446" t="str">
        <f>VLOOKUP($J446,'[1]Table S6'!$A:$AI,5,FALSE)</f>
        <v>Yes</v>
      </c>
      <c r="P446">
        <f>VLOOKUP($J446,'[1]Table S6'!$A:$AI,7,FALSE)</f>
        <v>391.9</v>
      </c>
      <c r="Q446">
        <f>VLOOKUP($J446,'[1]Table S6'!$A:$AI,8,FALSE)</f>
        <v>0.83400723558203904</v>
      </c>
      <c r="R446">
        <f>VLOOKUP($J446,'[1]Table S6'!$A:$AI,9,FALSE)</f>
        <v>19.12</v>
      </c>
      <c r="S446" t="str">
        <f>VLOOKUP($J446,'[1]Table S6'!$A:$AI,10,FALSE)</f>
        <v>No</v>
      </c>
      <c r="U446">
        <f>VLOOKUP($J446,'[1]Table S6'!$A:$AI,12,FALSE)</f>
        <v>310.39999999999998</v>
      </c>
      <c r="V446">
        <f>VLOOKUP($J446,'[1]Table S6'!$A:$AI,13,FALSE)</f>
        <v>0.66056607788891297</v>
      </c>
      <c r="W446">
        <f>VLOOKUP($J446,'[1]Table S6'!$A:$AI,14,FALSE)</f>
        <v>1.37</v>
      </c>
      <c r="X446" t="str">
        <f>VLOOKUP($J446,'[1]Table S6'!$A:$AI,15,FALSE)</f>
        <v>Yes</v>
      </c>
      <c r="Z446">
        <f>VLOOKUP($J446,'[1]Table S6'!$A:$AI,17,FALSE)</f>
        <v>350.4</v>
      </c>
      <c r="AA446">
        <f>VLOOKUP($J446,'[1]Table S6'!$A:$AI,18,FALSE)</f>
        <v>0.74569057246222603</v>
      </c>
      <c r="AB446">
        <f>VLOOKUP($J446,'[1]Table S6'!$A:$AI,19,FALSE)</f>
        <v>4.1870000000000003</v>
      </c>
      <c r="AC446" t="str">
        <f>VLOOKUP($J446,'[1]Table S6'!$A:$AI,20,FALSE)</f>
        <v>No</v>
      </c>
      <c r="AE446">
        <f>VLOOKUP($J446,'[1]Table S6'!$A:$AI,22,FALSE)</f>
        <v>381.4</v>
      </c>
      <c r="AF446">
        <f>VLOOKUP($J446,'[1]Table S6'!$A:$AI,23,FALSE)</f>
        <v>0.81166205575654404</v>
      </c>
      <c r="AG446">
        <f>VLOOKUP($J446,'[1]Table S6'!$A:$AI,24,FALSE)</f>
        <v>15.76</v>
      </c>
      <c r="AH446" t="str">
        <f>VLOOKUP($J446,'[1]Table S6'!$A:$AI,25,FALSE)</f>
        <v>No</v>
      </c>
      <c r="AJ446">
        <f>VLOOKUP($J446,'[1]Table S6'!$A:$AI,27,FALSE)</f>
        <v>462.8</v>
      </c>
      <c r="AK446">
        <f>VLOOKUP($J446,'[1]Table S6'!$A:$AI,28,FALSE)</f>
        <v>0.98489040221323698</v>
      </c>
      <c r="AL446">
        <f>VLOOKUP($J446,'[1]Table S6'!$A:$AI,29,FALSE)</f>
        <v>231.1</v>
      </c>
      <c r="AM446" t="str">
        <f>VLOOKUP($J446,'[1]Table S6'!$A:$AI,30,FALSE)</f>
        <v>No</v>
      </c>
      <c r="AO446">
        <f>VLOOKUP($J446,'[1]Table S6'!$A:$AI,32,FALSE)</f>
        <v>453.5</v>
      </c>
      <c r="AP446">
        <f>VLOOKUP($J446,'[1]Table S6'!$A:$AI,33,FALSE)</f>
        <v>0.96509895722494199</v>
      </c>
      <c r="AQ446">
        <f>VLOOKUP($J446,'[1]Table S6'!$A:$AI,34,FALSE)</f>
        <v>254.8</v>
      </c>
      <c r="AR446" t="str">
        <f>VLOOKUP($J446,'[1]Table S6'!$A:$AI,35,FALSE)</f>
        <v>No</v>
      </c>
      <c r="AT446" t="str">
        <f>VLOOKUP($I446,'[2]Table S5'!$A:$K,8,FALSE)</f>
        <v>Resistant</v>
      </c>
      <c r="AU446" t="str">
        <f>VLOOKUP($I446,'[2]Table S5'!$A:$K,9,FALSE)</f>
        <v>Resistant</v>
      </c>
      <c r="AV446" t="str">
        <f>VLOOKUP($I446,'[2]Table S5'!$A:$K,10,FALSE)</f>
        <v>Resistant</v>
      </c>
      <c r="AW446" t="str">
        <f>VLOOKUP($I446,'[2]Table S5'!$A:$K,11,FALSE)</f>
        <v>Resistant</v>
      </c>
    </row>
    <row r="447" spans="1:49">
      <c r="A447" s="12" t="s">
        <v>3033</v>
      </c>
      <c r="B447" t="s">
        <v>3034</v>
      </c>
      <c r="C447" t="s">
        <v>3035</v>
      </c>
      <c r="D447" t="s">
        <v>17</v>
      </c>
      <c r="E447" t="s">
        <v>779</v>
      </c>
      <c r="F447" s="12" t="s">
        <v>780</v>
      </c>
      <c r="G447" t="s">
        <v>781</v>
      </c>
      <c r="H447" t="s">
        <v>782</v>
      </c>
      <c r="I447" t="s">
        <v>758</v>
      </c>
      <c r="J447" t="s">
        <v>783</v>
      </c>
      <c r="K447">
        <f>VLOOKUP($J447,'[1]Table S6'!$A:$AI,2,FALSE)</f>
        <v>334.4</v>
      </c>
      <c r="L447">
        <f>VLOOKUP($J447,'[1]Table S6'!$A:$AI,3,FALSE)</f>
        <v>0.71164077463290099</v>
      </c>
      <c r="M447">
        <f>VLOOKUP($J447,'[1]Table S6'!$A:$AI,4,FALSE)</f>
        <v>3.0750000000000002</v>
      </c>
      <c r="N447" t="str">
        <f>VLOOKUP($J447,'[1]Table S6'!$A:$AI,5,FALSE)</f>
        <v>No</v>
      </c>
      <c r="P447">
        <f>VLOOKUP($J447,'[1]Table S6'!$A:$AI,7,FALSE)</f>
        <v>389.8</v>
      </c>
      <c r="Q447">
        <f>VLOOKUP($J447,'[1]Table S6'!$A:$AI,8,FALSE)</f>
        <v>0.82953819961693998</v>
      </c>
      <c r="R447">
        <f>VLOOKUP($J447,'[1]Table S6'!$A:$AI,9,FALSE)</f>
        <v>19.07</v>
      </c>
      <c r="S447" t="str">
        <f>VLOOKUP($J447,'[1]Table S6'!$A:$AI,10,FALSE)</f>
        <v>No</v>
      </c>
      <c r="U447">
        <f>VLOOKUP($J447,'[1]Table S6'!$A:$AI,12,FALSE)</f>
        <v>348.2</v>
      </c>
      <c r="V447">
        <f>VLOOKUP($J447,'[1]Table S6'!$A:$AI,13,FALSE)</f>
        <v>0.74100872526069395</v>
      </c>
      <c r="W447">
        <f>VLOOKUP($J447,'[1]Table S6'!$A:$AI,14,FALSE)</f>
        <v>3.6280000000000001</v>
      </c>
      <c r="X447" t="str">
        <f>VLOOKUP($J447,'[1]Table S6'!$A:$AI,15,FALSE)</f>
        <v>No</v>
      </c>
      <c r="Z447">
        <f>VLOOKUP($J447,'[1]Table S6'!$A:$AI,17,FALSE)</f>
        <v>386.1</v>
      </c>
      <c r="AA447">
        <f>VLOOKUP($J447,'[1]Table S6'!$A:$AI,18,FALSE)</f>
        <v>0.82166418386890805</v>
      </c>
      <c r="AB447">
        <f>VLOOKUP($J447,'[1]Table S6'!$A:$AI,19,FALSE)</f>
        <v>15.89</v>
      </c>
      <c r="AC447" t="str">
        <f>VLOOKUP($J447,'[1]Table S6'!$A:$AI,20,FALSE)</f>
        <v>No</v>
      </c>
      <c r="AE447">
        <f>VLOOKUP($J447,'[1]Table S6'!$A:$AI,22,FALSE)</f>
        <v>383.7</v>
      </c>
      <c r="AF447">
        <f>VLOOKUP($J447,'[1]Table S6'!$A:$AI,23,FALSE)</f>
        <v>0.81655671419450904</v>
      </c>
      <c r="AG447">
        <f>VLOOKUP($J447,'[1]Table S6'!$A:$AI,24,FALSE)</f>
        <v>13.49</v>
      </c>
      <c r="AH447" t="str">
        <f>VLOOKUP($J447,'[1]Table S6'!$A:$AI,25,FALSE)</f>
        <v>No</v>
      </c>
      <c r="AJ447">
        <f>VLOOKUP($J447,'[1]Table S6'!$A:$AI,27,FALSE)</f>
        <v>449.8</v>
      </c>
      <c r="AK447">
        <f>VLOOKUP($J447,'[1]Table S6'!$A:$AI,28,FALSE)</f>
        <v>0.95722494147690995</v>
      </c>
      <c r="AL447">
        <f>VLOOKUP($J447,'[1]Table S6'!$A:$AI,29,FALSE)</f>
        <v>117.5</v>
      </c>
      <c r="AM447" t="str">
        <f>VLOOKUP($J447,'[1]Table S6'!$A:$AI,30,FALSE)</f>
        <v>No</v>
      </c>
      <c r="AO447">
        <f>VLOOKUP($J447,'[1]Table S6'!$A:$AI,32,FALSE)</f>
        <v>448.4</v>
      </c>
      <c r="AP447">
        <f>VLOOKUP($J447,'[1]Table S6'!$A:$AI,33,FALSE)</f>
        <v>0.95424558416684402</v>
      </c>
      <c r="AQ447">
        <f>VLOOKUP($J447,'[1]Table S6'!$A:$AI,34,FALSE)</f>
        <v>191.6</v>
      </c>
      <c r="AR447" t="str">
        <f>VLOOKUP($J447,'[1]Table S6'!$A:$AI,35,FALSE)</f>
        <v>No</v>
      </c>
      <c r="AT447" t="str">
        <f>VLOOKUP($I447,'[2]Table S5'!$A:$K,8,FALSE)</f>
        <v>Resistant</v>
      </c>
      <c r="AU447" t="str">
        <f>VLOOKUP($I447,'[2]Table S5'!$A:$K,9,FALSE)</f>
        <v>Resistant</v>
      </c>
      <c r="AV447" t="str">
        <f>VLOOKUP($I447,'[2]Table S5'!$A:$K,10,FALSE)</f>
        <v>Resistant</v>
      </c>
      <c r="AW447" t="str">
        <f>VLOOKUP($I447,'[2]Table S5'!$A:$K,11,FALSE)</f>
        <v>Resistant</v>
      </c>
    </row>
    <row r="448" spans="1:49">
      <c r="A448" s="12" t="s">
        <v>3036</v>
      </c>
      <c r="B448" t="s">
        <v>3037</v>
      </c>
      <c r="C448" t="s">
        <v>3038</v>
      </c>
      <c r="D448" t="s">
        <v>17</v>
      </c>
      <c r="E448" t="s">
        <v>787</v>
      </c>
      <c r="F448" s="12" t="s">
        <v>788</v>
      </c>
      <c r="G448" t="s">
        <v>789</v>
      </c>
      <c r="H448" t="s">
        <v>790</v>
      </c>
      <c r="I448" t="s">
        <v>758</v>
      </c>
      <c r="J448" t="s">
        <v>759</v>
      </c>
      <c r="K448">
        <f>VLOOKUP($J448,'[1]Table S6'!$A:$AI,2,FALSE)</f>
        <v>297.39999999999998</v>
      </c>
      <c r="L448">
        <f>VLOOKUP($J448,'[1]Table S6'!$A:$AI,3,FALSE)</f>
        <v>0.63290061715258605</v>
      </c>
      <c r="M448">
        <f>VLOOKUP($J448,'[1]Table S6'!$A:$AI,4,FALSE)</f>
        <v>1.006</v>
      </c>
      <c r="N448" t="str">
        <f>VLOOKUP($J448,'[1]Table S6'!$A:$AI,5,FALSE)</f>
        <v>Yes</v>
      </c>
      <c r="P448">
        <f>VLOOKUP($J448,'[1]Table S6'!$A:$AI,7,FALSE)</f>
        <v>363.9</v>
      </c>
      <c r="Q448">
        <f>VLOOKUP($J448,'[1]Table S6'!$A:$AI,8,FALSE)</f>
        <v>0.77442008938071905</v>
      </c>
      <c r="R448">
        <f>VLOOKUP($J448,'[1]Table S6'!$A:$AI,9,FALSE)</f>
        <v>8.3829999999999991</v>
      </c>
      <c r="S448" t="str">
        <f>VLOOKUP($J448,'[1]Table S6'!$A:$AI,10,FALSE)</f>
        <v>No</v>
      </c>
      <c r="U448">
        <f>VLOOKUP($J448,'[1]Table S6'!$A:$AI,12,FALSE)</f>
        <v>337.2</v>
      </c>
      <c r="V448">
        <f>VLOOKUP($J448,'[1]Table S6'!$A:$AI,13,FALSE)</f>
        <v>0.71759948925303296</v>
      </c>
      <c r="W448">
        <f>VLOOKUP($J448,'[1]Table S6'!$A:$AI,14,FALSE)</f>
        <v>3.8610000000000002</v>
      </c>
      <c r="X448" t="str">
        <f>VLOOKUP($J448,'[1]Table S6'!$A:$AI,15,FALSE)</f>
        <v>No</v>
      </c>
      <c r="Z448">
        <f>VLOOKUP($J448,'[1]Table S6'!$A:$AI,17,FALSE)</f>
        <v>320.10000000000002</v>
      </c>
      <c r="AA448">
        <f>VLOOKUP($J448,'[1]Table S6'!$A:$AI,18,FALSE)</f>
        <v>0.68120876782294104</v>
      </c>
      <c r="AB448">
        <f>VLOOKUP($J448,'[1]Table S6'!$A:$AI,19,FALSE)</f>
        <v>1.9350000000000001</v>
      </c>
      <c r="AC448" t="str">
        <f>VLOOKUP($J448,'[1]Table S6'!$A:$AI,20,FALSE)</f>
        <v>Yes</v>
      </c>
      <c r="AE448">
        <f>VLOOKUP($J448,'[1]Table S6'!$A:$AI,22,FALSE)</f>
        <v>350.7</v>
      </c>
      <c r="AF448">
        <f>VLOOKUP($J448,'[1]Table S6'!$A:$AI,23,FALSE)</f>
        <v>0.74632900617152598</v>
      </c>
      <c r="AG448">
        <f>VLOOKUP($J448,'[1]Table S6'!$A:$AI,24,FALSE)</f>
        <v>5.6239999999999997</v>
      </c>
      <c r="AH448" t="str">
        <f>VLOOKUP($J448,'[1]Table S6'!$A:$AI,25,FALSE)</f>
        <v>No</v>
      </c>
      <c r="AJ448">
        <f>VLOOKUP($J448,'[1]Table S6'!$A:$AI,27,FALSE)</f>
        <v>455</v>
      </c>
      <c r="AK448">
        <f>VLOOKUP($J448,'[1]Table S6'!$A:$AI,28,FALSE)</f>
        <v>0.96829112577144105</v>
      </c>
      <c r="AL448">
        <f>VLOOKUP($J448,'[1]Table S6'!$A:$AI,29,FALSE)</f>
        <v>139</v>
      </c>
      <c r="AM448" t="str">
        <f>VLOOKUP($J448,'[1]Table S6'!$A:$AI,30,FALSE)</f>
        <v>No</v>
      </c>
      <c r="AO448">
        <f>VLOOKUP($J448,'[1]Table S6'!$A:$AI,32,FALSE)</f>
        <v>449.4</v>
      </c>
      <c r="AP448">
        <f>VLOOKUP($J448,'[1]Table S6'!$A:$AI,33,FALSE)</f>
        <v>0.95637369653117699</v>
      </c>
      <c r="AQ448">
        <f>VLOOKUP($J448,'[1]Table S6'!$A:$AI,34,FALSE)</f>
        <v>107.4</v>
      </c>
      <c r="AR448" t="str">
        <f>VLOOKUP($J448,'[1]Table S6'!$A:$AI,35,FALSE)</f>
        <v>No</v>
      </c>
      <c r="AT448" t="str">
        <f>VLOOKUP($I448,'[2]Table S5'!$A:$K,8,FALSE)</f>
        <v>Resistant</v>
      </c>
      <c r="AU448" t="str">
        <f>VLOOKUP($I448,'[2]Table S5'!$A:$K,9,FALSE)</f>
        <v>Resistant</v>
      </c>
      <c r="AV448" t="str">
        <f>VLOOKUP($I448,'[2]Table S5'!$A:$K,10,FALSE)</f>
        <v>Resistant</v>
      </c>
      <c r="AW448" t="str">
        <f>VLOOKUP($I448,'[2]Table S5'!$A:$K,11,FALSE)</f>
        <v>Resistant</v>
      </c>
    </row>
    <row r="449" spans="1:49">
      <c r="A449" s="12" t="s">
        <v>3039</v>
      </c>
      <c r="B449" t="s">
        <v>3040</v>
      </c>
      <c r="C449" t="s">
        <v>3041</v>
      </c>
      <c r="D449" t="s">
        <v>17</v>
      </c>
      <c r="E449" t="s">
        <v>794</v>
      </c>
      <c r="F449" s="12" t="s">
        <v>795</v>
      </c>
      <c r="G449" t="s">
        <v>796</v>
      </c>
      <c r="H449" t="s">
        <v>797</v>
      </c>
      <c r="I449" t="s">
        <v>758</v>
      </c>
      <c r="J449" t="s">
        <v>767</v>
      </c>
      <c r="K449">
        <f>VLOOKUP($J449,'[1]Table S6'!$A:$AI,2,FALSE)</f>
        <v>332.6</v>
      </c>
      <c r="L449">
        <f>VLOOKUP($J449,'[1]Table S6'!$A:$AI,3,FALSE)</f>
        <v>0.70781017237710198</v>
      </c>
      <c r="M449">
        <f>VLOOKUP($J449,'[1]Table S6'!$A:$AI,4,FALSE)</f>
        <v>2.407</v>
      </c>
      <c r="N449" t="str">
        <f>VLOOKUP($J449,'[1]Table S6'!$A:$AI,5,FALSE)</f>
        <v>No</v>
      </c>
      <c r="P449">
        <f>VLOOKUP($J449,'[1]Table S6'!$A:$AI,7,FALSE)</f>
        <v>388.2</v>
      </c>
      <c r="Q449">
        <f>VLOOKUP($J449,'[1]Table S6'!$A:$AI,8,FALSE)</f>
        <v>0.826133219834007</v>
      </c>
      <c r="R449">
        <f>VLOOKUP($J449,'[1]Table S6'!$A:$AI,9,FALSE)</f>
        <v>19.96</v>
      </c>
      <c r="S449" t="str">
        <f>VLOOKUP($J449,'[1]Table S6'!$A:$AI,10,FALSE)</f>
        <v>No</v>
      </c>
      <c r="U449">
        <f>VLOOKUP($J449,'[1]Table S6'!$A:$AI,12,FALSE)</f>
        <v>348.3</v>
      </c>
      <c r="V449">
        <f>VLOOKUP($J449,'[1]Table S6'!$A:$AI,13,FALSE)</f>
        <v>0.74122153649712696</v>
      </c>
      <c r="W449">
        <f>VLOOKUP($J449,'[1]Table S6'!$A:$AI,14,FALSE)</f>
        <v>6.141</v>
      </c>
      <c r="X449" t="str">
        <f>VLOOKUP($J449,'[1]Table S6'!$A:$AI,15,FALSE)</f>
        <v>No</v>
      </c>
      <c r="Z449">
        <f>VLOOKUP($J449,'[1]Table S6'!$A:$AI,17,FALSE)</f>
        <v>323.8</v>
      </c>
      <c r="AA449">
        <f>VLOOKUP($J449,'[1]Table S6'!$A:$AI,18,FALSE)</f>
        <v>0.68908278357097297</v>
      </c>
      <c r="AB449">
        <f>VLOOKUP($J449,'[1]Table S6'!$A:$AI,19,FALSE)</f>
        <v>1.6919999999999999</v>
      </c>
      <c r="AC449" t="str">
        <f>VLOOKUP($J449,'[1]Table S6'!$A:$AI,20,FALSE)</f>
        <v>Yes</v>
      </c>
      <c r="AE449">
        <f>VLOOKUP($J449,'[1]Table S6'!$A:$AI,22,FALSE)</f>
        <v>367.8</v>
      </c>
      <c r="AF449">
        <f>VLOOKUP($J449,'[1]Table S6'!$A:$AI,23,FALSE)</f>
        <v>0.78271972760161701</v>
      </c>
      <c r="AG449">
        <f>VLOOKUP($J449,'[1]Table S6'!$A:$AI,24,FALSE)</f>
        <v>9.8629999999999995</v>
      </c>
      <c r="AH449" t="str">
        <f>VLOOKUP($J449,'[1]Table S6'!$A:$AI,25,FALSE)</f>
        <v>No</v>
      </c>
      <c r="AJ449">
        <f>VLOOKUP($J449,'[1]Table S6'!$A:$AI,27,FALSE)</f>
        <v>459.6</v>
      </c>
      <c r="AK449">
        <f>VLOOKUP($J449,'[1]Table S6'!$A:$AI,28,FALSE)</f>
        <v>0.97808044264737204</v>
      </c>
      <c r="AL449">
        <f>VLOOKUP($J449,'[1]Table S6'!$A:$AI,29,FALSE)</f>
        <v>223.6</v>
      </c>
      <c r="AM449" t="str">
        <f>VLOOKUP($J449,'[1]Table S6'!$A:$AI,30,FALSE)</f>
        <v>No</v>
      </c>
      <c r="AO449">
        <f>VLOOKUP($J449,'[1]Table S6'!$A:$AI,32,FALSE)</f>
        <v>465.2</v>
      </c>
      <c r="AP449">
        <f>VLOOKUP($J449,'[1]Table S6'!$A:$AI,33,FALSE)</f>
        <v>0.98999787188763599</v>
      </c>
      <c r="AQ449">
        <f>VLOOKUP($J449,'[1]Table S6'!$A:$AI,34,FALSE)</f>
        <v>1046</v>
      </c>
      <c r="AR449" t="str">
        <f>VLOOKUP($J449,'[1]Table S6'!$A:$AI,35,FALSE)</f>
        <v>No</v>
      </c>
      <c r="AT449" t="str">
        <f>VLOOKUP($I449,'[2]Table S5'!$A:$K,8,FALSE)</f>
        <v>Resistant</v>
      </c>
      <c r="AU449" t="str">
        <f>VLOOKUP($I449,'[2]Table S5'!$A:$K,9,FALSE)</f>
        <v>Resistant</v>
      </c>
      <c r="AV449" t="str">
        <f>VLOOKUP($I449,'[2]Table S5'!$A:$K,10,FALSE)</f>
        <v>Resistant</v>
      </c>
      <c r="AW449" t="str">
        <f>VLOOKUP($I449,'[2]Table S5'!$A:$K,11,FALSE)</f>
        <v>Resistant</v>
      </c>
    </row>
    <row r="450" spans="1:49">
      <c r="A450" s="12" t="s">
        <v>3042</v>
      </c>
      <c r="B450" t="s">
        <v>3043</v>
      </c>
      <c r="C450" t="s">
        <v>3044</v>
      </c>
      <c r="D450" t="s">
        <v>17</v>
      </c>
      <c r="E450" t="s">
        <v>801</v>
      </c>
      <c r="F450" s="12" t="s">
        <v>802</v>
      </c>
      <c r="G450" t="s">
        <v>803</v>
      </c>
      <c r="H450" t="s">
        <v>804</v>
      </c>
      <c r="I450" t="s">
        <v>758</v>
      </c>
      <c r="J450" t="s">
        <v>775</v>
      </c>
      <c r="K450">
        <f>VLOOKUP($J450,'[1]Table S6'!$A:$AI,2,FALSE)</f>
        <v>323.5</v>
      </c>
      <c r="L450">
        <f>VLOOKUP($J450,'[1]Table S6'!$A:$AI,3,FALSE)</f>
        <v>0.68844434986167302</v>
      </c>
      <c r="M450">
        <f>VLOOKUP($J450,'[1]Table S6'!$A:$AI,4,FALSE)</f>
        <v>1.6439999999999999</v>
      </c>
      <c r="N450" t="str">
        <f>VLOOKUP($J450,'[1]Table S6'!$A:$AI,5,FALSE)</f>
        <v>Yes</v>
      </c>
      <c r="P450">
        <f>VLOOKUP($J450,'[1]Table S6'!$A:$AI,7,FALSE)</f>
        <v>391.9</v>
      </c>
      <c r="Q450">
        <f>VLOOKUP($J450,'[1]Table S6'!$A:$AI,8,FALSE)</f>
        <v>0.83400723558203904</v>
      </c>
      <c r="R450">
        <f>VLOOKUP($J450,'[1]Table S6'!$A:$AI,9,FALSE)</f>
        <v>19.12</v>
      </c>
      <c r="S450" t="str">
        <f>VLOOKUP($J450,'[1]Table S6'!$A:$AI,10,FALSE)</f>
        <v>No</v>
      </c>
      <c r="U450">
        <f>VLOOKUP($J450,'[1]Table S6'!$A:$AI,12,FALSE)</f>
        <v>310.39999999999998</v>
      </c>
      <c r="V450">
        <f>VLOOKUP($J450,'[1]Table S6'!$A:$AI,13,FALSE)</f>
        <v>0.66056607788891297</v>
      </c>
      <c r="W450">
        <f>VLOOKUP($J450,'[1]Table S6'!$A:$AI,14,FALSE)</f>
        <v>1.37</v>
      </c>
      <c r="X450" t="str">
        <f>VLOOKUP($J450,'[1]Table S6'!$A:$AI,15,FALSE)</f>
        <v>Yes</v>
      </c>
      <c r="Z450">
        <f>VLOOKUP($J450,'[1]Table S6'!$A:$AI,17,FALSE)</f>
        <v>350.4</v>
      </c>
      <c r="AA450">
        <f>VLOOKUP($J450,'[1]Table S6'!$A:$AI,18,FALSE)</f>
        <v>0.74569057246222603</v>
      </c>
      <c r="AB450">
        <f>VLOOKUP($J450,'[1]Table S6'!$A:$AI,19,FALSE)</f>
        <v>4.1870000000000003</v>
      </c>
      <c r="AC450" t="str">
        <f>VLOOKUP($J450,'[1]Table S6'!$A:$AI,20,FALSE)</f>
        <v>No</v>
      </c>
      <c r="AE450">
        <f>VLOOKUP($J450,'[1]Table S6'!$A:$AI,22,FALSE)</f>
        <v>381.4</v>
      </c>
      <c r="AF450">
        <f>VLOOKUP($J450,'[1]Table S6'!$A:$AI,23,FALSE)</f>
        <v>0.81166205575654404</v>
      </c>
      <c r="AG450">
        <f>VLOOKUP($J450,'[1]Table S6'!$A:$AI,24,FALSE)</f>
        <v>15.76</v>
      </c>
      <c r="AH450" t="str">
        <f>VLOOKUP($J450,'[1]Table S6'!$A:$AI,25,FALSE)</f>
        <v>No</v>
      </c>
      <c r="AJ450">
        <f>VLOOKUP($J450,'[1]Table S6'!$A:$AI,27,FALSE)</f>
        <v>462.8</v>
      </c>
      <c r="AK450">
        <f>VLOOKUP($J450,'[1]Table S6'!$A:$AI,28,FALSE)</f>
        <v>0.98489040221323698</v>
      </c>
      <c r="AL450">
        <f>VLOOKUP($J450,'[1]Table S6'!$A:$AI,29,FALSE)</f>
        <v>231.1</v>
      </c>
      <c r="AM450" t="str">
        <f>VLOOKUP($J450,'[1]Table S6'!$A:$AI,30,FALSE)</f>
        <v>No</v>
      </c>
      <c r="AO450">
        <f>VLOOKUP($J450,'[1]Table S6'!$A:$AI,32,FALSE)</f>
        <v>453.5</v>
      </c>
      <c r="AP450">
        <f>VLOOKUP($J450,'[1]Table S6'!$A:$AI,33,FALSE)</f>
        <v>0.96509895722494199</v>
      </c>
      <c r="AQ450">
        <f>VLOOKUP($J450,'[1]Table S6'!$A:$AI,34,FALSE)</f>
        <v>254.8</v>
      </c>
      <c r="AR450" t="str">
        <f>VLOOKUP($J450,'[1]Table S6'!$A:$AI,35,FALSE)</f>
        <v>No</v>
      </c>
      <c r="AT450" t="str">
        <f>VLOOKUP($I450,'[2]Table S5'!$A:$K,8,FALSE)</f>
        <v>Resistant</v>
      </c>
      <c r="AU450" t="str">
        <f>VLOOKUP($I450,'[2]Table S5'!$A:$K,9,FALSE)</f>
        <v>Resistant</v>
      </c>
      <c r="AV450" t="str">
        <f>VLOOKUP($I450,'[2]Table S5'!$A:$K,10,FALSE)</f>
        <v>Resistant</v>
      </c>
      <c r="AW450" t="str">
        <f>VLOOKUP($I450,'[2]Table S5'!$A:$K,11,FALSE)</f>
        <v>Resistant</v>
      </c>
    </row>
    <row r="451" spans="1:49">
      <c r="A451" s="12" t="s">
        <v>3045</v>
      </c>
      <c r="B451" t="s">
        <v>3046</v>
      </c>
      <c r="C451" t="s">
        <v>3047</v>
      </c>
      <c r="D451" t="s">
        <v>17</v>
      </c>
      <c r="E451" t="s">
        <v>808</v>
      </c>
      <c r="F451" s="12" t="s">
        <v>809</v>
      </c>
      <c r="G451" t="s">
        <v>810</v>
      </c>
      <c r="H451" t="s">
        <v>811</v>
      </c>
      <c r="I451" t="s">
        <v>758</v>
      </c>
      <c r="J451" t="s">
        <v>783</v>
      </c>
      <c r="K451">
        <f>VLOOKUP($J451,'[1]Table S6'!$A:$AI,2,FALSE)</f>
        <v>334.4</v>
      </c>
      <c r="L451">
        <f>VLOOKUP($J451,'[1]Table S6'!$A:$AI,3,FALSE)</f>
        <v>0.71164077463290099</v>
      </c>
      <c r="M451">
        <f>VLOOKUP($J451,'[1]Table S6'!$A:$AI,4,FALSE)</f>
        <v>3.0750000000000002</v>
      </c>
      <c r="N451" t="str">
        <f>VLOOKUP($J451,'[1]Table S6'!$A:$AI,5,FALSE)</f>
        <v>No</v>
      </c>
      <c r="P451">
        <f>VLOOKUP($J451,'[1]Table S6'!$A:$AI,7,FALSE)</f>
        <v>389.8</v>
      </c>
      <c r="Q451">
        <f>VLOOKUP($J451,'[1]Table S6'!$A:$AI,8,FALSE)</f>
        <v>0.82953819961693998</v>
      </c>
      <c r="R451">
        <f>VLOOKUP($J451,'[1]Table S6'!$A:$AI,9,FALSE)</f>
        <v>19.07</v>
      </c>
      <c r="S451" t="str">
        <f>VLOOKUP($J451,'[1]Table S6'!$A:$AI,10,FALSE)</f>
        <v>No</v>
      </c>
      <c r="U451">
        <f>VLOOKUP($J451,'[1]Table S6'!$A:$AI,12,FALSE)</f>
        <v>348.2</v>
      </c>
      <c r="V451">
        <f>VLOOKUP($J451,'[1]Table S6'!$A:$AI,13,FALSE)</f>
        <v>0.74100872526069395</v>
      </c>
      <c r="W451">
        <f>VLOOKUP($J451,'[1]Table S6'!$A:$AI,14,FALSE)</f>
        <v>3.6280000000000001</v>
      </c>
      <c r="X451" t="str">
        <f>VLOOKUP($J451,'[1]Table S6'!$A:$AI,15,FALSE)</f>
        <v>No</v>
      </c>
      <c r="Z451">
        <f>VLOOKUP($J451,'[1]Table S6'!$A:$AI,17,FALSE)</f>
        <v>386.1</v>
      </c>
      <c r="AA451">
        <f>VLOOKUP($J451,'[1]Table S6'!$A:$AI,18,FALSE)</f>
        <v>0.82166418386890805</v>
      </c>
      <c r="AB451">
        <f>VLOOKUP($J451,'[1]Table S6'!$A:$AI,19,FALSE)</f>
        <v>15.89</v>
      </c>
      <c r="AC451" t="str">
        <f>VLOOKUP($J451,'[1]Table S6'!$A:$AI,20,FALSE)</f>
        <v>No</v>
      </c>
      <c r="AE451">
        <f>VLOOKUP($J451,'[1]Table S6'!$A:$AI,22,FALSE)</f>
        <v>383.7</v>
      </c>
      <c r="AF451">
        <f>VLOOKUP($J451,'[1]Table S6'!$A:$AI,23,FALSE)</f>
        <v>0.81655671419450904</v>
      </c>
      <c r="AG451">
        <f>VLOOKUP($J451,'[1]Table S6'!$A:$AI,24,FALSE)</f>
        <v>13.49</v>
      </c>
      <c r="AH451" t="str">
        <f>VLOOKUP($J451,'[1]Table S6'!$A:$AI,25,FALSE)</f>
        <v>No</v>
      </c>
      <c r="AJ451">
        <f>VLOOKUP($J451,'[1]Table S6'!$A:$AI,27,FALSE)</f>
        <v>449.8</v>
      </c>
      <c r="AK451">
        <f>VLOOKUP($J451,'[1]Table S6'!$A:$AI,28,FALSE)</f>
        <v>0.95722494147690995</v>
      </c>
      <c r="AL451">
        <f>VLOOKUP($J451,'[1]Table S6'!$A:$AI,29,FALSE)</f>
        <v>117.5</v>
      </c>
      <c r="AM451" t="str">
        <f>VLOOKUP($J451,'[1]Table S6'!$A:$AI,30,FALSE)</f>
        <v>No</v>
      </c>
      <c r="AO451">
        <f>VLOOKUP($J451,'[1]Table S6'!$A:$AI,32,FALSE)</f>
        <v>448.4</v>
      </c>
      <c r="AP451">
        <f>VLOOKUP($J451,'[1]Table S6'!$A:$AI,33,FALSE)</f>
        <v>0.95424558416684402</v>
      </c>
      <c r="AQ451">
        <f>VLOOKUP($J451,'[1]Table S6'!$A:$AI,34,FALSE)</f>
        <v>191.6</v>
      </c>
      <c r="AR451" t="str">
        <f>VLOOKUP($J451,'[1]Table S6'!$A:$AI,35,FALSE)</f>
        <v>No</v>
      </c>
      <c r="AT451" t="str">
        <f>VLOOKUP($I451,'[2]Table S5'!$A:$K,8,FALSE)</f>
        <v>Resistant</v>
      </c>
      <c r="AU451" t="str">
        <f>VLOOKUP($I451,'[2]Table S5'!$A:$K,9,FALSE)</f>
        <v>Resistant</v>
      </c>
      <c r="AV451" t="str">
        <f>VLOOKUP($I451,'[2]Table S5'!$A:$K,10,FALSE)</f>
        <v>Resistant</v>
      </c>
      <c r="AW451" t="str">
        <f>VLOOKUP($I451,'[2]Table S5'!$A:$K,11,FALSE)</f>
        <v>Resistant</v>
      </c>
    </row>
    <row r="452" spans="1:49">
      <c r="A452" s="12" t="s">
        <v>3048</v>
      </c>
      <c r="B452" t="s">
        <v>3049</v>
      </c>
      <c r="C452" t="s">
        <v>3050</v>
      </c>
      <c r="D452" t="s">
        <v>17</v>
      </c>
      <c r="E452" t="s">
        <v>822</v>
      </c>
      <c r="F452" s="12" t="s">
        <v>823</v>
      </c>
      <c r="G452" t="s">
        <v>824</v>
      </c>
      <c r="H452" t="s">
        <v>825</v>
      </c>
      <c r="I452" t="s">
        <v>826</v>
      </c>
      <c r="J452" t="s">
        <v>827</v>
      </c>
      <c r="K452">
        <f>VLOOKUP($J452,'[1]Table S6'!$A:$AI,2,FALSE)</f>
        <v>325.39999999999998</v>
      </c>
      <c r="L452">
        <f>VLOOKUP($J452,'[1]Table S6'!$A:$AI,3,FALSE)</f>
        <v>0.69248776335390505</v>
      </c>
      <c r="M452">
        <f>VLOOKUP($J452,'[1]Table S6'!$A:$AI,4,FALSE)</f>
        <v>2.165</v>
      </c>
      <c r="N452" t="str">
        <f>VLOOKUP($J452,'[1]Table S6'!$A:$AI,5,FALSE)</f>
        <v>Yes</v>
      </c>
      <c r="P452">
        <f>VLOOKUP($J452,'[1]Table S6'!$A:$AI,7,FALSE)</f>
        <v>384.3</v>
      </c>
      <c r="Q452">
        <f>VLOOKUP($J452,'[1]Table S6'!$A:$AI,8,FALSE)</f>
        <v>0.81783358161310904</v>
      </c>
      <c r="R452">
        <f>VLOOKUP($J452,'[1]Table S6'!$A:$AI,9,FALSE)</f>
        <v>18.29</v>
      </c>
      <c r="S452" t="str">
        <f>VLOOKUP($J452,'[1]Table S6'!$A:$AI,10,FALSE)</f>
        <v>No</v>
      </c>
      <c r="U452">
        <f>VLOOKUP($J452,'[1]Table S6'!$A:$AI,12,FALSE)</f>
        <v>313.2</v>
      </c>
      <c r="V452">
        <f>VLOOKUP($J452,'[1]Table S6'!$A:$AI,13,FALSE)</f>
        <v>0.66652479250904495</v>
      </c>
      <c r="W452">
        <f>VLOOKUP($J452,'[1]Table S6'!$A:$AI,14,FALSE)</f>
        <v>1.393</v>
      </c>
      <c r="X452" t="str">
        <f>VLOOKUP($J452,'[1]Table S6'!$A:$AI,15,FALSE)</f>
        <v>Yes</v>
      </c>
      <c r="Z452">
        <f>VLOOKUP($J452,'[1]Table S6'!$A:$AI,17,FALSE)</f>
        <v>355.3</v>
      </c>
      <c r="AA452">
        <f>VLOOKUP($J452,'[1]Table S6'!$A:$AI,18,FALSE)</f>
        <v>0.75611832304745696</v>
      </c>
      <c r="AB452">
        <f>VLOOKUP($J452,'[1]Table S6'!$A:$AI,19,FALSE)</f>
        <v>6.6120000000000001</v>
      </c>
      <c r="AC452" t="str">
        <f>VLOOKUP($J452,'[1]Table S6'!$A:$AI,20,FALSE)</f>
        <v>No</v>
      </c>
      <c r="AE452">
        <f>VLOOKUP($J452,'[1]Table S6'!$A:$AI,22,FALSE)</f>
        <v>407.2</v>
      </c>
      <c r="AF452">
        <f>VLOOKUP($J452,'[1]Table S6'!$A:$AI,23,FALSE)</f>
        <v>0.86656735475633095</v>
      </c>
      <c r="AG452">
        <f>VLOOKUP($J452,'[1]Table S6'!$A:$AI,24,FALSE)</f>
        <v>33.869999999999997</v>
      </c>
      <c r="AH452" t="str">
        <f>VLOOKUP($J452,'[1]Table S6'!$A:$AI,25,FALSE)</f>
        <v>No</v>
      </c>
      <c r="AJ452">
        <f>VLOOKUP($J452,'[1]Table S6'!$A:$AI,27,FALSE)</f>
        <v>424.5</v>
      </c>
      <c r="AK452">
        <f>VLOOKUP($J452,'[1]Table S6'!$A:$AI,28,FALSE)</f>
        <v>0.90338369865928903</v>
      </c>
      <c r="AL452">
        <f>VLOOKUP($J452,'[1]Table S6'!$A:$AI,29,FALSE)</f>
        <v>90.9</v>
      </c>
      <c r="AM452" t="str">
        <f>VLOOKUP($J452,'[1]Table S6'!$A:$AI,30,FALSE)</f>
        <v>No</v>
      </c>
      <c r="AO452">
        <f>VLOOKUP($J452,'[1]Table S6'!$A:$AI,32,FALSE)</f>
        <v>422.4</v>
      </c>
      <c r="AP452">
        <f>VLOOKUP($J452,'[1]Table S6'!$A:$AI,33,FALSE)</f>
        <v>0.89891466269418996</v>
      </c>
      <c r="AQ452">
        <f>VLOOKUP($J452,'[1]Table S6'!$A:$AI,34,FALSE)</f>
        <v>72</v>
      </c>
      <c r="AR452" t="str">
        <f>VLOOKUP($J452,'[1]Table S6'!$A:$AI,35,FALSE)</f>
        <v>No</v>
      </c>
      <c r="AT452" t="str">
        <f>VLOOKUP($I452,'[2]Table S5'!$A:$K,8,FALSE)</f>
        <v>Resistant</v>
      </c>
      <c r="AU452" t="str">
        <f>VLOOKUP($I452,'[2]Table S5'!$A:$K,9,FALSE)</f>
        <v>Resistant</v>
      </c>
      <c r="AV452" t="str">
        <f>VLOOKUP($I452,'[2]Table S5'!$A:$K,10,FALSE)</f>
        <v>Resistant</v>
      </c>
      <c r="AW452" t="str">
        <f>VLOOKUP($I452,'[2]Table S5'!$A:$K,11,FALSE)</f>
        <v>Resistant</v>
      </c>
    </row>
    <row r="453" spans="1:49">
      <c r="A453" s="12" t="s">
        <v>3051</v>
      </c>
      <c r="B453" t="s">
        <v>3052</v>
      </c>
      <c r="C453" t="s">
        <v>3053</v>
      </c>
      <c r="D453" t="s">
        <v>17</v>
      </c>
      <c r="E453" t="s">
        <v>831</v>
      </c>
      <c r="F453" s="12" t="s">
        <v>832</v>
      </c>
      <c r="G453" t="s">
        <v>833</v>
      </c>
      <c r="H453" t="s">
        <v>834</v>
      </c>
      <c r="I453" t="s">
        <v>826</v>
      </c>
      <c r="J453" t="s">
        <v>835</v>
      </c>
      <c r="K453">
        <f>VLOOKUP($J453,'[1]Table S6'!$A:$AI,2,FALSE)</f>
        <v>375.9</v>
      </c>
      <c r="L453">
        <f>VLOOKUP($J453,'[1]Table S6'!$A:$AI,3,FALSE)</f>
        <v>0.799957437752713</v>
      </c>
      <c r="M453">
        <f>VLOOKUP($J453,'[1]Table S6'!$A:$AI,4,FALSE)</f>
        <v>9.3379999999999992</v>
      </c>
      <c r="N453" t="str">
        <f>VLOOKUP($J453,'[1]Table S6'!$A:$AI,5,FALSE)</f>
        <v>No</v>
      </c>
      <c r="P453">
        <f>VLOOKUP($J453,'[1]Table S6'!$A:$AI,7,FALSE)</f>
        <v>368.9</v>
      </c>
      <c r="Q453">
        <f>VLOOKUP($J453,'[1]Table S6'!$A:$AI,8,FALSE)</f>
        <v>0.785060651202383</v>
      </c>
      <c r="R453">
        <f>VLOOKUP($J453,'[1]Table S6'!$A:$AI,9,FALSE)</f>
        <v>10.06</v>
      </c>
      <c r="S453" t="str">
        <f>VLOOKUP($J453,'[1]Table S6'!$A:$AI,10,FALSE)</f>
        <v>No</v>
      </c>
      <c r="U453">
        <f>VLOOKUP($J453,'[1]Table S6'!$A:$AI,12,FALSE)</f>
        <v>344.3</v>
      </c>
      <c r="V453">
        <f>VLOOKUP($J453,'[1]Table S6'!$A:$AI,13,FALSE)</f>
        <v>0.73270908703979598</v>
      </c>
      <c r="W453">
        <f>VLOOKUP($J453,'[1]Table S6'!$A:$AI,14,FALSE)</f>
        <v>3.105</v>
      </c>
      <c r="X453" t="str">
        <f>VLOOKUP($J453,'[1]Table S6'!$A:$AI,15,FALSE)</f>
        <v>No</v>
      </c>
      <c r="Z453">
        <f>VLOOKUP($J453,'[1]Table S6'!$A:$AI,17,FALSE)</f>
        <v>386.1</v>
      </c>
      <c r="AA453">
        <f>VLOOKUP($J453,'[1]Table S6'!$A:$AI,18,FALSE)</f>
        <v>0.82166418386890805</v>
      </c>
      <c r="AB453">
        <f>VLOOKUP($J453,'[1]Table S6'!$A:$AI,19,FALSE)</f>
        <v>18.45</v>
      </c>
      <c r="AC453" t="str">
        <f>VLOOKUP($J453,'[1]Table S6'!$A:$AI,20,FALSE)</f>
        <v>No</v>
      </c>
      <c r="AE453">
        <f>VLOOKUP($J453,'[1]Table S6'!$A:$AI,22,FALSE)</f>
        <v>393.3</v>
      </c>
      <c r="AF453">
        <f>VLOOKUP($J453,'[1]Table S6'!$A:$AI,23,FALSE)</f>
        <v>0.83698659289210497</v>
      </c>
      <c r="AG453">
        <f>VLOOKUP($J453,'[1]Table S6'!$A:$AI,24,FALSE)</f>
        <v>22.2</v>
      </c>
      <c r="AH453" t="str">
        <f>VLOOKUP($J453,'[1]Table S6'!$A:$AI,25,FALSE)</f>
        <v>No</v>
      </c>
      <c r="AJ453">
        <f>VLOOKUP($J453,'[1]Table S6'!$A:$AI,27,FALSE)</f>
        <v>428.1</v>
      </c>
      <c r="AK453">
        <f>VLOOKUP($J453,'[1]Table S6'!$A:$AI,28,FALSE)</f>
        <v>0.91104490317088704</v>
      </c>
      <c r="AL453">
        <f>VLOOKUP($J453,'[1]Table S6'!$A:$AI,29,FALSE)</f>
        <v>141.80000000000001</v>
      </c>
      <c r="AM453" t="str">
        <f>VLOOKUP($J453,'[1]Table S6'!$A:$AI,30,FALSE)</f>
        <v>No</v>
      </c>
      <c r="AO453">
        <f>VLOOKUP($J453,'[1]Table S6'!$A:$AI,32,FALSE)</f>
        <v>434.1</v>
      </c>
      <c r="AP453">
        <f>VLOOKUP($J453,'[1]Table S6'!$A:$AI,33,FALSE)</f>
        <v>0.92381357735688496</v>
      </c>
      <c r="AQ453">
        <f>VLOOKUP($J453,'[1]Table S6'!$A:$AI,34,FALSE)</f>
        <v>154</v>
      </c>
      <c r="AR453" t="str">
        <f>VLOOKUP($J453,'[1]Table S6'!$A:$AI,35,FALSE)</f>
        <v>No</v>
      </c>
      <c r="AT453" t="str">
        <f>VLOOKUP($I453,'[2]Table S5'!$A:$K,8,FALSE)</f>
        <v>Resistant</v>
      </c>
      <c r="AU453" t="str">
        <f>VLOOKUP($I453,'[2]Table S5'!$A:$K,9,FALSE)</f>
        <v>Resistant</v>
      </c>
      <c r="AV453" t="str">
        <f>VLOOKUP($I453,'[2]Table S5'!$A:$K,10,FALSE)</f>
        <v>Resistant</v>
      </c>
      <c r="AW453" t="str">
        <f>VLOOKUP($I453,'[2]Table S5'!$A:$K,11,FALSE)</f>
        <v>Resistant</v>
      </c>
    </row>
    <row r="454" spans="1:49">
      <c r="A454" s="12" t="s">
        <v>3054</v>
      </c>
      <c r="B454" t="s">
        <v>3055</v>
      </c>
      <c r="C454" t="s">
        <v>3056</v>
      </c>
      <c r="D454" t="s">
        <v>17</v>
      </c>
      <c r="E454" t="s">
        <v>847</v>
      </c>
      <c r="F454" s="12" t="s">
        <v>848</v>
      </c>
      <c r="G454" t="s">
        <v>849</v>
      </c>
      <c r="H454" t="s">
        <v>850</v>
      </c>
      <c r="I454" t="s">
        <v>826</v>
      </c>
      <c r="J454" t="s">
        <v>827</v>
      </c>
      <c r="K454">
        <f>VLOOKUP($J454,'[1]Table S6'!$A:$AI,2,FALSE)</f>
        <v>325.39999999999998</v>
      </c>
      <c r="L454">
        <f>VLOOKUP($J454,'[1]Table S6'!$A:$AI,3,FALSE)</f>
        <v>0.69248776335390505</v>
      </c>
      <c r="M454">
        <f>VLOOKUP($J454,'[1]Table S6'!$A:$AI,4,FALSE)</f>
        <v>2.165</v>
      </c>
      <c r="N454" t="str">
        <f>VLOOKUP($J454,'[1]Table S6'!$A:$AI,5,FALSE)</f>
        <v>Yes</v>
      </c>
      <c r="P454">
        <f>VLOOKUP($J454,'[1]Table S6'!$A:$AI,7,FALSE)</f>
        <v>384.3</v>
      </c>
      <c r="Q454">
        <f>VLOOKUP($J454,'[1]Table S6'!$A:$AI,8,FALSE)</f>
        <v>0.81783358161310904</v>
      </c>
      <c r="R454">
        <f>VLOOKUP($J454,'[1]Table S6'!$A:$AI,9,FALSE)</f>
        <v>18.29</v>
      </c>
      <c r="S454" t="str">
        <f>VLOOKUP($J454,'[1]Table S6'!$A:$AI,10,FALSE)</f>
        <v>No</v>
      </c>
      <c r="U454">
        <f>VLOOKUP($J454,'[1]Table S6'!$A:$AI,12,FALSE)</f>
        <v>313.2</v>
      </c>
      <c r="V454">
        <f>VLOOKUP($J454,'[1]Table S6'!$A:$AI,13,FALSE)</f>
        <v>0.66652479250904495</v>
      </c>
      <c r="W454">
        <f>VLOOKUP($J454,'[1]Table S6'!$A:$AI,14,FALSE)</f>
        <v>1.393</v>
      </c>
      <c r="X454" t="str">
        <f>VLOOKUP($J454,'[1]Table S6'!$A:$AI,15,FALSE)</f>
        <v>Yes</v>
      </c>
      <c r="Z454">
        <f>VLOOKUP($J454,'[1]Table S6'!$A:$AI,17,FALSE)</f>
        <v>355.3</v>
      </c>
      <c r="AA454">
        <f>VLOOKUP($J454,'[1]Table S6'!$A:$AI,18,FALSE)</f>
        <v>0.75611832304745696</v>
      </c>
      <c r="AB454">
        <f>VLOOKUP($J454,'[1]Table S6'!$A:$AI,19,FALSE)</f>
        <v>6.6120000000000001</v>
      </c>
      <c r="AC454" t="str">
        <f>VLOOKUP($J454,'[1]Table S6'!$A:$AI,20,FALSE)</f>
        <v>No</v>
      </c>
      <c r="AE454">
        <f>VLOOKUP($J454,'[1]Table S6'!$A:$AI,22,FALSE)</f>
        <v>407.2</v>
      </c>
      <c r="AF454">
        <f>VLOOKUP($J454,'[1]Table S6'!$A:$AI,23,FALSE)</f>
        <v>0.86656735475633095</v>
      </c>
      <c r="AG454">
        <f>VLOOKUP($J454,'[1]Table S6'!$A:$AI,24,FALSE)</f>
        <v>33.869999999999997</v>
      </c>
      <c r="AH454" t="str">
        <f>VLOOKUP($J454,'[1]Table S6'!$A:$AI,25,FALSE)</f>
        <v>No</v>
      </c>
      <c r="AJ454">
        <f>VLOOKUP($J454,'[1]Table S6'!$A:$AI,27,FALSE)</f>
        <v>424.5</v>
      </c>
      <c r="AK454">
        <f>VLOOKUP($J454,'[1]Table S6'!$A:$AI,28,FALSE)</f>
        <v>0.90338369865928903</v>
      </c>
      <c r="AL454">
        <f>VLOOKUP($J454,'[1]Table S6'!$A:$AI,29,FALSE)</f>
        <v>90.9</v>
      </c>
      <c r="AM454" t="str">
        <f>VLOOKUP($J454,'[1]Table S6'!$A:$AI,30,FALSE)</f>
        <v>No</v>
      </c>
      <c r="AO454">
        <f>VLOOKUP($J454,'[1]Table S6'!$A:$AI,32,FALSE)</f>
        <v>422.4</v>
      </c>
      <c r="AP454">
        <f>VLOOKUP($J454,'[1]Table S6'!$A:$AI,33,FALSE)</f>
        <v>0.89891466269418996</v>
      </c>
      <c r="AQ454">
        <f>VLOOKUP($J454,'[1]Table S6'!$A:$AI,34,FALSE)</f>
        <v>72</v>
      </c>
      <c r="AR454" t="str">
        <f>VLOOKUP($J454,'[1]Table S6'!$A:$AI,35,FALSE)</f>
        <v>No</v>
      </c>
      <c r="AT454" t="str">
        <f>VLOOKUP($I454,'[2]Table S5'!$A:$K,8,FALSE)</f>
        <v>Resistant</v>
      </c>
      <c r="AU454" t="str">
        <f>VLOOKUP($I454,'[2]Table S5'!$A:$K,9,FALSE)</f>
        <v>Resistant</v>
      </c>
      <c r="AV454" t="str">
        <f>VLOOKUP($I454,'[2]Table S5'!$A:$K,10,FALSE)</f>
        <v>Resistant</v>
      </c>
      <c r="AW454" t="str">
        <f>VLOOKUP($I454,'[2]Table S5'!$A:$K,11,FALSE)</f>
        <v>Resistant</v>
      </c>
    </row>
    <row r="455" spans="1:49">
      <c r="A455" s="12" t="s">
        <v>3057</v>
      </c>
      <c r="B455" t="s">
        <v>3058</v>
      </c>
      <c r="C455" t="s">
        <v>3059</v>
      </c>
      <c r="D455" t="s">
        <v>17</v>
      </c>
      <c r="E455" t="s">
        <v>854</v>
      </c>
      <c r="F455" s="12" t="s">
        <v>855</v>
      </c>
      <c r="G455" t="s">
        <v>856</v>
      </c>
      <c r="H455" t="s">
        <v>857</v>
      </c>
      <c r="I455" t="s">
        <v>826</v>
      </c>
      <c r="J455" t="s">
        <v>835</v>
      </c>
      <c r="K455">
        <f>VLOOKUP($J455,'[1]Table S6'!$A:$AI,2,FALSE)</f>
        <v>375.9</v>
      </c>
      <c r="L455">
        <f>VLOOKUP($J455,'[1]Table S6'!$A:$AI,3,FALSE)</f>
        <v>0.799957437752713</v>
      </c>
      <c r="M455">
        <f>VLOOKUP($J455,'[1]Table S6'!$A:$AI,4,FALSE)</f>
        <v>9.3379999999999992</v>
      </c>
      <c r="N455" t="str">
        <f>VLOOKUP($J455,'[1]Table S6'!$A:$AI,5,FALSE)</f>
        <v>No</v>
      </c>
      <c r="P455">
        <f>VLOOKUP($J455,'[1]Table S6'!$A:$AI,7,FALSE)</f>
        <v>368.9</v>
      </c>
      <c r="Q455">
        <f>VLOOKUP($J455,'[1]Table S6'!$A:$AI,8,FALSE)</f>
        <v>0.785060651202383</v>
      </c>
      <c r="R455">
        <f>VLOOKUP($J455,'[1]Table S6'!$A:$AI,9,FALSE)</f>
        <v>10.06</v>
      </c>
      <c r="S455" t="str">
        <f>VLOOKUP($J455,'[1]Table S6'!$A:$AI,10,FALSE)</f>
        <v>No</v>
      </c>
      <c r="U455">
        <f>VLOOKUP($J455,'[1]Table S6'!$A:$AI,12,FALSE)</f>
        <v>344.3</v>
      </c>
      <c r="V455">
        <f>VLOOKUP($J455,'[1]Table S6'!$A:$AI,13,FALSE)</f>
        <v>0.73270908703979598</v>
      </c>
      <c r="W455">
        <f>VLOOKUP($J455,'[1]Table S6'!$A:$AI,14,FALSE)</f>
        <v>3.105</v>
      </c>
      <c r="X455" t="str">
        <f>VLOOKUP($J455,'[1]Table S6'!$A:$AI,15,FALSE)</f>
        <v>No</v>
      </c>
      <c r="Z455">
        <f>VLOOKUP($J455,'[1]Table S6'!$A:$AI,17,FALSE)</f>
        <v>386.1</v>
      </c>
      <c r="AA455">
        <f>VLOOKUP($J455,'[1]Table S6'!$A:$AI,18,FALSE)</f>
        <v>0.82166418386890805</v>
      </c>
      <c r="AB455">
        <f>VLOOKUP($J455,'[1]Table S6'!$A:$AI,19,FALSE)</f>
        <v>18.45</v>
      </c>
      <c r="AC455" t="str">
        <f>VLOOKUP($J455,'[1]Table S6'!$A:$AI,20,FALSE)</f>
        <v>No</v>
      </c>
      <c r="AE455">
        <f>VLOOKUP($J455,'[1]Table S6'!$A:$AI,22,FALSE)</f>
        <v>393.3</v>
      </c>
      <c r="AF455">
        <f>VLOOKUP($J455,'[1]Table S6'!$A:$AI,23,FALSE)</f>
        <v>0.83698659289210497</v>
      </c>
      <c r="AG455">
        <f>VLOOKUP($J455,'[1]Table S6'!$A:$AI,24,FALSE)</f>
        <v>22.2</v>
      </c>
      <c r="AH455" t="str">
        <f>VLOOKUP($J455,'[1]Table S6'!$A:$AI,25,FALSE)</f>
        <v>No</v>
      </c>
      <c r="AJ455">
        <f>VLOOKUP($J455,'[1]Table S6'!$A:$AI,27,FALSE)</f>
        <v>428.1</v>
      </c>
      <c r="AK455">
        <f>VLOOKUP($J455,'[1]Table S6'!$A:$AI,28,FALSE)</f>
        <v>0.91104490317088704</v>
      </c>
      <c r="AL455">
        <f>VLOOKUP($J455,'[1]Table S6'!$A:$AI,29,FALSE)</f>
        <v>141.80000000000001</v>
      </c>
      <c r="AM455" t="str">
        <f>VLOOKUP($J455,'[1]Table S6'!$A:$AI,30,FALSE)</f>
        <v>No</v>
      </c>
      <c r="AO455">
        <f>VLOOKUP($J455,'[1]Table S6'!$A:$AI,32,FALSE)</f>
        <v>434.1</v>
      </c>
      <c r="AP455">
        <f>VLOOKUP($J455,'[1]Table S6'!$A:$AI,33,FALSE)</f>
        <v>0.92381357735688496</v>
      </c>
      <c r="AQ455">
        <f>VLOOKUP($J455,'[1]Table S6'!$A:$AI,34,FALSE)</f>
        <v>154</v>
      </c>
      <c r="AR455" t="str">
        <f>VLOOKUP($J455,'[1]Table S6'!$A:$AI,35,FALSE)</f>
        <v>No</v>
      </c>
      <c r="AT455" t="str">
        <f>VLOOKUP($I455,'[2]Table S5'!$A:$K,8,FALSE)</f>
        <v>Resistant</v>
      </c>
      <c r="AU455" t="str">
        <f>VLOOKUP($I455,'[2]Table S5'!$A:$K,9,FALSE)</f>
        <v>Resistant</v>
      </c>
      <c r="AV455" t="str">
        <f>VLOOKUP($I455,'[2]Table S5'!$A:$K,10,FALSE)</f>
        <v>Resistant</v>
      </c>
      <c r="AW455" t="str">
        <f>VLOOKUP($I455,'[2]Table S5'!$A:$K,11,FALSE)</f>
        <v>Resistant</v>
      </c>
    </row>
    <row r="456" spans="1:49">
      <c r="A456" s="12" t="s">
        <v>3060</v>
      </c>
      <c r="B456" t="s">
        <v>3061</v>
      </c>
      <c r="C456" t="s">
        <v>3062</v>
      </c>
      <c r="D456" t="s">
        <v>17</v>
      </c>
      <c r="E456" t="s">
        <v>861</v>
      </c>
      <c r="F456" s="12" t="s">
        <v>862</v>
      </c>
      <c r="G456" t="s">
        <v>863</v>
      </c>
      <c r="H456" t="s">
        <v>864</v>
      </c>
      <c r="I456" t="s">
        <v>826</v>
      </c>
      <c r="J456" t="s">
        <v>843</v>
      </c>
      <c r="K456">
        <f>VLOOKUP($J456,'[1]Table S6'!$A:$AI,2,FALSE)</f>
        <v>313.8</v>
      </c>
      <c r="L456">
        <f>VLOOKUP($J456,'[1]Table S6'!$A:$AI,3,FALSE)</f>
        <v>0.66780165992764395</v>
      </c>
      <c r="M456">
        <f>VLOOKUP($J456,'[1]Table S6'!$A:$AI,4,FALSE)</f>
        <v>1.4370000000000001</v>
      </c>
      <c r="N456" t="str">
        <f>VLOOKUP($J456,'[1]Table S6'!$A:$AI,5,FALSE)</f>
        <v>Yes</v>
      </c>
      <c r="P456">
        <f>VLOOKUP($J456,'[1]Table S6'!$A:$AI,7,FALSE)</f>
        <v>367.1</v>
      </c>
      <c r="Q456">
        <f>VLOOKUP($J456,'[1]Table S6'!$A:$AI,8,FALSE)</f>
        <v>0.78123004894658399</v>
      </c>
      <c r="R456">
        <f>VLOOKUP($J456,'[1]Table S6'!$A:$AI,9,FALSE)</f>
        <v>8.8559999999999999</v>
      </c>
      <c r="S456" t="str">
        <f>VLOOKUP($J456,'[1]Table S6'!$A:$AI,10,FALSE)</f>
        <v>No</v>
      </c>
      <c r="U456">
        <f>VLOOKUP($J456,'[1]Table S6'!$A:$AI,12,FALSE)</f>
        <v>324.8</v>
      </c>
      <c r="V456">
        <f>VLOOKUP($J456,'[1]Table S6'!$A:$AI,13,FALSE)</f>
        <v>0.69121089593530505</v>
      </c>
      <c r="W456">
        <f>VLOOKUP($J456,'[1]Table S6'!$A:$AI,14,FALSE)</f>
        <v>1.619</v>
      </c>
      <c r="X456" t="str">
        <f>VLOOKUP($J456,'[1]Table S6'!$A:$AI,15,FALSE)</f>
        <v>Yes</v>
      </c>
      <c r="Z456">
        <f>VLOOKUP($J456,'[1]Table S6'!$A:$AI,17,FALSE)</f>
        <v>315.39999999999998</v>
      </c>
      <c r="AA456">
        <f>VLOOKUP($J456,'[1]Table S6'!$A:$AI,18,FALSE)</f>
        <v>0.67120663971057704</v>
      </c>
      <c r="AB456">
        <f>VLOOKUP($J456,'[1]Table S6'!$A:$AI,19,FALSE)</f>
        <v>1.7769999999999999</v>
      </c>
      <c r="AC456" t="str">
        <f>VLOOKUP($J456,'[1]Table S6'!$A:$AI,20,FALSE)</f>
        <v>Yes</v>
      </c>
      <c r="AE456">
        <f>VLOOKUP($J456,'[1]Table S6'!$A:$AI,22,FALSE)</f>
        <v>417.1</v>
      </c>
      <c r="AF456">
        <f>VLOOKUP($J456,'[1]Table S6'!$A:$AI,23,FALSE)</f>
        <v>0.88763566716322595</v>
      </c>
      <c r="AG456">
        <f>VLOOKUP($J456,'[1]Table S6'!$A:$AI,24,FALSE)</f>
        <v>70.41</v>
      </c>
      <c r="AH456" t="str">
        <f>VLOOKUP($J456,'[1]Table S6'!$A:$AI,25,FALSE)</f>
        <v>No</v>
      </c>
      <c r="AJ456">
        <f>VLOOKUP($J456,'[1]Table S6'!$A:$AI,27,FALSE)</f>
        <v>427.5</v>
      </c>
      <c r="AK456">
        <f>VLOOKUP($J456,'[1]Table S6'!$A:$AI,28,FALSE)</f>
        <v>0.90976803575228804</v>
      </c>
      <c r="AL456">
        <f>VLOOKUP($J456,'[1]Table S6'!$A:$AI,29,FALSE)</f>
        <v>110.9</v>
      </c>
      <c r="AM456" t="str">
        <f>VLOOKUP($J456,'[1]Table S6'!$A:$AI,30,FALSE)</f>
        <v>No</v>
      </c>
      <c r="AO456">
        <f>VLOOKUP($J456,'[1]Table S6'!$A:$AI,32,FALSE)</f>
        <v>412.6</v>
      </c>
      <c r="AP456">
        <f>VLOOKUP($J456,'[1]Table S6'!$A:$AI,33,FALSE)</f>
        <v>0.87805916152372898</v>
      </c>
      <c r="AQ456">
        <f>VLOOKUP($J456,'[1]Table S6'!$A:$AI,34,FALSE)</f>
        <v>40.409999999999997</v>
      </c>
      <c r="AR456" t="str">
        <f>VLOOKUP($J456,'[1]Table S6'!$A:$AI,35,FALSE)</f>
        <v>No</v>
      </c>
      <c r="AT456" t="str">
        <f>VLOOKUP($I456,'[2]Table S5'!$A:$K,8,FALSE)</f>
        <v>Resistant</v>
      </c>
      <c r="AU456" t="str">
        <f>VLOOKUP($I456,'[2]Table S5'!$A:$K,9,FALSE)</f>
        <v>Resistant</v>
      </c>
      <c r="AV456" t="str">
        <f>VLOOKUP($I456,'[2]Table S5'!$A:$K,10,FALSE)</f>
        <v>Resistant</v>
      </c>
      <c r="AW456" t="str">
        <f>VLOOKUP($I456,'[2]Table S5'!$A:$K,11,FALSE)</f>
        <v>Resistant</v>
      </c>
    </row>
    <row r="457" spans="1:49">
      <c r="A457" s="12" t="s">
        <v>3063</v>
      </c>
      <c r="B457" t="s">
        <v>3064</v>
      </c>
      <c r="C457" t="s">
        <v>3065</v>
      </c>
      <c r="D457" t="s">
        <v>17</v>
      </c>
      <c r="E457" t="s">
        <v>839</v>
      </c>
      <c r="F457" s="12" t="s">
        <v>840</v>
      </c>
      <c r="G457" t="s">
        <v>841</v>
      </c>
      <c r="H457" t="s">
        <v>842</v>
      </c>
      <c r="I457" t="s">
        <v>826</v>
      </c>
      <c r="J457" t="s">
        <v>843</v>
      </c>
      <c r="K457">
        <f>VLOOKUP($J457,'[1]Table S6'!$A:$AI,2,FALSE)</f>
        <v>313.8</v>
      </c>
      <c r="L457">
        <f>VLOOKUP($J457,'[1]Table S6'!$A:$AI,3,FALSE)</f>
        <v>0.66780165992764395</v>
      </c>
      <c r="M457">
        <f>VLOOKUP($J457,'[1]Table S6'!$A:$AI,4,FALSE)</f>
        <v>1.4370000000000001</v>
      </c>
      <c r="N457" t="str">
        <f>VLOOKUP($J457,'[1]Table S6'!$A:$AI,5,FALSE)</f>
        <v>Yes</v>
      </c>
      <c r="P457">
        <f>VLOOKUP($J457,'[1]Table S6'!$A:$AI,7,FALSE)</f>
        <v>367.1</v>
      </c>
      <c r="Q457">
        <f>VLOOKUP($J457,'[1]Table S6'!$A:$AI,8,FALSE)</f>
        <v>0.78123004894658399</v>
      </c>
      <c r="R457">
        <f>VLOOKUP($J457,'[1]Table S6'!$A:$AI,9,FALSE)</f>
        <v>8.8559999999999999</v>
      </c>
      <c r="S457" t="str">
        <f>VLOOKUP($J457,'[1]Table S6'!$A:$AI,10,FALSE)</f>
        <v>No</v>
      </c>
      <c r="U457">
        <f>VLOOKUP($J457,'[1]Table S6'!$A:$AI,12,FALSE)</f>
        <v>324.8</v>
      </c>
      <c r="V457">
        <f>VLOOKUP($J457,'[1]Table S6'!$A:$AI,13,FALSE)</f>
        <v>0.69121089593530505</v>
      </c>
      <c r="W457">
        <f>VLOOKUP($J457,'[1]Table S6'!$A:$AI,14,FALSE)</f>
        <v>1.619</v>
      </c>
      <c r="X457" t="str">
        <f>VLOOKUP($J457,'[1]Table S6'!$A:$AI,15,FALSE)</f>
        <v>Yes</v>
      </c>
      <c r="Z457">
        <f>VLOOKUP($J457,'[1]Table S6'!$A:$AI,17,FALSE)</f>
        <v>315.39999999999998</v>
      </c>
      <c r="AA457">
        <f>VLOOKUP($J457,'[1]Table S6'!$A:$AI,18,FALSE)</f>
        <v>0.67120663971057704</v>
      </c>
      <c r="AB457">
        <f>VLOOKUP($J457,'[1]Table S6'!$A:$AI,19,FALSE)</f>
        <v>1.7769999999999999</v>
      </c>
      <c r="AC457" t="str">
        <f>VLOOKUP($J457,'[1]Table S6'!$A:$AI,20,FALSE)</f>
        <v>Yes</v>
      </c>
      <c r="AE457">
        <f>VLOOKUP($J457,'[1]Table S6'!$A:$AI,22,FALSE)</f>
        <v>417.1</v>
      </c>
      <c r="AF457">
        <f>VLOOKUP($J457,'[1]Table S6'!$A:$AI,23,FALSE)</f>
        <v>0.88763566716322595</v>
      </c>
      <c r="AG457">
        <f>VLOOKUP($J457,'[1]Table S6'!$A:$AI,24,FALSE)</f>
        <v>70.41</v>
      </c>
      <c r="AH457" t="str">
        <f>VLOOKUP($J457,'[1]Table S6'!$A:$AI,25,FALSE)</f>
        <v>No</v>
      </c>
      <c r="AJ457">
        <f>VLOOKUP($J457,'[1]Table S6'!$A:$AI,27,FALSE)</f>
        <v>427.5</v>
      </c>
      <c r="AK457">
        <f>VLOOKUP($J457,'[1]Table S6'!$A:$AI,28,FALSE)</f>
        <v>0.90976803575228804</v>
      </c>
      <c r="AL457">
        <f>VLOOKUP($J457,'[1]Table S6'!$A:$AI,29,FALSE)</f>
        <v>110.9</v>
      </c>
      <c r="AM457" t="str">
        <f>VLOOKUP($J457,'[1]Table S6'!$A:$AI,30,FALSE)</f>
        <v>No</v>
      </c>
      <c r="AO457">
        <f>VLOOKUP($J457,'[1]Table S6'!$A:$AI,32,FALSE)</f>
        <v>412.6</v>
      </c>
      <c r="AP457">
        <f>VLOOKUP($J457,'[1]Table S6'!$A:$AI,33,FALSE)</f>
        <v>0.87805916152372898</v>
      </c>
      <c r="AQ457">
        <f>VLOOKUP($J457,'[1]Table S6'!$A:$AI,34,FALSE)</f>
        <v>40.409999999999997</v>
      </c>
      <c r="AR457" t="str">
        <f>VLOOKUP($J457,'[1]Table S6'!$A:$AI,35,FALSE)</f>
        <v>No</v>
      </c>
      <c r="AT457" t="str">
        <f>VLOOKUP($I457,'[2]Table S5'!$A:$K,8,FALSE)</f>
        <v>Resistant</v>
      </c>
      <c r="AU457" t="str">
        <f>VLOOKUP($I457,'[2]Table S5'!$A:$K,9,FALSE)</f>
        <v>Resistant</v>
      </c>
      <c r="AV457" t="str">
        <f>VLOOKUP($I457,'[2]Table S5'!$A:$K,10,FALSE)</f>
        <v>Resistant</v>
      </c>
      <c r="AW457" t="str">
        <f>VLOOKUP($I457,'[2]Table S5'!$A:$K,11,FALSE)</f>
        <v>Resistant</v>
      </c>
    </row>
    <row r="458" spans="1:49">
      <c r="A458" s="12" t="s">
        <v>3066</v>
      </c>
      <c r="B458" t="s">
        <v>3067</v>
      </c>
      <c r="C458" t="s">
        <v>3068</v>
      </c>
      <c r="D458" t="s">
        <v>17</v>
      </c>
      <c r="E458" t="s">
        <v>875</v>
      </c>
      <c r="F458" s="12" t="s">
        <v>876</v>
      </c>
      <c r="G458" t="s">
        <v>877</v>
      </c>
      <c r="H458" t="s">
        <v>878</v>
      </c>
      <c r="I458" t="s">
        <v>879</v>
      </c>
      <c r="J458" t="s">
        <v>880</v>
      </c>
      <c r="K458">
        <f>VLOOKUP($J458,'[1]Table S6'!$A:$AI,2,FALSE)</f>
        <v>330</v>
      </c>
      <c r="L458">
        <f>VLOOKUP($J458,'[1]Table S6'!$A:$AI,3,FALSE)</f>
        <v>0.70227708022983604</v>
      </c>
      <c r="M458">
        <f>VLOOKUP($J458,'[1]Table S6'!$A:$AI,4,FALSE)</f>
        <v>3.024</v>
      </c>
      <c r="N458" t="str">
        <f>VLOOKUP($J458,'[1]Table S6'!$A:$AI,5,FALSE)</f>
        <v>Yes</v>
      </c>
      <c r="P458">
        <f>VLOOKUP($J458,'[1]Table S6'!$A:$AI,7,FALSE)</f>
        <v>393.9</v>
      </c>
      <c r="Q458">
        <f>VLOOKUP($J458,'[1]Table S6'!$A:$AI,8,FALSE)</f>
        <v>0.83826346031070398</v>
      </c>
      <c r="R458">
        <f>VLOOKUP($J458,'[1]Table S6'!$A:$AI,9,FALSE)</f>
        <v>23.23</v>
      </c>
      <c r="S458" t="str">
        <f>VLOOKUP($J458,'[1]Table S6'!$A:$AI,10,FALSE)</f>
        <v>No</v>
      </c>
      <c r="U458">
        <f>VLOOKUP($J458,'[1]Table S6'!$A:$AI,12,FALSE)</f>
        <v>355.7</v>
      </c>
      <c r="V458">
        <f>VLOOKUP($J458,'[1]Table S6'!$A:$AI,13,FALSE)</f>
        <v>0.75696956799319004</v>
      </c>
      <c r="W458">
        <f>VLOOKUP($J458,'[1]Table S6'!$A:$AI,14,FALSE)</f>
        <v>6.59</v>
      </c>
      <c r="X458" t="str">
        <f>VLOOKUP($J458,'[1]Table S6'!$A:$AI,15,FALSE)</f>
        <v>No</v>
      </c>
      <c r="Z458">
        <f>VLOOKUP($J458,'[1]Table S6'!$A:$AI,17,FALSE)</f>
        <v>387.6</v>
      </c>
      <c r="AA458">
        <f>VLOOKUP($J458,'[1]Table S6'!$A:$AI,18,FALSE)</f>
        <v>0.824856352415408</v>
      </c>
      <c r="AB458">
        <f>VLOOKUP($J458,'[1]Table S6'!$A:$AI,19,FALSE)</f>
        <v>16.78</v>
      </c>
      <c r="AC458" t="str">
        <f>VLOOKUP($J458,'[1]Table S6'!$A:$AI,20,FALSE)</f>
        <v>No</v>
      </c>
      <c r="AE458">
        <f>VLOOKUP($J458,'[1]Table S6'!$A:$AI,22,FALSE)</f>
        <v>389.8</v>
      </c>
      <c r="AF458">
        <f>VLOOKUP($J458,'[1]Table S6'!$A:$AI,23,FALSE)</f>
        <v>0.82953819961693998</v>
      </c>
      <c r="AG458">
        <f>VLOOKUP($J458,'[1]Table S6'!$A:$AI,24,FALSE)</f>
        <v>22.34</v>
      </c>
      <c r="AH458" t="str">
        <f>VLOOKUP($J458,'[1]Table S6'!$A:$AI,25,FALSE)</f>
        <v>No</v>
      </c>
      <c r="AJ458">
        <f>VLOOKUP($J458,'[1]Table S6'!$A:$AI,27,FALSE)</f>
        <v>427.2</v>
      </c>
      <c r="AK458">
        <f>VLOOKUP($J458,'[1]Table S6'!$A:$AI,28,FALSE)</f>
        <v>0.90912960204298798</v>
      </c>
      <c r="AL458">
        <f>VLOOKUP($J458,'[1]Table S6'!$A:$AI,29,FALSE)</f>
        <v>147.80000000000001</v>
      </c>
      <c r="AM458" t="str">
        <f>VLOOKUP($J458,'[1]Table S6'!$A:$AI,30,FALSE)</f>
        <v>No</v>
      </c>
      <c r="AO458">
        <f>VLOOKUP($J458,'[1]Table S6'!$A:$AI,32,FALSE)</f>
        <v>432.8</v>
      </c>
      <c r="AP458">
        <f>VLOOKUP($J458,'[1]Table S6'!$A:$AI,33,FALSE)</f>
        <v>0.92104703128325205</v>
      </c>
      <c r="AQ458">
        <f>VLOOKUP($J458,'[1]Table S6'!$A:$AI,34,FALSE)</f>
        <v>203.1</v>
      </c>
      <c r="AR458" t="str">
        <f>VLOOKUP($J458,'[1]Table S6'!$A:$AI,35,FALSE)</f>
        <v>No</v>
      </c>
      <c r="AT458" t="str">
        <f>VLOOKUP($I458,'[2]Table S5'!$A:$K,8,FALSE)</f>
        <v>Resistant</v>
      </c>
      <c r="AU458" t="str">
        <f>VLOOKUP($I458,'[2]Table S5'!$A:$K,9,FALSE)</f>
        <v>Resistant</v>
      </c>
      <c r="AV458" t="str">
        <f>VLOOKUP($I458,'[2]Table S5'!$A:$K,10,FALSE)</f>
        <v>Resistant</v>
      </c>
      <c r="AW458" t="str">
        <f>VLOOKUP($I458,'[2]Table S5'!$A:$K,11,FALSE)</f>
        <v>Resistant</v>
      </c>
    </row>
    <row r="459" spans="1:49">
      <c r="A459" s="12" t="s">
        <v>3069</v>
      </c>
      <c r="B459" t="s">
        <v>3070</v>
      </c>
      <c r="C459" t="s">
        <v>3071</v>
      </c>
      <c r="D459" t="s">
        <v>17</v>
      </c>
      <c r="E459" t="s">
        <v>884</v>
      </c>
      <c r="F459" s="12" t="s">
        <v>885</v>
      </c>
      <c r="G459" t="s">
        <v>886</v>
      </c>
      <c r="H459" t="s">
        <v>887</v>
      </c>
      <c r="I459" t="s">
        <v>879</v>
      </c>
      <c r="J459" t="s">
        <v>888</v>
      </c>
      <c r="K459">
        <f>VLOOKUP($J459,'[1]Table S6'!$A:$AI,2,FALSE)</f>
        <v>332.9</v>
      </c>
      <c r="L459">
        <f>VLOOKUP($J459,'[1]Table S6'!$A:$AI,3,FALSE)</f>
        <v>0.70844860608640103</v>
      </c>
      <c r="M459">
        <f>VLOOKUP($J459,'[1]Table S6'!$A:$AI,4,FALSE)</f>
        <v>3.1150000000000002</v>
      </c>
      <c r="N459" t="str">
        <f>VLOOKUP($J459,'[1]Table S6'!$A:$AI,5,FALSE)</f>
        <v>No</v>
      </c>
      <c r="P459">
        <f>VLOOKUP($J459,'[1]Table S6'!$A:$AI,7,FALSE)</f>
        <v>395.2</v>
      </c>
      <c r="Q459">
        <f>VLOOKUP($J459,'[1]Table S6'!$A:$AI,8,FALSE)</f>
        <v>0.841030006384337</v>
      </c>
      <c r="R459">
        <f>VLOOKUP($J459,'[1]Table S6'!$A:$AI,9,FALSE)</f>
        <v>20.91</v>
      </c>
      <c r="S459" t="str">
        <f>VLOOKUP($J459,'[1]Table S6'!$A:$AI,10,FALSE)</f>
        <v>No</v>
      </c>
      <c r="U459">
        <f>VLOOKUP($J459,'[1]Table S6'!$A:$AI,12,FALSE)</f>
        <v>388.9</v>
      </c>
      <c r="V459">
        <f>VLOOKUP($J459,'[1]Table S6'!$A:$AI,13,FALSE)</f>
        <v>0.82762289848904003</v>
      </c>
      <c r="W459">
        <f>VLOOKUP($J459,'[1]Table S6'!$A:$AI,14,FALSE)</f>
        <v>19.89</v>
      </c>
      <c r="X459" t="str">
        <f>VLOOKUP($J459,'[1]Table S6'!$A:$AI,15,FALSE)</f>
        <v>No</v>
      </c>
      <c r="Z459">
        <f>VLOOKUP($J459,'[1]Table S6'!$A:$AI,17,FALSE)</f>
        <v>378.4</v>
      </c>
      <c r="AA459">
        <f>VLOOKUP($J459,'[1]Table S6'!$A:$AI,18,FALSE)</f>
        <v>0.80527771866354503</v>
      </c>
      <c r="AB459">
        <f>VLOOKUP($J459,'[1]Table S6'!$A:$AI,19,FALSE)</f>
        <v>12.47</v>
      </c>
      <c r="AC459" t="str">
        <f>VLOOKUP($J459,'[1]Table S6'!$A:$AI,20,FALSE)</f>
        <v>No</v>
      </c>
      <c r="AE459">
        <f>VLOOKUP($J459,'[1]Table S6'!$A:$AI,22,FALSE)</f>
        <v>354.3</v>
      </c>
      <c r="AF459">
        <f>VLOOKUP($J459,'[1]Table S6'!$A:$AI,23,FALSE)</f>
        <v>0.753990210683124</v>
      </c>
      <c r="AG459">
        <f>VLOOKUP($J459,'[1]Table S6'!$A:$AI,24,FALSE)</f>
        <v>7.8529999999999998</v>
      </c>
      <c r="AH459" t="str">
        <f>VLOOKUP($J459,'[1]Table S6'!$A:$AI,25,FALSE)</f>
        <v>No</v>
      </c>
      <c r="AJ459">
        <f>VLOOKUP($J459,'[1]Table S6'!$A:$AI,27,FALSE)</f>
        <v>464.2</v>
      </c>
      <c r="AK459">
        <f>VLOOKUP($J459,'[1]Table S6'!$A:$AI,28,FALSE)</f>
        <v>0.98786975952330303</v>
      </c>
      <c r="AL459">
        <f>VLOOKUP($J459,'[1]Table S6'!$A:$AI,29,FALSE)</f>
        <v>296</v>
      </c>
      <c r="AM459" t="str">
        <f>VLOOKUP($J459,'[1]Table S6'!$A:$AI,30,FALSE)</f>
        <v>No</v>
      </c>
      <c r="AO459">
        <f>VLOOKUP($J459,'[1]Table S6'!$A:$AI,32,FALSE)</f>
        <v>437.2</v>
      </c>
      <c r="AP459">
        <f>VLOOKUP($J459,'[1]Table S6'!$A:$AI,33,FALSE)</f>
        <v>0.930410725686316</v>
      </c>
      <c r="AQ459">
        <f>VLOOKUP($J459,'[1]Table S6'!$A:$AI,34,FALSE)</f>
        <v>195.8</v>
      </c>
      <c r="AR459" t="str">
        <f>VLOOKUP($J459,'[1]Table S6'!$A:$AI,35,FALSE)</f>
        <v>No</v>
      </c>
      <c r="AT459" t="str">
        <f>VLOOKUP($I459,'[2]Table S5'!$A:$K,8,FALSE)</f>
        <v>Resistant</v>
      </c>
      <c r="AU459" t="str">
        <f>VLOOKUP($I459,'[2]Table S5'!$A:$K,9,FALSE)</f>
        <v>Resistant</v>
      </c>
      <c r="AV459" t="str">
        <f>VLOOKUP($I459,'[2]Table S5'!$A:$K,10,FALSE)</f>
        <v>Resistant</v>
      </c>
      <c r="AW459" t="str">
        <f>VLOOKUP($I459,'[2]Table S5'!$A:$K,11,FALSE)</f>
        <v>Resistant</v>
      </c>
    </row>
    <row r="460" spans="1:49">
      <c r="A460" s="12" t="s">
        <v>3072</v>
      </c>
      <c r="B460" t="s">
        <v>3073</v>
      </c>
      <c r="C460" t="s">
        <v>3074</v>
      </c>
      <c r="D460" t="s">
        <v>17</v>
      </c>
      <c r="E460" t="s">
        <v>892</v>
      </c>
      <c r="F460" s="12" t="s">
        <v>893</v>
      </c>
      <c r="G460" t="s">
        <v>894</v>
      </c>
      <c r="H460" t="s">
        <v>895</v>
      </c>
      <c r="I460" t="s">
        <v>879</v>
      </c>
      <c r="J460" t="s">
        <v>896</v>
      </c>
      <c r="K460">
        <f>VLOOKUP($J460,'[1]Table S6'!$A:$AI,2,FALSE)</f>
        <v>304.5</v>
      </c>
      <c r="L460">
        <f>VLOOKUP($J460,'[1]Table S6'!$A:$AI,3,FALSE)</f>
        <v>0.64801021493934896</v>
      </c>
      <c r="M460">
        <f>VLOOKUP($J460,'[1]Table S6'!$A:$AI,4,FALSE)</f>
        <v>0.97950000000000004</v>
      </c>
      <c r="N460" t="str">
        <f>VLOOKUP($J460,'[1]Table S6'!$A:$AI,5,FALSE)</f>
        <v>Yes</v>
      </c>
      <c r="P460">
        <f>VLOOKUP($J460,'[1]Table S6'!$A:$AI,7,FALSE)</f>
        <v>394.4</v>
      </c>
      <c r="Q460">
        <f>VLOOKUP($J460,'[1]Table S6'!$A:$AI,8,FALSE)</f>
        <v>0.83932751649287096</v>
      </c>
      <c r="R460">
        <f>VLOOKUP($J460,'[1]Table S6'!$A:$AI,9,FALSE)</f>
        <v>23.78</v>
      </c>
      <c r="S460" t="str">
        <f>VLOOKUP($J460,'[1]Table S6'!$A:$AI,10,FALSE)</f>
        <v>No</v>
      </c>
      <c r="U460">
        <f>VLOOKUP($J460,'[1]Table S6'!$A:$AI,12,FALSE)</f>
        <v>354.6</v>
      </c>
      <c r="V460">
        <f>VLOOKUP($J460,'[1]Table S6'!$A:$AI,13,FALSE)</f>
        <v>0.75462864439242405</v>
      </c>
      <c r="W460">
        <f>VLOOKUP($J460,'[1]Table S6'!$A:$AI,14,FALSE)</f>
        <v>8.6240000000000006</v>
      </c>
      <c r="X460" t="str">
        <f>VLOOKUP($J460,'[1]Table S6'!$A:$AI,15,FALSE)</f>
        <v>No</v>
      </c>
      <c r="Z460">
        <f>VLOOKUP($J460,'[1]Table S6'!$A:$AI,17,FALSE)</f>
        <v>335.4</v>
      </c>
      <c r="AA460">
        <f>VLOOKUP($J460,'[1]Table S6'!$A:$AI,18,FALSE)</f>
        <v>0.71376888699723295</v>
      </c>
      <c r="AB460">
        <f>VLOOKUP($J460,'[1]Table S6'!$A:$AI,19,FALSE)</f>
        <v>3.7309999999999999</v>
      </c>
      <c r="AC460" t="str">
        <f>VLOOKUP($J460,'[1]Table S6'!$A:$AI,20,FALSE)</f>
        <v>No</v>
      </c>
      <c r="AE460">
        <f>VLOOKUP($J460,'[1]Table S6'!$A:$AI,22,FALSE)</f>
        <v>307.39999999999998</v>
      </c>
      <c r="AF460">
        <f>VLOOKUP($J460,'[1]Table S6'!$A:$AI,23,FALSE)</f>
        <v>0.65418174079591396</v>
      </c>
      <c r="AG460">
        <f>VLOOKUP($J460,'[1]Table S6'!$A:$AI,24,FALSE)</f>
        <v>2.387</v>
      </c>
      <c r="AH460" t="str">
        <f>VLOOKUP($J460,'[1]Table S6'!$A:$AI,25,FALSE)</f>
        <v>Yes</v>
      </c>
      <c r="AJ460">
        <f>VLOOKUP($J460,'[1]Table S6'!$A:$AI,27,FALSE)</f>
        <v>449.2</v>
      </c>
      <c r="AK460">
        <f>VLOOKUP($J460,'[1]Table S6'!$A:$AI,28,FALSE)</f>
        <v>0.95594807405830995</v>
      </c>
      <c r="AL460">
        <f>VLOOKUP($J460,'[1]Table S6'!$A:$AI,29,FALSE)</f>
        <v>773.8</v>
      </c>
      <c r="AM460" t="str">
        <f>VLOOKUP($J460,'[1]Table S6'!$A:$AI,30,FALSE)</f>
        <v>No</v>
      </c>
      <c r="AO460">
        <f>VLOOKUP($J460,'[1]Table S6'!$A:$AI,32,FALSE)</f>
        <v>420.1</v>
      </c>
      <c r="AP460">
        <f>VLOOKUP($J460,'[1]Table S6'!$A:$AI,33,FALSE)</f>
        <v>0.89402000425622496</v>
      </c>
      <c r="AQ460">
        <f>VLOOKUP($J460,'[1]Table S6'!$A:$AI,34,FALSE)</f>
        <v>131.80000000000001</v>
      </c>
      <c r="AR460" t="str">
        <f>VLOOKUP($J460,'[1]Table S6'!$A:$AI,35,FALSE)</f>
        <v>No</v>
      </c>
      <c r="AT460" t="str">
        <f>VLOOKUP($I460,'[2]Table S5'!$A:$K,8,FALSE)</f>
        <v>Resistant</v>
      </c>
      <c r="AU460" t="str">
        <f>VLOOKUP($I460,'[2]Table S5'!$A:$K,9,FALSE)</f>
        <v>Resistant</v>
      </c>
      <c r="AV460" t="str">
        <f>VLOOKUP($I460,'[2]Table S5'!$A:$K,10,FALSE)</f>
        <v>Resistant</v>
      </c>
      <c r="AW460" t="str">
        <f>VLOOKUP($I460,'[2]Table S5'!$A:$K,11,FALSE)</f>
        <v>Resistant</v>
      </c>
    </row>
    <row r="461" spans="1:49">
      <c r="A461" s="12" t="s">
        <v>3075</v>
      </c>
      <c r="B461" t="s">
        <v>3076</v>
      </c>
      <c r="C461" t="s">
        <v>3077</v>
      </c>
      <c r="D461" t="s">
        <v>17</v>
      </c>
      <c r="E461" t="s">
        <v>900</v>
      </c>
      <c r="F461" s="12" t="s">
        <v>901</v>
      </c>
      <c r="G461" t="s">
        <v>902</v>
      </c>
      <c r="H461" t="s">
        <v>903</v>
      </c>
      <c r="I461" t="s">
        <v>879</v>
      </c>
      <c r="J461" t="s">
        <v>880</v>
      </c>
      <c r="K461">
        <f>VLOOKUP($J461,'[1]Table S6'!$A:$AI,2,FALSE)</f>
        <v>330</v>
      </c>
      <c r="L461">
        <f>VLOOKUP($J461,'[1]Table S6'!$A:$AI,3,FALSE)</f>
        <v>0.70227708022983604</v>
      </c>
      <c r="M461">
        <f>VLOOKUP($J461,'[1]Table S6'!$A:$AI,4,FALSE)</f>
        <v>3.024</v>
      </c>
      <c r="N461" t="str">
        <f>VLOOKUP($J461,'[1]Table S6'!$A:$AI,5,FALSE)</f>
        <v>Yes</v>
      </c>
      <c r="P461">
        <f>VLOOKUP($J461,'[1]Table S6'!$A:$AI,7,FALSE)</f>
        <v>393.9</v>
      </c>
      <c r="Q461">
        <f>VLOOKUP($J461,'[1]Table S6'!$A:$AI,8,FALSE)</f>
        <v>0.83826346031070398</v>
      </c>
      <c r="R461">
        <f>VLOOKUP($J461,'[1]Table S6'!$A:$AI,9,FALSE)</f>
        <v>23.23</v>
      </c>
      <c r="S461" t="str">
        <f>VLOOKUP($J461,'[1]Table S6'!$A:$AI,10,FALSE)</f>
        <v>No</v>
      </c>
      <c r="U461">
        <f>VLOOKUP($J461,'[1]Table S6'!$A:$AI,12,FALSE)</f>
        <v>355.7</v>
      </c>
      <c r="V461">
        <f>VLOOKUP($J461,'[1]Table S6'!$A:$AI,13,FALSE)</f>
        <v>0.75696956799319004</v>
      </c>
      <c r="W461">
        <f>VLOOKUP($J461,'[1]Table S6'!$A:$AI,14,FALSE)</f>
        <v>6.59</v>
      </c>
      <c r="X461" t="str">
        <f>VLOOKUP($J461,'[1]Table S6'!$A:$AI,15,FALSE)</f>
        <v>No</v>
      </c>
      <c r="Z461">
        <f>VLOOKUP($J461,'[1]Table S6'!$A:$AI,17,FALSE)</f>
        <v>387.6</v>
      </c>
      <c r="AA461">
        <f>VLOOKUP($J461,'[1]Table S6'!$A:$AI,18,FALSE)</f>
        <v>0.824856352415408</v>
      </c>
      <c r="AB461">
        <f>VLOOKUP($J461,'[1]Table S6'!$A:$AI,19,FALSE)</f>
        <v>16.78</v>
      </c>
      <c r="AC461" t="str">
        <f>VLOOKUP($J461,'[1]Table S6'!$A:$AI,20,FALSE)</f>
        <v>No</v>
      </c>
      <c r="AE461">
        <f>VLOOKUP($J461,'[1]Table S6'!$A:$AI,22,FALSE)</f>
        <v>389.8</v>
      </c>
      <c r="AF461">
        <f>VLOOKUP($J461,'[1]Table S6'!$A:$AI,23,FALSE)</f>
        <v>0.82953819961693998</v>
      </c>
      <c r="AG461">
        <f>VLOOKUP($J461,'[1]Table S6'!$A:$AI,24,FALSE)</f>
        <v>22.34</v>
      </c>
      <c r="AH461" t="str">
        <f>VLOOKUP($J461,'[1]Table S6'!$A:$AI,25,FALSE)</f>
        <v>No</v>
      </c>
      <c r="AJ461">
        <f>VLOOKUP($J461,'[1]Table S6'!$A:$AI,27,FALSE)</f>
        <v>427.2</v>
      </c>
      <c r="AK461">
        <f>VLOOKUP($J461,'[1]Table S6'!$A:$AI,28,FALSE)</f>
        <v>0.90912960204298798</v>
      </c>
      <c r="AL461">
        <f>VLOOKUP($J461,'[1]Table S6'!$A:$AI,29,FALSE)</f>
        <v>147.80000000000001</v>
      </c>
      <c r="AM461" t="str">
        <f>VLOOKUP($J461,'[1]Table S6'!$A:$AI,30,FALSE)</f>
        <v>No</v>
      </c>
      <c r="AO461">
        <f>VLOOKUP($J461,'[1]Table S6'!$A:$AI,32,FALSE)</f>
        <v>432.8</v>
      </c>
      <c r="AP461">
        <f>VLOOKUP($J461,'[1]Table S6'!$A:$AI,33,FALSE)</f>
        <v>0.92104703128325205</v>
      </c>
      <c r="AQ461">
        <f>VLOOKUP($J461,'[1]Table S6'!$A:$AI,34,FALSE)</f>
        <v>203.1</v>
      </c>
      <c r="AR461" t="str">
        <f>VLOOKUP($J461,'[1]Table S6'!$A:$AI,35,FALSE)</f>
        <v>No</v>
      </c>
      <c r="AT461" t="str">
        <f>VLOOKUP($I461,'[2]Table S5'!$A:$K,8,FALSE)</f>
        <v>Resistant</v>
      </c>
      <c r="AU461" t="str">
        <f>VLOOKUP($I461,'[2]Table S5'!$A:$K,9,FALSE)</f>
        <v>Resistant</v>
      </c>
      <c r="AV461" t="str">
        <f>VLOOKUP($I461,'[2]Table S5'!$A:$K,10,FALSE)</f>
        <v>Resistant</v>
      </c>
      <c r="AW461" t="str">
        <f>VLOOKUP($I461,'[2]Table S5'!$A:$K,11,FALSE)</f>
        <v>Resistant</v>
      </c>
    </row>
    <row r="462" spans="1:49">
      <c r="A462" s="12" t="s">
        <v>3078</v>
      </c>
      <c r="B462" t="s">
        <v>3079</v>
      </c>
      <c r="C462" t="s">
        <v>3080</v>
      </c>
      <c r="D462" t="s">
        <v>17</v>
      </c>
      <c r="E462" t="s">
        <v>907</v>
      </c>
      <c r="F462" s="12" t="s">
        <v>908</v>
      </c>
      <c r="G462" t="s">
        <v>909</v>
      </c>
      <c r="H462" t="s">
        <v>910</v>
      </c>
      <c r="I462" t="s">
        <v>879</v>
      </c>
      <c r="J462" t="s">
        <v>888</v>
      </c>
      <c r="K462">
        <f>VLOOKUP($J462,'[1]Table S6'!$A:$AI,2,FALSE)</f>
        <v>332.9</v>
      </c>
      <c r="L462">
        <f>VLOOKUP($J462,'[1]Table S6'!$A:$AI,3,FALSE)</f>
        <v>0.70844860608640103</v>
      </c>
      <c r="M462">
        <f>VLOOKUP($J462,'[1]Table S6'!$A:$AI,4,FALSE)</f>
        <v>3.1150000000000002</v>
      </c>
      <c r="N462" t="str">
        <f>VLOOKUP($J462,'[1]Table S6'!$A:$AI,5,FALSE)</f>
        <v>No</v>
      </c>
      <c r="P462">
        <f>VLOOKUP($J462,'[1]Table S6'!$A:$AI,7,FALSE)</f>
        <v>395.2</v>
      </c>
      <c r="Q462">
        <f>VLOOKUP($J462,'[1]Table S6'!$A:$AI,8,FALSE)</f>
        <v>0.841030006384337</v>
      </c>
      <c r="R462">
        <f>VLOOKUP($J462,'[1]Table S6'!$A:$AI,9,FALSE)</f>
        <v>20.91</v>
      </c>
      <c r="S462" t="str">
        <f>VLOOKUP($J462,'[1]Table S6'!$A:$AI,10,FALSE)</f>
        <v>No</v>
      </c>
      <c r="U462">
        <f>VLOOKUP($J462,'[1]Table S6'!$A:$AI,12,FALSE)</f>
        <v>388.9</v>
      </c>
      <c r="V462">
        <f>VLOOKUP($J462,'[1]Table S6'!$A:$AI,13,FALSE)</f>
        <v>0.82762289848904003</v>
      </c>
      <c r="W462">
        <f>VLOOKUP($J462,'[1]Table S6'!$A:$AI,14,FALSE)</f>
        <v>19.89</v>
      </c>
      <c r="X462" t="str">
        <f>VLOOKUP($J462,'[1]Table S6'!$A:$AI,15,FALSE)</f>
        <v>No</v>
      </c>
      <c r="Z462">
        <f>VLOOKUP($J462,'[1]Table S6'!$A:$AI,17,FALSE)</f>
        <v>378.4</v>
      </c>
      <c r="AA462">
        <f>VLOOKUP($J462,'[1]Table S6'!$A:$AI,18,FALSE)</f>
        <v>0.80527771866354503</v>
      </c>
      <c r="AB462">
        <f>VLOOKUP($J462,'[1]Table S6'!$A:$AI,19,FALSE)</f>
        <v>12.47</v>
      </c>
      <c r="AC462" t="str">
        <f>VLOOKUP($J462,'[1]Table S6'!$A:$AI,20,FALSE)</f>
        <v>No</v>
      </c>
      <c r="AE462">
        <f>VLOOKUP($J462,'[1]Table S6'!$A:$AI,22,FALSE)</f>
        <v>354.3</v>
      </c>
      <c r="AF462">
        <f>VLOOKUP($J462,'[1]Table S6'!$A:$AI,23,FALSE)</f>
        <v>0.753990210683124</v>
      </c>
      <c r="AG462">
        <f>VLOOKUP($J462,'[1]Table S6'!$A:$AI,24,FALSE)</f>
        <v>7.8529999999999998</v>
      </c>
      <c r="AH462" t="str">
        <f>VLOOKUP($J462,'[1]Table S6'!$A:$AI,25,FALSE)</f>
        <v>No</v>
      </c>
      <c r="AJ462">
        <f>VLOOKUP($J462,'[1]Table S6'!$A:$AI,27,FALSE)</f>
        <v>464.2</v>
      </c>
      <c r="AK462">
        <f>VLOOKUP($J462,'[1]Table S6'!$A:$AI,28,FALSE)</f>
        <v>0.98786975952330303</v>
      </c>
      <c r="AL462">
        <f>VLOOKUP($J462,'[1]Table S6'!$A:$AI,29,FALSE)</f>
        <v>296</v>
      </c>
      <c r="AM462" t="str">
        <f>VLOOKUP($J462,'[1]Table S6'!$A:$AI,30,FALSE)</f>
        <v>No</v>
      </c>
      <c r="AO462">
        <f>VLOOKUP($J462,'[1]Table S6'!$A:$AI,32,FALSE)</f>
        <v>437.2</v>
      </c>
      <c r="AP462">
        <f>VLOOKUP($J462,'[1]Table S6'!$A:$AI,33,FALSE)</f>
        <v>0.930410725686316</v>
      </c>
      <c r="AQ462">
        <f>VLOOKUP($J462,'[1]Table S6'!$A:$AI,34,FALSE)</f>
        <v>195.8</v>
      </c>
      <c r="AR462" t="str">
        <f>VLOOKUP($J462,'[1]Table S6'!$A:$AI,35,FALSE)</f>
        <v>No</v>
      </c>
      <c r="AT462" t="str">
        <f>VLOOKUP($I462,'[2]Table S5'!$A:$K,8,FALSE)</f>
        <v>Resistant</v>
      </c>
      <c r="AU462" t="str">
        <f>VLOOKUP($I462,'[2]Table S5'!$A:$K,9,FALSE)</f>
        <v>Resistant</v>
      </c>
      <c r="AV462" t="str">
        <f>VLOOKUP($I462,'[2]Table S5'!$A:$K,10,FALSE)</f>
        <v>Resistant</v>
      </c>
      <c r="AW462" t="str">
        <f>VLOOKUP($I462,'[2]Table S5'!$A:$K,11,FALSE)</f>
        <v>Resistant</v>
      </c>
    </row>
    <row r="463" spans="1:49">
      <c r="A463" s="12" t="s">
        <v>3081</v>
      </c>
      <c r="B463" t="s">
        <v>3082</v>
      </c>
      <c r="C463" t="s">
        <v>3083</v>
      </c>
      <c r="D463" t="s">
        <v>17</v>
      </c>
      <c r="E463" t="s">
        <v>914</v>
      </c>
      <c r="F463" s="12" t="s">
        <v>915</v>
      </c>
      <c r="G463" t="s">
        <v>916</v>
      </c>
      <c r="H463" t="s">
        <v>917</v>
      </c>
      <c r="I463" t="s">
        <v>879</v>
      </c>
      <c r="J463" t="s">
        <v>896</v>
      </c>
      <c r="K463">
        <f>VLOOKUP($J463,'[1]Table S6'!$A:$AI,2,FALSE)</f>
        <v>304.5</v>
      </c>
      <c r="L463">
        <f>VLOOKUP($J463,'[1]Table S6'!$A:$AI,3,FALSE)</f>
        <v>0.64801021493934896</v>
      </c>
      <c r="M463">
        <f>VLOOKUP($J463,'[1]Table S6'!$A:$AI,4,FALSE)</f>
        <v>0.97950000000000004</v>
      </c>
      <c r="N463" t="str">
        <f>VLOOKUP($J463,'[1]Table S6'!$A:$AI,5,FALSE)</f>
        <v>Yes</v>
      </c>
      <c r="P463">
        <f>VLOOKUP($J463,'[1]Table S6'!$A:$AI,7,FALSE)</f>
        <v>394.4</v>
      </c>
      <c r="Q463">
        <f>VLOOKUP($J463,'[1]Table S6'!$A:$AI,8,FALSE)</f>
        <v>0.83932751649287096</v>
      </c>
      <c r="R463">
        <f>VLOOKUP($J463,'[1]Table S6'!$A:$AI,9,FALSE)</f>
        <v>23.78</v>
      </c>
      <c r="S463" t="str">
        <f>VLOOKUP($J463,'[1]Table S6'!$A:$AI,10,FALSE)</f>
        <v>No</v>
      </c>
      <c r="U463">
        <f>VLOOKUP($J463,'[1]Table S6'!$A:$AI,12,FALSE)</f>
        <v>354.6</v>
      </c>
      <c r="V463">
        <f>VLOOKUP($J463,'[1]Table S6'!$A:$AI,13,FALSE)</f>
        <v>0.75462864439242405</v>
      </c>
      <c r="W463">
        <f>VLOOKUP($J463,'[1]Table S6'!$A:$AI,14,FALSE)</f>
        <v>8.6240000000000006</v>
      </c>
      <c r="X463" t="str">
        <f>VLOOKUP($J463,'[1]Table S6'!$A:$AI,15,FALSE)</f>
        <v>No</v>
      </c>
      <c r="Z463">
        <f>VLOOKUP($J463,'[1]Table S6'!$A:$AI,17,FALSE)</f>
        <v>335.4</v>
      </c>
      <c r="AA463">
        <f>VLOOKUP($J463,'[1]Table S6'!$A:$AI,18,FALSE)</f>
        <v>0.71376888699723295</v>
      </c>
      <c r="AB463">
        <f>VLOOKUP($J463,'[1]Table S6'!$A:$AI,19,FALSE)</f>
        <v>3.7309999999999999</v>
      </c>
      <c r="AC463" t="str">
        <f>VLOOKUP($J463,'[1]Table S6'!$A:$AI,20,FALSE)</f>
        <v>No</v>
      </c>
      <c r="AE463">
        <f>VLOOKUP($J463,'[1]Table S6'!$A:$AI,22,FALSE)</f>
        <v>307.39999999999998</v>
      </c>
      <c r="AF463">
        <f>VLOOKUP($J463,'[1]Table S6'!$A:$AI,23,FALSE)</f>
        <v>0.65418174079591396</v>
      </c>
      <c r="AG463">
        <f>VLOOKUP($J463,'[1]Table S6'!$A:$AI,24,FALSE)</f>
        <v>2.387</v>
      </c>
      <c r="AH463" t="str">
        <f>VLOOKUP($J463,'[1]Table S6'!$A:$AI,25,FALSE)</f>
        <v>Yes</v>
      </c>
      <c r="AJ463">
        <f>VLOOKUP($J463,'[1]Table S6'!$A:$AI,27,FALSE)</f>
        <v>449.2</v>
      </c>
      <c r="AK463">
        <f>VLOOKUP($J463,'[1]Table S6'!$A:$AI,28,FALSE)</f>
        <v>0.95594807405830995</v>
      </c>
      <c r="AL463">
        <f>VLOOKUP($J463,'[1]Table S6'!$A:$AI,29,FALSE)</f>
        <v>773.8</v>
      </c>
      <c r="AM463" t="str">
        <f>VLOOKUP($J463,'[1]Table S6'!$A:$AI,30,FALSE)</f>
        <v>No</v>
      </c>
      <c r="AO463">
        <f>VLOOKUP($J463,'[1]Table S6'!$A:$AI,32,FALSE)</f>
        <v>420.1</v>
      </c>
      <c r="AP463">
        <f>VLOOKUP($J463,'[1]Table S6'!$A:$AI,33,FALSE)</f>
        <v>0.89402000425622496</v>
      </c>
      <c r="AQ463">
        <f>VLOOKUP($J463,'[1]Table S6'!$A:$AI,34,FALSE)</f>
        <v>131.80000000000001</v>
      </c>
      <c r="AR463" t="str">
        <f>VLOOKUP($J463,'[1]Table S6'!$A:$AI,35,FALSE)</f>
        <v>No</v>
      </c>
      <c r="AT463" t="str">
        <f>VLOOKUP($I463,'[2]Table S5'!$A:$K,8,FALSE)</f>
        <v>Resistant</v>
      </c>
      <c r="AU463" t="str">
        <f>VLOOKUP($I463,'[2]Table S5'!$A:$K,9,FALSE)</f>
        <v>Resistant</v>
      </c>
      <c r="AV463" t="str">
        <f>VLOOKUP($I463,'[2]Table S5'!$A:$K,10,FALSE)</f>
        <v>Resistant</v>
      </c>
      <c r="AW463" t="str">
        <f>VLOOKUP($I463,'[2]Table S5'!$A:$K,11,FALSE)</f>
        <v>Resistant</v>
      </c>
    </row>
    <row r="464" spans="1:49">
      <c r="A464" s="12" t="s">
        <v>3084</v>
      </c>
      <c r="B464" t="s">
        <v>3085</v>
      </c>
      <c r="C464" t="s">
        <v>3086</v>
      </c>
      <c r="D464" t="s">
        <v>17</v>
      </c>
      <c r="E464" t="s">
        <v>928</v>
      </c>
      <c r="F464" s="12" t="s">
        <v>929</v>
      </c>
      <c r="G464" t="s">
        <v>930</v>
      </c>
      <c r="H464" t="s">
        <v>931</v>
      </c>
      <c r="I464" t="s">
        <v>932</v>
      </c>
      <c r="J464" t="s">
        <v>933</v>
      </c>
      <c r="K464">
        <f>VLOOKUP($J464,'[1]Table S6'!$A:$AI,2,FALSE)</f>
        <v>304.7</v>
      </c>
      <c r="L464">
        <f>VLOOKUP($J464,'[1]Table S6'!$A:$AI,3,FALSE)</f>
        <v>0.648435837412215</v>
      </c>
      <c r="M464">
        <f>VLOOKUP($J464,'[1]Table S6'!$A:$AI,4,FALSE)</f>
        <v>1.2769999999999999</v>
      </c>
      <c r="N464" t="str">
        <f>VLOOKUP($J464,'[1]Table S6'!$A:$AI,5,FALSE)</f>
        <v>Yes</v>
      </c>
      <c r="P464">
        <f>VLOOKUP($J464,'[1]Table S6'!$A:$AI,7,FALSE)</f>
        <v>390.4</v>
      </c>
      <c r="Q464">
        <f>VLOOKUP($J464,'[1]Table S6'!$A:$AI,8,FALSE)</f>
        <v>0.83081506703553898</v>
      </c>
      <c r="R464">
        <f>VLOOKUP($J464,'[1]Table S6'!$A:$AI,9,FALSE)</f>
        <v>18.440000000000001</v>
      </c>
      <c r="S464" t="str">
        <f>VLOOKUP($J464,'[1]Table S6'!$A:$AI,10,FALSE)</f>
        <v>No</v>
      </c>
      <c r="U464">
        <f>VLOOKUP($J464,'[1]Table S6'!$A:$AI,12,FALSE)</f>
        <v>371.8</v>
      </c>
      <c r="V464">
        <f>VLOOKUP($J464,'[1]Table S6'!$A:$AI,13,FALSE)</f>
        <v>0.79123217705894899</v>
      </c>
      <c r="W464">
        <f>VLOOKUP($J464,'[1]Table S6'!$A:$AI,14,FALSE)</f>
        <v>5.7489999999999997</v>
      </c>
      <c r="X464" t="str">
        <f>VLOOKUP($J464,'[1]Table S6'!$A:$AI,15,FALSE)</f>
        <v>No</v>
      </c>
      <c r="Z464">
        <f>VLOOKUP($J464,'[1]Table S6'!$A:$AI,17,FALSE)</f>
        <v>300.3</v>
      </c>
      <c r="AA464">
        <f>VLOOKUP($J464,'[1]Table S6'!$A:$AI,18,FALSE)</f>
        <v>0.63907214300915105</v>
      </c>
      <c r="AB464">
        <f>VLOOKUP($J464,'[1]Table S6'!$A:$AI,19,FALSE)</f>
        <v>1.9239999999999999</v>
      </c>
      <c r="AC464" t="str">
        <f>VLOOKUP($J464,'[1]Table S6'!$A:$AI,20,FALSE)</f>
        <v>Yes</v>
      </c>
      <c r="AE464">
        <f>VLOOKUP($J464,'[1]Table S6'!$A:$AI,22,FALSE)</f>
        <v>394.4</v>
      </c>
      <c r="AF464">
        <f>VLOOKUP($J464,'[1]Table S6'!$A:$AI,23,FALSE)</f>
        <v>0.83932751649287096</v>
      </c>
      <c r="AG464">
        <f>VLOOKUP($J464,'[1]Table S6'!$A:$AI,24,FALSE)</f>
        <v>22.82</v>
      </c>
      <c r="AH464" t="str">
        <f>VLOOKUP($J464,'[1]Table S6'!$A:$AI,25,FALSE)</f>
        <v>No</v>
      </c>
      <c r="AJ464">
        <f>VLOOKUP($J464,'[1]Table S6'!$A:$AI,27,FALSE)</f>
        <v>443.9</v>
      </c>
      <c r="AK464">
        <f>VLOOKUP($J464,'[1]Table S6'!$A:$AI,28,FALSE)</f>
        <v>0.94466907852734605</v>
      </c>
      <c r="AL464">
        <f>VLOOKUP($J464,'[1]Table S6'!$A:$AI,29,FALSE)</f>
        <v>114</v>
      </c>
      <c r="AM464" t="str">
        <f>VLOOKUP($J464,'[1]Table S6'!$A:$AI,30,FALSE)</f>
        <v>No</v>
      </c>
      <c r="AO464">
        <f>VLOOKUP($J464,'[1]Table S6'!$A:$AI,32,FALSE)</f>
        <v>426.1</v>
      </c>
      <c r="AP464">
        <f>VLOOKUP($J464,'[1]Table S6'!$A:$AI,33,FALSE)</f>
        <v>0.906788678442222</v>
      </c>
      <c r="AQ464">
        <f>VLOOKUP($J464,'[1]Table S6'!$A:$AI,34,FALSE)</f>
        <v>64.73</v>
      </c>
      <c r="AR464" t="str">
        <f>VLOOKUP($J464,'[1]Table S6'!$A:$AI,35,FALSE)</f>
        <v>No</v>
      </c>
      <c r="AT464" t="str">
        <f>VLOOKUP($I464,'[2]Table S5'!$A:$K,8,FALSE)</f>
        <v>Sensitive</v>
      </c>
      <c r="AU464" t="str">
        <f>VLOOKUP($I464,'[2]Table S5'!$A:$K,9,FALSE)</f>
        <v>Resistant</v>
      </c>
      <c r="AV464" t="str">
        <f>VLOOKUP($I464,'[2]Table S5'!$A:$K,10,FALSE)</f>
        <v>Resistant</v>
      </c>
      <c r="AW464" t="str">
        <f>VLOOKUP($I464,'[2]Table S5'!$A:$K,11,FALSE)</f>
        <v>Sensitive</v>
      </c>
    </row>
    <row r="465" spans="1:49">
      <c r="A465" s="12" t="s">
        <v>3087</v>
      </c>
      <c r="B465" t="s">
        <v>3088</v>
      </c>
      <c r="C465" t="s">
        <v>3089</v>
      </c>
      <c r="D465" t="s">
        <v>17</v>
      </c>
      <c r="E465" t="s">
        <v>945</v>
      </c>
      <c r="F465" s="12" t="s">
        <v>946</v>
      </c>
      <c r="G465" t="s">
        <v>947</v>
      </c>
      <c r="H465" t="s">
        <v>948</v>
      </c>
      <c r="I465" t="s">
        <v>932</v>
      </c>
      <c r="J465" t="s">
        <v>933</v>
      </c>
      <c r="K465">
        <f>VLOOKUP($J465,'[1]Table S6'!$A:$AI,2,FALSE)</f>
        <v>304.7</v>
      </c>
      <c r="L465">
        <f>VLOOKUP($J465,'[1]Table S6'!$A:$AI,3,FALSE)</f>
        <v>0.648435837412215</v>
      </c>
      <c r="M465">
        <f>VLOOKUP($J465,'[1]Table S6'!$A:$AI,4,FALSE)</f>
        <v>1.2769999999999999</v>
      </c>
      <c r="N465" t="str">
        <f>VLOOKUP($J465,'[1]Table S6'!$A:$AI,5,FALSE)</f>
        <v>Yes</v>
      </c>
      <c r="P465">
        <f>VLOOKUP($J465,'[1]Table S6'!$A:$AI,7,FALSE)</f>
        <v>390.4</v>
      </c>
      <c r="Q465">
        <f>VLOOKUP($J465,'[1]Table S6'!$A:$AI,8,FALSE)</f>
        <v>0.83081506703553898</v>
      </c>
      <c r="R465">
        <f>VLOOKUP($J465,'[1]Table S6'!$A:$AI,9,FALSE)</f>
        <v>18.440000000000001</v>
      </c>
      <c r="S465" t="str">
        <f>VLOOKUP($J465,'[1]Table S6'!$A:$AI,10,FALSE)</f>
        <v>No</v>
      </c>
      <c r="U465">
        <f>VLOOKUP($J465,'[1]Table S6'!$A:$AI,12,FALSE)</f>
        <v>371.8</v>
      </c>
      <c r="V465">
        <f>VLOOKUP($J465,'[1]Table S6'!$A:$AI,13,FALSE)</f>
        <v>0.79123217705894899</v>
      </c>
      <c r="W465">
        <f>VLOOKUP($J465,'[1]Table S6'!$A:$AI,14,FALSE)</f>
        <v>5.7489999999999997</v>
      </c>
      <c r="X465" t="str">
        <f>VLOOKUP($J465,'[1]Table S6'!$A:$AI,15,FALSE)</f>
        <v>No</v>
      </c>
      <c r="Z465">
        <f>VLOOKUP($J465,'[1]Table S6'!$A:$AI,17,FALSE)</f>
        <v>300.3</v>
      </c>
      <c r="AA465">
        <f>VLOOKUP($J465,'[1]Table S6'!$A:$AI,18,FALSE)</f>
        <v>0.63907214300915105</v>
      </c>
      <c r="AB465">
        <f>VLOOKUP($J465,'[1]Table S6'!$A:$AI,19,FALSE)</f>
        <v>1.9239999999999999</v>
      </c>
      <c r="AC465" t="str">
        <f>VLOOKUP($J465,'[1]Table S6'!$A:$AI,20,FALSE)</f>
        <v>Yes</v>
      </c>
      <c r="AE465">
        <f>VLOOKUP($J465,'[1]Table S6'!$A:$AI,22,FALSE)</f>
        <v>394.4</v>
      </c>
      <c r="AF465">
        <f>VLOOKUP($J465,'[1]Table S6'!$A:$AI,23,FALSE)</f>
        <v>0.83932751649287096</v>
      </c>
      <c r="AG465">
        <f>VLOOKUP($J465,'[1]Table S6'!$A:$AI,24,FALSE)</f>
        <v>22.82</v>
      </c>
      <c r="AH465" t="str">
        <f>VLOOKUP($J465,'[1]Table S6'!$A:$AI,25,FALSE)</f>
        <v>No</v>
      </c>
      <c r="AJ465">
        <f>VLOOKUP($J465,'[1]Table S6'!$A:$AI,27,FALSE)</f>
        <v>443.9</v>
      </c>
      <c r="AK465">
        <f>VLOOKUP($J465,'[1]Table S6'!$A:$AI,28,FALSE)</f>
        <v>0.94466907852734605</v>
      </c>
      <c r="AL465">
        <f>VLOOKUP($J465,'[1]Table S6'!$A:$AI,29,FALSE)</f>
        <v>114</v>
      </c>
      <c r="AM465" t="str">
        <f>VLOOKUP($J465,'[1]Table S6'!$A:$AI,30,FALSE)</f>
        <v>No</v>
      </c>
      <c r="AO465">
        <f>VLOOKUP($J465,'[1]Table S6'!$A:$AI,32,FALSE)</f>
        <v>426.1</v>
      </c>
      <c r="AP465">
        <f>VLOOKUP($J465,'[1]Table S6'!$A:$AI,33,FALSE)</f>
        <v>0.906788678442222</v>
      </c>
      <c r="AQ465">
        <f>VLOOKUP($J465,'[1]Table S6'!$A:$AI,34,FALSE)</f>
        <v>64.73</v>
      </c>
      <c r="AR465" t="str">
        <f>VLOOKUP($J465,'[1]Table S6'!$A:$AI,35,FALSE)</f>
        <v>No</v>
      </c>
      <c r="AT465" t="str">
        <f>VLOOKUP($I465,'[2]Table S5'!$A:$K,8,FALSE)</f>
        <v>Sensitive</v>
      </c>
      <c r="AU465" t="str">
        <f>VLOOKUP($I465,'[2]Table S5'!$A:$K,9,FALSE)</f>
        <v>Resistant</v>
      </c>
      <c r="AV465" t="str">
        <f>VLOOKUP($I465,'[2]Table S5'!$A:$K,10,FALSE)</f>
        <v>Resistant</v>
      </c>
      <c r="AW465" t="str">
        <f>VLOOKUP($I465,'[2]Table S5'!$A:$K,11,FALSE)</f>
        <v>Sensitive</v>
      </c>
    </row>
    <row r="466" spans="1:49">
      <c r="A466" s="12" t="s">
        <v>3090</v>
      </c>
      <c r="B466" t="s">
        <v>3091</v>
      </c>
      <c r="C466" t="s">
        <v>3092</v>
      </c>
      <c r="D466" t="s">
        <v>17</v>
      </c>
      <c r="E466" t="s">
        <v>937</v>
      </c>
      <c r="F466" s="12" t="s">
        <v>938</v>
      </c>
      <c r="G466" t="s">
        <v>939</v>
      </c>
      <c r="H466" t="s">
        <v>940</v>
      </c>
      <c r="I466" t="s">
        <v>932</v>
      </c>
      <c r="J466" t="s">
        <v>941</v>
      </c>
      <c r="K466">
        <f>VLOOKUP($J466,'[1]Table S6'!$A:$AI,2,FALSE)</f>
        <v>292</v>
      </c>
      <c r="L466">
        <f>VLOOKUP($J466,'[1]Table S6'!$A:$AI,3,FALSE)</f>
        <v>0.62140881038518803</v>
      </c>
      <c r="M466">
        <f>VLOOKUP($J466,'[1]Table S6'!$A:$AI,4,FALSE)</f>
        <v>0.9274</v>
      </c>
      <c r="N466" t="str">
        <f>VLOOKUP($J466,'[1]Table S6'!$A:$AI,5,FALSE)</f>
        <v>Yes</v>
      </c>
      <c r="P466">
        <f>VLOOKUP($J466,'[1]Table S6'!$A:$AI,7,FALSE)</f>
        <v>359.7</v>
      </c>
      <c r="Q466">
        <f>VLOOKUP($J466,'[1]Table S6'!$A:$AI,8,FALSE)</f>
        <v>0.76548201745052102</v>
      </c>
      <c r="R466">
        <f>VLOOKUP($J466,'[1]Table S6'!$A:$AI,9,FALSE)</f>
        <v>7.0439999999999996</v>
      </c>
      <c r="S466" t="str">
        <f>VLOOKUP($J466,'[1]Table S6'!$A:$AI,10,FALSE)</f>
        <v>No</v>
      </c>
      <c r="U466">
        <f>VLOOKUP($J466,'[1]Table S6'!$A:$AI,12,FALSE)</f>
        <v>347.8</v>
      </c>
      <c r="V466">
        <f>VLOOKUP($J466,'[1]Table S6'!$A:$AI,13,FALSE)</f>
        <v>0.74015748031496098</v>
      </c>
      <c r="W466">
        <f>VLOOKUP($J466,'[1]Table S6'!$A:$AI,14,FALSE)</f>
        <v>3.26</v>
      </c>
      <c r="X466" t="str">
        <f>VLOOKUP($J466,'[1]Table S6'!$A:$AI,15,FALSE)</f>
        <v>No</v>
      </c>
      <c r="Z466">
        <f>VLOOKUP($J466,'[1]Table S6'!$A:$AI,17,FALSE)</f>
        <v>307.89999999999998</v>
      </c>
      <c r="AA466">
        <f>VLOOKUP($J466,'[1]Table S6'!$A:$AI,18,FALSE)</f>
        <v>0.65524579697808005</v>
      </c>
      <c r="AB466">
        <f>VLOOKUP($J466,'[1]Table S6'!$A:$AI,19,FALSE)</f>
        <v>1.2230000000000001</v>
      </c>
      <c r="AC466" t="str">
        <f>VLOOKUP($J466,'[1]Table S6'!$A:$AI,20,FALSE)</f>
        <v>Yes</v>
      </c>
      <c r="AE466">
        <f>VLOOKUP($J466,'[1]Table S6'!$A:$AI,22,FALSE)</f>
        <v>422.9</v>
      </c>
      <c r="AF466">
        <f>VLOOKUP($J466,'[1]Table S6'!$A:$AI,23,FALSE)</f>
        <v>0.89997871887635705</v>
      </c>
      <c r="AG466">
        <f>VLOOKUP($J466,'[1]Table S6'!$A:$AI,24,FALSE)</f>
        <v>38.369999999999997</v>
      </c>
      <c r="AH466" t="str">
        <f>VLOOKUP($J466,'[1]Table S6'!$A:$AI,25,FALSE)</f>
        <v>No</v>
      </c>
      <c r="AJ466">
        <f>VLOOKUP($J466,'[1]Table S6'!$A:$AI,27,FALSE)</f>
        <v>432.4</v>
      </c>
      <c r="AK466">
        <f>VLOOKUP($J466,'[1]Table S6'!$A:$AI,28,FALSE)</f>
        <v>0.92019578633751897</v>
      </c>
      <c r="AL466">
        <f>VLOOKUP($J466,'[1]Table S6'!$A:$AI,29,FALSE)</f>
        <v>66.989999999999995</v>
      </c>
      <c r="AM466" t="str">
        <f>VLOOKUP($J466,'[1]Table S6'!$A:$AI,30,FALSE)</f>
        <v>No</v>
      </c>
      <c r="AO466">
        <f>VLOOKUP($J466,'[1]Table S6'!$A:$AI,32,FALSE)</f>
        <v>443</v>
      </c>
      <c r="AP466">
        <f>VLOOKUP($J466,'[1]Table S6'!$A:$AI,33,FALSE)</f>
        <v>0.94275377739944699</v>
      </c>
      <c r="AQ466">
        <f>VLOOKUP($J466,'[1]Table S6'!$A:$AI,34,FALSE)</f>
        <v>118.7</v>
      </c>
      <c r="AR466" t="str">
        <f>VLOOKUP($J466,'[1]Table S6'!$A:$AI,35,FALSE)</f>
        <v>No</v>
      </c>
      <c r="AT466" t="str">
        <f>VLOOKUP($I466,'[2]Table S5'!$A:$K,8,FALSE)</f>
        <v>Sensitive</v>
      </c>
      <c r="AU466" t="str">
        <f>VLOOKUP($I466,'[2]Table S5'!$A:$K,9,FALSE)</f>
        <v>Resistant</v>
      </c>
      <c r="AV466" t="str">
        <f>VLOOKUP($I466,'[2]Table S5'!$A:$K,10,FALSE)</f>
        <v>Resistant</v>
      </c>
      <c r="AW466" t="str">
        <f>VLOOKUP($I466,'[2]Table S5'!$A:$K,11,FALSE)</f>
        <v>Sensitive</v>
      </c>
    </row>
    <row r="467" spans="1:49">
      <c r="A467" s="12" t="s">
        <v>3093</v>
      </c>
      <c r="B467" t="s">
        <v>3094</v>
      </c>
      <c r="C467" t="s">
        <v>3095</v>
      </c>
      <c r="D467" t="s">
        <v>17</v>
      </c>
      <c r="E467" t="s">
        <v>952</v>
      </c>
      <c r="F467" s="12" t="s">
        <v>953</v>
      </c>
      <c r="G467" t="s">
        <v>954</v>
      </c>
      <c r="H467" t="s">
        <v>955</v>
      </c>
      <c r="I467" t="s">
        <v>932</v>
      </c>
      <c r="J467" t="s">
        <v>941</v>
      </c>
      <c r="K467">
        <f>VLOOKUP($J467,'[1]Table S6'!$A:$AI,2,FALSE)</f>
        <v>292</v>
      </c>
      <c r="L467">
        <f>VLOOKUP($J467,'[1]Table S6'!$A:$AI,3,FALSE)</f>
        <v>0.62140881038518803</v>
      </c>
      <c r="M467">
        <f>VLOOKUP($J467,'[1]Table S6'!$A:$AI,4,FALSE)</f>
        <v>0.9274</v>
      </c>
      <c r="N467" t="str">
        <f>VLOOKUP($J467,'[1]Table S6'!$A:$AI,5,FALSE)</f>
        <v>Yes</v>
      </c>
      <c r="P467">
        <f>VLOOKUP($J467,'[1]Table S6'!$A:$AI,7,FALSE)</f>
        <v>359.7</v>
      </c>
      <c r="Q467">
        <f>VLOOKUP($J467,'[1]Table S6'!$A:$AI,8,FALSE)</f>
        <v>0.76548201745052102</v>
      </c>
      <c r="R467">
        <f>VLOOKUP($J467,'[1]Table S6'!$A:$AI,9,FALSE)</f>
        <v>7.0439999999999996</v>
      </c>
      <c r="S467" t="str">
        <f>VLOOKUP($J467,'[1]Table S6'!$A:$AI,10,FALSE)</f>
        <v>No</v>
      </c>
      <c r="U467">
        <f>VLOOKUP($J467,'[1]Table S6'!$A:$AI,12,FALSE)</f>
        <v>347.8</v>
      </c>
      <c r="V467">
        <f>VLOOKUP($J467,'[1]Table S6'!$A:$AI,13,FALSE)</f>
        <v>0.74015748031496098</v>
      </c>
      <c r="W467">
        <f>VLOOKUP($J467,'[1]Table S6'!$A:$AI,14,FALSE)</f>
        <v>3.26</v>
      </c>
      <c r="X467" t="str">
        <f>VLOOKUP($J467,'[1]Table S6'!$A:$AI,15,FALSE)</f>
        <v>No</v>
      </c>
      <c r="Z467">
        <f>VLOOKUP($J467,'[1]Table S6'!$A:$AI,17,FALSE)</f>
        <v>307.89999999999998</v>
      </c>
      <c r="AA467">
        <f>VLOOKUP($J467,'[1]Table S6'!$A:$AI,18,FALSE)</f>
        <v>0.65524579697808005</v>
      </c>
      <c r="AB467">
        <f>VLOOKUP($J467,'[1]Table S6'!$A:$AI,19,FALSE)</f>
        <v>1.2230000000000001</v>
      </c>
      <c r="AC467" t="str">
        <f>VLOOKUP($J467,'[1]Table S6'!$A:$AI,20,FALSE)</f>
        <v>Yes</v>
      </c>
      <c r="AE467">
        <f>VLOOKUP($J467,'[1]Table S6'!$A:$AI,22,FALSE)</f>
        <v>422.9</v>
      </c>
      <c r="AF467">
        <f>VLOOKUP($J467,'[1]Table S6'!$A:$AI,23,FALSE)</f>
        <v>0.89997871887635705</v>
      </c>
      <c r="AG467">
        <f>VLOOKUP($J467,'[1]Table S6'!$A:$AI,24,FALSE)</f>
        <v>38.369999999999997</v>
      </c>
      <c r="AH467" t="str">
        <f>VLOOKUP($J467,'[1]Table S6'!$A:$AI,25,FALSE)</f>
        <v>No</v>
      </c>
      <c r="AJ467">
        <f>VLOOKUP($J467,'[1]Table S6'!$A:$AI,27,FALSE)</f>
        <v>432.4</v>
      </c>
      <c r="AK467">
        <f>VLOOKUP($J467,'[1]Table S6'!$A:$AI,28,FALSE)</f>
        <v>0.92019578633751897</v>
      </c>
      <c r="AL467">
        <f>VLOOKUP($J467,'[1]Table S6'!$A:$AI,29,FALSE)</f>
        <v>66.989999999999995</v>
      </c>
      <c r="AM467" t="str">
        <f>VLOOKUP($J467,'[1]Table S6'!$A:$AI,30,FALSE)</f>
        <v>No</v>
      </c>
      <c r="AO467">
        <f>VLOOKUP($J467,'[1]Table S6'!$A:$AI,32,FALSE)</f>
        <v>443</v>
      </c>
      <c r="AP467">
        <f>VLOOKUP($J467,'[1]Table S6'!$A:$AI,33,FALSE)</f>
        <v>0.94275377739944699</v>
      </c>
      <c r="AQ467">
        <f>VLOOKUP($J467,'[1]Table S6'!$A:$AI,34,FALSE)</f>
        <v>118.7</v>
      </c>
      <c r="AR467" t="str">
        <f>VLOOKUP($J467,'[1]Table S6'!$A:$AI,35,FALSE)</f>
        <v>No</v>
      </c>
      <c r="AT467" t="str">
        <f>VLOOKUP($I467,'[2]Table S5'!$A:$K,8,FALSE)</f>
        <v>Sensitive</v>
      </c>
      <c r="AU467" t="str">
        <f>VLOOKUP($I467,'[2]Table S5'!$A:$K,9,FALSE)</f>
        <v>Resistant</v>
      </c>
      <c r="AV467" t="str">
        <f>VLOOKUP($I467,'[2]Table S5'!$A:$K,10,FALSE)</f>
        <v>Resistant</v>
      </c>
      <c r="AW467" t="str">
        <f>VLOOKUP($I467,'[2]Table S5'!$A:$K,11,FALSE)</f>
        <v>Sensitive</v>
      </c>
    </row>
    <row r="468" spans="1:49">
      <c r="A468" s="12" t="s">
        <v>3096</v>
      </c>
      <c r="B468" t="s">
        <v>3097</v>
      </c>
      <c r="C468" t="s">
        <v>3098</v>
      </c>
      <c r="D468" t="s">
        <v>17</v>
      </c>
      <c r="E468" t="s">
        <v>3099</v>
      </c>
      <c r="F468" s="12" t="s">
        <v>3100</v>
      </c>
      <c r="G468" t="s">
        <v>3101</v>
      </c>
      <c r="H468" t="s">
        <v>3102</v>
      </c>
      <c r="I468" t="s">
        <v>970</v>
      </c>
      <c r="J468" t="s">
        <v>970</v>
      </c>
      <c r="K468" t="e">
        <f>VLOOKUP($J468,'[1]Table S6'!$A:$AI,2,FALSE)</f>
        <v>#N/A</v>
      </c>
      <c r="L468" t="e">
        <f>VLOOKUP($J468,'[1]Table S6'!$A:$AI,3,FALSE)</f>
        <v>#N/A</v>
      </c>
      <c r="M468" t="e">
        <f>VLOOKUP($J468,'[1]Table S6'!$A:$AI,4,FALSE)</f>
        <v>#N/A</v>
      </c>
      <c r="N468" t="e">
        <f>VLOOKUP($J468,'[1]Table S6'!$A:$AI,5,FALSE)</f>
        <v>#N/A</v>
      </c>
      <c r="P468" t="e">
        <f>VLOOKUP($J468,'[1]Table S6'!$A:$AI,7,FALSE)</f>
        <v>#N/A</v>
      </c>
      <c r="Q468" t="e">
        <f>VLOOKUP($J468,'[1]Table S6'!$A:$AI,8,FALSE)</f>
        <v>#N/A</v>
      </c>
      <c r="R468" t="e">
        <f>VLOOKUP($J468,'[1]Table S6'!$A:$AI,9,FALSE)</f>
        <v>#N/A</v>
      </c>
      <c r="S468" t="e">
        <f>VLOOKUP($J468,'[1]Table S6'!$A:$AI,10,FALSE)</f>
        <v>#N/A</v>
      </c>
      <c r="U468" t="e">
        <f>VLOOKUP($J468,'[1]Table S6'!$A:$AI,12,FALSE)</f>
        <v>#N/A</v>
      </c>
      <c r="V468" t="e">
        <f>VLOOKUP($J468,'[1]Table S6'!$A:$AI,13,FALSE)</f>
        <v>#N/A</v>
      </c>
      <c r="W468" t="e">
        <f>VLOOKUP($J468,'[1]Table S6'!$A:$AI,14,FALSE)</f>
        <v>#N/A</v>
      </c>
      <c r="X468" t="e">
        <f>VLOOKUP($J468,'[1]Table S6'!$A:$AI,15,FALSE)</f>
        <v>#N/A</v>
      </c>
      <c r="Z468" t="e">
        <f>VLOOKUP($J468,'[1]Table S6'!$A:$AI,17,FALSE)</f>
        <v>#N/A</v>
      </c>
      <c r="AA468" t="e">
        <f>VLOOKUP($J468,'[1]Table S6'!$A:$AI,18,FALSE)</f>
        <v>#N/A</v>
      </c>
      <c r="AB468" t="e">
        <f>VLOOKUP($J468,'[1]Table S6'!$A:$AI,19,FALSE)</f>
        <v>#N/A</v>
      </c>
      <c r="AC468" t="e">
        <f>VLOOKUP($J468,'[1]Table S6'!$A:$AI,20,FALSE)</f>
        <v>#N/A</v>
      </c>
      <c r="AE468" t="e">
        <f>VLOOKUP($J468,'[1]Table S6'!$A:$AI,22,FALSE)</f>
        <v>#N/A</v>
      </c>
      <c r="AF468" t="e">
        <f>VLOOKUP($J468,'[1]Table S6'!$A:$AI,23,FALSE)</f>
        <v>#N/A</v>
      </c>
      <c r="AG468" t="e">
        <f>VLOOKUP($J468,'[1]Table S6'!$A:$AI,24,FALSE)</f>
        <v>#N/A</v>
      </c>
      <c r="AH468" t="e">
        <f>VLOOKUP($J468,'[1]Table S6'!$A:$AI,25,FALSE)</f>
        <v>#N/A</v>
      </c>
      <c r="AJ468" t="e">
        <f>VLOOKUP($J468,'[1]Table S6'!$A:$AI,27,FALSE)</f>
        <v>#N/A</v>
      </c>
      <c r="AK468" t="e">
        <f>VLOOKUP($J468,'[1]Table S6'!$A:$AI,28,FALSE)</f>
        <v>#N/A</v>
      </c>
      <c r="AL468" t="e">
        <f>VLOOKUP($J468,'[1]Table S6'!$A:$AI,29,FALSE)</f>
        <v>#N/A</v>
      </c>
      <c r="AM468" t="e">
        <f>VLOOKUP($J468,'[1]Table S6'!$A:$AI,30,FALSE)</f>
        <v>#N/A</v>
      </c>
      <c r="AO468" t="e">
        <f>VLOOKUP($J468,'[1]Table S6'!$A:$AI,32,FALSE)</f>
        <v>#N/A</v>
      </c>
      <c r="AP468" t="e">
        <f>VLOOKUP($J468,'[1]Table S6'!$A:$AI,33,FALSE)</f>
        <v>#N/A</v>
      </c>
      <c r="AQ468" t="e">
        <f>VLOOKUP($J468,'[1]Table S6'!$A:$AI,34,FALSE)</f>
        <v>#N/A</v>
      </c>
      <c r="AR468" t="e">
        <f>VLOOKUP($J468,'[1]Table S6'!$A:$AI,35,FALSE)</f>
        <v>#N/A</v>
      </c>
      <c r="AT468" t="str">
        <f>VLOOKUP($I468,'[2]Table S5'!$A:$K,8,FALSE)</f>
        <v>Resistant</v>
      </c>
      <c r="AU468" t="str">
        <f>VLOOKUP($I468,'[2]Table S5'!$A:$K,9,FALSE)</f>
        <v>Resistant</v>
      </c>
      <c r="AV468" t="str">
        <f>VLOOKUP($I468,'[2]Table S5'!$A:$K,10,FALSE)</f>
        <v>Resistant</v>
      </c>
      <c r="AW468" t="str">
        <f>VLOOKUP($I468,'[2]Table S5'!$A:$K,11,FALSE)</f>
        <v>Resistant</v>
      </c>
    </row>
    <row r="469" spans="1:49">
      <c r="A469" s="12" t="s">
        <v>3103</v>
      </c>
      <c r="B469" t="s">
        <v>3104</v>
      </c>
      <c r="C469" t="s">
        <v>3105</v>
      </c>
      <c r="D469" t="s">
        <v>17</v>
      </c>
      <c r="E469" t="s">
        <v>3106</v>
      </c>
      <c r="F469" s="12" t="s">
        <v>3107</v>
      </c>
      <c r="G469" t="s">
        <v>3108</v>
      </c>
      <c r="H469" t="s">
        <v>3109</v>
      </c>
      <c r="I469" t="s">
        <v>970</v>
      </c>
      <c r="J469" t="s">
        <v>970</v>
      </c>
      <c r="K469" t="e">
        <f>VLOOKUP($J469,'[1]Table S6'!$A:$AI,2,FALSE)</f>
        <v>#N/A</v>
      </c>
      <c r="L469" t="e">
        <f>VLOOKUP($J469,'[1]Table S6'!$A:$AI,3,FALSE)</f>
        <v>#N/A</v>
      </c>
      <c r="M469" t="e">
        <f>VLOOKUP($J469,'[1]Table S6'!$A:$AI,4,FALSE)</f>
        <v>#N/A</v>
      </c>
      <c r="N469" t="e">
        <f>VLOOKUP($J469,'[1]Table S6'!$A:$AI,5,FALSE)</f>
        <v>#N/A</v>
      </c>
      <c r="P469" t="e">
        <f>VLOOKUP($J469,'[1]Table S6'!$A:$AI,7,FALSE)</f>
        <v>#N/A</v>
      </c>
      <c r="Q469" t="e">
        <f>VLOOKUP($J469,'[1]Table S6'!$A:$AI,8,FALSE)</f>
        <v>#N/A</v>
      </c>
      <c r="R469" t="e">
        <f>VLOOKUP($J469,'[1]Table S6'!$A:$AI,9,FALSE)</f>
        <v>#N/A</v>
      </c>
      <c r="S469" t="e">
        <f>VLOOKUP($J469,'[1]Table S6'!$A:$AI,10,FALSE)</f>
        <v>#N/A</v>
      </c>
      <c r="U469" t="e">
        <f>VLOOKUP($J469,'[1]Table S6'!$A:$AI,12,FALSE)</f>
        <v>#N/A</v>
      </c>
      <c r="V469" t="e">
        <f>VLOOKUP($J469,'[1]Table S6'!$A:$AI,13,FALSE)</f>
        <v>#N/A</v>
      </c>
      <c r="W469" t="e">
        <f>VLOOKUP($J469,'[1]Table S6'!$A:$AI,14,FALSE)</f>
        <v>#N/A</v>
      </c>
      <c r="X469" t="e">
        <f>VLOOKUP($J469,'[1]Table S6'!$A:$AI,15,FALSE)</f>
        <v>#N/A</v>
      </c>
      <c r="Z469" t="e">
        <f>VLOOKUP($J469,'[1]Table S6'!$A:$AI,17,FALSE)</f>
        <v>#N/A</v>
      </c>
      <c r="AA469" t="e">
        <f>VLOOKUP($J469,'[1]Table S6'!$A:$AI,18,FALSE)</f>
        <v>#N/A</v>
      </c>
      <c r="AB469" t="e">
        <f>VLOOKUP($J469,'[1]Table S6'!$A:$AI,19,FALSE)</f>
        <v>#N/A</v>
      </c>
      <c r="AC469" t="e">
        <f>VLOOKUP($J469,'[1]Table S6'!$A:$AI,20,FALSE)</f>
        <v>#N/A</v>
      </c>
      <c r="AE469" t="e">
        <f>VLOOKUP($J469,'[1]Table S6'!$A:$AI,22,FALSE)</f>
        <v>#N/A</v>
      </c>
      <c r="AF469" t="e">
        <f>VLOOKUP($J469,'[1]Table S6'!$A:$AI,23,FALSE)</f>
        <v>#N/A</v>
      </c>
      <c r="AG469" t="e">
        <f>VLOOKUP($J469,'[1]Table S6'!$A:$AI,24,FALSE)</f>
        <v>#N/A</v>
      </c>
      <c r="AH469" t="e">
        <f>VLOOKUP($J469,'[1]Table S6'!$A:$AI,25,FALSE)</f>
        <v>#N/A</v>
      </c>
      <c r="AJ469" t="e">
        <f>VLOOKUP($J469,'[1]Table S6'!$A:$AI,27,FALSE)</f>
        <v>#N/A</v>
      </c>
      <c r="AK469" t="e">
        <f>VLOOKUP($J469,'[1]Table S6'!$A:$AI,28,FALSE)</f>
        <v>#N/A</v>
      </c>
      <c r="AL469" t="e">
        <f>VLOOKUP($J469,'[1]Table S6'!$A:$AI,29,FALSE)</f>
        <v>#N/A</v>
      </c>
      <c r="AM469" t="e">
        <f>VLOOKUP($J469,'[1]Table S6'!$A:$AI,30,FALSE)</f>
        <v>#N/A</v>
      </c>
      <c r="AO469" t="e">
        <f>VLOOKUP($J469,'[1]Table S6'!$A:$AI,32,FALSE)</f>
        <v>#N/A</v>
      </c>
      <c r="AP469" t="e">
        <f>VLOOKUP($J469,'[1]Table S6'!$A:$AI,33,FALSE)</f>
        <v>#N/A</v>
      </c>
      <c r="AQ469" t="e">
        <f>VLOOKUP($J469,'[1]Table S6'!$A:$AI,34,FALSE)</f>
        <v>#N/A</v>
      </c>
      <c r="AR469" t="e">
        <f>VLOOKUP($J469,'[1]Table S6'!$A:$AI,35,FALSE)</f>
        <v>#N/A</v>
      </c>
      <c r="AT469" t="str">
        <f>VLOOKUP($I469,'[2]Table S5'!$A:$K,8,FALSE)</f>
        <v>Resistant</v>
      </c>
      <c r="AU469" t="str">
        <f>VLOOKUP($I469,'[2]Table S5'!$A:$K,9,FALSE)</f>
        <v>Resistant</v>
      </c>
      <c r="AV469" t="str">
        <f>VLOOKUP($I469,'[2]Table S5'!$A:$K,10,FALSE)</f>
        <v>Resistant</v>
      </c>
      <c r="AW469" t="str">
        <f>VLOOKUP($I469,'[2]Table S5'!$A:$K,11,FALSE)</f>
        <v>Resistant</v>
      </c>
    </row>
    <row r="470" spans="1:49">
      <c r="A470" s="12" t="s">
        <v>3110</v>
      </c>
      <c r="B470" t="s">
        <v>3111</v>
      </c>
      <c r="C470" t="s">
        <v>3112</v>
      </c>
      <c r="D470" t="s">
        <v>17</v>
      </c>
      <c r="E470" t="s">
        <v>966</v>
      </c>
      <c r="F470" s="12" t="s">
        <v>967</v>
      </c>
      <c r="G470" t="s">
        <v>968</v>
      </c>
      <c r="H470" t="s">
        <v>969</v>
      </c>
      <c r="I470" t="s">
        <v>970</v>
      </c>
      <c r="J470" t="s">
        <v>971</v>
      </c>
      <c r="K470">
        <f>VLOOKUP($J470,'[1]Table S6'!$A:$AI,2,FALSE)</f>
        <v>352.3</v>
      </c>
      <c r="L470">
        <f>VLOOKUP($J470,'[1]Table S6'!$A:$AI,3,FALSE)</f>
        <v>0.74973398595445895</v>
      </c>
      <c r="M470">
        <f>VLOOKUP($J470,'[1]Table S6'!$A:$AI,4,FALSE)</f>
        <v>4.7530000000000001</v>
      </c>
      <c r="N470" t="str">
        <f>VLOOKUP($J470,'[1]Table S6'!$A:$AI,5,FALSE)</f>
        <v>No</v>
      </c>
      <c r="P470">
        <f>VLOOKUP($J470,'[1]Table S6'!$A:$AI,7,FALSE)</f>
        <v>343.4</v>
      </c>
      <c r="Q470">
        <f>VLOOKUP($J470,'[1]Table S6'!$A:$AI,8,FALSE)</f>
        <v>0.73079378591189603</v>
      </c>
      <c r="R470">
        <f>VLOOKUP($J470,'[1]Table S6'!$A:$AI,9,FALSE)</f>
        <v>4.9379999999999997</v>
      </c>
      <c r="S470" t="str">
        <f>VLOOKUP($J470,'[1]Table S6'!$A:$AI,10,FALSE)</f>
        <v>No</v>
      </c>
      <c r="U470">
        <f>VLOOKUP($J470,'[1]Table S6'!$A:$AI,12,FALSE)</f>
        <v>404.3</v>
      </c>
      <c r="V470">
        <f>VLOOKUP($J470,'[1]Table S6'!$A:$AI,13,FALSE)</f>
        <v>0.86039582889976596</v>
      </c>
      <c r="W470">
        <f>VLOOKUP($J470,'[1]Table S6'!$A:$AI,14,FALSE)</f>
        <v>41.17</v>
      </c>
      <c r="X470" t="str">
        <f>VLOOKUP($J470,'[1]Table S6'!$A:$AI,15,FALSE)</f>
        <v>No</v>
      </c>
      <c r="Z470">
        <f>VLOOKUP($J470,'[1]Table S6'!$A:$AI,17,FALSE)</f>
        <v>394.7</v>
      </c>
      <c r="AA470">
        <f>VLOOKUP($J470,'[1]Table S6'!$A:$AI,18,FALSE)</f>
        <v>0.83996595020217102</v>
      </c>
      <c r="AB470">
        <f>VLOOKUP($J470,'[1]Table S6'!$A:$AI,19,FALSE)</f>
        <v>16.13</v>
      </c>
      <c r="AC470" t="str">
        <f>VLOOKUP($J470,'[1]Table S6'!$A:$AI,20,FALSE)</f>
        <v>No</v>
      </c>
      <c r="AE470">
        <f>VLOOKUP($J470,'[1]Table S6'!$A:$AI,22,FALSE)</f>
        <v>386.1</v>
      </c>
      <c r="AF470">
        <f>VLOOKUP($J470,'[1]Table S6'!$A:$AI,23,FALSE)</f>
        <v>0.82166418386890805</v>
      </c>
      <c r="AG470">
        <f>VLOOKUP($J470,'[1]Table S6'!$A:$AI,24,FALSE)</f>
        <v>17.25</v>
      </c>
      <c r="AH470" t="str">
        <f>VLOOKUP($J470,'[1]Table S6'!$A:$AI,25,FALSE)</f>
        <v>No</v>
      </c>
      <c r="AJ470">
        <f>VLOOKUP($J470,'[1]Table S6'!$A:$AI,27,FALSE)</f>
        <v>422</v>
      </c>
      <c r="AK470">
        <f>VLOOKUP($J470,'[1]Table S6'!$A:$AI,28,FALSE)</f>
        <v>0.89806341774845699</v>
      </c>
      <c r="AL470">
        <f>VLOOKUP($J470,'[1]Table S6'!$A:$AI,29,FALSE)</f>
        <v>190.6</v>
      </c>
      <c r="AM470" t="str">
        <f>VLOOKUP($J470,'[1]Table S6'!$A:$AI,30,FALSE)</f>
        <v>No</v>
      </c>
      <c r="AO470">
        <f>VLOOKUP($J470,'[1]Table S6'!$A:$AI,32,FALSE)</f>
        <v>432.3</v>
      </c>
      <c r="AP470">
        <f>VLOOKUP($J470,'[1]Table S6'!$A:$AI,33,FALSE)</f>
        <v>0.91998297510108495</v>
      </c>
      <c r="AQ470">
        <f>VLOOKUP($J470,'[1]Table S6'!$A:$AI,34,FALSE)</f>
        <v>215.2</v>
      </c>
      <c r="AR470" t="str">
        <f>VLOOKUP($J470,'[1]Table S6'!$A:$AI,35,FALSE)</f>
        <v>No</v>
      </c>
      <c r="AT470" t="str">
        <f>VLOOKUP($I470,'[2]Table S5'!$A:$K,8,FALSE)</f>
        <v>Resistant</v>
      </c>
      <c r="AU470" t="str">
        <f>VLOOKUP($I470,'[2]Table S5'!$A:$K,9,FALSE)</f>
        <v>Resistant</v>
      </c>
      <c r="AV470" t="str">
        <f>VLOOKUP($I470,'[2]Table S5'!$A:$K,10,FALSE)</f>
        <v>Resistant</v>
      </c>
      <c r="AW470" t="str">
        <f>VLOOKUP($I470,'[2]Table S5'!$A:$K,11,FALSE)</f>
        <v>Resistant</v>
      </c>
    </row>
    <row r="471" spans="1:49">
      <c r="A471" s="12" t="s">
        <v>3113</v>
      </c>
      <c r="B471" t="s">
        <v>3114</v>
      </c>
      <c r="C471" t="s">
        <v>3115</v>
      </c>
      <c r="D471" t="s">
        <v>17</v>
      </c>
      <c r="E471" t="s">
        <v>975</v>
      </c>
      <c r="F471" s="12" t="s">
        <v>976</v>
      </c>
      <c r="G471" t="s">
        <v>977</v>
      </c>
      <c r="H471" t="s">
        <v>978</v>
      </c>
      <c r="I471" t="s">
        <v>970</v>
      </c>
      <c r="J471" t="s">
        <v>979</v>
      </c>
      <c r="K471">
        <f>VLOOKUP($J471,'[1]Table S6'!$A:$AI,2,FALSE)</f>
        <v>341.4</v>
      </c>
      <c r="L471">
        <f>VLOOKUP($J471,'[1]Table S6'!$A:$AI,3,FALSE)</f>
        <v>0.72653756118322999</v>
      </c>
      <c r="M471">
        <f>VLOOKUP($J471,'[1]Table S6'!$A:$AI,4,FALSE)</f>
        <v>2.9329999999999998</v>
      </c>
      <c r="N471" t="str">
        <f>VLOOKUP($J471,'[1]Table S6'!$A:$AI,5,FALSE)</f>
        <v>No</v>
      </c>
      <c r="P471">
        <f>VLOOKUP($J471,'[1]Table S6'!$A:$AI,7,FALSE)</f>
        <v>365.1</v>
      </c>
      <c r="Q471">
        <f>VLOOKUP($J471,'[1]Table S6'!$A:$AI,8,FALSE)</f>
        <v>0.77697382421791905</v>
      </c>
      <c r="R471">
        <f>VLOOKUP($J471,'[1]Table S6'!$A:$AI,9,FALSE)</f>
        <v>10.050000000000001</v>
      </c>
      <c r="S471" t="str">
        <f>VLOOKUP($J471,'[1]Table S6'!$A:$AI,10,FALSE)</f>
        <v>No</v>
      </c>
      <c r="U471">
        <f>VLOOKUP($J471,'[1]Table S6'!$A:$AI,12,FALSE)</f>
        <v>381.2</v>
      </c>
      <c r="V471">
        <f>VLOOKUP($J471,'[1]Table S6'!$A:$AI,13,FALSE)</f>
        <v>0.81123643328367701</v>
      </c>
      <c r="W471">
        <f>VLOOKUP($J471,'[1]Table S6'!$A:$AI,14,FALSE)</f>
        <v>17.72</v>
      </c>
      <c r="X471" t="str">
        <f>VLOOKUP($J471,'[1]Table S6'!$A:$AI,15,FALSE)</f>
        <v>No</v>
      </c>
      <c r="Z471">
        <f>VLOOKUP($J471,'[1]Table S6'!$A:$AI,17,FALSE)</f>
        <v>326.7</v>
      </c>
      <c r="AA471">
        <f>VLOOKUP($J471,'[1]Table S6'!$A:$AI,18,FALSE)</f>
        <v>0.69525430942753796</v>
      </c>
      <c r="AB471">
        <f>VLOOKUP($J471,'[1]Table S6'!$A:$AI,19,FALSE)</f>
        <v>2.3530000000000002</v>
      </c>
      <c r="AC471" t="str">
        <f>VLOOKUP($J471,'[1]Table S6'!$A:$AI,20,FALSE)</f>
        <v>No</v>
      </c>
      <c r="AE471">
        <f>VLOOKUP($J471,'[1]Table S6'!$A:$AI,22,FALSE)</f>
        <v>370.9</v>
      </c>
      <c r="AF471">
        <f>VLOOKUP($J471,'[1]Table S6'!$A:$AI,23,FALSE)</f>
        <v>0.78931687593104904</v>
      </c>
      <c r="AG471">
        <f>VLOOKUP($J471,'[1]Table S6'!$A:$AI,24,FALSE)</f>
        <v>10.81</v>
      </c>
      <c r="AH471" t="str">
        <f>VLOOKUP($J471,'[1]Table S6'!$A:$AI,25,FALSE)</f>
        <v>No</v>
      </c>
      <c r="AJ471">
        <f>VLOOKUP($J471,'[1]Table S6'!$A:$AI,27,FALSE)</f>
        <v>398.9</v>
      </c>
      <c r="AK471">
        <f>VLOOKUP($J471,'[1]Table S6'!$A:$AI,28,FALSE)</f>
        <v>0.84890402213236904</v>
      </c>
      <c r="AL471">
        <f>VLOOKUP($J471,'[1]Table S6'!$A:$AI,29,FALSE)</f>
        <v>80.67</v>
      </c>
      <c r="AM471" t="str">
        <f>VLOOKUP($J471,'[1]Table S6'!$A:$AI,30,FALSE)</f>
        <v>No</v>
      </c>
      <c r="AO471">
        <f>VLOOKUP($J471,'[1]Table S6'!$A:$AI,32,FALSE)</f>
        <v>417.2</v>
      </c>
      <c r="AP471">
        <f>VLOOKUP($J471,'[1]Table S6'!$A:$AI,33,FALSE)</f>
        <v>0.88784847839965997</v>
      </c>
      <c r="AQ471">
        <f>VLOOKUP($J471,'[1]Table S6'!$A:$AI,34,FALSE)</f>
        <v>100.4</v>
      </c>
      <c r="AR471" t="str">
        <f>VLOOKUP($J471,'[1]Table S6'!$A:$AI,35,FALSE)</f>
        <v>No</v>
      </c>
      <c r="AT471" t="str">
        <f>VLOOKUP($I471,'[2]Table S5'!$A:$K,8,FALSE)</f>
        <v>Resistant</v>
      </c>
      <c r="AU471" t="str">
        <f>VLOOKUP($I471,'[2]Table S5'!$A:$K,9,FALSE)</f>
        <v>Resistant</v>
      </c>
      <c r="AV471" t="str">
        <f>VLOOKUP($I471,'[2]Table S5'!$A:$K,10,FALSE)</f>
        <v>Resistant</v>
      </c>
      <c r="AW471" t="str">
        <f>VLOOKUP($I471,'[2]Table S5'!$A:$K,11,FALSE)</f>
        <v>Resistant</v>
      </c>
    </row>
    <row r="472" spans="1:49">
      <c r="A472" s="12" t="s">
        <v>3116</v>
      </c>
      <c r="B472" t="s">
        <v>3117</v>
      </c>
      <c r="C472" t="s">
        <v>3118</v>
      </c>
      <c r="D472" t="s">
        <v>17</v>
      </c>
      <c r="E472" t="s">
        <v>983</v>
      </c>
      <c r="F472" s="12" t="s">
        <v>984</v>
      </c>
      <c r="G472" t="s">
        <v>985</v>
      </c>
      <c r="H472" t="s">
        <v>986</v>
      </c>
      <c r="I472" t="s">
        <v>970</v>
      </c>
      <c r="J472" t="s">
        <v>987</v>
      </c>
      <c r="K472">
        <f>VLOOKUP($J472,'[1]Table S6'!$A:$AI,2,FALSE)</f>
        <v>363.3</v>
      </c>
      <c r="L472">
        <f>VLOOKUP($J472,'[1]Table S6'!$A:$AI,3,FALSE)</f>
        <v>0.77314322196212004</v>
      </c>
      <c r="M472">
        <f>VLOOKUP($J472,'[1]Table S6'!$A:$AI,4,FALSE)</f>
        <v>7.702</v>
      </c>
      <c r="N472" t="str">
        <f>VLOOKUP($J472,'[1]Table S6'!$A:$AI,5,FALSE)</f>
        <v>No</v>
      </c>
      <c r="P472">
        <f>VLOOKUP($J472,'[1]Table S6'!$A:$AI,7,FALSE)</f>
        <v>341.8</v>
      </c>
      <c r="Q472">
        <f>VLOOKUP($J472,'[1]Table S6'!$A:$AI,8,FALSE)</f>
        <v>0.72738880612896395</v>
      </c>
      <c r="R472">
        <f>VLOOKUP($J472,'[1]Table S6'!$A:$AI,9,FALSE)</f>
        <v>4.7080000000000002</v>
      </c>
      <c r="S472" t="str">
        <f>VLOOKUP($J472,'[1]Table S6'!$A:$AI,10,FALSE)</f>
        <v>No</v>
      </c>
      <c r="U472">
        <f>VLOOKUP($J472,'[1]Table S6'!$A:$AI,12,FALSE)</f>
        <v>359.1</v>
      </c>
      <c r="V472">
        <f>VLOOKUP($J472,'[1]Table S6'!$A:$AI,13,FALSE)</f>
        <v>0.76420515003192202</v>
      </c>
      <c r="W472">
        <f>VLOOKUP($J472,'[1]Table S6'!$A:$AI,14,FALSE)</f>
        <v>10.39</v>
      </c>
      <c r="X472" t="str">
        <f>VLOOKUP($J472,'[1]Table S6'!$A:$AI,15,FALSE)</f>
        <v>No</v>
      </c>
      <c r="Z472">
        <f>VLOOKUP($J472,'[1]Table S6'!$A:$AI,17,FALSE)</f>
        <v>367.1</v>
      </c>
      <c r="AA472">
        <f>VLOOKUP($J472,'[1]Table S6'!$A:$AI,18,FALSE)</f>
        <v>0.78123004894658399</v>
      </c>
      <c r="AB472">
        <f>VLOOKUP($J472,'[1]Table S6'!$A:$AI,19,FALSE)</f>
        <v>11.81</v>
      </c>
      <c r="AC472" t="str">
        <f>VLOOKUP($J472,'[1]Table S6'!$A:$AI,20,FALSE)</f>
        <v>No</v>
      </c>
      <c r="AE472">
        <f>VLOOKUP($J472,'[1]Table S6'!$A:$AI,22,FALSE)</f>
        <v>321.3</v>
      </c>
      <c r="AF472">
        <f>VLOOKUP($J472,'[1]Table S6'!$A:$AI,23,FALSE)</f>
        <v>0.68376250266014005</v>
      </c>
      <c r="AG472">
        <f>VLOOKUP($J472,'[1]Table S6'!$A:$AI,24,FALSE)</f>
        <v>2.3929999999999998</v>
      </c>
      <c r="AH472" t="str">
        <f>VLOOKUP($J472,'[1]Table S6'!$A:$AI,25,FALSE)</f>
        <v>Yes</v>
      </c>
      <c r="AJ472">
        <f>VLOOKUP($J472,'[1]Table S6'!$A:$AI,27,FALSE)</f>
        <v>395.4</v>
      </c>
      <c r="AK472">
        <f>VLOOKUP($J472,'[1]Table S6'!$A:$AI,28,FALSE)</f>
        <v>0.84145562885720404</v>
      </c>
      <c r="AL472">
        <f>VLOOKUP($J472,'[1]Table S6'!$A:$AI,29,FALSE)</f>
        <v>122.5</v>
      </c>
      <c r="AM472" t="str">
        <f>VLOOKUP($J472,'[1]Table S6'!$A:$AI,30,FALSE)</f>
        <v>No</v>
      </c>
      <c r="AO472">
        <f>VLOOKUP($J472,'[1]Table S6'!$A:$AI,32,FALSE)</f>
        <v>389.9</v>
      </c>
      <c r="AP472">
        <f>VLOOKUP($J472,'[1]Table S6'!$A:$AI,33,FALSE)</f>
        <v>0.82975101085337299</v>
      </c>
      <c r="AQ472">
        <f>VLOOKUP($J472,'[1]Table S6'!$A:$AI,34,FALSE)</f>
        <v>100.4</v>
      </c>
      <c r="AR472" t="str">
        <f>VLOOKUP($J472,'[1]Table S6'!$A:$AI,35,FALSE)</f>
        <v>No</v>
      </c>
      <c r="AT472" t="str">
        <f>VLOOKUP($I472,'[2]Table S5'!$A:$K,8,FALSE)</f>
        <v>Resistant</v>
      </c>
      <c r="AU472" t="str">
        <f>VLOOKUP($I472,'[2]Table S5'!$A:$K,9,FALSE)</f>
        <v>Resistant</v>
      </c>
      <c r="AV472" t="str">
        <f>VLOOKUP($I472,'[2]Table S5'!$A:$K,10,FALSE)</f>
        <v>Resistant</v>
      </c>
      <c r="AW472" t="str">
        <f>VLOOKUP($I472,'[2]Table S5'!$A:$K,11,FALSE)</f>
        <v>Resistant</v>
      </c>
    </row>
    <row r="473" spans="1:49">
      <c r="A473" s="12" t="s">
        <v>3119</v>
      </c>
      <c r="B473" t="s">
        <v>3120</v>
      </c>
      <c r="C473" t="s">
        <v>3121</v>
      </c>
      <c r="D473" t="s">
        <v>17</v>
      </c>
      <c r="E473" t="s">
        <v>991</v>
      </c>
      <c r="F473" s="12" t="s">
        <v>992</v>
      </c>
      <c r="G473" t="s">
        <v>993</v>
      </c>
      <c r="H473" t="s">
        <v>994</v>
      </c>
      <c r="I473" t="s">
        <v>970</v>
      </c>
      <c r="J473" t="s">
        <v>995</v>
      </c>
      <c r="K473">
        <f>VLOOKUP($J473,'[1]Table S6'!$A:$AI,2,FALSE)</f>
        <v>333.9</v>
      </c>
      <c r="L473">
        <f>VLOOKUP($J473,'[1]Table S6'!$A:$AI,3,FALSE)</f>
        <v>0.710576718450734</v>
      </c>
      <c r="M473">
        <f>VLOOKUP($J473,'[1]Table S6'!$A:$AI,4,FALSE)</f>
        <v>3.1829999999999998</v>
      </c>
      <c r="N473" t="str">
        <f>VLOOKUP($J473,'[1]Table S6'!$A:$AI,5,FALSE)</f>
        <v>No</v>
      </c>
      <c r="P473">
        <f>VLOOKUP($J473,'[1]Table S6'!$A:$AI,7,FALSE)</f>
        <v>364.2</v>
      </c>
      <c r="Q473">
        <f>VLOOKUP($J473,'[1]Table S6'!$A:$AI,8,FALSE)</f>
        <v>0.77505852309001899</v>
      </c>
      <c r="R473">
        <f>VLOOKUP($J473,'[1]Table S6'!$A:$AI,9,FALSE)</f>
        <v>7.7210000000000001</v>
      </c>
      <c r="S473" t="str">
        <f>VLOOKUP($J473,'[1]Table S6'!$A:$AI,10,FALSE)</f>
        <v>No</v>
      </c>
      <c r="U473">
        <f>VLOOKUP($J473,'[1]Table S6'!$A:$AI,12,FALSE)</f>
        <v>348.7</v>
      </c>
      <c r="V473">
        <f>VLOOKUP($J473,'[1]Table S6'!$A:$AI,13,FALSE)</f>
        <v>0.74207278144286004</v>
      </c>
      <c r="W473">
        <f>VLOOKUP($J473,'[1]Table S6'!$A:$AI,14,FALSE)</f>
        <v>7.2859999999999996</v>
      </c>
      <c r="X473" t="str">
        <f>VLOOKUP($J473,'[1]Table S6'!$A:$AI,15,FALSE)</f>
        <v>No</v>
      </c>
      <c r="Z473">
        <f>VLOOKUP($J473,'[1]Table S6'!$A:$AI,17,FALSE)</f>
        <v>323.2</v>
      </c>
      <c r="AA473">
        <f>VLOOKUP($J473,'[1]Table S6'!$A:$AI,18,FALSE)</f>
        <v>0.68780591615237296</v>
      </c>
      <c r="AB473">
        <f>VLOOKUP($J473,'[1]Table S6'!$A:$AI,19,FALSE)</f>
        <v>2.1160000000000001</v>
      </c>
      <c r="AC473" t="str">
        <f>VLOOKUP($J473,'[1]Table S6'!$A:$AI,20,FALSE)</f>
        <v>Yes</v>
      </c>
      <c r="AE473">
        <f>VLOOKUP($J473,'[1]Table S6'!$A:$AI,22,FALSE)</f>
        <v>325.5</v>
      </c>
      <c r="AF473">
        <f>VLOOKUP($J473,'[1]Table S6'!$A:$AI,23,FALSE)</f>
        <v>0.69270057459033796</v>
      </c>
      <c r="AG473">
        <f>VLOOKUP($J473,'[1]Table S6'!$A:$AI,24,FALSE)</f>
        <v>3.7759999999999998</v>
      </c>
      <c r="AH473" t="str">
        <f>VLOOKUP($J473,'[1]Table S6'!$A:$AI,25,FALSE)</f>
        <v>No</v>
      </c>
      <c r="AJ473">
        <f>VLOOKUP($J473,'[1]Table S6'!$A:$AI,27,FALSE)</f>
        <v>418.6</v>
      </c>
      <c r="AK473">
        <f>VLOOKUP($J473,'[1]Table S6'!$A:$AI,28,FALSE)</f>
        <v>0.89082783570972601</v>
      </c>
      <c r="AL473">
        <f>VLOOKUP($J473,'[1]Table S6'!$A:$AI,29,FALSE)</f>
        <v>176</v>
      </c>
      <c r="AM473" t="str">
        <f>VLOOKUP($J473,'[1]Table S6'!$A:$AI,30,FALSE)</f>
        <v>No</v>
      </c>
      <c r="AO473">
        <f>VLOOKUP($J473,'[1]Table S6'!$A:$AI,32,FALSE)</f>
        <v>409.4</v>
      </c>
      <c r="AP473">
        <f>VLOOKUP($J473,'[1]Table S6'!$A:$AI,33,FALSE)</f>
        <v>0.87124920195786304</v>
      </c>
      <c r="AQ473">
        <f>VLOOKUP($J473,'[1]Table S6'!$A:$AI,34,FALSE)</f>
        <v>177.5</v>
      </c>
      <c r="AR473" t="str">
        <f>VLOOKUP($J473,'[1]Table S6'!$A:$AI,35,FALSE)</f>
        <v>No</v>
      </c>
      <c r="AT473" t="str">
        <f>VLOOKUP($I473,'[2]Table S5'!$A:$K,8,FALSE)</f>
        <v>Resistant</v>
      </c>
      <c r="AU473" t="str">
        <f>VLOOKUP($I473,'[2]Table S5'!$A:$K,9,FALSE)</f>
        <v>Resistant</v>
      </c>
      <c r="AV473" t="str">
        <f>VLOOKUP($I473,'[2]Table S5'!$A:$K,10,FALSE)</f>
        <v>Resistant</v>
      </c>
      <c r="AW473" t="str">
        <f>VLOOKUP($I473,'[2]Table S5'!$A:$K,11,FALSE)</f>
        <v>Resistant</v>
      </c>
    </row>
    <row r="474" spans="1:49">
      <c r="A474" s="12" t="s">
        <v>3122</v>
      </c>
      <c r="B474" t="s">
        <v>3123</v>
      </c>
      <c r="C474" t="s">
        <v>3124</v>
      </c>
      <c r="D474" t="s">
        <v>17</v>
      </c>
      <c r="E474" t="s">
        <v>999</v>
      </c>
      <c r="F474" s="12" t="s">
        <v>1000</v>
      </c>
      <c r="G474" t="s">
        <v>1001</v>
      </c>
      <c r="H474" t="s">
        <v>1002</v>
      </c>
      <c r="I474" t="s">
        <v>970</v>
      </c>
      <c r="J474" t="s">
        <v>1003</v>
      </c>
      <c r="K474">
        <f>VLOOKUP($J474,'[1]Table S6'!$A:$AI,2,FALSE)</f>
        <v>349.2</v>
      </c>
      <c r="L474">
        <f>VLOOKUP($J474,'[1]Table S6'!$A:$AI,3,FALSE)</f>
        <v>0.74313683762502702</v>
      </c>
      <c r="M474">
        <f>VLOOKUP($J474,'[1]Table S6'!$A:$AI,4,FALSE)</f>
        <v>7.742</v>
      </c>
      <c r="N474" t="str">
        <f>VLOOKUP($J474,'[1]Table S6'!$A:$AI,5,FALSE)</f>
        <v>No</v>
      </c>
      <c r="P474">
        <f>VLOOKUP($J474,'[1]Table S6'!$A:$AI,7,FALSE)</f>
        <v>361.8</v>
      </c>
      <c r="Q474">
        <f>VLOOKUP($J474,'[1]Table S6'!$A:$AI,8,FALSE)</f>
        <v>0.76995105341561998</v>
      </c>
      <c r="R474">
        <f>VLOOKUP($J474,'[1]Table S6'!$A:$AI,9,FALSE)</f>
        <v>9.2200000000000006</v>
      </c>
      <c r="S474" t="str">
        <f>VLOOKUP($J474,'[1]Table S6'!$A:$AI,10,FALSE)</f>
        <v>No</v>
      </c>
      <c r="U474">
        <f>VLOOKUP($J474,'[1]Table S6'!$A:$AI,12,FALSE)</f>
        <v>349.5</v>
      </c>
      <c r="V474">
        <f>VLOOKUP($J474,'[1]Table S6'!$A:$AI,13,FALSE)</f>
        <v>0.74377527133432697</v>
      </c>
      <c r="W474">
        <f>VLOOKUP($J474,'[1]Table S6'!$A:$AI,14,FALSE)</f>
        <v>9.02</v>
      </c>
      <c r="X474" t="str">
        <f>VLOOKUP($J474,'[1]Table S6'!$A:$AI,15,FALSE)</f>
        <v>No</v>
      </c>
      <c r="Z474">
        <f>VLOOKUP($J474,'[1]Table S6'!$A:$AI,17,FALSE)</f>
        <v>390.8</v>
      </c>
      <c r="AA474">
        <f>VLOOKUP($J474,'[1]Table S6'!$A:$AI,18,FALSE)</f>
        <v>0.83166631198127305</v>
      </c>
      <c r="AB474">
        <f>VLOOKUP($J474,'[1]Table S6'!$A:$AI,19,FALSE)</f>
        <v>16.28</v>
      </c>
      <c r="AC474" t="str">
        <f>VLOOKUP($J474,'[1]Table S6'!$A:$AI,20,FALSE)</f>
        <v>No</v>
      </c>
      <c r="AE474">
        <f>VLOOKUP($J474,'[1]Table S6'!$A:$AI,22,FALSE)</f>
        <v>304.60000000000002</v>
      </c>
      <c r="AF474">
        <f>VLOOKUP($J474,'[1]Table S6'!$A:$AI,23,FALSE)</f>
        <v>0.64822302617578198</v>
      </c>
      <c r="AG474">
        <f>VLOOKUP($J474,'[1]Table S6'!$A:$AI,24,FALSE)</f>
        <v>1.335</v>
      </c>
      <c r="AH474" t="str">
        <f>VLOOKUP($J474,'[1]Table S6'!$A:$AI,25,FALSE)</f>
        <v>Yes</v>
      </c>
      <c r="AJ474">
        <f>VLOOKUP($J474,'[1]Table S6'!$A:$AI,27,FALSE)</f>
        <v>423.8</v>
      </c>
      <c r="AK474">
        <f>VLOOKUP($J474,'[1]Table S6'!$A:$AI,28,FALSE)</f>
        <v>0.901894020004256</v>
      </c>
      <c r="AL474">
        <f>VLOOKUP($J474,'[1]Table S6'!$A:$AI,29,FALSE)</f>
        <v>132.30000000000001</v>
      </c>
      <c r="AM474" t="str">
        <f>VLOOKUP($J474,'[1]Table S6'!$A:$AI,30,FALSE)</f>
        <v>No</v>
      </c>
      <c r="AO474">
        <f>VLOOKUP($J474,'[1]Table S6'!$A:$AI,32,FALSE)</f>
        <v>363.1</v>
      </c>
      <c r="AP474">
        <f>VLOOKUP($J474,'[1]Table S6'!$A:$AI,33,FALSE)</f>
        <v>0.772717599489253</v>
      </c>
      <c r="AQ474">
        <f>VLOOKUP($J474,'[1]Table S6'!$A:$AI,34,FALSE)</f>
        <v>10.59</v>
      </c>
      <c r="AR474" t="str">
        <f>VLOOKUP($J474,'[1]Table S6'!$A:$AI,35,FALSE)</f>
        <v>No</v>
      </c>
      <c r="AT474" t="str">
        <f>VLOOKUP($I474,'[2]Table S5'!$A:$K,8,FALSE)</f>
        <v>Resistant</v>
      </c>
      <c r="AU474" t="str">
        <f>VLOOKUP($I474,'[2]Table S5'!$A:$K,9,FALSE)</f>
        <v>Resistant</v>
      </c>
      <c r="AV474" t="str">
        <f>VLOOKUP($I474,'[2]Table S5'!$A:$K,10,FALSE)</f>
        <v>Resistant</v>
      </c>
      <c r="AW474" t="str">
        <f>VLOOKUP($I474,'[2]Table S5'!$A:$K,11,FALSE)</f>
        <v>Resistant</v>
      </c>
    </row>
    <row r="475" spans="1:49">
      <c r="A475" s="12" t="s">
        <v>3125</v>
      </c>
      <c r="B475" t="s">
        <v>3126</v>
      </c>
      <c r="C475" t="s">
        <v>3127</v>
      </c>
      <c r="D475" t="s">
        <v>17</v>
      </c>
      <c r="E475" t="s">
        <v>1007</v>
      </c>
      <c r="F475" s="12" t="s">
        <v>1008</v>
      </c>
      <c r="G475" t="s">
        <v>1009</v>
      </c>
      <c r="H475" t="s">
        <v>1010</v>
      </c>
      <c r="I475" t="s">
        <v>970</v>
      </c>
      <c r="J475" t="s">
        <v>971</v>
      </c>
      <c r="K475">
        <f>VLOOKUP($J475,'[1]Table S6'!$A:$AI,2,FALSE)</f>
        <v>352.3</v>
      </c>
      <c r="L475">
        <f>VLOOKUP($J475,'[1]Table S6'!$A:$AI,3,FALSE)</f>
        <v>0.74973398595445895</v>
      </c>
      <c r="M475">
        <f>VLOOKUP($J475,'[1]Table S6'!$A:$AI,4,FALSE)</f>
        <v>4.7530000000000001</v>
      </c>
      <c r="N475" t="str">
        <f>VLOOKUP($J475,'[1]Table S6'!$A:$AI,5,FALSE)</f>
        <v>No</v>
      </c>
      <c r="P475">
        <f>VLOOKUP($J475,'[1]Table S6'!$A:$AI,7,FALSE)</f>
        <v>343.4</v>
      </c>
      <c r="Q475">
        <f>VLOOKUP($J475,'[1]Table S6'!$A:$AI,8,FALSE)</f>
        <v>0.73079378591189603</v>
      </c>
      <c r="R475">
        <f>VLOOKUP($J475,'[1]Table S6'!$A:$AI,9,FALSE)</f>
        <v>4.9379999999999997</v>
      </c>
      <c r="S475" t="str">
        <f>VLOOKUP($J475,'[1]Table S6'!$A:$AI,10,FALSE)</f>
        <v>No</v>
      </c>
      <c r="U475">
        <f>VLOOKUP($J475,'[1]Table S6'!$A:$AI,12,FALSE)</f>
        <v>404.3</v>
      </c>
      <c r="V475">
        <f>VLOOKUP($J475,'[1]Table S6'!$A:$AI,13,FALSE)</f>
        <v>0.86039582889976596</v>
      </c>
      <c r="W475">
        <f>VLOOKUP($J475,'[1]Table S6'!$A:$AI,14,FALSE)</f>
        <v>41.17</v>
      </c>
      <c r="X475" t="str">
        <f>VLOOKUP($J475,'[1]Table S6'!$A:$AI,15,FALSE)</f>
        <v>No</v>
      </c>
      <c r="Z475">
        <f>VLOOKUP($J475,'[1]Table S6'!$A:$AI,17,FALSE)</f>
        <v>394.7</v>
      </c>
      <c r="AA475">
        <f>VLOOKUP($J475,'[1]Table S6'!$A:$AI,18,FALSE)</f>
        <v>0.83996595020217102</v>
      </c>
      <c r="AB475">
        <f>VLOOKUP($J475,'[1]Table S6'!$A:$AI,19,FALSE)</f>
        <v>16.13</v>
      </c>
      <c r="AC475" t="str">
        <f>VLOOKUP($J475,'[1]Table S6'!$A:$AI,20,FALSE)</f>
        <v>No</v>
      </c>
      <c r="AE475">
        <f>VLOOKUP($J475,'[1]Table S6'!$A:$AI,22,FALSE)</f>
        <v>386.1</v>
      </c>
      <c r="AF475">
        <f>VLOOKUP($J475,'[1]Table S6'!$A:$AI,23,FALSE)</f>
        <v>0.82166418386890805</v>
      </c>
      <c r="AG475">
        <f>VLOOKUP($J475,'[1]Table S6'!$A:$AI,24,FALSE)</f>
        <v>17.25</v>
      </c>
      <c r="AH475" t="str">
        <f>VLOOKUP($J475,'[1]Table S6'!$A:$AI,25,FALSE)</f>
        <v>No</v>
      </c>
      <c r="AJ475">
        <f>VLOOKUP($J475,'[1]Table S6'!$A:$AI,27,FALSE)</f>
        <v>422</v>
      </c>
      <c r="AK475">
        <f>VLOOKUP($J475,'[1]Table S6'!$A:$AI,28,FALSE)</f>
        <v>0.89806341774845699</v>
      </c>
      <c r="AL475">
        <f>VLOOKUP($J475,'[1]Table S6'!$A:$AI,29,FALSE)</f>
        <v>190.6</v>
      </c>
      <c r="AM475" t="str">
        <f>VLOOKUP($J475,'[1]Table S6'!$A:$AI,30,FALSE)</f>
        <v>No</v>
      </c>
      <c r="AO475">
        <f>VLOOKUP($J475,'[1]Table S6'!$A:$AI,32,FALSE)</f>
        <v>432.3</v>
      </c>
      <c r="AP475">
        <f>VLOOKUP($J475,'[1]Table S6'!$A:$AI,33,FALSE)</f>
        <v>0.91998297510108495</v>
      </c>
      <c r="AQ475">
        <f>VLOOKUP($J475,'[1]Table S6'!$A:$AI,34,FALSE)</f>
        <v>215.2</v>
      </c>
      <c r="AR475" t="str">
        <f>VLOOKUP($J475,'[1]Table S6'!$A:$AI,35,FALSE)</f>
        <v>No</v>
      </c>
      <c r="AT475" t="str">
        <f>VLOOKUP($I475,'[2]Table S5'!$A:$K,8,FALSE)</f>
        <v>Resistant</v>
      </c>
      <c r="AU475" t="str">
        <f>VLOOKUP($I475,'[2]Table S5'!$A:$K,9,FALSE)</f>
        <v>Resistant</v>
      </c>
      <c r="AV475" t="str">
        <f>VLOOKUP($I475,'[2]Table S5'!$A:$K,10,FALSE)</f>
        <v>Resistant</v>
      </c>
      <c r="AW475" t="str">
        <f>VLOOKUP($I475,'[2]Table S5'!$A:$K,11,FALSE)</f>
        <v>Resistant</v>
      </c>
    </row>
    <row r="476" spans="1:49">
      <c r="A476" s="12" t="s">
        <v>3128</v>
      </c>
      <c r="B476" t="s">
        <v>3129</v>
      </c>
      <c r="C476" t="s">
        <v>3130</v>
      </c>
      <c r="D476" t="s">
        <v>17</v>
      </c>
      <c r="E476" t="s">
        <v>1014</v>
      </c>
      <c r="F476" s="12" t="s">
        <v>1015</v>
      </c>
      <c r="G476" t="s">
        <v>1016</v>
      </c>
      <c r="H476" t="s">
        <v>1017</v>
      </c>
      <c r="I476" t="s">
        <v>970</v>
      </c>
      <c r="J476" t="s">
        <v>979</v>
      </c>
      <c r="K476">
        <f>VLOOKUP($J476,'[1]Table S6'!$A:$AI,2,FALSE)</f>
        <v>341.4</v>
      </c>
      <c r="L476">
        <f>VLOOKUP($J476,'[1]Table S6'!$A:$AI,3,FALSE)</f>
        <v>0.72653756118322999</v>
      </c>
      <c r="M476">
        <f>VLOOKUP($J476,'[1]Table S6'!$A:$AI,4,FALSE)</f>
        <v>2.9329999999999998</v>
      </c>
      <c r="N476" t="str">
        <f>VLOOKUP($J476,'[1]Table S6'!$A:$AI,5,FALSE)</f>
        <v>No</v>
      </c>
      <c r="P476">
        <f>VLOOKUP($J476,'[1]Table S6'!$A:$AI,7,FALSE)</f>
        <v>365.1</v>
      </c>
      <c r="Q476">
        <f>VLOOKUP($J476,'[1]Table S6'!$A:$AI,8,FALSE)</f>
        <v>0.77697382421791905</v>
      </c>
      <c r="R476">
        <f>VLOOKUP($J476,'[1]Table S6'!$A:$AI,9,FALSE)</f>
        <v>10.050000000000001</v>
      </c>
      <c r="S476" t="str">
        <f>VLOOKUP($J476,'[1]Table S6'!$A:$AI,10,FALSE)</f>
        <v>No</v>
      </c>
      <c r="U476">
        <f>VLOOKUP($J476,'[1]Table S6'!$A:$AI,12,FALSE)</f>
        <v>381.2</v>
      </c>
      <c r="V476">
        <f>VLOOKUP($J476,'[1]Table S6'!$A:$AI,13,FALSE)</f>
        <v>0.81123643328367701</v>
      </c>
      <c r="W476">
        <f>VLOOKUP($J476,'[1]Table S6'!$A:$AI,14,FALSE)</f>
        <v>17.72</v>
      </c>
      <c r="X476" t="str">
        <f>VLOOKUP($J476,'[1]Table S6'!$A:$AI,15,FALSE)</f>
        <v>No</v>
      </c>
      <c r="Z476">
        <f>VLOOKUP($J476,'[1]Table S6'!$A:$AI,17,FALSE)</f>
        <v>326.7</v>
      </c>
      <c r="AA476">
        <f>VLOOKUP($J476,'[1]Table S6'!$A:$AI,18,FALSE)</f>
        <v>0.69525430942753796</v>
      </c>
      <c r="AB476">
        <f>VLOOKUP($J476,'[1]Table S6'!$A:$AI,19,FALSE)</f>
        <v>2.3530000000000002</v>
      </c>
      <c r="AC476" t="str">
        <f>VLOOKUP($J476,'[1]Table S6'!$A:$AI,20,FALSE)</f>
        <v>No</v>
      </c>
      <c r="AE476">
        <f>VLOOKUP($J476,'[1]Table S6'!$A:$AI,22,FALSE)</f>
        <v>370.9</v>
      </c>
      <c r="AF476">
        <f>VLOOKUP($J476,'[1]Table S6'!$A:$AI,23,FALSE)</f>
        <v>0.78931687593104904</v>
      </c>
      <c r="AG476">
        <f>VLOOKUP($J476,'[1]Table S6'!$A:$AI,24,FALSE)</f>
        <v>10.81</v>
      </c>
      <c r="AH476" t="str">
        <f>VLOOKUP($J476,'[1]Table S6'!$A:$AI,25,FALSE)</f>
        <v>No</v>
      </c>
      <c r="AJ476">
        <f>VLOOKUP($J476,'[1]Table S6'!$A:$AI,27,FALSE)</f>
        <v>398.9</v>
      </c>
      <c r="AK476">
        <f>VLOOKUP($J476,'[1]Table S6'!$A:$AI,28,FALSE)</f>
        <v>0.84890402213236904</v>
      </c>
      <c r="AL476">
        <f>VLOOKUP($J476,'[1]Table S6'!$A:$AI,29,FALSE)</f>
        <v>80.67</v>
      </c>
      <c r="AM476" t="str">
        <f>VLOOKUP($J476,'[1]Table S6'!$A:$AI,30,FALSE)</f>
        <v>No</v>
      </c>
      <c r="AO476">
        <f>VLOOKUP($J476,'[1]Table S6'!$A:$AI,32,FALSE)</f>
        <v>417.2</v>
      </c>
      <c r="AP476">
        <f>VLOOKUP($J476,'[1]Table S6'!$A:$AI,33,FALSE)</f>
        <v>0.88784847839965997</v>
      </c>
      <c r="AQ476">
        <f>VLOOKUP($J476,'[1]Table S6'!$A:$AI,34,FALSE)</f>
        <v>100.4</v>
      </c>
      <c r="AR476" t="str">
        <f>VLOOKUP($J476,'[1]Table S6'!$A:$AI,35,FALSE)</f>
        <v>No</v>
      </c>
      <c r="AT476" t="str">
        <f>VLOOKUP($I476,'[2]Table S5'!$A:$K,8,FALSE)</f>
        <v>Resistant</v>
      </c>
      <c r="AU476" t="str">
        <f>VLOOKUP($I476,'[2]Table S5'!$A:$K,9,FALSE)</f>
        <v>Resistant</v>
      </c>
      <c r="AV476" t="str">
        <f>VLOOKUP($I476,'[2]Table S5'!$A:$K,10,FALSE)</f>
        <v>Resistant</v>
      </c>
      <c r="AW476" t="str">
        <f>VLOOKUP($I476,'[2]Table S5'!$A:$K,11,FALSE)</f>
        <v>Resistant</v>
      </c>
    </row>
    <row r="477" spans="1:49">
      <c r="A477" s="12" t="s">
        <v>3131</v>
      </c>
      <c r="B477" t="s">
        <v>3132</v>
      </c>
      <c r="C477" t="s">
        <v>3133</v>
      </c>
      <c r="D477" t="s">
        <v>17</v>
      </c>
      <c r="E477" t="s">
        <v>1021</v>
      </c>
      <c r="F477" s="12" t="s">
        <v>1022</v>
      </c>
      <c r="G477" t="s">
        <v>1023</v>
      </c>
      <c r="H477" t="s">
        <v>1024</v>
      </c>
      <c r="I477" t="s">
        <v>970</v>
      </c>
      <c r="J477" t="s">
        <v>987</v>
      </c>
      <c r="K477">
        <f>VLOOKUP($J477,'[1]Table S6'!$A:$AI,2,FALSE)</f>
        <v>363.3</v>
      </c>
      <c r="L477">
        <f>VLOOKUP($J477,'[1]Table S6'!$A:$AI,3,FALSE)</f>
        <v>0.77314322196212004</v>
      </c>
      <c r="M477">
        <f>VLOOKUP($J477,'[1]Table S6'!$A:$AI,4,FALSE)</f>
        <v>7.702</v>
      </c>
      <c r="N477" t="str">
        <f>VLOOKUP($J477,'[1]Table S6'!$A:$AI,5,FALSE)</f>
        <v>No</v>
      </c>
      <c r="P477">
        <f>VLOOKUP($J477,'[1]Table S6'!$A:$AI,7,FALSE)</f>
        <v>341.8</v>
      </c>
      <c r="Q477">
        <f>VLOOKUP($J477,'[1]Table S6'!$A:$AI,8,FALSE)</f>
        <v>0.72738880612896395</v>
      </c>
      <c r="R477">
        <f>VLOOKUP($J477,'[1]Table S6'!$A:$AI,9,FALSE)</f>
        <v>4.7080000000000002</v>
      </c>
      <c r="S477" t="str">
        <f>VLOOKUP($J477,'[1]Table S6'!$A:$AI,10,FALSE)</f>
        <v>No</v>
      </c>
      <c r="U477">
        <f>VLOOKUP($J477,'[1]Table S6'!$A:$AI,12,FALSE)</f>
        <v>359.1</v>
      </c>
      <c r="V477">
        <f>VLOOKUP($J477,'[1]Table S6'!$A:$AI,13,FALSE)</f>
        <v>0.76420515003192202</v>
      </c>
      <c r="W477">
        <f>VLOOKUP($J477,'[1]Table S6'!$A:$AI,14,FALSE)</f>
        <v>10.39</v>
      </c>
      <c r="X477" t="str">
        <f>VLOOKUP($J477,'[1]Table S6'!$A:$AI,15,FALSE)</f>
        <v>No</v>
      </c>
      <c r="Z477">
        <f>VLOOKUP($J477,'[1]Table S6'!$A:$AI,17,FALSE)</f>
        <v>367.1</v>
      </c>
      <c r="AA477">
        <f>VLOOKUP($J477,'[1]Table S6'!$A:$AI,18,FALSE)</f>
        <v>0.78123004894658399</v>
      </c>
      <c r="AB477">
        <f>VLOOKUP($J477,'[1]Table S6'!$A:$AI,19,FALSE)</f>
        <v>11.81</v>
      </c>
      <c r="AC477" t="str">
        <f>VLOOKUP($J477,'[1]Table S6'!$A:$AI,20,FALSE)</f>
        <v>No</v>
      </c>
      <c r="AE477">
        <f>VLOOKUP($J477,'[1]Table S6'!$A:$AI,22,FALSE)</f>
        <v>321.3</v>
      </c>
      <c r="AF477">
        <f>VLOOKUP($J477,'[1]Table S6'!$A:$AI,23,FALSE)</f>
        <v>0.68376250266014005</v>
      </c>
      <c r="AG477">
        <f>VLOOKUP($J477,'[1]Table S6'!$A:$AI,24,FALSE)</f>
        <v>2.3929999999999998</v>
      </c>
      <c r="AH477" t="str">
        <f>VLOOKUP($J477,'[1]Table S6'!$A:$AI,25,FALSE)</f>
        <v>Yes</v>
      </c>
      <c r="AJ477">
        <f>VLOOKUP($J477,'[1]Table S6'!$A:$AI,27,FALSE)</f>
        <v>395.4</v>
      </c>
      <c r="AK477">
        <f>VLOOKUP($J477,'[1]Table S6'!$A:$AI,28,FALSE)</f>
        <v>0.84145562885720404</v>
      </c>
      <c r="AL477">
        <f>VLOOKUP($J477,'[1]Table S6'!$A:$AI,29,FALSE)</f>
        <v>122.5</v>
      </c>
      <c r="AM477" t="str">
        <f>VLOOKUP($J477,'[1]Table S6'!$A:$AI,30,FALSE)</f>
        <v>No</v>
      </c>
      <c r="AO477">
        <f>VLOOKUP($J477,'[1]Table S6'!$A:$AI,32,FALSE)</f>
        <v>389.9</v>
      </c>
      <c r="AP477">
        <f>VLOOKUP($J477,'[1]Table S6'!$A:$AI,33,FALSE)</f>
        <v>0.82975101085337299</v>
      </c>
      <c r="AQ477">
        <f>VLOOKUP($J477,'[1]Table S6'!$A:$AI,34,FALSE)</f>
        <v>100.4</v>
      </c>
      <c r="AR477" t="str">
        <f>VLOOKUP($J477,'[1]Table S6'!$A:$AI,35,FALSE)</f>
        <v>No</v>
      </c>
      <c r="AT477" t="str">
        <f>VLOOKUP($I477,'[2]Table S5'!$A:$K,8,FALSE)</f>
        <v>Resistant</v>
      </c>
      <c r="AU477" t="str">
        <f>VLOOKUP($I477,'[2]Table S5'!$A:$K,9,FALSE)</f>
        <v>Resistant</v>
      </c>
      <c r="AV477" t="str">
        <f>VLOOKUP($I477,'[2]Table S5'!$A:$K,10,FALSE)</f>
        <v>Resistant</v>
      </c>
      <c r="AW477" t="str">
        <f>VLOOKUP($I477,'[2]Table S5'!$A:$K,11,FALSE)</f>
        <v>Resistant</v>
      </c>
    </row>
    <row r="478" spans="1:49">
      <c r="A478" s="12" t="s">
        <v>3134</v>
      </c>
      <c r="B478" t="s">
        <v>3135</v>
      </c>
      <c r="C478" t="s">
        <v>3136</v>
      </c>
      <c r="D478" t="s">
        <v>17</v>
      </c>
      <c r="E478" t="s">
        <v>1028</v>
      </c>
      <c r="F478" s="12" t="s">
        <v>1029</v>
      </c>
      <c r="G478" t="s">
        <v>1030</v>
      </c>
      <c r="H478" t="s">
        <v>1031</v>
      </c>
      <c r="I478" t="s">
        <v>970</v>
      </c>
      <c r="J478" t="s">
        <v>995</v>
      </c>
      <c r="K478">
        <f>VLOOKUP($J478,'[1]Table S6'!$A:$AI,2,FALSE)</f>
        <v>333.9</v>
      </c>
      <c r="L478">
        <f>VLOOKUP($J478,'[1]Table S6'!$A:$AI,3,FALSE)</f>
        <v>0.710576718450734</v>
      </c>
      <c r="M478">
        <f>VLOOKUP($J478,'[1]Table S6'!$A:$AI,4,FALSE)</f>
        <v>3.1829999999999998</v>
      </c>
      <c r="N478" t="str">
        <f>VLOOKUP($J478,'[1]Table S6'!$A:$AI,5,FALSE)</f>
        <v>No</v>
      </c>
      <c r="P478">
        <f>VLOOKUP($J478,'[1]Table S6'!$A:$AI,7,FALSE)</f>
        <v>364.2</v>
      </c>
      <c r="Q478">
        <f>VLOOKUP($J478,'[1]Table S6'!$A:$AI,8,FALSE)</f>
        <v>0.77505852309001899</v>
      </c>
      <c r="R478">
        <f>VLOOKUP($J478,'[1]Table S6'!$A:$AI,9,FALSE)</f>
        <v>7.7210000000000001</v>
      </c>
      <c r="S478" t="str">
        <f>VLOOKUP($J478,'[1]Table S6'!$A:$AI,10,FALSE)</f>
        <v>No</v>
      </c>
      <c r="U478">
        <f>VLOOKUP($J478,'[1]Table S6'!$A:$AI,12,FALSE)</f>
        <v>348.7</v>
      </c>
      <c r="V478">
        <f>VLOOKUP($J478,'[1]Table S6'!$A:$AI,13,FALSE)</f>
        <v>0.74207278144286004</v>
      </c>
      <c r="W478">
        <f>VLOOKUP($J478,'[1]Table S6'!$A:$AI,14,FALSE)</f>
        <v>7.2859999999999996</v>
      </c>
      <c r="X478" t="str">
        <f>VLOOKUP($J478,'[1]Table S6'!$A:$AI,15,FALSE)</f>
        <v>No</v>
      </c>
      <c r="Z478">
        <f>VLOOKUP($J478,'[1]Table S6'!$A:$AI,17,FALSE)</f>
        <v>323.2</v>
      </c>
      <c r="AA478">
        <f>VLOOKUP($J478,'[1]Table S6'!$A:$AI,18,FALSE)</f>
        <v>0.68780591615237296</v>
      </c>
      <c r="AB478">
        <f>VLOOKUP($J478,'[1]Table S6'!$A:$AI,19,FALSE)</f>
        <v>2.1160000000000001</v>
      </c>
      <c r="AC478" t="str">
        <f>VLOOKUP($J478,'[1]Table S6'!$A:$AI,20,FALSE)</f>
        <v>Yes</v>
      </c>
      <c r="AE478">
        <f>VLOOKUP($J478,'[1]Table S6'!$A:$AI,22,FALSE)</f>
        <v>325.5</v>
      </c>
      <c r="AF478">
        <f>VLOOKUP($J478,'[1]Table S6'!$A:$AI,23,FALSE)</f>
        <v>0.69270057459033796</v>
      </c>
      <c r="AG478">
        <f>VLOOKUP($J478,'[1]Table S6'!$A:$AI,24,FALSE)</f>
        <v>3.7759999999999998</v>
      </c>
      <c r="AH478" t="str">
        <f>VLOOKUP($J478,'[1]Table S6'!$A:$AI,25,FALSE)</f>
        <v>No</v>
      </c>
      <c r="AJ478">
        <f>VLOOKUP($J478,'[1]Table S6'!$A:$AI,27,FALSE)</f>
        <v>418.6</v>
      </c>
      <c r="AK478">
        <f>VLOOKUP($J478,'[1]Table S6'!$A:$AI,28,FALSE)</f>
        <v>0.89082783570972601</v>
      </c>
      <c r="AL478">
        <f>VLOOKUP($J478,'[1]Table S6'!$A:$AI,29,FALSE)</f>
        <v>176</v>
      </c>
      <c r="AM478" t="str">
        <f>VLOOKUP($J478,'[1]Table S6'!$A:$AI,30,FALSE)</f>
        <v>No</v>
      </c>
      <c r="AO478">
        <f>VLOOKUP($J478,'[1]Table S6'!$A:$AI,32,FALSE)</f>
        <v>409.4</v>
      </c>
      <c r="AP478">
        <f>VLOOKUP($J478,'[1]Table S6'!$A:$AI,33,FALSE)</f>
        <v>0.87124920195786304</v>
      </c>
      <c r="AQ478">
        <f>VLOOKUP($J478,'[1]Table S6'!$A:$AI,34,FALSE)</f>
        <v>177.5</v>
      </c>
      <c r="AR478" t="str">
        <f>VLOOKUP($J478,'[1]Table S6'!$A:$AI,35,FALSE)</f>
        <v>No</v>
      </c>
      <c r="AT478" t="str">
        <f>VLOOKUP($I478,'[2]Table S5'!$A:$K,8,FALSE)</f>
        <v>Resistant</v>
      </c>
      <c r="AU478" t="str">
        <f>VLOOKUP($I478,'[2]Table S5'!$A:$K,9,FALSE)</f>
        <v>Resistant</v>
      </c>
      <c r="AV478" t="str">
        <f>VLOOKUP($I478,'[2]Table S5'!$A:$K,10,FALSE)</f>
        <v>Resistant</v>
      </c>
      <c r="AW478" t="str">
        <f>VLOOKUP($I478,'[2]Table S5'!$A:$K,11,FALSE)</f>
        <v>Resistant</v>
      </c>
    </row>
    <row r="479" spans="1:49">
      <c r="A479" s="12" t="s">
        <v>3137</v>
      </c>
      <c r="B479" t="s">
        <v>3138</v>
      </c>
      <c r="C479" t="s">
        <v>3139</v>
      </c>
      <c r="D479" t="s">
        <v>17</v>
      </c>
      <c r="E479" t="s">
        <v>1035</v>
      </c>
      <c r="F479" s="12" t="s">
        <v>1036</v>
      </c>
      <c r="G479" t="s">
        <v>1037</v>
      </c>
      <c r="H479" t="s">
        <v>1038</v>
      </c>
      <c r="I479" t="s">
        <v>970</v>
      </c>
      <c r="J479" t="s">
        <v>1003</v>
      </c>
      <c r="K479">
        <f>VLOOKUP($J479,'[1]Table S6'!$A:$AI,2,FALSE)</f>
        <v>349.2</v>
      </c>
      <c r="L479">
        <f>VLOOKUP($J479,'[1]Table S6'!$A:$AI,3,FALSE)</f>
        <v>0.74313683762502702</v>
      </c>
      <c r="M479">
        <f>VLOOKUP($J479,'[1]Table S6'!$A:$AI,4,FALSE)</f>
        <v>7.742</v>
      </c>
      <c r="N479" t="str">
        <f>VLOOKUP($J479,'[1]Table S6'!$A:$AI,5,FALSE)</f>
        <v>No</v>
      </c>
      <c r="P479">
        <f>VLOOKUP($J479,'[1]Table S6'!$A:$AI,7,FALSE)</f>
        <v>361.8</v>
      </c>
      <c r="Q479">
        <f>VLOOKUP($J479,'[1]Table S6'!$A:$AI,8,FALSE)</f>
        <v>0.76995105341561998</v>
      </c>
      <c r="R479">
        <f>VLOOKUP($J479,'[1]Table S6'!$A:$AI,9,FALSE)</f>
        <v>9.2200000000000006</v>
      </c>
      <c r="S479" t="str">
        <f>VLOOKUP($J479,'[1]Table S6'!$A:$AI,10,FALSE)</f>
        <v>No</v>
      </c>
      <c r="U479">
        <f>VLOOKUP($J479,'[1]Table S6'!$A:$AI,12,FALSE)</f>
        <v>349.5</v>
      </c>
      <c r="V479">
        <f>VLOOKUP($J479,'[1]Table S6'!$A:$AI,13,FALSE)</f>
        <v>0.74377527133432697</v>
      </c>
      <c r="W479">
        <f>VLOOKUP($J479,'[1]Table S6'!$A:$AI,14,FALSE)</f>
        <v>9.02</v>
      </c>
      <c r="X479" t="str">
        <f>VLOOKUP($J479,'[1]Table S6'!$A:$AI,15,FALSE)</f>
        <v>No</v>
      </c>
      <c r="Z479">
        <f>VLOOKUP($J479,'[1]Table S6'!$A:$AI,17,FALSE)</f>
        <v>390.8</v>
      </c>
      <c r="AA479">
        <f>VLOOKUP($J479,'[1]Table S6'!$A:$AI,18,FALSE)</f>
        <v>0.83166631198127305</v>
      </c>
      <c r="AB479">
        <f>VLOOKUP($J479,'[1]Table S6'!$A:$AI,19,FALSE)</f>
        <v>16.28</v>
      </c>
      <c r="AC479" t="str">
        <f>VLOOKUP($J479,'[1]Table S6'!$A:$AI,20,FALSE)</f>
        <v>No</v>
      </c>
      <c r="AE479">
        <f>VLOOKUP($J479,'[1]Table S6'!$A:$AI,22,FALSE)</f>
        <v>304.60000000000002</v>
      </c>
      <c r="AF479">
        <f>VLOOKUP($J479,'[1]Table S6'!$A:$AI,23,FALSE)</f>
        <v>0.64822302617578198</v>
      </c>
      <c r="AG479">
        <f>VLOOKUP($J479,'[1]Table S6'!$A:$AI,24,FALSE)</f>
        <v>1.335</v>
      </c>
      <c r="AH479" t="str">
        <f>VLOOKUP($J479,'[1]Table S6'!$A:$AI,25,FALSE)</f>
        <v>Yes</v>
      </c>
      <c r="AJ479">
        <f>VLOOKUP($J479,'[1]Table S6'!$A:$AI,27,FALSE)</f>
        <v>423.8</v>
      </c>
      <c r="AK479">
        <f>VLOOKUP($J479,'[1]Table S6'!$A:$AI,28,FALSE)</f>
        <v>0.901894020004256</v>
      </c>
      <c r="AL479">
        <f>VLOOKUP($J479,'[1]Table S6'!$A:$AI,29,FALSE)</f>
        <v>132.30000000000001</v>
      </c>
      <c r="AM479" t="str">
        <f>VLOOKUP($J479,'[1]Table S6'!$A:$AI,30,FALSE)</f>
        <v>No</v>
      </c>
      <c r="AO479">
        <f>VLOOKUP($J479,'[1]Table S6'!$A:$AI,32,FALSE)</f>
        <v>363.1</v>
      </c>
      <c r="AP479">
        <f>VLOOKUP($J479,'[1]Table S6'!$A:$AI,33,FALSE)</f>
        <v>0.772717599489253</v>
      </c>
      <c r="AQ479">
        <f>VLOOKUP($J479,'[1]Table S6'!$A:$AI,34,FALSE)</f>
        <v>10.59</v>
      </c>
      <c r="AR479" t="str">
        <f>VLOOKUP($J479,'[1]Table S6'!$A:$AI,35,FALSE)</f>
        <v>No</v>
      </c>
      <c r="AT479" t="str">
        <f>VLOOKUP($I479,'[2]Table S5'!$A:$K,8,FALSE)</f>
        <v>Resistant</v>
      </c>
      <c r="AU479" t="str">
        <f>VLOOKUP($I479,'[2]Table S5'!$A:$K,9,FALSE)</f>
        <v>Resistant</v>
      </c>
      <c r="AV479" t="str">
        <f>VLOOKUP($I479,'[2]Table S5'!$A:$K,10,FALSE)</f>
        <v>Resistant</v>
      </c>
      <c r="AW479" t="str">
        <f>VLOOKUP($I479,'[2]Table S5'!$A:$K,11,FALSE)</f>
        <v>Resistant</v>
      </c>
    </row>
    <row r="480" spans="1:49">
      <c r="A480" s="12" t="s">
        <v>3140</v>
      </c>
      <c r="B480" t="s">
        <v>3141</v>
      </c>
      <c r="C480" t="s">
        <v>3142</v>
      </c>
      <c r="D480" t="s">
        <v>17</v>
      </c>
      <c r="E480" t="s">
        <v>3143</v>
      </c>
      <c r="F480" s="12" t="s">
        <v>3144</v>
      </c>
      <c r="G480" t="s">
        <v>3145</v>
      </c>
      <c r="H480" t="s">
        <v>3146</v>
      </c>
      <c r="I480" t="s">
        <v>1053</v>
      </c>
      <c r="J480" t="s">
        <v>1053</v>
      </c>
      <c r="K480" t="e">
        <f>VLOOKUP($J480,'[1]Table S6'!$A:$AI,2,FALSE)</f>
        <v>#N/A</v>
      </c>
      <c r="L480" t="e">
        <f>VLOOKUP($J480,'[1]Table S6'!$A:$AI,3,FALSE)</f>
        <v>#N/A</v>
      </c>
      <c r="M480" t="e">
        <f>VLOOKUP($J480,'[1]Table S6'!$A:$AI,4,FALSE)</f>
        <v>#N/A</v>
      </c>
      <c r="N480" t="e">
        <f>VLOOKUP($J480,'[1]Table S6'!$A:$AI,5,FALSE)</f>
        <v>#N/A</v>
      </c>
      <c r="P480" t="e">
        <f>VLOOKUP($J480,'[1]Table S6'!$A:$AI,7,FALSE)</f>
        <v>#N/A</v>
      </c>
      <c r="Q480" t="e">
        <f>VLOOKUP($J480,'[1]Table S6'!$A:$AI,8,FALSE)</f>
        <v>#N/A</v>
      </c>
      <c r="R480" t="e">
        <f>VLOOKUP($J480,'[1]Table S6'!$A:$AI,9,FALSE)</f>
        <v>#N/A</v>
      </c>
      <c r="S480" t="e">
        <f>VLOOKUP($J480,'[1]Table S6'!$A:$AI,10,FALSE)</f>
        <v>#N/A</v>
      </c>
      <c r="U480" t="e">
        <f>VLOOKUP($J480,'[1]Table S6'!$A:$AI,12,FALSE)</f>
        <v>#N/A</v>
      </c>
      <c r="V480" t="e">
        <f>VLOOKUP($J480,'[1]Table S6'!$A:$AI,13,FALSE)</f>
        <v>#N/A</v>
      </c>
      <c r="W480" t="e">
        <f>VLOOKUP($J480,'[1]Table S6'!$A:$AI,14,FALSE)</f>
        <v>#N/A</v>
      </c>
      <c r="X480" t="e">
        <f>VLOOKUP($J480,'[1]Table S6'!$A:$AI,15,FALSE)</f>
        <v>#N/A</v>
      </c>
      <c r="Z480" t="e">
        <f>VLOOKUP($J480,'[1]Table S6'!$A:$AI,17,FALSE)</f>
        <v>#N/A</v>
      </c>
      <c r="AA480" t="e">
        <f>VLOOKUP($J480,'[1]Table S6'!$A:$AI,18,FALSE)</f>
        <v>#N/A</v>
      </c>
      <c r="AB480" t="e">
        <f>VLOOKUP($J480,'[1]Table S6'!$A:$AI,19,FALSE)</f>
        <v>#N/A</v>
      </c>
      <c r="AC480" t="e">
        <f>VLOOKUP($J480,'[1]Table S6'!$A:$AI,20,FALSE)</f>
        <v>#N/A</v>
      </c>
      <c r="AE480" t="e">
        <f>VLOOKUP($J480,'[1]Table S6'!$A:$AI,22,FALSE)</f>
        <v>#N/A</v>
      </c>
      <c r="AF480" t="e">
        <f>VLOOKUP($J480,'[1]Table S6'!$A:$AI,23,FALSE)</f>
        <v>#N/A</v>
      </c>
      <c r="AG480" t="e">
        <f>VLOOKUP($J480,'[1]Table S6'!$A:$AI,24,FALSE)</f>
        <v>#N/A</v>
      </c>
      <c r="AH480" t="e">
        <f>VLOOKUP($J480,'[1]Table S6'!$A:$AI,25,FALSE)</f>
        <v>#N/A</v>
      </c>
      <c r="AJ480" t="e">
        <f>VLOOKUP($J480,'[1]Table S6'!$A:$AI,27,FALSE)</f>
        <v>#N/A</v>
      </c>
      <c r="AK480" t="e">
        <f>VLOOKUP($J480,'[1]Table S6'!$A:$AI,28,FALSE)</f>
        <v>#N/A</v>
      </c>
      <c r="AL480" t="e">
        <f>VLOOKUP($J480,'[1]Table S6'!$A:$AI,29,FALSE)</f>
        <v>#N/A</v>
      </c>
      <c r="AM480" t="e">
        <f>VLOOKUP($J480,'[1]Table S6'!$A:$AI,30,FALSE)</f>
        <v>#N/A</v>
      </c>
      <c r="AO480" t="e">
        <f>VLOOKUP($J480,'[1]Table S6'!$A:$AI,32,FALSE)</f>
        <v>#N/A</v>
      </c>
      <c r="AP480" t="e">
        <f>VLOOKUP($J480,'[1]Table S6'!$A:$AI,33,FALSE)</f>
        <v>#N/A</v>
      </c>
      <c r="AQ480" t="e">
        <f>VLOOKUP($J480,'[1]Table S6'!$A:$AI,34,FALSE)</f>
        <v>#N/A</v>
      </c>
      <c r="AR480" t="e">
        <f>VLOOKUP($J480,'[1]Table S6'!$A:$AI,35,FALSE)</f>
        <v>#N/A</v>
      </c>
      <c r="AT480" t="str">
        <f>VLOOKUP($I480,'[2]Table S5'!$A:$K,8,FALSE)</f>
        <v>Resistant</v>
      </c>
      <c r="AU480" t="str">
        <f>VLOOKUP($I480,'[2]Table S5'!$A:$K,9,FALSE)</f>
        <v>Sensitive</v>
      </c>
      <c r="AV480" t="str">
        <f>VLOOKUP($I480,'[2]Table S5'!$A:$K,10,FALSE)</f>
        <v>Resistant</v>
      </c>
      <c r="AW480" t="str">
        <f>VLOOKUP($I480,'[2]Table S5'!$A:$K,11,FALSE)</f>
        <v>Resistant</v>
      </c>
    </row>
    <row r="481" spans="1:49">
      <c r="A481" s="12" t="s">
        <v>3147</v>
      </c>
      <c r="B481" t="s">
        <v>3148</v>
      </c>
      <c r="C481" t="s">
        <v>3149</v>
      </c>
      <c r="D481" t="s">
        <v>17</v>
      </c>
      <c r="E481" t="s">
        <v>3150</v>
      </c>
      <c r="F481" s="12" t="s">
        <v>3151</v>
      </c>
      <c r="G481" t="s">
        <v>3152</v>
      </c>
      <c r="H481" t="s">
        <v>3153</v>
      </c>
      <c r="I481" t="s">
        <v>1053</v>
      </c>
      <c r="J481" t="s">
        <v>1053</v>
      </c>
      <c r="K481" t="e">
        <f>VLOOKUP($J481,'[1]Table S6'!$A:$AI,2,FALSE)</f>
        <v>#N/A</v>
      </c>
      <c r="L481" t="e">
        <f>VLOOKUP($J481,'[1]Table S6'!$A:$AI,3,FALSE)</f>
        <v>#N/A</v>
      </c>
      <c r="M481" t="e">
        <f>VLOOKUP($J481,'[1]Table S6'!$A:$AI,4,FALSE)</f>
        <v>#N/A</v>
      </c>
      <c r="N481" t="e">
        <f>VLOOKUP($J481,'[1]Table S6'!$A:$AI,5,FALSE)</f>
        <v>#N/A</v>
      </c>
      <c r="P481" t="e">
        <f>VLOOKUP($J481,'[1]Table S6'!$A:$AI,7,FALSE)</f>
        <v>#N/A</v>
      </c>
      <c r="Q481" t="e">
        <f>VLOOKUP($J481,'[1]Table S6'!$A:$AI,8,FALSE)</f>
        <v>#N/A</v>
      </c>
      <c r="R481" t="e">
        <f>VLOOKUP($J481,'[1]Table S6'!$A:$AI,9,FALSE)</f>
        <v>#N/A</v>
      </c>
      <c r="S481" t="e">
        <f>VLOOKUP($J481,'[1]Table S6'!$A:$AI,10,FALSE)</f>
        <v>#N/A</v>
      </c>
      <c r="U481" t="e">
        <f>VLOOKUP($J481,'[1]Table S6'!$A:$AI,12,FALSE)</f>
        <v>#N/A</v>
      </c>
      <c r="V481" t="e">
        <f>VLOOKUP($J481,'[1]Table S6'!$A:$AI,13,FALSE)</f>
        <v>#N/A</v>
      </c>
      <c r="W481" t="e">
        <f>VLOOKUP($J481,'[1]Table S6'!$A:$AI,14,FALSE)</f>
        <v>#N/A</v>
      </c>
      <c r="X481" t="e">
        <f>VLOOKUP($J481,'[1]Table S6'!$A:$AI,15,FALSE)</f>
        <v>#N/A</v>
      </c>
      <c r="Z481" t="e">
        <f>VLOOKUP($J481,'[1]Table S6'!$A:$AI,17,FALSE)</f>
        <v>#N/A</v>
      </c>
      <c r="AA481" t="e">
        <f>VLOOKUP($J481,'[1]Table S6'!$A:$AI,18,FALSE)</f>
        <v>#N/A</v>
      </c>
      <c r="AB481" t="e">
        <f>VLOOKUP($J481,'[1]Table S6'!$A:$AI,19,FALSE)</f>
        <v>#N/A</v>
      </c>
      <c r="AC481" t="e">
        <f>VLOOKUP($J481,'[1]Table S6'!$A:$AI,20,FALSE)</f>
        <v>#N/A</v>
      </c>
      <c r="AE481" t="e">
        <f>VLOOKUP($J481,'[1]Table S6'!$A:$AI,22,FALSE)</f>
        <v>#N/A</v>
      </c>
      <c r="AF481" t="e">
        <f>VLOOKUP($J481,'[1]Table S6'!$A:$AI,23,FALSE)</f>
        <v>#N/A</v>
      </c>
      <c r="AG481" t="e">
        <f>VLOOKUP($J481,'[1]Table S6'!$A:$AI,24,FALSE)</f>
        <v>#N/A</v>
      </c>
      <c r="AH481" t="e">
        <f>VLOOKUP($J481,'[1]Table S6'!$A:$AI,25,FALSE)</f>
        <v>#N/A</v>
      </c>
      <c r="AJ481" t="e">
        <f>VLOOKUP($J481,'[1]Table S6'!$A:$AI,27,FALSE)</f>
        <v>#N/A</v>
      </c>
      <c r="AK481" t="e">
        <f>VLOOKUP($J481,'[1]Table S6'!$A:$AI,28,FALSE)</f>
        <v>#N/A</v>
      </c>
      <c r="AL481" t="e">
        <f>VLOOKUP($J481,'[1]Table S6'!$A:$AI,29,FALSE)</f>
        <v>#N/A</v>
      </c>
      <c r="AM481" t="e">
        <f>VLOOKUP($J481,'[1]Table S6'!$A:$AI,30,FALSE)</f>
        <v>#N/A</v>
      </c>
      <c r="AO481" t="e">
        <f>VLOOKUP($J481,'[1]Table S6'!$A:$AI,32,FALSE)</f>
        <v>#N/A</v>
      </c>
      <c r="AP481" t="e">
        <f>VLOOKUP($J481,'[1]Table S6'!$A:$AI,33,FALSE)</f>
        <v>#N/A</v>
      </c>
      <c r="AQ481" t="e">
        <f>VLOOKUP($J481,'[1]Table S6'!$A:$AI,34,FALSE)</f>
        <v>#N/A</v>
      </c>
      <c r="AR481" t="e">
        <f>VLOOKUP($J481,'[1]Table S6'!$A:$AI,35,FALSE)</f>
        <v>#N/A</v>
      </c>
      <c r="AT481" t="str">
        <f>VLOOKUP($I481,'[2]Table S5'!$A:$K,8,FALSE)</f>
        <v>Resistant</v>
      </c>
      <c r="AU481" t="str">
        <f>VLOOKUP($I481,'[2]Table S5'!$A:$K,9,FALSE)</f>
        <v>Sensitive</v>
      </c>
      <c r="AV481" t="str">
        <f>VLOOKUP($I481,'[2]Table S5'!$A:$K,10,FALSE)</f>
        <v>Resistant</v>
      </c>
      <c r="AW481" t="str">
        <f>VLOOKUP($I481,'[2]Table S5'!$A:$K,11,FALSE)</f>
        <v>Resistant</v>
      </c>
    </row>
    <row r="482" spans="1:49">
      <c r="A482" s="12" t="s">
        <v>3154</v>
      </c>
      <c r="B482" t="s">
        <v>3155</v>
      </c>
      <c r="C482" t="s">
        <v>3156</v>
      </c>
      <c r="D482" t="s">
        <v>17</v>
      </c>
      <c r="E482" t="s">
        <v>1049</v>
      </c>
      <c r="F482" s="12" t="s">
        <v>1050</v>
      </c>
      <c r="G482" t="s">
        <v>1051</v>
      </c>
      <c r="H482" t="s">
        <v>1052</v>
      </c>
      <c r="I482" t="s">
        <v>1053</v>
      </c>
      <c r="J482" t="s">
        <v>1054</v>
      </c>
      <c r="K482">
        <f>VLOOKUP($J482,'[1]Table S6'!$A:$AI,2,FALSE)</f>
        <v>353.7</v>
      </c>
      <c r="L482">
        <f>VLOOKUP($J482,'[1]Table S6'!$A:$AI,3,FALSE)</f>
        <v>0.75271334326452399</v>
      </c>
      <c r="M482">
        <f>VLOOKUP($J482,'[1]Table S6'!$A:$AI,4,FALSE)</f>
        <v>5.1950000000000003</v>
      </c>
      <c r="N482" t="str">
        <f>VLOOKUP($J482,'[1]Table S6'!$A:$AI,5,FALSE)</f>
        <v>No</v>
      </c>
      <c r="P482">
        <f>VLOOKUP($J482,'[1]Table S6'!$A:$AI,7,FALSE)</f>
        <v>316.60000000000002</v>
      </c>
      <c r="Q482">
        <f>VLOOKUP($J482,'[1]Table S6'!$A:$AI,8,FALSE)</f>
        <v>0.67376037454777604</v>
      </c>
      <c r="R482">
        <f>VLOOKUP($J482,'[1]Table S6'!$A:$AI,9,FALSE)</f>
        <v>1.6890000000000001</v>
      </c>
      <c r="S482" t="str">
        <f>VLOOKUP($J482,'[1]Table S6'!$A:$AI,10,FALSE)</f>
        <v>Yes</v>
      </c>
      <c r="U482">
        <f>VLOOKUP($J482,'[1]Table S6'!$A:$AI,12,FALSE)</f>
        <v>332.3</v>
      </c>
      <c r="V482">
        <f>VLOOKUP($J482,'[1]Table S6'!$A:$AI,13,FALSE)</f>
        <v>0.70717173866780203</v>
      </c>
      <c r="W482">
        <f>VLOOKUP($J482,'[1]Table S6'!$A:$AI,14,FALSE)</f>
        <v>5.266</v>
      </c>
      <c r="X482" t="str">
        <f>VLOOKUP($J482,'[1]Table S6'!$A:$AI,15,FALSE)</f>
        <v>No</v>
      </c>
      <c r="Z482">
        <f>VLOOKUP($J482,'[1]Table S6'!$A:$AI,17,FALSE)</f>
        <v>367.1</v>
      </c>
      <c r="AA482">
        <f>VLOOKUP($J482,'[1]Table S6'!$A:$AI,18,FALSE)</f>
        <v>0.78123004894658399</v>
      </c>
      <c r="AB482">
        <f>VLOOKUP($J482,'[1]Table S6'!$A:$AI,19,FALSE)</f>
        <v>6.6520000000000001</v>
      </c>
      <c r="AC482" t="str">
        <f>VLOOKUP($J482,'[1]Table S6'!$A:$AI,20,FALSE)</f>
        <v>No</v>
      </c>
      <c r="AE482">
        <f>VLOOKUP($J482,'[1]Table S6'!$A:$AI,22,FALSE)</f>
        <v>409.2</v>
      </c>
      <c r="AF482">
        <f>VLOOKUP($J482,'[1]Table S6'!$A:$AI,23,FALSE)</f>
        <v>0.870823579484997</v>
      </c>
      <c r="AG482">
        <f>VLOOKUP($J482,'[1]Table S6'!$A:$AI,24,FALSE)</f>
        <v>24.76</v>
      </c>
      <c r="AH482" t="str">
        <f>VLOOKUP($J482,'[1]Table S6'!$A:$AI,25,FALSE)</f>
        <v>No</v>
      </c>
      <c r="AJ482">
        <f>VLOOKUP($J482,'[1]Table S6'!$A:$AI,27,FALSE)</f>
        <v>409.1</v>
      </c>
      <c r="AK482">
        <f>VLOOKUP($J482,'[1]Table S6'!$A:$AI,28,FALSE)</f>
        <v>0.87061076824856398</v>
      </c>
      <c r="AL482">
        <f>VLOOKUP($J482,'[1]Table S6'!$A:$AI,29,FALSE)</f>
        <v>94.93</v>
      </c>
      <c r="AM482" t="str">
        <f>VLOOKUP($J482,'[1]Table S6'!$A:$AI,30,FALSE)</f>
        <v>No</v>
      </c>
      <c r="AO482">
        <f>VLOOKUP($J482,'[1]Table S6'!$A:$AI,32,FALSE)</f>
        <v>465.7</v>
      </c>
      <c r="AP482">
        <f>VLOOKUP($J482,'[1]Table S6'!$A:$AI,33,FALSE)</f>
        <v>0.99106192806980198</v>
      </c>
      <c r="AQ482">
        <f>VLOOKUP($J482,'[1]Table S6'!$A:$AI,34,FALSE)</f>
        <v>265.8</v>
      </c>
      <c r="AR482" t="str">
        <f>VLOOKUP($J482,'[1]Table S6'!$A:$AI,35,FALSE)</f>
        <v>No</v>
      </c>
      <c r="AT482" t="str">
        <f>VLOOKUP($I482,'[2]Table S5'!$A:$K,8,FALSE)</f>
        <v>Resistant</v>
      </c>
      <c r="AU482" t="str">
        <f>VLOOKUP($I482,'[2]Table S5'!$A:$K,9,FALSE)</f>
        <v>Sensitive</v>
      </c>
      <c r="AV482" t="str">
        <f>VLOOKUP($I482,'[2]Table S5'!$A:$K,10,FALSE)</f>
        <v>Resistant</v>
      </c>
      <c r="AW482" t="str">
        <f>VLOOKUP($I482,'[2]Table S5'!$A:$K,11,FALSE)</f>
        <v>Resistant</v>
      </c>
    </row>
    <row r="483" spans="1:49">
      <c r="A483" s="12" t="s">
        <v>3157</v>
      </c>
      <c r="B483" t="s">
        <v>3158</v>
      </c>
      <c r="C483" t="s">
        <v>3159</v>
      </c>
      <c r="D483" t="s">
        <v>17</v>
      </c>
      <c r="E483" t="s">
        <v>1058</v>
      </c>
      <c r="F483" s="12" t="s">
        <v>1059</v>
      </c>
      <c r="G483" t="s">
        <v>1060</v>
      </c>
      <c r="H483" t="s">
        <v>1061</v>
      </c>
      <c r="I483" t="s">
        <v>1053</v>
      </c>
      <c r="J483" t="s">
        <v>1062</v>
      </c>
      <c r="K483">
        <f>VLOOKUP($J483,'[1]Table S6'!$A:$AI,2,FALSE)</f>
        <v>336.8</v>
      </c>
      <c r="L483">
        <f>VLOOKUP($J483,'[1]Table S6'!$A:$AI,3,FALSE)</f>
        <v>0.716748244307299</v>
      </c>
      <c r="M483">
        <f>VLOOKUP($J483,'[1]Table S6'!$A:$AI,4,FALSE)</f>
        <v>4.6479999999999997</v>
      </c>
      <c r="N483" t="str">
        <f>VLOOKUP($J483,'[1]Table S6'!$A:$AI,5,FALSE)</f>
        <v>No</v>
      </c>
      <c r="P483">
        <f>VLOOKUP($J483,'[1]Table S6'!$A:$AI,7,FALSE)</f>
        <v>324.7</v>
      </c>
      <c r="Q483">
        <f>VLOOKUP($J483,'[1]Table S6'!$A:$AI,8,FALSE)</f>
        <v>0.69099808469887203</v>
      </c>
      <c r="R483">
        <f>VLOOKUP($J483,'[1]Table S6'!$A:$AI,9,FALSE)</f>
        <v>2.214</v>
      </c>
      <c r="S483" t="str">
        <f>VLOOKUP($J483,'[1]Table S6'!$A:$AI,10,FALSE)</f>
        <v>Yes</v>
      </c>
      <c r="U483">
        <f>VLOOKUP($J483,'[1]Table S6'!$A:$AI,12,FALSE)</f>
        <v>346.5</v>
      </c>
      <c r="V483">
        <f>VLOOKUP($J483,'[1]Table S6'!$A:$AI,13,FALSE)</f>
        <v>0.73739093424132796</v>
      </c>
      <c r="W483">
        <f>VLOOKUP($J483,'[1]Table S6'!$A:$AI,14,FALSE)</f>
        <v>8.3320000000000007</v>
      </c>
      <c r="X483" t="str">
        <f>VLOOKUP($J483,'[1]Table S6'!$A:$AI,15,FALSE)</f>
        <v>No</v>
      </c>
      <c r="Z483">
        <f>VLOOKUP($J483,'[1]Table S6'!$A:$AI,17,FALSE)</f>
        <v>382.6</v>
      </c>
      <c r="AA483">
        <f>VLOOKUP($J483,'[1]Table S6'!$A:$AI,18,FALSE)</f>
        <v>0.81421579059374305</v>
      </c>
      <c r="AB483">
        <f>VLOOKUP($J483,'[1]Table S6'!$A:$AI,19,FALSE)</f>
        <v>15.34</v>
      </c>
      <c r="AC483" t="str">
        <f>VLOOKUP($J483,'[1]Table S6'!$A:$AI,20,FALSE)</f>
        <v>No</v>
      </c>
      <c r="AE483">
        <f>VLOOKUP($J483,'[1]Table S6'!$A:$AI,22,FALSE)</f>
        <v>342.7</v>
      </c>
      <c r="AF483">
        <f>VLOOKUP($J483,'[1]Table S6'!$A:$AI,23,FALSE)</f>
        <v>0.72930410725686301</v>
      </c>
      <c r="AG483">
        <f>VLOOKUP($J483,'[1]Table S6'!$A:$AI,24,FALSE)</f>
        <v>5.7969999999999997</v>
      </c>
      <c r="AH483" t="str">
        <f>VLOOKUP($J483,'[1]Table S6'!$A:$AI,25,FALSE)</f>
        <v>No</v>
      </c>
      <c r="AJ483">
        <f>VLOOKUP($J483,'[1]Table S6'!$A:$AI,27,FALSE)</f>
        <v>445.4</v>
      </c>
      <c r="AK483">
        <f>VLOOKUP($J483,'[1]Table S6'!$A:$AI,28,FALSE)</f>
        <v>0.947861247073845</v>
      </c>
      <c r="AL483">
        <f>VLOOKUP($J483,'[1]Table S6'!$A:$AI,29,FALSE)</f>
        <v>192.2</v>
      </c>
      <c r="AM483" t="str">
        <f>VLOOKUP($J483,'[1]Table S6'!$A:$AI,30,FALSE)</f>
        <v>No</v>
      </c>
      <c r="AO483">
        <f>VLOOKUP($J483,'[1]Table S6'!$A:$AI,32,FALSE)</f>
        <v>425.4</v>
      </c>
      <c r="AP483">
        <f>VLOOKUP($J483,'[1]Table S6'!$A:$AI,33,FALSE)</f>
        <v>0.90529899978718897</v>
      </c>
      <c r="AQ483">
        <f>VLOOKUP($J483,'[1]Table S6'!$A:$AI,34,FALSE)</f>
        <v>289.10000000000002</v>
      </c>
      <c r="AR483" t="str">
        <f>VLOOKUP($J483,'[1]Table S6'!$A:$AI,35,FALSE)</f>
        <v>No</v>
      </c>
      <c r="AT483" t="str">
        <f>VLOOKUP($I483,'[2]Table S5'!$A:$K,8,FALSE)</f>
        <v>Resistant</v>
      </c>
      <c r="AU483" t="str">
        <f>VLOOKUP($I483,'[2]Table S5'!$A:$K,9,FALSE)</f>
        <v>Sensitive</v>
      </c>
      <c r="AV483" t="str">
        <f>VLOOKUP($I483,'[2]Table S5'!$A:$K,10,FALSE)</f>
        <v>Resistant</v>
      </c>
      <c r="AW483" t="str">
        <f>VLOOKUP($I483,'[2]Table S5'!$A:$K,11,FALSE)</f>
        <v>Resistant</v>
      </c>
    </row>
    <row r="484" spans="1:49">
      <c r="A484" s="12" t="s">
        <v>3160</v>
      </c>
      <c r="B484" t="s">
        <v>3161</v>
      </c>
      <c r="C484" t="s">
        <v>3162</v>
      </c>
      <c r="D484" t="s">
        <v>17</v>
      </c>
      <c r="E484" t="s">
        <v>1066</v>
      </c>
      <c r="F484" s="12" t="s">
        <v>1067</v>
      </c>
      <c r="G484" t="s">
        <v>1068</v>
      </c>
      <c r="H484" t="s">
        <v>1069</v>
      </c>
      <c r="I484" t="s">
        <v>1053</v>
      </c>
      <c r="J484" t="s">
        <v>1070</v>
      </c>
      <c r="K484">
        <f>VLOOKUP($J484,'[1]Table S6'!$A:$AI,2,FALSE)</f>
        <v>287.10000000000002</v>
      </c>
      <c r="L484">
        <f>VLOOKUP($J484,'[1]Table S6'!$A:$AI,3,FALSE)</f>
        <v>0.61098105979995798</v>
      </c>
      <c r="M484">
        <f>VLOOKUP($J484,'[1]Table S6'!$A:$AI,4,FALSE)</f>
        <v>0.80969999999999998</v>
      </c>
      <c r="N484" t="str">
        <f>VLOOKUP($J484,'[1]Table S6'!$A:$AI,5,FALSE)</f>
        <v>Yes</v>
      </c>
      <c r="P484">
        <f>VLOOKUP($J484,'[1]Table S6'!$A:$AI,7,FALSE)</f>
        <v>315.5</v>
      </c>
      <c r="Q484">
        <f>VLOOKUP($J484,'[1]Table S6'!$A:$AI,8,FALSE)</f>
        <v>0.67141945094701005</v>
      </c>
      <c r="R484">
        <f>VLOOKUP($J484,'[1]Table S6'!$A:$AI,9,FALSE)</f>
        <v>1.532</v>
      </c>
      <c r="S484" t="str">
        <f>VLOOKUP($J484,'[1]Table S6'!$A:$AI,10,FALSE)</f>
        <v>Yes</v>
      </c>
      <c r="U484">
        <f>VLOOKUP($J484,'[1]Table S6'!$A:$AI,12,FALSE)</f>
        <v>336.4</v>
      </c>
      <c r="V484">
        <f>VLOOKUP($J484,'[1]Table S6'!$A:$AI,13,FALSE)</f>
        <v>0.71589699936156603</v>
      </c>
      <c r="W484">
        <f>VLOOKUP($J484,'[1]Table S6'!$A:$AI,14,FALSE)</f>
        <v>2.6379999999999999</v>
      </c>
      <c r="X484" t="str">
        <f>VLOOKUP($J484,'[1]Table S6'!$A:$AI,15,FALSE)</f>
        <v>No</v>
      </c>
      <c r="Z484">
        <f>VLOOKUP($J484,'[1]Table S6'!$A:$AI,17,FALSE)</f>
        <v>285</v>
      </c>
      <c r="AA484">
        <f>VLOOKUP($J484,'[1]Table S6'!$A:$AI,18,FALSE)</f>
        <v>0.60651202383485803</v>
      </c>
      <c r="AB484">
        <f>VLOOKUP($J484,'[1]Table S6'!$A:$AI,19,FALSE)</f>
        <v>1.1140000000000001</v>
      </c>
      <c r="AC484" t="str">
        <f>VLOOKUP($J484,'[1]Table S6'!$A:$AI,20,FALSE)</f>
        <v>Yes</v>
      </c>
      <c r="AE484">
        <f>VLOOKUP($J484,'[1]Table S6'!$A:$AI,22,FALSE)</f>
        <v>339</v>
      </c>
      <c r="AF484">
        <f>VLOOKUP($J484,'[1]Table S6'!$A:$AI,23,FALSE)</f>
        <v>0.72143009150883197</v>
      </c>
      <c r="AG484">
        <f>VLOOKUP($J484,'[1]Table S6'!$A:$AI,24,FALSE)</f>
        <v>4.7859999999999996</v>
      </c>
      <c r="AH484" t="str">
        <f>VLOOKUP($J484,'[1]Table S6'!$A:$AI,25,FALSE)</f>
        <v>No</v>
      </c>
      <c r="AJ484">
        <f>VLOOKUP($J484,'[1]Table S6'!$A:$AI,27,FALSE)</f>
        <v>396.8</v>
      </c>
      <c r="AK484">
        <f>VLOOKUP($J484,'[1]Table S6'!$A:$AI,28,FALSE)</f>
        <v>0.84443498616726997</v>
      </c>
      <c r="AL484">
        <f>VLOOKUP($J484,'[1]Table S6'!$A:$AI,29,FALSE)</f>
        <v>112.6</v>
      </c>
      <c r="AM484" t="str">
        <f>VLOOKUP($J484,'[1]Table S6'!$A:$AI,30,FALSE)</f>
        <v>No</v>
      </c>
      <c r="AO484">
        <f>VLOOKUP($J484,'[1]Table S6'!$A:$AI,32,FALSE)</f>
        <v>387.1</v>
      </c>
      <c r="AP484">
        <f>VLOOKUP($J484,'[1]Table S6'!$A:$AI,33,FALSE)</f>
        <v>0.82379229623324102</v>
      </c>
      <c r="AQ484">
        <f>VLOOKUP($J484,'[1]Table S6'!$A:$AI,34,FALSE)</f>
        <v>59.07</v>
      </c>
      <c r="AR484" t="str">
        <f>VLOOKUP($J484,'[1]Table S6'!$A:$AI,35,FALSE)</f>
        <v>No</v>
      </c>
      <c r="AT484" t="str">
        <f>VLOOKUP($I484,'[2]Table S5'!$A:$K,8,FALSE)</f>
        <v>Resistant</v>
      </c>
      <c r="AU484" t="str">
        <f>VLOOKUP($I484,'[2]Table S5'!$A:$K,9,FALSE)</f>
        <v>Sensitive</v>
      </c>
      <c r="AV484" t="str">
        <f>VLOOKUP($I484,'[2]Table S5'!$A:$K,10,FALSE)</f>
        <v>Resistant</v>
      </c>
      <c r="AW484" t="str">
        <f>VLOOKUP($I484,'[2]Table S5'!$A:$K,11,FALSE)</f>
        <v>Resistant</v>
      </c>
    </row>
    <row r="485" spans="1:49">
      <c r="A485" s="12" t="s">
        <v>3163</v>
      </c>
      <c r="B485" t="s">
        <v>3164</v>
      </c>
      <c r="C485" t="s">
        <v>3165</v>
      </c>
      <c r="D485" t="s">
        <v>17</v>
      </c>
      <c r="E485" t="s">
        <v>1074</v>
      </c>
      <c r="F485" s="12" t="s">
        <v>1075</v>
      </c>
      <c r="G485" t="s">
        <v>1076</v>
      </c>
      <c r="H485" t="s">
        <v>1077</v>
      </c>
      <c r="I485" t="s">
        <v>1053</v>
      </c>
      <c r="J485" t="s">
        <v>1078</v>
      </c>
      <c r="K485">
        <f>VLOOKUP($J485,'[1]Table S6'!$A:$AI,2,FALSE)</f>
        <v>358.1</v>
      </c>
      <c r="L485">
        <f>VLOOKUP($J485,'[1]Table S6'!$A:$AI,3,FALSE)</f>
        <v>0.76207703766758905</v>
      </c>
      <c r="M485">
        <f>VLOOKUP($J485,'[1]Table S6'!$A:$AI,4,FALSE)</f>
        <v>8.2159999999999993</v>
      </c>
      <c r="N485" t="str">
        <f>VLOOKUP($J485,'[1]Table S6'!$A:$AI,5,FALSE)</f>
        <v>No</v>
      </c>
      <c r="P485">
        <f>VLOOKUP($J485,'[1]Table S6'!$A:$AI,7,FALSE)</f>
        <v>317.60000000000002</v>
      </c>
      <c r="Q485">
        <f>VLOOKUP($J485,'[1]Table S6'!$A:$AI,8,FALSE)</f>
        <v>0.67588848691210901</v>
      </c>
      <c r="R485">
        <f>VLOOKUP($J485,'[1]Table S6'!$A:$AI,9,FALSE)</f>
        <v>1.8640000000000001</v>
      </c>
      <c r="S485" t="str">
        <f>VLOOKUP($J485,'[1]Table S6'!$A:$AI,10,FALSE)</f>
        <v>Yes</v>
      </c>
      <c r="U485">
        <f>VLOOKUP($J485,'[1]Table S6'!$A:$AI,12,FALSE)</f>
        <v>335.6</v>
      </c>
      <c r="V485">
        <f>VLOOKUP($J485,'[1]Table S6'!$A:$AI,13,FALSE)</f>
        <v>0.71419450947009999</v>
      </c>
      <c r="W485">
        <f>VLOOKUP($J485,'[1]Table S6'!$A:$AI,14,FALSE)</f>
        <v>4.1449999999999996</v>
      </c>
      <c r="X485" t="str">
        <f>VLOOKUP($J485,'[1]Table S6'!$A:$AI,15,FALSE)</f>
        <v>No</v>
      </c>
      <c r="Z485">
        <f>VLOOKUP($J485,'[1]Table S6'!$A:$AI,17,FALSE)</f>
        <v>313.3</v>
      </c>
      <c r="AA485">
        <f>VLOOKUP($J485,'[1]Table S6'!$A:$AI,18,FALSE)</f>
        <v>0.66673760374547797</v>
      </c>
      <c r="AB485">
        <f>VLOOKUP($J485,'[1]Table S6'!$A:$AI,19,FALSE)</f>
        <v>1.855</v>
      </c>
      <c r="AC485" t="str">
        <f>VLOOKUP($J485,'[1]Table S6'!$A:$AI,20,FALSE)</f>
        <v>Yes</v>
      </c>
      <c r="AE485">
        <f>VLOOKUP($J485,'[1]Table S6'!$A:$AI,22,FALSE)</f>
        <v>331.2</v>
      </c>
      <c r="AF485">
        <f>VLOOKUP($J485,'[1]Table S6'!$A:$AI,23,FALSE)</f>
        <v>0.70483081506703604</v>
      </c>
      <c r="AG485">
        <f>VLOOKUP($J485,'[1]Table S6'!$A:$AI,24,FALSE)</f>
        <v>2.6789999999999998</v>
      </c>
      <c r="AH485" t="str">
        <f>VLOOKUP($J485,'[1]Table S6'!$A:$AI,25,FALSE)</f>
        <v>No</v>
      </c>
      <c r="AJ485">
        <f>VLOOKUP($J485,'[1]Table S6'!$A:$AI,27,FALSE)</f>
        <v>436.1</v>
      </c>
      <c r="AK485">
        <f>VLOOKUP($J485,'[1]Table S6'!$A:$AI,28,FALSE)</f>
        <v>0.92806980208555001</v>
      </c>
      <c r="AL485">
        <f>VLOOKUP($J485,'[1]Table S6'!$A:$AI,29,FALSE)</f>
        <v>273.89999999999998</v>
      </c>
      <c r="AM485" t="str">
        <f>VLOOKUP($J485,'[1]Table S6'!$A:$AI,30,FALSE)</f>
        <v>No</v>
      </c>
      <c r="AO485">
        <f>VLOOKUP($J485,'[1]Table S6'!$A:$AI,32,FALSE)</f>
        <v>422.7</v>
      </c>
      <c r="AP485">
        <f>VLOOKUP($J485,'[1]Table S6'!$A:$AI,33,FALSE)</f>
        <v>0.89955309640349002</v>
      </c>
      <c r="AQ485">
        <f>VLOOKUP($J485,'[1]Table S6'!$A:$AI,34,FALSE)</f>
        <v>164.7</v>
      </c>
      <c r="AR485" t="str">
        <f>VLOOKUP($J485,'[1]Table S6'!$A:$AI,35,FALSE)</f>
        <v>No</v>
      </c>
      <c r="AT485" t="str">
        <f>VLOOKUP($I485,'[2]Table S5'!$A:$K,8,FALSE)</f>
        <v>Resistant</v>
      </c>
      <c r="AU485" t="str">
        <f>VLOOKUP($I485,'[2]Table S5'!$A:$K,9,FALSE)</f>
        <v>Sensitive</v>
      </c>
      <c r="AV485" t="str">
        <f>VLOOKUP($I485,'[2]Table S5'!$A:$K,10,FALSE)</f>
        <v>Resistant</v>
      </c>
      <c r="AW485" t="str">
        <f>VLOOKUP($I485,'[2]Table S5'!$A:$K,11,FALSE)</f>
        <v>Resistant</v>
      </c>
    </row>
    <row r="486" spans="1:49">
      <c r="A486" s="12" t="s">
        <v>3166</v>
      </c>
      <c r="B486" t="s">
        <v>3167</v>
      </c>
      <c r="C486" t="s">
        <v>3168</v>
      </c>
      <c r="D486" t="s">
        <v>17</v>
      </c>
      <c r="E486" t="s">
        <v>1082</v>
      </c>
      <c r="F486" s="12" t="s">
        <v>1083</v>
      </c>
      <c r="G486" t="s">
        <v>1084</v>
      </c>
      <c r="H486" t="s">
        <v>1085</v>
      </c>
      <c r="I486" t="s">
        <v>1053</v>
      </c>
      <c r="J486" t="s">
        <v>1086</v>
      </c>
      <c r="K486">
        <f>VLOOKUP($J486,'[1]Table S6'!$A:$AI,2,FALSE)</f>
        <v>329.2</v>
      </c>
      <c r="L486">
        <f>VLOOKUP($J486,'[1]Table S6'!$A:$AI,3,FALSE)</f>
        <v>0.70057459033837</v>
      </c>
      <c r="M486">
        <f>VLOOKUP($J486,'[1]Table S6'!$A:$AI,4,FALSE)</f>
        <v>4.1929999999999996</v>
      </c>
      <c r="N486" t="str">
        <f>VLOOKUP($J486,'[1]Table S6'!$A:$AI,5,FALSE)</f>
        <v>Yes</v>
      </c>
      <c r="P486">
        <f>VLOOKUP($J486,'[1]Table S6'!$A:$AI,7,FALSE)</f>
        <v>324.7</v>
      </c>
      <c r="Q486">
        <f>VLOOKUP($J486,'[1]Table S6'!$A:$AI,8,FALSE)</f>
        <v>0.69099808469887203</v>
      </c>
      <c r="R486">
        <f>VLOOKUP($J486,'[1]Table S6'!$A:$AI,9,FALSE)</f>
        <v>2.206</v>
      </c>
      <c r="S486" t="str">
        <f>VLOOKUP($J486,'[1]Table S6'!$A:$AI,10,FALSE)</f>
        <v>Yes</v>
      </c>
      <c r="U486">
        <f>VLOOKUP($J486,'[1]Table S6'!$A:$AI,12,FALSE)</f>
        <v>368.7</v>
      </c>
      <c r="V486">
        <f>VLOOKUP($J486,'[1]Table S6'!$A:$AI,13,FALSE)</f>
        <v>0.78463502872951696</v>
      </c>
      <c r="W486">
        <f>VLOOKUP($J486,'[1]Table S6'!$A:$AI,14,FALSE)</f>
        <v>9.5579999999999998</v>
      </c>
      <c r="X486" t="str">
        <f>VLOOKUP($J486,'[1]Table S6'!$A:$AI,15,FALSE)</f>
        <v>No</v>
      </c>
      <c r="Z486">
        <f>VLOOKUP($J486,'[1]Table S6'!$A:$AI,17,FALSE)</f>
        <v>383.1</v>
      </c>
      <c r="AA486">
        <f>VLOOKUP($J486,'[1]Table S6'!$A:$AI,18,FALSE)</f>
        <v>0.81527984677591003</v>
      </c>
      <c r="AB486">
        <f>VLOOKUP($J486,'[1]Table S6'!$A:$AI,19,FALSE)</f>
        <v>14.55</v>
      </c>
      <c r="AC486" t="str">
        <f>VLOOKUP($J486,'[1]Table S6'!$A:$AI,20,FALSE)</f>
        <v>No</v>
      </c>
      <c r="AE486">
        <f>VLOOKUP($J486,'[1]Table S6'!$A:$AI,22,FALSE)</f>
        <v>337.4</v>
      </c>
      <c r="AF486">
        <f>VLOOKUP($J486,'[1]Table S6'!$A:$AI,23,FALSE)</f>
        <v>0.718025111725899</v>
      </c>
      <c r="AG486">
        <f>VLOOKUP($J486,'[1]Table S6'!$A:$AI,24,FALSE)</f>
        <v>4.8949999999999996</v>
      </c>
      <c r="AH486" t="str">
        <f>VLOOKUP($J486,'[1]Table S6'!$A:$AI,25,FALSE)</f>
        <v>No</v>
      </c>
      <c r="AJ486">
        <f>VLOOKUP($J486,'[1]Table S6'!$A:$AI,27,FALSE)</f>
        <v>412.8</v>
      </c>
      <c r="AK486">
        <f>VLOOKUP($J486,'[1]Table S6'!$A:$AI,28,FALSE)</f>
        <v>0.87848478399659502</v>
      </c>
      <c r="AL486">
        <f>VLOOKUP($J486,'[1]Table S6'!$A:$AI,29,FALSE)</f>
        <v>121</v>
      </c>
      <c r="AM486" t="str">
        <f>VLOOKUP($J486,'[1]Table S6'!$A:$AI,30,FALSE)</f>
        <v>No</v>
      </c>
      <c r="AO486">
        <f>VLOOKUP($J486,'[1]Table S6'!$A:$AI,32,FALSE)</f>
        <v>397.2</v>
      </c>
      <c r="AP486">
        <f>VLOOKUP($J486,'[1]Table S6'!$A:$AI,33,FALSE)</f>
        <v>0.84528623111300305</v>
      </c>
      <c r="AQ486">
        <f>VLOOKUP($J486,'[1]Table S6'!$A:$AI,34,FALSE)</f>
        <v>128.1</v>
      </c>
      <c r="AR486" t="str">
        <f>VLOOKUP($J486,'[1]Table S6'!$A:$AI,35,FALSE)</f>
        <v>No</v>
      </c>
      <c r="AT486" t="str">
        <f>VLOOKUP($I486,'[2]Table S5'!$A:$K,8,FALSE)</f>
        <v>Resistant</v>
      </c>
      <c r="AU486" t="str">
        <f>VLOOKUP($I486,'[2]Table S5'!$A:$K,9,FALSE)</f>
        <v>Sensitive</v>
      </c>
      <c r="AV486" t="str">
        <f>VLOOKUP($I486,'[2]Table S5'!$A:$K,10,FALSE)</f>
        <v>Resistant</v>
      </c>
      <c r="AW486" t="str">
        <f>VLOOKUP($I486,'[2]Table S5'!$A:$K,11,FALSE)</f>
        <v>Resistant</v>
      </c>
    </row>
    <row r="487" spans="1:49">
      <c r="A487" s="12" t="s">
        <v>3169</v>
      </c>
      <c r="B487" t="s">
        <v>3170</v>
      </c>
      <c r="C487" t="s">
        <v>3171</v>
      </c>
      <c r="D487" t="s">
        <v>17</v>
      </c>
      <c r="E487" t="s">
        <v>1090</v>
      </c>
      <c r="F487" s="12" t="s">
        <v>1091</v>
      </c>
      <c r="G487" t="s">
        <v>1092</v>
      </c>
      <c r="H487" t="s">
        <v>1093</v>
      </c>
      <c r="I487" t="s">
        <v>1053</v>
      </c>
      <c r="J487" t="s">
        <v>1054</v>
      </c>
      <c r="K487">
        <f>VLOOKUP($J487,'[1]Table S6'!$A:$AI,2,FALSE)</f>
        <v>353.7</v>
      </c>
      <c r="L487">
        <f>VLOOKUP($J487,'[1]Table S6'!$A:$AI,3,FALSE)</f>
        <v>0.75271334326452399</v>
      </c>
      <c r="M487">
        <f>VLOOKUP($J487,'[1]Table S6'!$A:$AI,4,FALSE)</f>
        <v>5.1950000000000003</v>
      </c>
      <c r="N487" t="str">
        <f>VLOOKUP($J487,'[1]Table S6'!$A:$AI,5,FALSE)</f>
        <v>No</v>
      </c>
      <c r="P487">
        <f>VLOOKUP($J487,'[1]Table S6'!$A:$AI,7,FALSE)</f>
        <v>316.60000000000002</v>
      </c>
      <c r="Q487">
        <f>VLOOKUP($J487,'[1]Table S6'!$A:$AI,8,FALSE)</f>
        <v>0.67376037454777604</v>
      </c>
      <c r="R487">
        <f>VLOOKUP($J487,'[1]Table S6'!$A:$AI,9,FALSE)</f>
        <v>1.6890000000000001</v>
      </c>
      <c r="S487" t="str">
        <f>VLOOKUP($J487,'[1]Table S6'!$A:$AI,10,FALSE)</f>
        <v>Yes</v>
      </c>
      <c r="U487">
        <f>VLOOKUP($J487,'[1]Table S6'!$A:$AI,12,FALSE)</f>
        <v>332.3</v>
      </c>
      <c r="V487">
        <f>VLOOKUP($J487,'[1]Table S6'!$A:$AI,13,FALSE)</f>
        <v>0.70717173866780203</v>
      </c>
      <c r="W487">
        <f>VLOOKUP($J487,'[1]Table S6'!$A:$AI,14,FALSE)</f>
        <v>5.266</v>
      </c>
      <c r="X487" t="str">
        <f>VLOOKUP($J487,'[1]Table S6'!$A:$AI,15,FALSE)</f>
        <v>No</v>
      </c>
      <c r="Z487">
        <f>VLOOKUP($J487,'[1]Table S6'!$A:$AI,17,FALSE)</f>
        <v>367.1</v>
      </c>
      <c r="AA487">
        <f>VLOOKUP($J487,'[1]Table S6'!$A:$AI,18,FALSE)</f>
        <v>0.78123004894658399</v>
      </c>
      <c r="AB487">
        <f>VLOOKUP($J487,'[1]Table S6'!$A:$AI,19,FALSE)</f>
        <v>6.6520000000000001</v>
      </c>
      <c r="AC487" t="str">
        <f>VLOOKUP($J487,'[1]Table S6'!$A:$AI,20,FALSE)</f>
        <v>No</v>
      </c>
      <c r="AE487">
        <f>VLOOKUP($J487,'[1]Table S6'!$A:$AI,22,FALSE)</f>
        <v>409.2</v>
      </c>
      <c r="AF487">
        <f>VLOOKUP($J487,'[1]Table S6'!$A:$AI,23,FALSE)</f>
        <v>0.870823579484997</v>
      </c>
      <c r="AG487">
        <f>VLOOKUP($J487,'[1]Table S6'!$A:$AI,24,FALSE)</f>
        <v>24.76</v>
      </c>
      <c r="AH487" t="str">
        <f>VLOOKUP($J487,'[1]Table S6'!$A:$AI,25,FALSE)</f>
        <v>No</v>
      </c>
      <c r="AJ487">
        <f>VLOOKUP($J487,'[1]Table S6'!$A:$AI,27,FALSE)</f>
        <v>409.1</v>
      </c>
      <c r="AK487">
        <f>VLOOKUP($J487,'[1]Table S6'!$A:$AI,28,FALSE)</f>
        <v>0.87061076824856398</v>
      </c>
      <c r="AL487">
        <f>VLOOKUP($J487,'[1]Table S6'!$A:$AI,29,FALSE)</f>
        <v>94.93</v>
      </c>
      <c r="AM487" t="str">
        <f>VLOOKUP($J487,'[1]Table S6'!$A:$AI,30,FALSE)</f>
        <v>No</v>
      </c>
      <c r="AO487">
        <f>VLOOKUP($J487,'[1]Table S6'!$A:$AI,32,FALSE)</f>
        <v>465.7</v>
      </c>
      <c r="AP487">
        <f>VLOOKUP($J487,'[1]Table S6'!$A:$AI,33,FALSE)</f>
        <v>0.99106192806980198</v>
      </c>
      <c r="AQ487">
        <f>VLOOKUP($J487,'[1]Table S6'!$A:$AI,34,FALSE)</f>
        <v>265.8</v>
      </c>
      <c r="AR487" t="str">
        <f>VLOOKUP($J487,'[1]Table S6'!$A:$AI,35,FALSE)</f>
        <v>No</v>
      </c>
      <c r="AT487" t="str">
        <f>VLOOKUP($I487,'[2]Table S5'!$A:$K,8,FALSE)</f>
        <v>Resistant</v>
      </c>
      <c r="AU487" t="str">
        <f>VLOOKUP($I487,'[2]Table S5'!$A:$K,9,FALSE)</f>
        <v>Sensitive</v>
      </c>
      <c r="AV487" t="str">
        <f>VLOOKUP($I487,'[2]Table S5'!$A:$K,10,FALSE)</f>
        <v>Resistant</v>
      </c>
      <c r="AW487" t="str">
        <f>VLOOKUP($I487,'[2]Table S5'!$A:$K,11,FALSE)</f>
        <v>Resistant</v>
      </c>
    </row>
    <row r="488" spans="1:49">
      <c r="A488" s="12" t="s">
        <v>3172</v>
      </c>
      <c r="B488" t="s">
        <v>3173</v>
      </c>
      <c r="C488" t="s">
        <v>3174</v>
      </c>
      <c r="D488" t="s">
        <v>17</v>
      </c>
      <c r="E488" t="s">
        <v>1097</v>
      </c>
      <c r="F488" s="12" t="s">
        <v>1098</v>
      </c>
      <c r="G488" t="s">
        <v>1099</v>
      </c>
      <c r="H488" t="s">
        <v>1100</v>
      </c>
      <c r="I488" t="s">
        <v>1053</v>
      </c>
      <c r="J488" t="s">
        <v>1062</v>
      </c>
      <c r="K488">
        <f>VLOOKUP($J488,'[1]Table S6'!$A:$AI,2,FALSE)</f>
        <v>336.8</v>
      </c>
      <c r="L488">
        <f>VLOOKUP($J488,'[1]Table S6'!$A:$AI,3,FALSE)</f>
        <v>0.716748244307299</v>
      </c>
      <c r="M488">
        <f>VLOOKUP($J488,'[1]Table S6'!$A:$AI,4,FALSE)</f>
        <v>4.6479999999999997</v>
      </c>
      <c r="N488" t="str">
        <f>VLOOKUP($J488,'[1]Table S6'!$A:$AI,5,FALSE)</f>
        <v>No</v>
      </c>
      <c r="P488">
        <f>VLOOKUP($J488,'[1]Table S6'!$A:$AI,7,FALSE)</f>
        <v>324.7</v>
      </c>
      <c r="Q488">
        <f>VLOOKUP($J488,'[1]Table S6'!$A:$AI,8,FALSE)</f>
        <v>0.69099808469887203</v>
      </c>
      <c r="R488">
        <f>VLOOKUP($J488,'[1]Table S6'!$A:$AI,9,FALSE)</f>
        <v>2.214</v>
      </c>
      <c r="S488" t="str">
        <f>VLOOKUP($J488,'[1]Table S6'!$A:$AI,10,FALSE)</f>
        <v>Yes</v>
      </c>
      <c r="U488">
        <f>VLOOKUP($J488,'[1]Table S6'!$A:$AI,12,FALSE)</f>
        <v>346.5</v>
      </c>
      <c r="V488">
        <f>VLOOKUP($J488,'[1]Table S6'!$A:$AI,13,FALSE)</f>
        <v>0.73739093424132796</v>
      </c>
      <c r="W488">
        <f>VLOOKUP($J488,'[1]Table S6'!$A:$AI,14,FALSE)</f>
        <v>8.3320000000000007</v>
      </c>
      <c r="X488" t="str">
        <f>VLOOKUP($J488,'[1]Table S6'!$A:$AI,15,FALSE)</f>
        <v>No</v>
      </c>
      <c r="Z488">
        <f>VLOOKUP($J488,'[1]Table S6'!$A:$AI,17,FALSE)</f>
        <v>382.6</v>
      </c>
      <c r="AA488">
        <f>VLOOKUP($J488,'[1]Table S6'!$A:$AI,18,FALSE)</f>
        <v>0.81421579059374305</v>
      </c>
      <c r="AB488">
        <f>VLOOKUP($J488,'[1]Table S6'!$A:$AI,19,FALSE)</f>
        <v>15.34</v>
      </c>
      <c r="AC488" t="str">
        <f>VLOOKUP($J488,'[1]Table S6'!$A:$AI,20,FALSE)</f>
        <v>No</v>
      </c>
      <c r="AE488">
        <f>VLOOKUP($J488,'[1]Table S6'!$A:$AI,22,FALSE)</f>
        <v>342.7</v>
      </c>
      <c r="AF488">
        <f>VLOOKUP($J488,'[1]Table S6'!$A:$AI,23,FALSE)</f>
        <v>0.72930410725686301</v>
      </c>
      <c r="AG488">
        <f>VLOOKUP($J488,'[1]Table S6'!$A:$AI,24,FALSE)</f>
        <v>5.7969999999999997</v>
      </c>
      <c r="AH488" t="str">
        <f>VLOOKUP($J488,'[1]Table S6'!$A:$AI,25,FALSE)</f>
        <v>No</v>
      </c>
      <c r="AJ488">
        <f>VLOOKUP($J488,'[1]Table S6'!$A:$AI,27,FALSE)</f>
        <v>445.4</v>
      </c>
      <c r="AK488">
        <f>VLOOKUP($J488,'[1]Table S6'!$A:$AI,28,FALSE)</f>
        <v>0.947861247073845</v>
      </c>
      <c r="AL488">
        <f>VLOOKUP($J488,'[1]Table S6'!$A:$AI,29,FALSE)</f>
        <v>192.2</v>
      </c>
      <c r="AM488" t="str">
        <f>VLOOKUP($J488,'[1]Table S6'!$A:$AI,30,FALSE)</f>
        <v>No</v>
      </c>
      <c r="AO488">
        <f>VLOOKUP($J488,'[1]Table S6'!$A:$AI,32,FALSE)</f>
        <v>425.4</v>
      </c>
      <c r="AP488">
        <f>VLOOKUP($J488,'[1]Table S6'!$A:$AI,33,FALSE)</f>
        <v>0.90529899978718897</v>
      </c>
      <c r="AQ488">
        <f>VLOOKUP($J488,'[1]Table S6'!$A:$AI,34,FALSE)</f>
        <v>289.10000000000002</v>
      </c>
      <c r="AR488" t="str">
        <f>VLOOKUP($J488,'[1]Table S6'!$A:$AI,35,FALSE)</f>
        <v>No</v>
      </c>
      <c r="AT488" t="str">
        <f>VLOOKUP($I488,'[2]Table S5'!$A:$K,8,FALSE)</f>
        <v>Resistant</v>
      </c>
      <c r="AU488" t="str">
        <f>VLOOKUP($I488,'[2]Table S5'!$A:$K,9,FALSE)</f>
        <v>Sensitive</v>
      </c>
      <c r="AV488" t="str">
        <f>VLOOKUP($I488,'[2]Table S5'!$A:$K,10,FALSE)</f>
        <v>Resistant</v>
      </c>
      <c r="AW488" t="str">
        <f>VLOOKUP($I488,'[2]Table S5'!$A:$K,11,FALSE)</f>
        <v>Resistant</v>
      </c>
    </row>
    <row r="489" spans="1:49">
      <c r="A489" s="12" t="s">
        <v>3175</v>
      </c>
      <c r="B489" t="s">
        <v>3176</v>
      </c>
      <c r="C489" t="s">
        <v>3177</v>
      </c>
      <c r="D489" t="s">
        <v>17</v>
      </c>
      <c r="E489" t="s">
        <v>1104</v>
      </c>
      <c r="F489" s="12" t="s">
        <v>1105</v>
      </c>
      <c r="G489" t="s">
        <v>1106</v>
      </c>
      <c r="H489" t="s">
        <v>1107</v>
      </c>
      <c r="I489" t="s">
        <v>1053</v>
      </c>
      <c r="J489" t="s">
        <v>1070</v>
      </c>
      <c r="K489">
        <f>VLOOKUP($J489,'[1]Table S6'!$A:$AI,2,FALSE)</f>
        <v>287.10000000000002</v>
      </c>
      <c r="L489">
        <f>VLOOKUP($J489,'[1]Table S6'!$A:$AI,3,FALSE)</f>
        <v>0.61098105979995798</v>
      </c>
      <c r="M489">
        <f>VLOOKUP($J489,'[1]Table S6'!$A:$AI,4,FALSE)</f>
        <v>0.80969999999999998</v>
      </c>
      <c r="N489" t="str">
        <f>VLOOKUP($J489,'[1]Table S6'!$A:$AI,5,FALSE)</f>
        <v>Yes</v>
      </c>
      <c r="P489">
        <f>VLOOKUP($J489,'[1]Table S6'!$A:$AI,7,FALSE)</f>
        <v>315.5</v>
      </c>
      <c r="Q489">
        <f>VLOOKUP($J489,'[1]Table S6'!$A:$AI,8,FALSE)</f>
        <v>0.67141945094701005</v>
      </c>
      <c r="R489">
        <f>VLOOKUP($J489,'[1]Table S6'!$A:$AI,9,FALSE)</f>
        <v>1.532</v>
      </c>
      <c r="S489" t="str">
        <f>VLOOKUP($J489,'[1]Table S6'!$A:$AI,10,FALSE)</f>
        <v>Yes</v>
      </c>
      <c r="U489">
        <f>VLOOKUP($J489,'[1]Table S6'!$A:$AI,12,FALSE)</f>
        <v>336.4</v>
      </c>
      <c r="V489">
        <f>VLOOKUP($J489,'[1]Table S6'!$A:$AI,13,FALSE)</f>
        <v>0.71589699936156603</v>
      </c>
      <c r="W489">
        <f>VLOOKUP($J489,'[1]Table S6'!$A:$AI,14,FALSE)</f>
        <v>2.6379999999999999</v>
      </c>
      <c r="X489" t="str">
        <f>VLOOKUP($J489,'[1]Table S6'!$A:$AI,15,FALSE)</f>
        <v>No</v>
      </c>
      <c r="Z489">
        <f>VLOOKUP($J489,'[1]Table S6'!$A:$AI,17,FALSE)</f>
        <v>285</v>
      </c>
      <c r="AA489">
        <f>VLOOKUP($J489,'[1]Table S6'!$A:$AI,18,FALSE)</f>
        <v>0.60651202383485803</v>
      </c>
      <c r="AB489">
        <f>VLOOKUP($J489,'[1]Table S6'!$A:$AI,19,FALSE)</f>
        <v>1.1140000000000001</v>
      </c>
      <c r="AC489" t="str">
        <f>VLOOKUP($J489,'[1]Table S6'!$A:$AI,20,FALSE)</f>
        <v>Yes</v>
      </c>
      <c r="AE489">
        <f>VLOOKUP($J489,'[1]Table S6'!$A:$AI,22,FALSE)</f>
        <v>339</v>
      </c>
      <c r="AF489">
        <f>VLOOKUP($J489,'[1]Table S6'!$A:$AI,23,FALSE)</f>
        <v>0.72143009150883197</v>
      </c>
      <c r="AG489">
        <f>VLOOKUP($J489,'[1]Table S6'!$A:$AI,24,FALSE)</f>
        <v>4.7859999999999996</v>
      </c>
      <c r="AH489" t="str">
        <f>VLOOKUP($J489,'[1]Table S6'!$A:$AI,25,FALSE)</f>
        <v>No</v>
      </c>
      <c r="AJ489">
        <f>VLOOKUP($J489,'[1]Table S6'!$A:$AI,27,FALSE)</f>
        <v>396.8</v>
      </c>
      <c r="AK489">
        <f>VLOOKUP($J489,'[1]Table S6'!$A:$AI,28,FALSE)</f>
        <v>0.84443498616726997</v>
      </c>
      <c r="AL489">
        <f>VLOOKUP($J489,'[1]Table S6'!$A:$AI,29,FALSE)</f>
        <v>112.6</v>
      </c>
      <c r="AM489" t="str">
        <f>VLOOKUP($J489,'[1]Table S6'!$A:$AI,30,FALSE)</f>
        <v>No</v>
      </c>
      <c r="AO489">
        <f>VLOOKUP($J489,'[1]Table S6'!$A:$AI,32,FALSE)</f>
        <v>387.1</v>
      </c>
      <c r="AP489">
        <f>VLOOKUP($J489,'[1]Table S6'!$A:$AI,33,FALSE)</f>
        <v>0.82379229623324102</v>
      </c>
      <c r="AQ489">
        <f>VLOOKUP($J489,'[1]Table S6'!$A:$AI,34,FALSE)</f>
        <v>59.07</v>
      </c>
      <c r="AR489" t="str">
        <f>VLOOKUP($J489,'[1]Table S6'!$A:$AI,35,FALSE)</f>
        <v>No</v>
      </c>
      <c r="AT489" t="str">
        <f>VLOOKUP($I489,'[2]Table S5'!$A:$K,8,FALSE)</f>
        <v>Resistant</v>
      </c>
      <c r="AU489" t="str">
        <f>VLOOKUP($I489,'[2]Table S5'!$A:$K,9,FALSE)</f>
        <v>Sensitive</v>
      </c>
      <c r="AV489" t="str">
        <f>VLOOKUP($I489,'[2]Table S5'!$A:$K,10,FALSE)</f>
        <v>Resistant</v>
      </c>
      <c r="AW489" t="str">
        <f>VLOOKUP($I489,'[2]Table S5'!$A:$K,11,FALSE)</f>
        <v>Resistant</v>
      </c>
    </row>
    <row r="490" spans="1:49">
      <c r="A490" s="12" t="s">
        <v>3178</v>
      </c>
      <c r="B490" t="s">
        <v>3179</v>
      </c>
      <c r="C490" t="s">
        <v>3180</v>
      </c>
      <c r="D490" t="s">
        <v>17</v>
      </c>
      <c r="E490" t="s">
        <v>1111</v>
      </c>
      <c r="F490" s="12" t="s">
        <v>1112</v>
      </c>
      <c r="G490" t="s">
        <v>1113</v>
      </c>
      <c r="H490" t="s">
        <v>1114</v>
      </c>
      <c r="I490" t="s">
        <v>1053</v>
      </c>
      <c r="J490" t="s">
        <v>1078</v>
      </c>
      <c r="K490">
        <f>VLOOKUP($J490,'[1]Table S6'!$A:$AI,2,FALSE)</f>
        <v>358.1</v>
      </c>
      <c r="L490">
        <f>VLOOKUP($J490,'[1]Table S6'!$A:$AI,3,FALSE)</f>
        <v>0.76207703766758905</v>
      </c>
      <c r="M490">
        <f>VLOOKUP($J490,'[1]Table S6'!$A:$AI,4,FALSE)</f>
        <v>8.2159999999999993</v>
      </c>
      <c r="N490" t="str">
        <f>VLOOKUP($J490,'[1]Table S6'!$A:$AI,5,FALSE)</f>
        <v>No</v>
      </c>
      <c r="P490">
        <f>VLOOKUP($J490,'[1]Table S6'!$A:$AI,7,FALSE)</f>
        <v>317.60000000000002</v>
      </c>
      <c r="Q490">
        <f>VLOOKUP($J490,'[1]Table S6'!$A:$AI,8,FALSE)</f>
        <v>0.67588848691210901</v>
      </c>
      <c r="R490">
        <f>VLOOKUP($J490,'[1]Table S6'!$A:$AI,9,FALSE)</f>
        <v>1.8640000000000001</v>
      </c>
      <c r="S490" t="str">
        <f>VLOOKUP($J490,'[1]Table S6'!$A:$AI,10,FALSE)</f>
        <v>Yes</v>
      </c>
      <c r="U490">
        <f>VLOOKUP($J490,'[1]Table S6'!$A:$AI,12,FALSE)</f>
        <v>335.6</v>
      </c>
      <c r="V490">
        <f>VLOOKUP($J490,'[1]Table S6'!$A:$AI,13,FALSE)</f>
        <v>0.71419450947009999</v>
      </c>
      <c r="W490">
        <f>VLOOKUP($J490,'[1]Table S6'!$A:$AI,14,FALSE)</f>
        <v>4.1449999999999996</v>
      </c>
      <c r="X490" t="str">
        <f>VLOOKUP($J490,'[1]Table S6'!$A:$AI,15,FALSE)</f>
        <v>No</v>
      </c>
      <c r="Z490">
        <f>VLOOKUP($J490,'[1]Table S6'!$A:$AI,17,FALSE)</f>
        <v>313.3</v>
      </c>
      <c r="AA490">
        <f>VLOOKUP($J490,'[1]Table S6'!$A:$AI,18,FALSE)</f>
        <v>0.66673760374547797</v>
      </c>
      <c r="AB490">
        <f>VLOOKUP($J490,'[1]Table S6'!$A:$AI,19,FALSE)</f>
        <v>1.855</v>
      </c>
      <c r="AC490" t="str">
        <f>VLOOKUP($J490,'[1]Table S6'!$A:$AI,20,FALSE)</f>
        <v>Yes</v>
      </c>
      <c r="AE490">
        <f>VLOOKUP($J490,'[1]Table S6'!$A:$AI,22,FALSE)</f>
        <v>331.2</v>
      </c>
      <c r="AF490">
        <f>VLOOKUP($J490,'[1]Table S6'!$A:$AI,23,FALSE)</f>
        <v>0.70483081506703604</v>
      </c>
      <c r="AG490">
        <f>VLOOKUP($J490,'[1]Table S6'!$A:$AI,24,FALSE)</f>
        <v>2.6789999999999998</v>
      </c>
      <c r="AH490" t="str">
        <f>VLOOKUP($J490,'[1]Table S6'!$A:$AI,25,FALSE)</f>
        <v>No</v>
      </c>
      <c r="AJ490">
        <f>VLOOKUP($J490,'[1]Table S6'!$A:$AI,27,FALSE)</f>
        <v>436.1</v>
      </c>
      <c r="AK490">
        <f>VLOOKUP($J490,'[1]Table S6'!$A:$AI,28,FALSE)</f>
        <v>0.92806980208555001</v>
      </c>
      <c r="AL490">
        <f>VLOOKUP($J490,'[1]Table S6'!$A:$AI,29,FALSE)</f>
        <v>273.89999999999998</v>
      </c>
      <c r="AM490" t="str">
        <f>VLOOKUP($J490,'[1]Table S6'!$A:$AI,30,FALSE)</f>
        <v>No</v>
      </c>
      <c r="AO490">
        <f>VLOOKUP($J490,'[1]Table S6'!$A:$AI,32,FALSE)</f>
        <v>422.7</v>
      </c>
      <c r="AP490">
        <f>VLOOKUP($J490,'[1]Table S6'!$A:$AI,33,FALSE)</f>
        <v>0.89955309640349002</v>
      </c>
      <c r="AQ490">
        <f>VLOOKUP($J490,'[1]Table S6'!$A:$AI,34,FALSE)</f>
        <v>164.7</v>
      </c>
      <c r="AR490" t="str">
        <f>VLOOKUP($J490,'[1]Table S6'!$A:$AI,35,FALSE)</f>
        <v>No</v>
      </c>
      <c r="AT490" t="str">
        <f>VLOOKUP($I490,'[2]Table S5'!$A:$K,8,FALSE)</f>
        <v>Resistant</v>
      </c>
      <c r="AU490" t="str">
        <f>VLOOKUP($I490,'[2]Table S5'!$A:$K,9,FALSE)</f>
        <v>Sensitive</v>
      </c>
      <c r="AV490" t="str">
        <f>VLOOKUP($I490,'[2]Table S5'!$A:$K,10,FALSE)</f>
        <v>Resistant</v>
      </c>
      <c r="AW490" t="str">
        <f>VLOOKUP($I490,'[2]Table S5'!$A:$K,11,FALSE)</f>
        <v>Resistant</v>
      </c>
    </row>
    <row r="491" spans="1:49">
      <c r="A491" s="12" t="s">
        <v>3181</v>
      </c>
      <c r="B491" t="s">
        <v>3182</v>
      </c>
      <c r="C491" t="s">
        <v>3183</v>
      </c>
      <c r="D491" t="s">
        <v>17</v>
      </c>
      <c r="E491" t="s">
        <v>1118</v>
      </c>
      <c r="F491" s="12" t="s">
        <v>1119</v>
      </c>
      <c r="G491" t="s">
        <v>1120</v>
      </c>
      <c r="H491" t="s">
        <v>1121</v>
      </c>
      <c r="I491" t="s">
        <v>1053</v>
      </c>
      <c r="J491" t="s">
        <v>1086</v>
      </c>
      <c r="K491">
        <f>VLOOKUP($J491,'[1]Table S6'!$A:$AI,2,FALSE)</f>
        <v>329.2</v>
      </c>
      <c r="L491">
        <f>VLOOKUP($J491,'[1]Table S6'!$A:$AI,3,FALSE)</f>
        <v>0.70057459033837</v>
      </c>
      <c r="M491">
        <f>VLOOKUP($J491,'[1]Table S6'!$A:$AI,4,FALSE)</f>
        <v>4.1929999999999996</v>
      </c>
      <c r="N491" t="str">
        <f>VLOOKUP($J491,'[1]Table S6'!$A:$AI,5,FALSE)</f>
        <v>Yes</v>
      </c>
      <c r="P491">
        <f>VLOOKUP($J491,'[1]Table S6'!$A:$AI,7,FALSE)</f>
        <v>324.7</v>
      </c>
      <c r="Q491">
        <f>VLOOKUP($J491,'[1]Table S6'!$A:$AI,8,FALSE)</f>
        <v>0.69099808469887203</v>
      </c>
      <c r="R491">
        <f>VLOOKUP($J491,'[1]Table S6'!$A:$AI,9,FALSE)</f>
        <v>2.206</v>
      </c>
      <c r="S491" t="str">
        <f>VLOOKUP($J491,'[1]Table S6'!$A:$AI,10,FALSE)</f>
        <v>Yes</v>
      </c>
      <c r="U491">
        <f>VLOOKUP($J491,'[1]Table S6'!$A:$AI,12,FALSE)</f>
        <v>368.7</v>
      </c>
      <c r="V491">
        <f>VLOOKUP($J491,'[1]Table S6'!$A:$AI,13,FALSE)</f>
        <v>0.78463502872951696</v>
      </c>
      <c r="W491">
        <f>VLOOKUP($J491,'[1]Table S6'!$A:$AI,14,FALSE)</f>
        <v>9.5579999999999998</v>
      </c>
      <c r="X491" t="str">
        <f>VLOOKUP($J491,'[1]Table S6'!$A:$AI,15,FALSE)</f>
        <v>No</v>
      </c>
      <c r="Z491">
        <f>VLOOKUP($J491,'[1]Table S6'!$A:$AI,17,FALSE)</f>
        <v>383.1</v>
      </c>
      <c r="AA491">
        <f>VLOOKUP($J491,'[1]Table S6'!$A:$AI,18,FALSE)</f>
        <v>0.81527984677591003</v>
      </c>
      <c r="AB491">
        <f>VLOOKUP($J491,'[1]Table S6'!$A:$AI,19,FALSE)</f>
        <v>14.55</v>
      </c>
      <c r="AC491" t="str">
        <f>VLOOKUP($J491,'[1]Table S6'!$A:$AI,20,FALSE)</f>
        <v>No</v>
      </c>
      <c r="AE491">
        <f>VLOOKUP($J491,'[1]Table S6'!$A:$AI,22,FALSE)</f>
        <v>337.4</v>
      </c>
      <c r="AF491">
        <f>VLOOKUP($J491,'[1]Table S6'!$A:$AI,23,FALSE)</f>
        <v>0.718025111725899</v>
      </c>
      <c r="AG491">
        <f>VLOOKUP($J491,'[1]Table S6'!$A:$AI,24,FALSE)</f>
        <v>4.8949999999999996</v>
      </c>
      <c r="AH491" t="str">
        <f>VLOOKUP($J491,'[1]Table S6'!$A:$AI,25,FALSE)</f>
        <v>No</v>
      </c>
      <c r="AJ491">
        <f>VLOOKUP($J491,'[1]Table S6'!$A:$AI,27,FALSE)</f>
        <v>412.8</v>
      </c>
      <c r="AK491">
        <f>VLOOKUP($J491,'[1]Table S6'!$A:$AI,28,FALSE)</f>
        <v>0.87848478399659502</v>
      </c>
      <c r="AL491">
        <f>VLOOKUP($J491,'[1]Table S6'!$A:$AI,29,FALSE)</f>
        <v>121</v>
      </c>
      <c r="AM491" t="str">
        <f>VLOOKUP($J491,'[1]Table S6'!$A:$AI,30,FALSE)</f>
        <v>No</v>
      </c>
      <c r="AO491">
        <f>VLOOKUP($J491,'[1]Table S6'!$A:$AI,32,FALSE)</f>
        <v>397.2</v>
      </c>
      <c r="AP491">
        <f>VLOOKUP($J491,'[1]Table S6'!$A:$AI,33,FALSE)</f>
        <v>0.84528623111300305</v>
      </c>
      <c r="AQ491">
        <f>VLOOKUP($J491,'[1]Table S6'!$A:$AI,34,FALSE)</f>
        <v>128.1</v>
      </c>
      <c r="AR491" t="str">
        <f>VLOOKUP($J491,'[1]Table S6'!$A:$AI,35,FALSE)</f>
        <v>No</v>
      </c>
      <c r="AT491" t="str">
        <f>VLOOKUP($I491,'[2]Table S5'!$A:$K,8,FALSE)</f>
        <v>Resistant</v>
      </c>
      <c r="AU491" t="str">
        <f>VLOOKUP($I491,'[2]Table S5'!$A:$K,9,FALSE)</f>
        <v>Sensitive</v>
      </c>
      <c r="AV491" t="str">
        <f>VLOOKUP($I491,'[2]Table S5'!$A:$K,10,FALSE)</f>
        <v>Resistant</v>
      </c>
      <c r="AW491" t="str">
        <f>VLOOKUP($I491,'[2]Table S5'!$A:$K,11,FALSE)</f>
        <v>Resistant</v>
      </c>
    </row>
    <row r="492" spans="1:49">
      <c r="A492" s="12" t="s">
        <v>3184</v>
      </c>
      <c r="B492" t="s">
        <v>3185</v>
      </c>
      <c r="C492" t="s">
        <v>3186</v>
      </c>
      <c r="D492" t="s">
        <v>17</v>
      </c>
      <c r="E492" t="s">
        <v>3187</v>
      </c>
      <c r="F492" s="12" t="s">
        <v>3188</v>
      </c>
      <c r="G492" t="s">
        <v>3189</v>
      </c>
      <c r="H492" t="s">
        <v>3190</v>
      </c>
      <c r="I492" t="s">
        <v>1136</v>
      </c>
      <c r="J492" t="s">
        <v>1136</v>
      </c>
      <c r="K492" t="e">
        <f>VLOOKUP($J492,'[1]Table S6'!$A:$AI,2,FALSE)</f>
        <v>#N/A</v>
      </c>
      <c r="L492" t="e">
        <f>VLOOKUP($J492,'[1]Table S6'!$A:$AI,3,FALSE)</f>
        <v>#N/A</v>
      </c>
      <c r="M492" t="e">
        <f>VLOOKUP($J492,'[1]Table S6'!$A:$AI,4,FALSE)</f>
        <v>#N/A</v>
      </c>
      <c r="N492" t="e">
        <f>VLOOKUP($J492,'[1]Table S6'!$A:$AI,5,FALSE)</f>
        <v>#N/A</v>
      </c>
      <c r="P492" t="e">
        <f>VLOOKUP($J492,'[1]Table S6'!$A:$AI,7,FALSE)</f>
        <v>#N/A</v>
      </c>
      <c r="Q492" t="e">
        <f>VLOOKUP($J492,'[1]Table S6'!$A:$AI,8,FALSE)</f>
        <v>#N/A</v>
      </c>
      <c r="R492" t="e">
        <f>VLOOKUP($J492,'[1]Table S6'!$A:$AI,9,FALSE)</f>
        <v>#N/A</v>
      </c>
      <c r="S492" t="e">
        <f>VLOOKUP($J492,'[1]Table S6'!$A:$AI,10,FALSE)</f>
        <v>#N/A</v>
      </c>
      <c r="U492" t="e">
        <f>VLOOKUP($J492,'[1]Table S6'!$A:$AI,12,FALSE)</f>
        <v>#N/A</v>
      </c>
      <c r="V492" t="e">
        <f>VLOOKUP($J492,'[1]Table S6'!$A:$AI,13,FALSE)</f>
        <v>#N/A</v>
      </c>
      <c r="W492" t="e">
        <f>VLOOKUP($J492,'[1]Table S6'!$A:$AI,14,FALSE)</f>
        <v>#N/A</v>
      </c>
      <c r="X492" t="e">
        <f>VLOOKUP($J492,'[1]Table S6'!$A:$AI,15,FALSE)</f>
        <v>#N/A</v>
      </c>
      <c r="Z492" t="e">
        <f>VLOOKUP($J492,'[1]Table S6'!$A:$AI,17,FALSE)</f>
        <v>#N/A</v>
      </c>
      <c r="AA492" t="e">
        <f>VLOOKUP($J492,'[1]Table S6'!$A:$AI,18,FALSE)</f>
        <v>#N/A</v>
      </c>
      <c r="AB492" t="e">
        <f>VLOOKUP($J492,'[1]Table S6'!$A:$AI,19,FALSE)</f>
        <v>#N/A</v>
      </c>
      <c r="AC492" t="e">
        <f>VLOOKUP($J492,'[1]Table S6'!$A:$AI,20,FALSE)</f>
        <v>#N/A</v>
      </c>
      <c r="AE492" t="e">
        <f>VLOOKUP($J492,'[1]Table S6'!$A:$AI,22,FALSE)</f>
        <v>#N/A</v>
      </c>
      <c r="AF492" t="e">
        <f>VLOOKUP($J492,'[1]Table S6'!$A:$AI,23,FALSE)</f>
        <v>#N/A</v>
      </c>
      <c r="AG492" t="e">
        <f>VLOOKUP($J492,'[1]Table S6'!$A:$AI,24,FALSE)</f>
        <v>#N/A</v>
      </c>
      <c r="AH492" t="e">
        <f>VLOOKUP($J492,'[1]Table S6'!$A:$AI,25,FALSE)</f>
        <v>#N/A</v>
      </c>
      <c r="AJ492" t="e">
        <f>VLOOKUP($J492,'[1]Table S6'!$A:$AI,27,FALSE)</f>
        <v>#N/A</v>
      </c>
      <c r="AK492" t="e">
        <f>VLOOKUP($J492,'[1]Table S6'!$A:$AI,28,FALSE)</f>
        <v>#N/A</v>
      </c>
      <c r="AL492" t="e">
        <f>VLOOKUP($J492,'[1]Table S6'!$A:$AI,29,FALSE)</f>
        <v>#N/A</v>
      </c>
      <c r="AM492" t="e">
        <f>VLOOKUP($J492,'[1]Table S6'!$A:$AI,30,FALSE)</f>
        <v>#N/A</v>
      </c>
      <c r="AO492" t="e">
        <f>VLOOKUP($J492,'[1]Table S6'!$A:$AI,32,FALSE)</f>
        <v>#N/A</v>
      </c>
      <c r="AP492" t="e">
        <f>VLOOKUP($J492,'[1]Table S6'!$A:$AI,33,FALSE)</f>
        <v>#N/A</v>
      </c>
      <c r="AQ492" t="e">
        <f>VLOOKUP($J492,'[1]Table S6'!$A:$AI,34,FALSE)</f>
        <v>#N/A</v>
      </c>
      <c r="AR492" t="e">
        <f>VLOOKUP($J492,'[1]Table S6'!$A:$AI,35,FALSE)</f>
        <v>#N/A</v>
      </c>
      <c r="AT492" t="str">
        <f>VLOOKUP($I492,'[2]Table S5'!$A:$K,8,FALSE)</f>
        <v>Sensitive</v>
      </c>
      <c r="AU492" t="str">
        <f>VLOOKUP($I492,'[2]Table S5'!$A:$K,9,FALSE)</f>
        <v>Sensitive</v>
      </c>
      <c r="AV492" t="str">
        <f>VLOOKUP($I492,'[2]Table S5'!$A:$K,10,FALSE)</f>
        <v>Sensitive</v>
      </c>
      <c r="AW492" t="str">
        <f>VLOOKUP($I492,'[2]Table S5'!$A:$K,11,FALSE)</f>
        <v>Resistant</v>
      </c>
    </row>
    <row r="493" spans="1:49">
      <c r="A493" s="12" t="s">
        <v>3191</v>
      </c>
      <c r="B493" t="s">
        <v>3192</v>
      </c>
      <c r="C493" t="s">
        <v>3193</v>
      </c>
      <c r="D493" t="s">
        <v>17</v>
      </c>
      <c r="E493" t="s">
        <v>3194</v>
      </c>
      <c r="F493" s="12" t="s">
        <v>3195</v>
      </c>
      <c r="G493" t="s">
        <v>3196</v>
      </c>
      <c r="H493" t="s">
        <v>3197</v>
      </c>
      <c r="I493" t="s">
        <v>1136</v>
      </c>
      <c r="J493" t="s">
        <v>1136</v>
      </c>
      <c r="K493" t="e">
        <f>VLOOKUP($J493,'[1]Table S6'!$A:$AI,2,FALSE)</f>
        <v>#N/A</v>
      </c>
      <c r="L493" t="e">
        <f>VLOOKUP($J493,'[1]Table S6'!$A:$AI,3,FALSE)</f>
        <v>#N/A</v>
      </c>
      <c r="M493" t="e">
        <f>VLOOKUP($J493,'[1]Table S6'!$A:$AI,4,FALSE)</f>
        <v>#N/A</v>
      </c>
      <c r="N493" t="e">
        <f>VLOOKUP($J493,'[1]Table S6'!$A:$AI,5,FALSE)</f>
        <v>#N/A</v>
      </c>
      <c r="P493" t="e">
        <f>VLOOKUP($J493,'[1]Table S6'!$A:$AI,7,FALSE)</f>
        <v>#N/A</v>
      </c>
      <c r="Q493" t="e">
        <f>VLOOKUP($J493,'[1]Table S6'!$A:$AI,8,FALSE)</f>
        <v>#N/A</v>
      </c>
      <c r="R493" t="e">
        <f>VLOOKUP($J493,'[1]Table S6'!$A:$AI,9,FALSE)</f>
        <v>#N/A</v>
      </c>
      <c r="S493" t="e">
        <f>VLOOKUP($J493,'[1]Table S6'!$A:$AI,10,FALSE)</f>
        <v>#N/A</v>
      </c>
      <c r="U493" t="e">
        <f>VLOOKUP($J493,'[1]Table S6'!$A:$AI,12,FALSE)</f>
        <v>#N/A</v>
      </c>
      <c r="V493" t="e">
        <f>VLOOKUP($J493,'[1]Table S6'!$A:$AI,13,FALSE)</f>
        <v>#N/A</v>
      </c>
      <c r="W493" t="e">
        <f>VLOOKUP($J493,'[1]Table S6'!$A:$AI,14,FALSE)</f>
        <v>#N/A</v>
      </c>
      <c r="X493" t="e">
        <f>VLOOKUP($J493,'[1]Table S6'!$A:$AI,15,FALSE)</f>
        <v>#N/A</v>
      </c>
      <c r="Z493" t="e">
        <f>VLOOKUP($J493,'[1]Table S6'!$A:$AI,17,FALSE)</f>
        <v>#N/A</v>
      </c>
      <c r="AA493" t="e">
        <f>VLOOKUP($J493,'[1]Table S6'!$A:$AI,18,FALSE)</f>
        <v>#N/A</v>
      </c>
      <c r="AB493" t="e">
        <f>VLOOKUP($J493,'[1]Table S6'!$A:$AI,19,FALSE)</f>
        <v>#N/A</v>
      </c>
      <c r="AC493" t="e">
        <f>VLOOKUP($J493,'[1]Table S6'!$A:$AI,20,FALSE)</f>
        <v>#N/A</v>
      </c>
      <c r="AE493" t="e">
        <f>VLOOKUP($J493,'[1]Table S6'!$A:$AI,22,FALSE)</f>
        <v>#N/A</v>
      </c>
      <c r="AF493" t="e">
        <f>VLOOKUP($J493,'[1]Table S6'!$A:$AI,23,FALSE)</f>
        <v>#N/A</v>
      </c>
      <c r="AG493" t="e">
        <f>VLOOKUP($J493,'[1]Table S6'!$A:$AI,24,FALSE)</f>
        <v>#N/A</v>
      </c>
      <c r="AH493" t="e">
        <f>VLOOKUP($J493,'[1]Table S6'!$A:$AI,25,FALSE)</f>
        <v>#N/A</v>
      </c>
      <c r="AJ493" t="e">
        <f>VLOOKUP($J493,'[1]Table S6'!$A:$AI,27,FALSE)</f>
        <v>#N/A</v>
      </c>
      <c r="AK493" t="e">
        <f>VLOOKUP($J493,'[1]Table S6'!$A:$AI,28,FALSE)</f>
        <v>#N/A</v>
      </c>
      <c r="AL493" t="e">
        <f>VLOOKUP($J493,'[1]Table S6'!$A:$AI,29,FALSE)</f>
        <v>#N/A</v>
      </c>
      <c r="AM493" t="e">
        <f>VLOOKUP($J493,'[1]Table S6'!$A:$AI,30,FALSE)</f>
        <v>#N/A</v>
      </c>
      <c r="AO493" t="e">
        <f>VLOOKUP($J493,'[1]Table S6'!$A:$AI,32,FALSE)</f>
        <v>#N/A</v>
      </c>
      <c r="AP493" t="e">
        <f>VLOOKUP($J493,'[1]Table S6'!$A:$AI,33,FALSE)</f>
        <v>#N/A</v>
      </c>
      <c r="AQ493" t="e">
        <f>VLOOKUP($J493,'[1]Table S6'!$A:$AI,34,FALSE)</f>
        <v>#N/A</v>
      </c>
      <c r="AR493" t="e">
        <f>VLOOKUP($J493,'[1]Table S6'!$A:$AI,35,FALSE)</f>
        <v>#N/A</v>
      </c>
      <c r="AT493" t="str">
        <f>VLOOKUP($I493,'[2]Table S5'!$A:$K,8,FALSE)</f>
        <v>Sensitive</v>
      </c>
      <c r="AU493" t="str">
        <f>VLOOKUP($I493,'[2]Table S5'!$A:$K,9,FALSE)</f>
        <v>Sensitive</v>
      </c>
      <c r="AV493" t="str">
        <f>VLOOKUP($I493,'[2]Table S5'!$A:$K,10,FALSE)</f>
        <v>Sensitive</v>
      </c>
      <c r="AW493" t="str">
        <f>VLOOKUP($I493,'[2]Table S5'!$A:$K,11,FALSE)</f>
        <v>Resistant</v>
      </c>
    </row>
    <row r="494" spans="1:49">
      <c r="A494" s="12" t="s">
        <v>3198</v>
      </c>
      <c r="B494" t="s">
        <v>3199</v>
      </c>
      <c r="C494" t="s">
        <v>3200</v>
      </c>
      <c r="D494" t="s">
        <v>17</v>
      </c>
      <c r="E494" t="s">
        <v>1132</v>
      </c>
      <c r="F494" s="12" t="s">
        <v>1133</v>
      </c>
      <c r="G494" t="s">
        <v>1134</v>
      </c>
      <c r="H494" t="s">
        <v>1135</v>
      </c>
      <c r="I494" t="s">
        <v>1136</v>
      </c>
      <c r="J494" t="s">
        <v>1137</v>
      </c>
      <c r="K494">
        <f>VLOOKUP($J494,'[1]Table S6'!$A:$AI,2,FALSE)</f>
        <v>295.39999999999998</v>
      </c>
      <c r="L494">
        <f>VLOOKUP($J494,'[1]Table S6'!$A:$AI,3,FALSE)</f>
        <v>0.62864439242392001</v>
      </c>
      <c r="M494">
        <f>VLOOKUP($J494,'[1]Table S6'!$A:$AI,4,FALSE)</f>
        <v>0.94779999999999998</v>
      </c>
      <c r="N494" t="str">
        <f>VLOOKUP($J494,'[1]Table S6'!$A:$AI,5,FALSE)</f>
        <v>Yes</v>
      </c>
      <c r="P494">
        <f>VLOOKUP($J494,'[1]Table S6'!$A:$AI,7,FALSE)</f>
        <v>309.60000000000002</v>
      </c>
      <c r="Q494">
        <f>VLOOKUP($J494,'[1]Table S6'!$A:$AI,8,FALSE)</f>
        <v>0.65886358799744604</v>
      </c>
      <c r="R494">
        <f>VLOOKUP($J494,'[1]Table S6'!$A:$AI,9,FALSE)</f>
        <v>1.409</v>
      </c>
      <c r="S494" t="str">
        <f>VLOOKUP($J494,'[1]Table S6'!$A:$AI,10,FALSE)</f>
        <v>Yes</v>
      </c>
      <c r="U494">
        <f>VLOOKUP($J494,'[1]Table S6'!$A:$AI,12,FALSE)</f>
        <v>317.89999999999998</v>
      </c>
      <c r="V494">
        <f>VLOOKUP($J494,'[1]Table S6'!$A:$AI,13,FALSE)</f>
        <v>0.67652692062140896</v>
      </c>
      <c r="W494">
        <f>VLOOKUP($J494,'[1]Table S6'!$A:$AI,14,FALSE)</f>
        <v>2.0950000000000002</v>
      </c>
      <c r="X494" t="str">
        <f>VLOOKUP($J494,'[1]Table S6'!$A:$AI,15,FALSE)</f>
        <v>Yes</v>
      </c>
      <c r="Z494">
        <f>VLOOKUP($J494,'[1]Table S6'!$A:$AI,17,FALSE)</f>
        <v>307.5</v>
      </c>
      <c r="AA494">
        <f>VLOOKUP($J494,'[1]Table S6'!$A:$AI,18,FALSE)</f>
        <v>0.65439455203234698</v>
      </c>
      <c r="AB494">
        <f>VLOOKUP($J494,'[1]Table S6'!$A:$AI,19,FALSE)</f>
        <v>1.954</v>
      </c>
      <c r="AC494" t="str">
        <f>VLOOKUP($J494,'[1]Table S6'!$A:$AI,20,FALSE)</f>
        <v>Yes</v>
      </c>
      <c r="AE494">
        <f>VLOOKUP($J494,'[1]Table S6'!$A:$AI,22,FALSE)</f>
        <v>342.1</v>
      </c>
      <c r="AF494">
        <f>VLOOKUP($J494,'[1]Table S6'!$A:$AI,23,FALSE)</f>
        <v>0.72802723983826401</v>
      </c>
      <c r="AG494">
        <f>VLOOKUP($J494,'[1]Table S6'!$A:$AI,24,FALSE)</f>
        <v>3.024</v>
      </c>
      <c r="AH494" t="str">
        <f>VLOOKUP($J494,'[1]Table S6'!$A:$AI,25,FALSE)</f>
        <v>No</v>
      </c>
      <c r="AJ494">
        <f>VLOOKUP($J494,'[1]Table S6'!$A:$AI,27,FALSE)</f>
        <v>421</v>
      </c>
      <c r="AK494">
        <f>VLOOKUP($J494,'[1]Table S6'!$A:$AI,28,FALSE)</f>
        <v>0.89593530538412403</v>
      </c>
      <c r="AL494">
        <f>VLOOKUP($J494,'[1]Table S6'!$A:$AI,29,FALSE)</f>
        <v>154.1</v>
      </c>
      <c r="AM494" t="str">
        <f>VLOOKUP($J494,'[1]Table S6'!$A:$AI,30,FALSE)</f>
        <v>No</v>
      </c>
      <c r="AO494">
        <f>VLOOKUP($J494,'[1]Table S6'!$A:$AI,32,FALSE)</f>
        <v>448.4</v>
      </c>
      <c r="AP494">
        <f>VLOOKUP($J494,'[1]Table S6'!$A:$AI,33,FALSE)</f>
        <v>0.95424558416684402</v>
      </c>
      <c r="AQ494">
        <f>VLOOKUP($J494,'[1]Table S6'!$A:$AI,34,FALSE)</f>
        <v>207.1</v>
      </c>
      <c r="AR494" t="str">
        <f>VLOOKUP($J494,'[1]Table S6'!$A:$AI,35,FALSE)</f>
        <v>No</v>
      </c>
      <c r="AT494" t="str">
        <f>VLOOKUP($I494,'[2]Table S5'!$A:$K,8,FALSE)</f>
        <v>Sensitive</v>
      </c>
      <c r="AU494" t="str">
        <f>VLOOKUP($I494,'[2]Table S5'!$A:$K,9,FALSE)</f>
        <v>Sensitive</v>
      </c>
      <c r="AV494" t="str">
        <f>VLOOKUP($I494,'[2]Table S5'!$A:$K,10,FALSE)</f>
        <v>Sensitive</v>
      </c>
      <c r="AW494" t="str">
        <f>VLOOKUP($I494,'[2]Table S5'!$A:$K,11,FALSE)</f>
        <v>Resistant</v>
      </c>
    </row>
    <row r="495" spans="1:49">
      <c r="A495" s="12" t="s">
        <v>3201</v>
      </c>
      <c r="B495" t="s">
        <v>3202</v>
      </c>
      <c r="C495" t="s">
        <v>3203</v>
      </c>
      <c r="D495" t="s">
        <v>17</v>
      </c>
      <c r="E495" t="s">
        <v>1141</v>
      </c>
      <c r="F495" s="12" t="s">
        <v>1142</v>
      </c>
      <c r="G495" t="s">
        <v>1143</v>
      </c>
      <c r="H495" t="s">
        <v>1144</v>
      </c>
      <c r="I495" t="s">
        <v>1136</v>
      </c>
      <c r="J495" t="s">
        <v>1145</v>
      </c>
      <c r="K495">
        <f>VLOOKUP($J495,'[1]Table S6'!$A:$AI,2,FALSE)</f>
        <v>275.2</v>
      </c>
      <c r="L495">
        <f>VLOOKUP($J495,'[1]Table S6'!$A:$AI,3,FALSE)</f>
        <v>0.58565652266439705</v>
      </c>
      <c r="M495">
        <f>VLOOKUP($J495,'[1]Table S6'!$A:$AI,4,FALSE)</f>
        <v>0.57289999999999996</v>
      </c>
      <c r="N495" t="str">
        <f>VLOOKUP($J495,'[1]Table S6'!$A:$AI,5,FALSE)</f>
        <v>Yes</v>
      </c>
      <c r="P495">
        <f>VLOOKUP($J495,'[1]Table S6'!$A:$AI,7,FALSE)</f>
        <v>298.3</v>
      </c>
      <c r="Q495">
        <f>VLOOKUP($J495,'[1]Table S6'!$A:$AI,8,FALSE)</f>
        <v>0.634815918280485</v>
      </c>
      <c r="R495">
        <f>VLOOKUP($J495,'[1]Table S6'!$A:$AI,9,FALSE)</f>
        <v>1.0309999999999999</v>
      </c>
      <c r="S495" t="str">
        <f>VLOOKUP($J495,'[1]Table S6'!$A:$AI,10,FALSE)</f>
        <v>Yes</v>
      </c>
      <c r="U495">
        <f>VLOOKUP($J495,'[1]Table S6'!$A:$AI,12,FALSE)</f>
        <v>322.7</v>
      </c>
      <c r="V495">
        <f>VLOOKUP($J495,'[1]Table S6'!$A:$AI,13,FALSE)</f>
        <v>0.68674185997020598</v>
      </c>
      <c r="W495">
        <f>VLOOKUP($J495,'[1]Table S6'!$A:$AI,14,FALSE)</f>
        <v>2.1110000000000002</v>
      </c>
      <c r="X495" t="str">
        <f>VLOOKUP($J495,'[1]Table S6'!$A:$AI,15,FALSE)</f>
        <v>Yes</v>
      </c>
      <c r="Z495">
        <f>VLOOKUP($J495,'[1]Table S6'!$A:$AI,17,FALSE)</f>
        <v>297.10000000000002</v>
      </c>
      <c r="AA495">
        <f>VLOOKUP($J495,'[1]Table S6'!$A:$AI,18,FALSE)</f>
        <v>0.632262183443286</v>
      </c>
      <c r="AB495">
        <f>VLOOKUP($J495,'[1]Table S6'!$A:$AI,19,FALSE)</f>
        <v>1.2230000000000001</v>
      </c>
      <c r="AC495" t="str">
        <f>VLOOKUP($J495,'[1]Table S6'!$A:$AI,20,FALSE)</f>
        <v>Yes</v>
      </c>
      <c r="AE495">
        <f>VLOOKUP($J495,'[1]Table S6'!$A:$AI,22,FALSE)</f>
        <v>335</v>
      </c>
      <c r="AF495">
        <f>VLOOKUP($J495,'[1]Table S6'!$A:$AI,23,FALSE)</f>
        <v>0.71291764205149999</v>
      </c>
      <c r="AG495">
        <f>VLOOKUP($J495,'[1]Table S6'!$A:$AI,24,FALSE)</f>
        <v>3.4550000000000001</v>
      </c>
      <c r="AH495" t="str">
        <f>VLOOKUP($J495,'[1]Table S6'!$A:$AI,25,FALSE)</f>
        <v>No</v>
      </c>
      <c r="AJ495">
        <f>VLOOKUP($J495,'[1]Table S6'!$A:$AI,27,FALSE)</f>
        <v>410.1</v>
      </c>
      <c r="AK495">
        <f>VLOOKUP($J495,'[1]Table S6'!$A:$AI,28,FALSE)</f>
        <v>0.87273888061289695</v>
      </c>
      <c r="AL495">
        <f>VLOOKUP($J495,'[1]Table S6'!$A:$AI,29,FALSE)</f>
        <v>187.5</v>
      </c>
      <c r="AM495" t="str">
        <f>VLOOKUP($J495,'[1]Table S6'!$A:$AI,30,FALSE)</f>
        <v>No</v>
      </c>
      <c r="AO495">
        <f>VLOOKUP($J495,'[1]Table S6'!$A:$AI,32,FALSE)</f>
        <v>399.4</v>
      </c>
      <c r="AP495">
        <f>VLOOKUP($J495,'[1]Table S6'!$A:$AI,33,FALSE)</f>
        <v>0.84996807831453502</v>
      </c>
      <c r="AQ495">
        <f>VLOOKUP($J495,'[1]Table S6'!$A:$AI,34,FALSE)</f>
        <v>171.8</v>
      </c>
      <c r="AR495" t="str">
        <f>VLOOKUP($J495,'[1]Table S6'!$A:$AI,35,FALSE)</f>
        <v>No</v>
      </c>
      <c r="AT495" t="str">
        <f>VLOOKUP($I495,'[2]Table S5'!$A:$K,8,FALSE)</f>
        <v>Sensitive</v>
      </c>
      <c r="AU495" t="str">
        <f>VLOOKUP($I495,'[2]Table S5'!$A:$K,9,FALSE)</f>
        <v>Sensitive</v>
      </c>
      <c r="AV495" t="str">
        <f>VLOOKUP($I495,'[2]Table S5'!$A:$K,10,FALSE)</f>
        <v>Sensitive</v>
      </c>
      <c r="AW495" t="str">
        <f>VLOOKUP($I495,'[2]Table S5'!$A:$K,11,FALSE)</f>
        <v>Resistant</v>
      </c>
    </row>
    <row r="496" spans="1:49">
      <c r="A496" s="12" t="s">
        <v>3204</v>
      </c>
      <c r="B496" t="s">
        <v>3205</v>
      </c>
      <c r="C496" t="s">
        <v>3206</v>
      </c>
      <c r="D496" t="s">
        <v>17</v>
      </c>
      <c r="E496" t="s">
        <v>1149</v>
      </c>
      <c r="F496" s="12" t="s">
        <v>1150</v>
      </c>
      <c r="G496" t="s">
        <v>1151</v>
      </c>
      <c r="H496" t="s">
        <v>1152</v>
      </c>
      <c r="I496" t="s">
        <v>1136</v>
      </c>
      <c r="J496" t="s">
        <v>1153</v>
      </c>
      <c r="K496">
        <f>VLOOKUP($J496,'[1]Table S6'!$A:$AI,2,FALSE)</f>
        <v>297.39999999999998</v>
      </c>
      <c r="L496">
        <f>VLOOKUP($J496,'[1]Table S6'!$A:$AI,3,FALSE)</f>
        <v>0.63290061715258605</v>
      </c>
      <c r="M496">
        <f>VLOOKUP($J496,'[1]Table S6'!$A:$AI,4,FALSE)</f>
        <v>1.21</v>
      </c>
      <c r="N496" t="str">
        <f>VLOOKUP($J496,'[1]Table S6'!$A:$AI,5,FALSE)</f>
        <v>Yes</v>
      </c>
      <c r="P496">
        <f>VLOOKUP($J496,'[1]Table S6'!$A:$AI,7,FALSE)</f>
        <v>319.5</v>
      </c>
      <c r="Q496">
        <f>VLOOKUP($J496,'[1]Table S6'!$A:$AI,8,FALSE)</f>
        <v>0.67993190040434104</v>
      </c>
      <c r="R496">
        <f>VLOOKUP($J496,'[1]Table S6'!$A:$AI,9,FALSE)</f>
        <v>1.706</v>
      </c>
      <c r="S496" t="str">
        <f>VLOOKUP($J496,'[1]Table S6'!$A:$AI,10,FALSE)</f>
        <v>Yes</v>
      </c>
      <c r="U496">
        <f>VLOOKUP($J496,'[1]Table S6'!$A:$AI,12,FALSE)</f>
        <v>321.60000000000002</v>
      </c>
      <c r="V496">
        <f>VLOOKUP($J496,'[1]Table S6'!$A:$AI,13,FALSE)</f>
        <v>0.68440093636943999</v>
      </c>
      <c r="W496">
        <f>VLOOKUP($J496,'[1]Table S6'!$A:$AI,14,FALSE)</f>
        <v>1.9750000000000001</v>
      </c>
      <c r="X496" t="str">
        <f>VLOOKUP($J496,'[1]Table S6'!$A:$AI,15,FALSE)</f>
        <v>Yes</v>
      </c>
      <c r="Z496">
        <f>VLOOKUP($J496,'[1]Table S6'!$A:$AI,17,FALSE)</f>
        <v>319.5</v>
      </c>
      <c r="AA496">
        <f>VLOOKUP($J496,'[1]Table S6'!$A:$AI,18,FALSE)</f>
        <v>0.67993190040434104</v>
      </c>
      <c r="AB496">
        <f>VLOOKUP($J496,'[1]Table S6'!$A:$AI,19,FALSE)</f>
        <v>3.056</v>
      </c>
      <c r="AC496" t="str">
        <f>VLOOKUP($J496,'[1]Table S6'!$A:$AI,20,FALSE)</f>
        <v>Yes</v>
      </c>
      <c r="AE496">
        <f>VLOOKUP($J496,'[1]Table S6'!$A:$AI,22,FALSE)</f>
        <v>352.7</v>
      </c>
      <c r="AF496">
        <f>VLOOKUP($J496,'[1]Table S6'!$A:$AI,23,FALSE)</f>
        <v>0.75058523090019202</v>
      </c>
      <c r="AG496">
        <f>VLOOKUP($J496,'[1]Table S6'!$A:$AI,24,FALSE)</f>
        <v>6.8369999999999997</v>
      </c>
      <c r="AH496" t="str">
        <f>VLOOKUP($J496,'[1]Table S6'!$A:$AI,25,FALSE)</f>
        <v>No</v>
      </c>
      <c r="AJ496">
        <f>VLOOKUP($J496,'[1]Table S6'!$A:$AI,27,FALSE)</f>
        <v>428.1</v>
      </c>
      <c r="AK496">
        <f>VLOOKUP($J496,'[1]Table S6'!$A:$AI,28,FALSE)</f>
        <v>0.91104490317088704</v>
      </c>
      <c r="AL496">
        <f>VLOOKUP($J496,'[1]Table S6'!$A:$AI,29,FALSE)</f>
        <v>164.7</v>
      </c>
      <c r="AM496" t="str">
        <f>VLOOKUP($J496,'[1]Table S6'!$A:$AI,30,FALSE)</f>
        <v>No</v>
      </c>
      <c r="AO496">
        <f>VLOOKUP($J496,'[1]Table S6'!$A:$AI,32,FALSE)</f>
        <v>391.4</v>
      </c>
      <c r="AP496">
        <f>VLOOKUP($J496,'[1]Table S6'!$A:$AI,33,FALSE)</f>
        <v>0.83294317939987195</v>
      </c>
      <c r="AQ496">
        <f>VLOOKUP($J496,'[1]Table S6'!$A:$AI,34,FALSE)</f>
        <v>117.1</v>
      </c>
      <c r="AR496" t="str">
        <f>VLOOKUP($J496,'[1]Table S6'!$A:$AI,35,FALSE)</f>
        <v>No</v>
      </c>
      <c r="AT496" t="str">
        <f>VLOOKUP($I496,'[2]Table S5'!$A:$K,8,FALSE)</f>
        <v>Sensitive</v>
      </c>
      <c r="AU496" t="str">
        <f>VLOOKUP($I496,'[2]Table S5'!$A:$K,9,FALSE)</f>
        <v>Sensitive</v>
      </c>
      <c r="AV496" t="str">
        <f>VLOOKUP($I496,'[2]Table S5'!$A:$K,10,FALSE)</f>
        <v>Sensitive</v>
      </c>
      <c r="AW496" t="str">
        <f>VLOOKUP($I496,'[2]Table S5'!$A:$K,11,FALSE)</f>
        <v>Resistant</v>
      </c>
    </row>
    <row r="497" spans="1:49">
      <c r="A497" s="12" t="s">
        <v>3207</v>
      </c>
      <c r="B497" t="s">
        <v>3208</v>
      </c>
      <c r="C497" t="s">
        <v>3209</v>
      </c>
      <c r="D497" t="s">
        <v>17</v>
      </c>
      <c r="E497" t="s">
        <v>1157</v>
      </c>
      <c r="F497" s="12" t="s">
        <v>1158</v>
      </c>
      <c r="G497" t="s">
        <v>1159</v>
      </c>
      <c r="H497" t="s">
        <v>1160</v>
      </c>
      <c r="I497" t="s">
        <v>1136</v>
      </c>
      <c r="J497" t="s">
        <v>1137</v>
      </c>
      <c r="K497">
        <f>VLOOKUP($J497,'[1]Table S6'!$A:$AI,2,FALSE)</f>
        <v>295.39999999999998</v>
      </c>
      <c r="L497">
        <f>VLOOKUP($J497,'[1]Table S6'!$A:$AI,3,FALSE)</f>
        <v>0.62864439242392001</v>
      </c>
      <c r="M497">
        <f>VLOOKUP($J497,'[1]Table S6'!$A:$AI,4,FALSE)</f>
        <v>0.94779999999999998</v>
      </c>
      <c r="N497" t="str">
        <f>VLOOKUP($J497,'[1]Table S6'!$A:$AI,5,FALSE)</f>
        <v>Yes</v>
      </c>
      <c r="P497">
        <f>VLOOKUP($J497,'[1]Table S6'!$A:$AI,7,FALSE)</f>
        <v>309.60000000000002</v>
      </c>
      <c r="Q497">
        <f>VLOOKUP($J497,'[1]Table S6'!$A:$AI,8,FALSE)</f>
        <v>0.65886358799744604</v>
      </c>
      <c r="R497">
        <f>VLOOKUP($J497,'[1]Table S6'!$A:$AI,9,FALSE)</f>
        <v>1.409</v>
      </c>
      <c r="S497" t="str">
        <f>VLOOKUP($J497,'[1]Table S6'!$A:$AI,10,FALSE)</f>
        <v>Yes</v>
      </c>
      <c r="U497">
        <f>VLOOKUP($J497,'[1]Table S6'!$A:$AI,12,FALSE)</f>
        <v>317.89999999999998</v>
      </c>
      <c r="V497">
        <f>VLOOKUP($J497,'[1]Table S6'!$A:$AI,13,FALSE)</f>
        <v>0.67652692062140896</v>
      </c>
      <c r="W497">
        <f>VLOOKUP($J497,'[1]Table S6'!$A:$AI,14,FALSE)</f>
        <v>2.0950000000000002</v>
      </c>
      <c r="X497" t="str">
        <f>VLOOKUP($J497,'[1]Table S6'!$A:$AI,15,FALSE)</f>
        <v>Yes</v>
      </c>
      <c r="Z497">
        <f>VLOOKUP($J497,'[1]Table S6'!$A:$AI,17,FALSE)</f>
        <v>307.5</v>
      </c>
      <c r="AA497">
        <f>VLOOKUP($J497,'[1]Table S6'!$A:$AI,18,FALSE)</f>
        <v>0.65439455203234698</v>
      </c>
      <c r="AB497">
        <f>VLOOKUP($J497,'[1]Table S6'!$A:$AI,19,FALSE)</f>
        <v>1.954</v>
      </c>
      <c r="AC497" t="str">
        <f>VLOOKUP($J497,'[1]Table S6'!$A:$AI,20,FALSE)</f>
        <v>Yes</v>
      </c>
      <c r="AE497">
        <f>VLOOKUP($J497,'[1]Table S6'!$A:$AI,22,FALSE)</f>
        <v>342.1</v>
      </c>
      <c r="AF497">
        <f>VLOOKUP($J497,'[1]Table S6'!$A:$AI,23,FALSE)</f>
        <v>0.72802723983826401</v>
      </c>
      <c r="AG497">
        <f>VLOOKUP($J497,'[1]Table S6'!$A:$AI,24,FALSE)</f>
        <v>3.024</v>
      </c>
      <c r="AH497" t="str">
        <f>VLOOKUP($J497,'[1]Table S6'!$A:$AI,25,FALSE)</f>
        <v>No</v>
      </c>
      <c r="AJ497">
        <f>VLOOKUP($J497,'[1]Table S6'!$A:$AI,27,FALSE)</f>
        <v>421</v>
      </c>
      <c r="AK497">
        <f>VLOOKUP($J497,'[1]Table S6'!$A:$AI,28,FALSE)</f>
        <v>0.89593530538412403</v>
      </c>
      <c r="AL497">
        <f>VLOOKUP($J497,'[1]Table S6'!$A:$AI,29,FALSE)</f>
        <v>154.1</v>
      </c>
      <c r="AM497" t="str">
        <f>VLOOKUP($J497,'[1]Table S6'!$A:$AI,30,FALSE)</f>
        <v>No</v>
      </c>
      <c r="AO497">
        <f>VLOOKUP($J497,'[1]Table S6'!$A:$AI,32,FALSE)</f>
        <v>448.4</v>
      </c>
      <c r="AP497">
        <f>VLOOKUP($J497,'[1]Table S6'!$A:$AI,33,FALSE)</f>
        <v>0.95424558416684402</v>
      </c>
      <c r="AQ497">
        <f>VLOOKUP($J497,'[1]Table S6'!$A:$AI,34,FALSE)</f>
        <v>207.1</v>
      </c>
      <c r="AR497" t="str">
        <f>VLOOKUP($J497,'[1]Table S6'!$A:$AI,35,FALSE)</f>
        <v>No</v>
      </c>
      <c r="AT497" t="str">
        <f>VLOOKUP($I497,'[2]Table S5'!$A:$K,8,FALSE)</f>
        <v>Sensitive</v>
      </c>
      <c r="AU497" t="str">
        <f>VLOOKUP($I497,'[2]Table S5'!$A:$K,9,FALSE)</f>
        <v>Sensitive</v>
      </c>
      <c r="AV497" t="str">
        <f>VLOOKUP($I497,'[2]Table S5'!$A:$K,10,FALSE)</f>
        <v>Sensitive</v>
      </c>
      <c r="AW497" t="str">
        <f>VLOOKUP($I497,'[2]Table S5'!$A:$K,11,FALSE)</f>
        <v>Resistant</v>
      </c>
    </row>
    <row r="498" spans="1:49">
      <c r="A498" s="12" t="s">
        <v>3210</v>
      </c>
      <c r="B498" t="s">
        <v>3211</v>
      </c>
      <c r="C498" t="s">
        <v>3212</v>
      </c>
      <c r="D498" t="s">
        <v>17</v>
      </c>
      <c r="E498" t="s">
        <v>1164</v>
      </c>
      <c r="F498" s="12" t="s">
        <v>1165</v>
      </c>
      <c r="G498" t="s">
        <v>1166</v>
      </c>
      <c r="H498" t="s">
        <v>1167</v>
      </c>
      <c r="I498" t="s">
        <v>1136</v>
      </c>
      <c r="J498" t="s">
        <v>1145</v>
      </c>
      <c r="K498">
        <f>VLOOKUP($J498,'[1]Table S6'!$A:$AI,2,FALSE)</f>
        <v>275.2</v>
      </c>
      <c r="L498">
        <f>VLOOKUP($J498,'[1]Table S6'!$A:$AI,3,FALSE)</f>
        <v>0.58565652266439705</v>
      </c>
      <c r="M498">
        <f>VLOOKUP($J498,'[1]Table S6'!$A:$AI,4,FALSE)</f>
        <v>0.57289999999999996</v>
      </c>
      <c r="N498" t="str">
        <f>VLOOKUP($J498,'[1]Table S6'!$A:$AI,5,FALSE)</f>
        <v>Yes</v>
      </c>
      <c r="P498">
        <f>VLOOKUP($J498,'[1]Table S6'!$A:$AI,7,FALSE)</f>
        <v>298.3</v>
      </c>
      <c r="Q498">
        <f>VLOOKUP($J498,'[1]Table S6'!$A:$AI,8,FALSE)</f>
        <v>0.634815918280485</v>
      </c>
      <c r="R498">
        <f>VLOOKUP($J498,'[1]Table S6'!$A:$AI,9,FALSE)</f>
        <v>1.0309999999999999</v>
      </c>
      <c r="S498" t="str">
        <f>VLOOKUP($J498,'[1]Table S6'!$A:$AI,10,FALSE)</f>
        <v>Yes</v>
      </c>
      <c r="U498">
        <f>VLOOKUP($J498,'[1]Table S6'!$A:$AI,12,FALSE)</f>
        <v>322.7</v>
      </c>
      <c r="V498">
        <f>VLOOKUP($J498,'[1]Table S6'!$A:$AI,13,FALSE)</f>
        <v>0.68674185997020598</v>
      </c>
      <c r="W498">
        <f>VLOOKUP($J498,'[1]Table S6'!$A:$AI,14,FALSE)</f>
        <v>2.1110000000000002</v>
      </c>
      <c r="X498" t="str">
        <f>VLOOKUP($J498,'[1]Table S6'!$A:$AI,15,FALSE)</f>
        <v>Yes</v>
      </c>
      <c r="Z498">
        <f>VLOOKUP($J498,'[1]Table S6'!$A:$AI,17,FALSE)</f>
        <v>297.10000000000002</v>
      </c>
      <c r="AA498">
        <f>VLOOKUP($J498,'[1]Table S6'!$A:$AI,18,FALSE)</f>
        <v>0.632262183443286</v>
      </c>
      <c r="AB498">
        <f>VLOOKUP($J498,'[1]Table S6'!$A:$AI,19,FALSE)</f>
        <v>1.2230000000000001</v>
      </c>
      <c r="AC498" t="str">
        <f>VLOOKUP($J498,'[1]Table S6'!$A:$AI,20,FALSE)</f>
        <v>Yes</v>
      </c>
      <c r="AE498">
        <f>VLOOKUP($J498,'[1]Table S6'!$A:$AI,22,FALSE)</f>
        <v>335</v>
      </c>
      <c r="AF498">
        <f>VLOOKUP($J498,'[1]Table S6'!$A:$AI,23,FALSE)</f>
        <v>0.71291764205149999</v>
      </c>
      <c r="AG498">
        <f>VLOOKUP($J498,'[1]Table S6'!$A:$AI,24,FALSE)</f>
        <v>3.4550000000000001</v>
      </c>
      <c r="AH498" t="str">
        <f>VLOOKUP($J498,'[1]Table S6'!$A:$AI,25,FALSE)</f>
        <v>No</v>
      </c>
      <c r="AJ498">
        <f>VLOOKUP($J498,'[1]Table S6'!$A:$AI,27,FALSE)</f>
        <v>410.1</v>
      </c>
      <c r="AK498">
        <f>VLOOKUP($J498,'[1]Table S6'!$A:$AI,28,FALSE)</f>
        <v>0.87273888061289695</v>
      </c>
      <c r="AL498">
        <f>VLOOKUP($J498,'[1]Table S6'!$A:$AI,29,FALSE)</f>
        <v>187.5</v>
      </c>
      <c r="AM498" t="str">
        <f>VLOOKUP($J498,'[1]Table S6'!$A:$AI,30,FALSE)</f>
        <v>No</v>
      </c>
      <c r="AO498">
        <f>VLOOKUP($J498,'[1]Table S6'!$A:$AI,32,FALSE)</f>
        <v>399.4</v>
      </c>
      <c r="AP498">
        <f>VLOOKUP($J498,'[1]Table S6'!$A:$AI,33,FALSE)</f>
        <v>0.84996807831453502</v>
      </c>
      <c r="AQ498">
        <f>VLOOKUP($J498,'[1]Table S6'!$A:$AI,34,FALSE)</f>
        <v>171.8</v>
      </c>
      <c r="AR498" t="str">
        <f>VLOOKUP($J498,'[1]Table S6'!$A:$AI,35,FALSE)</f>
        <v>No</v>
      </c>
      <c r="AT498" t="str">
        <f>VLOOKUP($I498,'[2]Table S5'!$A:$K,8,FALSE)</f>
        <v>Sensitive</v>
      </c>
      <c r="AU498" t="str">
        <f>VLOOKUP($I498,'[2]Table S5'!$A:$K,9,FALSE)</f>
        <v>Sensitive</v>
      </c>
      <c r="AV498" t="str">
        <f>VLOOKUP($I498,'[2]Table S5'!$A:$K,10,FALSE)</f>
        <v>Sensitive</v>
      </c>
      <c r="AW498" t="str">
        <f>VLOOKUP($I498,'[2]Table S5'!$A:$K,11,FALSE)</f>
        <v>Resistant</v>
      </c>
    </row>
    <row r="499" spans="1:49">
      <c r="A499" s="12" t="s">
        <v>3213</v>
      </c>
      <c r="B499" t="s">
        <v>3214</v>
      </c>
      <c r="C499" t="s">
        <v>3215</v>
      </c>
      <c r="D499" t="s">
        <v>17</v>
      </c>
      <c r="E499" t="s">
        <v>1171</v>
      </c>
      <c r="F499" s="12" t="s">
        <v>1172</v>
      </c>
      <c r="G499" t="s">
        <v>1173</v>
      </c>
      <c r="H499" t="s">
        <v>1174</v>
      </c>
      <c r="I499" t="s">
        <v>1136</v>
      </c>
      <c r="J499" t="s">
        <v>1153</v>
      </c>
      <c r="K499">
        <f>VLOOKUP($J499,'[1]Table S6'!$A:$AI,2,FALSE)</f>
        <v>297.39999999999998</v>
      </c>
      <c r="L499">
        <f>VLOOKUP($J499,'[1]Table S6'!$A:$AI,3,FALSE)</f>
        <v>0.63290061715258605</v>
      </c>
      <c r="M499">
        <f>VLOOKUP($J499,'[1]Table S6'!$A:$AI,4,FALSE)</f>
        <v>1.21</v>
      </c>
      <c r="N499" t="str">
        <f>VLOOKUP($J499,'[1]Table S6'!$A:$AI,5,FALSE)</f>
        <v>Yes</v>
      </c>
      <c r="P499">
        <f>VLOOKUP($J499,'[1]Table S6'!$A:$AI,7,FALSE)</f>
        <v>319.5</v>
      </c>
      <c r="Q499">
        <f>VLOOKUP($J499,'[1]Table S6'!$A:$AI,8,FALSE)</f>
        <v>0.67993190040434104</v>
      </c>
      <c r="R499">
        <f>VLOOKUP($J499,'[1]Table S6'!$A:$AI,9,FALSE)</f>
        <v>1.706</v>
      </c>
      <c r="S499" t="str">
        <f>VLOOKUP($J499,'[1]Table S6'!$A:$AI,10,FALSE)</f>
        <v>Yes</v>
      </c>
      <c r="U499">
        <f>VLOOKUP($J499,'[1]Table S6'!$A:$AI,12,FALSE)</f>
        <v>321.60000000000002</v>
      </c>
      <c r="V499">
        <f>VLOOKUP($J499,'[1]Table S6'!$A:$AI,13,FALSE)</f>
        <v>0.68440093636943999</v>
      </c>
      <c r="W499">
        <f>VLOOKUP($J499,'[1]Table S6'!$A:$AI,14,FALSE)</f>
        <v>1.9750000000000001</v>
      </c>
      <c r="X499" t="str">
        <f>VLOOKUP($J499,'[1]Table S6'!$A:$AI,15,FALSE)</f>
        <v>Yes</v>
      </c>
      <c r="Z499">
        <f>VLOOKUP($J499,'[1]Table S6'!$A:$AI,17,FALSE)</f>
        <v>319.5</v>
      </c>
      <c r="AA499">
        <f>VLOOKUP($J499,'[1]Table S6'!$A:$AI,18,FALSE)</f>
        <v>0.67993190040434104</v>
      </c>
      <c r="AB499">
        <f>VLOOKUP($J499,'[1]Table S6'!$A:$AI,19,FALSE)</f>
        <v>3.056</v>
      </c>
      <c r="AC499" t="str">
        <f>VLOOKUP($J499,'[1]Table S6'!$A:$AI,20,FALSE)</f>
        <v>Yes</v>
      </c>
      <c r="AE499">
        <f>VLOOKUP($J499,'[1]Table S6'!$A:$AI,22,FALSE)</f>
        <v>352.7</v>
      </c>
      <c r="AF499">
        <f>VLOOKUP($J499,'[1]Table S6'!$A:$AI,23,FALSE)</f>
        <v>0.75058523090019202</v>
      </c>
      <c r="AG499">
        <f>VLOOKUP($J499,'[1]Table S6'!$A:$AI,24,FALSE)</f>
        <v>6.8369999999999997</v>
      </c>
      <c r="AH499" t="str">
        <f>VLOOKUP($J499,'[1]Table S6'!$A:$AI,25,FALSE)</f>
        <v>No</v>
      </c>
      <c r="AJ499">
        <f>VLOOKUP($J499,'[1]Table S6'!$A:$AI,27,FALSE)</f>
        <v>428.1</v>
      </c>
      <c r="AK499">
        <f>VLOOKUP($J499,'[1]Table S6'!$A:$AI,28,FALSE)</f>
        <v>0.91104490317088704</v>
      </c>
      <c r="AL499">
        <f>VLOOKUP($J499,'[1]Table S6'!$A:$AI,29,FALSE)</f>
        <v>164.7</v>
      </c>
      <c r="AM499" t="str">
        <f>VLOOKUP($J499,'[1]Table S6'!$A:$AI,30,FALSE)</f>
        <v>No</v>
      </c>
      <c r="AO499">
        <f>VLOOKUP($J499,'[1]Table S6'!$A:$AI,32,FALSE)</f>
        <v>391.4</v>
      </c>
      <c r="AP499">
        <f>VLOOKUP($J499,'[1]Table S6'!$A:$AI,33,FALSE)</f>
        <v>0.83294317939987195</v>
      </c>
      <c r="AQ499">
        <f>VLOOKUP($J499,'[1]Table S6'!$A:$AI,34,FALSE)</f>
        <v>117.1</v>
      </c>
      <c r="AR499" t="str">
        <f>VLOOKUP($J499,'[1]Table S6'!$A:$AI,35,FALSE)</f>
        <v>No</v>
      </c>
      <c r="AT499" t="str">
        <f>VLOOKUP($I499,'[2]Table S5'!$A:$K,8,FALSE)</f>
        <v>Sensitive</v>
      </c>
      <c r="AU499" t="str">
        <f>VLOOKUP($I499,'[2]Table S5'!$A:$K,9,FALSE)</f>
        <v>Sensitive</v>
      </c>
      <c r="AV499" t="str">
        <f>VLOOKUP($I499,'[2]Table S5'!$A:$K,10,FALSE)</f>
        <v>Sensitive</v>
      </c>
      <c r="AW499" t="str">
        <f>VLOOKUP($I499,'[2]Table S5'!$A:$K,11,FALSE)</f>
        <v>Resistant</v>
      </c>
    </row>
    <row r="500" spans="1:49">
      <c r="A500" s="12" t="s">
        <v>3216</v>
      </c>
      <c r="B500" t="s">
        <v>3217</v>
      </c>
      <c r="C500" t="s">
        <v>3218</v>
      </c>
      <c r="D500" t="s">
        <v>17</v>
      </c>
      <c r="E500" t="s">
        <v>1185</v>
      </c>
      <c r="F500" s="12" t="s">
        <v>1186</v>
      </c>
      <c r="G500" t="s">
        <v>1187</v>
      </c>
      <c r="H500" t="s">
        <v>1188</v>
      </c>
      <c r="I500" t="s">
        <v>1189</v>
      </c>
      <c r="J500" t="s">
        <v>1190</v>
      </c>
      <c r="K500">
        <f>VLOOKUP($J500,'[1]Table S6'!$A:$AI,2,FALSE)</f>
        <v>352.6</v>
      </c>
      <c r="L500">
        <f>VLOOKUP($J500,'[1]Table S6'!$A:$AI,3,FALSE)</f>
        <v>0.75037241966375801</v>
      </c>
      <c r="M500">
        <f>VLOOKUP($J500,'[1]Table S6'!$A:$AI,4,FALSE)</f>
        <v>7.8170000000000002</v>
      </c>
      <c r="N500" t="str">
        <f>VLOOKUP($J500,'[1]Table S6'!$A:$AI,5,FALSE)</f>
        <v>No</v>
      </c>
      <c r="P500">
        <f>VLOOKUP($J500,'[1]Table S6'!$A:$AI,7,FALSE)</f>
        <v>397.6</v>
      </c>
      <c r="Q500">
        <f>VLOOKUP($J500,'[1]Table S6'!$A:$AI,8,FALSE)</f>
        <v>0.84613747605873602</v>
      </c>
      <c r="R500">
        <f>VLOOKUP($J500,'[1]Table S6'!$A:$AI,9,FALSE)</f>
        <v>29.4</v>
      </c>
      <c r="S500" t="str">
        <f>VLOOKUP($J500,'[1]Table S6'!$A:$AI,10,FALSE)</f>
        <v>No</v>
      </c>
      <c r="U500">
        <f>VLOOKUP($J500,'[1]Table S6'!$A:$AI,12,FALSE)</f>
        <v>369.5</v>
      </c>
      <c r="V500">
        <f>VLOOKUP($J500,'[1]Table S6'!$A:$AI,13,FALSE)</f>
        <v>0.786337518620983</v>
      </c>
      <c r="W500">
        <f>VLOOKUP($J500,'[1]Table S6'!$A:$AI,14,FALSE)</f>
        <v>8.3190000000000008</v>
      </c>
      <c r="X500" t="str">
        <f>VLOOKUP($J500,'[1]Table S6'!$A:$AI,15,FALSE)</f>
        <v>No</v>
      </c>
      <c r="Z500">
        <f>VLOOKUP($J500,'[1]Table S6'!$A:$AI,17,FALSE)</f>
        <v>381.8</v>
      </c>
      <c r="AA500">
        <f>VLOOKUP($J500,'[1]Table S6'!$A:$AI,18,FALSE)</f>
        <v>0.81251330070227701</v>
      </c>
      <c r="AB500">
        <f>VLOOKUP($J500,'[1]Table S6'!$A:$AI,19,FALSE)</f>
        <v>28.23</v>
      </c>
      <c r="AC500" t="str">
        <f>VLOOKUP($J500,'[1]Table S6'!$A:$AI,20,FALSE)</f>
        <v>No</v>
      </c>
      <c r="AE500">
        <f>VLOOKUP($J500,'[1]Table S6'!$A:$AI,22,FALSE)</f>
        <v>424.4</v>
      </c>
      <c r="AF500">
        <f>VLOOKUP($J500,'[1]Table S6'!$A:$AI,23,FALSE)</f>
        <v>0.90317088742285601</v>
      </c>
      <c r="AG500">
        <f>VLOOKUP($J500,'[1]Table S6'!$A:$AI,24,FALSE)</f>
        <v>39.56</v>
      </c>
      <c r="AH500" t="str">
        <f>VLOOKUP($J500,'[1]Table S6'!$A:$AI,25,FALSE)</f>
        <v>No</v>
      </c>
      <c r="AJ500">
        <f>VLOOKUP($J500,'[1]Table S6'!$A:$AI,27,FALSE)</f>
        <v>413</v>
      </c>
      <c r="AK500">
        <f>VLOOKUP($J500,'[1]Table S6'!$A:$AI,28,FALSE)</f>
        <v>0.87891040646946195</v>
      </c>
      <c r="AL500">
        <f>VLOOKUP($J500,'[1]Table S6'!$A:$AI,29,FALSE)</f>
        <v>23.53</v>
      </c>
      <c r="AM500" t="str">
        <f>VLOOKUP($J500,'[1]Table S6'!$A:$AI,30,FALSE)</f>
        <v>No</v>
      </c>
      <c r="AO500">
        <f>VLOOKUP($J500,'[1]Table S6'!$A:$AI,32,FALSE)</f>
        <v>391.6</v>
      </c>
      <c r="AP500">
        <f>VLOOKUP($J500,'[1]Table S6'!$A:$AI,33,FALSE)</f>
        <v>0.83336880187273898</v>
      </c>
      <c r="AQ500">
        <f>VLOOKUP($J500,'[1]Table S6'!$A:$AI,34,FALSE)</f>
        <v>13.98</v>
      </c>
      <c r="AR500" t="str">
        <f>VLOOKUP($J500,'[1]Table S6'!$A:$AI,35,FALSE)</f>
        <v>No</v>
      </c>
      <c r="AT500" t="str">
        <f>VLOOKUP($I500,'[2]Table S5'!$A:$K,8,FALSE)</f>
        <v>Resistant</v>
      </c>
      <c r="AU500" t="str">
        <f>VLOOKUP($I500,'[2]Table S5'!$A:$K,9,FALSE)</f>
        <v>Resistant</v>
      </c>
      <c r="AV500" t="str">
        <f>VLOOKUP($I500,'[2]Table S5'!$A:$K,10,FALSE)</f>
        <v>Resistant</v>
      </c>
      <c r="AW500" t="str">
        <f>VLOOKUP($I500,'[2]Table S5'!$A:$K,11,FALSE)</f>
        <v>Resistant</v>
      </c>
    </row>
    <row r="501" spans="1:49">
      <c r="A501" s="12" t="s">
        <v>3219</v>
      </c>
      <c r="B501" t="s">
        <v>3220</v>
      </c>
      <c r="C501" t="s">
        <v>3221</v>
      </c>
      <c r="D501" t="s">
        <v>17</v>
      </c>
      <c r="E501" t="s">
        <v>1210</v>
      </c>
      <c r="F501" s="12" t="s">
        <v>1211</v>
      </c>
      <c r="G501" t="s">
        <v>1212</v>
      </c>
      <c r="H501" t="s">
        <v>1213</v>
      </c>
      <c r="I501" t="s">
        <v>1189</v>
      </c>
      <c r="J501" t="s">
        <v>1214</v>
      </c>
      <c r="K501">
        <f>VLOOKUP($J501,'[1]Table S6'!$A:$AI,2,FALSE)</f>
        <v>272.10000000000002</v>
      </c>
      <c r="L501">
        <f>VLOOKUP($J501,'[1]Table S6'!$A:$AI,3,FALSE)</f>
        <v>0.57905937433496502</v>
      </c>
      <c r="M501">
        <f>VLOOKUP($J501,'[1]Table S6'!$A:$AI,4,FALSE)</f>
        <v>0.59750000000000003</v>
      </c>
      <c r="N501" t="str">
        <f>VLOOKUP($J501,'[1]Table S6'!$A:$AI,5,FALSE)</f>
        <v>Yes</v>
      </c>
      <c r="P501">
        <f>VLOOKUP($J501,'[1]Table S6'!$A:$AI,7,FALSE)</f>
        <v>392.6</v>
      </c>
      <c r="Q501">
        <f>VLOOKUP($J501,'[1]Table S6'!$A:$AI,8,FALSE)</f>
        <v>0.83549691423707195</v>
      </c>
      <c r="R501">
        <f>VLOOKUP($J501,'[1]Table S6'!$A:$AI,9,FALSE)</f>
        <v>22.52</v>
      </c>
      <c r="S501" t="str">
        <f>VLOOKUP($J501,'[1]Table S6'!$A:$AI,10,FALSE)</f>
        <v>No</v>
      </c>
      <c r="U501">
        <f>VLOOKUP($J501,'[1]Table S6'!$A:$AI,12,FALSE)</f>
        <v>305.89999999999998</v>
      </c>
      <c r="V501">
        <f>VLOOKUP($J501,'[1]Table S6'!$A:$AI,13,FALSE)</f>
        <v>0.650989572249415</v>
      </c>
      <c r="W501">
        <f>VLOOKUP($J501,'[1]Table S6'!$A:$AI,14,FALSE)</f>
        <v>1.5109999999999999</v>
      </c>
      <c r="X501" t="str">
        <f>VLOOKUP($J501,'[1]Table S6'!$A:$AI,15,FALSE)</f>
        <v>Yes</v>
      </c>
      <c r="Z501">
        <f>VLOOKUP($J501,'[1]Table S6'!$A:$AI,17,FALSE)</f>
        <v>389.9</v>
      </c>
      <c r="AA501">
        <f>VLOOKUP($J501,'[1]Table S6'!$A:$AI,18,FALSE)</f>
        <v>0.82975101085337299</v>
      </c>
      <c r="AB501">
        <f>VLOOKUP($J501,'[1]Table S6'!$A:$AI,19,FALSE)</f>
        <v>24.34</v>
      </c>
      <c r="AC501" t="str">
        <f>VLOOKUP($J501,'[1]Table S6'!$A:$AI,20,FALSE)</f>
        <v>No</v>
      </c>
      <c r="AE501">
        <f>VLOOKUP($J501,'[1]Table S6'!$A:$AI,22,FALSE)</f>
        <v>326.5</v>
      </c>
      <c r="AF501">
        <f>VLOOKUP($J501,'[1]Table S6'!$A:$AI,23,FALSE)</f>
        <v>0.69482868695467104</v>
      </c>
      <c r="AG501">
        <f>VLOOKUP($J501,'[1]Table S6'!$A:$AI,24,FALSE)</f>
        <v>3.2759999999999998</v>
      </c>
      <c r="AH501" t="str">
        <f>VLOOKUP($J501,'[1]Table S6'!$A:$AI,25,FALSE)</f>
        <v>No</v>
      </c>
      <c r="AJ501">
        <f>VLOOKUP($J501,'[1]Table S6'!$A:$AI,27,FALSE)</f>
        <v>338</v>
      </c>
      <c r="AK501">
        <f>VLOOKUP($J501,'[1]Table S6'!$A:$AI,28,FALSE)</f>
        <v>0.719301979144499</v>
      </c>
      <c r="AL501">
        <f>VLOOKUP($J501,'[1]Table S6'!$A:$AI,29,FALSE)</f>
        <v>5.782</v>
      </c>
      <c r="AM501" t="str">
        <f>VLOOKUP($J501,'[1]Table S6'!$A:$AI,30,FALSE)</f>
        <v>No</v>
      </c>
      <c r="AO501">
        <f>VLOOKUP($J501,'[1]Table S6'!$A:$AI,32,FALSE)</f>
        <v>350.9</v>
      </c>
      <c r="AP501">
        <f>VLOOKUP($J501,'[1]Table S6'!$A:$AI,33,FALSE)</f>
        <v>0.74675462864439202</v>
      </c>
      <c r="AQ501">
        <f>VLOOKUP($J501,'[1]Table S6'!$A:$AI,34,FALSE)</f>
        <v>9.984</v>
      </c>
      <c r="AR501" t="str">
        <f>VLOOKUP($J501,'[1]Table S6'!$A:$AI,35,FALSE)</f>
        <v>No</v>
      </c>
      <c r="AT501" t="str">
        <f>VLOOKUP($I501,'[2]Table S5'!$A:$K,8,FALSE)</f>
        <v>Resistant</v>
      </c>
      <c r="AU501" t="str">
        <f>VLOOKUP($I501,'[2]Table S5'!$A:$K,9,FALSE)</f>
        <v>Resistant</v>
      </c>
      <c r="AV501" t="str">
        <f>VLOOKUP($I501,'[2]Table S5'!$A:$K,10,FALSE)</f>
        <v>Resistant</v>
      </c>
      <c r="AW501" t="str">
        <f>VLOOKUP($I501,'[2]Table S5'!$A:$K,11,FALSE)</f>
        <v>Resistant</v>
      </c>
    </row>
    <row r="502" spans="1:49">
      <c r="A502" s="12" t="s">
        <v>3222</v>
      </c>
      <c r="B502" t="s">
        <v>3223</v>
      </c>
      <c r="C502" t="s">
        <v>3224</v>
      </c>
      <c r="D502" t="s">
        <v>17</v>
      </c>
      <c r="E502" t="s">
        <v>1225</v>
      </c>
      <c r="F502" s="12" t="s">
        <v>1226</v>
      </c>
      <c r="G502" t="s">
        <v>1227</v>
      </c>
      <c r="H502" t="s">
        <v>1228</v>
      </c>
      <c r="I502" t="s">
        <v>1189</v>
      </c>
      <c r="J502" t="s">
        <v>1190</v>
      </c>
      <c r="K502">
        <f>VLOOKUP($J502,'[1]Table S6'!$A:$AI,2,FALSE)</f>
        <v>352.6</v>
      </c>
      <c r="L502">
        <f>VLOOKUP($J502,'[1]Table S6'!$A:$AI,3,FALSE)</f>
        <v>0.75037241966375801</v>
      </c>
      <c r="M502">
        <f>VLOOKUP($J502,'[1]Table S6'!$A:$AI,4,FALSE)</f>
        <v>7.8170000000000002</v>
      </c>
      <c r="N502" t="str">
        <f>VLOOKUP($J502,'[1]Table S6'!$A:$AI,5,FALSE)</f>
        <v>No</v>
      </c>
      <c r="P502">
        <f>VLOOKUP($J502,'[1]Table S6'!$A:$AI,7,FALSE)</f>
        <v>397.6</v>
      </c>
      <c r="Q502">
        <f>VLOOKUP($J502,'[1]Table S6'!$A:$AI,8,FALSE)</f>
        <v>0.84613747605873602</v>
      </c>
      <c r="R502">
        <f>VLOOKUP($J502,'[1]Table S6'!$A:$AI,9,FALSE)</f>
        <v>29.4</v>
      </c>
      <c r="S502" t="str">
        <f>VLOOKUP($J502,'[1]Table S6'!$A:$AI,10,FALSE)</f>
        <v>No</v>
      </c>
      <c r="U502">
        <f>VLOOKUP($J502,'[1]Table S6'!$A:$AI,12,FALSE)</f>
        <v>369.5</v>
      </c>
      <c r="V502">
        <f>VLOOKUP($J502,'[1]Table S6'!$A:$AI,13,FALSE)</f>
        <v>0.786337518620983</v>
      </c>
      <c r="W502">
        <f>VLOOKUP($J502,'[1]Table S6'!$A:$AI,14,FALSE)</f>
        <v>8.3190000000000008</v>
      </c>
      <c r="X502" t="str">
        <f>VLOOKUP($J502,'[1]Table S6'!$A:$AI,15,FALSE)</f>
        <v>No</v>
      </c>
      <c r="Z502">
        <f>VLOOKUP($J502,'[1]Table S6'!$A:$AI,17,FALSE)</f>
        <v>381.8</v>
      </c>
      <c r="AA502">
        <f>VLOOKUP($J502,'[1]Table S6'!$A:$AI,18,FALSE)</f>
        <v>0.81251330070227701</v>
      </c>
      <c r="AB502">
        <f>VLOOKUP($J502,'[1]Table S6'!$A:$AI,19,FALSE)</f>
        <v>28.23</v>
      </c>
      <c r="AC502" t="str">
        <f>VLOOKUP($J502,'[1]Table S6'!$A:$AI,20,FALSE)</f>
        <v>No</v>
      </c>
      <c r="AE502">
        <f>VLOOKUP($J502,'[1]Table S6'!$A:$AI,22,FALSE)</f>
        <v>424.4</v>
      </c>
      <c r="AF502">
        <f>VLOOKUP($J502,'[1]Table S6'!$A:$AI,23,FALSE)</f>
        <v>0.90317088742285601</v>
      </c>
      <c r="AG502">
        <f>VLOOKUP($J502,'[1]Table S6'!$A:$AI,24,FALSE)</f>
        <v>39.56</v>
      </c>
      <c r="AH502" t="str">
        <f>VLOOKUP($J502,'[1]Table S6'!$A:$AI,25,FALSE)</f>
        <v>No</v>
      </c>
      <c r="AJ502">
        <f>VLOOKUP($J502,'[1]Table S6'!$A:$AI,27,FALSE)</f>
        <v>413</v>
      </c>
      <c r="AK502">
        <f>VLOOKUP($J502,'[1]Table S6'!$A:$AI,28,FALSE)</f>
        <v>0.87891040646946195</v>
      </c>
      <c r="AL502">
        <f>VLOOKUP($J502,'[1]Table S6'!$A:$AI,29,FALSE)</f>
        <v>23.53</v>
      </c>
      <c r="AM502" t="str">
        <f>VLOOKUP($J502,'[1]Table S6'!$A:$AI,30,FALSE)</f>
        <v>No</v>
      </c>
      <c r="AO502">
        <f>VLOOKUP($J502,'[1]Table S6'!$A:$AI,32,FALSE)</f>
        <v>391.6</v>
      </c>
      <c r="AP502">
        <f>VLOOKUP($J502,'[1]Table S6'!$A:$AI,33,FALSE)</f>
        <v>0.83336880187273898</v>
      </c>
      <c r="AQ502">
        <f>VLOOKUP($J502,'[1]Table S6'!$A:$AI,34,FALSE)</f>
        <v>13.98</v>
      </c>
      <c r="AR502" t="str">
        <f>VLOOKUP($J502,'[1]Table S6'!$A:$AI,35,FALSE)</f>
        <v>No</v>
      </c>
      <c r="AT502" t="str">
        <f>VLOOKUP($I502,'[2]Table S5'!$A:$K,8,FALSE)</f>
        <v>Resistant</v>
      </c>
      <c r="AU502" t="str">
        <f>VLOOKUP($I502,'[2]Table S5'!$A:$K,9,FALSE)</f>
        <v>Resistant</v>
      </c>
      <c r="AV502" t="str">
        <f>VLOOKUP($I502,'[2]Table S5'!$A:$K,10,FALSE)</f>
        <v>Resistant</v>
      </c>
      <c r="AW502" t="str">
        <f>VLOOKUP($I502,'[2]Table S5'!$A:$K,11,FALSE)</f>
        <v>Resistant</v>
      </c>
    </row>
    <row r="503" spans="1:49">
      <c r="A503" s="12" t="s">
        <v>3225</v>
      </c>
      <c r="B503" t="s">
        <v>3226</v>
      </c>
      <c r="C503" t="s">
        <v>3227</v>
      </c>
      <c r="D503" t="s">
        <v>17</v>
      </c>
      <c r="E503" t="s">
        <v>1246</v>
      </c>
      <c r="F503" s="12" t="s">
        <v>1247</v>
      </c>
      <c r="G503" t="s">
        <v>1248</v>
      </c>
      <c r="H503" t="s">
        <v>1249</v>
      </c>
      <c r="I503" t="s">
        <v>1189</v>
      </c>
      <c r="J503" t="s">
        <v>1214</v>
      </c>
      <c r="K503">
        <f>VLOOKUP($J503,'[1]Table S6'!$A:$AI,2,FALSE)</f>
        <v>272.10000000000002</v>
      </c>
      <c r="L503">
        <f>VLOOKUP($J503,'[1]Table S6'!$A:$AI,3,FALSE)</f>
        <v>0.57905937433496502</v>
      </c>
      <c r="M503">
        <f>VLOOKUP($J503,'[1]Table S6'!$A:$AI,4,FALSE)</f>
        <v>0.59750000000000003</v>
      </c>
      <c r="N503" t="str">
        <f>VLOOKUP($J503,'[1]Table S6'!$A:$AI,5,FALSE)</f>
        <v>Yes</v>
      </c>
      <c r="P503">
        <f>VLOOKUP($J503,'[1]Table S6'!$A:$AI,7,FALSE)</f>
        <v>392.6</v>
      </c>
      <c r="Q503">
        <f>VLOOKUP($J503,'[1]Table S6'!$A:$AI,8,FALSE)</f>
        <v>0.83549691423707195</v>
      </c>
      <c r="R503">
        <f>VLOOKUP($J503,'[1]Table S6'!$A:$AI,9,FALSE)</f>
        <v>22.52</v>
      </c>
      <c r="S503" t="str">
        <f>VLOOKUP($J503,'[1]Table S6'!$A:$AI,10,FALSE)</f>
        <v>No</v>
      </c>
      <c r="U503">
        <f>VLOOKUP($J503,'[1]Table S6'!$A:$AI,12,FALSE)</f>
        <v>305.89999999999998</v>
      </c>
      <c r="V503">
        <f>VLOOKUP($J503,'[1]Table S6'!$A:$AI,13,FALSE)</f>
        <v>0.650989572249415</v>
      </c>
      <c r="W503">
        <f>VLOOKUP($J503,'[1]Table S6'!$A:$AI,14,FALSE)</f>
        <v>1.5109999999999999</v>
      </c>
      <c r="X503" t="str">
        <f>VLOOKUP($J503,'[1]Table S6'!$A:$AI,15,FALSE)</f>
        <v>Yes</v>
      </c>
      <c r="Z503">
        <f>VLOOKUP($J503,'[1]Table S6'!$A:$AI,17,FALSE)</f>
        <v>389.9</v>
      </c>
      <c r="AA503">
        <f>VLOOKUP($J503,'[1]Table S6'!$A:$AI,18,FALSE)</f>
        <v>0.82975101085337299</v>
      </c>
      <c r="AB503">
        <f>VLOOKUP($J503,'[1]Table S6'!$A:$AI,19,FALSE)</f>
        <v>24.34</v>
      </c>
      <c r="AC503" t="str">
        <f>VLOOKUP($J503,'[1]Table S6'!$A:$AI,20,FALSE)</f>
        <v>No</v>
      </c>
      <c r="AE503">
        <f>VLOOKUP($J503,'[1]Table S6'!$A:$AI,22,FALSE)</f>
        <v>326.5</v>
      </c>
      <c r="AF503">
        <f>VLOOKUP($J503,'[1]Table S6'!$A:$AI,23,FALSE)</f>
        <v>0.69482868695467104</v>
      </c>
      <c r="AG503">
        <f>VLOOKUP($J503,'[1]Table S6'!$A:$AI,24,FALSE)</f>
        <v>3.2759999999999998</v>
      </c>
      <c r="AH503" t="str">
        <f>VLOOKUP($J503,'[1]Table S6'!$A:$AI,25,FALSE)</f>
        <v>No</v>
      </c>
      <c r="AJ503">
        <f>VLOOKUP($J503,'[1]Table S6'!$A:$AI,27,FALSE)</f>
        <v>338</v>
      </c>
      <c r="AK503">
        <f>VLOOKUP($J503,'[1]Table S6'!$A:$AI,28,FALSE)</f>
        <v>0.719301979144499</v>
      </c>
      <c r="AL503">
        <f>VLOOKUP($J503,'[1]Table S6'!$A:$AI,29,FALSE)</f>
        <v>5.782</v>
      </c>
      <c r="AM503" t="str">
        <f>VLOOKUP($J503,'[1]Table S6'!$A:$AI,30,FALSE)</f>
        <v>No</v>
      </c>
      <c r="AO503">
        <f>VLOOKUP($J503,'[1]Table S6'!$A:$AI,32,FALSE)</f>
        <v>350.9</v>
      </c>
      <c r="AP503">
        <f>VLOOKUP($J503,'[1]Table S6'!$A:$AI,33,FALSE)</f>
        <v>0.74675462864439202</v>
      </c>
      <c r="AQ503">
        <f>VLOOKUP($J503,'[1]Table S6'!$A:$AI,34,FALSE)</f>
        <v>9.984</v>
      </c>
      <c r="AR503" t="str">
        <f>VLOOKUP($J503,'[1]Table S6'!$A:$AI,35,FALSE)</f>
        <v>No</v>
      </c>
      <c r="AT503" t="str">
        <f>VLOOKUP($I503,'[2]Table S5'!$A:$K,8,FALSE)</f>
        <v>Resistant</v>
      </c>
      <c r="AU503" t="str">
        <f>VLOOKUP($I503,'[2]Table S5'!$A:$K,9,FALSE)</f>
        <v>Resistant</v>
      </c>
      <c r="AV503" t="str">
        <f>VLOOKUP($I503,'[2]Table S5'!$A:$K,10,FALSE)</f>
        <v>Resistant</v>
      </c>
      <c r="AW503" t="str">
        <f>VLOOKUP($I503,'[2]Table S5'!$A:$K,11,FALSE)</f>
        <v>Resistant</v>
      </c>
    </row>
    <row r="504" spans="1:49">
      <c r="A504" s="12" t="s">
        <v>3228</v>
      </c>
      <c r="B504" t="s">
        <v>3229</v>
      </c>
      <c r="C504" t="s">
        <v>3230</v>
      </c>
      <c r="D504" t="s">
        <v>17</v>
      </c>
      <c r="E504" t="s">
        <v>3231</v>
      </c>
      <c r="F504" s="12" t="s">
        <v>3232</v>
      </c>
      <c r="G504" t="s">
        <v>3233</v>
      </c>
      <c r="H504" t="s">
        <v>3234</v>
      </c>
      <c r="I504" t="s">
        <v>1257</v>
      </c>
      <c r="J504" t="s">
        <v>3235</v>
      </c>
      <c r="K504">
        <f>VLOOKUP($J504,'[1]Table S6'!$A:$AI,2,FALSE)</f>
        <v>356.3</v>
      </c>
      <c r="L504">
        <f>VLOOKUP($J504,'[1]Table S6'!$A:$AI,3,FALSE)</f>
        <v>0.75824643541179004</v>
      </c>
      <c r="M504">
        <f>VLOOKUP($J504,'[1]Table S6'!$A:$AI,4,FALSE)</f>
        <v>5.6120000000000001</v>
      </c>
      <c r="N504" t="str">
        <f>VLOOKUP($J504,'[1]Table S6'!$A:$AI,5,FALSE)</f>
        <v>No</v>
      </c>
      <c r="P504">
        <f>VLOOKUP($J504,'[1]Table S6'!$A:$AI,7,FALSE)</f>
        <v>318.60000000000002</v>
      </c>
      <c r="Q504">
        <f>VLOOKUP($J504,'[1]Table S6'!$A:$AI,8,FALSE)</f>
        <v>0.67801659927644198</v>
      </c>
      <c r="R504">
        <f>VLOOKUP($J504,'[1]Table S6'!$A:$AI,9,FALSE)</f>
        <v>1.599</v>
      </c>
      <c r="S504" t="str">
        <f>VLOOKUP($J504,'[1]Table S6'!$A:$AI,10,FALSE)</f>
        <v>Yes</v>
      </c>
      <c r="U504">
        <f>VLOOKUP($J504,'[1]Table S6'!$A:$AI,12,FALSE)</f>
        <v>336.9</v>
      </c>
      <c r="V504">
        <f>VLOOKUP($J504,'[1]Table S6'!$A:$AI,13,FALSE)</f>
        <v>0.71696105554373302</v>
      </c>
      <c r="W504">
        <f>VLOOKUP($J504,'[1]Table S6'!$A:$AI,14,FALSE)</f>
        <v>2.4489999999999998</v>
      </c>
      <c r="X504" t="str">
        <f>VLOOKUP($J504,'[1]Table S6'!$A:$AI,15,FALSE)</f>
        <v>No</v>
      </c>
      <c r="Z504">
        <f>VLOOKUP($J504,'[1]Table S6'!$A:$AI,17,FALSE)</f>
        <v>332.4</v>
      </c>
      <c r="AA504">
        <f>VLOOKUP($J504,'[1]Table S6'!$A:$AI,18,FALSE)</f>
        <v>0.70738454990423505</v>
      </c>
      <c r="AB504">
        <f>VLOOKUP($J504,'[1]Table S6'!$A:$AI,19,FALSE)</f>
        <v>3.0569999999999999</v>
      </c>
      <c r="AC504" t="str">
        <f>VLOOKUP($J504,'[1]Table S6'!$A:$AI,20,FALSE)</f>
        <v>No</v>
      </c>
      <c r="AE504">
        <f>VLOOKUP($J504,'[1]Table S6'!$A:$AI,22,FALSE)</f>
        <v>419.3</v>
      </c>
      <c r="AF504">
        <f>VLOOKUP($J504,'[1]Table S6'!$A:$AI,23,FALSE)</f>
        <v>0.89231751436475804</v>
      </c>
      <c r="AG504">
        <f>VLOOKUP($J504,'[1]Table S6'!$A:$AI,24,FALSE)</f>
        <v>31.41</v>
      </c>
      <c r="AH504" t="str">
        <f>VLOOKUP($J504,'[1]Table S6'!$A:$AI,25,FALSE)</f>
        <v>No</v>
      </c>
      <c r="AJ504">
        <f>VLOOKUP($J504,'[1]Table S6'!$A:$AI,27,FALSE)</f>
        <v>457.8</v>
      </c>
      <c r="AK504">
        <f>VLOOKUP($J504,'[1]Table S6'!$A:$AI,28,FALSE)</f>
        <v>0.97424984039157303</v>
      </c>
      <c r="AL504">
        <f>VLOOKUP($J504,'[1]Table S6'!$A:$AI,29,FALSE)</f>
        <v>185.4</v>
      </c>
      <c r="AM504" t="str">
        <f>VLOOKUP($J504,'[1]Table S6'!$A:$AI,30,FALSE)</f>
        <v>No</v>
      </c>
      <c r="AO504">
        <f>VLOOKUP($J504,'[1]Table S6'!$A:$AI,32,FALSE)</f>
        <v>443.7</v>
      </c>
      <c r="AP504">
        <f>VLOOKUP($J504,'[1]Table S6'!$A:$AI,33,FALSE)</f>
        <v>0.94424345605448001</v>
      </c>
      <c r="AQ504">
        <f>VLOOKUP($J504,'[1]Table S6'!$A:$AI,34,FALSE)</f>
        <v>108.7</v>
      </c>
      <c r="AR504" t="str">
        <f>VLOOKUP($J504,'[1]Table S6'!$A:$AI,35,FALSE)</f>
        <v>No</v>
      </c>
      <c r="AT504" t="str">
        <f>VLOOKUP($I504,'[2]Table S5'!$A:$K,8,FALSE)</f>
        <v>Resistant</v>
      </c>
      <c r="AU504" t="str">
        <f>VLOOKUP($I504,'[2]Table S5'!$A:$K,9,FALSE)</f>
        <v>Sensitive</v>
      </c>
      <c r="AV504" t="str">
        <f>VLOOKUP($I504,'[2]Table S5'!$A:$K,10,FALSE)</f>
        <v>Resistant</v>
      </c>
      <c r="AW504" t="str">
        <f>VLOOKUP($I504,'[2]Table S5'!$A:$K,11,FALSE)</f>
        <v>Resistant</v>
      </c>
    </row>
    <row r="505" spans="1:49">
      <c r="A505" s="12" t="s">
        <v>3236</v>
      </c>
      <c r="B505" t="s">
        <v>3237</v>
      </c>
      <c r="C505" t="s">
        <v>3238</v>
      </c>
      <c r="D505" t="s">
        <v>17</v>
      </c>
      <c r="E505" t="s">
        <v>1253</v>
      </c>
      <c r="F505" s="12" t="s">
        <v>1254</v>
      </c>
      <c r="G505" t="s">
        <v>1255</v>
      </c>
      <c r="H505" t="s">
        <v>1256</v>
      </c>
      <c r="I505" t="s">
        <v>1257</v>
      </c>
      <c r="J505" t="s">
        <v>1258</v>
      </c>
      <c r="K505">
        <f>VLOOKUP($J505,'[1]Table S6'!$A:$AI,2,FALSE)</f>
        <v>314.89999999999998</v>
      </c>
      <c r="L505">
        <f>VLOOKUP($J505,'[1]Table S6'!$A:$AI,3,FALSE)</f>
        <v>0.67014258352841005</v>
      </c>
      <c r="M505">
        <f>VLOOKUP($J505,'[1]Table S6'!$A:$AI,4,FALSE)</f>
        <v>1.4019999999999999</v>
      </c>
      <c r="N505" t="str">
        <f>VLOOKUP($J505,'[1]Table S6'!$A:$AI,5,FALSE)</f>
        <v>Yes</v>
      </c>
      <c r="P505">
        <f>VLOOKUP($J505,'[1]Table S6'!$A:$AI,7,FALSE)</f>
        <v>314.5</v>
      </c>
      <c r="Q505">
        <f>VLOOKUP($J505,'[1]Table S6'!$A:$AI,8,FALSE)</f>
        <v>0.66929133858267698</v>
      </c>
      <c r="R505">
        <f>VLOOKUP($J505,'[1]Table S6'!$A:$AI,9,FALSE)</f>
        <v>1.99</v>
      </c>
      <c r="S505" t="str">
        <f>VLOOKUP($J505,'[1]Table S6'!$A:$AI,10,FALSE)</f>
        <v>Yes</v>
      </c>
      <c r="U505">
        <f>VLOOKUP($J505,'[1]Table S6'!$A:$AI,12,FALSE)</f>
        <v>393.1</v>
      </c>
      <c r="V505">
        <f>VLOOKUP($J505,'[1]Table S6'!$A:$AI,13,FALSE)</f>
        <v>0.83656097041923805</v>
      </c>
      <c r="W505">
        <f>VLOOKUP($J505,'[1]Table S6'!$A:$AI,14,FALSE)</f>
        <v>20.440000000000001</v>
      </c>
      <c r="X505" t="str">
        <f>VLOOKUP($J505,'[1]Table S6'!$A:$AI,15,FALSE)</f>
        <v>No</v>
      </c>
      <c r="Z505">
        <f>VLOOKUP($J505,'[1]Table S6'!$A:$AI,17,FALSE)</f>
        <v>316.8</v>
      </c>
      <c r="AA505">
        <f>VLOOKUP($J505,'[1]Table S6'!$A:$AI,18,FALSE)</f>
        <v>0.67418599702064297</v>
      </c>
      <c r="AB505">
        <f>VLOOKUP($J505,'[1]Table S6'!$A:$AI,19,FALSE)</f>
        <v>1.456</v>
      </c>
      <c r="AC505" t="str">
        <f>VLOOKUP($J505,'[1]Table S6'!$A:$AI,20,FALSE)</f>
        <v>Yes</v>
      </c>
      <c r="AE505">
        <f>VLOOKUP($J505,'[1]Table S6'!$A:$AI,22,FALSE)</f>
        <v>396</v>
      </c>
      <c r="AF505">
        <f>VLOOKUP($J505,'[1]Table S6'!$A:$AI,23,FALSE)</f>
        <v>0.84273249627580304</v>
      </c>
      <c r="AG505">
        <f>VLOOKUP($J505,'[1]Table S6'!$A:$AI,24,FALSE)</f>
        <v>20.03</v>
      </c>
      <c r="AH505" t="str">
        <f>VLOOKUP($J505,'[1]Table S6'!$A:$AI,25,FALSE)</f>
        <v>No</v>
      </c>
      <c r="AJ505">
        <f>VLOOKUP($J505,'[1]Table S6'!$A:$AI,27,FALSE)</f>
        <v>411.7</v>
      </c>
      <c r="AK505">
        <f>VLOOKUP($J505,'[1]Table S6'!$A:$AI,28,FALSE)</f>
        <v>0.87614386039582903</v>
      </c>
      <c r="AL505">
        <f>VLOOKUP($J505,'[1]Table S6'!$A:$AI,29,FALSE)</f>
        <v>46.63</v>
      </c>
      <c r="AM505" t="str">
        <f>VLOOKUP($J505,'[1]Table S6'!$A:$AI,30,FALSE)</f>
        <v>No</v>
      </c>
      <c r="AO505">
        <f>VLOOKUP($J505,'[1]Table S6'!$A:$AI,32,FALSE)</f>
        <v>413.9</v>
      </c>
      <c r="AP505">
        <f>VLOOKUP($J505,'[1]Table S6'!$A:$AI,33,FALSE)</f>
        <v>0.88082570759736101</v>
      </c>
      <c r="AQ505">
        <f>VLOOKUP($J505,'[1]Table S6'!$A:$AI,34,FALSE)</f>
        <v>26.56</v>
      </c>
      <c r="AR505" t="str">
        <f>VLOOKUP($J505,'[1]Table S6'!$A:$AI,35,FALSE)</f>
        <v>No</v>
      </c>
      <c r="AT505" t="str">
        <f>VLOOKUP($I505,'[2]Table S5'!$A:$K,8,FALSE)</f>
        <v>Resistant</v>
      </c>
      <c r="AU505" t="str">
        <f>VLOOKUP($I505,'[2]Table S5'!$A:$K,9,FALSE)</f>
        <v>Sensitive</v>
      </c>
      <c r="AV505" t="str">
        <f>VLOOKUP($I505,'[2]Table S5'!$A:$K,10,FALSE)</f>
        <v>Resistant</v>
      </c>
      <c r="AW505" t="str">
        <f>VLOOKUP($I505,'[2]Table S5'!$A:$K,11,FALSE)</f>
        <v>Resistant</v>
      </c>
    </row>
    <row r="506" spans="1:49">
      <c r="A506" s="12" t="s">
        <v>3239</v>
      </c>
      <c r="B506" t="s">
        <v>3240</v>
      </c>
      <c r="C506" t="s">
        <v>3241</v>
      </c>
      <c r="D506" t="s">
        <v>17</v>
      </c>
      <c r="E506" t="s">
        <v>3242</v>
      </c>
      <c r="F506" s="12" t="s">
        <v>3243</v>
      </c>
      <c r="G506" t="s">
        <v>3244</v>
      </c>
      <c r="H506" t="s">
        <v>3245</v>
      </c>
      <c r="I506" t="s">
        <v>1378</v>
      </c>
      <c r="J506" t="s">
        <v>3246</v>
      </c>
      <c r="K506">
        <f>VLOOKUP($J506,'[1]Table S6'!$A:$AI,2,FALSE)</f>
        <v>422.9</v>
      </c>
      <c r="L506">
        <f>VLOOKUP($J506,'[1]Table S6'!$A:$AI,3,FALSE)</f>
        <v>0.89997871887635705</v>
      </c>
      <c r="M506">
        <f>VLOOKUP($J506,'[1]Table S6'!$A:$AI,4,FALSE)</f>
        <v>32.96</v>
      </c>
      <c r="N506" t="str">
        <f>VLOOKUP($J506,'[1]Table S6'!$A:$AI,5,FALSE)</f>
        <v>No</v>
      </c>
      <c r="P506">
        <f>VLOOKUP($J506,'[1]Table S6'!$A:$AI,7,FALSE)</f>
        <v>385.1</v>
      </c>
      <c r="Q506">
        <f>VLOOKUP($J506,'[1]Table S6'!$A:$AI,8,FALSE)</f>
        <v>0.81953607150457597</v>
      </c>
      <c r="R506">
        <f>VLOOKUP($J506,'[1]Table S6'!$A:$AI,9,FALSE)</f>
        <v>12.86</v>
      </c>
      <c r="S506" t="str">
        <f>VLOOKUP($J506,'[1]Table S6'!$A:$AI,10,FALSE)</f>
        <v>No</v>
      </c>
      <c r="U506">
        <f>VLOOKUP($J506,'[1]Table S6'!$A:$AI,12,FALSE)</f>
        <v>357.5</v>
      </c>
      <c r="V506">
        <f>VLOOKUP($J506,'[1]Table S6'!$A:$AI,13,FALSE)</f>
        <v>0.76080017024898905</v>
      </c>
      <c r="W506">
        <f>VLOOKUP($J506,'[1]Table S6'!$A:$AI,14,FALSE)</f>
        <v>6.5679999999999996</v>
      </c>
      <c r="X506" t="str">
        <f>VLOOKUP($J506,'[1]Table S6'!$A:$AI,15,FALSE)</f>
        <v>No</v>
      </c>
      <c r="Z506">
        <f>VLOOKUP($J506,'[1]Table S6'!$A:$AI,17,FALSE)</f>
        <v>322.89999999999998</v>
      </c>
      <c r="AA506">
        <f>VLOOKUP($J506,'[1]Table S6'!$A:$AI,18,FALSE)</f>
        <v>0.68716748244307302</v>
      </c>
      <c r="AB506">
        <f>VLOOKUP($J506,'[1]Table S6'!$A:$AI,19,FALSE)</f>
        <v>2.044</v>
      </c>
      <c r="AC506" t="str">
        <f>VLOOKUP($J506,'[1]Table S6'!$A:$AI,20,FALSE)</f>
        <v>Yes</v>
      </c>
      <c r="AE506">
        <f>VLOOKUP($J506,'[1]Table S6'!$A:$AI,22,FALSE)</f>
        <v>418.2</v>
      </c>
      <c r="AF506">
        <f>VLOOKUP($J506,'[1]Table S6'!$A:$AI,23,FALSE)</f>
        <v>0.88997659076399205</v>
      </c>
      <c r="AG506">
        <f>VLOOKUP($J506,'[1]Table S6'!$A:$AI,24,FALSE)</f>
        <v>42.38</v>
      </c>
      <c r="AH506" t="str">
        <f>VLOOKUP($J506,'[1]Table S6'!$A:$AI,25,FALSE)</f>
        <v>No</v>
      </c>
      <c r="AJ506">
        <f>VLOOKUP($J506,'[1]Table S6'!$A:$AI,27,FALSE)</f>
        <v>358.8</v>
      </c>
      <c r="AK506">
        <f>VLOOKUP($J506,'[1]Table S6'!$A:$AI,28,FALSE)</f>
        <v>0.76356671632262196</v>
      </c>
      <c r="AL506">
        <f>VLOOKUP($J506,'[1]Table S6'!$A:$AI,29,FALSE)</f>
        <v>4.5780000000000003</v>
      </c>
      <c r="AM506" t="str">
        <f>VLOOKUP($J506,'[1]Table S6'!$A:$AI,30,FALSE)</f>
        <v>No</v>
      </c>
      <c r="AO506">
        <f>VLOOKUP($J506,'[1]Table S6'!$A:$AI,32,FALSE)</f>
        <v>404.8</v>
      </c>
      <c r="AP506">
        <f>VLOOKUP($J506,'[1]Table S6'!$A:$AI,33,FALSE)</f>
        <v>0.86145988508193205</v>
      </c>
      <c r="AQ506">
        <f>VLOOKUP($J506,'[1]Table S6'!$A:$AI,34,FALSE)</f>
        <v>18.440000000000001</v>
      </c>
      <c r="AR506" t="str">
        <f>VLOOKUP($J506,'[1]Table S6'!$A:$AI,35,FALSE)</f>
        <v>No</v>
      </c>
      <c r="AT506" t="e">
        <f>VLOOKUP($I506,'[2]Table S5'!$A:$K,8,FALSE)</f>
        <v>#N/A</v>
      </c>
      <c r="AU506" t="e">
        <f>VLOOKUP($I506,'[2]Table S5'!$A:$K,9,FALSE)</f>
        <v>#N/A</v>
      </c>
      <c r="AV506" t="e">
        <f>VLOOKUP($I506,'[2]Table S5'!$A:$K,10,FALSE)</f>
        <v>#N/A</v>
      </c>
      <c r="AW506" t="e">
        <f>VLOOKUP($I506,'[2]Table S5'!$A:$K,11,FALSE)</f>
        <v>#N/A</v>
      </c>
    </row>
    <row r="507" spans="1:49">
      <c r="A507" s="12" t="s">
        <v>3247</v>
      </c>
      <c r="B507" t="s">
        <v>3248</v>
      </c>
      <c r="C507" t="s">
        <v>3249</v>
      </c>
      <c r="D507" t="s">
        <v>17</v>
      </c>
      <c r="E507" t="s">
        <v>3250</v>
      </c>
      <c r="F507" s="12" t="s">
        <v>3251</v>
      </c>
      <c r="G507" t="s">
        <v>3252</v>
      </c>
      <c r="H507" t="s">
        <v>3253</v>
      </c>
      <c r="I507" t="s">
        <v>1378</v>
      </c>
      <c r="J507" t="s">
        <v>3246</v>
      </c>
      <c r="K507">
        <f>VLOOKUP($J507,'[1]Table S6'!$A:$AI,2,FALSE)</f>
        <v>422.9</v>
      </c>
      <c r="L507">
        <f>VLOOKUP($J507,'[1]Table S6'!$A:$AI,3,FALSE)</f>
        <v>0.89997871887635705</v>
      </c>
      <c r="M507">
        <f>VLOOKUP($J507,'[1]Table S6'!$A:$AI,4,FALSE)</f>
        <v>32.96</v>
      </c>
      <c r="N507" t="str">
        <f>VLOOKUP($J507,'[1]Table S6'!$A:$AI,5,FALSE)</f>
        <v>No</v>
      </c>
      <c r="P507">
        <f>VLOOKUP($J507,'[1]Table S6'!$A:$AI,7,FALSE)</f>
        <v>385.1</v>
      </c>
      <c r="Q507">
        <f>VLOOKUP($J507,'[1]Table S6'!$A:$AI,8,FALSE)</f>
        <v>0.81953607150457597</v>
      </c>
      <c r="R507">
        <f>VLOOKUP($J507,'[1]Table S6'!$A:$AI,9,FALSE)</f>
        <v>12.86</v>
      </c>
      <c r="S507" t="str">
        <f>VLOOKUP($J507,'[1]Table S6'!$A:$AI,10,FALSE)</f>
        <v>No</v>
      </c>
      <c r="U507">
        <f>VLOOKUP($J507,'[1]Table S6'!$A:$AI,12,FALSE)</f>
        <v>357.5</v>
      </c>
      <c r="V507">
        <f>VLOOKUP($J507,'[1]Table S6'!$A:$AI,13,FALSE)</f>
        <v>0.76080017024898905</v>
      </c>
      <c r="W507">
        <f>VLOOKUP($J507,'[1]Table S6'!$A:$AI,14,FALSE)</f>
        <v>6.5679999999999996</v>
      </c>
      <c r="X507" t="str">
        <f>VLOOKUP($J507,'[1]Table S6'!$A:$AI,15,FALSE)</f>
        <v>No</v>
      </c>
      <c r="Z507">
        <f>VLOOKUP($J507,'[1]Table S6'!$A:$AI,17,FALSE)</f>
        <v>322.89999999999998</v>
      </c>
      <c r="AA507">
        <f>VLOOKUP($J507,'[1]Table S6'!$A:$AI,18,FALSE)</f>
        <v>0.68716748244307302</v>
      </c>
      <c r="AB507">
        <f>VLOOKUP($J507,'[1]Table S6'!$A:$AI,19,FALSE)</f>
        <v>2.044</v>
      </c>
      <c r="AC507" t="str">
        <f>VLOOKUP($J507,'[1]Table S6'!$A:$AI,20,FALSE)</f>
        <v>Yes</v>
      </c>
      <c r="AE507">
        <f>VLOOKUP($J507,'[1]Table S6'!$A:$AI,22,FALSE)</f>
        <v>418.2</v>
      </c>
      <c r="AF507">
        <f>VLOOKUP($J507,'[1]Table S6'!$A:$AI,23,FALSE)</f>
        <v>0.88997659076399205</v>
      </c>
      <c r="AG507">
        <f>VLOOKUP($J507,'[1]Table S6'!$A:$AI,24,FALSE)</f>
        <v>42.38</v>
      </c>
      <c r="AH507" t="str">
        <f>VLOOKUP($J507,'[1]Table S6'!$A:$AI,25,FALSE)</f>
        <v>No</v>
      </c>
      <c r="AJ507">
        <f>VLOOKUP($J507,'[1]Table S6'!$A:$AI,27,FALSE)</f>
        <v>358.8</v>
      </c>
      <c r="AK507">
        <f>VLOOKUP($J507,'[1]Table S6'!$A:$AI,28,FALSE)</f>
        <v>0.76356671632262196</v>
      </c>
      <c r="AL507">
        <f>VLOOKUP($J507,'[1]Table S6'!$A:$AI,29,FALSE)</f>
        <v>4.5780000000000003</v>
      </c>
      <c r="AM507" t="str">
        <f>VLOOKUP($J507,'[1]Table S6'!$A:$AI,30,FALSE)</f>
        <v>No</v>
      </c>
      <c r="AO507">
        <f>VLOOKUP($J507,'[1]Table S6'!$A:$AI,32,FALSE)</f>
        <v>404.8</v>
      </c>
      <c r="AP507">
        <f>VLOOKUP($J507,'[1]Table S6'!$A:$AI,33,FALSE)</f>
        <v>0.86145988508193205</v>
      </c>
      <c r="AQ507">
        <f>VLOOKUP($J507,'[1]Table S6'!$A:$AI,34,FALSE)</f>
        <v>18.440000000000001</v>
      </c>
      <c r="AR507" t="str">
        <f>VLOOKUP($J507,'[1]Table S6'!$A:$AI,35,FALSE)</f>
        <v>No</v>
      </c>
      <c r="AT507" t="e">
        <f>VLOOKUP($I507,'[2]Table S5'!$A:$K,8,FALSE)</f>
        <v>#N/A</v>
      </c>
      <c r="AU507" t="e">
        <f>VLOOKUP($I507,'[2]Table S5'!$A:$K,9,FALSE)</f>
        <v>#N/A</v>
      </c>
      <c r="AV507" t="e">
        <f>VLOOKUP($I507,'[2]Table S5'!$A:$K,10,FALSE)</f>
        <v>#N/A</v>
      </c>
      <c r="AW507" t="e">
        <f>VLOOKUP($I507,'[2]Table S5'!$A:$K,11,FALSE)</f>
        <v>#N/A</v>
      </c>
    </row>
    <row r="508" spans="1:49">
      <c r="A508" s="12" t="s">
        <v>3254</v>
      </c>
      <c r="B508" t="s">
        <v>3255</v>
      </c>
      <c r="C508" t="s">
        <v>3256</v>
      </c>
      <c r="D508" t="s">
        <v>17</v>
      </c>
      <c r="E508" t="s">
        <v>1374</v>
      </c>
      <c r="F508" s="12" t="s">
        <v>1375</v>
      </c>
      <c r="G508" t="s">
        <v>1376</v>
      </c>
      <c r="H508" t="s">
        <v>1377</v>
      </c>
      <c r="I508" t="s">
        <v>1378</v>
      </c>
      <c r="J508" t="s">
        <v>1379</v>
      </c>
      <c r="K508">
        <f>VLOOKUP($J508,'[1]Table S6'!$A:$AI,2,FALSE)</f>
        <v>416.5</v>
      </c>
      <c r="L508">
        <f>VLOOKUP($J508,'[1]Table S6'!$A:$AI,3,FALSE)</f>
        <v>0.88635879974462695</v>
      </c>
      <c r="M508">
        <f>VLOOKUP($J508,'[1]Table S6'!$A:$AI,4,FALSE)</f>
        <v>63.21</v>
      </c>
      <c r="N508" t="str">
        <f>VLOOKUP($J508,'[1]Table S6'!$A:$AI,5,FALSE)</f>
        <v>No</v>
      </c>
      <c r="P508">
        <f>VLOOKUP($J508,'[1]Table S6'!$A:$AI,7,FALSE)</f>
        <v>362.5</v>
      </c>
      <c r="Q508">
        <f>VLOOKUP($J508,'[1]Table S6'!$A:$AI,8,FALSE)</f>
        <v>0.771440732070653</v>
      </c>
      <c r="R508">
        <f>VLOOKUP($J508,'[1]Table S6'!$A:$AI,9,FALSE)</f>
        <v>9.7430000000000003</v>
      </c>
      <c r="S508" t="str">
        <f>VLOOKUP($J508,'[1]Table S6'!$A:$AI,10,FALSE)</f>
        <v>No</v>
      </c>
      <c r="U508">
        <f>VLOOKUP($J508,'[1]Table S6'!$A:$AI,12,FALSE)</f>
        <v>417.4</v>
      </c>
      <c r="V508">
        <f>VLOOKUP($J508,'[1]Table S6'!$A:$AI,13,FALSE)</f>
        <v>0.88827410087252601</v>
      </c>
      <c r="W508">
        <f>VLOOKUP($J508,'[1]Table S6'!$A:$AI,14,FALSE)</f>
        <v>41.53</v>
      </c>
      <c r="X508" t="str">
        <f>VLOOKUP($J508,'[1]Table S6'!$A:$AI,15,FALSE)</f>
        <v>No</v>
      </c>
      <c r="Z508">
        <f>VLOOKUP($J508,'[1]Table S6'!$A:$AI,17,FALSE)</f>
        <v>435</v>
      </c>
      <c r="AA508">
        <f>VLOOKUP($J508,'[1]Table S6'!$A:$AI,18,FALSE)</f>
        <v>0.92572887848478402</v>
      </c>
      <c r="AB508">
        <f>VLOOKUP($J508,'[1]Table S6'!$A:$AI,19,FALSE)</f>
        <v>75.87</v>
      </c>
      <c r="AC508" t="str">
        <f>VLOOKUP($J508,'[1]Table S6'!$A:$AI,20,FALSE)</f>
        <v>No</v>
      </c>
      <c r="AE508">
        <f>VLOOKUP($J508,'[1]Table S6'!$A:$AI,22,FALSE)</f>
        <v>439.9</v>
      </c>
      <c r="AF508">
        <f>VLOOKUP($J508,'[1]Table S6'!$A:$AI,23,FALSE)</f>
        <v>0.93615662907001496</v>
      </c>
      <c r="AG508">
        <f>VLOOKUP($J508,'[1]Table S6'!$A:$AI,24,FALSE)</f>
        <v>299.39999999999998</v>
      </c>
      <c r="AH508" t="str">
        <f>VLOOKUP($J508,'[1]Table S6'!$A:$AI,25,FALSE)</f>
        <v>No</v>
      </c>
      <c r="AJ508">
        <f>VLOOKUP($J508,'[1]Table S6'!$A:$AI,27,FALSE)</f>
        <v>397.2</v>
      </c>
      <c r="AK508">
        <f>VLOOKUP($J508,'[1]Table S6'!$A:$AI,28,FALSE)</f>
        <v>0.84528623111300305</v>
      </c>
      <c r="AL508">
        <f>VLOOKUP($J508,'[1]Table S6'!$A:$AI,29,FALSE)</f>
        <v>14.61</v>
      </c>
      <c r="AM508" t="str">
        <f>VLOOKUP($J508,'[1]Table S6'!$A:$AI,30,FALSE)</f>
        <v>No</v>
      </c>
      <c r="AO508">
        <f>VLOOKUP($J508,'[1]Table S6'!$A:$AI,32,FALSE)</f>
        <v>406.5</v>
      </c>
      <c r="AP508">
        <f>VLOOKUP($J508,'[1]Table S6'!$A:$AI,33,FALSE)</f>
        <v>0.86507767610129804</v>
      </c>
      <c r="AQ508">
        <f>VLOOKUP($J508,'[1]Table S6'!$A:$AI,34,FALSE)</f>
        <v>22.8</v>
      </c>
      <c r="AR508" t="str">
        <f>VLOOKUP($J508,'[1]Table S6'!$A:$AI,35,FALSE)</f>
        <v>No</v>
      </c>
      <c r="AT508" t="e">
        <f>VLOOKUP($I508,'[2]Table S5'!$A:$K,8,FALSE)</f>
        <v>#N/A</v>
      </c>
      <c r="AU508" t="e">
        <f>VLOOKUP($I508,'[2]Table S5'!$A:$K,9,FALSE)</f>
        <v>#N/A</v>
      </c>
      <c r="AV508" t="e">
        <f>VLOOKUP($I508,'[2]Table S5'!$A:$K,10,FALSE)</f>
        <v>#N/A</v>
      </c>
      <c r="AW508" t="e">
        <f>VLOOKUP($I508,'[2]Table S5'!$A:$K,11,FALSE)</f>
        <v>#N/A</v>
      </c>
    </row>
    <row r="509" spans="1:49">
      <c r="A509" s="12" t="s">
        <v>3257</v>
      </c>
      <c r="B509" t="s">
        <v>3258</v>
      </c>
      <c r="C509" t="s">
        <v>3259</v>
      </c>
      <c r="D509" t="s">
        <v>17</v>
      </c>
      <c r="E509" t="s">
        <v>1383</v>
      </c>
      <c r="F509" s="12" t="s">
        <v>1384</v>
      </c>
      <c r="G509" t="s">
        <v>1385</v>
      </c>
      <c r="H509" t="s">
        <v>1386</v>
      </c>
      <c r="I509" t="s">
        <v>1378</v>
      </c>
      <c r="J509" t="s">
        <v>1379</v>
      </c>
      <c r="K509">
        <f>VLOOKUP($J509,'[1]Table S6'!$A:$AI,2,FALSE)</f>
        <v>416.5</v>
      </c>
      <c r="L509">
        <f>VLOOKUP($J509,'[1]Table S6'!$A:$AI,3,FALSE)</f>
        <v>0.88635879974462695</v>
      </c>
      <c r="M509">
        <f>VLOOKUP($J509,'[1]Table S6'!$A:$AI,4,FALSE)</f>
        <v>63.21</v>
      </c>
      <c r="N509" t="str">
        <f>VLOOKUP($J509,'[1]Table S6'!$A:$AI,5,FALSE)</f>
        <v>No</v>
      </c>
      <c r="P509">
        <f>VLOOKUP($J509,'[1]Table S6'!$A:$AI,7,FALSE)</f>
        <v>362.5</v>
      </c>
      <c r="Q509">
        <f>VLOOKUP($J509,'[1]Table S6'!$A:$AI,8,FALSE)</f>
        <v>0.771440732070653</v>
      </c>
      <c r="R509">
        <f>VLOOKUP($J509,'[1]Table S6'!$A:$AI,9,FALSE)</f>
        <v>9.7430000000000003</v>
      </c>
      <c r="S509" t="str">
        <f>VLOOKUP($J509,'[1]Table S6'!$A:$AI,10,FALSE)</f>
        <v>No</v>
      </c>
      <c r="U509">
        <f>VLOOKUP($J509,'[1]Table S6'!$A:$AI,12,FALSE)</f>
        <v>417.4</v>
      </c>
      <c r="V509">
        <f>VLOOKUP($J509,'[1]Table S6'!$A:$AI,13,FALSE)</f>
        <v>0.88827410087252601</v>
      </c>
      <c r="W509">
        <f>VLOOKUP($J509,'[1]Table S6'!$A:$AI,14,FALSE)</f>
        <v>41.53</v>
      </c>
      <c r="X509" t="str">
        <f>VLOOKUP($J509,'[1]Table S6'!$A:$AI,15,FALSE)</f>
        <v>No</v>
      </c>
      <c r="Z509">
        <f>VLOOKUP($J509,'[1]Table S6'!$A:$AI,17,FALSE)</f>
        <v>435</v>
      </c>
      <c r="AA509">
        <f>VLOOKUP($J509,'[1]Table S6'!$A:$AI,18,FALSE)</f>
        <v>0.92572887848478402</v>
      </c>
      <c r="AB509">
        <f>VLOOKUP($J509,'[1]Table S6'!$A:$AI,19,FALSE)</f>
        <v>75.87</v>
      </c>
      <c r="AC509" t="str">
        <f>VLOOKUP($J509,'[1]Table S6'!$A:$AI,20,FALSE)</f>
        <v>No</v>
      </c>
      <c r="AE509">
        <f>VLOOKUP($J509,'[1]Table S6'!$A:$AI,22,FALSE)</f>
        <v>439.9</v>
      </c>
      <c r="AF509">
        <f>VLOOKUP($J509,'[1]Table S6'!$A:$AI,23,FALSE)</f>
        <v>0.93615662907001496</v>
      </c>
      <c r="AG509">
        <f>VLOOKUP($J509,'[1]Table S6'!$A:$AI,24,FALSE)</f>
        <v>299.39999999999998</v>
      </c>
      <c r="AH509" t="str">
        <f>VLOOKUP($J509,'[1]Table S6'!$A:$AI,25,FALSE)</f>
        <v>No</v>
      </c>
      <c r="AJ509">
        <f>VLOOKUP($J509,'[1]Table S6'!$A:$AI,27,FALSE)</f>
        <v>397.2</v>
      </c>
      <c r="AK509">
        <f>VLOOKUP($J509,'[1]Table S6'!$A:$AI,28,FALSE)</f>
        <v>0.84528623111300305</v>
      </c>
      <c r="AL509">
        <f>VLOOKUP($J509,'[1]Table S6'!$A:$AI,29,FALSE)</f>
        <v>14.61</v>
      </c>
      <c r="AM509" t="str">
        <f>VLOOKUP($J509,'[1]Table S6'!$A:$AI,30,FALSE)</f>
        <v>No</v>
      </c>
      <c r="AO509">
        <f>VLOOKUP($J509,'[1]Table S6'!$A:$AI,32,FALSE)</f>
        <v>406.5</v>
      </c>
      <c r="AP509">
        <f>VLOOKUP($J509,'[1]Table S6'!$A:$AI,33,FALSE)</f>
        <v>0.86507767610129804</v>
      </c>
      <c r="AQ509">
        <f>VLOOKUP($J509,'[1]Table S6'!$A:$AI,34,FALSE)</f>
        <v>22.8</v>
      </c>
      <c r="AR509" t="str">
        <f>VLOOKUP($J509,'[1]Table S6'!$A:$AI,35,FALSE)</f>
        <v>No</v>
      </c>
      <c r="AT509" t="e">
        <f>VLOOKUP($I509,'[2]Table S5'!$A:$K,8,FALSE)</f>
        <v>#N/A</v>
      </c>
      <c r="AU509" t="e">
        <f>VLOOKUP($I509,'[2]Table S5'!$A:$K,9,FALSE)</f>
        <v>#N/A</v>
      </c>
      <c r="AV509" t="e">
        <f>VLOOKUP($I509,'[2]Table S5'!$A:$K,10,FALSE)</f>
        <v>#N/A</v>
      </c>
      <c r="AW509" t="e">
        <f>VLOOKUP($I509,'[2]Table S5'!$A:$K,11,FALSE)</f>
        <v>#N/A</v>
      </c>
    </row>
    <row r="510" spans="1:49">
      <c r="A510" s="12" t="s">
        <v>3260</v>
      </c>
      <c r="B510" t="s">
        <v>3261</v>
      </c>
      <c r="C510" t="s">
        <v>3262</v>
      </c>
      <c r="D510" t="s">
        <v>17</v>
      </c>
      <c r="E510" t="s">
        <v>3263</v>
      </c>
      <c r="F510" s="12" t="s">
        <v>3264</v>
      </c>
      <c r="G510" t="s">
        <v>3265</v>
      </c>
      <c r="H510" t="s">
        <v>3266</v>
      </c>
      <c r="I510" t="s">
        <v>1401</v>
      </c>
      <c r="J510" t="s">
        <v>3267</v>
      </c>
      <c r="K510">
        <f>VLOOKUP($J510,'[1]Table S6'!$A:$AI,2,FALSE)</f>
        <v>344.9</v>
      </c>
      <c r="L510">
        <f>VLOOKUP($J510,'[1]Table S6'!$A:$AI,3,FALSE)</f>
        <v>0.73398595445839498</v>
      </c>
      <c r="M510">
        <f>VLOOKUP($J510,'[1]Table S6'!$A:$AI,4,FALSE)</f>
        <v>3.181</v>
      </c>
      <c r="N510" t="str">
        <f>VLOOKUP($J510,'[1]Table S6'!$A:$AI,5,FALSE)</f>
        <v>No</v>
      </c>
      <c r="P510">
        <f>VLOOKUP($J510,'[1]Table S6'!$A:$AI,7,FALSE)</f>
        <v>383.6</v>
      </c>
      <c r="Q510">
        <f>VLOOKUP($J510,'[1]Table S6'!$A:$AI,8,FALSE)</f>
        <v>0.81634390295807602</v>
      </c>
      <c r="R510">
        <f>VLOOKUP($J510,'[1]Table S6'!$A:$AI,9,FALSE)</f>
        <v>8.4030000000000005</v>
      </c>
      <c r="S510" t="str">
        <f>VLOOKUP($J510,'[1]Table S6'!$A:$AI,10,FALSE)</f>
        <v>No</v>
      </c>
      <c r="U510">
        <f>VLOOKUP($J510,'[1]Table S6'!$A:$AI,12,FALSE)</f>
        <v>372.7</v>
      </c>
      <c r="V510">
        <f>VLOOKUP($J510,'[1]Table S6'!$A:$AI,13,FALSE)</f>
        <v>0.79314747818684805</v>
      </c>
      <c r="W510">
        <f>VLOOKUP($J510,'[1]Table S6'!$A:$AI,14,FALSE)</f>
        <v>5.6840000000000002</v>
      </c>
      <c r="X510" t="str">
        <f>VLOOKUP($J510,'[1]Table S6'!$A:$AI,15,FALSE)</f>
        <v>No</v>
      </c>
      <c r="Z510">
        <f>VLOOKUP($J510,'[1]Table S6'!$A:$AI,17,FALSE)</f>
        <v>331</v>
      </c>
      <c r="AA510">
        <f>VLOOKUP($J510,'[1]Table S6'!$A:$AI,18,FALSE)</f>
        <v>0.70440519259416901</v>
      </c>
      <c r="AB510">
        <f>VLOOKUP($J510,'[1]Table S6'!$A:$AI,19,FALSE)</f>
        <v>2.9239999999999999</v>
      </c>
      <c r="AC510" t="str">
        <f>VLOOKUP($J510,'[1]Table S6'!$A:$AI,20,FALSE)</f>
        <v>No</v>
      </c>
      <c r="AE510">
        <f>VLOOKUP($J510,'[1]Table S6'!$A:$AI,22,FALSE)</f>
        <v>418.2</v>
      </c>
      <c r="AF510">
        <f>VLOOKUP($J510,'[1]Table S6'!$A:$AI,23,FALSE)</f>
        <v>0.88997659076399205</v>
      </c>
      <c r="AG510">
        <f>VLOOKUP($J510,'[1]Table S6'!$A:$AI,24,FALSE)</f>
        <v>27.72</v>
      </c>
      <c r="AH510" t="str">
        <f>VLOOKUP($J510,'[1]Table S6'!$A:$AI,25,FALSE)</f>
        <v>No</v>
      </c>
      <c r="AJ510">
        <f>VLOOKUP($J510,'[1]Table S6'!$A:$AI,27,FALSE)</f>
        <v>327</v>
      </c>
      <c r="AK510">
        <f>VLOOKUP($J510,'[1]Table S6'!$A:$AI,28,FALSE)</f>
        <v>0.69589274313683802</v>
      </c>
      <c r="AL510">
        <f>VLOOKUP($J510,'[1]Table S6'!$A:$AI,29,FALSE)</f>
        <v>2.4910000000000001</v>
      </c>
      <c r="AM510" t="str">
        <f>VLOOKUP($J510,'[1]Table S6'!$A:$AI,30,FALSE)</f>
        <v>No</v>
      </c>
      <c r="AO510">
        <f>VLOOKUP($J510,'[1]Table S6'!$A:$AI,32,FALSE)</f>
        <v>449.7</v>
      </c>
      <c r="AP510">
        <f>VLOOKUP($J510,'[1]Table S6'!$A:$AI,33,FALSE)</f>
        <v>0.95701213024047704</v>
      </c>
      <c r="AQ510">
        <f>VLOOKUP($J510,'[1]Table S6'!$A:$AI,34,FALSE)</f>
        <v>132.80000000000001</v>
      </c>
      <c r="AR510" t="str">
        <f>VLOOKUP($J510,'[1]Table S6'!$A:$AI,35,FALSE)</f>
        <v>No</v>
      </c>
      <c r="AT510" t="str">
        <f>VLOOKUP($I510,'[2]Table S5'!$A:$K,8,FALSE)</f>
        <v>Resistant</v>
      </c>
      <c r="AU510" t="str">
        <f>VLOOKUP($I510,'[2]Table S5'!$A:$K,9,FALSE)</f>
        <v>Resistant</v>
      </c>
      <c r="AV510" t="str">
        <f>VLOOKUP($I510,'[2]Table S5'!$A:$K,10,FALSE)</f>
        <v>Resistant</v>
      </c>
      <c r="AW510" t="str">
        <f>VLOOKUP($I510,'[2]Table S5'!$A:$K,11,FALSE)</f>
        <v>Resistant</v>
      </c>
    </row>
    <row r="511" spans="1:49">
      <c r="A511" s="12" t="s">
        <v>3268</v>
      </c>
      <c r="B511" t="s">
        <v>3269</v>
      </c>
      <c r="C511" t="s">
        <v>3270</v>
      </c>
      <c r="D511" t="s">
        <v>17</v>
      </c>
      <c r="E511" t="s">
        <v>1397</v>
      </c>
      <c r="F511" s="12" t="s">
        <v>1398</v>
      </c>
      <c r="G511" t="s">
        <v>1399</v>
      </c>
      <c r="H511" t="s">
        <v>1400</v>
      </c>
      <c r="I511" t="s">
        <v>1401</v>
      </c>
      <c r="J511" t="s">
        <v>1402</v>
      </c>
      <c r="K511">
        <f>VLOOKUP($J511,'[1]Table S6'!$A:$AI,2,FALSE)</f>
        <v>351.7</v>
      </c>
      <c r="L511">
        <f>VLOOKUP($J511,'[1]Table S6'!$A:$AI,3,FALSE)</f>
        <v>0.74845711853585895</v>
      </c>
      <c r="M511">
        <f>VLOOKUP($J511,'[1]Table S6'!$A:$AI,4,FALSE)</f>
        <v>7.6639999999999997</v>
      </c>
      <c r="N511" t="str">
        <f>VLOOKUP($J511,'[1]Table S6'!$A:$AI,5,FALSE)</f>
        <v>No</v>
      </c>
      <c r="P511">
        <f>VLOOKUP($J511,'[1]Table S6'!$A:$AI,7,FALSE)</f>
        <v>406.3</v>
      </c>
      <c r="Q511">
        <f>VLOOKUP($J511,'[1]Table S6'!$A:$AI,8,FALSE)</f>
        <v>0.864652053628432</v>
      </c>
      <c r="R511">
        <f>VLOOKUP($J511,'[1]Table S6'!$A:$AI,9,FALSE)</f>
        <v>62.69</v>
      </c>
      <c r="S511" t="str">
        <f>VLOOKUP($J511,'[1]Table S6'!$A:$AI,10,FALSE)</f>
        <v>No</v>
      </c>
      <c r="U511">
        <f>VLOOKUP($J511,'[1]Table S6'!$A:$AI,12,FALSE)</f>
        <v>390.8</v>
      </c>
      <c r="V511">
        <f>VLOOKUP($J511,'[1]Table S6'!$A:$AI,13,FALSE)</f>
        <v>0.83166631198127305</v>
      </c>
      <c r="W511">
        <f>VLOOKUP($J511,'[1]Table S6'!$A:$AI,14,FALSE)</f>
        <v>28.37</v>
      </c>
      <c r="X511" t="str">
        <f>VLOOKUP($J511,'[1]Table S6'!$A:$AI,15,FALSE)</f>
        <v>No</v>
      </c>
      <c r="Z511">
        <f>VLOOKUP($J511,'[1]Table S6'!$A:$AI,17,FALSE)</f>
        <v>375.5</v>
      </c>
      <c r="AA511">
        <f>VLOOKUP($J511,'[1]Table S6'!$A:$AI,18,FALSE)</f>
        <v>0.79910619280698003</v>
      </c>
      <c r="AB511">
        <f>VLOOKUP($J511,'[1]Table S6'!$A:$AI,19,FALSE)</f>
        <v>13.58</v>
      </c>
      <c r="AC511" t="str">
        <f>VLOOKUP($J511,'[1]Table S6'!$A:$AI,20,FALSE)</f>
        <v>No</v>
      </c>
      <c r="AE511">
        <f>VLOOKUP($J511,'[1]Table S6'!$A:$AI,22,FALSE)</f>
        <v>362.5</v>
      </c>
      <c r="AF511">
        <f>VLOOKUP($J511,'[1]Table S6'!$A:$AI,23,FALSE)</f>
        <v>0.771440732070653</v>
      </c>
      <c r="AG511">
        <f>VLOOKUP($J511,'[1]Table S6'!$A:$AI,24,FALSE)</f>
        <v>18.61</v>
      </c>
      <c r="AH511" t="str">
        <f>VLOOKUP($J511,'[1]Table S6'!$A:$AI,25,FALSE)</f>
        <v>No</v>
      </c>
      <c r="AJ511">
        <f>VLOOKUP($J511,'[1]Table S6'!$A:$AI,27,FALSE)</f>
        <v>417.3</v>
      </c>
      <c r="AK511">
        <f>VLOOKUP($J511,'[1]Table S6'!$A:$AI,28,FALSE)</f>
        <v>0.88806128963609299</v>
      </c>
      <c r="AL511">
        <f>VLOOKUP($J511,'[1]Table S6'!$A:$AI,29,FALSE)</f>
        <v>58.75</v>
      </c>
      <c r="AM511" t="str">
        <f>VLOOKUP($J511,'[1]Table S6'!$A:$AI,30,FALSE)</f>
        <v>No</v>
      </c>
      <c r="AO511">
        <f>VLOOKUP($J511,'[1]Table S6'!$A:$AI,32,FALSE)</f>
        <v>398.3</v>
      </c>
      <c r="AP511">
        <f>VLOOKUP($J511,'[1]Table S6'!$A:$AI,33,FALSE)</f>
        <v>0.84762715471376904</v>
      </c>
      <c r="AQ511">
        <f>VLOOKUP($J511,'[1]Table S6'!$A:$AI,34,FALSE)</f>
        <v>131.1</v>
      </c>
      <c r="AR511" t="str">
        <f>VLOOKUP($J511,'[1]Table S6'!$A:$AI,35,FALSE)</f>
        <v>No</v>
      </c>
      <c r="AT511" t="str">
        <f>VLOOKUP($I511,'[2]Table S5'!$A:$K,8,FALSE)</f>
        <v>Resistant</v>
      </c>
      <c r="AU511" t="str">
        <f>VLOOKUP($I511,'[2]Table S5'!$A:$K,9,FALSE)</f>
        <v>Resistant</v>
      </c>
      <c r="AV511" t="str">
        <f>VLOOKUP($I511,'[2]Table S5'!$A:$K,10,FALSE)</f>
        <v>Resistant</v>
      </c>
      <c r="AW511" t="str">
        <f>VLOOKUP($I511,'[2]Table S5'!$A:$K,11,FALSE)</f>
        <v>Resistant</v>
      </c>
    </row>
    <row r="512" spans="1:49">
      <c r="A512" s="12" t="s">
        <v>3271</v>
      </c>
      <c r="B512" t="s">
        <v>3272</v>
      </c>
      <c r="C512" t="s">
        <v>3273</v>
      </c>
      <c r="D512" t="s">
        <v>17</v>
      </c>
      <c r="E512" t="s">
        <v>1406</v>
      </c>
      <c r="F512" s="12" t="s">
        <v>1407</v>
      </c>
      <c r="G512" t="s">
        <v>1408</v>
      </c>
      <c r="H512" t="s">
        <v>1409</v>
      </c>
      <c r="I512" t="s">
        <v>1401</v>
      </c>
      <c r="J512" t="s">
        <v>1410</v>
      </c>
      <c r="K512">
        <f>VLOOKUP($J512,'[1]Table S6'!$A:$AI,2,FALSE)</f>
        <v>306.5</v>
      </c>
      <c r="L512">
        <f>VLOOKUP($J512,'[1]Table S6'!$A:$AI,3,FALSE)</f>
        <v>0.65226643966801401</v>
      </c>
      <c r="M512">
        <f>VLOOKUP($J512,'[1]Table S6'!$A:$AI,4,FALSE)</f>
        <v>1.339</v>
      </c>
      <c r="N512" t="str">
        <f>VLOOKUP($J512,'[1]Table S6'!$A:$AI,5,FALSE)</f>
        <v>Yes</v>
      </c>
      <c r="P512">
        <f>VLOOKUP($J512,'[1]Table S6'!$A:$AI,7,FALSE)</f>
        <v>395.4</v>
      </c>
      <c r="Q512">
        <f>VLOOKUP($J512,'[1]Table S6'!$A:$AI,8,FALSE)</f>
        <v>0.84145562885720404</v>
      </c>
      <c r="R512">
        <f>VLOOKUP($J512,'[1]Table S6'!$A:$AI,9,FALSE)</f>
        <v>33.08</v>
      </c>
      <c r="S512" t="str">
        <f>VLOOKUP($J512,'[1]Table S6'!$A:$AI,10,FALSE)</f>
        <v>No</v>
      </c>
      <c r="U512">
        <f>VLOOKUP($J512,'[1]Table S6'!$A:$AI,12,FALSE)</f>
        <v>367.2</v>
      </c>
      <c r="V512">
        <f>VLOOKUP($J512,'[1]Table S6'!$A:$AI,13,FALSE)</f>
        <v>0.78144286018301801</v>
      </c>
      <c r="W512">
        <f>VLOOKUP($J512,'[1]Table S6'!$A:$AI,14,FALSE)</f>
        <v>14.68</v>
      </c>
      <c r="X512" t="str">
        <f>VLOOKUP($J512,'[1]Table S6'!$A:$AI,15,FALSE)</f>
        <v>No</v>
      </c>
      <c r="Z512">
        <f>VLOOKUP($J512,'[1]Table S6'!$A:$AI,17,FALSE)</f>
        <v>397.1</v>
      </c>
      <c r="AA512">
        <f>VLOOKUP($J512,'[1]Table S6'!$A:$AI,18,FALSE)</f>
        <v>0.84507341987657003</v>
      </c>
      <c r="AB512">
        <f>VLOOKUP($J512,'[1]Table S6'!$A:$AI,19,FALSE)</f>
        <v>21.54</v>
      </c>
      <c r="AC512" t="str">
        <f>VLOOKUP($J512,'[1]Table S6'!$A:$AI,20,FALSE)</f>
        <v>No</v>
      </c>
      <c r="AE512">
        <f>VLOOKUP($J512,'[1]Table S6'!$A:$AI,22,FALSE)</f>
        <v>351.8</v>
      </c>
      <c r="AF512">
        <f>VLOOKUP($J512,'[1]Table S6'!$A:$AI,23,FALSE)</f>
        <v>0.74866992977229196</v>
      </c>
      <c r="AG512">
        <f>VLOOKUP($J512,'[1]Table S6'!$A:$AI,24,FALSE)</f>
        <v>6.0659999999999998</v>
      </c>
      <c r="AH512" t="str">
        <f>VLOOKUP($J512,'[1]Table S6'!$A:$AI,25,FALSE)</f>
        <v>No</v>
      </c>
      <c r="AJ512">
        <f>VLOOKUP($J512,'[1]Table S6'!$A:$AI,27,FALSE)</f>
        <v>376.9</v>
      </c>
      <c r="AK512">
        <f>VLOOKUP($J512,'[1]Table S6'!$A:$AI,28,FALSE)</f>
        <v>0.80208555011704596</v>
      </c>
      <c r="AL512">
        <f>VLOOKUP($J512,'[1]Table S6'!$A:$AI,29,FALSE)</f>
        <v>13.09</v>
      </c>
      <c r="AM512" t="str">
        <f>VLOOKUP($J512,'[1]Table S6'!$A:$AI,30,FALSE)</f>
        <v>No</v>
      </c>
      <c r="AO512">
        <f>VLOOKUP($J512,'[1]Table S6'!$A:$AI,32,FALSE)</f>
        <v>400</v>
      </c>
      <c r="AP512">
        <f>VLOOKUP($J512,'[1]Table S6'!$A:$AI,33,FALSE)</f>
        <v>0.85124494573313503</v>
      </c>
      <c r="AQ512">
        <f>VLOOKUP($J512,'[1]Table S6'!$A:$AI,34,FALSE)</f>
        <v>82.86</v>
      </c>
      <c r="AR512" t="str">
        <f>VLOOKUP($J512,'[1]Table S6'!$A:$AI,35,FALSE)</f>
        <v>No</v>
      </c>
      <c r="AT512" t="str">
        <f>VLOOKUP($I512,'[2]Table S5'!$A:$K,8,FALSE)</f>
        <v>Resistant</v>
      </c>
      <c r="AU512" t="str">
        <f>VLOOKUP($I512,'[2]Table S5'!$A:$K,9,FALSE)</f>
        <v>Resistant</v>
      </c>
      <c r="AV512" t="str">
        <f>VLOOKUP($I512,'[2]Table S5'!$A:$K,10,FALSE)</f>
        <v>Resistant</v>
      </c>
      <c r="AW512" t="str">
        <f>VLOOKUP($I512,'[2]Table S5'!$A:$K,11,FALSE)</f>
        <v>Resistant</v>
      </c>
    </row>
    <row r="513" spans="1:49">
      <c r="A513" s="12" t="s">
        <v>3274</v>
      </c>
      <c r="B513" t="s">
        <v>3275</v>
      </c>
      <c r="C513" t="s">
        <v>3276</v>
      </c>
      <c r="D513" t="s">
        <v>17</v>
      </c>
      <c r="E513" t="s">
        <v>1414</v>
      </c>
      <c r="F513" s="12" t="s">
        <v>1415</v>
      </c>
      <c r="G513" t="s">
        <v>1416</v>
      </c>
      <c r="H513" t="s">
        <v>1417</v>
      </c>
      <c r="I513" t="s">
        <v>1401</v>
      </c>
      <c r="J513" t="s">
        <v>1402</v>
      </c>
      <c r="K513">
        <f>VLOOKUP($J513,'[1]Table S6'!$A:$AI,2,FALSE)</f>
        <v>351.7</v>
      </c>
      <c r="L513">
        <f>VLOOKUP($J513,'[1]Table S6'!$A:$AI,3,FALSE)</f>
        <v>0.74845711853585895</v>
      </c>
      <c r="M513">
        <f>VLOOKUP($J513,'[1]Table S6'!$A:$AI,4,FALSE)</f>
        <v>7.6639999999999997</v>
      </c>
      <c r="N513" t="str">
        <f>VLOOKUP($J513,'[1]Table S6'!$A:$AI,5,FALSE)</f>
        <v>No</v>
      </c>
      <c r="P513">
        <f>VLOOKUP($J513,'[1]Table S6'!$A:$AI,7,FALSE)</f>
        <v>406.3</v>
      </c>
      <c r="Q513">
        <f>VLOOKUP($J513,'[1]Table S6'!$A:$AI,8,FALSE)</f>
        <v>0.864652053628432</v>
      </c>
      <c r="R513">
        <f>VLOOKUP($J513,'[1]Table S6'!$A:$AI,9,FALSE)</f>
        <v>62.69</v>
      </c>
      <c r="S513" t="str">
        <f>VLOOKUP($J513,'[1]Table S6'!$A:$AI,10,FALSE)</f>
        <v>No</v>
      </c>
      <c r="U513">
        <f>VLOOKUP($J513,'[1]Table S6'!$A:$AI,12,FALSE)</f>
        <v>390.8</v>
      </c>
      <c r="V513">
        <f>VLOOKUP($J513,'[1]Table S6'!$A:$AI,13,FALSE)</f>
        <v>0.83166631198127305</v>
      </c>
      <c r="W513">
        <f>VLOOKUP($J513,'[1]Table S6'!$A:$AI,14,FALSE)</f>
        <v>28.37</v>
      </c>
      <c r="X513" t="str">
        <f>VLOOKUP($J513,'[1]Table S6'!$A:$AI,15,FALSE)</f>
        <v>No</v>
      </c>
      <c r="Z513">
        <f>VLOOKUP($J513,'[1]Table S6'!$A:$AI,17,FALSE)</f>
        <v>375.5</v>
      </c>
      <c r="AA513">
        <f>VLOOKUP($J513,'[1]Table S6'!$A:$AI,18,FALSE)</f>
        <v>0.79910619280698003</v>
      </c>
      <c r="AB513">
        <f>VLOOKUP($J513,'[1]Table S6'!$A:$AI,19,FALSE)</f>
        <v>13.58</v>
      </c>
      <c r="AC513" t="str">
        <f>VLOOKUP($J513,'[1]Table S6'!$A:$AI,20,FALSE)</f>
        <v>No</v>
      </c>
      <c r="AE513">
        <f>VLOOKUP($J513,'[1]Table S6'!$A:$AI,22,FALSE)</f>
        <v>362.5</v>
      </c>
      <c r="AF513">
        <f>VLOOKUP($J513,'[1]Table S6'!$A:$AI,23,FALSE)</f>
        <v>0.771440732070653</v>
      </c>
      <c r="AG513">
        <f>VLOOKUP($J513,'[1]Table S6'!$A:$AI,24,FALSE)</f>
        <v>18.61</v>
      </c>
      <c r="AH513" t="str">
        <f>VLOOKUP($J513,'[1]Table S6'!$A:$AI,25,FALSE)</f>
        <v>No</v>
      </c>
      <c r="AJ513">
        <f>VLOOKUP($J513,'[1]Table S6'!$A:$AI,27,FALSE)</f>
        <v>417.3</v>
      </c>
      <c r="AK513">
        <f>VLOOKUP($J513,'[1]Table S6'!$A:$AI,28,FALSE)</f>
        <v>0.88806128963609299</v>
      </c>
      <c r="AL513">
        <f>VLOOKUP($J513,'[1]Table S6'!$A:$AI,29,FALSE)</f>
        <v>58.75</v>
      </c>
      <c r="AM513" t="str">
        <f>VLOOKUP($J513,'[1]Table S6'!$A:$AI,30,FALSE)</f>
        <v>No</v>
      </c>
      <c r="AO513">
        <f>VLOOKUP($J513,'[1]Table S6'!$A:$AI,32,FALSE)</f>
        <v>398.3</v>
      </c>
      <c r="AP513">
        <f>VLOOKUP($J513,'[1]Table S6'!$A:$AI,33,FALSE)</f>
        <v>0.84762715471376904</v>
      </c>
      <c r="AQ513">
        <f>VLOOKUP($J513,'[1]Table S6'!$A:$AI,34,FALSE)</f>
        <v>131.1</v>
      </c>
      <c r="AR513" t="str">
        <f>VLOOKUP($J513,'[1]Table S6'!$A:$AI,35,FALSE)</f>
        <v>No</v>
      </c>
      <c r="AT513" t="str">
        <f>VLOOKUP($I513,'[2]Table S5'!$A:$K,8,FALSE)</f>
        <v>Resistant</v>
      </c>
      <c r="AU513" t="str">
        <f>VLOOKUP($I513,'[2]Table S5'!$A:$K,9,FALSE)</f>
        <v>Resistant</v>
      </c>
      <c r="AV513" t="str">
        <f>VLOOKUP($I513,'[2]Table S5'!$A:$K,10,FALSE)</f>
        <v>Resistant</v>
      </c>
      <c r="AW513" t="str">
        <f>VLOOKUP($I513,'[2]Table S5'!$A:$K,11,FALSE)</f>
        <v>Resistant</v>
      </c>
    </row>
    <row r="514" spans="1:49">
      <c r="A514" s="12" t="s">
        <v>3277</v>
      </c>
      <c r="B514" t="s">
        <v>3278</v>
      </c>
      <c r="C514" t="s">
        <v>3279</v>
      </c>
      <c r="D514" t="s">
        <v>17</v>
      </c>
      <c r="E514" t="s">
        <v>1421</v>
      </c>
      <c r="F514" s="12" t="s">
        <v>1422</v>
      </c>
      <c r="G514" t="s">
        <v>1423</v>
      </c>
      <c r="H514" t="s">
        <v>1424</v>
      </c>
      <c r="I514" t="s">
        <v>1401</v>
      </c>
      <c r="J514" t="s">
        <v>1410</v>
      </c>
      <c r="K514">
        <f>VLOOKUP($J514,'[1]Table S6'!$A:$AI,2,FALSE)</f>
        <v>306.5</v>
      </c>
      <c r="L514">
        <f>VLOOKUP($J514,'[1]Table S6'!$A:$AI,3,FALSE)</f>
        <v>0.65226643966801401</v>
      </c>
      <c r="M514">
        <f>VLOOKUP($J514,'[1]Table S6'!$A:$AI,4,FALSE)</f>
        <v>1.339</v>
      </c>
      <c r="N514" t="str">
        <f>VLOOKUP($J514,'[1]Table S6'!$A:$AI,5,FALSE)</f>
        <v>Yes</v>
      </c>
      <c r="P514">
        <f>VLOOKUP($J514,'[1]Table S6'!$A:$AI,7,FALSE)</f>
        <v>395.4</v>
      </c>
      <c r="Q514">
        <f>VLOOKUP($J514,'[1]Table S6'!$A:$AI,8,FALSE)</f>
        <v>0.84145562885720404</v>
      </c>
      <c r="R514">
        <f>VLOOKUP($J514,'[1]Table S6'!$A:$AI,9,FALSE)</f>
        <v>33.08</v>
      </c>
      <c r="S514" t="str">
        <f>VLOOKUP($J514,'[1]Table S6'!$A:$AI,10,FALSE)</f>
        <v>No</v>
      </c>
      <c r="U514">
        <f>VLOOKUP($J514,'[1]Table S6'!$A:$AI,12,FALSE)</f>
        <v>367.2</v>
      </c>
      <c r="V514">
        <f>VLOOKUP($J514,'[1]Table S6'!$A:$AI,13,FALSE)</f>
        <v>0.78144286018301801</v>
      </c>
      <c r="W514">
        <f>VLOOKUP($J514,'[1]Table S6'!$A:$AI,14,FALSE)</f>
        <v>14.68</v>
      </c>
      <c r="X514" t="str">
        <f>VLOOKUP($J514,'[1]Table S6'!$A:$AI,15,FALSE)</f>
        <v>No</v>
      </c>
      <c r="Z514">
        <f>VLOOKUP($J514,'[1]Table S6'!$A:$AI,17,FALSE)</f>
        <v>397.1</v>
      </c>
      <c r="AA514">
        <f>VLOOKUP($J514,'[1]Table S6'!$A:$AI,18,FALSE)</f>
        <v>0.84507341987657003</v>
      </c>
      <c r="AB514">
        <f>VLOOKUP($J514,'[1]Table S6'!$A:$AI,19,FALSE)</f>
        <v>21.54</v>
      </c>
      <c r="AC514" t="str">
        <f>VLOOKUP($J514,'[1]Table S6'!$A:$AI,20,FALSE)</f>
        <v>No</v>
      </c>
      <c r="AE514">
        <f>VLOOKUP($J514,'[1]Table S6'!$A:$AI,22,FALSE)</f>
        <v>351.8</v>
      </c>
      <c r="AF514">
        <f>VLOOKUP($J514,'[1]Table S6'!$A:$AI,23,FALSE)</f>
        <v>0.74866992977229196</v>
      </c>
      <c r="AG514">
        <f>VLOOKUP($J514,'[1]Table S6'!$A:$AI,24,FALSE)</f>
        <v>6.0659999999999998</v>
      </c>
      <c r="AH514" t="str">
        <f>VLOOKUP($J514,'[1]Table S6'!$A:$AI,25,FALSE)</f>
        <v>No</v>
      </c>
      <c r="AJ514">
        <f>VLOOKUP($J514,'[1]Table S6'!$A:$AI,27,FALSE)</f>
        <v>376.9</v>
      </c>
      <c r="AK514">
        <f>VLOOKUP($J514,'[1]Table S6'!$A:$AI,28,FALSE)</f>
        <v>0.80208555011704596</v>
      </c>
      <c r="AL514">
        <f>VLOOKUP($J514,'[1]Table S6'!$A:$AI,29,FALSE)</f>
        <v>13.09</v>
      </c>
      <c r="AM514" t="str">
        <f>VLOOKUP($J514,'[1]Table S6'!$A:$AI,30,FALSE)</f>
        <v>No</v>
      </c>
      <c r="AO514">
        <f>VLOOKUP($J514,'[1]Table S6'!$A:$AI,32,FALSE)</f>
        <v>400</v>
      </c>
      <c r="AP514">
        <f>VLOOKUP($J514,'[1]Table S6'!$A:$AI,33,FALSE)</f>
        <v>0.85124494573313503</v>
      </c>
      <c r="AQ514">
        <f>VLOOKUP($J514,'[1]Table S6'!$A:$AI,34,FALSE)</f>
        <v>82.86</v>
      </c>
      <c r="AR514" t="str">
        <f>VLOOKUP($J514,'[1]Table S6'!$A:$AI,35,FALSE)</f>
        <v>No</v>
      </c>
      <c r="AT514" t="str">
        <f>VLOOKUP($I514,'[2]Table S5'!$A:$K,8,FALSE)</f>
        <v>Resistant</v>
      </c>
      <c r="AU514" t="str">
        <f>VLOOKUP($I514,'[2]Table S5'!$A:$K,9,FALSE)</f>
        <v>Resistant</v>
      </c>
      <c r="AV514" t="str">
        <f>VLOOKUP($I514,'[2]Table S5'!$A:$K,10,FALSE)</f>
        <v>Resistant</v>
      </c>
      <c r="AW514" t="str">
        <f>VLOOKUP($I514,'[2]Table S5'!$A:$K,11,FALSE)</f>
        <v>Resistant</v>
      </c>
    </row>
    <row r="515" spans="1:49">
      <c r="A515" s="12" t="s">
        <v>3280</v>
      </c>
      <c r="B515" t="s">
        <v>3281</v>
      </c>
      <c r="C515" t="s">
        <v>3282</v>
      </c>
      <c r="D515" t="s">
        <v>17</v>
      </c>
      <c r="E515" t="s">
        <v>3283</v>
      </c>
      <c r="F515" s="12" t="s">
        <v>3284</v>
      </c>
      <c r="G515" t="s">
        <v>3285</v>
      </c>
      <c r="H515" t="s">
        <v>3286</v>
      </c>
      <c r="I515" t="s">
        <v>1439</v>
      </c>
      <c r="J515" t="s">
        <v>1439</v>
      </c>
      <c r="K515" t="e">
        <f>VLOOKUP($J515,'[1]Table S6'!$A:$AI,2,FALSE)</f>
        <v>#N/A</v>
      </c>
      <c r="L515" t="e">
        <f>VLOOKUP($J515,'[1]Table S6'!$A:$AI,3,FALSE)</f>
        <v>#N/A</v>
      </c>
      <c r="M515" t="e">
        <f>VLOOKUP($J515,'[1]Table S6'!$A:$AI,4,FALSE)</f>
        <v>#N/A</v>
      </c>
      <c r="N515" t="e">
        <f>VLOOKUP($J515,'[1]Table S6'!$A:$AI,5,FALSE)</f>
        <v>#N/A</v>
      </c>
      <c r="P515" t="e">
        <f>VLOOKUP($J515,'[1]Table S6'!$A:$AI,7,FALSE)</f>
        <v>#N/A</v>
      </c>
      <c r="Q515" t="e">
        <f>VLOOKUP($J515,'[1]Table S6'!$A:$AI,8,FALSE)</f>
        <v>#N/A</v>
      </c>
      <c r="R515" t="e">
        <f>VLOOKUP($J515,'[1]Table S6'!$A:$AI,9,FALSE)</f>
        <v>#N/A</v>
      </c>
      <c r="S515" t="e">
        <f>VLOOKUP($J515,'[1]Table S6'!$A:$AI,10,FALSE)</f>
        <v>#N/A</v>
      </c>
      <c r="U515" t="e">
        <f>VLOOKUP($J515,'[1]Table S6'!$A:$AI,12,FALSE)</f>
        <v>#N/A</v>
      </c>
      <c r="V515" t="e">
        <f>VLOOKUP($J515,'[1]Table S6'!$A:$AI,13,FALSE)</f>
        <v>#N/A</v>
      </c>
      <c r="W515" t="e">
        <f>VLOOKUP($J515,'[1]Table S6'!$A:$AI,14,FALSE)</f>
        <v>#N/A</v>
      </c>
      <c r="X515" t="e">
        <f>VLOOKUP($J515,'[1]Table S6'!$A:$AI,15,FALSE)</f>
        <v>#N/A</v>
      </c>
      <c r="Z515" t="e">
        <f>VLOOKUP($J515,'[1]Table S6'!$A:$AI,17,FALSE)</f>
        <v>#N/A</v>
      </c>
      <c r="AA515" t="e">
        <f>VLOOKUP($J515,'[1]Table S6'!$A:$AI,18,FALSE)</f>
        <v>#N/A</v>
      </c>
      <c r="AB515" t="e">
        <f>VLOOKUP($J515,'[1]Table S6'!$A:$AI,19,FALSE)</f>
        <v>#N/A</v>
      </c>
      <c r="AC515" t="e">
        <f>VLOOKUP($J515,'[1]Table S6'!$A:$AI,20,FALSE)</f>
        <v>#N/A</v>
      </c>
      <c r="AE515" t="e">
        <f>VLOOKUP($J515,'[1]Table S6'!$A:$AI,22,FALSE)</f>
        <v>#N/A</v>
      </c>
      <c r="AF515" t="e">
        <f>VLOOKUP($J515,'[1]Table S6'!$A:$AI,23,FALSE)</f>
        <v>#N/A</v>
      </c>
      <c r="AG515" t="e">
        <f>VLOOKUP($J515,'[1]Table S6'!$A:$AI,24,FALSE)</f>
        <v>#N/A</v>
      </c>
      <c r="AH515" t="e">
        <f>VLOOKUP($J515,'[1]Table S6'!$A:$AI,25,FALSE)</f>
        <v>#N/A</v>
      </c>
      <c r="AJ515" t="e">
        <f>VLOOKUP($J515,'[1]Table S6'!$A:$AI,27,FALSE)</f>
        <v>#N/A</v>
      </c>
      <c r="AK515" t="e">
        <f>VLOOKUP($J515,'[1]Table S6'!$A:$AI,28,FALSE)</f>
        <v>#N/A</v>
      </c>
      <c r="AL515" t="e">
        <f>VLOOKUP($J515,'[1]Table S6'!$A:$AI,29,FALSE)</f>
        <v>#N/A</v>
      </c>
      <c r="AM515" t="e">
        <f>VLOOKUP($J515,'[1]Table S6'!$A:$AI,30,FALSE)</f>
        <v>#N/A</v>
      </c>
      <c r="AO515" t="e">
        <f>VLOOKUP($J515,'[1]Table S6'!$A:$AI,32,FALSE)</f>
        <v>#N/A</v>
      </c>
      <c r="AP515" t="e">
        <f>VLOOKUP($J515,'[1]Table S6'!$A:$AI,33,FALSE)</f>
        <v>#N/A</v>
      </c>
      <c r="AQ515" t="e">
        <f>VLOOKUP($J515,'[1]Table S6'!$A:$AI,34,FALSE)</f>
        <v>#N/A</v>
      </c>
      <c r="AR515" t="e">
        <f>VLOOKUP($J515,'[1]Table S6'!$A:$AI,35,FALSE)</f>
        <v>#N/A</v>
      </c>
      <c r="AT515" t="str">
        <f>VLOOKUP($I515,'[2]Table S5'!$A:$K,8,FALSE)</f>
        <v>Resistant</v>
      </c>
      <c r="AU515" t="str">
        <f>VLOOKUP($I515,'[2]Table S5'!$A:$K,9,FALSE)</f>
        <v>Resistant</v>
      </c>
      <c r="AV515" t="str">
        <f>VLOOKUP($I515,'[2]Table S5'!$A:$K,10,FALSE)</f>
        <v>Resistant</v>
      </c>
      <c r="AW515" t="str">
        <f>VLOOKUP($I515,'[2]Table S5'!$A:$K,11,FALSE)</f>
        <v>Resistant</v>
      </c>
    </row>
    <row r="516" spans="1:49">
      <c r="A516" s="12" t="s">
        <v>3287</v>
      </c>
      <c r="B516" t="s">
        <v>3288</v>
      </c>
      <c r="C516" t="s">
        <v>3289</v>
      </c>
      <c r="D516" t="s">
        <v>17</v>
      </c>
      <c r="E516" t="s">
        <v>3290</v>
      </c>
      <c r="F516" s="12" t="s">
        <v>3291</v>
      </c>
      <c r="G516" t="s">
        <v>3292</v>
      </c>
      <c r="H516" t="s">
        <v>3293</v>
      </c>
      <c r="I516" t="s">
        <v>1439</v>
      </c>
      <c r="J516" t="s">
        <v>1439</v>
      </c>
      <c r="K516" t="e">
        <f>VLOOKUP($J516,'[1]Table S6'!$A:$AI,2,FALSE)</f>
        <v>#N/A</v>
      </c>
      <c r="L516" t="e">
        <f>VLOOKUP($J516,'[1]Table S6'!$A:$AI,3,FALSE)</f>
        <v>#N/A</v>
      </c>
      <c r="M516" t="e">
        <f>VLOOKUP($J516,'[1]Table S6'!$A:$AI,4,FALSE)</f>
        <v>#N/A</v>
      </c>
      <c r="N516" t="e">
        <f>VLOOKUP($J516,'[1]Table S6'!$A:$AI,5,FALSE)</f>
        <v>#N/A</v>
      </c>
      <c r="P516" t="e">
        <f>VLOOKUP($J516,'[1]Table S6'!$A:$AI,7,FALSE)</f>
        <v>#N/A</v>
      </c>
      <c r="Q516" t="e">
        <f>VLOOKUP($J516,'[1]Table S6'!$A:$AI,8,FALSE)</f>
        <v>#N/A</v>
      </c>
      <c r="R516" t="e">
        <f>VLOOKUP($J516,'[1]Table S6'!$A:$AI,9,FALSE)</f>
        <v>#N/A</v>
      </c>
      <c r="S516" t="e">
        <f>VLOOKUP($J516,'[1]Table S6'!$A:$AI,10,FALSE)</f>
        <v>#N/A</v>
      </c>
      <c r="U516" t="e">
        <f>VLOOKUP($J516,'[1]Table S6'!$A:$AI,12,FALSE)</f>
        <v>#N/A</v>
      </c>
      <c r="V516" t="e">
        <f>VLOOKUP($J516,'[1]Table S6'!$A:$AI,13,FALSE)</f>
        <v>#N/A</v>
      </c>
      <c r="W516" t="e">
        <f>VLOOKUP($J516,'[1]Table S6'!$A:$AI,14,FALSE)</f>
        <v>#N/A</v>
      </c>
      <c r="X516" t="e">
        <f>VLOOKUP($J516,'[1]Table S6'!$A:$AI,15,FALSE)</f>
        <v>#N/A</v>
      </c>
      <c r="Z516" t="e">
        <f>VLOOKUP($J516,'[1]Table S6'!$A:$AI,17,FALSE)</f>
        <v>#N/A</v>
      </c>
      <c r="AA516" t="e">
        <f>VLOOKUP($J516,'[1]Table S6'!$A:$AI,18,FALSE)</f>
        <v>#N/A</v>
      </c>
      <c r="AB516" t="e">
        <f>VLOOKUP($J516,'[1]Table S6'!$A:$AI,19,FALSE)</f>
        <v>#N/A</v>
      </c>
      <c r="AC516" t="e">
        <f>VLOOKUP($J516,'[1]Table S6'!$A:$AI,20,FALSE)</f>
        <v>#N/A</v>
      </c>
      <c r="AE516" t="e">
        <f>VLOOKUP($J516,'[1]Table S6'!$A:$AI,22,FALSE)</f>
        <v>#N/A</v>
      </c>
      <c r="AF516" t="e">
        <f>VLOOKUP($J516,'[1]Table S6'!$A:$AI,23,FALSE)</f>
        <v>#N/A</v>
      </c>
      <c r="AG516" t="e">
        <f>VLOOKUP($J516,'[1]Table S6'!$A:$AI,24,FALSE)</f>
        <v>#N/A</v>
      </c>
      <c r="AH516" t="e">
        <f>VLOOKUP($J516,'[1]Table S6'!$A:$AI,25,FALSE)</f>
        <v>#N/A</v>
      </c>
      <c r="AJ516" t="e">
        <f>VLOOKUP($J516,'[1]Table S6'!$A:$AI,27,FALSE)</f>
        <v>#N/A</v>
      </c>
      <c r="AK516" t="e">
        <f>VLOOKUP($J516,'[1]Table S6'!$A:$AI,28,FALSE)</f>
        <v>#N/A</v>
      </c>
      <c r="AL516" t="e">
        <f>VLOOKUP($J516,'[1]Table S6'!$A:$AI,29,FALSE)</f>
        <v>#N/A</v>
      </c>
      <c r="AM516" t="e">
        <f>VLOOKUP($J516,'[1]Table S6'!$A:$AI,30,FALSE)</f>
        <v>#N/A</v>
      </c>
      <c r="AO516" t="e">
        <f>VLOOKUP($J516,'[1]Table S6'!$A:$AI,32,FALSE)</f>
        <v>#N/A</v>
      </c>
      <c r="AP516" t="e">
        <f>VLOOKUP($J516,'[1]Table S6'!$A:$AI,33,FALSE)</f>
        <v>#N/A</v>
      </c>
      <c r="AQ516" t="e">
        <f>VLOOKUP($J516,'[1]Table S6'!$A:$AI,34,FALSE)</f>
        <v>#N/A</v>
      </c>
      <c r="AR516" t="e">
        <f>VLOOKUP($J516,'[1]Table S6'!$A:$AI,35,FALSE)</f>
        <v>#N/A</v>
      </c>
      <c r="AT516" t="str">
        <f>VLOOKUP($I516,'[2]Table S5'!$A:$K,8,FALSE)</f>
        <v>Resistant</v>
      </c>
      <c r="AU516" t="str">
        <f>VLOOKUP($I516,'[2]Table S5'!$A:$K,9,FALSE)</f>
        <v>Resistant</v>
      </c>
      <c r="AV516" t="str">
        <f>VLOOKUP($I516,'[2]Table S5'!$A:$K,10,FALSE)</f>
        <v>Resistant</v>
      </c>
      <c r="AW516" t="str">
        <f>VLOOKUP($I516,'[2]Table S5'!$A:$K,11,FALSE)</f>
        <v>Resistant</v>
      </c>
    </row>
    <row r="517" spans="1:49">
      <c r="A517" s="12" t="s">
        <v>3294</v>
      </c>
      <c r="B517" t="s">
        <v>3295</v>
      </c>
      <c r="C517" t="s">
        <v>3296</v>
      </c>
      <c r="D517" t="s">
        <v>17</v>
      </c>
      <c r="E517" t="s">
        <v>1443</v>
      </c>
      <c r="F517" s="12" t="s">
        <v>1444</v>
      </c>
      <c r="G517" t="s">
        <v>1445</v>
      </c>
      <c r="H517" t="s">
        <v>1446</v>
      </c>
      <c r="I517" t="s">
        <v>1439</v>
      </c>
      <c r="J517" t="s">
        <v>1447</v>
      </c>
      <c r="K517">
        <f>VLOOKUP($J517,'[1]Table S6'!$A:$AI,2,FALSE)</f>
        <v>276.5</v>
      </c>
      <c r="L517">
        <f>VLOOKUP($J517,'[1]Table S6'!$A:$AI,3,FALSE)</f>
        <v>0.58842306873802896</v>
      </c>
      <c r="M517">
        <f>VLOOKUP($J517,'[1]Table S6'!$A:$AI,4,FALSE)</f>
        <v>0.75770000000000004</v>
      </c>
      <c r="N517" t="str">
        <f>VLOOKUP($J517,'[1]Table S6'!$A:$AI,5,FALSE)</f>
        <v>Yes</v>
      </c>
      <c r="P517">
        <f>VLOOKUP($J517,'[1]Table S6'!$A:$AI,7,FALSE)</f>
        <v>390.5</v>
      </c>
      <c r="Q517">
        <f>VLOOKUP($J517,'[1]Table S6'!$A:$AI,8,FALSE)</f>
        <v>0.831027878271973</v>
      </c>
      <c r="R517">
        <f>VLOOKUP($J517,'[1]Table S6'!$A:$AI,9,FALSE)</f>
        <v>21.43</v>
      </c>
      <c r="S517" t="str">
        <f>VLOOKUP($J517,'[1]Table S6'!$A:$AI,10,FALSE)</f>
        <v>No</v>
      </c>
      <c r="U517">
        <f>VLOOKUP($J517,'[1]Table S6'!$A:$AI,12,FALSE)</f>
        <v>382.4</v>
      </c>
      <c r="V517">
        <f>VLOOKUP($J517,'[1]Table S6'!$A:$AI,13,FALSE)</f>
        <v>0.81379016812087701</v>
      </c>
      <c r="W517">
        <f>VLOOKUP($J517,'[1]Table S6'!$A:$AI,14,FALSE)</f>
        <v>13.99</v>
      </c>
      <c r="X517" t="str">
        <f>VLOOKUP($J517,'[1]Table S6'!$A:$AI,15,FALSE)</f>
        <v>No</v>
      </c>
      <c r="Z517">
        <f>VLOOKUP($J517,'[1]Table S6'!$A:$AI,17,FALSE)</f>
        <v>401.6</v>
      </c>
      <c r="AA517">
        <f>VLOOKUP($J517,'[1]Table S6'!$A:$AI,18,FALSE)</f>
        <v>0.854649925516067</v>
      </c>
      <c r="AB517">
        <f>VLOOKUP($J517,'[1]Table S6'!$A:$AI,19,FALSE)</f>
        <v>35.43</v>
      </c>
      <c r="AC517" t="str">
        <f>VLOOKUP($J517,'[1]Table S6'!$A:$AI,20,FALSE)</f>
        <v>No</v>
      </c>
      <c r="AE517">
        <f>VLOOKUP($J517,'[1]Table S6'!$A:$AI,22,FALSE)</f>
        <v>340.8</v>
      </c>
      <c r="AF517">
        <f>VLOOKUP($J517,'[1]Table S6'!$A:$AI,23,FALSE)</f>
        <v>0.72526069376463098</v>
      </c>
      <c r="AG517">
        <f>VLOOKUP($J517,'[1]Table S6'!$A:$AI,24,FALSE)</f>
        <v>8.0120000000000005</v>
      </c>
      <c r="AH517" t="str">
        <f>VLOOKUP($J517,'[1]Table S6'!$A:$AI,25,FALSE)</f>
        <v>No</v>
      </c>
      <c r="AJ517">
        <f>VLOOKUP($J517,'[1]Table S6'!$A:$AI,27,FALSE)</f>
        <v>423.9</v>
      </c>
      <c r="AK517">
        <f>VLOOKUP($J517,'[1]Table S6'!$A:$AI,28,FALSE)</f>
        <v>0.90210683124068902</v>
      </c>
      <c r="AL517">
        <f>VLOOKUP($J517,'[1]Table S6'!$A:$AI,29,FALSE)</f>
        <v>87.84</v>
      </c>
      <c r="AM517" t="str">
        <f>VLOOKUP($J517,'[1]Table S6'!$A:$AI,30,FALSE)</f>
        <v>No</v>
      </c>
      <c r="AO517">
        <f>VLOOKUP($J517,'[1]Table S6'!$A:$AI,32,FALSE)</f>
        <v>381.5</v>
      </c>
      <c r="AP517">
        <f>VLOOKUP($J517,'[1]Table S6'!$A:$AI,33,FALSE)</f>
        <v>0.81187486699297695</v>
      </c>
      <c r="AQ517">
        <f>VLOOKUP($J517,'[1]Table S6'!$A:$AI,34,FALSE)</f>
        <v>38.76</v>
      </c>
      <c r="AR517" t="str">
        <f>VLOOKUP($J517,'[1]Table S6'!$A:$AI,35,FALSE)</f>
        <v>No</v>
      </c>
      <c r="AT517" t="str">
        <f>VLOOKUP($I517,'[2]Table S5'!$A:$K,8,FALSE)</f>
        <v>Resistant</v>
      </c>
      <c r="AU517" t="str">
        <f>VLOOKUP($I517,'[2]Table S5'!$A:$K,9,FALSE)</f>
        <v>Resistant</v>
      </c>
      <c r="AV517" t="str">
        <f>VLOOKUP($I517,'[2]Table S5'!$A:$K,10,FALSE)</f>
        <v>Resistant</v>
      </c>
      <c r="AW517" t="str">
        <f>VLOOKUP($I517,'[2]Table S5'!$A:$K,11,FALSE)</f>
        <v>Resistant</v>
      </c>
    </row>
    <row r="518" spans="1:49">
      <c r="A518" s="12" t="s">
        <v>3297</v>
      </c>
      <c r="B518" t="s">
        <v>3298</v>
      </c>
      <c r="C518" t="s">
        <v>3299</v>
      </c>
      <c r="D518" t="s">
        <v>17</v>
      </c>
      <c r="E518" t="s">
        <v>1451</v>
      </c>
      <c r="F518" s="12" t="s">
        <v>1452</v>
      </c>
      <c r="G518" t="s">
        <v>1453</v>
      </c>
      <c r="H518" t="s">
        <v>1454</v>
      </c>
      <c r="I518" t="s">
        <v>1439</v>
      </c>
      <c r="J518" t="s">
        <v>1455</v>
      </c>
      <c r="K518">
        <f>VLOOKUP($J518,'[1]Table S6'!$A:$AI,2,FALSE)</f>
        <v>262.3</v>
      </c>
      <c r="L518">
        <f>VLOOKUP($J518,'[1]Table S6'!$A:$AI,3,FALSE)</f>
        <v>0.55820387316450304</v>
      </c>
      <c r="M518">
        <f>VLOOKUP($J518,'[1]Table S6'!$A:$AI,4,FALSE)</f>
        <v>0.56269999999999998</v>
      </c>
      <c r="N518" t="str">
        <f>VLOOKUP($J518,'[1]Table S6'!$A:$AI,5,FALSE)</f>
        <v>Yes</v>
      </c>
      <c r="P518">
        <f>VLOOKUP($J518,'[1]Table S6'!$A:$AI,7,FALSE)</f>
        <v>406.6</v>
      </c>
      <c r="Q518">
        <f>VLOOKUP($J518,'[1]Table S6'!$A:$AI,8,FALSE)</f>
        <v>0.86529048733773195</v>
      </c>
      <c r="R518">
        <f>VLOOKUP($J518,'[1]Table S6'!$A:$AI,9,FALSE)</f>
        <v>34.869999999999997</v>
      </c>
      <c r="S518" t="str">
        <f>VLOOKUP($J518,'[1]Table S6'!$A:$AI,10,FALSE)</f>
        <v>No</v>
      </c>
      <c r="U518">
        <f>VLOOKUP($J518,'[1]Table S6'!$A:$AI,12,FALSE)</f>
        <v>321.39999999999998</v>
      </c>
      <c r="V518">
        <f>VLOOKUP($J518,'[1]Table S6'!$A:$AI,13,FALSE)</f>
        <v>0.68397531389657396</v>
      </c>
      <c r="W518">
        <f>VLOOKUP($J518,'[1]Table S6'!$A:$AI,14,FALSE)</f>
        <v>2.4630000000000001</v>
      </c>
      <c r="X518" t="str">
        <f>VLOOKUP($J518,'[1]Table S6'!$A:$AI,15,FALSE)</f>
        <v>Yes</v>
      </c>
      <c r="Z518">
        <f>VLOOKUP($J518,'[1]Table S6'!$A:$AI,17,FALSE)</f>
        <v>390.5</v>
      </c>
      <c r="AA518">
        <f>VLOOKUP($J518,'[1]Table S6'!$A:$AI,18,FALSE)</f>
        <v>0.831027878271973</v>
      </c>
      <c r="AB518">
        <f>VLOOKUP($J518,'[1]Table S6'!$A:$AI,19,FALSE)</f>
        <v>20.55</v>
      </c>
      <c r="AC518" t="str">
        <f>VLOOKUP($J518,'[1]Table S6'!$A:$AI,20,FALSE)</f>
        <v>No</v>
      </c>
      <c r="AE518">
        <f>VLOOKUP($J518,'[1]Table S6'!$A:$AI,22,FALSE)</f>
        <v>359.8</v>
      </c>
      <c r="AF518">
        <f>VLOOKUP($J518,'[1]Table S6'!$A:$AI,23,FALSE)</f>
        <v>0.76569482868695504</v>
      </c>
      <c r="AG518">
        <f>VLOOKUP($J518,'[1]Table S6'!$A:$AI,24,FALSE)</f>
        <v>9.4489999999999998</v>
      </c>
      <c r="AH518" t="str">
        <f>VLOOKUP($J518,'[1]Table S6'!$A:$AI,25,FALSE)</f>
        <v>No</v>
      </c>
      <c r="AJ518">
        <f>VLOOKUP($J518,'[1]Table S6'!$A:$AI,27,FALSE)</f>
        <v>393.8</v>
      </c>
      <c r="AK518">
        <f>VLOOKUP($J518,'[1]Table S6'!$A:$AI,28,FALSE)</f>
        <v>0.83805064907427096</v>
      </c>
      <c r="AL518">
        <f>VLOOKUP($J518,'[1]Table S6'!$A:$AI,29,FALSE)</f>
        <v>22.88</v>
      </c>
      <c r="AM518" t="str">
        <f>VLOOKUP($J518,'[1]Table S6'!$A:$AI,30,FALSE)</f>
        <v>No</v>
      </c>
      <c r="AO518">
        <f>VLOOKUP($J518,'[1]Table S6'!$A:$AI,32,FALSE)</f>
        <v>373.9</v>
      </c>
      <c r="AP518">
        <f>VLOOKUP($J518,'[1]Table S6'!$A:$AI,33,FALSE)</f>
        <v>0.79570121302404795</v>
      </c>
      <c r="AQ518">
        <f>VLOOKUP($J518,'[1]Table S6'!$A:$AI,34,FALSE)</f>
        <v>64.62</v>
      </c>
      <c r="AR518" t="str">
        <f>VLOOKUP($J518,'[1]Table S6'!$A:$AI,35,FALSE)</f>
        <v>No</v>
      </c>
      <c r="AT518" t="str">
        <f>VLOOKUP($I518,'[2]Table S5'!$A:$K,8,FALSE)</f>
        <v>Resistant</v>
      </c>
      <c r="AU518" t="str">
        <f>VLOOKUP($I518,'[2]Table S5'!$A:$K,9,FALSE)</f>
        <v>Resistant</v>
      </c>
      <c r="AV518" t="str">
        <f>VLOOKUP($I518,'[2]Table S5'!$A:$K,10,FALSE)</f>
        <v>Resistant</v>
      </c>
      <c r="AW518" t="str">
        <f>VLOOKUP($I518,'[2]Table S5'!$A:$K,11,FALSE)</f>
        <v>Resistant</v>
      </c>
    </row>
    <row r="519" spans="1:49">
      <c r="A519" s="12" t="s">
        <v>3300</v>
      </c>
      <c r="B519" t="s">
        <v>3301</v>
      </c>
      <c r="C519" t="s">
        <v>3302</v>
      </c>
      <c r="D519" t="s">
        <v>17</v>
      </c>
      <c r="E519" t="s">
        <v>1459</v>
      </c>
      <c r="F519" s="12" t="s">
        <v>1460</v>
      </c>
      <c r="G519" t="s">
        <v>1461</v>
      </c>
      <c r="H519" t="s">
        <v>1462</v>
      </c>
      <c r="I519" t="s">
        <v>1439</v>
      </c>
      <c r="J519" t="s">
        <v>1447</v>
      </c>
      <c r="K519">
        <f>VLOOKUP($J519,'[1]Table S6'!$A:$AI,2,FALSE)</f>
        <v>276.5</v>
      </c>
      <c r="L519">
        <f>VLOOKUP($J519,'[1]Table S6'!$A:$AI,3,FALSE)</f>
        <v>0.58842306873802896</v>
      </c>
      <c r="M519">
        <f>VLOOKUP($J519,'[1]Table S6'!$A:$AI,4,FALSE)</f>
        <v>0.75770000000000004</v>
      </c>
      <c r="N519" t="str">
        <f>VLOOKUP($J519,'[1]Table S6'!$A:$AI,5,FALSE)</f>
        <v>Yes</v>
      </c>
      <c r="P519">
        <f>VLOOKUP($J519,'[1]Table S6'!$A:$AI,7,FALSE)</f>
        <v>390.5</v>
      </c>
      <c r="Q519">
        <f>VLOOKUP($J519,'[1]Table S6'!$A:$AI,8,FALSE)</f>
        <v>0.831027878271973</v>
      </c>
      <c r="R519">
        <f>VLOOKUP($J519,'[1]Table S6'!$A:$AI,9,FALSE)</f>
        <v>21.43</v>
      </c>
      <c r="S519" t="str">
        <f>VLOOKUP($J519,'[1]Table S6'!$A:$AI,10,FALSE)</f>
        <v>No</v>
      </c>
      <c r="U519">
        <f>VLOOKUP($J519,'[1]Table S6'!$A:$AI,12,FALSE)</f>
        <v>382.4</v>
      </c>
      <c r="V519">
        <f>VLOOKUP($J519,'[1]Table S6'!$A:$AI,13,FALSE)</f>
        <v>0.81379016812087701</v>
      </c>
      <c r="W519">
        <f>VLOOKUP($J519,'[1]Table S6'!$A:$AI,14,FALSE)</f>
        <v>13.99</v>
      </c>
      <c r="X519" t="str">
        <f>VLOOKUP($J519,'[1]Table S6'!$A:$AI,15,FALSE)</f>
        <v>No</v>
      </c>
      <c r="Z519">
        <f>VLOOKUP($J519,'[1]Table S6'!$A:$AI,17,FALSE)</f>
        <v>401.6</v>
      </c>
      <c r="AA519">
        <f>VLOOKUP($J519,'[1]Table S6'!$A:$AI,18,FALSE)</f>
        <v>0.854649925516067</v>
      </c>
      <c r="AB519">
        <f>VLOOKUP($J519,'[1]Table S6'!$A:$AI,19,FALSE)</f>
        <v>35.43</v>
      </c>
      <c r="AC519" t="str">
        <f>VLOOKUP($J519,'[1]Table S6'!$A:$AI,20,FALSE)</f>
        <v>No</v>
      </c>
      <c r="AE519">
        <f>VLOOKUP($J519,'[1]Table S6'!$A:$AI,22,FALSE)</f>
        <v>340.8</v>
      </c>
      <c r="AF519">
        <f>VLOOKUP($J519,'[1]Table S6'!$A:$AI,23,FALSE)</f>
        <v>0.72526069376463098</v>
      </c>
      <c r="AG519">
        <f>VLOOKUP($J519,'[1]Table S6'!$A:$AI,24,FALSE)</f>
        <v>8.0120000000000005</v>
      </c>
      <c r="AH519" t="str">
        <f>VLOOKUP($J519,'[1]Table S6'!$A:$AI,25,FALSE)</f>
        <v>No</v>
      </c>
      <c r="AJ519">
        <f>VLOOKUP($J519,'[1]Table S6'!$A:$AI,27,FALSE)</f>
        <v>423.9</v>
      </c>
      <c r="AK519">
        <f>VLOOKUP($J519,'[1]Table S6'!$A:$AI,28,FALSE)</f>
        <v>0.90210683124068902</v>
      </c>
      <c r="AL519">
        <f>VLOOKUP($J519,'[1]Table S6'!$A:$AI,29,FALSE)</f>
        <v>87.84</v>
      </c>
      <c r="AM519" t="str">
        <f>VLOOKUP($J519,'[1]Table S6'!$A:$AI,30,FALSE)</f>
        <v>No</v>
      </c>
      <c r="AO519">
        <f>VLOOKUP($J519,'[1]Table S6'!$A:$AI,32,FALSE)</f>
        <v>381.5</v>
      </c>
      <c r="AP519">
        <f>VLOOKUP($J519,'[1]Table S6'!$A:$AI,33,FALSE)</f>
        <v>0.81187486699297695</v>
      </c>
      <c r="AQ519">
        <f>VLOOKUP($J519,'[1]Table S6'!$A:$AI,34,FALSE)</f>
        <v>38.76</v>
      </c>
      <c r="AR519" t="str">
        <f>VLOOKUP($J519,'[1]Table S6'!$A:$AI,35,FALSE)</f>
        <v>No</v>
      </c>
      <c r="AT519" t="str">
        <f>VLOOKUP($I519,'[2]Table S5'!$A:$K,8,FALSE)</f>
        <v>Resistant</v>
      </c>
      <c r="AU519" t="str">
        <f>VLOOKUP($I519,'[2]Table S5'!$A:$K,9,FALSE)</f>
        <v>Resistant</v>
      </c>
      <c r="AV519" t="str">
        <f>VLOOKUP($I519,'[2]Table S5'!$A:$K,10,FALSE)</f>
        <v>Resistant</v>
      </c>
      <c r="AW519" t="str">
        <f>VLOOKUP($I519,'[2]Table S5'!$A:$K,11,FALSE)</f>
        <v>Resistant</v>
      </c>
    </row>
    <row r="520" spans="1:49">
      <c r="A520" s="12" t="s">
        <v>3303</v>
      </c>
      <c r="B520" t="s">
        <v>3304</v>
      </c>
      <c r="C520" t="s">
        <v>3305</v>
      </c>
      <c r="D520" t="s">
        <v>17</v>
      </c>
      <c r="E520" t="s">
        <v>1466</v>
      </c>
      <c r="F520" s="12" t="s">
        <v>1467</v>
      </c>
      <c r="G520" t="s">
        <v>1468</v>
      </c>
      <c r="H520" t="s">
        <v>1469</v>
      </c>
      <c r="I520" t="s">
        <v>1439</v>
      </c>
      <c r="J520" t="s">
        <v>1455</v>
      </c>
      <c r="K520">
        <f>VLOOKUP($J520,'[1]Table S6'!$A:$AI,2,FALSE)</f>
        <v>262.3</v>
      </c>
      <c r="L520">
        <f>VLOOKUP($J520,'[1]Table S6'!$A:$AI,3,FALSE)</f>
        <v>0.55820387316450304</v>
      </c>
      <c r="M520">
        <f>VLOOKUP($J520,'[1]Table S6'!$A:$AI,4,FALSE)</f>
        <v>0.56269999999999998</v>
      </c>
      <c r="N520" t="str">
        <f>VLOOKUP($J520,'[1]Table S6'!$A:$AI,5,FALSE)</f>
        <v>Yes</v>
      </c>
      <c r="P520">
        <f>VLOOKUP($J520,'[1]Table S6'!$A:$AI,7,FALSE)</f>
        <v>406.6</v>
      </c>
      <c r="Q520">
        <f>VLOOKUP($J520,'[1]Table S6'!$A:$AI,8,FALSE)</f>
        <v>0.86529048733773195</v>
      </c>
      <c r="R520">
        <f>VLOOKUP($J520,'[1]Table S6'!$A:$AI,9,FALSE)</f>
        <v>34.869999999999997</v>
      </c>
      <c r="S520" t="str">
        <f>VLOOKUP($J520,'[1]Table S6'!$A:$AI,10,FALSE)</f>
        <v>No</v>
      </c>
      <c r="U520">
        <f>VLOOKUP($J520,'[1]Table S6'!$A:$AI,12,FALSE)</f>
        <v>321.39999999999998</v>
      </c>
      <c r="V520">
        <f>VLOOKUP($J520,'[1]Table S6'!$A:$AI,13,FALSE)</f>
        <v>0.68397531389657396</v>
      </c>
      <c r="W520">
        <f>VLOOKUP($J520,'[1]Table S6'!$A:$AI,14,FALSE)</f>
        <v>2.4630000000000001</v>
      </c>
      <c r="X520" t="str">
        <f>VLOOKUP($J520,'[1]Table S6'!$A:$AI,15,FALSE)</f>
        <v>Yes</v>
      </c>
      <c r="Z520">
        <f>VLOOKUP($J520,'[1]Table S6'!$A:$AI,17,FALSE)</f>
        <v>390.5</v>
      </c>
      <c r="AA520">
        <f>VLOOKUP($J520,'[1]Table S6'!$A:$AI,18,FALSE)</f>
        <v>0.831027878271973</v>
      </c>
      <c r="AB520">
        <f>VLOOKUP($J520,'[1]Table S6'!$A:$AI,19,FALSE)</f>
        <v>20.55</v>
      </c>
      <c r="AC520" t="str">
        <f>VLOOKUP($J520,'[1]Table S6'!$A:$AI,20,FALSE)</f>
        <v>No</v>
      </c>
      <c r="AE520">
        <f>VLOOKUP($J520,'[1]Table S6'!$A:$AI,22,FALSE)</f>
        <v>359.8</v>
      </c>
      <c r="AF520">
        <f>VLOOKUP($J520,'[1]Table S6'!$A:$AI,23,FALSE)</f>
        <v>0.76569482868695504</v>
      </c>
      <c r="AG520">
        <f>VLOOKUP($J520,'[1]Table S6'!$A:$AI,24,FALSE)</f>
        <v>9.4489999999999998</v>
      </c>
      <c r="AH520" t="str">
        <f>VLOOKUP($J520,'[1]Table S6'!$A:$AI,25,FALSE)</f>
        <v>No</v>
      </c>
      <c r="AJ520">
        <f>VLOOKUP($J520,'[1]Table S6'!$A:$AI,27,FALSE)</f>
        <v>393.8</v>
      </c>
      <c r="AK520">
        <f>VLOOKUP($J520,'[1]Table S6'!$A:$AI,28,FALSE)</f>
        <v>0.83805064907427096</v>
      </c>
      <c r="AL520">
        <f>VLOOKUP($J520,'[1]Table S6'!$A:$AI,29,FALSE)</f>
        <v>22.88</v>
      </c>
      <c r="AM520" t="str">
        <f>VLOOKUP($J520,'[1]Table S6'!$A:$AI,30,FALSE)</f>
        <v>No</v>
      </c>
      <c r="AO520">
        <f>VLOOKUP($J520,'[1]Table S6'!$A:$AI,32,FALSE)</f>
        <v>373.9</v>
      </c>
      <c r="AP520">
        <f>VLOOKUP($J520,'[1]Table S6'!$A:$AI,33,FALSE)</f>
        <v>0.79570121302404795</v>
      </c>
      <c r="AQ520">
        <f>VLOOKUP($J520,'[1]Table S6'!$A:$AI,34,FALSE)</f>
        <v>64.62</v>
      </c>
      <c r="AR520" t="str">
        <f>VLOOKUP($J520,'[1]Table S6'!$A:$AI,35,FALSE)</f>
        <v>No</v>
      </c>
      <c r="AT520" t="str">
        <f>VLOOKUP($I520,'[2]Table S5'!$A:$K,8,FALSE)</f>
        <v>Resistant</v>
      </c>
      <c r="AU520" t="str">
        <f>VLOOKUP($I520,'[2]Table S5'!$A:$K,9,FALSE)</f>
        <v>Resistant</v>
      </c>
      <c r="AV520" t="str">
        <f>VLOOKUP($I520,'[2]Table S5'!$A:$K,10,FALSE)</f>
        <v>Resistant</v>
      </c>
      <c r="AW520" t="str">
        <f>VLOOKUP($I520,'[2]Table S5'!$A:$K,11,FALSE)</f>
        <v>Resistant</v>
      </c>
    </row>
    <row r="521" spans="1:49">
      <c r="A521" s="12" t="s">
        <v>3306</v>
      </c>
      <c r="B521" t="s">
        <v>3307</v>
      </c>
      <c r="C521" t="s">
        <v>3308</v>
      </c>
      <c r="D521" t="s">
        <v>17</v>
      </c>
      <c r="E521" t="s">
        <v>3309</v>
      </c>
      <c r="F521" s="12" t="s">
        <v>3310</v>
      </c>
      <c r="G521" t="s">
        <v>3311</v>
      </c>
      <c r="H521" t="s">
        <v>3312</v>
      </c>
      <c r="I521" t="s">
        <v>1477</v>
      </c>
      <c r="J521" t="s">
        <v>1477</v>
      </c>
      <c r="K521" t="e">
        <f>VLOOKUP($J521,'[1]Table S6'!$A:$AI,2,FALSE)</f>
        <v>#N/A</v>
      </c>
      <c r="L521" t="e">
        <f>VLOOKUP($J521,'[1]Table S6'!$A:$AI,3,FALSE)</f>
        <v>#N/A</v>
      </c>
      <c r="M521" t="e">
        <f>VLOOKUP($J521,'[1]Table S6'!$A:$AI,4,FALSE)</f>
        <v>#N/A</v>
      </c>
      <c r="N521" t="e">
        <f>VLOOKUP($J521,'[1]Table S6'!$A:$AI,5,FALSE)</f>
        <v>#N/A</v>
      </c>
      <c r="P521" t="e">
        <f>VLOOKUP($J521,'[1]Table S6'!$A:$AI,7,FALSE)</f>
        <v>#N/A</v>
      </c>
      <c r="Q521" t="e">
        <f>VLOOKUP($J521,'[1]Table S6'!$A:$AI,8,FALSE)</f>
        <v>#N/A</v>
      </c>
      <c r="R521" t="e">
        <f>VLOOKUP($J521,'[1]Table S6'!$A:$AI,9,FALSE)</f>
        <v>#N/A</v>
      </c>
      <c r="S521" t="e">
        <f>VLOOKUP($J521,'[1]Table S6'!$A:$AI,10,FALSE)</f>
        <v>#N/A</v>
      </c>
      <c r="U521" t="e">
        <f>VLOOKUP($J521,'[1]Table S6'!$A:$AI,12,FALSE)</f>
        <v>#N/A</v>
      </c>
      <c r="V521" t="e">
        <f>VLOOKUP($J521,'[1]Table S6'!$A:$AI,13,FALSE)</f>
        <v>#N/A</v>
      </c>
      <c r="W521" t="e">
        <f>VLOOKUP($J521,'[1]Table S6'!$A:$AI,14,FALSE)</f>
        <v>#N/A</v>
      </c>
      <c r="X521" t="e">
        <f>VLOOKUP($J521,'[1]Table S6'!$A:$AI,15,FALSE)</f>
        <v>#N/A</v>
      </c>
      <c r="Z521" t="e">
        <f>VLOOKUP($J521,'[1]Table S6'!$A:$AI,17,FALSE)</f>
        <v>#N/A</v>
      </c>
      <c r="AA521" t="e">
        <f>VLOOKUP($J521,'[1]Table S6'!$A:$AI,18,FALSE)</f>
        <v>#N/A</v>
      </c>
      <c r="AB521" t="e">
        <f>VLOOKUP($J521,'[1]Table S6'!$A:$AI,19,FALSE)</f>
        <v>#N/A</v>
      </c>
      <c r="AC521" t="e">
        <f>VLOOKUP($J521,'[1]Table S6'!$A:$AI,20,FALSE)</f>
        <v>#N/A</v>
      </c>
      <c r="AE521" t="e">
        <f>VLOOKUP($J521,'[1]Table S6'!$A:$AI,22,FALSE)</f>
        <v>#N/A</v>
      </c>
      <c r="AF521" t="e">
        <f>VLOOKUP($J521,'[1]Table S6'!$A:$AI,23,FALSE)</f>
        <v>#N/A</v>
      </c>
      <c r="AG521" t="e">
        <f>VLOOKUP($J521,'[1]Table S6'!$A:$AI,24,FALSE)</f>
        <v>#N/A</v>
      </c>
      <c r="AH521" t="e">
        <f>VLOOKUP($J521,'[1]Table S6'!$A:$AI,25,FALSE)</f>
        <v>#N/A</v>
      </c>
      <c r="AJ521" t="e">
        <f>VLOOKUP($J521,'[1]Table S6'!$A:$AI,27,FALSE)</f>
        <v>#N/A</v>
      </c>
      <c r="AK521" t="e">
        <f>VLOOKUP($J521,'[1]Table S6'!$A:$AI,28,FALSE)</f>
        <v>#N/A</v>
      </c>
      <c r="AL521" t="e">
        <f>VLOOKUP($J521,'[1]Table S6'!$A:$AI,29,FALSE)</f>
        <v>#N/A</v>
      </c>
      <c r="AM521" t="e">
        <f>VLOOKUP($J521,'[1]Table S6'!$A:$AI,30,FALSE)</f>
        <v>#N/A</v>
      </c>
      <c r="AO521" t="e">
        <f>VLOOKUP($J521,'[1]Table S6'!$A:$AI,32,FALSE)</f>
        <v>#N/A</v>
      </c>
      <c r="AP521" t="e">
        <f>VLOOKUP($J521,'[1]Table S6'!$A:$AI,33,FALSE)</f>
        <v>#N/A</v>
      </c>
      <c r="AQ521" t="e">
        <f>VLOOKUP($J521,'[1]Table S6'!$A:$AI,34,FALSE)</f>
        <v>#N/A</v>
      </c>
      <c r="AR521" t="e">
        <f>VLOOKUP($J521,'[1]Table S6'!$A:$AI,35,FALSE)</f>
        <v>#N/A</v>
      </c>
      <c r="AT521" t="str">
        <f>VLOOKUP($I521,'[2]Table S5'!$A:$K,8,FALSE)</f>
        <v>Resistant</v>
      </c>
      <c r="AU521" t="str">
        <f>VLOOKUP($I521,'[2]Table S5'!$A:$K,9,FALSE)</f>
        <v>Resistant</v>
      </c>
      <c r="AV521" t="str">
        <f>VLOOKUP($I521,'[2]Table S5'!$A:$K,10,FALSE)</f>
        <v>Resistant</v>
      </c>
      <c r="AW521" t="str">
        <f>VLOOKUP($I521,'[2]Table S5'!$A:$K,11,FALSE)</f>
        <v>Resistant</v>
      </c>
    </row>
    <row r="522" spans="1:49">
      <c r="A522" s="12" t="s">
        <v>3313</v>
      </c>
      <c r="B522" t="s">
        <v>3314</v>
      </c>
      <c r="C522" t="s">
        <v>3315</v>
      </c>
      <c r="D522" t="s">
        <v>17</v>
      </c>
      <c r="E522" t="s">
        <v>3316</v>
      </c>
      <c r="F522" s="12" t="s">
        <v>3317</v>
      </c>
      <c r="G522" t="s">
        <v>3318</v>
      </c>
      <c r="H522" t="s">
        <v>3319</v>
      </c>
      <c r="I522" t="s">
        <v>1477</v>
      </c>
      <c r="J522" t="s">
        <v>1477</v>
      </c>
      <c r="K522" t="e">
        <f>VLOOKUP($J522,'[1]Table S6'!$A:$AI,2,FALSE)</f>
        <v>#N/A</v>
      </c>
      <c r="L522" t="e">
        <f>VLOOKUP($J522,'[1]Table S6'!$A:$AI,3,FALSE)</f>
        <v>#N/A</v>
      </c>
      <c r="M522" t="e">
        <f>VLOOKUP($J522,'[1]Table S6'!$A:$AI,4,FALSE)</f>
        <v>#N/A</v>
      </c>
      <c r="N522" t="e">
        <f>VLOOKUP($J522,'[1]Table S6'!$A:$AI,5,FALSE)</f>
        <v>#N/A</v>
      </c>
      <c r="P522" t="e">
        <f>VLOOKUP($J522,'[1]Table S6'!$A:$AI,7,FALSE)</f>
        <v>#N/A</v>
      </c>
      <c r="Q522" t="e">
        <f>VLOOKUP($J522,'[1]Table S6'!$A:$AI,8,FALSE)</f>
        <v>#N/A</v>
      </c>
      <c r="R522" t="e">
        <f>VLOOKUP($J522,'[1]Table S6'!$A:$AI,9,FALSE)</f>
        <v>#N/A</v>
      </c>
      <c r="S522" t="e">
        <f>VLOOKUP($J522,'[1]Table S6'!$A:$AI,10,FALSE)</f>
        <v>#N/A</v>
      </c>
      <c r="U522" t="e">
        <f>VLOOKUP($J522,'[1]Table S6'!$A:$AI,12,FALSE)</f>
        <v>#N/A</v>
      </c>
      <c r="V522" t="e">
        <f>VLOOKUP($J522,'[1]Table S6'!$A:$AI,13,FALSE)</f>
        <v>#N/A</v>
      </c>
      <c r="W522" t="e">
        <f>VLOOKUP($J522,'[1]Table S6'!$A:$AI,14,FALSE)</f>
        <v>#N/A</v>
      </c>
      <c r="X522" t="e">
        <f>VLOOKUP($J522,'[1]Table S6'!$A:$AI,15,FALSE)</f>
        <v>#N/A</v>
      </c>
      <c r="Z522" t="e">
        <f>VLOOKUP($J522,'[1]Table S6'!$A:$AI,17,FALSE)</f>
        <v>#N/A</v>
      </c>
      <c r="AA522" t="e">
        <f>VLOOKUP($J522,'[1]Table S6'!$A:$AI,18,FALSE)</f>
        <v>#N/A</v>
      </c>
      <c r="AB522" t="e">
        <f>VLOOKUP($J522,'[1]Table S6'!$A:$AI,19,FALSE)</f>
        <v>#N/A</v>
      </c>
      <c r="AC522" t="e">
        <f>VLOOKUP($J522,'[1]Table S6'!$A:$AI,20,FALSE)</f>
        <v>#N/A</v>
      </c>
      <c r="AE522" t="e">
        <f>VLOOKUP($J522,'[1]Table S6'!$A:$AI,22,FALSE)</f>
        <v>#N/A</v>
      </c>
      <c r="AF522" t="e">
        <f>VLOOKUP($J522,'[1]Table S6'!$A:$AI,23,FALSE)</f>
        <v>#N/A</v>
      </c>
      <c r="AG522" t="e">
        <f>VLOOKUP($J522,'[1]Table S6'!$A:$AI,24,FALSE)</f>
        <v>#N/A</v>
      </c>
      <c r="AH522" t="e">
        <f>VLOOKUP($J522,'[1]Table S6'!$A:$AI,25,FALSE)</f>
        <v>#N/A</v>
      </c>
      <c r="AJ522" t="e">
        <f>VLOOKUP($J522,'[1]Table S6'!$A:$AI,27,FALSE)</f>
        <v>#N/A</v>
      </c>
      <c r="AK522" t="e">
        <f>VLOOKUP($J522,'[1]Table S6'!$A:$AI,28,FALSE)</f>
        <v>#N/A</v>
      </c>
      <c r="AL522" t="e">
        <f>VLOOKUP($J522,'[1]Table S6'!$A:$AI,29,FALSE)</f>
        <v>#N/A</v>
      </c>
      <c r="AM522" t="e">
        <f>VLOOKUP($J522,'[1]Table S6'!$A:$AI,30,FALSE)</f>
        <v>#N/A</v>
      </c>
      <c r="AO522" t="e">
        <f>VLOOKUP($J522,'[1]Table S6'!$A:$AI,32,FALSE)</f>
        <v>#N/A</v>
      </c>
      <c r="AP522" t="e">
        <f>VLOOKUP($J522,'[1]Table S6'!$A:$AI,33,FALSE)</f>
        <v>#N/A</v>
      </c>
      <c r="AQ522" t="e">
        <f>VLOOKUP($J522,'[1]Table S6'!$A:$AI,34,FALSE)</f>
        <v>#N/A</v>
      </c>
      <c r="AR522" t="e">
        <f>VLOOKUP($J522,'[1]Table S6'!$A:$AI,35,FALSE)</f>
        <v>#N/A</v>
      </c>
      <c r="AT522" t="str">
        <f>VLOOKUP($I522,'[2]Table S5'!$A:$K,8,FALSE)</f>
        <v>Resistant</v>
      </c>
      <c r="AU522" t="str">
        <f>VLOOKUP($I522,'[2]Table S5'!$A:$K,9,FALSE)</f>
        <v>Resistant</v>
      </c>
      <c r="AV522" t="str">
        <f>VLOOKUP($I522,'[2]Table S5'!$A:$K,10,FALSE)</f>
        <v>Resistant</v>
      </c>
      <c r="AW522" t="str">
        <f>VLOOKUP($I522,'[2]Table S5'!$A:$K,11,FALSE)</f>
        <v>Resistant</v>
      </c>
    </row>
    <row r="523" spans="1:49">
      <c r="A523" s="12" t="s">
        <v>3320</v>
      </c>
      <c r="B523" t="s">
        <v>3321</v>
      </c>
      <c r="C523" t="s">
        <v>3322</v>
      </c>
      <c r="D523" t="s">
        <v>17</v>
      </c>
      <c r="E523" t="s">
        <v>1481</v>
      </c>
      <c r="F523" s="12" t="s">
        <v>1482</v>
      </c>
      <c r="G523" t="s">
        <v>1483</v>
      </c>
      <c r="H523" t="s">
        <v>1484</v>
      </c>
      <c r="I523" t="s">
        <v>1477</v>
      </c>
      <c r="J523" t="s">
        <v>1485</v>
      </c>
      <c r="K523">
        <f>VLOOKUP($J523,'[1]Table S6'!$A:$AI,2,FALSE)</f>
        <v>356.7</v>
      </c>
      <c r="L523">
        <f>VLOOKUP($J523,'[1]Table S6'!$A:$AI,3,FALSE)</f>
        <v>0.75909768035752301</v>
      </c>
      <c r="M523">
        <f>VLOOKUP($J523,'[1]Table S6'!$A:$AI,4,FALSE)</f>
        <v>5.79</v>
      </c>
      <c r="N523" t="str">
        <f>VLOOKUP($J523,'[1]Table S6'!$A:$AI,5,FALSE)</f>
        <v>No</v>
      </c>
      <c r="P523">
        <f>VLOOKUP($J523,'[1]Table S6'!$A:$AI,7,FALSE)</f>
        <v>408.8</v>
      </c>
      <c r="Q523">
        <f>VLOOKUP($J523,'[1]Table S6'!$A:$AI,8,FALSE)</f>
        <v>0.86997233453926404</v>
      </c>
      <c r="R523">
        <f>VLOOKUP($J523,'[1]Table S6'!$A:$AI,9,FALSE)</f>
        <v>40.1</v>
      </c>
      <c r="S523" t="str">
        <f>VLOOKUP($J523,'[1]Table S6'!$A:$AI,10,FALSE)</f>
        <v>No</v>
      </c>
      <c r="U523">
        <f>VLOOKUP($J523,'[1]Table S6'!$A:$AI,12,FALSE)</f>
        <v>423.9</v>
      </c>
      <c r="V523">
        <f>VLOOKUP($J523,'[1]Table S6'!$A:$AI,13,FALSE)</f>
        <v>0.90210683124068902</v>
      </c>
      <c r="W523">
        <f>VLOOKUP($J523,'[1]Table S6'!$A:$AI,14,FALSE)</f>
        <v>34.82</v>
      </c>
      <c r="X523" t="str">
        <f>VLOOKUP($J523,'[1]Table S6'!$A:$AI,15,FALSE)</f>
        <v>No</v>
      </c>
      <c r="Z523">
        <f>VLOOKUP($J523,'[1]Table S6'!$A:$AI,17,FALSE)</f>
        <v>408.2</v>
      </c>
      <c r="AA523">
        <f>VLOOKUP($J523,'[1]Table S6'!$A:$AI,18,FALSE)</f>
        <v>0.86869546712066403</v>
      </c>
      <c r="AB523">
        <f>VLOOKUP($J523,'[1]Table S6'!$A:$AI,19,FALSE)</f>
        <v>26.44</v>
      </c>
      <c r="AC523" t="str">
        <f>VLOOKUP($J523,'[1]Table S6'!$A:$AI,20,FALSE)</f>
        <v>No</v>
      </c>
      <c r="AE523">
        <f>VLOOKUP($J523,'[1]Table S6'!$A:$AI,22,FALSE)</f>
        <v>393.8</v>
      </c>
      <c r="AF523">
        <f>VLOOKUP($J523,'[1]Table S6'!$A:$AI,23,FALSE)</f>
        <v>0.83805064907427096</v>
      </c>
      <c r="AG523">
        <f>VLOOKUP($J523,'[1]Table S6'!$A:$AI,24,FALSE)</f>
        <v>22.98</v>
      </c>
      <c r="AH523" t="str">
        <f>VLOOKUP($J523,'[1]Table S6'!$A:$AI,25,FALSE)</f>
        <v>No</v>
      </c>
      <c r="AJ523">
        <f>VLOOKUP($J523,'[1]Table S6'!$A:$AI,27,FALSE)</f>
        <v>425.9</v>
      </c>
      <c r="AK523">
        <f>VLOOKUP($J523,'[1]Table S6'!$A:$AI,28,FALSE)</f>
        <v>0.90636305596935496</v>
      </c>
      <c r="AL523">
        <f>VLOOKUP($J523,'[1]Table S6'!$A:$AI,29,FALSE)</f>
        <v>91.47</v>
      </c>
      <c r="AM523" t="str">
        <f>VLOOKUP($J523,'[1]Table S6'!$A:$AI,30,FALSE)</f>
        <v>No</v>
      </c>
      <c r="AO523">
        <f>VLOOKUP($J523,'[1]Table S6'!$A:$AI,32,FALSE)</f>
        <v>439.5</v>
      </c>
      <c r="AP523">
        <f>VLOOKUP($J523,'[1]Table S6'!$A:$AI,33,FALSE)</f>
        <v>0.93530538412428199</v>
      </c>
      <c r="AQ523">
        <f>VLOOKUP($J523,'[1]Table S6'!$A:$AI,34,FALSE)</f>
        <v>230.7</v>
      </c>
      <c r="AR523" t="str">
        <f>VLOOKUP($J523,'[1]Table S6'!$A:$AI,35,FALSE)</f>
        <v>No</v>
      </c>
      <c r="AT523" t="str">
        <f>VLOOKUP($I523,'[2]Table S5'!$A:$K,8,FALSE)</f>
        <v>Resistant</v>
      </c>
      <c r="AU523" t="str">
        <f>VLOOKUP($I523,'[2]Table S5'!$A:$K,9,FALSE)</f>
        <v>Resistant</v>
      </c>
      <c r="AV523" t="str">
        <f>VLOOKUP($I523,'[2]Table S5'!$A:$K,10,FALSE)</f>
        <v>Resistant</v>
      </c>
      <c r="AW523" t="str">
        <f>VLOOKUP($I523,'[2]Table S5'!$A:$K,11,FALSE)</f>
        <v>Resistant</v>
      </c>
    </row>
    <row r="524" spans="1:49">
      <c r="A524" s="12" t="s">
        <v>3323</v>
      </c>
      <c r="B524" t="s">
        <v>3324</v>
      </c>
      <c r="C524" t="s">
        <v>3325</v>
      </c>
      <c r="D524" t="s">
        <v>17</v>
      </c>
      <c r="E524" t="s">
        <v>1489</v>
      </c>
      <c r="F524" s="12" t="s">
        <v>1490</v>
      </c>
      <c r="G524" t="s">
        <v>1491</v>
      </c>
      <c r="H524" t="s">
        <v>1492</v>
      </c>
      <c r="I524" t="s">
        <v>1477</v>
      </c>
      <c r="J524" t="s">
        <v>1493</v>
      </c>
      <c r="K524">
        <f>VLOOKUP($J524,'[1]Table S6'!$A:$AI,2,FALSE)</f>
        <v>370.8</v>
      </c>
      <c r="L524">
        <f>VLOOKUP($J524,'[1]Table S6'!$A:$AI,3,FALSE)</f>
        <v>0.78910406469461603</v>
      </c>
      <c r="M524">
        <f>VLOOKUP($J524,'[1]Table S6'!$A:$AI,4,FALSE)</f>
        <v>10.35</v>
      </c>
      <c r="N524" t="str">
        <f>VLOOKUP($J524,'[1]Table S6'!$A:$AI,5,FALSE)</f>
        <v>No</v>
      </c>
      <c r="P524">
        <f>VLOOKUP($J524,'[1]Table S6'!$A:$AI,7,FALSE)</f>
        <v>414.6</v>
      </c>
      <c r="Q524">
        <f>VLOOKUP($J524,'[1]Table S6'!$A:$AI,8,FALSE)</f>
        <v>0.88231538625239403</v>
      </c>
      <c r="R524">
        <f>VLOOKUP($J524,'[1]Table S6'!$A:$AI,9,FALSE)</f>
        <v>57.39</v>
      </c>
      <c r="S524" t="str">
        <f>VLOOKUP($J524,'[1]Table S6'!$A:$AI,10,FALSE)</f>
        <v>No</v>
      </c>
      <c r="U524">
        <f>VLOOKUP($J524,'[1]Table S6'!$A:$AI,12,FALSE)</f>
        <v>409.6</v>
      </c>
      <c r="V524">
        <f>VLOOKUP($J524,'[1]Table S6'!$A:$AI,13,FALSE)</f>
        <v>0.87167482443072997</v>
      </c>
      <c r="W524">
        <f>VLOOKUP($J524,'[1]Table S6'!$A:$AI,14,FALSE)</f>
        <v>27.69</v>
      </c>
      <c r="X524" t="str">
        <f>VLOOKUP($J524,'[1]Table S6'!$A:$AI,15,FALSE)</f>
        <v>No</v>
      </c>
      <c r="Z524">
        <f>VLOOKUP($J524,'[1]Table S6'!$A:$AI,17,FALSE)</f>
        <v>377.6</v>
      </c>
      <c r="AA524">
        <f>VLOOKUP($J524,'[1]Table S6'!$A:$AI,18,FALSE)</f>
        <v>0.80357522877207899</v>
      </c>
      <c r="AB524">
        <f>VLOOKUP($J524,'[1]Table S6'!$A:$AI,19,FALSE)</f>
        <v>15.59</v>
      </c>
      <c r="AC524" t="str">
        <f>VLOOKUP($J524,'[1]Table S6'!$A:$AI,20,FALSE)</f>
        <v>No</v>
      </c>
      <c r="AE524">
        <f>VLOOKUP($J524,'[1]Table S6'!$A:$AI,22,FALSE)</f>
        <v>382.5</v>
      </c>
      <c r="AF524">
        <f>VLOOKUP($J524,'[1]Table S6'!$A:$AI,23,FALSE)</f>
        <v>0.81400297935731003</v>
      </c>
      <c r="AG524">
        <f>VLOOKUP($J524,'[1]Table S6'!$A:$AI,24,FALSE)</f>
        <v>14.86</v>
      </c>
      <c r="AH524" t="str">
        <f>VLOOKUP($J524,'[1]Table S6'!$A:$AI,25,FALSE)</f>
        <v>No</v>
      </c>
      <c r="AJ524">
        <f>VLOOKUP($J524,'[1]Table S6'!$A:$AI,27,FALSE)</f>
        <v>424.5</v>
      </c>
      <c r="AK524">
        <f>VLOOKUP($J524,'[1]Table S6'!$A:$AI,28,FALSE)</f>
        <v>0.90338369865928903</v>
      </c>
      <c r="AL524">
        <f>VLOOKUP($J524,'[1]Table S6'!$A:$AI,29,FALSE)</f>
        <v>81.72</v>
      </c>
      <c r="AM524" t="str">
        <f>VLOOKUP($J524,'[1]Table S6'!$A:$AI,30,FALSE)</f>
        <v>No</v>
      </c>
      <c r="AO524">
        <f>VLOOKUP($J524,'[1]Table S6'!$A:$AI,32,FALSE)</f>
        <v>323.60000000000002</v>
      </c>
      <c r="AP524">
        <f>VLOOKUP($J524,'[1]Table S6'!$A:$AI,33,FALSE)</f>
        <v>0.68865716109810604</v>
      </c>
      <c r="AQ524">
        <f>VLOOKUP($J524,'[1]Table S6'!$A:$AI,34,FALSE)</f>
        <v>2.29</v>
      </c>
      <c r="AR524" t="str">
        <f>VLOOKUP($J524,'[1]Table S6'!$A:$AI,35,FALSE)</f>
        <v>No</v>
      </c>
      <c r="AT524" t="str">
        <f>VLOOKUP($I524,'[2]Table S5'!$A:$K,8,FALSE)</f>
        <v>Resistant</v>
      </c>
      <c r="AU524" t="str">
        <f>VLOOKUP($I524,'[2]Table S5'!$A:$K,9,FALSE)</f>
        <v>Resistant</v>
      </c>
      <c r="AV524" t="str">
        <f>VLOOKUP($I524,'[2]Table S5'!$A:$K,10,FALSE)</f>
        <v>Resistant</v>
      </c>
      <c r="AW524" t="str">
        <f>VLOOKUP($I524,'[2]Table S5'!$A:$K,11,FALSE)</f>
        <v>Resistant</v>
      </c>
    </row>
    <row r="525" spans="1:49">
      <c r="A525" s="12" t="s">
        <v>3326</v>
      </c>
      <c r="B525" t="s">
        <v>3327</v>
      </c>
      <c r="C525" t="s">
        <v>3328</v>
      </c>
      <c r="D525" t="s">
        <v>17</v>
      </c>
      <c r="E525" t="s">
        <v>1497</v>
      </c>
      <c r="F525" s="12" t="s">
        <v>1498</v>
      </c>
      <c r="G525" t="s">
        <v>1499</v>
      </c>
      <c r="H525" t="s">
        <v>1500</v>
      </c>
      <c r="I525" t="s">
        <v>1477</v>
      </c>
      <c r="J525" t="s">
        <v>1501</v>
      </c>
      <c r="K525">
        <f>VLOOKUP($J525,'[1]Table S6'!$A:$AI,2,FALSE)</f>
        <v>398.2</v>
      </c>
      <c r="L525">
        <f>VLOOKUP($J525,'[1]Table S6'!$A:$AI,3,FALSE)</f>
        <v>0.84741434347733602</v>
      </c>
      <c r="M525">
        <f>VLOOKUP($J525,'[1]Table S6'!$A:$AI,4,FALSE)</f>
        <v>19.34</v>
      </c>
      <c r="N525" t="str">
        <f>VLOOKUP($J525,'[1]Table S6'!$A:$AI,5,FALSE)</f>
        <v>No</v>
      </c>
      <c r="P525">
        <f>VLOOKUP($J525,'[1]Table S6'!$A:$AI,7,FALSE)</f>
        <v>418.3</v>
      </c>
      <c r="Q525">
        <f>VLOOKUP($J525,'[1]Table S6'!$A:$AI,8,FALSE)</f>
        <v>0.89018940200042596</v>
      </c>
      <c r="R525">
        <f>VLOOKUP($J525,'[1]Table S6'!$A:$AI,9,FALSE)</f>
        <v>68.099999999999994</v>
      </c>
      <c r="S525" t="str">
        <f>VLOOKUP($J525,'[1]Table S6'!$A:$AI,10,FALSE)</f>
        <v>No</v>
      </c>
      <c r="U525">
        <f>VLOOKUP($J525,'[1]Table S6'!$A:$AI,12,FALSE)</f>
        <v>381.1</v>
      </c>
      <c r="V525">
        <f>VLOOKUP($J525,'[1]Table S6'!$A:$AI,13,FALSE)</f>
        <v>0.81102362204724399</v>
      </c>
      <c r="W525">
        <f>VLOOKUP($J525,'[1]Table S6'!$A:$AI,14,FALSE)</f>
        <v>15.65</v>
      </c>
      <c r="X525" t="str">
        <f>VLOOKUP($J525,'[1]Table S6'!$A:$AI,15,FALSE)</f>
        <v>No</v>
      </c>
      <c r="Z525">
        <f>VLOOKUP($J525,'[1]Table S6'!$A:$AI,17,FALSE)</f>
        <v>392.2</v>
      </c>
      <c r="AA525">
        <f>VLOOKUP($J525,'[1]Table S6'!$A:$AI,18,FALSE)</f>
        <v>0.83464566929133899</v>
      </c>
      <c r="AB525">
        <f>VLOOKUP($J525,'[1]Table S6'!$A:$AI,19,FALSE)</f>
        <v>19.29</v>
      </c>
      <c r="AC525" t="str">
        <f>VLOOKUP($J525,'[1]Table S6'!$A:$AI,20,FALSE)</f>
        <v>No</v>
      </c>
      <c r="AE525">
        <f>VLOOKUP($J525,'[1]Table S6'!$A:$AI,22,FALSE)</f>
        <v>391</v>
      </c>
      <c r="AF525">
        <f>VLOOKUP($J525,'[1]Table S6'!$A:$AI,23,FALSE)</f>
        <v>0.83209193445413898</v>
      </c>
      <c r="AG525">
        <f>VLOOKUP($J525,'[1]Table S6'!$A:$AI,24,FALSE)</f>
        <v>18.09</v>
      </c>
      <c r="AH525" t="str">
        <f>VLOOKUP($J525,'[1]Table S6'!$A:$AI,25,FALSE)</f>
        <v>No</v>
      </c>
      <c r="AJ525">
        <f>VLOOKUP($J525,'[1]Table S6'!$A:$AI,27,FALSE)</f>
        <v>427.2</v>
      </c>
      <c r="AK525">
        <f>VLOOKUP($J525,'[1]Table S6'!$A:$AI,28,FALSE)</f>
        <v>0.90912960204298798</v>
      </c>
      <c r="AL525">
        <f>VLOOKUP($J525,'[1]Table S6'!$A:$AI,29,FALSE)</f>
        <v>132.19999999999999</v>
      </c>
      <c r="AM525" t="str">
        <f>VLOOKUP($J525,'[1]Table S6'!$A:$AI,30,FALSE)</f>
        <v>No</v>
      </c>
      <c r="AO525">
        <f>VLOOKUP($J525,'[1]Table S6'!$A:$AI,32,FALSE)</f>
        <v>329</v>
      </c>
      <c r="AP525">
        <f>VLOOKUP($J525,'[1]Table S6'!$A:$AI,33,FALSE)</f>
        <v>0.70014896786550296</v>
      </c>
      <c r="AQ525">
        <f>VLOOKUP($J525,'[1]Table S6'!$A:$AI,34,FALSE)</f>
        <v>2.1739999999999999</v>
      </c>
      <c r="AR525" t="str">
        <f>VLOOKUP($J525,'[1]Table S6'!$A:$AI,35,FALSE)</f>
        <v>No</v>
      </c>
      <c r="AT525" t="str">
        <f>VLOOKUP($I525,'[2]Table S5'!$A:$K,8,FALSE)</f>
        <v>Resistant</v>
      </c>
      <c r="AU525" t="str">
        <f>VLOOKUP($I525,'[2]Table S5'!$A:$K,9,FALSE)</f>
        <v>Resistant</v>
      </c>
      <c r="AV525" t="str">
        <f>VLOOKUP($I525,'[2]Table S5'!$A:$K,10,FALSE)</f>
        <v>Resistant</v>
      </c>
      <c r="AW525" t="str">
        <f>VLOOKUP($I525,'[2]Table S5'!$A:$K,11,FALSE)</f>
        <v>Resistant</v>
      </c>
    </row>
    <row r="526" spans="1:49">
      <c r="A526" s="12" t="s">
        <v>3329</v>
      </c>
      <c r="B526" t="s">
        <v>3330</v>
      </c>
      <c r="C526" t="s">
        <v>3331</v>
      </c>
      <c r="D526" t="s">
        <v>17</v>
      </c>
      <c r="E526" t="s">
        <v>1505</v>
      </c>
      <c r="F526" s="12" t="s">
        <v>1506</v>
      </c>
      <c r="G526" t="s">
        <v>1507</v>
      </c>
      <c r="H526" t="s">
        <v>1508</v>
      </c>
      <c r="I526" t="s">
        <v>1477</v>
      </c>
      <c r="J526" t="s">
        <v>1485</v>
      </c>
      <c r="K526">
        <f>VLOOKUP($J526,'[1]Table S6'!$A:$AI,2,FALSE)</f>
        <v>356.7</v>
      </c>
      <c r="L526">
        <f>VLOOKUP($J526,'[1]Table S6'!$A:$AI,3,FALSE)</f>
        <v>0.75909768035752301</v>
      </c>
      <c r="M526">
        <f>VLOOKUP($J526,'[1]Table S6'!$A:$AI,4,FALSE)</f>
        <v>5.79</v>
      </c>
      <c r="N526" t="str">
        <f>VLOOKUP($J526,'[1]Table S6'!$A:$AI,5,FALSE)</f>
        <v>No</v>
      </c>
      <c r="P526">
        <f>VLOOKUP($J526,'[1]Table S6'!$A:$AI,7,FALSE)</f>
        <v>408.8</v>
      </c>
      <c r="Q526">
        <f>VLOOKUP($J526,'[1]Table S6'!$A:$AI,8,FALSE)</f>
        <v>0.86997233453926404</v>
      </c>
      <c r="R526">
        <f>VLOOKUP($J526,'[1]Table S6'!$A:$AI,9,FALSE)</f>
        <v>40.1</v>
      </c>
      <c r="S526" t="str">
        <f>VLOOKUP($J526,'[1]Table S6'!$A:$AI,10,FALSE)</f>
        <v>No</v>
      </c>
      <c r="U526">
        <f>VLOOKUP($J526,'[1]Table S6'!$A:$AI,12,FALSE)</f>
        <v>423.9</v>
      </c>
      <c r="V526">
        <f>VLOOKUP($J526,'[1]Table S6'!$A:$AI,13,FALSE)</f>
        <v>0.90210683124068902</v>
      </c>
      <c r="W526">
        <f>VLOOKUP($J526,'[1]Table S6'!$A:$AI,14,FALSE)</f>
        <v>34.82</v>
      </c>
      <c r="X526" t="str">
        <f>VLOOKUP($J526,'[1]Table S6'!$A:$AI,15,FALSE)</f>
        <v>No</v>
      </c>
      <c r="Z526">
        <f>VLOOKUP($J526,'[1]Table S6'!$A:$AI,17,FALSE)</f>
        <v>408.2</v>
      </c>
      <c r="AA526">
        <f>VLOOKUP($J526,'[1]Table S6'!$A:$AI,18,FALSE)</f>
        <v>0.86869546712066403</v>
      </c>
      <c r="AB526">
        <f>VLOOKUP($J526,'[1]Table S6'!$A:$AI,19,FALSE)</f>
        <v>26.44</v>
      </c>
      <c r="AC526" t="str">
        <f>VLOOKUP($J526,'[1]Table S6'!$A:$AI,20,FALSE)</f>
        <v>No</v>
      </c>
      <c r="AE526">
        <f>VLOOKUP($J526,'[1]Table S6'!$A:$AI,22,FALSE)</f>
        <v>393.8</v>
      </c>
      <c r="AF526">
        <f>VLOOKUP($J526,'[1]Table S6'!$A:$AI,23,FALSE)</f>
        <v>0.83805064907427096</v>
      </c>
      <c r="AG526">
        <f>VLOOKUP($J526,'[1]Table S6'!$A:$AI,24,FALSE)</f>
        <v>22.98</v>
      </c>
      <c r="AH526" t="str">
        <f>VLOOKUP($J526,'[1]Table S6'!$A:$AI,25,FALSE)</f>
        <v>No</v>
      </c>
      <c r="AJ526">
        <f>VLOOKUP($J526,'[1]Table S6'!$A:$AI,27,FALSE)</f>
        <v>425.9</v>
      </c>
      <c r="AK526">
        <f>VLOOKUP($J526,'[1]Table S6'!$A:$AI,28,FALSE)</f>
        <v>0.90636305596935496</v>
      </c>
      <c r="AL526">
        <f>VLOOKUP($J526,'[1]Table S6'!$A:$AI,29,FALSE)</f>
        <v>91.47</v>
      </c>
      <c r="AM526" t="str">
        <f>VLOOKUP($J526,'[1]Table S6'!$A:$AI,30,FALSE)</f>
        <v>No</v>
      </c>
      <c r="AO526">
        <f>VLOOKUP($J526,'[1]Table S6'!$A:$AI,32,FALSE)</f>
        <v>439.5</v>
      </c>
      <c r="AP526">
        <f>VLOOKUP($J526,'[1]Table S6'!$A:$AI,33,FALSE)</f>
        <v>0.93530538412428199</v>
      </c>
      <c r="AQ526">
        <f>VLOOKUP($J526,'[1]Table S6'!$A:$AI,34,FALSE)</f>
        <v>230.7</v>
      </c>
      <c r="AR526" t="str">
        <f>VLOOKUP($J526,'[1]Table S6'!$A:$AI,35,FALSE)</f>
        <v>No</v>
      </c>
      <c r="AT526" t="str">
        <f>VLOOKUP($I526,'[2]Table S5'!$A:$K,8,FALSE)</f>
        <v>Resistant</v>
      </c>
      <c r="AU526" t="str">
        <f>VLOOKUP($I526,'[2]Table S5'!$A:$K,9,FALSE)</f>
        <v>Resistant</v>
      </c>
      <c r="AV526" t="str">
        <f>VLOOKUP($I526,'[2]Table S5'!$A:$K,10,FALSE)</f>
        <v>Resistant</v>
      </c>
      <c r="AW526" t="str">
        <f>VLOOKUP($I526,'[2]Table S5'!$A:$K,11,FALSE)</f>
        <v>Resistant</v>
      </c>
    </row>
    <row r="527" spans="1:49">
      <c r="A527" s="12" t="s">
        <v>3332</v>
      </c>
      <c r="B527" t="s">
        <v>3333</v>
      </c>
      <c r="C527" t="s">
        <v>3334</v>
      </c>
      <c r="D527" t="s">
        <v>17</v>
      </c>
      <c r="E527" t="s">
        <v>1512</v>
      </c>
      <c r="F527" s="12" t="s">
        <v>1513</v>
      </c>
      <c r="G527" t="s">
        <v>1514</v>
      </c>
      <c r="H527" t="s">
        <v>1515</v>
      </c>
      <c r="I527" t="s">
        <v>1477</v>
      </c>
      <c r="J527" t="s">
        <v>1493</v>
      </c>
      <c r="K527">
        <f>VLOOKUP($J527,'[1]Table S6'!$A:$AI,2,FALSE)</f>
        <v>370.8</v>
      </c>
      <c r="L527">
        <f>VLOOKUP($J527,'[1]Table S6'!$A:$AI,3,FALSE)</f>
        <v>0.78910406469461603</v>
      </c>
      <c r="M527">
        <f>VLOOKUP($J527,'[1]Table S6'!$A:$AI,4,FALSE)</f>
        <v>10.35</v>
      </c>
      <c r="N527" t="str">
        <f>VLOOKUP($J527,'[1]Table S6'!$A:$AI,5,FALSE)</f>
        <v>No</v>
      </c>
      <c r="P527">
        <f>VLOOKUP($J527,'[1]Table S6'!$A:$AI,7,FALSE)</f>
        <v>414.6</v>
      </c>
      <c r="Q527">
        <f>VLOOKUP($J527,'[1]Table S6'!$A:$AI,8,FALSE)</f>
        <v>0.88231538625239403</v>
      </c>
      <c r="R527">
        <f>VLOOKUP($J527,'[1]Table S6'!$A:$AI,9,FALSE)</f>
        <v>57.39</v>
      </c>
      <c r="S527" t="str">
        <f>VLOOKUP($J527,'[1]Table S6'!$A:$AI,10,FALSE)</f>
        <v>No</v>
      </c>
      <c r="U527">
        <f>VLOOKUP($J527,'[1]Table S6'!$A:$AI,12,FALSE)</f>
        <v>409.6</v>
      </c>
      <c r="V527">
        <f>VLOOKUP($J527,'[1]Table S6'!$A:$AI,13,FALSE)</f>
        <v>0.87167482443072997</v>
      </c>
      <c r="W527">
        <f>VLOOKUP($J527,'[1]Table S6'!$A:$AI,14,FALSE)</f>
        <v>27.69</v>
      </c>
      <c r="X527" t="str">
        <f>VLOOKUP($J527,'[1]Table S6'!$A:$AI,15,FALSE)</f>
        <v>No</v>
      </c>
      <c r="Z527">
        <f>VLOOKUP($J527,'[1]Table S6'!$A:$AI,17,FALSE)</f>
        <v>377.6</v>
      </c>
      <c r="AA527">
        <f>VLOOKUP($J527,'[1]Table S6'!$A:$AI,18,FALSE)</f>
        <v>0.80357522877207899</v>
      </c>
      <c r="AB527">
        <f>VLOOKUP($J527,'[1]Table S6'!$A:$AI,19,FALSE)</f>
        <v>15.59</v>
      </c>
      <c r="AC527" t="str">
        <f>VLOOKUP($J527,'[1]Table S6'!$A:$AI,20,FALSE)</f>
        <v>No</v>
      </c>
      <c r="AE527">
        <f>VLOOKUP($J527,'[1]Table S6'!$A:$AI,22,FALSE)</f>
        <v>382.5</v>
      </c>
      <c r="AF527">
        <f>VLOOKUP($J527,'[1]Table S6'!$A:$AI,23,FALSE)</f>
        <v>0.81400297935731003</v>
      </c>
      <c r="AG527">
        <f>VLOOKUP($J527,'[1]Table S6'!$A:$AI,24,FALSE)</f>
        <v>14.86</v>
      </c>
      <c r="AH527" t="str">
        <f>VLOOKUP($J527,'[1]Table S6'!$A:$AI,25,FALSE)</f>
        <v>No</v>
      </c>
      <c r="AJ527">
        <f>VLOOKUP($J527,'[1]Table S6'!$A:$AI,27,FALSE)</f>
        <v>424.5</v>
      </c>
      <c r="AK527">
        <f>VLOOKUP($J527,'[1]Table S6'!$A:$AI,28,FALSE)</f>
        <v>0.90338369865928903</v>
      </c>
      <c r="AL527">
        <f>VLOOKUP($J527,'[1]Table S6'!$A:$AI,29,FALSE)</f>
        <v>81.72</v>
      </c>
      <c r="AM527" t="str">
        <f>VLOOKUP($J527,'[1]Table S6'!$A:$AI,30,FALSE)</f>
        <v>No</v>
      </c>
      <c r="AO527">
        <f>VLOOKUP($J527,'[1]Table S6'!$A:$AI,32,FALSE)</f>
        <v>323.60000000000002</v>
      </c>
      <c r="AP527">
        <f>VLOOKUP($J527,'[1]Table S6'!$A:$AI,33,FALSE)</f>
        <v>0.68865716109810604</v>
      </c>
      <c r="AQ527">
        <f>VLOOKUP($J527,'[1]Table S6'!$A:$AI,34,FALSE)</f>
        <v>2.29</v>
      </c>
      <c r="AR527" t="str">
        <f>VLOOKUP($J527,'[1]Table S6'!$A:$AI,35,FALSE)</f>
        <v>No</v>
      </c>
      <c r="AT527" t="str">
        <f>VLOOKUP($I527,'[2]Table S5'!$A:$K,8,FALSE)</f>
        <v>Resistant</v>
      </c>
      <c r="AU527" t="str">
        <f>VLOOKUP($I527,'[2]Table S5'!$A:$K,9,FALSE)</f>
        <v>Resistant</v>
      </c>
      <c r="AV527" t="str">
        <f>VLOOKUP($I527,'[2]Table S5'!$A:$K,10,FALSE)</f>
        <v>Resistant</v>
      </c>
      <c r="AW527" t="str">
        <f>VLOOKUP($I527,'[2]Table S5'!$A:$K,11,FALSE)</f>
        <v>Resistant</v>
      </c>
    </row>
    <row r="528" spans="1:49">
      <c r="A528" s="12" t="s">
        <v>3335</v>
      </c>
      <c r="B528" t="s">
        <v>3336</v>
      </c>
      <c r="C528" t="s">
        <v>3337</v>
      </c>
      <c r="D528" t="s">
        <v>17</v>
      </c>
      <c r="E528" t="s">
        <v>1519</v>
      </c>
      <c r="F528" s="12" t="s">
        <v>1520</v>
      </c>
      <c r="G528" t="s">
        <v>1521</v>
      </c>
      <c r="H528" t="s">
        <v>1522</v>
      </c>
      <c r="I528" t="s">
        <v>1477</v>
      </c>
      <c r="J528" t="s">
        <v>1501</v>
      </c>
      <c r="K528">
        <f>VLOOKUP($J528,'[1]Table S6'!$A:$AI,2,FALSE)</f>
        <v>398.2</v>
      </c>
      <c r="L528">
        <f>VLOOKUP($J528,'[1]Table S6'!$A:$AI,3,FALSE)</f>
        <v>0.84741434347733602</v>
      </c>
      <c r="M528">
        <f>VLOOKUP($J528,'[1]Table S6'!$A:$AI,4,FALSE)</f>
        <v>19.34</v>
      </c>
      <c r="N528" t="str">
        <f>VLOOKUP($J528,'[1]Table S6'!$A:$AI,5,FALSE)</f>
        <v>No</v>
      </c>
      <c r="P528">
        <f>VLOOKUP($J528,'[1]Table S6'!$A:$AI,7,FALSE)</f>
        <v>418.3</v>
      </c>
      <c r="Q528">
        <f>VLOOKUP($J528,'[1]Table S6'!$A:$AI,8,FALSE)</f>
        <v>0.89018940200042596</v>
      </c>
      <c r="R528">
        <f>VLOOKUP($J528,'[1]Table S6'!$A:$AI,9,FALSE)</f>
        <v>68.099999999999994</v>
      </c>
      <c r="S528" t="str">
        <f>VLOOKUP($J528,'[1]Table S6'!$A:$AI,10,FALSE)</f>
        <v>No</v>
      </c>
      <c r="U528">
        <f>VLOOKUP($J528,'[1]Table S6'!$A:$AI,12,FALSE)</f>
        <v>381.1</v>
      </c>
      <c r="V528">
        <f>VLOOKUP($J528,'[1]Table S6'!$A:$AI,13,FALSE)</f>
        <v>0.81102362204724399</v>
      </c>
      <c r="W528">
        <f>VLOOKUP($J528,'[1]Table S6'!$A:$AI,14,FALSE)</f>
        <v>15.65</v>
      </c>
      <c r="X528" t="str">
        <f>VLOOKUP($J528,'[1]Table S6'!$A:$AI,15,FALSE)</f>
        <v>No</v>
      </c>
      <c r="Z528">
        <f>VLOOKUP($J528,'[1]Table S6'!$A:$AI,17,FALSE)</f>
        <v>392.2</v>
      </c>
      <c r="AA528">
        <f>VLOOKUP($J528,'[1]Table S6'!$A:$AI,18,FALSE)</f>
        <v>0.83464566929133899</v>
      </c>
      <c r="AB528">
        <f>VLOOKUP($J528,'[1]Table S6'!$A:$AI,19,FALSE)</f>
        <v>19.29</v>
      </c>
      <c r="AC528" t="str">
        <f>VLOOKUP($J528,'[1]Table S6'!$A:$AI,20,FALSE)</f>
        <v>No</v>
      </c>
      <c r="AE528">
        <f>VLOOKUP($J528,'[1]Table S6'!$A:$AI,22,FALSE)</f>
        <v>391</v>
      </c>
      <c r="AF528">
        <f>VLOOKUP($J528,'[1]Table S6'!$A:$AI,23,FALSE)</f>
        <v>0.83209193445413898</v>
      </c>
      <c r="AG528">
        <f>VLOOKUP($J528,'[1]Table S6'!$A:$AI,24,FALSE)</f>
        <v>18.09</v>
      </c>
      <c r="AH528" t="str">
        <f>VLOOKUP($J528,'[1]Table S6'!$A:$AI,25,FALSE)</f>
        <v>No</v>
      </c>
      <c r="AJ528">
        <f>VLOOKUP($J528,'[1]Table S6'!$A:$AI,27,FALSE)</f>
        <v>427.2</v>
      </c>
      <c r="AK528">
        <f>VLOOKUP($J528,'[1]Table S6'!$A:$AI,28,FALSE)</f>
        <v>0.90912960204298798</v>
      </c>
      <c r="AL528">
        <f>VLOOKUP($J528,'[1]Table S6'!$A:$AI,29,FALSE)</f>
        <v>132.19999999999999</v>
      </c>
      <c r="AM528" t="str">
        <f>VLOOKUP($J528,'[1]Table S6'!$A:$AI,30,FALSE)</f>
        <v>No</v>
      </c>
      <c r="AO528">
        <f>VLOOKUP($J528,'[1]Table S6'!$A:$AI,32,FALSE)</f>
        <v>329</v>
      </c>
      <c r="AP528">
        <f>VLOOKUP($J528,'[1]Table S6'!$A:$AI,33,FALSE)</f>
        <v>0.70014896786550296</v>
      </c>
      <c r="AQ528">
        <f>VLOOKUP($J528,'[1]Table S6'!$A:$AI,34,FALSE)</f>
        <v>2.1739999999999999</v>
      </c>
      <c r="AR528" t="str">
        <f>VLOOKUP($J528,'[1]Table S6'!$A:$AI,35,FALSE)</f>
        <v>No</v>
      </c>
      <c r="AT528" t="str">
        <f>VLOOKUP($I528,'[2]Table S5'!$A:$K,8,FALSE)</f>
        <v>Resistant</v>
      </c>
      <c r="AU528" t="str">
        <f>VLOOKUP($I528,'[2]Table S5'!$A:$K,9,FALSE)</f>
        <v>Resistant</v>
      </c>
      <c r="AV528" t="str">
        <f>VLOOKUP($I528,'[2]Table S5'!$A:$K,10,FALSE)</f>
        <v>Resistant</v>
      </c>
      <c r="AW528" t="str">
        <f>VLOOKUP($I528,'[2]Table S5'!$A:$K,11,FALSE)</f>
        <v>Resistant</v>
      </c>
    </row>
    <row r="529" spans="1:49">
      <c r="A529" s="12" t="s">
        <v>3338</v>
      </c>
      <c r="B529" t="s">
        <v>3339</v>
      </c>
      <c r="C529" t="s">
        <v>3340</v>
      </c>
      <c r="D529" t="s">
        <v>17</v>
      </c>
      <c r="E529" t="s">
        <v>1534</v>
      </c>
      <c r="F529" s="12" t="s">
        <v>1535</v>
      </c>
      <c r="G529" t="s">
        <v>1536</v>
      </c>
      <c r="H529" t="s">
        <v>1537</v>
      </c>
      <c r="I529" t="s">
        <v>1530</v>
      </c>
      <c r="J529" t="s">
        <v>1538</v>
      </c>
      <c r="K529">
        <f>VLOOKUP($J529,'[1]Table S6'!$A:$AI,2,FALSE)</f>
        <v>418</v>
      </c>
      <c r="L529">
        <f>VLOOKUP($J529,'[1]Table S6'!$A:$AI,3,FALSE)</f>
        <v>0.88955096829112601</v>
      </c>
      <c r="M529">
        <f>VLOOKUP($J529,'[1]Table S6'!$A:$AI,4,FALSE)</f>
        <v>84.48</v>
      </c>
      <c r="N529" t="str">
        <f>VLOOKUP($J529,'[1]Table S6'!$A:$AI,5,FALSE)</f>
        <v>No</v>
      </c>
      <c r="P529">
        <f>VLOOKUP($J529,'[1]Table S6'!$A:$AI,7,FALSE)</f>
        <v>389.6</v>
      </c>
      <c r="Q529">
        <f>VLOOKUP($J529,'[1]Table S6'!$A:$AI,8,FALSE)</f>
        <v>0.82911257714407305</v>
      </c>
      <c r="R529">
        <f>VLOOKUP($J529,'[1]Table S6'!$A:$AI,9,FALSE)</f>
        <v>16.940000000000001</v>
      </c>
      <c r="S529" t="str">
        <f>VLOOKUP($J529,'[1]Table S6'!$A:$AI,10,FALSE)</f>
        <v>No</v>
      </c>
      <c r="U529">
        <f>VLOOKUP($J529,'[1]Table S6'!$A:$AI,12,FALSE)</f>
        <v>387.4</v>
      </c>
      <c r="V529">
        <f>VLOOKUP($J529,'[1]Table S6'!$A:$AI,13,FALSE)</f>
        <v>0.82443072994254096</v>
      </c>
      <c r="W529">
        <f>VLOOKUP($J529,'[1]Table S6'!$A:$AI,14,FALSE)</f>
        <v>18.96</v>
      </c>
      <c r="X529" t="str">
        <f>VLOOKUP($J529,'[1]Table S6'!$A:$AI,15,FALSE)</f>
        <v>No</v>
      </c>
      <c r="Z529">
        <f>VLOOKUP($J529,'[1]Table S6'!$A:$AI,17,FALSE)</f>
        <v>409.4</v>
      </c>
      <c r="AA529">
        <f>VLOOKUP($J529,'[1]Table S6'!$A:$AI,18,FALSE)</f>
        <v>0.87124920195786304</v>
      </c>
      <c r="AB529">
        <f>VLOOKUP($J529,'[1]Table S6'!$A:$AI,19,FALSE)</f>
        <v>51.78</v>
      </c>
      <c r="AC529" t="str">
        <f>VLOOKUP($J529,'[1]Table S6'!$A:$AI,20,FALSE)</f>
        <v>No</v>
      </c>
      <c r="AE529">
        <f>VLOOKUP($J529,'[1]Table S6'!$A:$AI,22,FALSE)</f>
        <v>390.8</v>
      </c>
      <c r="AF529">
        <f>VLOOKUP($J529,'[1]Table S6'!$A:$AI,23,FALSE)</f>
        <v>0.83166631198127305</v>
      </c>
      <c r="AG529">
        <f>VLOOKUP($J529,'[1]Table S6'!$A:$AI,24,FALSE)</f>
        <v>15.81</v>
      </c>
      <c r="AH529" t="str">
        <f>VLOOKUP($J529,'[1]Table S6'!$A:$AI,25,FALSE)</f>
        <v>No</v>
      </c>
      <c r="AJ529">
        <f>VLOOKUP($J529,'[1]Table S6'!$A:$AI,27,FALSE)</f>
        <v>438.7</v>
      </c>
      <c r="AK529">
        <f>VLOOKUP($J529,'[1]Table S6'!$A:$AI,28,FALSE)</f>
        <v>0.93360289423281595</v>
      </c>
      <c r="AL529">
        <f>VLOOKUP($J529,'[1]Table S6'!$A:$AI,29,FALSE)</f>
        <v>154.6</v>
      </c>
      <c r="AM529" t="str">
        <f>VLOOKUP($J529,'[1]Table S6'!$A:$AI,30,FALSE)</f>
        <v>No</v>
      </c>
      <c r="AO529">
        <f>VLOOKUP($J529,'[1]Table S6'!$A:$AI,32,FALSE)</f>
        <v>421</v>
      </c>
      <c r="AP529">
        <f>VLOOKUP($J529,'[1]Table S6'!$A:$AI,33,FALSE)</f>
        <v>0.89593530538412403</v>
      </c>
      <c r="AQ529">
        <f>VLOOKUP($J529,'[1]Table S6'!$A:$AI,34,FALSE)</f>
        <v>129.69999999999999</v>
      </c>
      <c r="AR529" t="str">
        <f>VLOOKUP($J529,'[1]Table S6'!$A:$AI,35,FALSE)</f>
        <v>No</v>
      </c>
      <c r="AT529" t="e">
        <f>VLOOKUP($I529,'[2]Table S5'!$A:$K,8,FALSE)</f>
        <v>#N/A</v>
      </c>
      <c r="AU529" t="e">
        <f>VLOOKUP($I529,'[2]Table S5'!$A:$K,9,FALSE)</f>
        <v>#N/A</v>
      </c>
      <c r="AV529" t="e">
        <f>VLOOKUP($I529,'[2]Table S5'!$A:$K,10,FALSE)</f>
        <v>#N/A</v>
      </c>
      <c r="AW529" t="e">
        <f>VLOOKUP($I529,'[2]Table S5'!$A:$K,11,FALSE)</f>
        <v>#N/A</v>
      </c>
    </row>
    <row r="530" spans="1:49">
      <c r="A530" s="12" t="s">
        <v>3341</v>
      </c>
      <c r="B530" t="s">
        <v>3342</v>
      </c>
      <c r="C530" t="s">
        <v>3343</v>
      </c>
      <c r="D530" t="s">
        <v>17</v>
      </c>
      <c r="E530" t="s">
        <v>1542</v>
      </c>
      <c r="F530" s="12" t="s">
        <v>1543</v>
      </c>
      <c r="G530" t="s">
        <v>1544</v>
      </c>
      <c r="H530" t="s">
        <v>1545</v>
      </c>
      <c r="I530" t="s">
        <v>1530</v>
      </c>
      <c r="J530" t="s">
        <v>1538</v>
      </c>
      <c r="K530">
        <f>VLOOKUP($J530,'[1]Table S6'!$A:$AI,2,FALSE)</f>
        <v>418</v>
      </c>
      <c r="L530">
        <f>VLOOKUP($J530,'[1]Table S6'!$A:$AI,3,FALSE)</f>
        <v>0.88955096829112601</v>
      </c>
      <c r="M530">
        <f>VLOOKUP($J530,'[1]Table S6'!$A:$AI,4,FALSE)</f>
        <v>84.48</v>
      </c>
      <c r="N530" t="str">
        <f>VLOOKUP($J530,'[1]Table S6'!$A:$AI,5,FALSE)</f>
        <v>No</v>
      </c>
      <c r="P530">
        <f>VLOOKUP($J530,'[1]Table S6'!$A:$AI,7,FALSE)</f>
        <v>389.6</v>
      </c>
      <c r="Q530">
        <f>VLOOKUP($J530,'[1]Table S6'!$A:$AI,8,FALSE)</f>
        <v>0.82911257714407305</v>
      </c>
      <c r="R530">
        <f>VLOOKUP($J530,'[1]Table S6'!$A:$AI,9,FALSE)</f>
        <v>16.940000000000001</v>
      </c>
      <c r="S530" t="str">
        <f>VLOOKUP($J530,'[1]Table S6'!$A:$AI,10,FALSE)</f>
        <v>No</v>
      </c>
      <c r="U530">
        <f>VLOOKUP($J530,'[1]Table S6'!$A:$AI,12,FALSE)</f>
        <v>387.4</v>
      </c>
      <c r="V530">
        <f>VLOOKUP($J530,'[1]Table S6'!$A:$AI,13,FALSE)</f>
        <v>0.82443072994254096</v>
      </c>
      <c r="W530">
        <f>VLOOKUP($J530,'[1]Table S6'!$A:$AI,14,FALSE)</f>
        <v>18.96</v>
      </c>
      <c r="X530" t="str">
        <f>VLOOKUP($J530,'[1]Table S6'!$A:$AI,15,FALSE)</f>
        <v>No</v>
      </c>
      <c r="Z530">
        <f>VLOOKUP($J530,'[1]Table S6'!$A:$AI,17,FALSE)</f>
        <v>409.4</v>
      </c>
      <c r="AA530">
        <f>VLOOKUP($J530,'[1]Table S6'!$A:$AI,18,FALSE)</f>
        <v>0.87124920195786304</v>
      </c>
      <c r="AB530">
        <f>VLOOKUP($J530,'[1]Table S6'!$A:$AI,19,FALSE)</f>
        <v>51.78</v>
      </c>
      <c r="AC530" t="str">
        <f>VLOOKUP($J530,'[1]Table S6'!$A:$AI,20,FALSE)</f>
        <v>No</v>
      </c>
      <c r="AE530">
        <f>VLOOKUP($J530,'[1]Table S6'!$A:$AI,22,FALSE)</f>
        <v>390.8</v>
      </c>
      <c r="AF530">
        <f>VLOOKUP($J530,'[1]Table S6'!$A:$AI,23,FALSE)</f>
        <v>0.83166631198127305</v>
      </c>
      <c r="AG530">
        <f>VLOOKUP($J530,'[1]Table S6'!$A:$AI,24,FALSE)</f>
        <v>15.81</v>
      </c>
      <c r="AH530" t="str">
        <f>VLOOKUP($J530,'[1]Table S6'!$A:$AI,25,FALSE)</f>
        <v>No</v>
      </c>
      <c r="AJ530">
        <f>VLOOKUP($J530,'[1]Table S6'!$A:$AI,27,FALSE)</f>
        <v>438.7</v>
      </c>
      <c r="AK530">
        <f>VLOOKUP($J530,'[1]Table S6'!$A:$AI,28,FALSE)</f>
        <v>0.93360289423281595</v>
      </c>
      <c r="AL530">
        <f>VLOOKUP($J530,'[1]Table S6'!$A:$AI,29,FALSE)</f>
        <v>154.6</v>
      </c>
      <c r="AM530" t="str">
        <f>VLOOKUP($J530,'[1]Table S6'!$A:$AI,30,FALSE)</f>
        <v>No</v>
      </c>
      <c r="AO530">
        <f>VLOOKUP($J530,'[1]Table S6'!$A:$AI,32,FALSE)</f>
        <v>421</v>
      </c>
      <c r="AP530">
        <f>VLOOKUP($J530,'[1]Table S6'!$A:$AI,33,FALSE)</f>
        <v>0.89593530538412403</v>
      </c>
      <c r="AQ530">
        <f>VLOOKUP($J530,'[1]Table S6'!$A:$AI,34,FALSE)</f>
        <v>129.69999999999999</v>
      </c>
      <c r="AR530" t="str">
        <f>VLOOKUP($J530,'[1]Table S6'!$A:$AI,35,FALSE)</f>
        <v>No</v>
      </c>
      <c r="AT530" t="e">
        <f>VLOOKUP($I530,'[2]Table S5'!$A:$K,8,FALSE)</f>
        <v>#N/A</v>
      </c>
      <c r="AU530" t="e">
        <f>VLOOKUP($I530,'[2]Table S5'!$A:$K,9,FALSE)</f>
        <v>#N/A</v>
      </c>
      <c r="AV530" t="e">
        <f>VLOOKUP($I530,'[2]Table S5'!$A:$K,10,FALSE)</f>
        <v>#N/A</v>
      </c>
      <c r="AW530" t="e">
        <f>VLOOKUP($I530,'[2]Table S5'!$A:$K,11,FALSE)</f>
        <v>#N/A</v>
      </c>
    </row>
    <row r="531" spans="1:49">
      <c r="A531" s="12" t="s">
        <v>3344</v>
      </c>
      <c r="B531" t="s">
        <v>3345</v>
      </c>
      <c r="C531" t="s">
        <v>3346</v>
      </c>
      <c r="D531" t="s">
        <v>17</v>
      </c>
      <c r="E531" t="s">
        <v>3347</v>
      </c>
      <c r="F531" s="12" t="s">
        <v>3348</v>
      </c>
      <c r="G531" t="s">
        <v>3349</v>
      </c>
      <c r="H531" t="s">
        <v>3350</v>
      </c>
      <c r="I531" t="s">
        <v>3351</v>
      </c>
      <c r="J531" t="s">
        <v>3352</v>
      </c>
      <c r="K531">
        <f>VLOOKUP($J531,'[1]Table S6'!$A:$AI,2,FALSE)</f>
        <v>368.3</v>
      </c>
      <c r="L531">
        <f>VLOOKUP($J531,'[1]Table S6'!$A:$AI,3,FALSE)</f>
        <v>0.78378378378378399</v>
      </c>
      <c r="M531">
        <f>VLOOKUP($J531,'[1]Table S6'!$A:$AI,4,FALSE)</f>
        <v>8.0359999999999996</v>
      </c>
      <c r="N531" t="str">
        <f>VLOOKUP($J531,'[1]Table S6'!$A:$AI,5,FALSE)</f>
        <v>No</v>
      </c>
      <c r="P531">
        <f>VLOOKUP($J531,'[1]Table S6'!$A:$AI,7,FALSE)</f>
        <v>327.39999999999998</v>
      </c>
      <c r="Q531">
        <f>VLOOKUP($J531,'[1]Table S6'!$A:$AI,8,FALSE)</f>
        <v>0.69674398808257099</v>
      </c>
      <c r="R531">
        <f>VLOOKUP($J531,'[1]Table S6'!$A:$AI,9,FALSE)</f>
        <v>2.343</v>
      </c>
      <c r="S531" t="str">
        <f>VLOOKUP($J531,'[1]Table S6'!$A:$AI,10,FALSE)</f>
        <v>Yes</v>
      </c>
      <c r="U531">
        <f>VLOOKUP($J531,'[1]Table S6'!$A:$AI,12,FALSE)</f>
        <v>346.4</v>
      </c>
      <c r="V531">
        <f>VLOOKUP($J531,'[1]Table S6'!$A:$AI,13,FALSE)</f>
        <v>0.73717812300489505</v>
      </c>
      <c r="W531">
        <f>VLOOKUP($J531,'[1]Table S6'!$A:$AI,14,FALSE)</f>
        <v>4.2910000000000004</v>
      </c>
      <c r="X531" t="str">
        <f>VLOOKUP($J531,'[1]Table S6'!$A:$AI,15,FALSE)</f>
        <v>No</v>
      </c>
      <c r="Z531">
        <f>VLOOKUP($J531,'[1]Table S6'!$A:$AI,17,FALSE)</f>
        <v>319.60000000000002</v>
      </c>
      <c r="AA531">
        <f>VLOOKUP($J531,'[1]Table S6'!$A:$AI,18,FALSE)</f>
        <v>0.68014471164077495</v>
      </c>
      <c r="AB531">
        <f>VLOOKUP($J531,'[1]Table S6'!$A:$AI,19,FALSE)</f>
        <v>1.69</v>
      </c>
      <c r="AC531" t="str">
        <f>VLOOKUP($J531,'[1]Table S6'!$A:$AI,20,FALSE)</f>
        <v>Yes</v>
      </c>
      <c r="AE531">
        <f>VLOOKUP($J531,'[1]Table S6'!$A:$AI,22,FALSE)</f>
        <v>363.1</v>
      </c>
      <c r="AF531">
        <f>VLOOKUP($J531,'[1]Table S6'!$A:$AI,23,FALSE)</f>
        <v>0.772717599489253</v>
      </c>
      <c r="AG531">
        <f>VLOOKUP($J531,'[1]Table S6'!$A:$AI,24,FALSE)</f>
        <v>9.9139999999999997</v>
      </c>
      <c r="AH531" t="str">
        <f>VLOOKUP($J531,'[1]Table S6'!$A:$AI,25,FALSE)</f>
        <v>No</v>
      </c>
      <c r="AJ531">
        <f>VLOOKUP($J531,'[1]Table S6'!$A:$AI,27,FALSE)</f>
        <v>382.4</v>
      </c>
      <c r="AK531">
        <f>VLOOKUP($J531,'[1]Table S6'!$A:$AI,28,FALSE)</f>
        <v>0.81379016812087701</v>
      </c>
      <c r="AL531">
        <f>VLOOKUP($J531,'[1]Table S6'!$A:$AI,29,FALSE)</f>
        <v>24.39</v>
      </c>
      <c r="AM531" t="str">
        <f>VLOOKUP($J531,'[1]Table S6'!$A:$AI,30,FALSE)</f>
        <v>No</v>
      </c>
      <c r="AO531">
        <f>VLOOKUP($J531,'[1]Table S6'!$A:$AI,32,FALSE)</f>
        <v>403.9</v>
      </c>
      <c r="AP531">
        <f>VLOOKUP($J531,'[1]Table S6'!$A:$AI,33,FALSE)</f>
        <v>0.85954458395403299</v>
      </c>
      <c r="AQ531">
        <f>VLOOKUP($J531,'[1]Table S6'!$A:$AI,34,FALSE)</f>
        <v>30.48</v>
      </c>
      <c r="AR531" t="str">
        <f>VLOOKUP($J531,'[1]Table S6'!$A:$AI,35,FALSE)</f>
        <v>No</v>
      </c>
      <c r="AT531" t="e">
        <f>VLOOKUP($I531,'[2]Table S5'!$A:$K,8,FALSE)</f>
        <v>#N/A</v>
      </c>
      <c r="AU531" t="e">
        <f>VLOOKUP($I531,'[2]Table S5'!$A:$K,9,FALSE)</f>
        <v>#N/A</v>
      </c>
      <c r="AV531" t="e">
        <f>VLOOKUP($I531,'[2]Table S5'!$A:$K,10,FALSE)</f>
        <v>#N/A</v>
      </c>
      <c r="AW531" t="e">
        <f>VLOOKUP($I531,'[2]Table S5'!$A:$K,11,FALSE)</f>
        <v>#N/A</v>
      </c>
    </row>
    <row r="532" spans="1:49">
      <c r="A532" s="12" t="s">
        <v>3353</v>
      </c>
      <c r="B532" t="s">
        <v>3354</v>
      </c>
      <c r="C532" t="s">
        <v>3355</v>
      </c>
      <c r="D532" t="s">
        <v>17</v>
      </c>
      <c r="E532" t="s">
        <v>3356</v>
      </c>
      <c r="F532" s="12" t="s">
        <v>3357</v>
      </c>
      <c r="G532" t="s">
        <v>3358</v>
      </c>
      <c r="H532" t="s">
        <v>3359</v>
      </c>
      <c r="I532" t="s">
        <v>3351</v>
      </c>
      <c r="J532" t="s">
        <v>3360</v>
      </c>
      <c r="K532">
        <f>VLOOKUP($J532,'[1]Table S6'!$A:$AI,2,FALSE)</f>
        <v>369.1</v>
      </c>
      <c r="L532">
        <f>VLOOKUP($J532,'[1]Table S6'!$A:$AI,3,FALSE)</f>
        <v>0.78548627367525004</v>
      </c>
      <c r="M532">
        <f>VLOOKUP($J532,'[1]Table S6'!$A:$AI,4,FALSE)</f>
        <v>9.2609999999999992</v>
      </c>
      <c r="N532" t="str">
        <f>VLOOKUP($J532,'[1]Table S6'!$A:$AI,5,FALSE)</f>
        <v>No</v>
      </c>
      <c r="P532">
        <f>VLOOKUP($J532,'[1]Table S6'!$A:$AI,7,FALSE)</f>
        <v>357.3</v>
      </c>
      <c r="Q532">
        <f>VLOOKUP($J532,'[1]Table S6'!$A:$AI,8,FALSE)</f>
        <v>0.76037454777612301</v>
      </c>
      <c r="R532">
        <f>VLOOKUP($J532,'[1]Table S6'!$A:$AI,9,FALSE)</f>
        <v>6.54</v>
      </c>
      <c r="S532" t="str">
        <f>VLOOKUP($J532,'[1]Table S6'!$A:$AI,10,FALSE)</f>
        <v>No</v>
      </c>
      <c r="U532">
        <f>VLOOKUP($J532,'[1]Table S6'!$A:$AI,12,FALSE)</f>
        <v>352.1</v>
      </c>
      <c r="V532">
        <f>VLOOKUP($J532,'[1]Table S6'!$A:$AI,13,FALSE)</f>
        <v>0.74930836348159202</v>
      </c>
      <c r="W532">
        <f>VLOOKUP($J532,'[1]Table S6'!$A:$AI,14,FALSE)</f>
        <v>5.3129999999999997</v>
      </c>
      <c r="X532" t="str">
        <f>VLOOKUP($J532,'[1]Table S6'!$A:$AI,15,FALSE)</f>
        <v>No</v>
      </c>
      <c r="Z532">
        <f>VLOOKUP($J532,'[1]Table S6'!$A:$AI,17,FALSE)</f>
        <v>375.8</v>
      </c>
      <c r="AA532">
        <f>VLOOKUP($J532,'[1]Table S6'!$A:$AI,18,FALSE)</f>
        <v>0.79974462651627998</v>
      </c>
      <c r="AB532">
        <f>VLOOKUP($J532,'[1]Table S6'!$A:$AI,19,FALSE)</f>
        <v>12.23</v>
      </c>
      <c r="AC532" t="str">
        <f>VLOOKUP($J532,'[1]Table S6'!$A:$AI,20,FALSE)</f>
        <v>No</v>
      </c>
      <c r="AE532">
        <f>VLOOKUP($J532,'[1]Table S6'!$A:$AI,22,FALSE)</f>
        <v>372.6</v>
      </c>
      <c r="AF532">
        <f>VLOOKUP($J532,'[1]Table S6'!$A:$AI,23,FALSE)</f>
        <v>0.79293466695041503</v>
      </c>
      <c r="AG532">
        <f>VLOOKUP($J532,'[1]Table S6'!$A:$AI,24,FALSE)</f>
        <v>10.82</v>
      </c>
      <c r="AH532" t="str">
        <f>VLOOKUP($J532,'[1]Table S6'!$A:$AI,25,FALSE)</f>
        <v>No</v>
      </c>
      <c r="AJ532">
        <f>VLOOKUP($J532,'[1]Table S6'!$A:$AI,27,FALSE)</f>
        <v>401.7</v>
      </c>
      <c r="AK532">
        <f>VLOOKUP($J532,'[1]Table S6'!$A:$AI,28,FALSE)</f>
        <v>0.85486273675250102</v>
      </c>
      <c r="AL532">
        <f>VLOOKUP($J532,'[1]Table S6'!$A:$AI,29,FALSE)</f>
        <v>35.06</v>
      </c>
      <c r="AM532" t="str">
        <f>VLOOKUP($J532,'[1]Table S6'!$A:$AI,30,FALSE)</f>
        <v>No</v>
      </c>
      <c r="AO532">
        <f>VLOOKUP($J532,'[1]Table S6'!$A:$AI,32,FALSE)</f>
        <v>400.8</v>
      </c>
      <c r="AP532">
        <f>VLOOKUP($J532,'[1]Table S6'!$A:$AI,33,FALSE)</f>
        <v>0.85294743562460096</v>
      </c>
      <c r="AQ532">
        <f>VLOOKUP($J532,'[1]Table S6'!$A:$AI,34,FALSE)</f>
        <v>33.44</v>
      </c>
      <c r="AR532" t="str">
        <f>VLOOKUP($J532,'[1]Table S6'!$A:$AI,35,FALSE)</f>
        <v>No</v>
      </c>
      <c r="AT532" t="e">
        <f>VLOOKUP($I532,'[2]Table S5'!$A:$K,8,FALSE)</f>
        <v>#N/A</v>
      </c>
      <c r="AU532" t="e">
        <f>VLOOKUP($I532,'[2]Table S5'!$A:$K,9,FALSE)</f>
        <v>#N/A</v>
      </c>
      <c r="AV532" t="e">
        <f>VLOOKUP($I532,'[2]Table S5'!$A:$K,10,FALSE)</f>
        <v>#N/A</v>
      </c>
      <c r="AW532" t="e">
        <f>VLOOKUP($I532,'[2]Table S5'!$A:$K,11,FALSE)</f>
        <v>#N/A</v>
      </c>
    </row>
    <row r="533" spans="1:49">
      <c r="A533" s="12" t="s">
        <v>3361</v>
      </c>
      <c r="B533" t="s">
        <v>3362</v>
      </c>
      <c r="C533" t="s">
        <v>3363</v>
      </c>
      <c r="D533" t="s">
        <v>17</v>
      </c>
      <c r="E533" t="s">
        <v>3364</v>
      </c>
      <c r="F533" s="12" t="s">
        <v>3365</v>
      </c>
      <c r="G533" t="s">
        <v>3366</v>
      </c>
      <c r="H533" t="s">
        <v>3367</v>
      </c>
      <c r="I533" t="s">
        <v>3368</v>
      </c>
      <c r="J533" t="s">
        <v>3369</v>
      </c>
      <c r="K533">
        <f>VLOOKUP($J533,'[1]Table S6'!$A:$AI,2,FALSE)</f>
        <v>309</v>
      </c>
      <c r="L533">
        <f>VLOOKUP($J533,'[1]Table S6'!$A:$AI,3,FALSE)</f>
        <v>0.65758672057884704</v>
      </c>
      <c r="M533">
        <f>VLOOKUP($J533,'[1]Table S6'!$A:$AI,4,FALSE)</f>
        <v>1.633</v>
      </c>
      <c r="N533" t="str">
        <f>VLOOKUP($J533,'[1]Table S6'!$A:$AI,5,FALSE)</f>
        <v>Yes</v>
      </c>
      <c r="P533">
        <f>VLOOKUP($J533,'[1]Table S6'!$A:$AI,7,FALSE)</f>
        <v>326.60000000000002</v>
      </c>
      <c r="Q533">
        <f>VLOOKUP($J533,'[1]Table S6'!$A:$AI,8,FALSE)</f>
        <v>0.69504149819110495</v>
      </c>
      <c r="R533">
        <f>VLOOKUP($J533,'[1]Table S6'!$A:$AI,9,FALSE)</f>
        <v>2.3519999999999999</v>
      </c>
      <c r="S533" t="str">
        <f>VLOOKUP($J533,'[1]Table S6'!$A:$AI,10,FALSE)</f>
        <v>Yes</v>
      </c>
      <c r="U533">
        <f>VLOOKUP($J533,'[1]Table S6'!$A:$AI,12,FALSE)</f>
        <v>325.89999999999998</v>
      </c>
      <c r="V533">
        <f>VLOOKUP($J533,'[1]Table S6'!$A:$AI,13,FALSE)</f>
        <v>0.69355181953607103</v>
      </c>
      <c r="W533">
        <f>VLOOKUP($J533,'[1]Table S6'!$A:$AI,14,FALSE)</f>
        <v>2.3210000000000002</v>
      </c>
      <c r="X533" t="str">
        <f>VLOOKUP($J533,'[1]Table S6'!$A:$AI,15,FALSE)</f>
        <v>Yes</v>
      </c>
      <c r="Z533">
        <f>VLOOKUP($J533,'[1]Table S6'!$A:$AI,17,FALSE)</f>
        <v>320.8</v>
      </c>
      <c r="AA533">
        <f>VLOOKUP($J533,'[1]Table S6'!$A:$AI,18,FALSE)</f>
        <v>0.68269844647797395</v>
      </c>
      <c r="AB533">
        <f>VLOOKUP($J533,'[1]Table S6'!$A:$AI,19,FALSE)</f>
        <v>1.909</v>
      </c>
      <c r="AC533" t="str">
        <f>VLOOKUP($J533,'[1]Table S6'!$A:$AI,20,FALSE)</f>
        <v>Yes</v>
      </c>
      <c r="AE533">
        <f>VLOOKUP($J533,'[1]Table S6'!$A:$AI,22,FALSE)</f>
        <v>375.2</v>
      </c>
      <c r="AF533">
        <f>VLOOKUP($J533,'[1]Table S6'!$A:$AI,23,FALSE)</f>
        <v>0.79846775909767997</v>
      </c>
      <c r="AG533">
        <f>VLOOKUP($J533,'[1]Table S6'!$A:$AI,24,FALSE)</f>
        <v>10.99</v>
      </c>
      <c r="AH533" t="str">
        <f>VLOOKUP($J533,'[1]Table S6'!$A:$AI,25,FALSE)</f>
        <v>No</v>
      </c>
      <c r="AJ533">
        <f>VLOOKUP($J533,'[1]Table S6'!$A:$AI,27,FALSE)</f>
        <v>382.1</v>
      </c>
      <c r="AK533">
        <f>VLOOKUP($J533,'[1]Table S6'!$A:$AI,28,FALSE)</f>
        <v>0.81315173441157695</v>
      </c>
      <c r="AL533">
        <f>VLOOKUP($J533,'[1]Table S6'!$A:$AI,29,FALSE)</f>
        <v>13.24</v>
      </c>
      <c r="AM533" t="str">
        <f>VLOOKUP($J533,'[1]Table S6'!$A:$AI,30,FALSE)</f>
        <v>No</v>
      </c>
      <c r="AO533">
        <f>VLOOKUP($J533,'[1]Table S6'!$A:$AI,32,FALSE)</f>
        <v>392.3</v>
      </c>
      <c r="AP533">
        <f>VLOOKUP($J533,'[1]Table S6'!$A:$AI,33,FALSE)</f>
        <v>0.83485848052777201</v>
      </c>
      <c r="AQ533">
        <f>VLOOKUP($J533,'[1]Table S6'!$A:$AI,34,FALSE)</f>
        <v>18.88</v>
      </c>
      <c r="AR533" t="str">
        <f>VLOOKUP($J533,'[1]Table S6'!$A:$AI,35,FALSE)</f>
        <v>No</v>
      </c>
      <c r="AT533" t="e">
        <f>VLOOKUP($I533,'[2]Table S5'!$A:$K,8,FALSE)</f>
        <v>#N/A</v>
      </c>
      <c r="AU533" t="e">
        <f>VLOOKUP($I533,'[2]Table S5'!$A:$K,9,FALSE)</f>
        <v>#N/A</v>
      </c>
      <c r="AV533" t="e">
        <f>VLOOKUP($I533,'[2]Table S5'!$A:$K,10,FALSE)</f>
        <v>#N/A</v>
      </c>
      <c r="AW533" t="e">
        <f>VLOOKUP($I533,'[2]Table S5'!$A:$K,11,FALSE)</f>
        <v>#N/A</v>
      </c>
    </row>
    <row r="534" spans="1:49">
      <c r="A534" s="12" t="s">
        <v>3370</v>
      </c>
      <c r="B534" t="s">
        <v>3371</v>
      </c>
      <c r="C534" t="s">
        <v>3372</v>
      </c>
      <c r="D534" t="s">
        <v>17</v>
      </c>
      <c r="E534" t="s">
        <v>3373</v>
      </c>
      <c r="F534" s="12" t="s">
        <v>3374</v>
      </c>
      <c r="G534" t="s">
        <v>3375</v>
      </c>
      <c r="H534" t="s">
        <v>3376</v>
      </c>
      <c r="I534" t="s">
        <v>3377</v>
      </c>
      <c r="J534" t="s">
        <v>3378</v>
      </c>
      <c r="K534">
        <f>VLOOKUP($J534,'[1]Table S6'!$A:$AI,2,FALSE)</f>
        <v>331.8</v>
      </c>
      <c r="L534">
        <f>VLOOKUP($J534,'[1]Table S6'!$A:$AI,3,FALSE)</f>
        <v>0.70610768248563505</v>
      </c>
      <c r="M534">
        <f>VLOOKUP($J534,'[1]Table S6'!$A:$AI,4,FALSE)</f>
        <v>2.2730000000000001</v>
      </c>
      <c r="N534" t="str">
        <f>VLOOKUP($J534,'[1]Table S6'!$A:$AI,5,FALSE)</f>
        <v>No</v>
      </c>
      <c r="P534">
        <f>VLOOKUP($J534,'[1]Table S6'!$A:$AI,7,FALSE)</f>
        <v>317</v>
      </c>
      <c r="Q534">
        <f>VLOOKUP($J534,'[1]Table S6'!$A:$AI,8,FALSE)</f>
        <v>0.67461161949350901</v>
      </c>
      <c r="R534">
        <f>VLOOKUP($J534,'[1]Table S6'!$A:$AI,9,FALSE)</f>
        <v>1.621</v>
      </c>
      <c r="S534" t="str">
        <f>VLOOKUP($J534,'[1]Table S6'!$A:$AI,10,FALSE)</f>
        <v>Yes</v>
      </c>
      <c r="U534">
        <f>VLOOKUP($J534,'[1]Table S6'!$A:$AI,12,FALSE)</f>
        <v>343.1</v>
      </c>
      <c r="V534">
        <f>VLOOKUP($J534,'[1]Table S6'!$A:$AI,13,FALSE)</f>
        <v>0.73015535220259598</v>
      </c>
      <c r="W534">
        <f>VLOOKUP($J534,'[1]Table S6'!$A:$AI,14,FALSE)</f>
        <v>5.81</v>
      </c>
      <c r="X534" t="str">
        <f>VLOOKUP($J534,'[1]Table S6'!$A:$AI,15,FALSE)</f>
        <v>No</v>
      </c>
      <c r="Z534">
        <f>VLOOKUP($J534,'[1]Table S6'!$A:$AI,17,FALSE)</f>
        <v>389</v>
      </c>
      <c r="AA534">
        <f>VLOOKUP($J534,'[1]Table S6'!$A:$AI,18,FALSE)</f>
        <v>0.82783570972547305</v>
      </c>
      <c r="AB534">
        <f>VLOOKUP($J534,'[1]Table S6'!$A:$AI,19,FALSE)</f>
        <v>18.350000000000001</v>
      </c>
      <c r="AC534" t="str">
        <f>VLOOKUP($J534,'[1]Table S6'!$A:$AI,20,FALSE)</f>
        <v>No</v>
      </c>
      <c r="AE534">
        <f>VLOOKUP($J534,'[1]Table S6'!$A:$AI,22,FALSE)</f>
        <v>435.7</v>
      </c>
      <c r="AF534">
        <f>VLOOKUP($J534,'[1]Table S6'!$A:$AI,23,FALSE)</f>
        <v>0.92721855713981705</v>
      </c>
      <c r="AG534">
        <f>VLOOKUP($J534,'[1]Table S6'!$A:$AI,24,FALSE)</f>
        <v>61.58</v>
      </c>
      <c r="AH534" t="str">
        <f>VLOOKUP($J534,'[1]Table S6'!$A:$AI,25,FALSE)</f>
        <v>No</v>
      </c>
      <c r="AJ534">
        <f>VLOOKUP($J534,'[1]Table S6'!$A:$AI,27,FALSE)</f>
        <v>396.8</v>
      </c>
      <c r="AK534">
        <f>VLOOKUP($J534,'[1]Table S6'!$A:$AI,28,FALSE)</f>
        <v>0.84443498616726997</v>
      </c>
      <c r="AL534">
        <f>VLOOKUP($J534,'[1]Table S6'!$A:$AI,29,FALSE)</f>
        <v>110.1</v>
      </c>
      <c r="AM534" t="str">
        <f>VLOOKUP($J534,'[1]Table S6'!$A:$AI,30,FALSE)</f>
        <v>No</v>
      </c>
      <c r="AO534">
        <f>VLOOKUP($J534,'[1]Table S6'!$A:$AI,32,FALSE)</f>
        <v>420.8</v>
      </c>
      <c r="AP534">
        <f>VLOOKUP($J534,'[1]Table S6'!$A:$AI,33,FALSE)</f>
        <v>0.89550968291125799</v>
      </c>
      <c r="AQ534">
        <f>VLOOKUP($J534,'[1]Table S6'!$A:$AI,34,FALSE)</f>
        <v>110.6</v>
      </c>
      <c r="AR534" t="str">
        <f>VLOOKUP($J534,'[1]Table S6'!$A:$AI,35,FALSE)</f>
        <v>No</v>
      </c>
      <c r="AT534" t="e">
        <f>VLOOKUP($I534,'[2]Table S5'!$A:$K,8,FALSE)</f>
        <v>#N/A</v>
      </c>
      <c r="AU534" t="e">
        <f>VLOOKUP($I534,'[2]Table S5'!$A:$K,9,FALSE)</f>
        <v>#N/A</v>
      </c>
      <c r="AV534" t="e">
        <f>VLOOKUP($I534,'[2]Table S5'!$A:$K,10,FALSE)</f>
        <v>#N/A</v>
      </c>
      <c r="AW534" t="e">
        <f>VLOOKUP($I534,'[2]Table S5'!$A:$K,11,FALSE)</f>
        <v>#N/A</v>
      </c>
    </row>
    <row r="535" spans="1:49">
      <c r="A535" s="12" t="s">
        <v>3379</v>
      </c>
      <c r="B535" t="s">
        <v>3380</v>
      </c>
      <c r="C535" t="s">
        <v>3381</v>
      </c>
      <c r="D535" t="s">
        <v>17</v>
      </c>
      <c r="E535" t="s">
        <v>3382</v>
      </c>
      <c r="F535" s="12" t="s">
        <v>3383</v>
      </c>
      <c r="G535" t="s">
        <v>3384</v>
      </c>
      <c r="H535" t="s">
        <v>3385</v>
      </c>
      <c r="I535" t="s">
        <v>3386</v>
      </c>
      <c r="J535" t="s">
        <v>3387</v>
      </c>
      <c r="K535">
        <f>VLOOKUP($J535,'[1]Table S6'!$A:$AI,2,FALSE)</f>
        <v>368.7</v>
      </c>
      <c r="L535">
        <f>VLOOKUP($J535,'[1]Table S6'!$A:$AI,3,FALSE)</f>
        <v>0.78463502872951696</v>
      </c>
      <c r="M535">
        <f>VLOOKUP($J535,'[1]Table S6'!$A:$AI,4,FALSE)</f>
        <v>7.2679999999999998</v>
      </c>
      <c r="N535" t="str">
        <f>VLOOKUP($J535,'[1]Table S6'!$A:$AI,5,FALSE)</f>
        <v>No</v>
      </c>
      <c r="P535">
        <f>VLOOKUP($J535,'[1]Table S6'!$A:$AI,7,FALSE)</f>
        <v>388.3</v>
      </c>
      <c r="Q535">
        <f>VLOOKUP($J535,'[1]Table S6'!$A:$AI,8,FALSE)</f>
        <v>0.82634603107044102</v>
      </c>
      <c r="R535">
        <f>VLOOKUP($J535,'[1]Table S6'!$A:$AI,9,FALSE)</f>
        <v>20.36</v>
      </c>
      <c r="S535" t="str">
        <f>VLOOKUP($J535,'[1]Table S6'!$A:$AI,10,FALSE)</f>
        <v>No</v>
      </c>
      <c r="U535">
        <f>VLOOKUP($J535,'[1]Table S6'!$A:$AI,12,FALSE)</f>
        <v>387.8</v>
      </c>
      <c r="V535">
        <f>VLOOKUP($J535,'[1]Table S6'!$A:$AI,13,FALSE)</f>
        <v>0.82528197488827404</v>
      </c>
      <c r="W535">
        <f>VLOOKUP($J535,'[1]Table S6'!$A:$AI,14,FALSE)</f>
        <v>12.3</v>
      </c>
      <c r="X535" t="str">
        <f>VLOOKUP($J535,'[1]Table S6'!$A:$AI,15,FALSE)</f>
        <v>No</v>
      </c>
      <c r="Z535">
        <f>VLOOKUP($J535,'[1]Table S6'!$A:$AI,17,FALSE)</f>
        <v>318.10000000000002</v>
      </c>
      <c r="AA535">
        <f>VLOOKUP($J535,'[1]Table S6'!$A:$AI,18,FALSE)</f>
        <v>0.67695254309427499</v>
      </c>
      <c r="AB535">
        <f>VLOOKUP($J535,'[1]Table S6'!$A:$AI,19,FALSE)</f>
        <v>1.702</v>
      </c>
      <c r="AC535" t="str">
        <f>VLOOKUP($J535,'[1]Table S6'!$A:$AI,20,FALSE)</f>
        <v>Yes</v>
      </c>
      <c r="AE535">
        <f>VLOOKUP($J535,'[1]Table S6'!$A:$AI,22,FALSE)</f>
        <v>387.6</v>
      </c>
      <c r="AF535">
        <f>VLOOKUP($J535,'[1]Table S6'!$A:$AI,23,FALSE)</f>
        <v>0.824856352415408</v>
      </c>
      <c r="AG535">
        <f>VLOOKUP($J535,'[1]Table S6'!$A:$AI,24,FALSE)</f>
        <v>13.28</v>
      </c>
      <c r="AH535" t="str">
        <f>VLOOKUP($J535,'[1]Table S6'!$A:$AI,25,FALSE)</f>
        <v>No</v>
      </c>
      <c r="AJ535">
        <f>VLOOKUP($J535,'[1]Table S6'!$A:$AI,27,FALSE)</f>
        <v>373.8</v>
      </c>
      <c r="AK535">
        <f>VLOOKUP($J535,'[1]Table S6'!$A:$AI,28,FALSE)</f>
        <v>0.79548840178761404</v>
      </c>
      <c r="AL535">
        <f>VLOOKUP($J535,'[1]Table S6'!$A:$AI,29,FALSE)</f>
        <v>12.39</v>
      </c>
      <c r="AM535" t="str">
        <f>VLOOKUP($J535,'[1]Table S6'!$A:$AI,30,FALSE)</f>
        <v>No</v>
      </c>
      <c r="AO535">
        <f>VLOOKUP($J535,'[1]Table S6'!$A:$AI,32,FALSE)</f>
        <v>387.2</v>
      </c>
      <c r="AP535">
        <f>VLOOKUP($J535,'[1]Table S6'!$A:$AI,33,FALSE)</f>
        <v>0.82400510746967404</v>
      </c>
      <c r="AQ535">
        <f>VLOOKUP($J535,'[1]Table S6'!$A:$AI,34,FALSE)</f>
        <v>12.75</v>
      </c>
      <c r="AR535" t="str">
        <f>VLOOKUP($J535,'[1]Table S6'!$A:$AI,35,FALSE)</f>
        <v>No</v>
      </c>
      <c r="AT535" t="e">
        <f>VLOOKUP($I535,'[2]Table S5'!$A:$K,8,FALSE)</f>
        <v>#N/A</v>
      </c>
      <c r="AU535" t="e">
        <f>VLOOKUP($I535,'[2]Table S5'!$A:$K,9,FALSE)</f>
        <v>#N/A</v>
      </c>
      <c r="AV535" t="e">
        <f>VLOOKUP($I535,'[2]Table S5'!$A:$K,10,FALSE)</f>
        <v>#N/A</v>
      </c>
      <c r="AW535" t="e">
        <f>VLOOKUP($I535,'[2]Table S5'!$A:$K,11,FALSE)</f>
        <v>#N/A</v>
      </c>
    </row>
    <row r="536" spans="1:49">
      <c r="A536" s="12" t="s">
        <v>3388</v>
      </c>
      <c r="B536" t="s">
        <v>3389</v>
      </c>
      <c r="C536" t="s">
        <v>3390</v>
      </c>
      <c r="D536" t="s">
        <v>17</v>
      </c>
      <c r="E536" t="s">
        <v>3391</v>
      </c>
      <c r="F536" s="12" t="s">
        <v>3392</v>
      </c>
      <c r="G536" t="s">
        <v>3393</v>
      </c>
      <c r="H536" t="s">
        <v>3394</v>
      </c>
      <c r="I536" t="s">
        <v>3386</v>
      </c>
      <c r="J536" t="s">
        <v>3395</v>
      </c>
      <c r="K536">
        <f>VLOOKUP($J536,'[1]Table S6'!$A:$AI,2,FALSE)</f>
        <v>391</v>
      </c>
      <c r="L536">
        <f>VLOOKUP($J536,'[1]Table S6'!$A:$AI,3,FALSE)</f>
        <v>0.83209193445413898</v>
      </c>
      <c r="M536">
        <f>VLOOKUP($J536,'[1]Table S6'!$A:$AI,4,FALSE)</f>
        <v>11.24</v>
      </c>
      <c r="N536" t="str">
        <f>VLOOKUP($J536,'[1]Table S6'!$A:$AI,5,FALSE)</f>
        <v>No</v>
      </c>
      <c r="P536">
        <f>VLOOKUP($J536,'[1]Table S6'!$A:$AI,7,FALSE)</f>
        <v>403.2</v>
      </c>
      <c r="Q536">
        <f>VLOOKUP($J536,'[1]Table S6'!$A:$AI,8,FALSE)</f>
        <v>0.85805490529899997</v>
      </c>
      <c r="R536">
        <f>VLOOKUP($J536,'[1]Table S6'!$A:$AI,9,FALSE)</f>
        <v>29.62</v>
      </c>
      <c r="S536" t="str">
        <f>VLOOKUP($J536,'[1]Table S6'!$A:$AI,10,FALSE)</f>
        <v>No</v>
      </c>
      <c r="U536">
        <f>VLOOKUP($J536,'[1]Table S6'!$A:$AI,12,FALSE)</f>
        <v>385.4</v>
      </c>
      <c r="V536">
        <f>VLOOKUP($J536,'[1]Table S6'!$A:$AI,13,FALSE)</f>
        <v>0.82017450521387503</v>
      </c>
      <c r="W536">
        <f>VLOOKUP($J536,'[1]Table S6'!$A:$AI,14,FALSE)</f>
        <v>15.13</v>
      </c>
      <c r="X536" t="str">
        <f>VLOOKUP($J536,'[1]Table S6'!$A:$AI,15,FALSE)</f>
        <v>No</v>
      </c>
      <c r="Z536">
        <f>VLOOKUP($J536,'[1]Table S6'!$A:$AI,17,FALSE)</f>
        <v>313.7</v>
      </c>
      <c r="AA536">
        <f>VLOOKUP($J536,'[1]Table S6'!$A:$AI,18,FALSE)</f>
        <v>0.66758884869121105</v>
      </c>
      <c r="AB536">
        <f>VLOOKUP($J536,'[1]Table S6'!$A:$AI,19,FALSE)</f>
        <v>2.181</v>
      </c>
      <c r="AC536" t="str">
        <f>VLOOKUP($J536,'[1]Table S6'!$A:$AI,20,FALSE)</f>
        <v>Yes</v>
      </c>
      <c r="AE536">
        <f>VLOOKUP($J536,'[1]Table S6'!$A:$AI,22,FALSE)</f>
        <v>390.4</v>
      </c>
      <c r="AF536">
        <f>VLOOKUP($J536,'[1]Table S6'!$A:$AI,23,FALSE)</f>
        <v>0.83081506703553898</v>
      </c>
      <c r="AG536">
        <f>VLOOKUP($J536,'[1]Table S6'!$A:$AI,24,FALSE)</f>
        <v>12.95</v>
      </c>
      <c r="AH536" t="str">
        <f>VLOOKUP($J536,'[1]Table S6'!$A:$AI,25,FALSE)</f>
        <v>No</v>
      </c>
      <c r="AJ536">
        <f>VLOOKUP($J536,'[1]Table S6'!$A:$AI,27,FALSE)</f>
        <v>404.6</v>
      </c>
      <c r="AK536">
        <f>VLOOKUP($J536,'[1]Table S6'!$A:$AI,28,FALSE)</f>
        <v>0.86103426260906601</v>
      </c>
      <c r="AL536">
        <f>VLOOKUP($J536,'[1]Table S6'!$A:$AI,29,FALSE)</f>
        <v>25.68</v>
      </c>
      <c r="AM536" t="str">
        <f>VLOOKUP($J536,'[1]Table S6'!$A:$AI,30,FALSE)</f>
        <v>No</v>
      </c>
      <c r="AO536">
        <f>VLOOKUP($J536,'[1]Table S6'!$A:$AI,32,FALSE)</f>
        <v>394</v>
      </c>
      <c r="AP536">
        <f>VLOOKUP($J536,'[1]Table S6'!$A:$AI,33,FALSE)</f>
        <v>0.838476271547138</v>
      </c>
      <c r="AQ536">
        <f>VLOOKUP($J536,'[1]Table S6'!$A:$AI,34,FALSE)</f>
        <v>17.73</v>
      </c>
      <c r="AR536" t="str">
        <f>VLOOKUP($J536,'[1]Table S6'!$A:$AI,35,FALSE)</f>
        <v>No</v>
      </c>
      <c r="AT536" t="e">
        <f>VLOOKUP($I536,'[2]Table S5'!$A:$K,8,FALSE)</f>
        <v>#N/A</v>
      </c>
      <c r="AU536" t="e">
        <f>VLOOKUP($I536,'[2]Table S5'!$A:$K,9,FALSE)</f>
        <v>#N/A</v>
      </c>
      <c r="AV536" t="e">
        <f>VLOOKUP($I536,'[2]Table S5'!$A:$K,10,FALSE)</f>
        <v>#N/A</v>
      </c>
      <c r="AW536" t="e">
        <f>VLOOKUP($I536,'[2]Table S5'!$A:$K,11,FALSE)</f>
        <v>#N/A</v>
      </c>
    </row>
    <row r="537" spans="1:49">
      <c r="A537" s="12" t="s">
        <v>3396</v>
      </c>
      <c r="B537" t="s">
        <v>3397</v>
      </c>
      <c r="C537" t="s">
        <v>3398</v>
      </c>
      <c r="D537" t="s">
        <v>17</v>
      </c>
      <c r="E537" t="s">
        <v>3399</v>
      </c>
      <c r="F537" s="12" t="s">
        <v>3400</v>
      </c>
      <c r="G537" t="s">
        <v>3401</v>
      </c>
      <c r="H537" t="s">
        <v>3402</v>
      </c>
      <c r="I537" t="s">
        <v>3386</v>
      </c>
      <c r="J537" t="s">
        <v>3403</v>
      </c>
      <c r="K537">
        <f>VLOOKUP($J537,'[1]Table S6'!$A:$AI,2,FALSE)</f>
        <v>367.3</v>
      </c>
      <c r="L537">
        <f>VLOOKUP($J537,'[1]Table S6'!$A:$AI,3,FALSE)</f>
        <v>0.78165567141945103</v>
      </c>
      <c r="M537">
        <f>VLOOKUP($J537,'[1]Table S6'!$A:$AI,4,FALSE)</f>
        <v>9.3219999999999992</v>
      </c>
      <c r="N537" t="str">
        <f>VLOOKUP($J537,'[1]Table S6'!$A:$AI,5,FALSE)</f>
        <v>No</v>
      </c>
      <c r="P537">
        <f>VLOOKUP($J537,'[1]Table S6'!$A:$AI,7,FALSE)</f>
        <v>362.4</v>
      </c>
      <c r="Q537">
        <f>VLOOKUP($J537,'[1]Table S6'!$A:$AI,8,FALSE)</f>
        <v>0.77122792083421998</v>
      </c>
      <c r="R537">
        <f>VLOOKUP($J537,'[1]Table S6'!$A:$AI,9,FALSE)</f>
        <v>6.5030000000000001</v>
      </c>
      <c r="S537" t="str">
        <f>VLOOKUP($J537,'[1]Table S6'!$A:$AI,10,FALSE)</f>
        <v>No</v>
      </c>
      <c r="U537">
        <f>VLOOKUP($J537,'[1]Table S6'!$A:$AI,12,FALSE)</f>
        <v>372.8</v>
      </c>
      <c r="V537">
        <f>VLOOKUP($J537,'[1]Table S6'!$A:$AI,13,FALSE)</f>
        <v>0.79336028942328196</v>
      </c>
      <c r="W537">
        <f>VLOOKUP($J537,'[1]Table S6'!$A:$AI,14,FALSE)</f>
        <v>10.89</v>
      </c>
      <c r="X537" t="str">
        <f>VLOOKUP($J537,'[1]Table S6'!$A:$AI,15,FALSE)</f>
        <v>No</v>
      </c>
      <c r="Z537">
        <f>VLOOKUP($J537,'[1]Table S6'!$A:$AI,17,FALSE)</f>
        <v>338.4</v>
      </c>
      <c r="AA537">
        <f>VLOOKUP($J537,'[1]Table S6'!$A:$AI,18,FALSE)</f>
        <v>0.72015322409023197</v>
      </c>
      <c r="AB537">
        <f>VLOOKUP($J537,'[1]Table S6'!$A:$AI,19,FALSE)</f>
        <v>3.83</v>
      </c>
      <c r="AC537" t="str">
        <f>VLOOKUP($J537,'[1]Table S6'!$A:$AI,20,FALSE)</f>
        <v>No</v>
      </c>
      <c r="AE537">
        <f>VLOOKUP($J537,'[1]Table S6'!$A:$AI,22,FALSE)</f>
        <v>383.8</v>
      </c>
      <c r="AF537">
        <f>VLOOKUP($J537,'[1]Table S6'!$A:$AI,23,FALSE)</f>
        <v>0.81676952543094306</v>
      </c>
      <c r="AG537">
        <f>VLOOKUP($J537,'[1]Table S6'!$A:$AI,24,FALSE)</f>
        <v>9.843</v>
      </c>
      <c r="AH537" t="str">
        <f>VLOOKUP($J537,'[1]Table S6'!$A:$AI,25,FALSE)</f>
        <v>No</v>
      </c>
      <c r="AJ537">
        <f>VLOOKUP($J537,'[1]Table S6'!$A:$AI,27,FALSE)</f>
        <v>370.8</v>
      </c>
      <c r="AK537">
        <f>VLOOKUP($J537,'[1]Table S6'!$A:$AI,28,FALSE)</f>
        <v>0.78910406469461603</v>
      </c>
      <c r="AL537">
        <f>VLOOKUP($J537,'[1]Table S6'!$A:$AI,29,FALSE)</f>
        <v>12.17</v>
      </c>
      <c r="AM537" t="str">
        <f>VLOOKUP($J537,'[1]Table S6'!$A:$AI,30,FALSE)</f>
        <v>No</v>
      </c>
      <c r="AO537">
        <f>VLOOKUP($J537,'[1]Table S6'!$A:$AI,32,FALSE)</f>
        <v>413.1</v>
      </c>
      <c r="AP537">
        <f>VLOOKUP($J537,'[1]Table S6'!$A:$AI,33,FALSE)</f>
        <v>0.87912321770589497</v>
      </c>
      <c r="AQ537">
        <f>VLOOKUP($J537,'[1]Table S6'!$A:$AI,34,FALSE)</f>
        <v>39.700000000000003</v>
      </c>
      <c r="AR537" t="str">
        <f>VLOOKUP($J537,'[1]Table S6'!$A:$AI,35,FALSE)</f>
        <v>No</v>
      </c>
      <c r="AT537" t="e">
        <f>VLOOKUP($I537,'[2]Table S5'!$A:$K,8,FALSE)</f>
        <v>#N/A</v>
      </c>
      <c r="AU537" t="e">
        <f>VLOOKUP($I537,'[2]Table S5'!$A:$K,9,FALSE)</f>
        <v>#N/A</v>
      </c>
      <c r="AV537" t="e">
        <f>VLOOKUP($I537,'[2]Table S5'!$A:$K,10,FALSE)</f>
        <v>#N/A</v>
      </c>
      <c r="AW537" t="e">
        <f>VLOOKUP($I537,'[2]Table S5'!$A:$K,11,FALSE)</f>
        <v>#N/A</v>
      </c>
    </row>
    <row r="538" spans="1:49">
      <c r="A538" s="12" t="s">
        <v>3404</v>
      </c>
      <c r="B538" t="s">
        <v>3405</v>
      </c>
      <c r="C538" t="s">
        <v>3406</v>
      </c>
      <c r="D538" t="s">
        <v>17</v>
      </c>
      <c r="E538" t="s">
        <v>3407</v>
      </c>
      <c r="F538" s="12" t="s">
        <v>3408</v>
      </c>
      <c r="G538" t="s">
        <v>3409</v>
      </c>
      <c r="H538" t="s">
        <v>3410</v>
      </c>
      <c r="I538" t="s">
        <v>3411</v>
      </c>
      <c r="J538" t="s">
        <v>3412</v>
      </c>
      <c r="K538">
        <f>VLOOKUP($J538,'[1]Table S6'!$A:$AI,2,FALSE)</f>
        <v>316.10000000000002</v>
      </c>
      <c r="L538">
        <f>VLOOKUP($J538,'[1]Table S6'!$A:$AI,3,FALSE)</f>
        <v>0.67269631836560995</v>
      </c>
      <c r="M538">
        <f>VLOOKUP($J538,'[1]Table S6'!$A:$AI,4,FALSE)</f>
        <v>1.583</v>
      </c>
      <c r="N538" t="str">
        <f>VLOOKUP($J538,'[1]Table S6'!$A:$AI,5,FALSE)</f>
        <v>Yes</v>
      </c>
      <c r="P538">
        <f>VLOOKUP($J538,'[1]Table S6'!$A:$AI,7,FALSE)</f>
        <v>369.7</v>
      </c>
      <c r="Q538">
        <f>VLOOKUP($J538,'[1]Table S6'!$A:$AI,8,FALSE)</f>
        <v>0.78676314109385004</v>
      </c>
      <c r="R538">
        <f>VLOOKUP($J538,'[1]Table S6'!$A:$AI,9,FALSE)</f>
        <v>9.0250000000000004</v>
      </c>
      <c r="S538" t="str">
        <f>VLOOKUP($J538,'[1]Table S6'!$A:$AI,10,FALSE)</f>
        <v>No</v>
      </c>
      <c r="U538">
        <f>VLOOKUP($J538,'[1]Table S6'!$A:$AI,12,FALSE)</f>
        <v>313.3</v>
      </c>
      <c r="V538">
        <f>VLOOKUP($J538,'[1]Table S6'!$A:$AI,13,FALSE)</f>
        <v>0.66673760374547797</v>
      </c>
      <c r="W538">
        <f>VLOOKUP($J538,'[1]Table S6'!$A:$AI,14,FALSE)</f>
        <v>5.2670000000000003</v>
      </c>
      <c r="X538" t="str">
        <f>VLOOKUP($J538,'[1]Table S6'!$A:$AI,15,FALSE)</f>
        <v>Yes</v>
      </c>
      <c r="Z538">
        <f>VLOOKUP($J538,'[1]Table S6'!$A:$AI,17,FALSE)</f>
        <v>382</v>
      </c>
      <c r="AA538">
        <f>VLOOKUP($J538,'[1]Table S6'!$A:$AI,18,FALSE)</f>
        <v>0.81293892317514405</v>
      </c>
      <c r="AB538">
        <f>VLOOKUP($J538,'[1]Table S6'!$A:$AI,19,FALSE)</f>
        <v>13.88</v>
      </c>
      <c r="AC538" t="str">
        <f>VLOOKUP($J538,'[1]Table S6'!$A:$AI,20,FALSE)</f>
        <v>No</v>
      </c>
      <c r="AE538">
        <f>VLOOKUP($J538,'[1]Table S6'!$A:$AI,22,FALSE)</f>
        <v>329.2</v>
      </c>
      <c r="AF538">
        <f>VLOOKUP($J538,'[1]Table S6'!$A:$AI,23,FALSE)</f>
        <v>0.70057459033837</v>
      </c>
      <c r="AG538">
        <f>VLOOKUP($J538,'[1]Table S6'!$A:$AI,24,FALSE)</f>
        <v>2.8879999999999999</v>
      </c>
      <c r="AH538" t="str">
        <f>VLOOKUP($J538,'[1]Table S6'!$A:$AI,25,FALSE)</f>
        <v>No</v>
      </c>
      <c r="AJ538">
        <f>VLOOKUP($J538,'[1]Table S6'!$A:$AI,27,FALSE)</f>
        <v>423.6</v>
      </c>
      <c r="AK538">
        <f>VLOOKUP($J538,'[1]Table S6'!$A:$AI,28,FALSE)</f>
        <v>0.90146839753138996</v>
      </c>
      <c r="AL538">
        <f>VLOOKUP($J538,'[1]Table S6'!$A:$AI,29,FALSE)</f>
        <v>114.9</v>
      </c>
      <c r="AM538" t="str">
        <f>VLOOKUP($J538,'[1]Table S6'!$A:$AI,30,FALSE)</f>
        <v>No</v>
      </c>
      <c r="AO538">
        <f>VLOOKUP($J538,'[1]Table S6'!$A:$AI,32,FALSE)</f>
        <v>385.5</v>
      </c>
      <c r="AP538">
        <f>VLOOKUP($J538,'[1]Table S6'!$A:$AI,33,FALSE)</f>
        <v>0.82038731645030905</v>
      </c>
      <c r="AQ538">
        <f>VLOOKUP($J538,'[1]Table S6'!$A:$AI,34,FALSE)</f>
        <v>16.920000000000002</v>
      </c>
      <c r="AR538" t="str">
        <f>VLOOKUP($J538,'[1]Table S6'!$A:$AI,35,FALSE)</f>
        <v>No</v>
      </c>
      <c r="AT538" t="e">
        <f>VLOOKUP($I538,'[2]Table S5'!$A:$K,8,FALSE)</f>
        <v>#N/A</v>
      </c>
      <c r="AU538" t="e">
        <f>VLOOKUP($I538,'[2]Table S5'!$A:$K,9,FALSE)</f>
        <v>#N/A</v>
      </c>
      <c r="AV538" t="e">
        <f>VLOOKUP($I538,'[2]Table S5'!$A:$K,10,FALSE)</f>
        <v>#N/A</v>
      </c>
      <c r="AW538" t="e">
        <f>VLOOKUP($I538,'[2]Table S5'!$A:$K,11,FALSE)</f>
        <v>#N/A</v>
      </c>
    </row>
    <row r="539" spans="1:49">
      <c r="A539" s="12" t="s">
        <v>3413</v>
      </c>
      <c r="B539" t="s">
        <v>3414</v>
      </c>
      <c r="C539" t="s">
        <v>3415</v>
      </c>
      <c r="D539" t="s">
        <v>17</v>
      </c>
      <c r="E539" t="s">
        <v>3416</v>
      </c>
      <c r="F539" s="12" t="s">
        <v>3417</v>
      </c>
      <c r="G539" t="s">
        <v>3418</v>
      </c>
      <c r="H539" t="s">
        <v>3419</v>
      </c>
      <c r="I539" t="s">
        <v>3411</v>
      </c>
      <c r="J539" t="s">
        <v>3420</v>
      </c>
      <c r="K539">
        <f>VLOOKUP($J539,'[1]Table S6'!$A:$AI,2,FALSE)</f>
        <v>252.7</v>
      </c>
      <c r="L539">
        <f>VLOOKUP($J539,'[1]Table S6'!$A:$AI,3,FALSE)</f>
        <v>0.53777399446690799</v>
      </c>
      <c r="M539">
        <f>VLOOKUP($J539,'[1]Table S6'!$A:$AI,4,FALSE)</f>
        <v>0.24049999999999999</v>
      </c>
      <c r="N539" t="str">
        <f>VLOOKUP($J539,'[1]Table S6'!$A:$AI,5,FALSE)</f>
        <v>Yes</v>
      </c>
      <c r="P539">
        <f>VLOOKUP($J539,'[1]Table S6'!$A:$AI,7,FALSE)</f>
        <v>361.8</v>
      </c>
      <c r="Q539">
        <f>VLOOKUP($J539,'[1]Table S6'!$A:$AI,8,FALSE)</f>
        <v>0.76995105341561998</v>
      </c>
      <c r="R539">
        <f>VLOOKUP($J539,'[1]Table S6'!$A:$AI,9,FALSE)</f>
        <v>7.7450000000000001</v>
      </c>
      <c r="S539" t="str">
        <f>VLOOKUP($J539,'[1]Table S6'!$A:$AI,10,FALSE)</f>
        <v>No</v>
      </c>
      <c r="U539">
        <f>VLOOKUP($J539,'[1]Table S6'!$A:$AI,12,FALSE)</f>
        <v>354.5</v>
      </c>
      <c r="V539">
        <f>VLOOKUP($J539,'[1]Table S6'!$A:$AI,13,FALSE)</f>
        <v>0.75441583315599103</v>
      </c>
      <c r="W539">
        <f>VLOOKUP($J539,'[1]Table S6'!$A:$AI,14,FALSE)</f>
        <v>12.7</v>
      </c>
      <c r="X539" t="str">
        <f>VLOOKUP($J539,'[1]Table S6'!$A:$AI,15,FALSE)</f>
        <v>No</v>
      </c>
      <c r="Z539">
        <f>VLOOKUP($J539,'[1]Table S6'!$A:$AI,17,FALSE)</f>
        <v>357.5</v>
      </c>
      <c r="AA539">
        <f>VLOOKUP($J539,'[1]Table S6'!$A:$AI,18,FALSE)</f>
        <v>0.76080017024898905</v>
      </c>
      <c r="AB539">
        <f>VLOOKUP($J539,'[1]Table S6'!$A:$AI,19,FALSE)</f>
        <v>5.085</v>
      </c>
      <c r="AC539" t="str">
        <f>VLOOKUP($J539,'[1]Table S6'!$A:$AI,20,FALSE)</f>
        <v>No</v>
      </c>
      <c r="AE539">
        <f>VLOOKUP($J539,'[1]Table S6'!$A:$AI,22,FALSE)</f>
        <v>318</v>
      </c>
      <c r="AF539">
        <f>VLOOKUP($J539,'[1]Table S6'!$A:$AI,23,FALSE)</f>
        <v>0.67673973185784198</v>
      </c>
      <c r="AG539">
        <f>VLOOKUP($J539,'[1]Table S6'!$A:$AI,24,FALSE)</f>
        <v>1.825</v>
      </c>
      <c r="AH539" t="str">
        <f>VLOOKUP($J539,'[1]Table S6'!$A:$AI,25,FALSE)</f>
        <v>Yes</v>
      </c>
      <c r="AJ539">
        <f>VLOOKUP($J539,'[1]Table S6'!$A:$AI,27,FALSE)</f>
        <v>397.6</v>
      </c>
      <c r="AK539">
        <f>VLOOKUP($J539,'[1]Table S6'!$A:$AI,28,FALSE)</f>
        <v>0.84613747605873602</v>
      </c>
      <c r="AL539">
        <f>VLOOKUP($J539,'[1]Table S6'!$A:$AI,29,FALSE)</f>
        <v>51.63</v>
      </c>
      <c r="AM539" t="str">
        <f>VLOOKUP($J539,'[1]Table S6'!$A:$AI,30,FALSE)</f>
        <v>No</v>
      </c>
      <c r="AO539">
        <f>VLOOKUP($J539,'[1]Table S6'!$A:$AI,32,FALSE)</f>
        <v>354.5</v>
      </c>
      <c r="AP539">
        <f>VLOOKUP($J539,'[1]Table S6'!$A:$AI,33,FALSE)</f>
        <v>0.75441583315599103</v>
      </c>
      <c r="AQ539">
        <f>VLOOKUP($J539,'[1]Table S6'!$A:$AI,34,FALSE)</f>
        <v>46.6</v>
      </c>
      <c r="AR539" t="str">
        <f>VLOOKUP($J539,'[1]Table S6'!$A:$AI,35,FALSE)</f>
        <v>No</v>
      </c>
      <c r="AT539" t="e">
        <f>VLOOKUP($I539,'[2]Table S5'!$A:$K,8,FALSE)</f>
        <v>#N/A</v>
      </c>
      <c r="AU539" t="e">
        <f>VLOOKUP($I539,'[2]Table S5'!$A:$K,9,FALSE)</f>
        <v>#N/A</v>
      </c>
      <c r="AV539" t="e">
        <f>VLOOKUP($I539,'[2]Table S5'!$A:$K,10,FALSE)</f>
        <v>#N/A</v>
      </c>
      <c r="AW539" t="e">
        <f>VLOOKUP($I539,'[2]Table S5'!$A:$K,11,FALSE)</f>
        <v>#N/A</v>
      </c>
    </row>
    <row r="540" spans="1:49">
      <c r="A540" s="12" t="s">
        <v>3421</v>
      </c>
      <c r="B540" t="s">
        <v>3422</v>
      </c>
      <c r="C540" t="s">
        <v>3423</v>
      </c>
      <c r="D540" t="s">
        <v>17</v>
      </c>
      <c r="E540" t="s">
        <v>3424</v>
      </c>
      <c r="F540" s="12" t="s">
        <v>3425</v>
      </c>
      <c r="G540" t="s">
        <v>3426</v>
      </c>
      <c r="H540" t="s">
        <v>3427</v>
      </c>
      <c r="I540" t="s">
        <v>3411</v>
      </c>
      <c r="J540" t="s">
        <v>3428</v>
      </c>
      <c r="K540">
        <f>VLOOKUP($J540,'[1]Table S6'!$A:$AI,2,FALSE)</f>
        <v>335.7</v>
      </c>
      <c r="L540">
        <f>VLOOKUP($J540,'[1]Table S6'!$A:$AI,3,FALSE)</f>
        <v>0.71440732070653301</v>
      </c>
      <c r="M540">
        <f>VLOOKUP($J540,'[1]Table S6'!$A:$AI,4,FALSE)</f>
        <v>2.669</v>
      </c>
      <c r="N540" t="str">
        <f>VLOOKUP($J540,'[1]Table S6'!$A:$AI,5,FALSE)</f>
        <v>No</v>
      </c>
      <c r="P540">
        <f>VLOOKUP($J540,'[1]Table S6'!$A:$AI,7,FALSE)</f>
        <v>397.2</v>
      </c>
      <c r="Q540">
        <f>VLOOKUP($J540,'[1]Table S6'!$A:$AI,8,FALSE)</f>
        <v>0.84528623111300305</v>
      </c>
      <c r="R540">
        <f>VLOOKUP($J540,'[1]Table S6'!$A:$AI,9,FALSE)</f>
        <v>26.16</v>
      </c>
      <c r="S540" t="str">
        <f>VLOOKUP($J540,'[1]Table S6'!$A:$AI,10,FALSE)</f>
        <v>No</v>
      </c>
      <c r="U540">
        <f>VLOOKUP($J540,'[1]Table S6'!$A:$AI,12,FALSE)</f>
        <v>329.9</v>
      </c>
      <c r="V540">
        <f>VLOOKUP($J540,'[1]Table S6'!$A:$AI,13,FALSE)</f>
        <v>0.70206426899340302</v>
      </c>
      <c r="W540">
        <f>VLOOKUP($J540,'[1]Table S6'!$A:$AI,14,FALSE)</f>
        <v>3.0539999999999998</v>
      </c>
      <c r="X540" t="str">
        <f>VLOOKUP($J540,'[1]Table S6'!$A:$AI,15,FALSE)</f>
        <v>No</v>
      </c>
      <c r="Z540">
        <f>VLOOKUP($J540,'[1]Table S6'!$A:$AI,17,FALSE)</f>
        <v>386.3</v>
      </c>
      <c r="AA540">
        <f>VLOOKUP($J540,'[1]Table S6'!$A:$AI,18,FALSE)</f>
        <v>0.82208980634177498</v>
      </c>
      <c r="AB540">
        <f>VLOOKUP($J540,'[1]Table S6'!$A:$AI,19,FALSE)</f>
        <v>11.55</v>
      </c>
      <c r="AC540" t="str">
        <f>VLOOKUP($J540,'[1]Table S6'!$A:$AI,20,FALSE)</f>
        <v>No</v>
      </c>
      <c r="AE540">
        <f>VLOOKUP($J540,'[1]Table S6'!$A:$AI,22,FALSE)</f>
        <v>397.5</v>
      </c>
      <c r="AF540">
        <f>VLOOKUP($J540,'[1]Table S6'!$A:$AI,23,FALSE)</f>
        <v>0.845924664822303</v>
      </c>
      <c r="AG540">
        <f>VLOOKUP($J540,'[1]Table S6'!$A:$AI,24,FALSE)</f>
        <v>23.62</v>
      </c>
      <c r="AH540" t="str">
        <f>VLOOKUP($J540,'[1]Table S6'!$A:$AI,25,FALSE)</f>
        <v>No</v>
      </c>
      <c r="AJ540">
        <f>VLOOKUP($J540,'[1]Table S6'!$A:$AI,27,FALSE)</f>
        <v>430.8</v>
      </c>
      <c r="AK540">
        <f>VLOOKUP($J540,'[1]Table S6'!$A:$AI,28,FALSE)</f>
        <v>0.916790806554586</v>
      </c>
      <c r="AL540">
        <f>VLOOKUP($J540,'[1]Table S6'!$A:$AI,29,FALSE)</f>
        <v>115.2</v>
      </c>
      <c r="AM540" t="str">
        <f>VLOOKUP($J540,'[1]Table S6'!$A:$AI,30,FALSE)</f>
        <v>No</v>
      </c>
      <c r="AO540">
        <f>VLOOKUP($J540,'[1]Table S6'!$A:$AI,32,FALSE)</f>
        <v>427.5</v>
      </c>
      <c r="AP540">
        <f>VLOOKUP($J540,'[1]Table S6'!$A:$AI,33,FALSE)</f>
        <v>0.90976803575228804</v>
      </c>
      <c r="AQ540">
        <f>VLOOKUP($J540,'[1]Table S6'!$A:$AI,34,FALSE)</f>
        <v>159.9</v>
      </c>
      <c r="AR540" t="str">
        <f>VLOOKUP($J540,'[1]Table S6'!$A:$AI,35,FALSE)</f>
        <v>No</v>
      </c>
      <c r="AT540" t="e">
        <f>VLOOKUP($I540,'[2]Table S5'!$A:$K,8,FALSE)</f>
        <v>#N/A</v>
      </c>
      <c r="AU540" t="e">
        <f>VLOOKUP($I540,'[2]Table S5'!$A:$K,9,FALSE)</f>
        <v>#N/A</v>
      </c>
      <c r="AV540" t="e">
        <f>VLOOKUP($I540,'[2]Table S5'!$A:$K,10,FALSE)</f>
        <v>#N/A</v>
      </c>
      <c r="AW540" t="e">
        <f>VLOOKUP($I540,'[2]Table S5'!$A:$K,11,FALSE)</f>
        <v>#N/A</v>
      </c>
    </row>
    <row r="541" spans="1:49">
      <c r="A541" s="12" t="s">
        <v>3429</v>
      </c>
      <c r="B541" t="s">
        <v>3430</v>
      </c>
      <c r="C541" t="s">
        <v>3431</v>
      </c>
      <c r="D541" t="s">
        <v>17</v>
      </c>
      <c r="E541" t="s">
        <v>1587</v>
      </c>
      <c r="F541" s="12" t="s">
        <v>1588</v>
      </c>
      <c r="G541" t="s">
        <v>1589</v>
      </c>
      <c r="H541" t="s">
        <v>1590</v>
      </c>
      <c r="I541" t="s">
        <v>1591</v>
      </c>
      <c r="J541" t="s">
        <v>1592</v>
      </c>
      <c r="K541">
        <f>VLOOKUP($J541,'[1]Table S6'!$A:$AI,2,FALSE)</f>
        <v>281.10000000000002</v>
      </c>
      <c r="L541">
        <f>VLOOKUP($J541,'[1]Table S6'!$A:$AI,3,FALSE)</f>
        <v>0.59821238561396095</v>
      </c>
      <c r="M541">
        <f>VLOOKUP($J541,'[1]Table S6'!$A:$AI,4,FALSE)</f>
        <v>0.63690000000000002</v>
      </c>
      <c r="N541" t="str">
        <f>VLOOKUP($J541,'[1]Table S6'!$A:$AI,5,FALSE)</f>
        <v>Yes</v>
      </c>
      <c r="P541">
        <f>VLOOKUP($J541,'[1]Table S6'!$A:$AI,7,FALSE)</f>
        <v>282.2</v>
      </c>
      <c r="Q541">
        <f>VLOOKUP($J541,'[1]Table S6'!$A:$AI,8,FALSE)</f>
        <v>0.60055330921472605</v>
      </c>
      <c r="R541">
        <f>VLOOKUP($J541,'[1]Table S6'!$A:$AI,9,FALSE)</f>
        <v>0.84440000000000004</v>
      </c>
      <c r="S541" t="str">
        <f>VLOOKUP($J541,'[1]Table S6'!$A:$AI,10,FALSE)</f>
        <v>Yes</v>
      </c>
      <c r="U541">
        <f>VLOOKUP($J541,'[1]Table S6'!$A:$AI,12,FALSE)</f>
        <v>289.3</v>
      </c>
      <c r="V541">
        <f>VLOOKUP($J541,'[1]Table S6'!$A:$AI,13,FALSE)</f>
        <v>0.61566290700148996</v>
      </c>
      <c r="W541">
        <f>VLOOKUP($J541,'[1]Table S6'!$A:$AI,14,FALSE)</f>
        <v>0.67879999999999996</v>
      </c>
      <c r="X541" t="str">
        <f>VLOOKUP($J541,'[1]Table S6'!$A:$AI,15,FALSE)</f>
        <v>Yes</v>
      </c>
      <c r="Z541">
        <f>VLOOKUP($J541,'[1]Table S6'!$A:$AI,17,FALSE)</f>
        <v>310.10000000000002</v>
      </c>
      <c r="AA541">
        <f>VLOOKUP($J541,'[1]Table S6'!$A:$AI,18,FALSE)</f>
        <v>0.65992764417961303</v>
      </c>
      <c r="AB541">
        <f>VLOOKUP($J541,'[1]Table S6'!$A:$AI,19,FALSE)</f>
        <v>1.5069999999999999</v>
      </c>
      <c r="AC541" t="str">
        <f>VLOOKUP($J541,'[1]Table S6'!$A:$AI,20,FALSE)</f>
        <v>Yes</v>
      </c>
      <c r="AE541">
        <f>VLOOKUP($J541,'[1]Table S6'!$A:$AI,22,FALSE)</f>
        <v>305.39999999999998</v>
      </c>
      <c r="AF541">
        <f>VLOOKUP($J541,'[1]Table S6'!$A:$AI,23,FALSE)</f>
        <v>0.64992551606724802</v>
      </c>
      <c r="AG541">
        <f>VLOOKUP($J541,'[1]Table S6'!$A:$AI,24,FALSE)</f>
        <v>1.2450000000000001</v>
      </c>
      <c r="AH541" t="str">
        <f>VLOOKUP($J541,'[1]Table S6'!$A:$AI,25,FALSE)</f>
        <v>Yes</v>
      </c>
      <c r="AJ541">
        <f>VLOOKUP($J541,'[1]Table S6'!$A:$AI,27,FALSE)</f>
        <v>388.2</v>
      </c>
      <c r="AK541">
        <f>VLOOKUP($J541,'[1]Table S6'!$A:$AI,28,FALSE)</f>
        <v>0.826133219834007</v>
      </c>
      <c r="AL541">
        <f>VLOOKUP($J541,'[1]Table S6'!$A:$AI,29,FALSE)</f>
        <v>49.89</v>
      </c>
      <c r="AM541" t="str">
        <f>VLOOKUP($J541,'[1]Table S6'!$A:$AI,30,FALSE)</f>
        <v>No</v>
      </c>
      <c r="AO541">
        <f>VLOOKUP($J541,'[1]Table S6'!$A:$AI,32,FALSE)</f>
        <v>449.2</v>
      </c>
      <c r="AP541">
        <f>VLOOKUP($J541,'[1]Table S6'!$A:$AI,33,FALSE)</f>
        <v>0.95594807405830995</v>
      </c>
      <c r="AQ541">
        <f>VLOOKUP($J541,'[1]Table S6'!$A:$AI,34,FALSE)</f>
        <v>125.1</v>
      </c>
      <c r="AR541" t="str">
        <f>VLOOKUP($J541,'[1]Table S6'!$A:$AI,35,FALSE)</f>
        <v>No</v>
      </c>
      <c r="AT541" t="e">
        <f>VLOOKUP($I541,'[2]Table S5'!$A:$K,8,FALSE)</f>
        <v>#N/A</v>
      </c>
      <c r="AU541" t="e">
        <f>VLOOKUP($I541,'[2]Table S5'!$A:$K,9,FALSE)</f>
        <v>#N/A</v>
      </c>
      <c r="AV541" t="e">
        <f>VLOOKUP($I541,'[2]Table S5'!$A:$K,10,FALSE)</f>
        <v>#N/A</v>
      </c>
      <c r="AW541" t="e">
        <f>VLOOKUP($I541,'[2]Table S5'!$A:$K,11,FALSE)</f>
        <v>#N/A</v>
      </c>
    </row>
    <row r="542" spans="1:49">
      <c r="A542" s="12" t="s">
        <v>3432</v>
      </c>
      <c r="B542" t="s">
        <v>3433</v>
      </c>
      <c r="C542" t="s">
        <v>3434</v>
      </c>
      <c r="D542" t="s">
        <v>17</v>
      </c>
      <c r="E542" t="s">
        <v>1604</v>
      </c>
      <c r="F542" s="12" t="s">
        <v>1605</v>
      </c>
      <c r="G542" t="s">
        <v>1606</v>
      </c>
      <c r="H542" t="s">
        <v>1607</v>
      </c>
      <c r="I542" t="s">
        <v>1591</v>
      </c>
      <c r="J542" t="s">
        <v>1592</v>
      </c>
      <c r="K542">
        <f>VLOOKUP($J542,'[1]Table S6'!$A:$AI,2,FALSE)</f>
        <v>281.10000000000002</v>
      </c>
      <c r="L542">
        <f>VLOOKUP($J542,'[1]Table S6'!$A:$AI,3,FALSE)</f>
        <v>0.59821238561396095</v>
      </c>
      <c r="M542">
        <f>VLOOKUP($J542,'[1]Table S6'!$A:$AI,4,FALSE)</f>
        <v>0.63690000000000002</v>
      </c>
      <c r="N542" t="str">
        <f>VLOOKUP($J542,'[1]Table S6'!$A:$AI,5,FALSE)</f>
        <v>Yes</v>
      </c>
      <c r="P542">
        <f>VLOOKUP($J542,'[1]Table S6'!$A:$AI,7,FALSE)</f>
        <v>282.2</v>
      </c>
      <c r="Q542">
        <f>VLOOKUP($J542,'[1]Table S6'!$A:$AI,8,FALSE)</f>
        <v>0.60055330921472605</v>
      </c>
      <c r="R542">
        <f>VLOOKUP($J542,'[1]Table S6'!$A:$AI,9,FALSE)</f>
        <v>0.84440000000000004</v>
      </c>
      <c r="S542" t="str">
        <f>VLOOKUP($J542,'[1]Table S6'!$A:$AI,10,FALSE)</f>
        <v>Yes</v>
      </c>
      <c r="U542">
        <f>VLOOKUP($J542,'[1]Table S6'!$A:$AI,12,FALSE)</f>
        <v>289.3</v>
      </c>
      <c r="V542">
        <f>VLOOKUP($J542,'[1]Table S6'!$A:$AI,13,FALSE)</f>
        <v>0.61566290700148996</v>
      </c>
      <c r="W542">
        <f>VLOOKUP($J542,'[1]Table S6'!$A:$AI,14,FALSE)</f>
        <v>0.67879999999999996</v>
      </c>
      <c r="X542" t="str">
        <f>VLOOKUP($J542,'[1]Table S6'!$A:$AI,15,FALSE)</f>
        <v>Yes</v>
      </c>
      <c r="Z542">
        <f>VLOOKUP($J542,'[1]Table S6'!$A:$AI,17,FALSE)</f>
        <v>310.10000000000002</v>
      </c>
      <c r="AA542">
        <f>VLOOKUP($J542,'[1]Table S6'!$A:$AI,18,FALSE)</f>
        <v>0.65992764417961303</v>
      </c>
      <c r="AB542">
        <f>VLOOKUP($J542,'[1]Table S6'!$A:$AI,19,FALSE)</f>
        <v>1.5069999999999999</v>
      </c>
      <c r="AC542" t="str">
        <f>VLOOKUP($J542,'[1]Table S6'!$A:$AI,20,FALSE)</f>
        <v>Yes</v>
      </c>
      <c r="AE542">
        <f>VLOOKUP($J542,'[1]Table S6'!$A:$AI,22,FALSE)</f>
        <v>305.39999999999998</v>
      </c>
      <c r="AF542">
        <f>VLOOKUP($J542,'[1]Table S6'!$A:$AI,23,FALSE)</f>
        <v>0.64992551606724802</v>
      </c>
      <c r="AG542">
        <f>VLOOKUP($J542,'[1]Table S6'!$A:$AI,24,FALSE)</f>
        <v>1.2450000000000001</v>
      </c>
      <c r="AH542" t="str">
        <f>VLOOKUP($J542,'[1]Table S6'!$A:$AI,25,FALSE)</f>
        <v>Yes</v>
      </c>
      <c r="AJ542">
        <f>VLOOKUP($J542,'[1]Table S6'!$A:$AI,27,FALSE)</f>
        <v>388.2</v>
      </c>
      <c r="AK542">
        <f>VLOOKUP($J542,'[1]Table S6'!$A:$AI,28,FALSE)</f>
        <v>0.826133219834007</v>
      </c>
      <c r="AL542">
        <f>VLOOKUP($J542,'[1]Table S6'!$A:$AI,29,FALSE)</f>
        <v>49.89</v>
      </c>
      <c r="AM542" t="str">
        <f>VLOOKUP($J542,'[1]Table S6'!$A:$AI,30,FALSE)</f>
        <v>No</v>
      </c>
      <c r="AO542">
        <f>VLOOKUP($J542,'[1]Table S6'!$A:$AI,32,FALSE)</f>
        <v>449.2</v>
      </c>
      <c r="AP542">
        <f>VLOOKUP($J542,'[1]Table S6'!$A:$AI,33,FALSE)</f>
        <v>0.95594807405830995</v>
      </c>
      <c r="AQ542">
        <f>VLOOKUP($J542,'[1]Table S6'!$A:$AI,34,FALSE)</f>
        <v>125.1</v>
      </c>
      <c r="AR542" t="str">
        <f>VLOOKUP($J542,'[1]Table S6'!$A:$AI,35,FALSE)</f>
        <v>No</v>
      </c>
      <c r="AT542" t="e">
        <f>VLOOKUP($I542,'[2]Table S5'!$A:$K,8,FALSE)</f>
        <v>#N/A</v>
      </c>
      <c r="AU542" t="e">
        <f>VLOOKUP($I542,'[2]Table S5'!$A:$K,9,FALSE)</f>
        <v>#N/A</v>
      </c>
      <c r="AV542" t="e">
        <f>VLOOKUP($I542,'[2]Table S5'!$A:$K,10,FALSE)</f>
        <v>#N/A</v>
      </c>
      <c r="AW542" t="e">
        <f>VLOOKUP($I542,'[2]Table S5'!$A:$K,11,FALSE)</f>
        <v>#N/A</v>
      </c>
    </row>
    <row r="543" spans="1:49">
      <c r="A543" s="12" t="s">
        <v>3435</v>
      </c>
      <c r="B543" t="s">
        <v>3436</v>
      </c>
      <c r="C543" t="s">
        <v>3437</v>
      </c>
      <c r="D543" t="s">
        <v>17</v>
      </c>
      <c r="E543" t="s">
        <v>1596</v>
      </c>
      <c r="F543" s="12" t="s">
        <v>1597</v>
      </c>
      <c r="G543" t="s">
        <v>1598</v>
      </c>
      <c r="H543" t="s">
        <v>1599</v>
      </c>
      <c r="I543" t="s">
        <v>1591</v>
      </c>
      <c r="J543" t="s">
        <v>1600</v>
      </c>
      <c r="K543">
        <f>VLOOKUP($J543,'[1]Table S6'!$A:$AI,2,FALSE)</f>
        <v>336.4</v>
      </c>
      <c r="L543">
        <f>VLOOKUP($J543,'[1]Table S6'!$A:$AI,3,FALSE)</f>
        <v>0.71589699936156603</v>
      </c>
      <c r="M543">
        <f>VLOOKUP($J543,'[1]Table S6'!$A:$AI,4,FALSE)</f>
        <v>2.8969999999999998</v>
      </c>
      <c r="N543" t="str">
        <f>VLOOKUP($J543,'[1]Table S6'!$A:$AI,5,FALSE)</f>
        <v>No</v>
      </c>
      <c r="P543">
        <f>VLOOKUP($J543,'[1]Table S6'!$A:$AI,7,FALSE)</f>
        <v>329.9</v>
      </c>
      <c r="Q543">
        <f>VLOOKUP($J543,'[1]Table S6'!$A:$AI,8,FALSE)</f>
        <v>0.70206426899340302</v>
      </c>
      <c r="R543">
        <f>VLOOKUP($J543,'[1]Table S6'!$A:$AI,9,FALSE)</f>
        <v>2.0939999999999999</v>
      </c>
      <c r="S543" t="str">
        <f>VLOOKUP($J543,'[1]Table S6'!$A:$AI,10,FALSE)</f>
        <v>No</v>
      </c>
      <c r="U543">
        <f>VLOOKUP($J543,'[1]Table S6'!$A:$AI,12,FALSE)</f>
        <v>329.3</v>
      </c>
      <c r="V543">
        <f>VLOOKUP($J543,'[1]Table S6'!$A:$AI,13,FALSE)</f>
        <v>0.70078740157480301</v>
      </c>
      <c r="W543">
        <f>VLOOKUP($J543,'[1]Table S6'!$A:$AI,14,FALSE)</f>
        <v>2.2250000000000001</v>
      </c>
      <c r="X543" t="str">
        <f>VLOOKUP($J543,'[1]Table S6'!$A:$AI,15,FALSE)</f>
        <v>Yes</v>
      </c>
      <c r="Z543">
        <f>VLOOKUP($J543,'[1]Table S6'!$A:$AI,17,FALSE)</f>
        <v>342.7</v>
      </c>
      <c r="AA543">
        <f>VLOOKUP($J543,'[1]Table S6'!$A:$AI,18,FALSE)</f>
        <v>0.72930410725686301</v>
      </c>
      <c r="AB543">
        <f>VLOOKUP($J543,'[1]Table S6'!$A:$AI,19,FALSE)</f>
        <v>5.694</v>
      </c>
      <c r="AC543" t="str">
        <f>VLOOKUP($J543,'[1]Table S6'!$A:$AI,20,FALSE)</f>
        <v>No</v>
      </c>
      <c r="AE543">
        <f>VLOOKUP($J543,'[1]Table S6'!$A:$AI,22,FALSE)</f>
        <v>330</v>
      </c>
      <c r="AF543">
        <f>VLOOKUP($J543,'[1]Table S6'!$A:$AI,23,FALSE)</f>
        <v>0.70227708022983604</v>
      </c>
      <c r="AG543">
        <f>VLOOKUP($J543,'[1]Table S6'!$A:$AI,24,FALSE)</f>
        <v>4.0309999999999997</v>
      </c>
      <c r="AH543" t="str">
        <f>VLOOKUP($J543,'[1]Table S6'!$A:$AI,25,FALSE)</f>
        <v>No</v>
      </c>
      <c r="AJ543">
        <f>VLOOKUP($J543,'[1]Table S6'!$A:$AI,27,FALSE)</f>
        <v>469.2</v>
      </c>
      <c r="AK543">
        <f>VLOOKUP($J543,'[1]Table S6'!$A:$AI,28,FALSE)</f>
        <v>0.99851032134496698</v>
      </c>
      <c r="AL543">
        <f>VLOOKUP($J543,'[1]Table S6'!$A:$AI,29,FALSE)</f>
        <v>330.9</v>
      </c>
      <c r="AM543" t="str">
        <f>VLOOKUP($J543,'[1]Table S6'!$A:$AI,30,FALSE)</f>
        <v>No</v>
      </c>
      <c r="AO543">
        <f>VLOOKUP($J543,'[1]Table S6'!$A:$AI,32,FALSE)</f>
        <v>444.4</v>
      </c>
      <c r="AP543">
        <f>VLOOKUP($J543,'[1]Table S6'!$A:$AI,33,FALSE)</f>
        <v>0.94573313470951303</v>
      </c>
      <c r="AQ543">
        <f>VLOOKUP($J543,'[1]Table S6'!$A:$AI,34,FALSE)</f>
        <v>283.8</v>
      </c>
      <c r="AR543" t="str">
        <f>VLOOKUP($J543,'[1]Table S6'!$A:$AI,35,FALSE)</f>
        <v>No</v>
      </c>
      <c r="AT543" t="e">
        <f>VLOOKUP($I543,'[2]Table S5'!$A:$K,8,FALSE)</f>
        <v>#N/A</v>
      </c>
      <c r="AU543" t="e">
        <f>VLOOKUP($I543,'[2]Table S5'!$A:$K,9,FALSE)</f>
        <v>#N/A</v>
      </c>
      <c r="AV543" t="e">
        <f>VLOOKUP($I543,'[2]Table S5'!$A:$K,10,FALSE)</f>
        <v>#N/A</v>
      </c>
      <c r="AW543" t="e">
        <f>VLOOKUP($I543,'[2]Table S5'!$A:$K,11,FALSE)</f>
        <v>#N/A</v>
      </c>
    </row>
    <row r="544" spans="1:49">
      <c r="A544" s="12" t="s">
        <v>3438</v>
      </c>
      <c r="B544" t="s">
        <v>3439</v>
      </c>
      <c r="C544" t="s">
        <v>3440</v>
      </c>
      <c r="D544" t="s">
        <v>17</v>
      </c>
      <c r="E544" t="s">
        <v>1611</v>
      </c>
      <c r="F544" s="12" t="s">
        <v>1612</v>
      </c>
      <c r="G544" t="s">
        <v>1613</v>
      </c>
      <c r="H544" t="s">
        <v>1614</v>
      </c>
      <c r="I544" t="s">
        <v>1591</v>
      </c>
      <c r="J544" t="s">
        <v>1600</v>
      </c>
      <c r="K544">
        <f>VLOOKUP($J544,'[1]Table S6'!$A:$AI,2,FALSE)</f>
        <v>336.4</v>
      </c>
      <c r="L544">
        <f>VLOOKUP($J544,'[1]Table S6'!$A:$AI,3,FALSE)</f>
        <v>0.71589699936156603</v>
      </c>
      <c r="M544">
        <f>VLOOKUP($J544,'[1]Table S6'!$A:$AI,4,FALSE)</f>
        <v>2.8969999999999998</v>
      </c>
      <c r="N544" t="str">
        <f>VLOOKUP($J544,'[1]Table S6'!$A:$AI,5,FALSE)</f>
        <v>No</v>
      </c>
      <c r="P544">
        <f>VLOOKUP($J544,'[1]Table S6'!$A:$AI,7,FALSE)</f>
        <v>329.9</v>
      </c>
      <c r="Q544">
        <f>VLOOKUP($J544,'[1]Table S6'!$A:$AI,8,FALSE)</f>
        <v>0.70206426899340302</v>
      </c>
      <c r="R544">
        <f>VLOOKUP($J544,'[1]Table S6'!$A:$AI,9,FALSE)</f>
        <v>2.0939999999999999</v>
      </c>
      <c r="S544" t="str">
        <f>VLOOKUP($J544,'[1]Table S6'!$A:$AI,10,FALSE)</f>
        <v>No</v>
      </c>
      <c r="U544">
        <f>VLOOKUP($J544,'[1]Table S6'!$A:$AI,12,FALSE)</f>
        <v>329.3</v>
      </c>
      <c r="V544">
        <f>VLOOKUP($J544,'[1]Table S6'!$A:$AI,13,FALSE)</f>
        <v>0.70078740157480301</v>
      </c>
      <c r="W544">
        <f>VLOOKUP($J544,'[1]Table S6'!$A:$AI,14,FALSE)</f>
        <v>2.2250000000000001</v>
      </c>
      <c r="X544" t="str">
        <f>VLOOKUP($J544,'[1]Table S6'!$A:$AI,15,FALSE)</f>
        <v>Yes</v>
      </c>
      <c r="Z544">
        <f>VLOOKUP($J544,'[1]Table S6'!$A:$AI,17,FALSE)</f>
        <v>342.7</v>
      </c>
      <c r="AA544">
        <f>VLOOKUP($J544,'[1]Table S6'!$A:$AI,18,FALSE)</f>
        <v>0.72930410725686301</v>
      </c>
      <c r="AB544">
        <f>VLOOKUP($J544,'[1]Table S6'!$A:$AI,19,FALSE)</f>
        <v>5.694</v>
      </c>
      <c r="AC544" t="str">
        <f>VLOOKUP($J544,'[1]Table S6'!$A:$AI,20,FALSE)</f>
        <v>No</v>
      </c>
      <c r="AE544">
        <f>VLOOKUP($J544,'[1]Table S6'!$A:$AI,22,FALSE)</f>
        <v>330</v>
      </c>
      <c r="AF544">
        <f>VLOOKUP($J544,'[1]Table S6'!$A:$AI,23,FALSE)</f>
        <v>0.70227708022983604</v>
      </c>
      <c r="AG544">
        <f>VLOOKUP($J544,'[1]Table S6'!$A:$AI,24,FALSE)</f>
        <v>4.0309999999999997</v>
      </c>
      <c r="AH544" t="str">
        <f>VLOOKUP($J544,'[1]Table S6'!$A:$AI,25,FALSE)</f>
        <v>No</v>
      </c>
      <c r="AJ544">
        <f>VLOOKUP($J544,'[1]Table S6'!$A:$AI,27,FALSE)</f>
        <v>469.2</v>
      </c>
      <c r="AK544">
        <f>VLOOKUP($J544,'[1]Table S6'!$A:$AI,28,FALSE)</f>
        <v>0.99851032134496698</v>
      </c>
      <c r="AL544">
        <f>VLOOKUP($J544,'[1]Table S6'!$A:$AI,29,FALSE)</f>
        <v>330.9</v>
      </c>
      <c r="AM544" t="str">
        <f>VLOOKUP($J544,'[1]Table S6'!$A:$AI,30,FALSE)</f>
        <v>No</v>
      </c>
      <c r="AO544">
        <f>VLOOKUP($J544,'[1]Table S6'!$A:$AI,32,FALSE)</f>
        <v>444.4</v>
      </c>
      <c r="AP544">
        <f>VLOOKUP($J544,'[1]Table S6'!$A:$AI,33,FALSE)</f>
        <v>0.94573313470951303</v>
      </c>
      <c r="AQ544">
        <f>VLOOKUP($J544,'[1]Table S6'!$A:$AI,34,FALSE)</f>
        <v>283.8</v>
      </c>
      <c r="AR544" t="str">
        <f>VLOOKUP($J544,'[1]Table S6'!$A:$AI,35,FALSE)</f>
        <v>No</v>
      </c>
      <c r="AT544" t="e">
        <f>VLOOKUP($I544,'[2]Table S5'!$A:$K,8,FALSE)</f>
        <v>#N/A</v>
      </c>
      <c r="AU544" t="e">
        <f>VLOOKUP($I544,'[2]Table S5'!$A:$K,9,FALSE)</f>
        <v>#N/A</v>
      </c>
      <c r="AV544" t="e">
        <f>VLOOKUP($I544,'[2]Table S5'!$A:$K,10,FALSE)</f>
        <v>#N/A</v>
      </c>
      <c r="AW544" t="e">
        <f>VLOOKUP($I544,'[2]Table S5'!$A:$K,11,FALSE)</f>
        <v>#N/A</v>
      </c>
    </row>
    <row r="545" spans="1:49">
      <c r="A545" s="12" t="s">
        <v>3441</v>
      </c>
      <c r="B545" t="s">
        <v>3442</v>
      </c>
      <c r="C545" t="s">
        <v>3443</v>
      </c>
      <c r="D545" t="s">
        <v>17</v>
      </c>
      <c r="E545" t="s">
        <v>3444</v>
      </c>
      <c r="F545" s="12" t="s">
        <v>3445</v>
      </c>
      <c r="G545" t="s">
        <v>3446</v>
      </c>
      <c r="H545" t="s">
        <v>3447</v>
      </c>
      <c r="I545" t="s">
        <v>3448</v>
      </c>
      <c r="J545" t="s">
        <v>3449</v>
      </c>
      <c r="K545">
        <f>VLOOKUP($J545,'[1]Table S6'!$A:$AI,2,FALSE)</f>
        <v>320.3</v>
      </c>
      <c r="L545">
        <f>VLOOKUP($J545,'[1]Table S6'!$A:$AI,3,FALSE)</f>
        <v>0.68163439029580797</v>
      </c>
      <c r="M545">
        <f>VLOOKUP($J545,'[1]Table S6'!$A:$AI,4,FALSE)</f>
        <v>1.841</v>
      </c>
      <c r="N545" t="str">
        <f>VLOOKUP($J545,'[1]Table S6'!$A:$AI,5,FALSE)</f>
        <v>Yes</v>
      </c>
      <c r="P545">
        <f>VLOOKUP($J545,'[1]Table S6'!$A:$AI,7,FALSE)</f>
        <v>320</v>
      </c>
      <c r="Q545">
        <f>VLOOKUP($J545,'[1]Table S6'!$A:$AI,8,FALSE)</f>
        <v>0.68099595658650802</v>
      </c>
      <c r="R545">
        <f>VLOOKUP($J545,'[1]Table S6'!$A:$AI,9,FALSE)</f>
        <v>1.9390000000000001</v>
      </c>
      <c r="S545" t="str">
        <f>VLOOKUP($J545,'[1]Table S6'!$A:$AI,10,FALSE)</f>
        <v>Yes</v>
      </c>
      <c r="U545">
        <f>VLOOKUP($J545,'[1]Table S6'!$A:$AI,12,FALSE)</f>
        <v>346.9</v>
      </c>
      <c r="V545">
        <f>VLOOKUP($J545,'[1]Table S6'!$A:$AI,13,FALSE)</f>
        <v>0.73824217918706103</v>
      </c>
      <c r="W545">
        <f>VLOOKUP($J545,'[1]Table S6'!$A:$AI,14,FALSE)</f>
        <v>8.375</v>
      </c>
      <c r="X545" t="str">
        <f>VLOOKUP($J545,'[1]Table S6'!$A:$AI,15,FALSE)</f>
        <v>No</v>
      </c>
      <c r="Z545">
        <f>VLOOKUP($J545,'[1]Table S6'!$A:$AI,17,FALSE)</f>
        <v>342.7</v>
      </c>
      <c r="AA545">
        <f>VLOOKUP($J545,'[1]Table S6'!$A:$AI,18,FALSE)</f>
        <v>0.72930410725686301</v>
      </c>
      <c r="AB545">
        <f>VLOOKUP($J545,'[1]Table S6'!$A:$AI,19,FALSE)</f>
        <v>4.1399999999999997</v>
      </c>
      <c r="AC545" t="str">
        <f>VLOOKUP($J545,'[1]Table S6'!$A:$AI,20,FALSE)</f>
        <v>No</v>
      </c>
      <c r="AE545">
        <f>VLOOKUP($J545,'[1]Table S6'!$A:$AI,22,FALSE)</f>
        <v>313.10000000000002</v>
      </c>
      <c r="AF545">
        <f>VLOOKUP($J545,'[1]Table S6'!$A:$AI,23,FALSE)</f>
        <v>0.66631198127261104</v>
      </c>
      <c r="AG545">
        <f>VLOOKUP($J545,'[1]Table S6'!$A:$AI,24,FALSE)</f>
        <v>2.669</v>
      </c>
      <c r="AH545" t="str">
        <f>VLOOKUP($J545,'[1]Table S6'!$A:$AI,25,FALSE)</f>
        <v>Yes</v>
      </c>
      <c r="AJ545">
        <f>VLOOKUP($J545,'[1]Table S6'!$A:$AI,27,FALSE)</f>
        <v>404.7</v>
      </c>
      <c r="AK545">
        <f>VLOOKUP($J545,'[1]Table S6'!$A:$AI,28,FALSE)</f>
        <v>0.86124707384549903</v>
      </c>
      <c r="AL545">
        <f>VLOOKUP($J545,'[1]Table S6'!$A:$AI,29,FALSE)</f>
        <v>86.81</v>
      </c>
      <c r="AM545" t="str">
        <f>VLOOKUP($J545,'[1]Table S6'!$A:$AI,30,FALSE)</f>
        <v>No</v>
      </c>
      <c r="AO545">
        <f>VLOOKUP($J545,'[1]Table S6'!$A:$AI,32,FALSE)</f>
        <v>361.2</v>
      </c>
      <c r="AP545">
        <f>VLOOKUP($J545,'[1]Table S6'!$A:$AI,33,FALSE)</f>
        <v>0.76867418599702098</v>
      </c>
      <c r="AQ545">
        <f>VLOOKUP($J545,'[1]Table S6'!$A:$AI,34,FALSE)</f>
        <v>8.5180000000000007</v>
      </c>
      <c r="AR545" t="str">
        <f>VLOOKUP($J545,'[1]Table S6'!$A:$AI,35,FALSE)</f>
        <v>No</v>
      </c>
      <c r="AT545" t="e">
        <f>VLOOKUP($I545,'[2]Table S5'!$A:$K,8,FALSE)</f>
        <v>#N/A</v>
      </c>
      <c r="AU545" t="e">
        <f>VLOOKUP($I545,'[2]Table S5'!$A:$K,9,FALSE)</f>
        <v>#N/A</v>
      </c>
      <c r="AV545" t="e">
        <f>VLOOKUP($I545,'[2]Table S5'!$A:$K,10,FALSE)</f>
        <v>#N/A</v>
      </c>
      <c r="AW545" t="e">
        <f>VLOOKUP($I545,'[2]Table S5'!$A:$K,11,FALSE)</f>
        <v>#N/A</v>
      </c>
    </row>
    <row r="546" spans="1:49">
      <c r="A546" s="12" t="s">
        <v>3450</v>
      </c>
      <c r="B546" t="s">
        <v>3451</v>
      </c>
      <c r="C546" t="s">
        <v>3452</v>
      </c>
      <c r="D546" t="s">
        <v>17</v>
      </c>
      <c r="E546" t="s">
        <v>3453</v>
      </c>
      <c r="F546" s="12" t="s">
        <v>3454</v>
      </c>
      <c r="G546" t="s">
        <v>3455</v>
      </c>
      <c r="H546" t="s">
        <v>3456</v>
      </c>
      <c r="I546" t="s">
        <v>3448</v>
      </c>
      <c r="J546" t="s">
        <v>3457</v>
      </c>
      <c r="K546">
        <f>VLOOKUP($J546,'[1]Table S6'!$A:$AI,2,FALSE)</f>
        <v>328.9</v>
      </c>
      <c r="L546">
        <f>VLOOKUP($J546,'[1]Table S6'!$A:$AI,3,FALSE)</f>
        <v>0.69993615662907005</v>
      </c>
      <c r="M546">
        <f>VLOOKUP($J546,'[1]Table S6'!$A:$AI,4,FALSE)</f>
        <v>2.4380000000000002</v>
      </c>
      <c r="N546" t="str">
        <f>VLOOKUP($J546,'[1]Table S6'!$A:$AI,5,FALSE)</f>
        <v>Yes</v>
      </c>
      <c r="P546">
        <f>VLOOKUP($J546,'[1]Table S6'!$A:$AI,7,FALSE)</f>
        <v>322.89999999999998</v>
      </c>
      <c r="Q546">
        <f>VLOOKUP($J546,'[1]Table S6'!$A:$AI,8,FALSE)</f>
        <v>0.68716748244307302</v>
      </c>
      <c r="R546">
        <f>VLOOKUP($J546,'[1]Table S6'!$A:$AI,9,FALSE)</f>
        <v>2.145</v>
      </c>
      <c r="S546" t="str">
        <f>VLOOKUP($J546,'[1]Table S6'!$A:$AI,10,FALSE)</f>
        <v>Yes</v>
      </c>
      <c r="U546">
        <f>VLOOKUP($J546,'[1]Table S6'!$A:$AI,12,FALSE)</f>
        <v>353.4</v>
      </c>
      <c r="V546">
        <f>VLOOKUP($J546,'[1]Table S6'!$A:$AI,13,FALSE)</f>
        <v>0.75207490955522405</v>
      </c>
      <c r="W546">
        <f>VLOOKUP($J546,'[1]Table S6'!$A:$AI,14,FALSE)</f>
        <v>5.7969999999999997</v>
      </c>
      <c r="X546" t="str">
        <f>VLOOKUP($J546,'[1]Table S6'!$A:$AI,15,FALSE)</f>
        <v>No</v>
      </c>
      <c r="Z546">
        <f>VLOOKUP($J546,'[1]Table S6'!$A:$AI,17,FALSE)</f>
        <v>326.39999999999998</v>
      </c>
      <c r="AA546">
        <f>VLOOKUP($J546,'[1]Table S6'!$A:$AI,18,FALSE)</f>
        <v>0.69461587571823802</v>
      </c>
      <c r="AB546">
        <f>VLOOKUP($J546,'[1]Table S6'!$A:$AI,19,FALSE)</f>
        <v>2.0350000000000001</v>
      </c>
      <c r="AC546" t="str">
        <f>VLOOKUP($J546,'[1]Table S6'!$A:$AI,20,FALSE)</f>
        <v>Yes</v>
      </c>
      <c r="AE546">
        <f>VLOOKUP($J546,'[1]Table S6'!$A:$AI,22,FALSE)</f>
        <v>344.2</v>
      </c>
      <c r="AF546">
        <f>VLOOKUP($J546,'[1]Table S6'!$A:$AI,23,FALSE)</f>
        <v>0.73249627580336196</v>
      </c>
      <c r="AG546">
        <f>VLOOKUP($J546,'[1]Table S6'!$A:$AI,24,FALSE)</f>
        <v>5.7370000000000001</v>
      </c>
      <c r="AH546" t="str">
        <f>VLOOKUP($J546,'[1]Table S6'!$A:$AI,25,FALSE)</f>
        <v>No</v>
      </c>
      <c r="AJ546">
        <f>VLOOKUP($J546,'[1]Table S6'!$A:$AI,27,FALSE)</f>
        <v>458.3</v>
      </c>
      <c r="AK546">
        <f>VLOOKUP($J546,'[1]Table S6'!$A:$AI,28,FALSE)</f>
        <v>0.97531389657373901</v>
      </c>
      <c r="AL546">
        <f>VLOOKUP($J546,'[1]Table S6'!$A:$AI,29,FALSE)</f>
        <v>330.4</v>
      </c>
      <c r="AM546" t="str">
        <f>VLOOKUP($J546,'[1]Table S6'!$A:$AI,30,FALSE)</f>
        <v>No</v>
      </c>
      <c r="AO546">
        <f>VLOOKUP($J546,'[1]Table S6'!$A:$AI,32,FALSE)</f>
        <v>408.8</v>
      </c>
      <c r="AP546">
        <f>VLOOKUP($J546,'[1]Table S6'!$A:$AI,33,FALSE)</f>
        <v>0.86997233453926404</v>
      </c>
      <c r="AQ546">
        <f>VLOOKUP($J546,'[1]Table S6'!$A:$AI,34,FALSE)</f>
        <v>98.43</v>
      </c>
      <c r="AR546" t="str">
        <f>VLOOKUP($J546,'[1]Table S6'!$A:$AI,35,FALSE)</f>
        <v>No</v>
      </c>
      <c r="AT546" t="e">
        <f>VLOOKUP($I546,'[2]Table S5'!$A:$K,8,FALSE)</f>
        <v>#N/A</v>
      </c>
      <c r="AU546" t="e">
        <f>VLOOKUP($I546,'[2]Table S5'!$A:$K,9,FALSE)</f>
        <v>#N/A</v>
      </c>
      <c r="AV546" t="e">
        <f>VLOOKUP($I546,'[2]Table S5'!$A:$K,10,FALSE)</f>
        <v>#N/A</v>
      </c>
      <c r="AW546" t="e">
        <f>VLOOKUP($I546,'[2]Table S5'!$A:$K,11,FALSE)</f>
        <v>#N/A</v>
      </c>
    </row>
    <row r="547" spans="1:49">
      <c r="A547" s="12" t="s">
        <v>3458</v>
      </c>
      <c r="B547" t="s">
        <v>3459</v>
      </c>
      <c r="C547" t="s">
        <v>3460</v>
      </c>
      <c r="D547" t="s">
        <v>17</v>
      </c>
      <c r="E547" t="s">
        <v>3461</v>
      </c>
      <c r="F547" s="12" t="s">
        <v>3462</v>
      </c>
      <c r="G547" t="s">
        <v>3463</v>
      </c>
      <c r="H547" t="s">
        <v>3464</v>
      </c>
      <c r="I547" t="s">
        <v>3465</v>
      </c>
      <c r="J547" t="s">
        <v>3466</v>
      </c>
      <c r="K547">
        <f>VLOOKUP($J547,'[1]Table S6'!$A:$AI,2,FALSE)</f>
        <v>318.10000000000002</v>
      </c>
      <c r="L547">
        <f>VLOOKUP($J547,'[1]Table S6'!$A:$AI,3,FALSE)</f>
        <v>0.67695254309427499</v>
      </c>
      <c r="M547">
        <f>VLOOKUP($J547,'[1]Table S6'!$A:$AI,4,FALSE)</f>
        <v>1.1850000000000001</v>
      </c>
      <c r="N547" t="str">
        <f>VLOOKUP($J547,'[1]Table S6'!$A:$AI,5,FALSE)</f>
        <v>Yes</v>
      </c>
      <c r="P547">
        <f>VLOOKUP($J547,'[1]Table S6'!$A:$AI,7,FALSE)</f>
        <v>310</v>
      </c>
      <c r="Q547">
        <f>VLOOKUP($J547,'[1]Table S6'!$A:$AI,8,FALSE)</f>
        <v>0.65971483294317901</v>
      </c>
      <c r="R547">
        <f>VLOOKUP($J547,'[1]Table S6'!$A:$AI,9,FALSE)</f>
        <v>1.1659999999999999</v>
      </c>
      <c r="S547" t="str">
        <f>VLOOKUP($J547,'[1]Table S6'!$A:$AI,10,FALSE)</f>
        <v>Yes</v>
      </c>
      <c r="U547">
        <f>VLOOKUP($J547,'[1]Table S6'!$A:$AI,12,FALSE)</f>
        <v>311.5</v>
      </c>
      <c r="V547">
        <f>VLOOKUP($J547,'[1]Table S6'!$A:$AI,13,FALSE)</f>
        <v>0.66290700148967896</v>
      </c>
      <c r="W547">
        <f>VLOOKUP($J547,'[1]Table S6'!$A:$AI,14,FALSE)</f>
        <v>1.3220000000000001</v>
      </c>
      <c r="X547" t="str">
        <f>VLOOKUP($J547,'[1]Table S6'!$A:$AI,15,FALSE)</f>
        <v>Yes</v>
      </c>
      <c r="Z547">
        <f>VLOOKUP($J547,'[1]Table S6'!$A:$AI,17,FALSE)</f>
        <v>307.39999999999998</v>
      </c>
      <c r="AA547">
        <f>VLOOKUP($J547,'[1]Table S6'!$A:$AI,18,FALSE)</f>
        <v>0.65418174079591396</v>
      </c>
      <c r="AB547">
        <f>VLOOKUP($J547,'[1]Table S6'!$A:$AI,19,FALSE)</f>
        <v>1.891</v>
      </c>
      <c r="AC547" t="str">
        <f>VLOOKUP($J547,'[1]Table S6'!$A:$AI,20,FALSE)</f>
        <v>Yes</v>
      </c>
      <c r="AE547">
        <f>VLOOKUP($J547,'[1]Table S6'!$A:$AI,22,FALSE)</f>
        <v>388.3</v>
      </c>
      <c r="AF547">
        <f>VLOOKUP($J547,'[1]Table S6'!$A:$AI,23,FALSE)</f>
        <v>0.82634603107044102</v>
      </c>
      <c r="AG547">
        <f>VLOOKUP($J547,'[1]Table S6'!$A:$AI,24,FALSE)</f>
        <v>11.58</v>
      </c>
      <c r="AH547" t="str">
        <f>VLOOKUP($J547,'[1]Table S6'!$A:$AI,25,FALSE)</f>
        <v>No</v>
      </c>
      <c r="AJ547">
        <f>VLOOKUP($J547,'[1]Table S6'!$A:$AI,27,FALSE)</f>
        <v>452.5</v>
      </c>
      <c r="AK547">
        <f>VLOOKUP($J547,'[1]Table S6'!$A:$AI,28,FALSE)</f>
        <v>0.96297084486060902</v>
      </c>
      <c r="AL547">
        <f>VLOOKUP($J547,'[1]Table S6'!$A:$AI,29,FALSE)</f>
        <v>124.6</v>
      </c>
      <c r="AM547" t="str">
        <f>VLOOKUP($J547,'[1]Table S6'!$A:$AI,30,FALSE)</f>
        <v>No</v>
      </c>
      <c r="AO547">
        <f>VLOOKUP($J547,'[1]Table S6'!$A:$AI,32,FALSE)</f>
        <v>442.7</v>
      </c>
      <c r="AP547">
        <f>VLOOKUP($J547,'[1]Table S6'!$A:$AI,33,FALSE)</f>
        <v>0.94211534369014704</v>
      </c>
      <c r="AQ547">
        <f>VLOOKUP($J547,'[1]Table S6'!$A:$AI,34,FALSE)</f>
        <v>94.59</v>
      </c>
      <c r="AR547" t="str">
        <f>VLOOKUP($J547,'[1]Table S6'!$A:$AI,35,FALSE)</f>
        <v>No</v>
      </c>
      <c r="AT547" t="e">
        <f>VLOOKUP($I547,'[2]Table S5'!$A:$K,8,FALSE)</f>
        <v>#N/A</v>
      </c>
      <c r="AU547" t="e">
        <f>VLOOKUP($I547,'[2]Table S5'!$A:$K,9,FALSE)</f>
        <v>#N/A</v>
      </c>
      <c r="AV547" t="e">
        <f>VLOOKUP($I547,'[2]Table S5'!$A:$K,10,FALSE)</f>
        <v>#N/A</v>
      </c>
      <c r="AW547" t="e">
        <f>VLOOKUP($I547,'[2]Table S5'!$A:$K,11,FALSE)</f>
        <v>#N/A</v>
      </c>
    </row>
    <row r="548" spans="1:49">
      <c r="A548" s="12" t="s">
        <v>3467</v>
      </c>
      <c r="B548" t="s">
        <v>3468</v>
      </c>
      <c r="C548" t="s">
        <v>3469</v>
      </c>
      <c r="D548" t="s">
        <v>17</v>
      </c>
      <c r="E548" t="s">
        <v>3470</v>
      </c>
      <c r="F548" s="12" t="s">
        <v>3471</v>
      </c>
      <c r="G548" t="s">
        <v>3472</v>
      </c>
      <c r="H548" t="s">
        <v>3473</v>
      </c>
      <c r="I548" t="s">
        <v>3474</v>
      </c>
      <c r="J548" t="s">
        <v>3475</v>
      </c>
      <c r="K548">
        <f>VLOOKUP($J548,'[1]Table S6'!$A:$AI,2,FALSE)</f>
        <v>347.9</v>
      </c>
      <c r="L548">
        <f>VLOOKUP($J548,'[1]Table S6'!$A:$AI,3,FALSE)</f>
        <v>0.740370291551394</v>
      </c>
      <c r="M548">
        <f>VLOOKUP($J548,'[1]Table S6'!$A:$AI,4,FALSE)</f>
        <v>4.282</v>
      </c>
      <c r="N548" t="str">
        <f>VLOOKUP($J548,'[1]Table S6'!$A:$AI,5,FALSE)</f>
        <v>No</v>
      </c>
      <c r="P548">
        <f>VLOOKUP($J548,'[1]Table S6'!$A:$AI,7,FALSE)</f>
        <v>331.1</v>
      </c>
      <c r="Q548">
        <f>VLOOKUP($J548,'[1]Table S6'!$A:$AI,8,FALSE)</f>
        <v>0.70461800383060202</v>
      </c>
      <c r="R548">
        <f>VLOOKUP($J548,'[1]Table S6'!$A:$AI,9,FALSE)</f>
        <v>2.8290000000000002</v>
      </c>
      <c r="S548" t="str">
        <f>VLOOKUP($J548,'[1]Table S6'!$A:$AI,10,FALSE)</f>
        <v>No</v>
      </c>
      <c r="U548">
        <f>VLOOKUP($J548,'[1]Table S6'!$A:$AI,12,FALSE)</f>
        <v>393.8</v>
      </c>
      <c r="V548">
        <f>VLOOKUP($J548,'[1]Table S6'!$A:$AI,13,FALSE)</f>
        <v>0.83805064907427096</v>
      </c>
      <c r="W548">
        <f>VLOOKUP($J548,'[1]Table S6'!$A:$AI,14,FALSE)</f>
        <v>12.03</v>
      </c>
      <c r="X548" t="str">
        <f>VLOOKUP($J548,'[1]Table S6'!$A:$AI,15,FALSE)</f>
        <v>No</v>
      </c>
      <c r="Z548">
        <f>VLOOKUP($J548,'[1]Table S6'!$A:$AI,17,FALSE)</f>
        <v>386.7</v>
      </c>
      <c r="AA548">
        <f>VLOOKUP($J548,'[1]Table S6'!$A:$AI,18,FALSE)</f>
        <v>0.82294105128750805</v>
      </c>
      <c r="AB548">
        <f>VLOOKUP($J548,'[1]Table S6'!$A:$AI,19,FALSE)</f>
        <v>19.420000000000002</v>
      </c>
      <c r="AC548" t="str">
        <f>VLOOKUP($J548,'[1]Table S6'!$A:$AI,20,FALSE)</f>
        <v>No</v>
      </c>
      <c r="AE548">
        <f>VLOOKUP($J548,'[1]Table S6'!$A:$AI,22,FALSE)</f>
        <v>325.3</v>
      </c>
      <c r="AF548">
        <f>VLOOKUP($J548,'[1]Table S6'!$A:$AI,23,FALSE)</f>
        <v>0.69227495211747203</v>
      </c>
      <c r="AG548">
        <f>VLOOKUP($J548,'[1]Table S6'!$A:$AI,24,FALSE)</f>
        <v>2.2749999999999999</v>
      </c>
      <c r="AH548" t="str">
        <f>VLOOKUP($J548,'[1]Table S6'!$A:$AI,25,FALSE)</f>
        <v>No</v>
      </c>
      <c r="AJ548">
        <f>VLOOKUP($J548,'[1]Table S6'!$A:$AI,27,FALSE)</f>
        <v>416.1</v>
      </c>
      <c r="AK548">
        <f>VLOOKUP($J548,'[1]Table S6'!$A:$AI,28,FALSE)</f>
        <v>0.88550755479889298</v>
      </c>
      <c r="AL548">
        <f>VLOOKUP($J548,'[1]Table S6'!$A:$AI,29,FALSE)</f>
        <v>38.71</v>
      </c>
      <c r="AM548" t="str">
        <f>VLOOKUP($J548,'[1]Table S6'!$A:$AI,30,FALSE)</f>
        <v>No</v>
      </c>
      <c r="AO548">
        <f>VLOOKUP($J548,'[1]Table S6'!$A:$AI,32,FALSE)</f>
        <v>409</v>
      </c>
      <c r="AP548">
        <f>VLOOKUP($J548,'[1]Table S6'!$A:$AI,33,FALSE)</f>
        <v>0.87039795701212996</v>
      </c>
      <c r="AQ548">
        <f>VLOOKUP($J548,'[1]Table S6'!$A:$AI,34,FALSE)</f>
        <v>36.29</v>
      </c>
      <c r="AR548" t="str">
        <f>VLOOKUP($J548,'[1]Table S6'!$A:$AI,35,FALSE)</f>
        <v>No</v>
      </c>
      <c r="AT548" t="e">
        <f>VLOOKUP($I548,'[2]Table S5'!$A:$K,8,FALSE)</f>
        <v>#N/A</v>
      </c>
      <c r="AU548" t="e">
        <f>VLOOKUP($I548,'[2]Table S5'!$A:$K,9,FALSE)</f>
        <v>#N/A</v>
      </c>
      <c r="AV548" t="e">
        <f>VLOOKUP($I548,'[2]Table S5'!$A:$K,10,FALSE)</f>
        <v>#N/A</v>
      </c>
      <c r="AW548" t="e">
        <f>VLOOKUP($I548,'[2]Table S5'!$A:$K,11,FALSE)</f>
        <v>#N/A</v>
      </c>
    </row>
    <row r="549" spans="1:49">
      <c r="A549" s="12" t="s">
        <v>3476</v>
      </c>
      <c r="B549" t="s">
        <v>3477</v>
      </c>
      <c r="C549" t="s">
        <v>3478</v>
      </c>
      <c r="D549" t="s">
        <v>17</v>
      </c>
      <c r="E549" t="s">
        <v>3479</v>
      </c>
      <c r="F549" s="12" t="s">
        <v>3480</v>
      </c>
      <c r="G549" t="s">
        <v>3481</v>
      </c>
      <c r="H549" t="s">
        <v>3482</v>
      </c>
      <c r="I549" t="s">
        <v>3474</v>
      </c>
      <c r="J549" t="s">
        <v>3475</v>
      </c>
      <c r="K549">
        <f>VLOOKUP($J549,'[1]Table S6'!$A:$AI,2,FALSE)</f>
        <v>347.9</v>
      </c>
      <c r="L549">
        <f>VLOOKUP($J549,'[1]Table S6'!$A:$AI,3,FALSE)</f>
        <v>0.740370291551394</v>
      </c>
      <c r="M549">
        <f>VLOOKUP($J549,'[1]Table S6'!$A:$AI,4,FALSE)</f>
        <v>4.282</v>
      </c>
      <c r="N549" t="str">
        <f>VLOOKUP($J549,'[1]Table S6'!$A:$AI,5,FALSE)</f>
        <v>No</v>
      </c>
      <c r="P549">
        <f>VLOOKUP($J549,'[1]Table S6'!$A:$AI,7,FALSE)</f>
        <v>331.1</v>
      </c>
      <c r="Q549">
        <f>VLOOKUP($J549,'[1]Table S6'!$A:$AI,8,FALSE)</f>
        <v>0.70461800383060202</v>
      </c>
      <c r="R549">
        <f>VLOOKUP($J549,'[1]Table S6'!$A:$AI,9,FALSE)</f>
        <v>2.8290000000000002</v>
      </c>
      <c r="S549" t="str">
        <f>VLOOKUP($J549,'[1]Table S6'!$A:$AI,10,FALSE)</f>
        <v>No</v>
      </c>
      <c r="U549">
        <f>VLOOKUP($J549,'[1]Table S6'!$A:$AI,12,FALSE)</f>
        <v>393.8</v>
      </c>
      <c r="V549">
        <f>VLOOKUP($J549,'[1]Table S6'!$A:$AI,13,FALSE)</f>
        <v>0.83805064907427096</v>
      </c>
      <c r="W549">
        <f>VLOOKUP($J549,'[1]Table S6'!$A:$AI,14,FALSE)</f>
        <v>12.03</v>
      </c>
      <c r="X549" t="str">
        <f>VLOOKUP($J549,'[1]Table S6'!$A:$AI,15,FALSE)</f>
        <v>No</v>
      </c>
      <c r="Z549">
        <f>VLOOKUP($J549,'[1]Table S6'!$A:$AI,17,FALSE)</f>
        <v>386.7</v>
      </c>
      <c r="AA549">
        <f>VLOOKUP($J549,'[1]Table S6'!$A:$AI,18,FALSE)</f>
        <v>0.82294105128750805</v>
      </c>
      <c r="AB549">
        <f>VLOOKUP($J549,'[1]Table S6'!$A:$AI,19,FALSE)</f>
        <v>19.420000000000002</v>
      </c>
      <c r="AC549" t="str">
        <f>VLOOKUP($J549,'[1]Table S6'!$A:$AI,20,FALSE)</f>
        <v>No</v>
      </c>
      <c r="AE549">
        <f>VLOOKUP($J549,'[1]Table S6'!$A:$AI,22,FALSE)</f>
        <v>325.3</v>
      </c>
      <c r="AF549">
        <f>VLOOKUP($J549,'[1]Table S6'!$A:$AI,23,FALSE)</f>
        <v>0.69227495211747203</v>
      </c>
      <c r="AG549">
        <f>VLOOKUP($J549,'[1]Table S6'!$A:$AI,24,FALSE)</f>
        <v>2.2749999999999999</v>
      </c>
      <c r="AH549" t="str">
        <f>VLOOKUP($J549,'[1]Table S6'!$A:$AI,25,FALSE)</f>
        <v>No</v>
      </c>
      <c r="AJ549">
        <f>VLOOKUP($J549,'[1]Table S6'!$A:$AI,27,FALSE)</f>
        <v>416.1</v>
      </c>
      <c r="AK549">
        <f>VLOOKUP($J549,'[1]Table S6'!$A:$AI,28,FALSE)</f>
        <v>0.88550755479889298</v>
      </c>
      <c r="AL549">
        <f>VLOOKUP($J549,'[1]Table S6'!$A:$AI,29,FALSE)</f>
        <v>38.71</v>
      </c>
      <c r="AM549" t="str">
        <f>VLOOKUP($J549,'[1]Table S6'!$A:$AI,30,FALSE)</f>
        <v>No</v>
      </c>
      <c r="AO549">
        <f>VLOOKUP($J549,'[1]Table S6'!$A:$AI,32,FALSE)</f>
        <v>409</v>
      </c>
      <c r="AP549">
        <f>VLOOKUP($J549,'[1]Table S6'!$A:$AI,33,FALSE)</f>
        <v>0.87039795701212996</v>
      </c>
      <c r="AQ549">
        <f>VLOOKUP($J549,'[1]Table S6'!$A:$AI,34,FALSE)</f>
        <v>36.29</v>
      </c>
      <c r="AR549" t="str">
        <f>VLOOKUP($J549,'[1]Table S6'!$A:$AI,35,FALSE)</f>
        <v>No</v>
      </c>
      <c r="AT549" t="e">
        <f>VLOOKUP($I549,'[2]Table S5'!$A:$K,8,FALSE)</f>
        <v>#N/A</v>
      </c>
      <c r="AU549" t="e">
        <f>VLOOKUP($I549,'[2]Table S5'!$A:$K,9,FALSE)</f>
        <v>#N/A</v>
      </c>
      <c r="AV549" t="e">
        <f>VLOOKUP($I549,'[2]Table S5'!$A:$K,10,FALSE)</f>
        <v>#N/A</v>
      </c>
      <c r="AW549" t="e">
        <f>VLOOKUP($I549,'[2]Table S5'!$A:$K,11,FALSE)</f>
        <v>#N/A</v>
      </c>
    </row>
    <row r="550" spans="1:49">
      <c r="A550" s="12" t="s">
        <v>3483</v>
      </c>
      <c r="B550" t="s">
        <v>3484</v>
      </c>
      <c r="C550" t="s">
        <v>3485</v>
      </c>
      <c r="D550" t="s">
        <v>17</v>
      </c>
      <c r="E550" t="s">
        <v>3486</v>
      </c>
      <c r="F550" s="12" t="s">
        <v>3487</v>
      </c>
      <c r="G550" t="s">
        <v>3488</v>
      </c>
      <c r="H550" t="s">
        <v>3489</v>
      </c>
      <c r="I550" t="s">
        <v>3490</v>
      </c>
      <c r="J550" t="s">
        <v>3491</v>
      </c>
      <c r="K550">
        <f>VLOOKUP($J550,'[1]Table S6'!$A:$AI,2,FALSE)</f>
        <v>312.3</v>
      </c>
      <c r="L550">
        <f>VLOOKUP($J550,'[1]Table S6'!$A:$AI,3,FALSE)</f>
        <v>0.664609491381145</v>
      </c>
      <c r="M550">
        <f>VLOOKUP($J550,'[1]Table S6'!$A:$AI,4,FALSE)</f>
        <v>1.7070000000000001</v>
      </c>
      <c r="N550" t="str">
        <f>VLOOKUP($J550,'[1]Table S6'!$A:$AI,5,FALSE)</f>
        <v>Yes</v>
      </c>
      <c r="P550">
        <f>VLOOKUP($J550,'[1]Table S6'!$A:$AI,7,FALSE)</f>
        <v>314.10000000000002</v>
      </c>
      <c r="Q550">
        <f>VLOOKUP($J550,'[1]Table S6'!$A:$AI,8,FALSE)</f>
        <v>0.66844009363694401</v>
      </c>
      <c r="R550">
        <f>VLOOKUP($J550,'[1]Table S6'!$A:$AI,9,FALSE)</f>
        <v>1.4279999999999999</v>
      </c>
      <c r="S550" t="str">
        <f>VLOOKUP($J550,'[1]Table S6'!$A:$AI,10,FALSE)</f>
        <v>Yes</v>
      </c>
      <c r="U550">
        <f>VLOOKUP($J550,'[1]Table S6'!$A:$AI,12,FALSE)</f>
        <v>326.2</v>
      </c>
      <c r="V550">
        <f>VLOOKUP($J550,'[1]Table S6'!$A:$AI,13,FALSE)</f>
        <v>0.69419025324537098</v>
      </c>
      <c r="W550">
        <f>VLOOKUP($J550,'[1]Table S6'!$A:$AI,14,FALSE)</f>
        <v>2.431</v>
      </c>
      <c r="X550" t="str">
        <f>VLOOKUP($J550,'[1]Table S6'!$A:$AI,15,FALSE)</f>
        <v>Yes</v>
      </c>
      <c r="Z550">
        <f>VLOOKUP($J550,'[1]Table S6'!$A:$AI,17,FALSE)</f>
        <v>329.9</v>
      </c>
      <c r="AA550">
        <f>VLOOKUP($J550,'[1]Table S6'!$A:$AI,18,FALSE)</f>
        <v>0.70206426899340302</v>
      </c>
      <c r="AB550">
        <f>VLOOKUP($J550,'[1]Table S6'!$A:$AI,19,FALSE)</f>
        <v>2.8370000000000002</v>
      </c>
      <c r="AC550" t="str">
        <f>VLOOKUP($J550,'[1]Table S6'!$A:$AI,20,FALSE)</f>
        <v>No</v>
      </c>
      <c r="AE550">
        <f>VLOOKUP($J550,'[1]Table S6'!$A:$AI,22,FALSE)</f>
        <v>398.7</v>
      </c>
      <c r="AF550">
        <f>VLOOKUP($J550,'[1]Table S6'!$A:$AI,23,FALSE)</f>
        <v>0.848478399659502</v>
      </c>
      <c r="AG550">
        <f>VLOOKUP($J550,'[1]Table S6'!$A:$AI,24,FALSE)</f>
        <v>23.91</v>
      </c>
      <c r="AH550" t="str">
        <f>VLOOKUP($J550,'[1]Table S6'!$A:$AI,25,FALSE)</f>
        <v>No</v>
      </c>
      <c r="AJ550">
        <f>VLOOKUP($J550,'[1]Table S6'!$A:$AI,27,FALSE)</f>
        <v>419.8</v>
      </c>
      <c r="AK550">
        <f>VLOOKUP($J550,'[1]Table S6'!$A:$AI,28,FALSE)</f>
        <v>0.89338157054692502</v>
      </c>
      <c r="AL550">
        <f>VLOOKUP($J550,'[1]Table S6'!$A:$AI,29,FALSE)</f>
        <v>65.72</v>
      </c>
      <c r="AM550" t="str">
        <f>VLOOKUP($J550,'[1]Table S6'!$A:$AI,30,FALSE)</f>
        <v>No</v>
      </c>
      <c r="AO550">
        <f>VLOOKUP($J550,'[1]Table S6'!$A:$AI,32,FALSE)</f>
        <v>453.5</v>
      </c>
      <c r="AP550">
        <f>VLOOKUP($J550,'[1]Table S6'!$A:$AI,33,FALSE)</f>
        <v>0.96509895722494199</v>
      </c>
      <c r="AQ550">
        <f>VLOOKUP($J550,'[1]Table S6'!$A:$AI,34,FALSE)</f>
        <v>763.2</v>
      </c>
      <c r="AR550" t="str">
        <f>VLOOKUP($J550,'[1]Table S6'!$A:$AI,35,FALSE)</f>
        <v>No</v>
      </c>
      <c r="AT550" t="e">
        <f>VLOOKUP($I550,'[2]Table S5'!$A:$K,8,FALSE)</f>
        <v>#N/A</v>
      </c>
      <c r="AU550" t="e">
        <f>VLOOKUP($I550,'[2]Table S5'!$A:$K,9,FALSE)</f>
        <v>#N/A</v>
      </c>
      <c r="AV550" t="e">
        <f>VLOOKUP($I550,'[2]Table S5'!$A:$K,10,FALSE)</f>
        <v>#N/A</v>
      </c>
      <c r="AW550" t="e">
        <f>VLOOKUP($I550,'[2]Table S5'!$A:$K,11,FALSE)</f>
        <v>#N/A</v>
      </c>
    </row>
    <row r="551" spans="1:49">
      <c r="A551" s="12" t="s">
        <v>3492</v>
      </c>
      <c r="B551" t="s">
        <v>3493</v>
      </c>
      <c r="C551" t="s">
        <v>3494</v>
      </c>
      <c r="D551" t="s">
        <v>17</v>
      </c>
      <c r="E551" t="s">
        <v>3495</v>
      </c>
      <c r="F551" s="12" t="s">
        <v>3496</v>
      </c>
      <c r="G551" t="s">
        <v>3497</v>
      </c>
      <c r="H551" t="s">
        <v>3498</v>
      </c>
      <c r="I551" t="s">
        <v>3490</v>
      </c>
      <c r="J551" t="s">
        <v>3499</v>
      </c>
      <c r="K551">
        <f>VLOOKUP($J551,'[1]Table S6'!$A:$AI,2,FALSE)</f>
        <v>308</v>
      </c>
      <c r="L551">
        <f>VLOOKUP($J551,'[1]Table S6'!$A:$AI,3,FALSE)</f>
        <v>0.65545860821451396</v>
      </c>
      <c r="M551">
        <f>VLOOKUP($J551,'[1]Table S6'!$A:$AI,4,FALSE)</f>
        <v>1.0960000000000001</v>
      </c>
      <c r="N551" t="str">
        <f>VLOOKUP($J551,'[1]Table S6'!$A:$AI,5,FALSE)</f>
        <v>Yes</v>
      </c>
      <c r="P551">
        <f>VLOOKUP($J551,'[1]Table S6'!$A:$AI,7,FALSE)</f>
        <v>257.89999999999998</v>
      </c>
      <c r="Q551">
        <f>VLOOKUP($J551,'[1]Table S6'!$A:$AI,8,FALSE)</f>
        <v>0.54884017876143898</v>
      </c>
      <c r="R551">
        <f>VLOOKUP($J551,'[1]Table S6'!$A:$AI,9,FALSE)</f>
        <v>0.32790000000000002</v>
      </c>
      <c r="S551" t="str">
        <f>VLOOKUP($J551,'[1]Table S6'!$A:$AI,10,FALSE)</f>
        <v>Yes</v>
      </c>
      <c r="U551">
        <f>VLOOKUP($J551,'[1]Table S6'!$A:$AI,12,FALSE)</f>
        <v>296.3</v>
      </c>
      <c r="V551">
        <f>VLOOKUP($J551,'[1]Table S6'!$A:$AI,13,FALSE)</f>
        <v>0.63055969355181996</v>
      </c>
      <c r="W551">
        <f>VLOOKUP($J551,'[1]Table S6'!$A:$AI,14,FALSE)</f>
        <v>0.97719999999999996</v>
      </c>
      <c r="X551" t="str">
        <f>VLOOKUP($J551,'[1]Table S6'!$A:$AI,15,FALSE)</f>
        <v>Yes</v>
      </c>
      <c r="Z551">
        <f>VLOOKUP($J551,'[1]Table S6'!$A:$AI,17,FALSE)</f>
        <v>310.7</v>
      </c>
      <c r="AA551">
        <f>VLOOKUP($J551,'[1]Table S6'!$A:$AI,18,FALSE)</f>
        <v>0.66120451159821203</v>
      </c>
      <c r="AB551">
        <f>VLOOKUP($J551,'[1]Table S6'!$A:$AI,19,FALSE)</f>
        <v>1.2549999999999999</v>
      </c>
      <c r="AC551" t="str">
        <f>VLOOKUP($J551,'[1]Table S6'!$A:$AI,20,FALSE)</f>
        <v>Yes</v>
      </c>
      <c r="AE551">
        <f>VLOOKUP($J551,'[1]Table S6'!$A:$AI,22,FALSE)</f>
        <v>334.1</v>
      </c>
      <c r="AF551">
        <f>VLOOKUP($J551,'[1]Table S6'!$A:$AI,23,FALSE)</f>
        <v>0.71100234092360104</v>
      </c>
      <c r="AG551">
        <f>VLOOKUP($J551,'[1]Table S6'!$A:$AI,24,FALSE)</f>
        <v>3.2919999999999998</v>
      </c>
      <c r="AH551" t="str">
        <f>VLOOKUP($J551,'[1]Table S6'!$A:$AI,25,FALSE)</f>
        <v>No</v>
      </c>
      <c r="AJ551">
        <f>VLOOKUP($J551,'[1]Table S6'!$A:$AI,27,FALSE)</f>
        <v>431.8</v>
      </c>
      <c r="AK551">
        <f>VLOOKUP($J551,'[1]Table S6'!$A:$AI,28,FALSE)</f>
        <v>0.91891891891891897</v>
      </c>
      <c r="AL551">
        <f>VLOOKUP($J551,'[1]Table S6'!$A:$AI,29,FALSE)</f>
        <v>162.1</v>
      </c>
      <c r="AM551" t="str">
        <f>VLOOKUP($J551,'[1]Table S6'!$A:$AI,30,FALSE)</f>
        <v>No</v>
      </c>
      <c r="AO551">
        <f>VLOOKUP($J551,'[1]Table S6'!$A:$AI,32,FALSE)</f>
        <v>418.6</v>
      </c>
      <c r="AP551">
        <f>VLOOKUP($J551,'[1]Table S6'!$A:$AI,33,FALSE)</f>
        <v>0.89082783570972601</v>
      </c>
      <c r="AQ551">
        <f>VLOOKUP($J551,'[1]Table S6'!$A:$AI,34,FALSE)</f>
        <v>120</v>
      </c>
      <c r="AR551" t="str">
        <f>VLOOKUP($J551,'[1]Table S6'!$A:$AI,35,FALSE)</f>
        <v>No</v>
      </c>
      <c r="AT551" t="e">
        <f>VLOOKUP($I551,'[2]Table S5'!$A:$K,8,FALSE)</f>
        <v>#N/A</v>
      </c>
      <c r="AU551" t="e">
        <f>VLOOKUP($I551,'[2]Table S5'!$A:$K,9,FALSE)</f>
        <v>#N/A</v>
      </c>
      <c r="AV551" t="e">
        <f>VLOOKUP($I551,'[2]Table S5'!$A:$K,10,FALSE)</f>
        <v>#N/A</v>
      </c>
      <c r="AW551" t="e">
        <f>VLOOKUP($I551,'[2]Table S5'!$A:$K,11,FALSE)</f>
        <v>#N/A</v>
      </c>
    </row>
    <row r="552" spans="1:49">
      <c r="A552" s="12" t="s">
        <v>3500</v>
      </c>
      <c r="B552" t="s">
        <v>3501</v>
      </c>
      <c r="C552" t="s">
        <v>3502</v>
      </c>
      <c r="D552" t="s">
        <v>17</v>
      </c>
      <c r="E552" t="s">
        <v>3503</v>
      </c>
      <c r="F552" s="12" t="s">
        <v>3504</v>
      </c>
      <c r="G552" t="s">
        <v>3505</v>
      </c>
      <c r="H552" t="s">
        <v>3506</v>
      </c>
      <c r="I552" t="s">
        <v>3507</v>
      </c>
      <c r="J552" t="s">
        <v>3508</v>
      </c>
      <c r="K552">
        <f>VLOOKUP($J552,'[1]Table S6'!$A:$AI,2,FALSE)</f>
        <v>389.5</v>
      </c>
      <c r="L552">
        <f>VLOOKUP($J552,'[1]Table S6'!$A:$AI,3,FALSE)</f>
        <v>0.82889976590764003</v>
      </c>
      <c r="M552">
        <f>VLOOKUP($J552,'[1]Table S6'!$A:$AI,4,FALSE)</f>
        <v>18.37</v>
      </c>
      <c r="N552" t="str">
        <f>VLOOKUP($J552,'[1]Table S6'!$A:$AI,5,FALSE)</f>
        <v>No</v>
      </c>
      <c r="P552">
        <f>VLOOKUP($J552,'[1]Table S6'!$A:$AI,7,FALSE)</f>
        <v>384.2</v>
      </c>
      <c r="Q552">
        <f>VLOOKUP($J552,'[1]Table S6'!$A:$AI,8,FALSE)</f>
        <v>0.81762077037667602</v>
      </c>
      <c r="R552">
        <f>VLOOKUP($J552,'[1]Table S6'!$A:$AI,9,FALSE)</f>
        <v>12.12</v>
      </c>
      <c r="S552" t="str">
        <f>VLOOKUP($J552,'[1]Table S6'!$A:$AI,10,FALSE)</f>
        <v>No</v>
      </c>
      <c r="U552">
        <f>VLOOKUP($J552,'[1]Table S6'!$A:$AI,12,FALSE)</f>
        <v>400.7</v>
      </c>
      <c r="V552">
        <f>VLOOKUP($J552,'[1]Table S6'!$A:$AI,13,FALSE)</f>
        <v>0.85273462438816805</v>
      </c>
      <c r="W552">
        <f>VLOOKUP($J552,'[1]Table S6'!$A:$AI,14,FALSE)</f>
        <v>41.6</v>
      </c>
      <c r="X552" t="str">
        <f>VLOOKUP($J552,'[1]Table S6'!$A:$AI,15,FALSE)</f>
        <v>No</v>
      </c>
      <c r="Z552">
        <f>VLOOKUP($J552,'[1]Table S6'!$A:$AI,17,FALSE)</f>
        <v>402.4</v>
      </c>
      <c r="AA552">
        <f>VLOOKUP($J552,'[1]Table S6'!$A:$AI,18,FALSE)</f>
        <v>0.85635241540753304</v>
      </c>
      <c r="AB552">
        <f>VLOOKUP($J552,'[1]Table S6'!$A:$AI,19,FALSE)</f>
        <v>27.36</v>
      </c>
      <c r="AC552" t="str">
        <f>VLOOKUP($J552,'[1]Table S6'!$A:$AI,20,FALSE)</f>
        <v>No</v>
      </c>
      <c r="AE552">
        <f>VLOOKUP($J552,'[1]Table S6'!$A:$AI,22,FALSE)</f>
        <v>338.9</v>
      </c>
      <c r="AF552">
        <f>VLOOKUP($J552,'[1]Table S6'!$A:$AI,23,FALSE)</f>
        <v>0.72121728027239795</v>
      </c>
      <c r="AG552">
        <f>VLOOKUP($J552,'[1]Table S6'!$A:$AI,24,FALSE)</f>
        <v>8.3810000000000002</v>
      </c>
      <c r="AH552" t="str">
        <f>VLOOKUP($J552,'[1]Table S6'!$A:$AI,25,FALSE)</f>
        <v>No</v>
      </c>
      <c r="AJ552">
        <f>VLOOKUP($J552,'[1]Table S6'!$A:$AI,27,FALSE)</f>
        <v>450.8</v>
      </c>
      <c r="AK552">
        <f>VLOOKUP($J552,'[1]Table S6'!$A:$AI,28,FALSE)</f>
        <v>0.95935305384124303</v>
      </c>
      <c r="AL552">
        <f>VLOOKUP($J552,'[1]Table S6'!$A:$AI,29,FALSE)</f>
        <v>286.8</v>
      </c>
      <c r="AM552" t="str">
        <f>VLOOKUP($J552,'[1]Table S6'!$A:$AI,30,FALSE)</f>
        <v>No</v>
      </c>
      <c r="AO552">
        <f>VLOOKUP($J552,'[1]Table S6'!$A:$AI,32,FALSE)</f>
        <v>434.1</v>
      </c>
      <c r="AP552">
        <f>VLOOKUP($J552,'[1]Table S6'!$A:$AI,33,FALSE)</f>
        <v>0.92381357735688496</v>
      </c>
      <c r="AQ552">
        <f>VLOOKUP($J552,'[1]Table S6'!$A:$AI,34,FALSE)</f>
        <v>118.8</v>
      </c>
      <c r="AR552" t="str">
        <f>VLOOKUP($J552,'[1]Table S6'!$A:$AI,35,FALSE)</f>
        <v>No</v>
      </c>
      <c r="AT552" t="e">
        <f>VLOOKUP($I552,'[2]Table S5'!$A:$K,8,FALSE)</f>
        <v>#N/A</v>
      </c>
      <c r="AU552" t="e">
        <f>VLOOKUP($I552,'[2]Table S5'!$A:$K,9,FALSE)</f>
        <v>#N/A</v>
      </c>
      <c r="AV552" t="e">
        <f>VLOOKUP($I552,'[2]Table S5'!$A:$K,10,FALSE)</f>
        <v>#N/A</v>
      </c>
      <c r="AW552" t="e">
        <f>VLOOKUP($I552,'[2]Table S5'!$A:$K,11,FALSE)</f>
        <v>#N/A</v>
      </c>
    </row>
    <row r="553" spans="1:49">
      <c r="A553" s="12" t="s">
        <v>3509</v>
      </c>
      <c r="B553" t="s">
        <v>3510</v>
      </c>
      <c r="C553" t="s">
        <v>3511</v>
      </c>
      <c r="D553" t="s">
        <v>17</v>
      </c>
      <c r="E553" t="s">
        <v>3512</v>
      </c>
      <c r="F553" s="12" t="s">
        <v>3513</v>
      </c>
      <c r="G553" t="s">
        <v>3514</v>
      </c>
      <c r="H553" t="s">
        <v>3515</v>
      </c>
      <c r="I553" t="s">
        <v>3507</v>
      </c>
      <c r="J553" t="s">
        <v>3516</v>
      </c>
      <c r="K553">
        <f>VLOOKUP($J553,'[1]Table S6'!$A:$AI,2,FALSE)</f>
        <v>300.3</v>
      </c>
      <c r="L553">
        <f>VLOOKUP($J553,'[1]Table S6'!$A:$AI,3,FALSE)</f>
        <v>0.63907214300915105</v>
      </c>
      <c r="M553">
        <f>VLOOKUP($J553,'[1]Table S6'!$A:$AI,4,FALSE)</f>
        <v>1.177</v>
      </c>
      <c r="N553" t="str">
        <f>VLOOKUP($J553,'[1]Table S6'!$A:$AI,5,FALSE)</f>
        <v>Yes</v>
      </c>
      <c r="P553">
        <f>VLOOKUP($J553,'[1]Table S6'!$A:$AI,7,FALSE)</f>
        <v>327.10000000000002</v>
      </c>
      <c r="Q553">
        <f>VLOOKUP($J553,'[1]Table S6'!$A:$AI,8,FALSE)</f>
        <v>0.69610555437327104</v>
      </c>
      <c r="R553">
        <f>VLOOKUP($J553,'[1]Table S6'!$A:$AI,9,FALSE)</f>
        <v>2.5289999999999999</v>
      </c>
      <c r="S553" t="str">
        <f>VLOOKUP($J553,'[1]Table S6'!$A:$AI,10,FALSE)</f>
        <v>Yes</v>
      </c>
      <c r="U553">
        <f>VLOOKUP($J553,'[1]Table S6'!$A:$AI,12,FALSE)</f>
        <v>390</v>
      </c>
      <c r="V553">
        <f>VLOOKUP($J553,'[1]Table S6'!$A:$AI,13,FALSE)</f>
        <v>0.82996382208980601</v>
      </c>
      <c r="W553">
        <f>VLOOKUP($J553,'[1]Table S6'!$A:$AI,14,FALSE)</f>
        <v>22.99</v>
      </c>
      <c r="X553" t="str">
        <f>VLOOKUP($J553,'[1]Table S6'!$A:$AI,15,FALSE)</f>
        <v>No</v>
      </c>
      <c r="Z553">
        <f>VLOOKUP($J553,'[1]Table S6'!$A:$AI,17,FALSE)</f>
        <v>350.4</v>
      </c>
      <c r="AA553">
        <f>VLOOKUP($J553,'[1]Table S6'!$A:$AI,18,FALSE)</f>
        <v>0.74569057246222603</v>
      </c>
      <c r="AB553">
        <f>VLOOKUP($J553,'[1]Table S6'!$A:$AI,19,FALSE)</f>
        <v>5.6120000000000001</v>
      </c>
      <c r="AC553" t="str">
        <f>VLOOKUP($J553,'[1]Table S6'!$A:$AI,20,FALSE)</f>
        <v>No</v>
      </c>
      <c r="AE553">
        <f>VLOOKUP($J553,'[1]Table S6'!$A:$AI,22,FALSE)</f>
        <v>329.1</v>
      </c>
      <c r="AF553">
        <f>VLOOKUP($J553,'[1]Table S6'!$A:$AI,23,FALSE)</f>
        <v>0.70036177910193698</v>
      </c>
      <c r="AG553">
        <f>VLOOKUP($J553,'[1]Table S6'!$A:$AI,24,FALSE)</f>
        <v>3.5510000000000002</v>
      </c>
      <c r="AH553" t="str">
        <f>VLOOKUP($J553,'[1]Table S6'!$A:$AI,25,FALSE)</f>
        <v>No</v>
      </c>
      <c r="AJ553">
        <f>VLOOKUP($J553,'[1]Table S6'!$A:$AI,27,FALSE)</f>
        <v>412.2</v>
      </c>
      <c r="AK553">
        <f>VLOOKUP($J553,'[1]Table S6'!$A:$AI,28,FALSE)</f>
        <v>0.87720791657799502</v>
      </c>
      <c r="AL553">
        <f>VLOOKUP($J553,'[1]Table S6'!$A:$AI,29,FALSE)</f>
        <v>75.569999999999993</v>
      </c>
      <c r="AM553" t="str">
        <f>VLOOKUP($J553,'[1]Table S6'!$A:$AI,30,FALSE)</f>
        <v>No</v>
      </c>
      <c r="AO553">
        <f>VLOOKUP($J553,'[1]Table S6'!$A:$AI,32,FALSE)</f>
        <v>396.1</v>
      </c>
      <c r="AP553">
        <f>VLOOKUP($J553,'[1]Table S6'!$A:$AI,33,FALSE)</f>
        <v>0.84294530751223695</v>
      </c>
      <c r="AQ553">
        <f>VLOOKUP($J553,'[1]Table S6'!$A:$AI,34,FALSE)</f>
        <v>54.96</v>
      </c>
      <c r="AR553" t="str">
        <f>VLOOKUP($J553,'[1]Table S6'!$A:$AI,35,FALSE)</f>
        <v>No</v>
      </c>
      <c r="AT553" t="e">
        <f>VLOOKUP($I553,'[2]Table S5'!$A:$K,8,FALSE)</f>
        <v>#N/A</v>
      </c>
      <c r="AU553" t="e">
        <f>VLOOKUP($I553,'[2]Table S5'!$A:$K,9,FALSE)</f>
        <v>#N/A</v>
      </c>
      <c r="AV553" t="e">
        <f>VLOOKUP($I553,'[2]Table S5'!$A:$K,10,FALSE)</f>
        <v>#N/A</v>
      </c>
      <c r="AW553" t="e">
        <f>VLOOKUP($I553,'[2]Table S5'!$A:$K,11,FALSE)</f>
        <v>#N/A</v>
      </c>
    </row>
    <row r="554" spans="1:49">
      <c r="A554" s="12" t="s">
        <v>3517</v>
      </c>
      <c r="B554" t="s">
        <v>3518</v>
      </c>
      <c r="C554" t="s">
        <v>3519</v>
      </c>
      <c r="D554" t="s">
        <v>17</v>
      </c>
      <c r="E554" t="s">
        <v>3520</v>
      </c>
      <c r="F554" s="12" t="s">
        <v>3521</v>
      </c>
      <c r="G554" t="s">
        <v>3522</v>
      </c>
      <c r="H554" t="s">
        <v>3523</v>
      </c>
      <c r="I554" t="s">
        <v>3524</v>
      </c>
      <c r="J554" t="s">
        <v>3525</v>
      </c>
      <c r="K554">
        <f>VLOOKUP($J554,'[1]Table S6'!$A:$AI,2,FALSE)</f>
        <v>401</v>
      </c>
      <c r="L554">
        <f>VLOOKUP($J554,'[1]Table S6'!$A:$AI,3,FALSE)</f>
        <v>0.853373058097468</v>
      </c>
      <c r="M554">
        <f>VLOOKUP($J554,'[1]Table S6'!$A:$AI,4,FALSE)</f>
        <v>28.92</v>
      </c>
      <c r="N554" t="str">
        <f>VLOOKUP($J554,'[1]Table S6'!$A:$AI,5,FALSE)</f>
        <v>No</v>
      </c>
      <c r="P554">
        <f>VLOOKUP($J554,'[1]Table S6'!$A:$AI,7,FALSE)</f>
        <v>322.5</v>
      </c>
      <c r="Q554">
        <f>VLOOKUP($J554,'[1]Table S6'!$A:$AI,8,FALSE)</f>
        <v>0.68631623749734005</v>
      </c>
      <c r="R554">
        <f>VLOOKUP($J554,'[1]Table S6'!$A:$AI,9,FALSE)</f>
        <v>2.2200000000000002</v>
      </c>
      <c r="S554" t="str">
        <f>VLOOKUP($J554,'[1]Table S6'!$A:$AI,10,FALSE)</f>
        <v>Yes</v>
      </c>
      <c r="U554">
        <f>VLOOKUP($J554,'[1]Table S6'!$A:$AI,12,FALSE)</f>
        <v>386.4</v>
      </c>
      <c r="V554">
        <f>VLOOKUP($J554,'[1]Table S6'!$A:$AI,13,FALSE)</f>
        <v>0.82230261757820799</v>
      </c>
      <c r="W554">
        <f>VLOOKUP($J554,'[1]Table S6'!$A:$AI,14,FALSE)</f>
        <v>16.32</v>
      </c>
      <c r="X554" t="str">
        <f>VLOOKUP($J554,'[1]Table S6'!$A:$AI,15,FALSE)</f>
        <v>No</v>
      </c>
      <c r="Z554">
        <f>VLOOKUP($J554,'[1]Table S6'!$A:$AI,17,FALSE)</f>
        <v>314.8</v>
      </c>
      <c r="AA554">
        <f>VLOOKUP($J554,'[1]Table S6'!$A:$AI,18,FALSE)</f>
        <v>0.66992977229197703</v>
      </c>
      <c r="AB554">
        <f>VLOOKUP($J554,'[1]Table S6'!$A:$AI,19,FALSE)</f>
        <v>1.57</v>
      </c>
      <c r="AC554" t="str">
        <f>VLOOKUP($J554,'[1]Table S6'!$A:$AI,20,FALSE)</f>
        <v>Yes</v>
      </c>
      <c r="AE554">
        <f>VLOOKUP($J554,'[1]Table S6'!$A:$AI,22,FALSE)</f>
        <v>404.1</v>
      </c>
      <c r="AF554">
        <f>VLOOKUP($J554,'[1]Table S6'!$A:$AI,23,FALSE)</f>
        <v>0.85997020642689903</v>
      </c>
      <c r="AG554">
        <f>VLOOKUP($J554,'[1]Table S6'!$A:$AI,24,FALSE)</f>
        <v>38.22</v>
      </c>
      <c r="AH554" t="str">
        <f>VLOOKUP($J554,'[1]Table S6'!$A:$AI,25,FALSE)</f>
        <v>No</v>
      </c>
      <c r="AJ554">
        <f>VLOOKUP($J554,'[1]Table S6'!$A:$AI,27,FALSE)</f>
        <v>420.6</v>
      </c>
      <c r="AK554">
        <f>VLOOKUP($J554,'[1]Table S6'!$A:$AI,28,FALSE)</f>
        <v>0.89508406043839095</v>
      </c>
      <c r="AL554">
        <f>VLOOKUP($J554,'[1]Table S6'!$A:$AI,29,FALSE)</f>
        <v>57.76</v>
      </c>
      <c r="AM554" t="str">
        <f>VLOOKUP($J554,'[1]Table S6'!$A:$AI,30,FALSE)</f>
        <v>No</v>
      </c>
      <c r="AO554">
        <f>VLOOKUP($J554,'[1]Table S6'!$A:$AI,32,FALSE)</f>
        <v>395.3</v>
      </c>
      <c r="AP554">
        <f>VLOOKUP($J554,'[1]Table S6'!$A:$AI,33,FALSE)</f>
        <v>0.84124281762077002</v>
      </c>
      <c r="AQ554">
        <f>VLOOKUP($J554,'[1]Table S6'!$A:$AI,34,FALSE)</f>
        <v>22.52</v>
      </c>
      <c r="AR554" t="str">
        <f>VLOOKUP($J554,'[1]Table S6'!$A:$AI,35,FALSE)</f>
        <v>No</v>
      </c>
      <c r="AT554" t="e">
        <f>VLOOKUP($I554,'[2]Table S5'!$A:$K,8,FALSE)</f>
        <v>#N/A</v>
      </c>
      <c r="AU554" t="e">
        <f>VLOOKUP($I554,'[2]Table S5'!$A:$K,9,FALSE)</f>
        <v>#N/A</v>
      </c>
      <c r="AV554" t="e">
        <f>VLOOKUP($I554,'[2]Table S5'!$A:$K,10,FALSE)</f>
        <v>#N/A</v>
      </c>
      <c r="AW554" t="e">
        <f>VLOOKUP($I554,'[2]Table S5'!$A:$K,11,FALSE)</f>
        <v>#N/A</v>
      </c>
    </row>
    <row r="555" spans="1:49">
      <c r="A555" s="12" t="s">
        <v>3526</v>
      </c>
      <c r="B555" t="s">
        <v>3527</v>
      </c>
      <c r="C555" t="s">
        <v>3528</v>
      </c>
      <c r="D555" t="s">
        <v>17</v>
      </c>
      <c r="E555" t="s">
        <v>3529</v>
      </c>
      <c r="F555" s="12" t="s">
        <v>3530</v>
      </c>
      <c r="G555" t="s">
        <v>3531</v>
      </c>
      <c r="H555" t="s">
        <v>3532</v>
      </c>
      <c r="I555" t="s">
        <v>3524</v>
      </c>
      <c r="J555" t="s">
        <v>3533</v>
      </c>
      <c r="K555">
        <f>VLOOKUP($J555,'[1]Table S6'!$A:$AI,2,FALSE)</f>
        <v>321.3</v>
      </c>
      <c r="L555">
        <f>VLOOKUP($J555,'[1]Table S6'!$A:$AI,3,FALSE)</f>
        <v>0.68376250266014005</v>
      </c>
      <c r="M555">
        <f>VLOOKUP($J555,'[1]Table S6'!$A:$AI,4,FALSE)</f>
        <v>1.9370000000000001</v>
      </c>
      <c r="N555" t="str">
        <f>VLOOKUP($J555,'[1]Table S6'!$A:$AI,5,FALSE)</f>
        <v>Yes</v>
      </c>
      <c r="P555">
        <f>VLOOKUP($J555,'[1]Table S6'!$A:$AI,7,FALSE)</f>
        <v>327.3</v>
      </c>
      <c r="Q555">
        <f>VLOOKUP($J555,'[1]Table S6'!$A:$AI,8,FALSE)</f>
        <v>0.69653117684613797</v>
      </c>
      <c r="R555">
        <f>VLOOKUP($J555,'[1]Table S6'!$A:$AI,9,FALSE)</f>
        <v>2.34</v>
      </c>
      <c r="S555" t="str">
        <f>VLOOKUP($J555,'[1]Table S6'!$A:$AI,10,FALSE)</f>
        <v>Yes</v>
      </c>
      <c r="U555">
        <f>VLOOKUP($J555,'[1]Table S6'!$A:$AI,12,FALSE)</f>
        <v>317.7</v>
      </c>
      <c r="V555">
        <f>VLOOKUP($J555,'[1]Table S6'!$A:$AI,13,FALSE)</f>
        <v>0.67610129814854203</v>
      </c>
      <c r="W555">
        <f>VLOOKUP($J555,'[1]Table S6'!$A:$AI,14,FALSE)</f>
        <v>1.55</v>
      </c>
      <c r="X555" t="str">
        <f>VLOOKUP($J555,'[1]Table S6'!$A:$AI,15,FALSE)</f>
        <v>Yes</v>
      </c>
      <c r="Z555">
        <f>VLOOKUP($J555,'[1]Table S6'!$A:$AI,17,FALSE)</f>
        <v>387.5</v>
      </c>
      <c r="AA555">
        <f>VLOOKUP($J555,'[1]Table S6'!$A:$AI,18,FALSE)</f>
        <v>0.82464354117897398</v>
      </c>
      <c r="AB555">
        <f>VLOOKUP($J555,'[1]Table S6'!$A:$AI,19,FALSE)</f>
        <v>15.59</v>
      </c>
      <c r="AC555" t="str">
        <f>VLOOKUP($J555,'[1]Table S6'!$A:$AI,20,FALSE)</f>
        <v>No</v>
      </c>
      <c r="AE555">
        <f>VLOOKUP($J555,'[1]Table S6'!$A:$AI,22,FALSE)</f>
        <v>375.9</v>
      </c>
      <c r="AF555">
        <f>VLOOKUP($J555,'[1]Table S6'!$A:$AI,23,FALSE)</f>
        <v>0.799957437752713</v>
      </c>
      <c r="AG555">
        <f>VLOOKUP($J555,'[1]Table S6'!$A:$AI,24,FALSE)</f>
        <v>12.5</v>
      </c>
      <c r="AH555" t="str">
        <f>VLOOKUP($J555,'[1]Table S6'!$A:$AI,25,FALSE)</f>
        <v>No</v>
      </c>
      <c r="AJ555">
        <f>VLOOKUP($J555,'[1]Table S6'!$A:$AI,27,FALSE)</f>
        <v>401.1</v>
      </c>
      <c r="AK555">
        <f>VLOOKUP($J555,'[1]Table S6'!$A:$AI,28,FALSE)</f>
        <v>0.85358586933390102</v>
      </c>
      <c r="AL555">
        <f>VLOOKUP($J555,'[1]Table S6'!$A:$AI,29,FALSE)</f>
        <v>28.83</v>
      </c>
      <c r="AM555" t="str">
        <f>VLOOKUP($J555,'[1]Table S6'!$A:$AI,30,FALSE)</f>
        <v>No</v>
      </c>
      <c r="AO555">
        <f>VLOOKUP($J555,'[1]Table S6'!$A:$AI,32,FALSE)</f>
        <v>406.7</v>
      </c>
      <c r="AP555">
        <f>VLOOKUP($J555,'[1]Table S6'!$A:$AI,33,FALSE)</f>
        <v>0.86550329857416497</v>
      </c>
      <c r="AQ555">
        <f>VLOOKUP($J555,'[1]Table S6'!$A:$AI,34,FALSE)</f>
        <v>35.659999999999997</v>
      </c>
      <c r="AR555" t="str">
        <f>VLOOKUP($J555,'[1]Table S6'!$A:$AI,35,FALSE)</f>
        <v>No</v>
      </c>
      <c r="AT555" t="e">
        <f>VLOOKUP($I555,'[2]Table S5'!$A:$K,8,FALSE)</f>
        <v>#N/A</v>
      </c>
      <c r="AU555" t="e">
        <f>VLOOKUP($I555,'[2]Table S5'!$A:$K,9,FALSE)</f>
        <v>#N/A</v>
      </c>
      <c r="AV555" t="e">
        <f>VLOOKUP($I555,'[2]Table S5'!$A:$K,10,FALSE)</f>
        <v>#N/A</v>
      </c>
      <c r="AW555" t="e">
        <f>VLOOKUP($I555,'[2]Table S5'!$A:$K,11,FALSE)</f>
        <v>#N/A</v>
      </c>
    </row>
    <row r="556" spans="1:49">
      <c r="A556" s="12" t="s">
        <v>3534</v>
      </c>
      <c r="B556" t="s">
        <v>3535</v>
      </c>
      <c r="C556" t="s">
        <v>3536</v>
      </c>
      <c r="D556" t="s">
        <v>17</v>
      </c>
      <c r="E556" t="s">
        <v>3537</v>
      </c>
      <c r="F556" s="12" t="s">
        <v>3538</v>
      </c>
      <c r="G556" t="s">
        <v>3539</v>
      </c>
      <c r="H556" t="s">
        <v>3540</v>
      </c>
      <c r="I556" t="s">
        <v>3524</v>
      </c>
      <c r="J556" t="s">
        <v>3541</v>
      </c>
      <c r="K556">
        <f>VLOOKUP($J556,'[1]Table S6'!$A:$AI,2,FALSE)</f>
        <v>339.2</v>
      </c>
      <c r="L556">
        <f>VLOOKUP($J556,'[1]Table S6'!$A:$AI,3,FALSE)</f>
        <v>0.72185571398169801</v>
      </c>
      <c r="M556">
        <f>VLOOKUP($J556,'[1]Table S6'!$A:$AI,4,FALSE)</f>
        <v>4.2160000000000002</v>
      </c>
      <c r="N556" t="str">
        <f>VLOOKUP($J556,'[1]Table S6'!$A:$AI,5,FALSE)</f>
        <v>No</v>
      </c>
      <c r="P556">
        <f>VLOOKUP($J556,'[1]Table S6'!$A:$AI,7,FALSE)</f>
        <v>380.6</v>
      </c>
      <c r="Q556">
        <f>VLOOKUP($J556,'[1]Table S6'!$A:$AI,8,FALSE)</f>
        <v>0.809959565865078</v>
      </c>
      <c r="R556">
        <f>VLOOKUP($J556,'[1]Table S6'!$A:$AI,9,FALSE)</f>
        <v>15.66</v>
      </c>
      <c r="S556" t="str">
        <f>VLOOKUP($J556,'[1]Table S6'!$A:$AI,10,FALSE)</f>
        <v>No</v>
      </c>
      <c r="U556">
        <f>VLOOKUP($J556,'[1]Table S6'!$A:$AI,12,FALSE)</f>
        <v>372.4</v>
      </c>
      <c r="V556">
        <f>VLOOKUP($J556,'[1]Table S6'!$A:$AI,13,FALSE)</f>
        <v>0.792509044477548</v>
      </c>
      <c r="W556">
        <f>VLOOKUP($J556,'[1]Table S6'!$A:$AI,14,FALSE)</f>
        <v>10.98</v>
      </c>
      <c r="X556" t="str">
        <f>VLOOKUP($J556,'[1]Table S6'!$A:$AI,15,FALSE)</f>
        <v>No</v>
      </c>
      <c r="Z556">
        <f>VLOOKUP($J556,'[1]Table S6'!$A:$AI,17,FALSE)</f>
        <v>325.7</v>
      </c>
      <c r="AA556">
        <f>VLOOKUP($J556,'[1]Table S6'!$A:$AI,18,FALSE)</f>
        <v>0.693126197063205</v>
      </c>
      <c r="AB556">
        <f>VLOOKUP($J556,'[1]Table S6'!$A:$AI,19,FALSE)</f>
        <v>2.2999999999999998</v>
      </c>
      <c r="AC556" t="str">
        <f>VLOOKUP($J556,'[1]Table S6'!$A:$AI,20,FALSE)</f>
        <v>Yes</v>
      </c>
      <c r="AE556">
        <f>VLOOKUP($J556,'[1]Table S6'!$A:$AI,22,FALSE)</f>
        <v>383.1</v>
      </c>
      <c r="AF556">
        <f>VLOOKUP($J556,'[1]Table S6'!$A:$AI,23,FALSE)</f>
        <v>0.81527984677591003</v>
      </c>
      <c r="AG556">
        <f>VLOOKUP($J556,'[1]Table S6'!$A:$AI,24,FALSE)</f>
        <v>16.64</v>
      </c>
      <c r="AH556" t="str">
        <f>VLOOKUP($J556,'[1]Table S6'!$A:$AI,25,FALSE)</f>
        <v>No</v>
      </c>
      <c r="AJ556">
        <f>VLOOKUP($J556,'[1]Table S6'!$A:$AI,27,FALSE)</f>
        <v>414.5</v>
      </c>
      <c r="AK556">
        <f>VLOOKUP($J556,'[1]Table S6'!$A:$AI,28,FALSE)</f>
        <v>0.88210257501596101</v>
      </c>
      <c r="AL556">
        <f>VLOOKUP($J556,'[1]Table S6'!$A:$AI,29,FALSE)</f>
        <v>46.56</v>
      </c>
      <c r="AM556" t="str">
        <f>VLOOKUP($J556,'[1]Table S6'!$A:$AI,30,FALSE)</f>
        <v>No</v>
      </c>
      <c r="AO556">
        <f>VLOOKUP($J556,'[1]Table S6'!$A:$AI,32,FALSE)</f>
        <v>415.4</v>
      </c>
      <c r="AP556">
        <f>VLOOKUP($J556,'[1]Table S6'!$A:$AI,33,FALSE)</f>
        <v>0.88401787614385996</v>
      </c>
      <c r="AQ556">
        <f>VLOOKUP($J556,'[1]Table S6'!$A:$AI,34,FALSE)</f>
        <v>50.78</v>
      </c>
      <c r="AR556" t="str">
        <f>VLOOKUP($J556,'[1]Table S6'!$A:$AI,35,FALSE)</f>
        <v>No</v>
      </c>
      <c r="AT556" t="e">
        <f>VLOOKUP($I556,'[2]Table S5'!$A:$K,8,FALSE)</f>
        <v>#N/A</v>
      </c>
      <c r="AU556" t="e">
        <f>VLOOKUP($I556,'[2]Table S5'!$A:$K,9,FALSE)</f>
        <v>#N/A</v>
      </c>
      <c r="AV556" t="e">
        <f>VLOOKUP($I556,'[2]Table S5'!$A:$K,10,FALSE)</f>
        <v>#N/A</v>
      </c>
      <c r="AW556" t="e">
        <f>VLOOKUP($I556,'[2]Table S5'!$A:$K,11,FALSE)</f>
        <v>#N/A</v>
      </c>
    </row>
    <row r="557" spans="1:49">
      <c r="A557" s="12" t="s">
        <v>3542</v>
      </c>
      <c r="B557" t="s">
        <v>3543</v>
      </c>
      <c r="C557" t="s">
        <v>3544</v>
      </c>
      <c r="D557" t="s">
        <v>17</v>
      </c>
      <c r="E557" t="s">
        <v>3545</v>
      </c>
      <c r="F557" s="12" t="s">
        <v>3546</v>
      </c>
      <c r="G557" t="s">
        <v>3547</v>
      </c>
      <c r="H557" t="s">
        <v>3548</v>
      </c>
      <c r="I557" t="s">
        <v>3524</v>
      </c>
      <c r="J557" t="s">
        <v>3549</v>
      </c>
      <c r="K557">
        <f>VLOOKUP($J557,'[1]Table S6'!$A:$AI,2,FALSE)</f>
        <v>334</v>
      </c>
      <c r="L557">
        <f>VLOOKUP($J557,'[1]Table S6'!$A:$AI,3,FALSE)</f>
        <v>0.71078952968716702</v>
      </c>
      <c r="M557">
        <f>VLOOKUP($J557,'[1]Table S6'!$A:$AI,4,FALSE)</f>
        <v>3.18</v>
      </c>
      <c r="N557" t="str">
        <f>VLOOKUP($J557,'[1]Table S6'!$A:$AI,5,FALSE)</f>
        <v>No</v>
      </c>
      <c r="P557">
        <f>VLOOKUP($J557,'[1]Table S6'!$A:$AI,7,FALSE)</f>
        <v>335.3</v>
      </c>
      <c r="Q557">
        <f>VLOOKUP($J557,'[1]Table S6'!$A:$AI,8,FALSE)</f>
        <v>0.71355607576080005</v>
      </c>
      <c r="R557">
        <f>VLOOKUP($J557,'[1]Table S6'!$A:$AI,9,FALSE)</f>
        <v>3.35</v>
      </c>
      <c r="S557" t="str">
        <f>VLOOKUP($J557,'[1]Table S6'!$A:$AI,10,FALSE)</f>
        <v>No</v>
      </c>
      <c r="U557">
        <f>VLOOKUP($J557,'[1]Table S6'!$A:$AI,12,FALSE)</f>
        <v>309.2</v>
      </c>
      <c r="V557">
        <f>VLOOKUP($J557,'[1]Table S6'!$A:$AI,13,FALSE)</f>
        <v>0.65801234305171297</v>
      </c>
      <c r="W557">
        <f>VLOOKUP($J557,'[1]Table S6'!$A:$AI,14,FALSE)</f>
        <v>1.069</v>
      </c>
      <c r="X557" t="str">
        <f>VLOOKUP($J557,'[1]Table S6'!$A:$AI,15,FALSE)</f>
        <v>Yes</v>
      </c>
      <c r="Z557">
        <f>VLOOKUP($J557,'[1]Table S6'!$A:$AI,17,FALSE)</f>
        <v>358.8</v>
      </c>
      <c r="AA557">
        <f>VLOOKUP($J557,'[1]Table S6'!$A:$AI,18,FALSE)</f>
        <v>0.76356671632262196</v>
      </c>
      <c r="AB557">
        <f>VLOOKUP($J557,'[1]Table S6'!$A:$AI,19,FALSE)</f>
        <v>7.11</v>
      </c>
      <c r="AC557" t="str">
        <f>VLOOKUP($J557,'[1]Table S6'!$A:$AI,20,FALSE)</f>
        <v>No</v>
      </c>
      <c r="AE557">
        <f>VLOOKUP($J557,'[1]Table S6'!$A:$AI,22,FALSE)</f>
        <v>398.8</v>
      </c>
      <c r="AF557">
        <f>VLOOKUP($J557,'[1]Table S6'!$A:$AI,23,FALSE)</f>
        <v>0.84869121089593502</v>
      </c>
      <c r="AG557">
        <f>VLOOKUP($J557,'[1]Table S6'!$A:$AI,24,FALSE)</f>
        <v>27.79</v>
      </c>
      <c r="AH557" t="str">
        <f>VLOOKUP($J557,'[1]Table S6'!$A:$AI,25,FALSE)</f>
        <v>No</v>
      </c>
      <c r="AJ557">
        <f>VLOOKUP($J557,'[1]Table S6'!$A:$AI,27,FALSE)</f>
        <v>379.9</v>
      </c>
      <c r="AK557">
        <f>VLOOKUP($J557,'[1]Table S6'!$A:$AI,28,FALSE)</f>
        <v>0.80846988721004498</v>
      </c>
      <c r="AL557">
        <f>VLOOKUP($J557,'[1]Table S6'!$A:$AI,29,FALSE)</f>
        <v>12.87</v>
      </c>
      <c r="AM557" t="str">
        <f>VLOOKUP($J557,'[1]Table S6'!$A:$AI,30,FALSE)</f>
        <v>No</v>
      </c>
      <c r="AO557">
        <f>VLOOKUP($J557,'[1]Table S6'!$A:$AI,32,FALSE)</f>
        <v>409.5</v>
      </c>
      <c r="AP557">
        <f>VLOOKUP($J557,'[1]Table S6'!$A:$AI,33,FALSE)</f>
        <v>0.87146201319429695</v>
      </c>
      <c r="AQ557">
        <f>VLOOKUP($J557,'[1]Table S6'!$A:$AI,34,FALSE)</f>
        <v>43.38</v>
      </c>
      <c r="AR557" t="str">
        <f>VLOOKUP($J557,'[1]Table S6'!$A:$AI,35,FALSE)</f>
        <v>No</v>
      </c>
      <c r="AT557" t="e">
        <f>VLOOKUP($I557,'[2]Table S5'!$A:$K,8,FALSE)</f>
        <v>#N/A</v>
      </c>
      <c r="AU557" t="e">
        <f>VLOOKUP($I557,'[2]Table S5'!$A:$K,9,FALSE)</f>
        <v>#N/A</v>
      </c>
      <c r="AV557" t="e">
        <f>VLOOKUP($I557,'[2]Table S5'!$A:$K,10,FALSE)</f>
        <v>#N/A</v>
      </c>
      <c r="AW557" t="e">
        <f>VLOOKUP($I557,'[2]Table S5'!$A:$K,11,FALSE)</f>
        <v>#N/A</v>
      </c>
    </row>
    <row r="558" spans="1:49">
      <c r="A558" s="12" t="s">
        <v>3550</v>
      </c>
      <c r="B558" t="s">
        <v>3551</v>
      </c>
      <c r="C558" t="s">
        <v>3552</v>
      </c>
      <c r="D558" t="s">
        <v>17</v>
      </c>
      <c r="E558" t="s">
        <v>3553</v>
      </c>
      <c r="F558" s="12" t="s">
        <v>3554</v>
      </c>
      <c r="G558" t="s">
        <v>3555</v>
      </c>
      <c r="H558" t="s">
        <v>3556</v>
      </c>
      <c r="I558" t="s">
        <v>3557</v>
      </c>
      <c r="J558" t="s">
        <v>3558</v>
      </c>
      <c r="K558">
        <f>VLOOKUP($J558,'[1]Table S6'!$A:$AI,2,FALSE)</f>
        <v>349.6</v>
      </c>
      <c r="L558">
        <f>VLOOKUP($J558,'[1]Table S6'!$A:$AI,3,FALSE)</f>
        <v>0.74398808257075999</v>
      </c>
      <c r="M558">
        <f>VLOOKUP($J558,'[1]Table S6'!$A:$AI,4,FALSE)</f>
        <v>5.3310000000000004</v>
      </c>
      <c r="N558" t="str">
        <f>VLOOKUP($J558,'[1]Table S6'!$A:$AI,5,FALSE)</f>
        <v>No</v>
      </c>
      <c r="P558">
        <f>VLOOKUP($J558,'[1]Table S6'!$A:$AI,7,FALSE)</f>
        <v>327.10000000000002</v>
      </c>
      <c r="Q558">
        <f>VLOOKUP($J558,'[1]Table S6'!$A:$AI,8,FALSE)</f>
        <v>0.69610555437327104</v>
      </c>
      <c r="R558">
        <f>VLOOKUP($J558,'[1]Table S6'!$A:$AI,9,FALSE)</f>
        <v>2.3759999999999999</v>
      </c>
      <c r="S558" t="str">
        <f>VLOOKUP($J558,'[1]Table S6'!$A:$AI,10,FALSE)</f>
        <v>Yes</v>
      </c>
      <c r="U558">
        <f>VLOOKUP($J558,'[1]Table S6'!$A:$AI,12,FALSE)</f>
        <v>313.60000000000002</v>
      </c>
      <c r="V558">
        <f>VLOOKUP($J558,'[1]Table S6'!$A:$AI,13,FALSE)</f>
        <v>0.66737603745477803</v>
      </c>
      <c r="W558">
        <f>VLOOKUP($J558,'[1]Table S6'!$A:$AI,14,FALSE)</f>
        <v>1.109</v>
      </c>
      <c r="X558" t="str">
        <f>VLOOKUP($J558,'[1]Table S6'!$A:$AI,15,FALSE)</f>
        <v>Yes</v>
      </c>
      <c r="Z558">
        <f>VLOOKUP($J558,'[1]Table S6'!$A:$AI,17,FALSE)</f>
        <v>322.39999999999998</v>
      </c>
      <c r="AA558">
        <f>VLOOKUP($J558,'[1]Table S6'!$A:$AI,18,FALSE)</f>
        <v>0.68610342626090703</v>
      </c>
      <c r="AB558">
        <f>VLOOKUP($J558,'[1]Table S6'!$A:$AI,19,FALSE)</f>
        <v>2.34</v>
      </c>
      <c r="AC558" t="str">
        <f>VLOOKUP($J558,'[1]Table S6'!$A:$AI,20,FALSE)</f>
        <v>Yes</v>
      </c>
      <c r="AE558">
        <f>VLOOKUP($J558,'[1]Table S6'!$A:$AI,22,FALSE)</f>
        <v>375.6</v>
      </c>
      <c r="AF558">
        <f>VLOOKUP($J558,'[1]Table S6'!$A:$AI,23,FALSE)</f>
        <v>0.79931900404341405</v>
      </c>
      <c r="AG558">
        <f>VLOOKUP($J558,'[1]Table S6'!$A:$AI,24,FALSE)</f>
        <v>11.28</v>
      </c>
      <c r="AH558" t="str">
        <f>VLOOKUP($J558,'[1]Table S6'!$A:$AI,25,FALSE)</f>
        <v>No</v>
      </c>
      <c r="AJ558">
        <f>VLOOKUP($J558,'[1]Table S6'!$A:$AI,27,FALSE)</f>
        <v>422.9</v>
      </c>
      <c r="AK558">
        <f>VLOOKUP($J558,'[1]Table S6'!$A:$AI,28,FALSE)</f>
        <v>0.89997871887635705</v>
      </c>
      <c r="AL558">
        <f>VLOOKUP($J558,'[1]Table S6'!$A:$AI,29,FALSE)</f>
        <v>80.510000000000005</v>
      </c>
      <c r="AM558" t="str">
        <f>VLOOKUP($J558,'[1]Table S6'!$A:$AI,30,FALSE)</f>
        <v>No</v>
      </c>
      <c r="AO558">
        <f>VLOOKUP($J558,'[1]Table S6'!$A:$AI,32,FALSE)</f>
        <v>428.2</v>
      </c>
      <c r="AP558">
        <f>VLOOKUP($J558,'[1]Table S6'!$A:$AI,33,FALSE)</f>
        <v>0.91125771440732095</v>
      </c>
      <c r="AQ558">
        <f>VLOOKUP($J558,'[1]Table S6'!$A:$AI,34,FALSE)</f>
        <v>89.64</v>
      </c>
      <c r="AR558" t="str">
        <f>VLOOKUP($J558,'[1]Table S6'!$A:$AI,35,FALSE)</f>
        <v>No</v>
      </c>
      <c r="AT558" t="e">
        <f>VLOOKUP($I558,'[2]Table S5'!$A:$K,8,FALSE)</f>
        <v>#N/A</v>
      </c>
      <c r="AU558" t="e">
        <f>VLOOKUP($I558,'[2]Table S5'!$A:$K,9,FALSE)</f>
        <v>#N/A</v>
      </c>
      <c r="AV558" t="e">
        <f>VLOOKUP($I558,'[2]Table S5'!$A:$K,10,FALSE)</f>
        <v>#N/A</v>
      </c>
      <c r="AW558" t="e">
        <f>VLOOKUP($I558,'[2]Table S5'!$A:$K,11,FALSE)</f>
        <v>#N/A</v>
      </c>
    </row>
    <row r="559" spans="1:49">
      <c r="A559" s="12" t="s">
        <v>3559</v>
      </c>
      <c r="B559" t="s">
        <v>3560</v>
      </c>
      <c r="C559" t="s">
        <v>3561</v>
      </c>
      <c r="D559" t="s">
        <v>17</v>
      </c>
      <c r="E559" t="s">
        <v>3562</v>
      </c>
      <c r="F559" s="12" t="s">
        <v>3563</v>
      </c>
      <c r="G559" t="s">
        <v>3564</v>
      </c>
      <c r="H559" t="s">
        <v>3565</v>
      </c>
      <c r="I559" t="s">
        <v>3557</v>
      </c>
      <c r="J559" t="s">
        <v>3566</v>
      </c>
      <c r="K559">
        <f>VLOOKUP($J559,'[1]Table S6'!$A:$AI,2,FALSE)</f>
        <v>372.2</v>
      </c>
      <c r="L559">
        <f>VLOOKUP($J559,'[1]Table S6'!$A:$AI,3,FALSE)</f>
        <v>0.79208342200468196</v>
      </c>
      <c r="M559">
        <f>VLOOKUP($J559,'[1]Table S6'!$A:$AI,4,FALSE)</f>
        <v>10.25</v>
      </c>
      <c r="N559" t="str">
        <f>VLOOKUP($J559,'[1]Table S6'!$A:$AI,5,FALSE)</f>
        <v>No</v>
      </c>
      <c r="P559">
        <f>VLOOKUP($J559,'[1]Table S6'!$A:$AI,7,FALSE)</f>
        <v>329.7</v>
      </c>
      <c r="Q559">
        <f>VLOOKUP($J559,'[1]Table S6'!$A:$AI,8,FALSE)</f>
        <v>0.70163864652053598</v>
      </c>
      <c r="R559">
        <f>VLOOKUP($J559,'[1]Table S6'!$A:$AI,9,FALSE)</f>
        <v>2.8660000000000001</v>
      </c>
      <c r="S559" t="str">
        <f>VLOOKUP($J559,'[1]Table S6'!$A:$AI,10,FALSE)</f>
        <v>No</v>
      </c>
      <c r="U559">
        <f>VLOOKUP($J559,'[1]Table S6'!$A:$AI,12,FALSE)</f>
        <v>316.89999999999998</v>
      </c>
      <c r="V559">
        <f>VLOOKUP($J559,'[1]Table S6'!$A:$AI,13,FALSE)</f>
        <v>0.67439880825707599</v>
      </c>
      <c r="W559">
        <f>VLOOKUP($J559,'[1]Table S6'!$A:$AI,14,FALSE)</f>
        <v>1.587</v>
      </c>
      <c r="X559" t="str">
        <f>VLOOKUP($J559,'[1]Table S6'!$A:$AI,15,FALSE)</f>
        <v>Yes</v>
      </c>
      <c r="Z559">
        <f>VLOOKUP($J559,'[1]Table S6'!$A:$AI,17,FALSE)</f>
        <v>342.5</v>
      </c>
      <c r="AA559">
        <f>VLOOKUP($J559,'[1]Table S6'!$A:$AI,18,FALSE)</f>
        <v>0.72887848478399697</v>
      </c>
      <c r="AB559">
        <f>VLOOKUP($J559,'[1]Table S6'!$A:$AI,19,FALSE)</f>
        <v>4.55</v>
      </c>
      <c r="AC559" t="str">
        <f>VLOOKUP($J559,'[1]Table S6'!$A:$AI,20,FALSE)</f>
        <v>No</v>
      </c>
      <c r="AE559">
        <f>VLOOKUP($J559,'[1]Table S6'!$A:$AI,22,FALSE)</f>
        <v>391.3</v>
      </c>
      <c r="AF559">
        <f>VLOOKUP($J559,'[1]Table S6'!$A:$AI,23,FALSE)</f>
        <v>0.83273036816343904</v>
      </c>
      <c r="AG559">
        <f>VLOOKUP($J559,'[1]Table S6'!$A:$AI,24,FALSE)</f>
        <v>18.940000000000001</v>
      </c>
      <c r="AH559" t="str">
        <f>VLOOKUP($J559,'[1]Table S6'!$A:$AI,25,FALSE)</f>
        <v>No</v>
      </c>
      <c r="AJ559">
        <f>VLOOKUP($J559,'[1]Table S6'!$A:$AI,27,FALSE)</f>
        <v>407.4</v>
      </c>
      <c r="AK559">
        <f>VLOOKUP($J559,'[1]Table S6'!$A:$AI,28,FALSE)</f>
        <v>0.86699297722919799</v>
      </c>
      <c r="AL559">
        <f>VLOOKUP($J559,'[1]Table S6'!$A:$AI,29,FALSE)</f>
        <v>36.68</v>
      </c>
      <c r="AM559" t="str">
        <f>VLOOKUP($J559,'[1]Table S6'!$A:$AI,30,FALSE)</f>
        <v>No</v>
      </c>
      <c r="AO559">
        <f>VLOOKUP($J559,'[1]Table S6'!$A:$AI,32,FALSE)</f>
        <v>423</v>
      </c>
      <c r="AP559">
        <f>VLOOKUP($J559,'[1]Table S6'!$A:$AI,33,FALSE)</f>
        <v>0.90019153011278996</v>
      </c>
      <c r="AQ559">
        <f>VLOOKUP($J559,'[1]Table S6'!$A:$AI,34,FALSE)</f>
        <v>91.01</v>
      </c>
      <c r="AR559" t="str">
        <f>VLOOKUP($J559,'[1]Table S6'!$A:$AI,35,FALSE)</f>
        <v>No</v>
      </c>
      <c r="AT559" t="e">
        <f>VLOOKUP($I559,'[2]Table S5'!$A:$K,8,FALSE)</f>
        <v>#N/A</v>
      </c>
      <c r="AU559" t="e">
        <f>VLOOKUP($I559,'[2]Table S5'!$A:$K,9,FALSE)</f>
        <v>#N/A</v>
      </c>
      <c r="AV559" t="e">
        <f>VLOOKUP($I559,'[2]Table S5'!$A:$K,10,FALSE)</f>
        <v>#N/A</v>
      </c>
      <c r="AW559" t="e">
        <f>VLOOKUP($I559,'[2]Table S5'!$A:$K,11,FALSE)</f>
        <v>#N/A</v>
      </c>
    </row>
    <row r="560" spans="1:49">
      <c r="A560" s="12" t="s">
        <v>3567</v>
      </c>
      <c r="B560" t="s">
        <v>3568</v>
      </c>
      <c r="C560" t="s">
        <v>3569</v>
      </c>
      <c r="D560" t="s">
        <v>17</v>
      </c>
      <c r="E560" t="s">
        <v>3570</v>
      </c>
      <c r="F560" s="12" t="s">
        <v>3571</v>
      </c>
      <c r="G560" t="s">
        <v>3572</v>
      </c>
      <c r="H560" t="s">
        <v>3573</v>
      </c>
      <c r="I560" t="s">
        <v>3557</v>
      </c>
      <c r="J560" t="s">
        <v>3574</v>
      </c>
      <c r="K560">
        <f>VLOOKUP($J560,'[1]Table S6'!$A:$AI,2,FALSE)</f>
        <v>363.1</v>
      </c>
      <c r="L560">
        <f>VLOOKUP($J560,'[1]Table S6'!$A:$AI,3,FALSE)</f>
        <v>0.772717599489253</v>
      </c>
      <c r="M560">
        <f>VLOOKUP($J560,'[1]Table S6'!$A:$AI,4,FALSE)</f>
        <v>7.3680000000000003</v>
      </c>
      <c r="N560" t="str">
        <f>VLOOKUP($J560,'[1]Table S6'!$A:$AI,5,FALSE)</f>
        <v>No</v>
      </c>
      <c r="P560">
        <f>VLOOKUP($J560,'[1]Table S6'!$A:$AI,7,FALSE)</f>
        <v>362</v>
      </c>
      <c r="Q560">
        <f>VLOOKUP($J560,'[1]Table S6'!$A:$AI,8,FALSE)</f>
        <v>0.77037667588848702</v>
      </c>
      <c r="R560">
        <f>VLOOKUP($J560,'[1]Table S6'!$A:$AI,9,FALSE)</f>
        <v>6.98</v>
      </c>
      <c r="S560" t="str">
        <f>VLOOKUP($J560,'[1]Table S6'!$A:$AI,10,FALSE)</f>
        <v>No</v>
      </c>
      <c r="U560">
        <f>VLOOKUP($J560,'[1]Table S6'!$A:$AI,12,FALSE)</f>
        <v>374.3</v>
      </c>
      <c r="V560">
        <f>VLOOKUP($J560,'[1]Table S6'!$A:$AI,13,FALSE)</f>
        <v>0.79655245796978102</v>
      </c>
      <c r="W560">
        <f>VLOOKUP($J560,'[1]Table S6'!$A:$AI,14,FALSE)</f>
        <v>10.94</v>
      </c>
      <c r="X560" t="str">
        <f>VLOOKUP($J560,'[1]Table S6'!$A:$AI,15,FALSE)</f>
        <v>No</v>
      </c>
      <c r="Z560">
        <f>VLOOKUP($J560,'[1]Table S6'!$A:$AI,17,FALSE)</f>
        <v>311.60000000000002</v>
      </c>
      <c r="AA560">
        <f>VLOOKUP($J560,'[1]Table S6'!$A:$AI,18,FALSE)</f>
        <v>0.66311981272611198</v>
      </c>
      <c r="AB560">
        <f>VLOOKUP($J560,'[1]Table S6'!$A:$AI,19,FALSE)</f>
        <v>1.111</v>
      </c>
      <c r="AC560" t="str">
        <f>VLOOKUP($J560,'[1]Table S6'!$A:$AI,20,FALSE)</f>
        <v>Yes</v>
      </c>
      <c r="AE560">
        <f>VLOOKUP($J560,'[1]Table S6'!$A:$AI,22,FALSE)</f>
        <v>419.8</v>
      </c>
      <c r="AF560">
        <f>VLOOKUP($J560,'[1]Table S6'!$A:$AI,23,FALSE)</f>
        <v>0.89338157054692502</v>
      </c>
      <c r="AG560">
        <f>VLOOKUP($J560,'[1]Table S6'!$A:$AI,24,FALSE)</f>
        <v>73.34</v>
      </c>
      <c r="AH560" t="str">
        <f>VLOOKUP($J560,'[1]Table S6'!$A:$AI,25,FALSE)</f>
        <v>No</v>
      </c>
      <c r="AJ560">
        <f>VLOOKUP($J560,'[1]Table S6'!$A:$AI,27,FALSE)</f>
        <v>392.2</v>
      </c>
      <c r="AK560">
        <f>VLOOKUP($J560,'[1]Table S6'!$A:$AI,28,FALSE)</f>
        <v>0.83464566929133899</v>
      </c>
      <c r="AL560">
        <f>VLOOKUP($J560,'[1]Table S6'!$A:$AI,29,FALSE)</f>
        <v>21.99</v>
      </c>
      <c r="AM560" t="str">
        <f>VLOOKUP($J560,'[1]Table S6'!$A:$AI,30,FALSE)</f>
        <v>No</v>
      </c>
      <c r="AO560">
        <f>VLOOKUP($J560,'[1]Table S6'!$A:$AI,32,FALSE)</f>
        <v>416.9</v>
      </c>
      <c r="AP560">
        <f>VLOOKUP($J560,'[1]Table S6'!$A:$AI,33,FALSE)</f>
        <v>0.88721004469036002</v>
      </c>
      <c r="AQ560">
        <f>VLOOKUP($J560,'[1]Table S6'!$A:$AI,34,FALSE)</f>
        <v>66.25</v>
      </c>
      <c r="AR560" t="str">
        <f>VLOOKUP($J560,'[1]Table S6'!$A:$AI,35,FALSE)</f>
        <v>No</v>
      </c>
      <c r="AT560" t="e">
        <f>VLOOKUP($I560,'[2]Table S5'!$A:$K,8,FALSE)</f>
        <v>#N/A</v>
      </c>
      <c r="AU560" t="e">
        <f>VLOOKUP($I560,'[2]Table S5'!$A:$K,9,FALSE)</f>
        <v>#N/A</v>
      </c>
      <c r="AV560" t="e">
        <f>VLOOKUP($I560,'[2]Table S5'!$A:$K,10,FALSE)</f>
        <v>#N/A</v>
      </c>
      <c r="AW560" t="e">
        <f>VLOOKUP($I560,'[2]Table S5'!$A:$K,11,FALSE)</f>
        <v>#N/A</v>
      </c>
    </row>
    <row r="561" spans="1:49">
      <c r="A561" s="12" t="s">
        <v>3575</v>
      </c>
      <c r="B561" t="s">
        <v>3576</v>
      </c>
      <c r="C561" t="s">
        <v>3577</v>
      </c>
      <c r="D561" t="s">
        <v>17</v>
      </c>
      <c r="E561" t="s">
        <v>3578</v>
      </c>
      <c r="F561" s="12" t="s">
        <v>3579</v>
      </c>
      <c r="G561" t="s">
        <v>3580</v>
      </c>
      <c r="H561" t="s">
        <v>3581</v>
      </c>
      <c r="I561" t="s">
        <v>3557</v>
      </c>
      <c r="J561" t="s">
        <v>3582</v>
      </c>
      <c r="K561">
        <f>VLOOKUP($J561,'[1]Table S6'!$A:$AI,2,FALSE)</f>
        <v>374.6</v>
      </c>
      <c r="L561">
        <f>VLOOKUP($J561,'[1]Table S6'!$A:$AI,3,FALSE)</f>
        <v>0.79719089167908097</v>
      </c>
      <c r="M561">
        <f>VLOOKUP($J561,'[1]Table S6'!$A:$AI,4,FALSE)</f>
        <v>10.89</v>
      </c>
      <c r="N561" t="str">
        <f>VLOOKUP($J561,'[1]Table S6'!$A:$AI,5,FALSE)</f>
        <v>No</v>
      </c>
      <c r="P561">
        <f>VLOOKUP($J561,'[1]Table S6'!$A:$AI,7,FALSE)</f>
        <v>368.5</v>
      </c>
      <c r="Q561">
        <f>VLOOKUP($J561,'[1]Table S6'!$A:$AI,8,FALSE)</f>
        <v>0.78420940625665003</v>
      </c>
      <c r="R561">
        <f>VLOOKUP($J561,'[1]Table S6'!$A:$AI,9,FALSE)</f>
        <v>8.8249999999999993</v>
      </c>
      <c r="S561" t="str">
        <f>VLOOKUP($J561,'[1]Table S6'!$A:$AI,10,FALSE)</f>
        <v>No</v>
      </c>
      <c r="U561">
        <f>VLOOKUP($J561,'[1]Table S6'!$A:$AI,12,FALSE)</f>
        <v>357.6</v>
      </c>
      <c r="V561">
        <f>VLOOKUP($J561,'[1]Table S6'!$A:$AI,13,FALSE)</f>
        <v>0.76101298148542296</v>
      </c>
      <c r="W561">
        <f>VLOOKUP($J561,'[1]Table S6'!$A:$AI,14,FALSE)</f>
        <v>6.9690000000000003</v>
      </c>
      <c r="X561" t="str">
        <f>VLOOKUP($J561,'[1]Table S6'!$A:$AI,15,FALSE)</f>
        <v>No</v>
      </c>
      <c r="Z561">
        <f>VLOOKUP($J561,'[1]Table S6'!$A:$AI,17,FALSE)</f>
        <v>403.6</v>
      </c>
      <c r="AA561">
        <f>VLOOKUP($J561,'[1]Table S6'!$A:$AI,18,FALSE)</f>
        <v>0.85890615024473305</v>
      </c>
      <c r="AB561">
        <f>VLOOKUP($J561,'[1]Table S6'!$A:$AI,19,FALSE)</f>
        <v>29.89</v>
      </c>
      <c r="AC561" t="str">
        <f>VLOOKUP($J561,'[1]Table S6'!$A:$AI,20,FALSE)</f>
        <v>No</v>
      </c>
      <c r="AE561">
        <f>VLOOKUP($J561,'[1]Table S6'!$A:$AI,22,FALSE)</f>
        <v>395.6</v>
      </c>
      <c r="AF561">
        <f>VLOOKUP($J561,'[1]Table S6'!$A:$AI,23,FALSE)</f>
        <v>0.84188125133006997</v>
      </c>
      <c r="AG561">
        <f>VLOOKUP($J561,'[1]Table S6'!$A:$AI,24,FALSE)</f>
        <v>24.33</v>
      </c>
      <c r="AH561" t="str">
        <f>VLOOKUP($J561,'[1]Table S6'!$A:$AI,25,FALSE)</f>
        <v>No</v>
      </c>
      <c r="AJ561">
        <f>VLOOKUP($J561,'[1]Table S6'!$A:$AI,27,FALSE)</f>
        <v>422.3</v>
      </c>
      <c r="AK561">
        <f>VLOOKUP($J561,'[1]Table S6'!$A:$AI,28,FALSE)</f>
        <v>0.89870185145775705</v>
      </c>
      <c r="AL561">
        <f>VLOOKUP($J561,'[1]Table S6'!$A:$AI,29,FALSE)</f>
        <v>69.98</v>
      </c>
      <c r="AM561" t="str">
        <f>VLOOKUP($J561,'[1]Table S6'!$A:$AI,30,FALSE)</f>
        <v>No</v>
      </c>
      <c r="AO561">
        <f>VLOOKUP($J561,'[1]Table S6'!$A:$AI,32,FALSE)</f>
        <v>417.4</v>
      </c>
      <c r="AP561">
        <f>VLOOKUP($J561,'[1]Table S6'!$A:$AI,33,FALSE)</f>
        <v>0.88827410087252601</v>
      </c>
      <c r="AQ561">
        <f>VLOOKUP($J561,'[1]Table S6'!$A:$AI,34,FALSE)</f>
        <v>56.45</v>
      </c>
      <c r="AR561" t="str">
        <f>VLOOKUP($J561,'[1]Table S6'!$A:$AI,35,FALSE)</f>
        <v>No</v>
      </c>
      <c r="AT561" t="e">
        <f>VLOOKUP($I561,'[2]Table S5'!$A:$K,8,FALSE)</f>
        <v>#N/A</v>
      </c>
      <c r="AU561" t="e">
        <f>VLOOKUP($I561,'[2]Table S5'!$A:$K,9,FALSE)</f>
        <v>#N/A</v>
      </c>
      <c r="AV561" t="e">
        <f>VLOOKUP($I561,'[2]Table S5'!$A:$K,10,FALSE)</f>
        <v>#N/A</v>
      </c>
      <c r="AW561" t="e">
        <f>VLOOKUP($I561,'[2]Table S5'!$A:$K,11,FALSE)</f>
        <v>#N/A</v>
      </c>
    </row>
    <row r="562" spans="1:49">
      <c r="A562" s="12" t="s">
        <v>3583</v>
      </c>
      <c r="B562" t="s">
        <v>3584</v>
      </c>
      <c r="C562" t="s">
        <v>3585</v>
      </c>
      <c r="D562" t="s">
        <v>17</v>
      </c>
      <c r="E562" t="s">
        <v>3586</v>
      </c>
      <c r="F562" s="12" t="s">
        <v>3587</v>
      </c>
      <c r="G562" t="s">
        <v>3588</v>
      </c>
      <c r="H562" t="s">
        <v>3589</v>
      </c>
      <c r="I562" t="s">
        <v>3557</v>
      </c>
      <c r="J562" t="s">
        <v>3590</v>
      </c>
      <c r="K562">
        <f>VLOOKUP($J562,'[1]Table S6'!$A:$AI,2,FALSE)</f>
        <v>366.2</v>
      </c>
      <c r="L562">
        <f>VLOOKUP($J562,'[1]Table S6'!$A:$AI,3,FALSE)</f>
        <v>0.77931474781868504</v>
      </c>
      <c r="M562">
        <f>VLOOKUP($J562,'[1]Table S6'!$A:$AI,4,FALSE)</f>
        <v>8.3659999999999997</v>
      </c>
      <c r="N562" t="str">
        <f>VLOOKUP($J562,'[1]Table S6'!$A:$AI,5,FALSE)</f>
        <v>No</v>
      </c>
      <c r="P562">
        <f>VLOOKUP($J562,'[1]Table S6'!$A:$AI,7,FALSE)</f>
        <v>353.5</v>
      </c>
      <c r="Q562">
        <f>VLOOKUP($J562,'[1]Table S6'!$A:$AI,8,FALSE)</f>
        <v>0.75228772079165795</v>
      </c>
      <c r="R562">
        <f>VLOOKUP($J562,'[1]Table S6'!$A:$AI,9,FALSE)</f>
        <v>5.8410000000000002</v>
      </c>
      <c r="S562" t="str">
        <f>VLOOKUP($J562,'[1]Table S6'!$A:$AI,10,FALSE)</f>
        <v>No</v>
      </c>
      <c r="U562">
        <f>VLOOKUP($J562,'[1]Table S6'!$A:$AI,12,FALSE)</f>
        <v>347.2</v>
      </c>
      <c r="V562">
        <f>VLOOKUP($J562,'[1]Table S6'!$A:$AI,13,FALSE)</f>
        <v>0.73888061289636098</v>
      </c>
      <c r="W562">
        <f>VLOOKUP($J562,'[1]Table S6'!$A:$AI,14,FALSE)</f>
        <v>4.8899999999999997</v>
      </c>
      <c r="X562" t="str">
        <f>VLOOKUP($J562,'[1]Table S6'!$A:$AI,15,FALSE)</f>
        <v>No</v>
      </c>
      <c r="Z562">
        <f>VLOOKUP($J562,'[1]Table S6'!$A:$AI,17,FALSE)</f>
        <v>336</v>
      </c>
      <c r="AA562">
        <f>VLOOKUP($J562,'[1]Table S6'!$A:$AI,18,FALSE)</f>
        <v>0.71504575441583296</v>
      </c>
      <c r="AB562">
        <f>VLOOKUP($J562,'[1]Table S6'!$A:$AI,19,FALSE)</f>
        <v>3.17</v>
      </c>
      <c r="AC562" t="str">
        <f>VLOOKUP($J562,'[1]Table S6'!$A:$AI,20,FALSE)</f>
        <v>No</v>
      </c>
      <c r="AE562">
        <f>VLOOKUP($J562,'[1]Table S6'!$A:$AI,22,FALSE)</f>
        <v>412.3</v>
      </c>
      <c r="AF562">
        <f>VLOOKUP($J562,'[1]Table S6'!$A:$AI,23,FALSE)</f>
        <v>0.87742072781442904</v>
      </c>
      <c r="AG562">
        <f>VLOOKUP($J562,'[1]Table S6'!$A:$AI,24,FALSE)</f>
        <v>50.36</v>
      </c>
      <c r="AH562" t="str">
        <f>VLOOKUP($J562,'[1]Table S6'!$A:$AI,25,FALSE)</f>
        <v>No</v>
      </c>
      <c r="AJ562">
        <f>VLOOKUP($J562,'[1]Table S6'!$A:$AI,27,FALSE)</f>
        <v>417.6</v>
      </c>
      <c r="AK562">
        <f>VLOOKUP($J562,'[1]Table S6'!$A:$AI,28,FALSE)</f>
        <v>0.88869972334539304</v>
      </c>
      <c r="AL562">
        <f>VLOOKUP($J562,'[1]Table S6'!$A:$AI,29,FALSE)</f>
        <v>57.74</v>
      </c>
      <c r="AM562" t="str">
        <f>VLOOKUP($J562,'[1]Table S6'!$A:$AI,30,FALSE)</f>
        <v>No</v>
      </c>
      <c r="AO562">
        <f>VLOOKUP($J562,'[1]Table S6'!$A:$AI,32,FALSE)</f>
        <v>403.5</v>
      </c>
      <c r="AP562">
        <f>VLOOKUP($J562,'[1]Table S6'!$A:$AI,33,FALSE)</f>
        <v>0.85869333900830003</v>
      </c>
      <c r="AQ562">
        <f>VLOOKUP($J562,'[1]Table S6'!$A:$AI,34,FALSE)</f>
        <v>34.409999999999997</v>
      </c>
      <c r="AR562" t="str">
        <f>VLOOKUP($J562,'[1]Table S6'!$A:$AI,35,FALSE)</f>
        <v>No</v>
      </c>
      <c r="AT562" t="e">
        <f>VLOOKUP($I562,'[2]Table S5'!$A:$K,8,FALSE)</f>
        <v>#N/A</v>
      </c>
      <c r="AU562" t="e">
        <f>VLOOKUP($I562,'[2]Table S5'!$A:$K,9,FALSE)</f>
        <v>#N/A</v>
      </c>
      <c r="AV562" t="e">
        <f>VLOOKUP($I562,'[2]Table S5'!$A:$K,10,FALSE)</f>
        <v>#N/A</v>
      </c>
      <c r="AW562" t="e">
        <f>VLOOKUP($I562,'[2]Table S5'!$A:$K,11,FALSE)</f>
        <v>#N/A</v>
      </c>
    </row>
    <row r="563" spans="1:49">
      <c r="A563" s="12" t="s">
        <v>3591</v>
      </c>
      <c r="B563" t="s">
        <v>3592</v>
      </c>
      <c r="C563" t="s">
        <v>3593</v>
      </c>
      <c r="D563" t="s">
        <v>17</v>
      </c>
      <c r="E563" t="s">
        <v>3594</v>
      </c>
      <c r="F563" s="12" t="s">
        <v>3595</v>
      </c>
      <c r="G563" t="s">
        <v>3596</v>
      </c>
      <c r="H563" t="s">
        <v>3597</v>
      </c>
      <c r="I563" t="s">
        <v>3598</v>
      </c>
      <c r="J563" t="s">
        <v>3599</v>
      </c>
      <c r="K563">
        <f>VLOOKUP($J563,'[1]Table S6'!$A:$AI,2,FALSE)</f>
        <v>322.2</v>
      </c>
      <c r="L563">
        <f>VLOOKUP($J563,'[1]Table S6'!$A:$AI,3,FALSE)</f>
        <v>0.68567780378804</v>
      </c>
      <c r="M563">
        <f>VLOOKUP($J563,'[1]Table S6'!$A:$AI,4,FALSE)</f>
        <v>2.0880000000000001</v>
      </c>
      <c r="N563" t="str">
        <f>VLOOKUP($J563,'[1]Table S6'!$A:$AI,5,FALSE)</f>
        <v>Yes</v>
      </c>
      <c r="P563">
        <f>VLOOKUP($J563,'[1]Table S6'!$A:$AI,7,FALSE)</f>
        <v>325</v>
      </c>
      <c r="Q563">
        <f>VLOOKUP($J563,'[1]Table S6'!$A:$AI,8,FALSE)</f>
        <v>0.69163651840817197</v>
      </c>
      <c r="R563">
        <f>VLOOKUP($J563,'[1]Table S6'!$A:$AI,9,FALSE)</f>
        <v>2.4510000000000001</v>
      </c>
      <c r="S563" t="str">
        <f>VLOOKUP($J563,'[1]Table S6'!$A:$AI,10,FALSE)</f>
        <v>Yes</v>
      </c>
      <c r="U563">
        <f>VLOOKUP($J563,'[1]Table S6'!$A:$AI,12,FALSE)</f>
        <v>349</v>
      </c>
      <c r="V563">
        <f>VLOOKUP($J563,'[1]Table S6'!$A:$AI,13,FALSE)</f>
        <v>0.74271121515215999</v>
      </c>
      <c r="W563">
        <f>VLOOKUP($J563,'[1]Table S6'!$A:$AI,14,FALSE)</f>
        <v>4.984</v>
      </c>
      <c r="X563" t="str">
        <f>VLOOKUP($J563,'[1]Table S6'!$A:$AI,15,FALSE)</f>
        <v>No</v>
      </c>
      <c r="Z563">
        <f>VLOOKUP($J563,'[1]Table S6'!$A:$AI,17,FALSE)</f>
        <v>381.5</v>
      </c>
      <c r="AA563">
        <f>VLOOKUP($J563,'[1]Table S6'!$A:$AI,18,FALSE)</f>
        <v>0.81187486699297695</v>
      </c>
      <c r="AB563">
        <f>VLOOKUP($J563,'[1]Table S6'!$A:$AI,19,FALSE)</f>
        <v>13.24</v>
      </c>
      <c r="AC563" t="str">
        <f>VLOOKUP($J563,'[1]Table S6'!$A:$AI,20,FALSE)</f>
        <v>No</v>
      </c>
      <c r="AE563">
        <f>VLOOKUP($J563,'[1]Table S6'!$A:$AI,22,FALSE)</f>
        <v>402</v>
      </c>
      <c r="AF563">
        <f>VLOOKUP($J563,'[1]Table S6'!$A:$AI,23,FALSE)</f>
        <v>0.85550117046179996</v>
      </c>
      <c r="AG563">
        <f>VLOOKUP($J563,'[1]Table S6'!$A:$AI,24,FALSE)</f>
        <v>31.92</v>
      </c>
      <c r="AH563" t="str">
        <f>VLOOKUP($J563,'[1]Table S6'!$A:$AI,25,FALSE)</f>
        <v>No</v>
      </c>
      <c r="AJ563">
        <f>VLOOKUP($J563,'[1]Table S6'!$A:$AI,27,FALSE)</f>
        <v>413</v>
      </c>
      <c r="AK563">
        <f>VLOOKUP($J563,'[1]Table S6'!$A:$AI,28,FALSE)</f>
        <v>0.87891040646946195</v>
      </c>
      <c r="AL563">
        <f>VLOOKUP($J563,'[1]Table S6'!$A:$AI,29,FALSE)</f>
        <v>55.5</v>
      </c>
      <c r="AM563" t="str">
        <f>VLOOKUP($J563,'[1]Table S6'!$A:$AI,30,FALSE)</f>
        <v>No</v>
      </c>
      <c r="AO563">
        <f>VLOOKUP($J563,'[1]Table S6'!$A:$AI,32,FALSE)</f>
        <v>405.7</v>
      </c>
      <c r="AP563">
        <f>VLOOKUP($J563,'[1]Table S6'!$A:$AI,33,FALSE)</f>
        <v>0.863375186209832</v>
      </c>
      <c r="AQ563">
        <f>VLOOKUP($J563,'[1]Table S6'!$A:$AI,34,FALSE)</f>
        <v>33.44</v>
      </c>
      <c r="AR563" t="str">
        <f>VLOOKUP($J563,'[1]Table S6'!$A:$AI,35,FALSE)</f>
        <v>No</v>
      </c>
      <c r="AT563" t="e">
        <f>VLOOKUP($I563,'[2]Table S5'!$A:$K,8,FALSE)</f>
        <v>#N/A</v>
      </c>
      <c r="AU563" t="e">
        <f>VLOOKUP($I563,'[2]Table S5'!$A:$K,9,FALSE)</f>
        <v>#N/A</v>
      </c>
      <c r="AV563" t="e">
        <f>VLOOKUP($I563,'[2]Table S5'!$A:$K,10,FALSE)</f>
        <v>#N/A</v>
      </c>
      <c r="AW563" t="e">
        <f>VLOOKUP($I563,'[2]Table S5'!$A:$K,11,FALSE)</f>
        <v>#N/A</v>
      </c>
    </row>
    <row r="564" spans="1:49">
      <c r="A564" s="12" t="s">
        <v>3600</v>
      </c>
      <c r="B564" t="s">
        <v>3601</v>
      </c>
      <c r="C564" t="s">
        <v>3602</v>
      </c>
      <c r="D564" t="s">
        <v>17</v>
      </c>
      <c r="E564" t="s">
        <v>3603</v>
      </c>
      <c r="F564" s="12" t="s">
        <v>3604</v>
      </c>
      <c r="G564" t="s">
        <v>3605</v>
      </c>
      <c r="H564" t="s">
        <v>3606</v>
      </c>
      <c r="I564" t="s">
        <v>3598</v>
      </c>
      <c r="J564" t="s">
        <v>3607</v>
      </c>
      <c r="K564">
        <f>VLOOKUP($J564,'[1]Table S6'!$A:$AI,2,FALSE)</f>
        <v>327.5</v>
      </c>
      <c r="L564">
        <f>VLOOKUP($J564,'[1]Table S6'!$A:$AI,3,FALSE)</f>
        <v>0.69695679931900401</v>
      </c>
      <c r="M564">
        <f>VLOOKUP($J564,'[1]Table S6'!$A:$AI,4,FALSE)</f>
        <v>2.34</v>
      </c>
      <c r="N564" t="str">
        <f>VLOOKUP($J564,'[1]Table S6'!$A:$AI,5,FALSE)</f>
        <v>Yes</v>
      </c>
      <c r="P564">
        <f>VLOOKUP($J564,'[1]Table S6'!$A:$AI,7,FALSE)</f>
        <v>326.8</v>
      </c>
      <c r="Q564">
        <f>VLOOKUP($J564,'[1]Table S6'!$A:$AI,8,FALSE)</f>
        <v>0.69546712066397098</v>
      </c>
      <c r="R564">
        <f>VLOOKUP($J564,'[1]Table S6'!$A:$AI,9,FALSE)</f>
        <v>2.4590000000000001</v>
      </c>
      <c r="S564" t="str">
        <f>VLOOKUP($J564,'[1]Table S6'!$A:$AI,10,FALSE)</f>
        <v>Yes</v>
      </c>
      <c r="U564">
        <f>VLOOKUP($J564,'[1]Table S6'!$A:$AI,12,FALSE)</f>
        <v>329.5</v>
      </c>
      <c r="V564">
        <f>VLOOKUP($J564,'[1]Table S6'!$A:$AI,13,FALSE)</f>
        <v>0.70121302404767005</v>
      </c>
      <c r="W564">
        <f>VLOOKUP($J564,'[1]Table S6'!$A:$AI,14,FALSE)</f>
        <v>2.448</v>
      </c>
      <c r="X564" t="str">
        <f>VLOOKUP($J564,'[1]Table S6'!$A:$AI,15,FALSE)</f>
        <v>No</v>
      </c>
      <c r="Z564">
        <f>VLOOKUP($J564,'[1]Table S6'!$A:$AI,17,FALSE)</f>
        <v>342.3</v>
      </c>
      <c r="AA564">
        <f>VLOOKUP($J564,'[1]Table S6'!$A:$AI,18,FALSE)</f>
        <v>0.72845286231113004</v>
      </c>
      <c r="AB564">
        <f>VLOOKUP($J564,'[1]Table S6'!$A:$AI,19,FALSE)</f>
        <v>3.8290000000000002</v>
      </c>
      <c r="AC564" t="str">
        <f>VLOOKUP($J564,'[1]Table S6'!$A:$AI,20,FALSE)</f>
        <v>No</v>
      </c>
      <c r="AE564">
        <f>VLOOKUP($J564,'[1]Table S6'!$A:$AI,22,FALSE)</f>
        <v>392.3</v>
      </c>
      <c r="AF564">
        <f>VLOOKUP($J564,'[1]Table S6'!$A:$AI,23,FALSE)</f>
        <v>0.83485848052777201</v>
      </c>
      <c r="AG564">
        <f>VLOOKUP($J564,'[1]Table S6'!$A:$AI,24,FALSE)</f>
        <v>20.9</v>
      </c>
      <c r="AH564" t="str">
        <f>VLOOKUP($J564,'[1]Table S6'!$A:$AI,25,FALSE)</f>
        <v>No</v>
      </c>
      <c r="AJ564">
        <f>VLOOKUP($J564,'[1]Table S6'!$A:$AI,27,FALSE)</f>
        <v>422.5</v>
      </c>
      <c r="AK564">
        <f>VLOOKUP($J564,'[1]Table S6'!$A:$AI,28,FALSE)</f>
        <v>0.89912747393062398</v>
      </c>
      <c r="AL564">
        <f>VLOOKUP($J564,'[1]Table S6'!$A:$AI,29,FALSE)</f>
        <v>69.23</v>
      </c>
      <c r="AM564" t="str">
        <f>VLOOKUP($J564,'[1]Table S6'!$A:$AI,30,FALSE)</f>
        <v>No</v>
      </c>
      <c r="AO564">
        <f>VLOOKUP($J564,'[1]Table S6'!$A:$AI,32,FALSE)</f>
        <v>392.2</v>
      </c>
      <c r="AP564">
        <f>VLOOKUP($J564,'[1]Table S6'!$A:$AI,33,FALSE)</f>
        <v>0.83464566929133899</v>
      </c>
      <c r="AQ564">
        <f>VLOOKUP($J564,'[1]Table S6'!$A:$AI,34,FALSE)</f>
        <v>20.52</v>
      </c>
      <c r="AR564" t="str">
        <f>VLOOKUP($J564,'[1]Table S6'!$A:$AI,35,FALSE)</f>
        <v>No</v>
      </c>
      <c r="AT564" t="e">
        <f>VLOOKUP($I564,'[2]Table S5'!$A:$K,8,FALSE)</f>
        <v>#N/A</v>
      </c>
      <c r="AU564" t="e">
        <f>VLOOKUP($I564,'[2]Table S5'!$A:$K,9,FALSE)</f>
        <v>#N/A</v>
      </c>
      <c r="AV564" t="e">
        <f>VLOOKUP($I564,'[2]Table S5'!$A:$K,10,FALSE)</f>
        <v>#N/A</v>
      </c>
      <c r="AW564" t="e">
        <f>VLOOKUP($I564,'[2]Table S5'!$A:$K,11,FALSE)</f>
        <v>#N/A</v>
      </c>
    </row>
    <row r="565" spans="1:49">
      <c r="A565" s="12" t="s">
        <v>3608</v>
      </c>
      <c r="B565" t="s">
        <v>3609</v>
      </c>
      <c r="C565" t="s">
        <v>3610</v>
      </c>
      <c r="D565" t="s">
        <v>17</v>
      </c>
      <c r="E565" t="s">
        <v>3611</v>
      </c>
      <c r="F565" s="12" t="s">
        <v>3612</v>
      </c>
      <c r="G565" t="s">
        <v>3613</v>
      </c>
      <c r="H565" t="s">
        <v>3614</v>
      </c>
      <c r="I565" t="s">
        <v>1629</v>
      </c>
      <c r="J565" t="s">
        <v>3615</v>
      </c>
      <c r="K565">
        <f>VLOOKUP($J565,'[1]Table S6'!$A:$AI,2,FALSE)</f>
        <v>394.9</v>
      </c>
      <c r="L565">
        <f>VLOOKUP($J565,'[1]Table S6'!$A:$AI,3,FALSE)</f>
        <v>0.84039157267503695</v>
      </c>
      <c r="M565">
        <f>VLOOKUP($J565,'[1]Table S6'!$A:$AI,4,FALSE)</f>
        <v>23.49</v>
      </c>
      <c r="N565" t="str">
        <f>VLOOKUP($J565,'[1]Table S6'!$A:$AI,5,FALSE)</f>
        <v>No</v>
      </c>
      <c r="P565">
        <f>VLOOKUP($J565,'[1]Table S6'!$A:$AI,7,FALSE)</f>
        <v>389.3</v>
      </c>
      <c r="Q565">
        <f>VLOOKUP($J565,'[1]Table S6'!$A:$AI,8,FALSE)</f>
        <v>0.82847414343477299</v>
      </c>
      <c r="R565">
        <f>VLOOKUP($J565,'[1]Table S6'!$A:$AI,9,FALSE)</f>
        <v>20.88</v>
      </c>
      <c r="S565" t="str">
        <f>VLOOKUP($J565,'[1]Table S6'!$A:$AI,10,FALSE)</f>
        <v>No</v>
      </c>
      <c r="U565">
        <f>VLOOKUP($J565,'[1]Table S6'!$A:$AI,12,FALSE)</f>
        <v>368.9</v>
      </c>
      <c r="V565">
        <f>VLOOKUP($J565,'[1]Table S6'!$A:$AI,13,FALSE)</f>
        <v>0.785060651202383</v>
      </c>
      <c r="W565">
        <f>VLOOKUP($J565,'[1]Table S6'!$A:$AI,14,FALSE)</f>
        <v>9.7319999999999993</v>
      </c>
      <c r="X565" t="str">
        <f>VLOOKUP($J565,'[1]Table S6'!$A:$AI,15,FALSE)</f>
        <v>No</v>
      </c>
      <c r="Z565">
        <f>VLOOKUP($J565,'[1]Table S6'!$A:$AI,17,FALSE)</f>
        <v>386.5</v>
      </c>
      <c r="AA565">
        <f>VLOOKUP($J565,'[1]Table S6'!$A:$AI,18,FALSE)</f>
        <v>0.82251542881464101</v>
      </c>
      <c r="AB565">
        <f>VLOOKUP($J565,'[1]Table S6'!$A:$AI,19,FALSE)</f>
        <v>15.33</v>
      </c>
      <c r="AC565" t="str">
        <f>VLOOKUP($J565,'[1]Table S6'!$A:$AI,20,FALSE)</f>
        <v>No</v>
      </c>
      <c r="AE565">
        <f>VLOOKUP($J565,'[1]Table S6'!$A:$AI,22,FALSE)</f>
        <v>389.1</v>
      </c>
      <c r="AF565">
        <f>VLOOKUP($J565,'[1]Table S6'!$A:$AI,23,FALSE)</f>
        <v>0.82804852096190695</v>
      </c>
      <c r="AG565">
        <f>VLOOKUP($J565,'[1]Table S6'!$A:$AI,24,FALSE)</f>
        <v>20.56</v>
      </c>
      <c r="AH565" t="str">
        <f>VLOOKUP($J565,'[1]Table S6'!$A:$AI,25,FALSE)</f>
        <v>No</v>
      </c>
      <c r="AJ565">
        <f>VLOOKUP($J565,'[1]Table S6'!$A:$AI,27,FALSE)</f>
        <v>425</v>
      </c>
      <c r="AK565">
        <f>VLOOKUP($J565,'[1]Table S6'!$A:$AI,28,FALSE)</f>
        <v>0.90444775484145601</v>
      </c>
      <c r="AL565">
        <f>VLOOKUP($J565,'[1]Table S6'!$A:$AI,29,FALSE)</f>
        <v>87.41</v>
      </c>
      <c r="AM565" t="str">
        <f>VLOOKUP($J565,'[1]Table S6'!$A:$AI,30,FALSE)</f>
        <v>No</v>
      </c>
      <c r="AO565">
        <f>VLOOKUP($J565,'[1]Table S6'!$A:$AI,32,FALSE)</f>
        <v>400.2</v>
      </c>
      <c r="AP565">
        <f>VLOOKUP($J565,'[1]Table S6'!$A:$AI,33,FALSE)</f>
        <v>0.85167056820600096</v>
      </c>
      <c r="AQ565">
        <f>VLOOKUP($J565,'[1]Table S6'!$A:$AI,34,FALSE)</f>
        <v>28.81</v>
      </c>
      <c r="AR565" t="str">
        <f>VLOOKUP($J565,'[1]Table S6'!$A:$AI,35,FALSE)</f>
        <v>No</v>
      </c>
      <c r="AT565" t="e">
        <f>VLOOKUP($I565,'[2]Table S5'!$A:$K,8,FALSE)</f>
        <v>#N/A</v>
      </c>
      <c r="AU565" t="e">
        <f>VLOOKUP($I565,'[2]Table S5'!$A:$K,9,FALSE)</f>
        <v>#N/A</v>
      </c>
      <c r="AV565" t="e">
        <f>VLOOKUP($I565,'[2]Table S5'!$A:$K,10,FALSE)</f>
        <v>#N/A</v>
      </c>
      <c r="AW565" t="e">
        <f>VLOOKUP($I565,'[2]Table S5'!$A:$K,11,FALSE)</f>
        <v>#N/A</v>
      </c>
    </row>
    <row r="566" spans="1:49">
      <c r="A566" s="12" t="s">
        <v>3616</v>
      </c>
      <c r="B566" t="s">
        <v>3617</v>
      </c>
      <c r="C566" t="s">
        <v>3618</v>
      </c>
      <c r="D566" t="s">
        <v>17</v>
      </c>
      <c r="E566" t="s">
        <v>3619</v>
      </c>
      <c r="F566" s="12" t="s">
        <v>3620</v>
      </c>
      <c r="G566" t="s">
        <v>3621</v>
      </c>
      <c r="H566" t="s">
        <v>3622</v>
      </c>
      <c r="I566" t="s">
        <v>1629</v>
      </c>
      <c r="J566" t="s">
        <v>1630</v>
      </c>
      <c r="K566">
        <f>VLOOKUP($J566,'[1]Table S6'!$A:$AI,2,FALSE)</f>
        <v>395.6</v>
      </c>
      <c r="L566">
        <f>VLOOKUP($J566,'[1]Table S6'!$A:$AI,3,FALSE)</f>
        <v>0.84188125133006997</v>
      </c>
      <c r="M566">
        <f>VLOOKUP($J566,'[1]Table S6'!$A:$AI,4,FALSE)</f>
        <v>19.91</v>
      </c>
      <c r="N566" t="str">
        <f>VLOOKUP($J566,'[1]Table S6'!$A:$AI,5,FALSE)</f>
        <v>No</v>
      </c>
      <c r="P566">
        <f>VLOOKUP($J566,'[1]Table S6'!$A:$AI,7,FALSE)</f>
        <v>324.7</v>
      </c>
      <c r="Q566">
        <f>VLOOKUP($J566,'[1]Table S6'!$A:$AI,8,FALSE)</f>
        <v>0.69099808469887203</v>
      </c>
      <c r="R566">
        <f>VLOOKUP($J566,'[1]Table S6'!$A:$AI,9,FALSE)</f>
        <v>2.109</v>
      </c>
      <c r="S566" t="str">
        <f>VLOOKUP($J566,'[1]Table S6'!$A:$AI,10,FALSE)</f>
        <v>Yes</v>
      </c>
      <c r="U566">
        <f>VLOOKUP($J566,'[1]Table S6'!$A:$AI,12,FALSE)</f>
        <v>326.60000000000002</v>
      </c>
      <c r="V566">
        <f>VLOOKUP($J566,'[1]Table S6'!$A:$AI,13,FALSE)</f>
        <v>0.69504149819110495</v>
      </c>
      <c r="W566">
        <f>VLOOKUP($J566,'[1]Table S6'!$A:$AI,14,FALSE)</f>
        <v>2.3380000000000001</v>
      </c>
      <c r="X566" t="str">
        <f>VLOOKUP($J566,'[1]Table S6'!$A:$AI,15,FALSE)</f>
        <v>Yes</v>
      </c>
      <c r="Z566">
        <f>VLOOKUP($J566,'[1]Table S6'!$A:$AI,17,FALSE)</f>
        <v>321.5</v>
      </c>
      <c r="AA566">
        <f>VLOOKUP($J566,'[1]Table S6'!$A:$AI,18,FALSE)</f>
        <v>0.68418812513300697</v>
      </c>
      <c r="AB566">
        <f>VLOOKUP($J566,'[1]Table S6'!$A:$AI,19,FALSE)</f>
        <v>1.81</v>
      </c>
      <c r="AC566" t="str">
        <f>VLOOKUP($J566,'[1]Table S6'!$A:$AI,20,FALSE)</f>
        <v>Yes</v>
      </c>
      <c r="AE566">
        <f>VLOOKUP($J566,'[1]Table S6'!$A:$AI,22,FALSE)</f>
        <v>404.9</v>
      </c>
      <c r="AF566">
        <f>VLOOKUP($J566,'[1]Table S6'!$A:$AI,23,FALSE)</f>
        <v>0.86167269631836596</v>
      </c>
      <c r="AG566">
        <f>VLOOKUP($J566,'[1]Table S6'!$A:$AI,24,FALSE)</f>
        <v>36.71</v>
      </c>
      <c r="AH566" t="str">
        <f>VLOOKUP($J566,'[1]Table S6'!$A:$AI,25,FALSE)</f>
        <v>No</v>
      </c>
      <c r="AJ566">
        <f>VLOOKUP($J566,'[1]Table S6'!$A:$AI,27,FALSE)</f>
        <v>413.1</v>
      </c>
      <c r="AK566">
        <f>VLOOKUP($J566,'[1]Table S6'!$A:$AI,28,FALSE)</f>
        <v>0.87912321770589497</v>
      </c>
      <c r="AL566">
        <f>VLOOKUP($J566,'[1]Table S6'!$A:$AI,29,FALSE)</f>
        <v>58.85</v>
      </c>
      <c r="AM566" t="str">
        <f>VLOOKUP($J566,'[1]Table S6'!$A:$AI,30,FALSE)</f>
        <v>No</v>
      </c>
      <c r="AO566">
        <f>VLOOKUP($J566,'[1]Table S6'!$A:$AI,32,FALSE)</f>
        <v>411.3</v>
      </c>
      <c r="AP566">
        <f>VLOOKUP($J566,'[1]Table S6'!$A:$AI,33,FALSE)</f>
        <v>0.87529261545009596</v>
      </c>
      <c r="AQ566">
        <f>VLOOKUP($J566,'[1]Table S6'!$A:$AI,34,FALSE)</f>
        <v>45.32</v>
      </c>
      <c r="AR566" t="str">
        <f>VLOOKUP($J566,'[1]Table S6'!$A:$AI,35,FALSE)</f>
        <v>No</v>
      </c>
      <c r="AT566" t="e">
        <f>VLOOKUP($I566,'[2]Table S5'!$A:$K,8,FALSE)</f>
        <v>#N/A</v>
      </c>
      <c r="AU566" t="e">
        <f>VLOOKUP($I566,'[2]Table S5'!$A:$K,9,FALSE)</f>
        <v>#N/A</v>
      </c>
      <c r="AV566" t="e">
        <f>VLOOKUP($I566,'[2]Table S5'!$A:$K,10,FALSE)</f>
        <v>#N/A</v>
      </c>
      <c r="AW566" t="e">
        <f>VLOOKUP($I566,'[2]Table S5'!$A:$K,11,FALSE)</f>
        <v>#N/A</v>
      </c>
    </row>
    <row r="567" spans="1:49">
      <c r="A567" s="12" t="s">
        <v>3623</v>
      </c>
      <c r="B567" t="s">
        <v>3624</v>
      </c>
      <c r="C567" t="s">
        <v>3625</v>
      </c>
      <c r="D567" t="s">
        <v>17</v>
      </c>
      <c r="E567" t="s">
        <v>3626</v>
      </c>
      <c r="F567" s="12" t="s">
        <v>3627</v>
      </c>
      <c r="G567" t="s">
        <v>3628</v>
      </c>
      <c r="H567" t="s">
        <v>3629</v>
      </c>
      <c r="I567" t="s">
        <v>1629</v>
      </c>
      <c r="J567" t="s">
        <v>1652</v>
      </c>
      <c r="K567">
        <f>VLOOKUP($J567,'[1]Table S6'!$A:$AI,2,FALSE)</f>
        <v>397</v>
      </c>
      <c r="L567">
        <f>VLOOKUP($J567,'[1]Table S6'!$A:$AI,3,FALSE)</f>
        <v>0.84486060864013601</v>
      </c>
      <c r="M567">
        <f>VLOOKUP($J567,'[1]Table S6'!$A:$AI,4,FALSE)</f>
        <v>23.04</v>
      </c>
      <c r="N567" t="str">
        <f>VLOOKUP($J567,'[1]Table S6'!$A:$AI,5,FALSE)</f>
        <v>No</v>
      </c>
      <c r="P567">
        <f>VLOOKUP($J567,'[1]Table S6'!$A:$AI,7,FALSE)</f>
        <v>393.4</v>
      </c>
      <c r="Q567">
        <f>VLOOKUP($J567,'[1]Table S6'!$A:$AI,8,FALSE)</f>
        <v>0.83719940412853799</v>
      </c>
      <c r="R567">
        <f>VLOOKUP($J567,'[1]Table S6'!$A:$AI,9,FALSE)</f>
        <v>20.97</v>
      </c>
      <c r="S567" t="str">
        <f>VLOOKUP($J567,'[1]Table S6'!$A:$AI,10,FALSE)</f>
        <v>No</v>
      </c>
      <c r="U567">
        <f>VLOOKUP($J567,'[1]Table S6'!$A:$AI,12,FALSE)</f>
        <v>388.3</v>
      </c>
      <c r="V567">
        <f>VLOOKUP($J567,'[1]Table S6'!$A:$AI,13,FALSE)</f>
        <v>0.82634603107044102</v>
      </c>
      <c r="W567">
        <f>VLOOKUP($J567,'[1]Table S6'!$A:$AI,14,FALSE)</f>
        <v>15.9</v>
      </c>
      <c r="X567" t="str">
        <f>VLOOKUP($J567,'[1]Table S6'!$A:$AI,15,FALSE)</f>
        <v>No</v>
      </c>
      <c r="Z567">
        <f>VLOOKUP($J567,'[1]Table S6'!$A:$AI,17,FALSE)</f>
        <v>379.9</v>
      </c>
      <c r="AA567">
        <f>VLOOKUP($J567,'[1]Table S6'!$A:$AI,18,FALSE)</f>
        <v>0.80846988721004498</v>
      </c>
      <c r="AB567">
        <f>VLOOKUP($J567,'[1]Table S6'!$A:$AI,19,FALSE)</f>
        <v>14.56</v>
      </c>
      <c r="AC567" t="str">
        <f>VLOOKUP($J567,'[1]Table S6'!$A:$AI,20,FALSE)</f>
        <v>No</v>
      </c>
      <c r="AE567">
        <f>VLOOKUP($J567,'[1]Table S6'!$A:$AI,22,FALSE)</f>
        <v>411</v>
      </c>
      <c r="AF567">
        <f>VLOOKUP($J567,'[1]Table S6'!$A:$AI,23,FALSE)</f>
        <v>0.87465418174079601</v>
      </c>
      <c r="AG567">
        <f>VLOOKUP($J567,'[1]Table S6'!$A:$AI,24,FALSE)</f>
        <v>49.34</v>
      </c>
      <c r="AH567" t="str">
        <f>VLOOKUP($J567,'[1]Table S6'!$A:$AI,25,FALSE)</f>
        <v>No</v>
      </c>
      <c r="AJ567">
        <f>VLOOKUP($J567,'[1]Table S6'!$A:$AI,27,FALSE)</f>
        <v>417.5</v>
      </c>
      <c r="AK567">
        <f>VLOOKUP($J567,'[1]Table S6'!$A:$AI,28,FALSE)</f>
        <v>0.88848691210895903</v>
      </c>
      <c r="AL567">
        <f>VLOOKUP($J567,'[1]Table S6'!$A:$AI,29,FALSE)</f>
        <v>63.33</v>
      </c>
      <c r="AM567" t="str">
        <f>VLOOKUP($J567,'[1]Table S6'!$A:$AI,30,FALSE)</f>
        <v>No</v>
      </c>
      <c r="AO567">
        <f>VLOOKUP($J567,'[1]Table S6'!$A:$AI,32,FALSE)</f>
        <v>385.4</v>
      </c>
      <c r="AP567">
        <f>VLOOKUP($J567,'[1]Table S6'!$A:$AI,33,FALSE)</f>
        <v>0.82017450521387503</v>
      </c>
      <c r="AQ567">
        <f>VLOOKUP($J567,'[1]Table S6'!$A:$AI,34,FALSE)</f>
        <v>17.11</v>
      </c>
      <c r="AR567" t="str">
        <f>VLOOKUP($J567,'[1]Table S6'!$A:$AI,35,FALSE)</f>
        <v>No</v>
      </c>
      <c r="AT567" t="e">
        <f>VLOOKUP($I567,'[2]Table S5'!$A:$K,8,FALSE)</f>
        <v>#N/A</v>
      </c>
      <c r="AU567" t="e">
        <f>VLOOKUP($I567,'[2]Table S5'!$A:$K,9,FALSE)</f>
        <v>#N/A</v>
      </c>
      <c r="AV567" t="e">
        <f>VLOOKUP($I567,'[2]Table S5'!$A:$K,10,FALSE)</f>
        <v>#N/A</v>
      </c>
      <c r="AW567" t="e">
        <f>VLOOKUP($I567,'[2]Table S5'!$A:$K,11,FALSE)</f>
        <v>#N/A</v>
      </c>
    </row>
    <row r="568" spans="1:49">
      <c r="A568" s="12" t="s">
        <v>3630</v>
      </c>
      <c r="B568" t="s">
        <v>3631</v>
      </c>
      <c r="C568" t="s">
        <v>3632</v>
      </c>
      <c r="D568" t="s">
        <v>17</v>
      </c>
      <c r="E568" t="s">
        <v>1625</v>
      </c>
      <c r="F568" s="12" t="s">
        <v>1626</v>
      </c>
      <c r="G568" t="s">
        <v>1627</v>
      </c>
      <c r="H568" t="s">
        <v>1628</v>
      </c>
      <c r="I568" t="s">
        <v>1629</v>
      </c>
      <c r="J568" t="s">
        <v>1630</v>
      </c>
      <c r="K568">
        <f>VLOOKUP($J568,'[1]Table S6'!$A:$AI,2,FALSE)</f>
        <v>395.6</v>
      </c>
      <c r="L568">
        <f>VLOOKUP($J568,'[1]Table S6'!$A:$AI,3,FALSE)</f>
        <v>0.84188125133006997</v>
      </c>
      <c r="M568">
        <f>VLOOKUP($J568,'[1]Table S6'!$A:$AI,4,FALSE)</f>
        <v>19.91</v>
      </c>
      <c r="N568" t="str">
        <f>VLOOKUP($J568,'[1]Table S6'!$A:$AI,5,FALSE)</f>
        <v>No</v>
      </c>
      <c r="P568">
        <f>VLOOKUP($J568,'[1]Table S6'!$A:$AI,7,FALSE)</f>
        <v>324.7</v>
      </c>
      <c r="Q568">
        <f>VLOOKUP($J568,'[1]Table S6'!$A:$AI,8,FALSE)</f>
        <v>0.69099808469887203</v>
      </c>
      <c r="R568">
        <f>VLOOKUP($J568,'[1]Table S6'!$A:$AI,9,FALSE)</f>
        <v>2.109</v>
      </c>
      <c r="S568" t="str">
        <f>VLOOKUP($J568,'[1]Table S6'!$A:$AI,10,FALSE)</f>
        <v>Yes</v>
      </c>
      <c r="U568">
        <f>VLOOKUP($J568,'[1]Table S6'!$A:$AI,12,FALSE)</f>
        <v>326.60000000000002</v>
      </c>
      <c r="V568">
        <f>VLOOKUP($J568,'[1]Table S6'!$A:$AI,13,FALSE)</f>
        <v>0.69504149819110495</v>
      </c>
      <c r="W568">
        <f>VLOOKUP($J568,'[1]Table S6'!$A:$AI,14,FALSE)</f>
        <v>2.3380000000000001</v>
      </c>
      <c r="X568" t="str">
        <f>VLOOKUP($J568,'[1]Table S6'!$A:$AI,15,FALSE)</f>
        <v>Yes</v>
      </c>
      <c r="Z568">
        <f>VLOOKUP($J568,'[1]Table S6'!$A:$AI,17,FALSE)</f>
        <v>321.5</v>
      </c>
      <c r="AA568">
        <f>VLOOKUP($J568,'[1]Table S6'!$A:$AI,18,FALSE)</f>
        <v>0.68418812513300697</v>
      </c>
      <c r="AB568">
        <f>VLOOKUP($J568,'[1]Table S6'!$A:$AI,19,FALSE)</f>
        <v>1.81</v>
      </c>
      <c r="AC568" t="str">
        <f>VLOOKUP($J568,'[1]Table S6'!$A:$AI,20,FALSE)</f>
        <v>Yes</v>
      </c>
      <c r="AE568">
        <f>VLOOKUP($J568,'[1]Table S6'!$A:$AI,22,FALSE)</f>
        <v>404.9</v>
      </c>
      <c r="AF568">
        <f>VLOOKUP($J568,'[1]Table S6'!$A:$AI,23,FALSE)</f>
        <v>0.86167269631836596</v>
      </c>
      <c r="AG568">
        <f>VLOOKUP($J568,'[1]Table S6'!$A:$AI,24,FALSE)</f>
        <v>36.71</v>
      </c>
      <c r="AH568" t="str">
        <f>VLOOKUP($J568,'[1]Table S6'!$A:$AI,25,FALSE)</f>
        <v>No</v>
      </c>
      <c r="AJ568">
        <f>VLOOKUP($J568,'[1]Table S6'!$A:$AI,27,FALSE)</f>
        <v>413.1</v>
      </c>
      <c r="AK568">
        <f>VLOOKUP($J568,'[1]Table S6'!$A:$AI,28,FALSE)</f>
        <v>0.87912321770589497</v>
      </c>
      <c r="AL568">
        <f>VLOOKUP($J568,'[1]Table S6'!$A:$AI,29,FALSE)</f>
        <v>58.85</v>
      </c>
      <c r="AM568" t="str">
        <f>VLOOKUP($J568,'[1]Table S6'!$A:$AI,30,FALSE)</f>
        <v>No</v>
      </c>
      <c r="AO568">
        <f>VLOOKUP($J568,'[1]Table S6'!$A:$AI,32,FALSE)</f>
        <v>411.3</v>
      </c>
      <c r="AP568">
        <f>VLOOKUP($J568,'[1]Table S6'!$A:$AI,33,FALSE)</f>
        <v>0.87529261545009596</v>
      </c>
      <c r="AQ568">
        <f>VLOOKUP($J568,'[1]Table S6'!$A:$AI,34,FALSE)</f>
        <v>45.32</v>
      </c>
      <c r="AR568" t="str">
        <f>VLOOKUP($J568,'[1]Table S6'!$A:$AI,35,FALSE)</f>
        <v>No</v>
      </c>
      <c r="AT568" t="e">
        <f>VLOOKUP($I568,'[2]Table S5'!$A:$K,8,FALSE)</f>
        <v>#N/A</v>
      </c>
      <c r="AU568" t="e">
        <f>VLOOKUP($I568,'[2]Table S5'!$A:$K,9,FALSE)</f>
        <v>#N/A</v>
      </c>
      <c r="AV568" t="e">
        <f>VLOOKUP($I568,'[2]Table S5'!$A:$K,10,FALSE)</f>
        <v>#N/A</v>
      </c>
      <c r="AW568" t="e">
        <f>VLOOKUP($I568,'[2]Table S5'!$A:$K,11,FALSE)</f>
        <v>#N/A</v>
      </c>
    </row>
    <row r="569" spans="1:49">
      <c r="A569" s="12" t="s">
        <v>3633</v>
      </c>
      <c r="B569" t="s">
        <v>3634</v>
      </c>
      <c r="C569" t="s">
        <v>3635</v>
      </c>
      <c r="D569" t="s">
        <v>17</v>
      </c>
      <c r="E569" t="s">
        <v>1634</v>
      </c>
      <c r="F569" s="12" t="s">
        <v>1635</v>
      </c>
      <c r="G569" t="s">
        <v>1636</v>
      </c>
      <c r="H569" t="s">
        <v>1637</v>
      </c>
      <c r="I569" t="s">
        <v>1629</v>
      </c>
      <c r="J569" t="s">
        <v>1630</v>
      </c>
      <c r="K569">
        <f>VLOOKUP($J569,'[1]Table S6'!$A:$AI,2,FALSE)</f>
        <v>395.6</v>
      </c>
      <c r="L569">
        <f>VLOOKUP($J569,'[1]Table S6'!$A:$AI,3,FALSE)</f>
        <v>0.84188125133006997</v>
      </c>
      <c r="M569">
        <f>VLOOKUP($J569,'[1]Table S6'!$A:$AI,4,FALSE)</f>
        <v>19.91</v>
      </c>
      <c r="N569" t="str">
        <f>VLOOKUP($J569,'[1]Table S6'!$A:$AI,5,FALSE)</f>
        <v>No</v>
      </c>
      <c r="P569">
        <f>VLOOKUP($J569,'[1]Table S6'!$A:$AI,7,FALSE)</f>
        <v>324.7</v>
      </c>
      <c r="Q569">
        <f>VLOOKUP($J569,'[1]Table S6'!$A:$AI,8,FALSE)</f>
        <v>0.69099808469887203</v>
      </c>
      <c r="R569">
        <f>VLOOKUP($J569,'[1]Table S6'!$A:$AI,9,FALSE)</f>
        <v>2.109</v>
      </c>
      <c r="S569" t="str">
        <f>VLOOKUP($J569,'[1]Table S6'!$A:$AI,10,FALSE)</f>
        <v>Yes</v>
      </c>
      <c r="U569">
        <f>VLOOKUP($J569,'[1]Table S6'!$A:$AI,12,FALSE)</f>
        <v>326.60000000000002</v>
      </c>
      <c r="V569">
        <f>VLOOKUP($J569,'[1]Table S6'!$A:$AI,13,FALSE)</f>
        <v>0.69504149819110495</v>
      </c>
      <c r="W569">
        <f>VLOOKUP($J569,'[1]Table S6'!$A:$AI,14,FALSE)</f>
        <v>2.3380000000000001</v>
      </c>
      <c r="X569" t="str">
        <f>VLOOKUP($J569,'[1]Table S6'!$A:$AI,15,FALSE)</f>
        <v>Yes</v>
      </c>
      <c r="Z569">
        <f>VLOOKUP($J569,'[1]Table S6'!$A:$AI,17,FALSE)</f>
        <v>321.5</v>
      </c>
      <c r="AA569">
        <f>VLOOKUP($J569,'[1]Table S6'!$A:$AI,18,FALSE)</f>
        <v>0.68418812513300697</v>
      </c>
      <c r="AB569">
        <f>VLOOKUP($J569,'[1]Table S6'!$A:$AI,19,FALSE)</f>
        <v>1.81</v>
      </c>
      <c r="AC569" t="str">
        <f>VLOOKUP($J569,'[1]Table S6'!$A:$AI,20,FALSE)</f>
        <v>Yes</v>
      </c>
      <c r="AE569">
        <f>VLOOKUP($J569,'[1]Table S6'!$A:$AI,22,FALSE)</f>
        <v>404.9</v>
      </c>
      <c r="AF569">
        <f>VLOOKUP($J569,'[1]Table S6'!$A:$AI,23,FALSE)</f>
        <v>0.86167269631836596</v>
      </c>
      <c r="AG569">
        <f>VLOOKUP($J569,'[1]Table S6'!$A:$AI,24,FALSE)</f>
        <v>36.71</v>
      </c>
      <c r="AH569" t="str">
        <f>VLOOKUP($J569,'[1]Table S6'!$A:$AI,25,FALSE)</f>
        <v>No</v>
      </c>
      <c r="AJ569">
        <f>VLOOKUP($J569,'[1]Table S6'!$A:$AI,27,FALSE)</f>
        <v>413.1</v>
      </c>
      <c r="AK569">
        <f>VLOOKUP($J569,'[1]Table S6'!$A:$AI,28,FALSE)</f>
        <v>0.87912321770589497</v>
      </c>
      <c r="AL569">
        <f>VLOOKUP($J569,'[1]Table S6'!$A:$AI,29,FALSE)</f>
        <v>58.85</v>
      </c>
      <c r="AM569" t="str">
        <f>VLOOKUP($J569,'[1]Table S6'!$A:$AI,30,FALSE)</f>
        <v>No</v>
      </c>
      <c r="AO569">
        <f>VLOOKUP($J569,'[1]Table S6'!$A:$AI,32,FALSE)</f>
        <v>411.3</v>
      </c>
      <c r="AP569">
        <f>VLOOKUP($J569,'[1]Table S6'!$A:$AI,33,FALSE)</f>
        <v>0.87529261545009596</v>
      </c>
      <c r="AQ569">
        <f>VLOOKUP($J569,'[1]Table S6'!$A:$AI,34,FALSE)</f>
        <v>45.32</v>
      </c>
      <c r="AR569" t="str">
        <f>VLOOKUP($J569,'[1]Table S6'!$A:$AI,35,FALSE)</f>
        <v>No</v>
      </c>
      <c r="AT569" t="e">
        <f>VLOOKUP($I569,'[2]Table S5'!$A:$K,8,FALSE)</f>
        <v>#N/A</v>
      </c>
      <c r="AU569" t="e">
        <f>VLOOKUP($I569,'[2]Table S5'!$A:$K,9,FALSE)</f>
        <v>#N/A</v>
      </c>
      <c r="AV569" t="e">
        <f>VLOOKUP($I569,'[2]Table S5'!$A:$K,10,FALSE)</f>
        <v>#N/A</v>
      </c>
      <c r="AW569" t="e">
        <f>VLOOKUP($I569,'[2]Table S5'!$A:$K,11,FALSE)</f>
        <v>#N/A</v>
      </c>
    </row>
    <row r="570" spans="1:49">
      <c r="A570" s="12" t="s">
        <v>3636</v>
      </c>
      <c r="B570" t="s">
        <v>3637</v>
      </c>
      <c r="C570" t="s">
        <v>3638</v>
      </c>
      <c r="D570" t="s">
        <v>17</v>
      </c>
      <c r="E570" t="s">
        <v>1641</v>
      </c>
      <c r="F570" s="12" t="s">
        <v>1642</v>
      </c>
      <c r="G570" t="s">
        <v>1643</v>
      </c>
      <c r="H570" t="s">
        <v>1644</v>
      </c>
      <c r="I570" t="s">
        <v>1629</v>
      </c>
      <c r="J570" t="s">
        <v>1630</v>
      </c>
      <c r="K570">
        <f>VLOOKUP($J570,'[1]Table S6'!$A:$AI,2,FALSE)</f>
        <v>395.6</v>
      </c>
      <c r="L570">
        <f>VLOOKUP($J570,'[1]Table S6'!$A:$AI,3,FALSE)</f>
        <v>0.84188125133006997</v>
      </c>
      <c r="M570">
        <f>VLOOKUP($J570,'[1]Table S6'!$A:$AI,4,FALSE)</f>
        <v>19.91</v>
      </c>
      <c r="N570" t="str">
        <f>VLOOKUP($J570,'[1]Table S6'!$A:$AI,5,FALSE)</f>
        <v>No</v>
      </c>
      <c r="P570">
        <f>VLOOKUP($J570,'[1]Table S6'!$A:$AI,7,FALSE)</f>
        <v>324.7</v>
      </c>
      <c r="Q570">
        <f>VLOOKUP($J570,'[1]Table S6'!$A:$AI,8,FALSE)</f>
        <v>0.69099808469887203</v>
      </c>
      <c r="R570">
        <f>VLOOKUP($J570,'[1]Table S6'!$A:$AI,9,FALSE)</f>
        <v>2.109</v>
      </c>
      <c r="S570" t="str">
        <f>VLOOKUP($J570,'[1]Table S6'!$A:$AI,10,FALSE)</f>
        <v>Yes</v>
      </c>
      <c r="U570">
        <f>VLOOKUP($J570,'[1]Table S6'!$A:$AI,12,FALSE)</f>
        <v>326.60000000000002</v>
      </c>
      <c r="V570">
        <f>VLOOKUP($J570,'[1]Table S6'!$A:$AI,13,FALSE)</f>
        <v>0.69504149819110495</v>
      </c>
      <c r="W570">
        <f>VLOOKUP($J570,'[1]Table S6'!$A:$AI,14,FALSE)</f>
        <v>2.3380000000000001</v>
      </c>
      <c r="X570" t="str">
        <f>VLOOKUP($J570,'[1]Table S6'!$A:$AI,15,FALSE)</f>
        <v>Yes</v>
      </c>
      <c r="Z570">
        <f>VLOOKUP($J570,'[1]Table S6'!$A:$AI,17,FALSE)</f>
        <v>321.5</v>
      </c>
      <c r="AA570">
        <f>VLOOKUP($J570,'[1]Table S6'!$A:$AI,18,FALSE)</f>
        <v>0.68418812513300697</v>
      </c>
      <c r="AB570">
        <f>VLOOKUP($J570,'[1]Table S6'!$A:$AI,19,FALSE)</f>
        <v>1.81</v>
      </c>
      <c r="AC570" t="str">
        <f>VLOOKUP($J570,'[1]Table S6'!$A:$AI,20,FALSE)</f>
        <v>Yes</v>
      </c>
      <c r="AE570">
        <f>VLOOKUP($J570,'[1]Table S6'!$A:$AI,22,FALSE)</f>
        <v>404.9</v>
      </c>
      <c r="AF570">
        <f>VLOOKUP($J570,'[1]Table S6'!$A:$AI,23,FALSE)</f>
        <v>0.86167269631836596</v>
      </c>
      <c r="AG570">
        <f>VLOOKUP($J570,'[1]Table S6'!$A:$AI,24,FALSE)</f>
        <v>36.71</v>
      </c>
      <c r="AH570" t="str">
        <f>VLOOKUP($J570,'[1]Table S6'!$A:$AI,25,FALSE)</f>
        <v>No</v>
      </c>
      <c r="AJ570">
        <f>VLOOKUP($J570,'[1]Table S6'!$A:$AI,27,FALSE)</f>
        <v>413.1</v>
      </c>
      <c r="AK570">
        <f>VLOOKUP($J570,'[1]Table S6'!$A:$AI,28,FALSE)</f>
        <v>0.87912321770589497</v>
      </c>
      <c r="AL570">
        <f>VLOOKUP($J570,'[1]Table S6'!$A:$AI,29,FALSE)</f>
        <v>58.85</v>
      </c>
      <c r="AM570" t="str">
        <f>VLOOKUP($J570,'[1]Table S6'!$A:$AI,30,FALSE)</f>
        <v>No</v>
      </c>
      <c r="AO570">
        <f>VLOOKUP($J570,'[1]Table S6'!$A:$AI,32,FALSE)</f>
        <v>411.3</v>
      </c>
      <c r="AP570">
        <f>VLOOKUP($J570,'[1]Table S6'!$A:$AI,33,FALSE)</f>
        <v>0.87529261545009596</v>
      </c>
      <c r="AQ570">
        <f>VLOOKUP($J570,'[1]Table S6'!$A:$AI,34,FALSE)</f>
        <v>45.32</v>
      </c>
      <c r="AR570" t="str">
        <f>VLOOKUP($J570,'[1]Table S6'!$A:$AI,35,FALSE)</f>
        <v>No</v>
      </c>
      <c r="AT570" t="e">
        <f>VLOOKUP($I570,'[2]Table S5'!$A:$K,8,FALSE)</f>
        <v>#N/A</v>
      </c>
      <c r="AU570" t="e">
        <f>VLOOKUP($I570,'[2]Table S5'!$A:$K,9,FALSE)</f>
        <v>#N/A</v>
      </c>
      <c r="AV570" t="e">
        <f>VLOOKUP($I570,'[2]Table S5'!$A:$K,10,FALSE)</f>
        <v>#N/A</v>
      </c>
      <c r="AW570" t="e">
        <f>VLOOKUP($I570,'[2]Table S5'!$A:$K,11,FALSE)</f>
        <v>#N/A</v>
      </c>
    </row>
    <row r="571" spans="1:49">
      <c r="A571" s="12" t="s">
        <v>3639</v>
      </c>
      <c r="B571" t="s">
        <v>3640</v>
      </c>
      <c r="C571" t="s">
        <v>3641</v>
      </c>
      <c r="D571" t="s">
        <v>17</v>
      </c>
      <c r="E571" t="s">
        <v>1648</v>
      </c>
      <c r="F571" s="12" t="s">
        <v>1649</v>
      </c>
      <c r="G571" t="s">
        <v>1650</v>
      </c>
      <c r="H571" t="s">
        <v>1651</v>
      </c>
      <c r="I571" t="s">
        <v>1629</v>
      </c>
      <c r="J571" t="s">
        <v>1652</v>
      </c>
      <c r="K571">
        <f>VLOOKUP($J571,'[1]Table S6'!$A:$AI,2,FALSE)</f>
        <v>397</v>
      </c>
      <c r="L571">
        <f>VLOOKUP($J571,'[1]Table S6'!$A:$AI,3,FALSE)</f>
        <v>0.84486060864013601</v>
      </c>
      <c r="M571">
        <f>VLOOKUP($J571,'[1]Table S6'!$A:$AI,4,FALSE)</f>
        <v>23.04</v>
      </c>
      <c r="N571" t="str">
        <f>VLOOKUP($J571,'[1]Table S6'!$A:$AI,5,FALSE)</f>
        <v>No</v>
      </c>
      <c r="P571">
        <f>VLOOKUP($J571,'[1]Table S6'!$A:$AI,7,FALSE)</f>
        <v>393.4</v>
      </c>
      <c r="Q571">
        <f>VLOOKUP($J571,'[1]Table S6'!$A:$AI,8,FALSE)</f>
        <v>0.83719940412853799</v>
      </c>
      <c r="R571">
        <f>VLOOKUP($J571,'[1]Table S6'!$A:$AI,9,FALSE)</f>
        <v>20.97</v>
      </c>
      <c r="S571" t="str">
        <f>VLOOKUP($J571,'[1]Table S6'!$A:$AI,10,FALSE)</f>
        <v>No</v>
      </c>
      <c r="U571">
        <f>VLOOKUP($J571,'[1]Table S6'!$A:$AI,12,FALSE)</f>
        <v>388.3</v>
      </c>
      <c r="V571">
        <f>VLOOKUP($J571,'[1]Table S6'!$A:$AI,13,FALSE)</f>
        <v>0.82634603107044102</v>
      </c>
      <c r="W571">
        <f>VLOOKUP($J571,'[1]Table S6'!$A:$AI,14,FALSE)</f>
        <v>15.9</v>
      </c>
      <c r="X571" t="str">
        <f>VLOOKUP($J571,'[1]Table S6'!$A:$AI,15,FALSE)</f>
        <v>No</v>
      </c>
      <c r="Z571">
        <f>VLOOKUP($J571,'[1]Table S6'!$A:$AI,17,FALSE)</f>
        <v>379.9</v>
      </c>
      <c r="AA571">
        <f>VLOOKUP($J571,'[1]Table S6'!$A:$AI,18,FALSE)</f>
        <v>0.80846988721004498</v>
      </c>
      <c r="AB571">
        <f>VLOOKUP($J571,'[1]Table S6'!$A:$AI,19,FALSE)</f>
        <v>14.56</v>
      </c>
      <c r="AC571" t="str">
        <f>VLOOKUP($J571,'[1]Table S6'!$A:$AI,20,FALSE)</f>
        <v>No</v>
      </c>
      <c r="AE571">
        <f>VLOOKUP($J571,'[1]Table S6'!$A:$AI,22,FALSE)</f>
        <v>411</v>
      </c>
      <c r="AF571">
        <f>VLOOKUP($J571,'[1]Table S6'!$A:$AI,23,FALSE)</f>
        <v>0.87465418174079601</v>
      </c>
      <c r="AG571">
        <f>VLOOKUP($J571,'[1]Table S6'!$A:$AI,24,FALSE)</f>
        <v>49.34</v>
      </c>
      <c r="AH571" t="str">
        <f>VLOOKUP($J571,'[1]Table S6'!$A:$AI,25,FALSE)</f>
        <v>No</v>
      </c>
      <c r="AJ571">
        <f>VLOOKUP($J571,'[1]Table S6'!$A:$AI,27,FALSE)</f>
        <v>417.5</v>
      </c>
      <c r="AK571">
        <f>VLOOKUP($J571,'[1]Table S6'!$A:$AI,28,FALSE)</f>
        <v>0.88848691210895903</v>
      </c>
      <c r="AL571">
        <f>VLOOKUP($J571,'[1]Table S6'!$A:$AI,29,FALSE)</f>
        <v>63.33</v>
      </c>
      <c r="AM571" t="str">
        <f>VLOOKUP($J571,'[1]Table S6'!$A:$AI,30,FALSE)</f>
        <v>No</v>
      </c>
      <c r="AO571">
        <f>VLOOKUP($J571,'[1]Table S6'!$A:$AI,32,FALSE)</f>
        <v>385.4</v>
      </c>
      <c r="AP571">
        <f>VLOOKUP($J571,'[1]Table S6'!$A:$AI,33,FALSE)</f>
        <v>0.82017450521387503</v>
      </c>
      <c r="AQ571">
        <f>VLOOKUP($J571,'[1]Table S6'!$A:$AI,34,FALSE)</f>
        <v>17.11</v>
      </c>
      <c r="AR571" t="str">
        <f>VLOOKUP($J571,'[1]Table S6'!$A:$AI,35,FALSE)</f>
        <v>No</v>
      </c>
      <c r="AT571" t="e">
        <f>VLOOKUP($I571,'[2]Table S5'!$A:$K,8,FALSE)</f>
        <v>#N/A</v>
      </c>
      <c r="AU571" t="e">
        <f>VLOOKUP($I571,'[2]Table S5'!$A:$K,9,FALSE)</f>
        <v>#N/A</v>
      </c>
      <c r="AV571" t="e">
        <f>VLOOKUP($I571,'[2]Table S5'!$A:$K,10,FALSE)</f>
        <v>#N/A</v>
      </c>
      <c r="AW571" t="e">
        <f>VLOOKUP($I571,'[2]Table S5'!$A:$K,11,FALSE)</f>
        <v>#N/A</v>
      </c>
    </row>
    <row r="572" spans="1:49">
      <c r="A572" s="12" t="s">
        <v>3642</v>
      </c>
      <c r="B572" t="s">
        <v>3643</v>
      </c>
      <c r="C572" t="s">
        <v>3644</v>
      </c>
      <c r="D572" t="s">
        <v>17</v>
      </c>
      <c r="E572" t="s">
        <v>1656</v>
      </c>
      <c r="F572" s="12" t="s">
        <v>1657</v>
      </c>
      <c r="G572" t="s">
        <v>1658</v>
      </c>
      <c r="H572" t="s">
        <v>1659</v>
      </c>
      <c r="I572" t="s">
        <v>1629</v>
      </c>
      <c r="J572" t="s">
        <v>1652</v>
      </c>
      <c r="K572">
        <f>VLOOKUP($J572,'[1]Table S6'!$A:$AI,2,FALSE)</f>
        <v>397</v>
      </c>
      <c r="L572">
        <f>VLOOKUP($J572,'[1]Table S6'!$A:$AI,3,FALSE)</f>
        <v>0.84486060864013601</v>
      </c>
      <c r="M572">
        <f>VLOOKUP($J572,'[1]Table S6'!$A:$AI,4,FALSE)</f>
        <v>23.04</v>
      </c>
      <c r="N572" t="str">
        <f>VLOOKUP($J572,'[1]Table S6'!$A:$AI,5,FALSE)</f>
        <v>No</v>
      </c>
      <c r="P572">
        <f>VLOOKUP($J572,'[1]Table S6'!$A:$AI,7,FALSE)</f>
        <v>393.4</v>
      </c>
      <c r="Q572">
        <f>VLOOKUP($J572,'[1]Table S6'!$A:$AI,8,FALSE)</f>
        <v>0.83719940412853799</v>
      </c>
      <c r="R572">
        <f>VLOOKUP($J572,'[1]Table S6'!$A:$AI,9,FALSE)</f>
        <v>20.97</v>
      </c>
      <c r="S572" t="str">
        <f>VLOOKUP($J572,'[1]Table S6'!$A:$AI,10,FALSE)</f>
        <v>No</v>
      </c>
      <c r="U572">
        <f>VLOOKUP($J572,'[1]Table S6'!$A:$AI,12,FALSE)</f>
        <v>388.3</v>
      </c>
      <c r="V572">
        <f>VLOOKUP($J572,'[1]Table S6'!$A:$AI,13,FALSE)</f>
        <v>0.82634603107044102</v>
      </c>
      <c r="W572">
        <f>VLOOKUP($J572,'[1]Table S6'!$A:$AI,14,FALSE)</f>
        <v>15.9</v>
      </c>
      <c r="X572" t="str">
        <f>VLOOKUP($J572,'[1]Table S6'!$A:$AI,15,FALSE)</f>
        <v>No</v>
      </c>
      <c r="Z572">
        <f>VLOOKUP($J572,'[1]Table S6'!$A:$AI,17,FALSE)</f>
        <v>379.9</v>
      </c>
      <c r="AA572">
        <f>VLOOKUP($J572,'[1]Table S6'!$A:$AI,18,FALSE)</f>
        <v>0.80846988721004498</v>
      </c>
      <c r="AB572">
        <f>VLOOKUP($J572,'[1]Table S6'!$A:$AI,19,FALSE)</f>
        <v>14.56</v>
      </c>
      <c r="AC572" t="str">
        <f>VLOOKUP($J572,'[1]Table S6'!$A:$AI,20,FALSE)</f>
        <v>No</v>
      </c>
      <c r="AE572">
        <f>VLOOKUP($J572,'[1]Table S6'!$A:$AI,22,FALSE)</f>
        <v>411</v>
      </c>
      <c r="AF572">
        <f>VLOOKUP($J572,'[1]Table S6'!$A:$AI,23,FALSE)</f>
        <v>0.87465418174079601</v>
      </c>
      <c r="AG572">
        <f>VLOOKUP($J572,'[1]Table S6'!$A:$AI,24,FALSE)</f>
        <v>49.34</v>
      </c>
      <c r="AH572" t="str">
        <f>VLOOKUP($J572,'[1]Table S6'!$A:$AI,25,FALSE)</f>
        <v>No</v>
      </c>
      <c r="AJ572">
        <f>VLOOKUP($J572,'[1]Table S6'!$A:$AI,27,FALSE)</f>
        <v>417.5</v>
      </c>
      <c r="AK572">
        <f>VLOOKUP($J572,'[1]Table S6'!$A:$AI,28,FALSE)</f>
        <v>0.88848691210895903</v>
      </c>
      <c r="AL572">
        <f>VLOOKUP($J572,'[1]Table S6'!$A:$AI,29,FALSE)</f>
        <v>63.33</v>
      </c>
      <c r="AM572" t="str">
        <f>VLOOKUP($J572,'[1]Table S6'!$A:$AI,30,FALSE)</f>
        <v>No</v>
      </c>
      <c r="AO572">
        <f>VLOOKUP($J572,'[1]Table S6'!$A:$AI,32,FALSE)</f>
        <v>385.4</v>
      </c>
      <c r="AP572">
        <f>VLOOKUP($J572,'[1]Table S6'!$A:$AI,33,FALSE)</f>
        <v>0.82017450521387503</v>
      </c>
      <c r="AQ572">
        <f>VLOOKUP($J572,'[1]Table S6'!$A:$AI,34,FALSE)</f>
        <v>17.11</v>
      </c>
      <c r="AR572" t="str">
        <f>VLOOKUP($J572,'[1]Table S6'!$A:$AI,35,FALSE)</f>
        <v>No</v>
      </c>
      <c r="AT572" t="e">
        <f>VLOOKUP($I572,'[2]Table S5'!$A:$K,8,FALSE)</f>
        <v>#N/A</v>
      </c>
      <c r="AU572" t="e">
        <f>VLOOKUP($I572,'[2]Table S5'!$A:$K,9,FALSE)</f>
        <v>#N/A</v>
      </c>
      <c r="AV572" t="e">
        <f>VLOOKUP($I572,'[2]Table S5'!$A:$K,10,FALSE)</f>
        <v>#N/A</v>
      </c>
      <c r="AW572" t="e">
        <f>VLOOKUP($I572,'[2]Table S5'!$A:$K,11,FALSE)</f>
        <v>#N/A</v>
      </c>
    </row>
    <row r="573" spans="1:49">
      <c r="A573" s="12" t="s">
        <v>3645</v>
      </c>
      <c r="B573" t="s">
        <v>3646</v>
      </c>
      <c r="C573" t="s">
        <v>3647</v>
      </c>
      <c r="D573" t="s">
        <v>17</v>
      </c>
      <c r="E573" t="s">
        <v>1663</v>
      </c>
      <c r="F573" s="12" t="s">
        <v>1664</v>
      </c>
      <c r="G573" t="s">
        <v>1665</v>
      </c>
      <c r="H573" t="s">
        <v>1666</v>
      </c>
      <c r="I573" t="s">
        <v>1629</v>
      </c>
      <c r="J573" t="s">
        <v>1652</v>
      </c>
      <c r="K573">
        <f>VLOOKUP($J573,'[1]Table S6'!$A:$AI,2,FALSE)</f>
        <v>397</v>
      </c>
      <c r="L573">
        <f>VLOOKUP($J573,'[1]Table S6'!$A:$AI,3,FALSE)</f>
        <v>0.84486060864013601</v>
      </c>
      <c r="M573">
        <f>VLOOKUP($J573,'[1]Table S6'!$A:$AI,4,FALSE)</f>
        <v>23.04</v>
      </c>
      <c r="N573" t="str">
        <f>VLOOKUP($J573,'[1]Table S6'!$A:$AI,5,FALSE)</f>
        <v>No</v>
      </c>
      <c r="P573">
        <f>VLOOKUP($J573,'[1]Table S6'!$A:$AI,7,FALSE)</f>
        <v>393.4</v>
      </c>
      <c r="Q573">
        <f>VLOOKUP($J573,'[1]Table S6'!$A:$AI,8,FALSE)</f>
        <v>0.83719940412853799</v>
      </c>
      <c r="R573">
        <f>VLOOKUP($J573,'[1]Table S6'!$A:$AI,9,FALSE)</f>
        <v>20.97</v>
      </c>
      <c r="S573" t="str">
        <f>VLOOKUP($J573,'[1]Table S6'!$A:$AI,10,FALSE)</f>
        <v>No</v>
      </c>
      <c r="U573">
        <f>VLOOKUP($J573,'[1]Table S6'!$A:$AI,12,FALSE)</f>
        <v>388.3</v>
      </c>
      <c r="V573">
        <f>VLOOKUP($J573,'[1]Table S6'!$A:$AI,13,FALSE)</f>
        <v>0.82634603107044102</v>
      </c>
      <c r="W573">
        <f>VLOOKUP($J573,'[1]Table S6'!$A:$AI,14,FALSE)</f>
        <v>15.9</v>
      </c>
      <c r="X573" t="str">
        <f>VLOOKUP($J573,'[1]Table S6'!$A:$AI,15,FALSE)</f>
        <v>No</v>
      </c>
      <c r="Z573">
        <f>VLOOKUP($J573,'[1]Table S6'!$A:$AI,17,FALSE)</f>
        <v>379.9</v>
      </c>
      <c r="AA573">
        <f>VLOOKUP($J573,'[1]Table S6'!$A:$AI,18,FALSE)</f>
        <v>0.80846988721004498</v>
      </c>
      <c r="AB573">
        <f>VLOOKUP($J573,'[1]Table S6'!$A:$AI,19,FALSE)</f>
        <v>14.56</v>
      </c>
      <c r="AC573" t="str">
        <f>VLOOKUP($J573,'[1]Table S6'!$A:$AI,20,FALSE)</f>
        <v>No</v>
      </c>
      <c r="AE573">
        <f>VLOOKUP($J573,'[1]Table S6'!$A:$AI,22,FALSE)</f>
        <v>411</v>
      </c>
      <c r="AF573">
        <f>VLOOKUP($J573,'[1]Table S6'!$A:$AI,23,FALSE)</f>
        <v>0.87465418174079601</v>
      </c>
      <c r="AG573">
        <f>VLOOKUP($J573,'[1]Table S6'!$A:$AI,24,FALSE)</f>
        <v>49.34</v>
      </c>
      <c r="AH573" t="str">
        <f>VLOOKUP($J573,'[1]Table S6'!$A:$AI,25,FALSE)</f>
        <v>No</v>
      </c>
      <c r="AJ573">
        <f>VLOOKUP($J573,'[1]Table S6'!$A:$AI,27,FALSE)</f>
        <v>417.5</v>
      </c>
      <c r="AK573">
        <f>VLOOKUP($J573,'[1]Table S6'!$A:$AI,28,FALSE)</f>
        <v>0.88848691210895903</v>
      </c>
      <c r="AL573">
        <f>VLOOKUP($J573,'[1]Table S6'!$A:$AI,29,FALSE)</f>
        <v>63.33</v>
      </c>
      <c r="AM573" t="str">
        <f>VLOOKUP($J573,'[1]Table S6'!$A:$AI,30,FALSE)</f>
        <v>No</v>
      </c>
      <c r="AO573">
        <f>VLOOKUP($J573,'[1]Table S6'!$A:$AI,32,FALSE)</f>
        <v>385.4</v>
      </c>
      <c r="AP573">
        <f>VLOOKUP($J573,'[1]Table S6'!$A:$AI,33,FALSE)</f>
        <v>0.82017450521387503</v>
      </c>
      <c r="AQ573">
        <f>VLOOKUP($J573,'[1]Table S6'!$A:$AI,34,FALSE)</f>
        <v>17.11</v>
      </c>
      <c r="AR573" t="str">
        <f>VLOOKUP($J573,'[1]Table S6'!$A:$AI,35,FALSE)</f>
        <v>No</v>
      </c>
      <c r="AT573" t="e">
        <f>VLOOKUP($I573,'[2]Table S5'!$A:$K,8,FALSE)</f>
        <v>#N/A</v>
      </c>
      <c r="AU573" t="e">
        <f>VLOOKUP($I573,'[2]Table S5'!$A:$K,9,FALSE)</f>
        <v>#N/A</v>
      </c>
      <c r="AV573" t="e">
        <f>VLOOKUP($I573,'[2]Table S5'!$A:$K,10,FALSE)</f>
        <v>#N/A</v>
      </c>
      <c r="AW573" t="e">
        <f>VLOOKUP($I573,'[2]Table S5'!$A:$K,11,FALSE)</f>
        <v>#N/A</v>
      </c>
    </row>
    <row r="574" spans="1:49">
      <c r="A574" s="12" t="s">
        <v>3648</v>
      </c>
      <c r="B574" t="s">
        <v>3649</v>
      </c>
      <c r="C574" t="s">
        <v>3650</v>
      </c>
      <c r="D574" t="s">
        <v>17</v>
      </c>
      <c r="E574" t="s">
        <v>3651</v>
      </c>
      <c r="F574" s="12" t="s">
        <v>3652</v>
      </c>
      <c r="G574" t="s">
        <v>3653</v>
      </c>
      <c r="H574" t="s">
        <v>3654</v>
      </c>
      <c r="I574" t="s">
        <v>1681</v>
      </c>
      <c r="J574" t="s">
        <v>3655</v>
      </c>
      <c r="K574">
        <f>VLOOKUP($J574,'[1]Table S6'!$A:$AI,2,FALSE)</f>
        <v>324.10000000000002</v>
      </c>
      <c r="L574">
        <f>VLOOKUP($J574,'[1]Table S6'!$A:$AI,3,FALSE)</f>
        <v>0.68972121728027203</v>
      </c>
      <c r="M574">
        <f>VLOOKUP($J574,'[1]Table S6'!$A:$AI,4,FALSE)</f>
        <v>2.2109999999999999</v>
      </c>
      <c r="N574" t="str">
        <f>VLOOKUP($J574,'[1]Table S6'!$A:$AI,5,FALSE)</f>
        <v>Yes</v>
      </c>
      <c r="P574">
        <f>VLOOKUP($J574,'[1]Table S6'!$A:$AI,7,FALSE)</f>
        <v>330.3</v>
      </c>
      <c r="Q574">
        <f>VLOOKUP($J574,'[1]Table S6'!$A:$AI,8,FALSE)</f>
        <v>0.70291551393913598</v>
      </c>
      <c r="R574">
        <f>VLOOKUP($J574,'[1]Table S6'!$A:$AI,9,FALSE)</f>
        <v>2.59</v>
      </c>
      <c r="S574" t="str">
        <f>VLOOKUP($J574,'[1]Table S6'!$A:$AI,10,FALSE)</f>
        <v>No</v>
      </c>
      <c r="U574">
        <f>VLOOKUP($J574,'[1]Table S6'!$A:$AI,12,FALSE)</f>
        <v>337.5</v>
      </c>
      <c r="V574">
        <f>VLOOKUP($J574,'[1]Table S6'!$A:$AI,13,FALSE)</f>
        <v>0.71823792296233202</v>
      </c>
      <c r="W574">
        <f>VLOOKUP($J574,'[1]Table S6'!$A:$AI,14,FALSE)</f>
        <v>3.2290000000000001</v>
      </c>
      <c r="X574" t="str">
        <f>VLOOKUP($J574,'[1]Table S6'!$A:$AI,15,FALSE)</f>
        <v>No</v>
      </c>
      <c r="Z574">
        <f>VLOOKUP($J574,'[1]Table S6'!$A:$AI,17,FALSE)</f>
        <v>324.10000000000002</v>
      </c>
      <c r="AA574">
        <f>VLOOKUP($J574,'[1]Table S6'!$A:$AI,18,FALSE)</f>
        <v>0.68972121728027203</v>
      </c>
      <c r="AB574">
        <f>VLOOKUP($J574,'[1]Table S6'!$A:$AI,19,FALSE)</f>
        <v>2.17</v>
      </c>
      <c r="AC574" t="str">
        <f>VLOOKUP($J574,'[1]Table S6'!$A:$AI,20,FALSE)</f>
        <v>Yes</v>
      </c>
      <c r="AE574">
        <f>VLOOKUP($J574,'[1]Table S6'!$A:$AI,22,FALSE)</f>
        <v>407.9</v>
      </c>
      <c r="AF574">
        <f>VLOOKUP($J574,'[1]Table S6'!$A:$AI,23,FALSE)</f>
        <v>0.86805703341136398</v>
      </c>
      <c r="AG574">
        <f>VLOOKUP($J574,'[1]Table S6'!$A:$AI,24,FALSE)</f>
        <v>37.89</v>
      </c>
      <c r="AH574" t="str">
        <f>VLOOKUP($J574,'[1]Table S6'!$A:$AI,25,FALSE)</f>
        <v>No</v>
      </c>
      <c r="AJ574">
        <f>VLOOKUP($J574,'[1]Table S6'!$A:$AI,27,FALSE)</f>
        <v>418.4</v>
      </c>
      <c r="AK574">
        <f>VLOOKUP($J574,'[1]Table S6'!$A:$AI,28,FALSE)</f>
        <v>0.89040221323685897</v>
      </c>
      <c r="AL574">
        <f>VLOOKUP($J574,'[1]Table S6'!$A:$AI,29,FALSE)</f>
        <v>57.49</v>
      </c>
      <c r="AM574" t="str">
        <f>VLOOKUP($J574,'[1]Table S6'!$A:$AI,30,FALSE)</f>
        <v>No</v>
      </c>
      <c r="AO574">
        <f>VLOOKUP($J574,'[1]Table S6'!$A:$AI,32,FALSE)</f>
        <v>373.7</v>
      </c>
      <c r="AP574">
        <f>VLOOKUP($J574,'[1]Table S6'!$A:$AI,33,FALSE)</f>
        <v>0.79527559055118102</v>
      </c>
      <c r="AQ574">
        <f>VLOOKUP($J574,'[1]Table S6'!$A:$AI,34,FALSE)</f>
        <v>11.09</v>
      </c>
      <c r="AR574" t="str">
        <f>VLOOKUP($J574,'[1]Table S6'!$A:$AI,35,FALSE)</f>
        <v>No</v>
      </c>
      <c r="AT574" t="e">
        <f>VLOOKUP($I574,'[2]Table S5'!$A:$K,8,FALSE)</f>
        <v>#N/A</v>
      </c>
      <c r="AU574" t="e">
        <f>VLOOKUP($I574,'[2]Table S5'!$A:$K,9,FALSE)</f>
        <v>#N/A</v>
      </c>
      <c r="AV574" t="e">
        <f>VLOOKUP($I574,'[2]Table S5'!$A:$K,10,FALSE)</f>
        <v>#N/A</v>
      </c>
      <c r="AW574" t="e">
        <f>VLOOKUP($I574,'[2]Table S5'!$A:$K,11,FALSE)</f>
        <v>#N/A</v>
      </c>
    </row>
    <row r="575" spans="1:49">
      <c r="A575" s="12" t="s">
        <v>3656</v>
      </c>
      <c r="B575" t="s">
        <v>3657</v>
      </c>
      <c r="C575" t="s">
        <v>3658</v>
      </c>
      <c r="D575" t="s">
        <v>17</v>
      </c>
      <c r="E575" t="s">
        <v>3659</v>
      </c>
      <c r="F575" s="12" t="s">
        <v>3660</v>
      </c>
      <c r="G575" t="s">
        <v>3661</v>
      </c>
      <c r="H575" t="s">
        <v>3662</v>
      </c>
      <c r="I575" t="s">
        <v>1681</v>
      </c>
      <c r="J575" t="s">
        <v>3663</v>
      </c>
      <c r="K575">
        <f>VLOOKUP($J575,'[1]Table S6'!$A:$AI,2,FALSE)</f>
        <v>336.7</v>
      </c>
      <c r="L575">
        <f>VLOOKUP($J575,'[1]Table S6'!$A:$AI,3,FALSE)</f>
        <v>0.71653543307086598</v>
      </c>
      <c r="M575">
        <f>VLOOKUP($J575,'[1]Table S6'!$A:$AI,4,FALSE)</f>
        <v>3.569</v>
      </c>
      <c r="N575" t="str">
        <f>VLOOKUP($J575,'[1]Table S6'!$A:$AI,5,FALSE)</f>
        <v>No</v>
      </c>
      <c r="P575">
        <f>VLOOKUP($J575,'[1]Table S6'!$A:$AI,7,FALSE)</f>
        <v>325.3</v>
      </c>
      <c r="Q575">
        <f>VLOOKUP($J575,'[1]Table S6'!$A:$AI,8,FALSE)</f>
        <v>0.69227495211747203</v>
      </c>
      <c r="R575">
        <f>VLOOKUP($J575,'[1]Table S6'!$A:$AI,9,FALSE)</f>
        <v>2.2200000000000002</v>
      </c>
      <c r="S575" t="str">
        <f>VLOOKUP($J575,'[1]Table S6'!$A:$AI,10,FALSE)</f>
        <v>Yes</v>
      </c>
      <c r="U575">
        <f>VLOOKUP($J575,'[1]Table S6'!$A:$AI,12,FALSE)</f>
        <v>312.60000000000002</v>
      </c>
      <c r="V575">
        <f>VLOOKUP($J575,'[1]Table S6'!$A:$AI,13,FALSE)</f>
        <v>0.66524792509044495</v>
      </c>
      <c r="W575">
        <f>VLOOKUP($J575,'[1]Table S6'!$A:$AI,14,FALSE)</f>
        <v>1.341</v>
      </c>
      <c r="X575" t="str">
        <f>VLOOKUP($J575,'[1]Table S6'!$A:$AI,15,FALSE)</f>
        <v>Yes</v>
      </c>
      <c r="Z575">
        <f>VLOOKUP($J575,'[1]Table S6'!$A:$AI,17,FALSE)</f>
        <v>387</v>
      </c>
      <c r="AA575">
        <f>VLOOKUP($J575,'[1]Table S6'!$A:$AI,18,FALSE)</f>
        <v>0.823579484996808</v>
      </c>
      <c r="AB575">
        <f>VLOOKUP($J575,'[1]Table S6'!$A:$AI,19,FALSE)</f>
        <v>16.329999999999998</v>
      </c>
      <c r="AC575" t="str">
        <f>VLOOKUP($J575,'[1]Table S6'!$A:$AI,20,FALSE)</f>
        <v>No</v>
      </c>
      <c r="AE575">
        <f>VLOOKUP($J575,'[1]Table S6'!$A:$AI,22,FALSE)</f>
        <v>396.1</v>
      </c>
      <c r="AF575">
        <f>VLOOKUP($J575,'[1]Table S6'!$A:$AI,23,FALSE)</f>
        <v>0.84294530751223695</v>
      </c>
      <c r="AG575">
        <f>VLOOKUP($J575,'[1]Table S6'!$A:$AI,24,FALSE)</f>
        <v>22.54</v>
      </c>
      <c r="AH575" t="str">
        <f>VLOOKUP($J575,'[1]Table S6'!$A:$AI,25,FALSE)</f>
        <v>No</v>
      </c>
      <c r="AJ575">
        <f>VLOOKUP($J575,'[1]Table S6'!$A:$AI,27,FALSE)</f>
        <v>396.5</v>
      </c>
      <c r="AK575">
        <f>VLOOKUP($J575,'[1]Table S6'!$A:$AI,28,FALSE)</f>
        <v>0.84379655245797003</v>
      </c>
      <c r="AL575">
        <f>VLOOKUP($J575,'[1]Table S6'!$A:$AI,29,FALSE)</f>
        <v>22.48</v>
      </c>
      <c r="AM575" t="str">
        <f>VLOOKUP($J575,'[1]Table S6'!$A:$AI,30,FALSE)</f>
        <v>No</v>
      </c>
      <c r="AO575">
        <f>VLOOKUP($J575,'[1]Table S6'!$A:$AI,32,FALSE)</f>
        <v>401</v>
      </c>
      <c r="AP575">
        <f>VLOOKUP($J575,'[1]Table S6'!$A:$AI,33,FALSE)</f>
        <v>0.853373058097468</v>
      </c>
      <c r="AQ575">
        <f>VLOOKUP($J575,'[1]Table S6'!$A:$AI,34,FALSE)</f>
        <v>28.55</v>
      </c>
      <c r="AR575" t="str">
        <f>VLOOKUP($J575,'[1]Table S6'!$A:$AI,35,FALSE)</f>
        <v>No</v>
      </c>
      <c r="AT575" t="e">
        <f>VLOOKUP($I575,'[2]Table S5'!$A:$K,8,FALSE)</f>
        <v>#N/A</v>
      </c>
      <c r="AU575" t="e">
        <f>VLOOKUP($I575,'[2]Table S5'!$A:$K,9,FALSE)</f>
        <v>#N/A</v>
      </c>
      <c r="AV575" t="e">
        <f>VLOOKUP($I575,'[2]Table S5'!$A:$K,10,FALSE)</f>
        <v>#N/A</v>
      </c>
      <c r="AW575" t="e">
        <f>VLOOKUP($I575,'[2]Table S5'!$A:$K,11,FALSE)</f>
        <v>#N/A</v>
      </c>
    </row>
    <row r="576" spans="1:49">
      <c r="A576" s="12" t="s">
        <v>3664</v>
      </c>
      <c r="B576" t="s">
        <v>3665</v>
      </c>
      <c r="C576" t="s">
        <v>3666</v>
      </c>
      <c r="D576" t="s">
        <v>17</v>
      </c>
      <c r="E576" t="s">
        <v>3667</v>
      </c>
      <c r="F576" s="12" t="s">
        <v>3668</v>
      </c>
      <c r="G576" t="s">
        <v>3669</v>
      </c>
      <c r="H576" t="s">
        <v>3670</v>
      </c>
      <c r="I576" t="s">
        <v>1681</v>
      </c>
      <c r="J576" t="s">
        <v>1682</v>
      </c>
      <c r="K576">
        <f>VLOOKUP($J576,'[1]Table S6'!$A:$AI,2,FALSE)</f>
        <v>398.5</v>
      </c>
      <c r="L576">
        <f>VLOOKUP($J576,'[1]Table S6'!$A:$AI,3,FALSE)</f>
        <v>0.84805277718663596</v>
      </c>
      <c r="M576">
        <f>VLOOKUP($J576,'[1]Table S6'!$A:$AI,4,FALSE)</f>
        <v>24.52</v>
      </c>
      <c r="N576" t="str">
        <f>VLOOKUP($J576,'[1]Table S6'!$A:$AI,5,FALSE)</f>
        <v>No</v>
      </c>
      <c r="P576">
        <f>VLOOKUP($J576,'[1]Table S6'!$A:$AI,7,FALSE)</f>
        <v>361.9</v>
      </c>
      <c r="Q576">
        <f>VLOOKUP($J576,'[1]Table S6'!$A:$AI,8,FALSE)</f>
        <v>0.770163864652054</v>
      </c>
      <c r="R576">
        <f>VLOOKUP($J576,'[1]Table S6'!$A:$AI,9,FALSE)</f>
        <v>7.8929999999999998</v>
      </c>
      <c r="S576" t="str">
        <f>VLOOKUP($J576,'[1]Table S6'!$A:$AI,10,FALSE)</f>
        <v>No</v>
      </c>
      <c r="U576">
        <f>VLOOKUP($J576,'[1]Table S6'!$A:$AI,12,FALSE)</f>
        <v>397.2</v>
      </c>
      <c r="V576">
        <f>VLOOKUP($J576,'[1]Table S6'!$A:$AI,13,FALSE)</f>
        <v>0.84528623111300305</v>
      </c>
      <c r="W576">
        <f>VLOOKUP($J576,'[1]Table S6'!$A:$AI,14,FALSE)</f>
        <v>26.74</v>
      </c>
      <c r="X576" t="str">
        <f>VLOOKUP($J576,'[1]Table S6'!$A:$AI,15,FALSE)</f>
        <v>No</v>
      </c>
      <c r="Z576">
        <f>VLOOKUP($J576,'[1]Table S6'!$A:$AI,17,FALSE)</f>
        <v>397.4</v>
      </c>
      <c r="AA576">
        <f>VLOOKUP($J576,'[1]Table S6'!$A:$AI,18,FALSE)</f>
        <v>0.84571185358586898</v>
      </c>
      <c r="AB576">
        <f>VLOOKUP($J576,'[1]Table S6'!$A:$AI,19,FALSE)</f>
        <v>25.13</v>
      </c>
      <c r="AC576" t="str">
        <f>VLOOKUP($J576,'[1]Table S6'!$A:$AI,20,FALSE)</f>
        <v>No</v>
      </c>
      <c r="AE576">
        <f>VLOOKUP($J576,'[1]Table S6'!$A:$AI,22,FALSE)</f>
        <v>383.7</v>
      </c>
      <c r="AF576">
        <f>VLOOKUP($J576,'[1]Table S6'!$A:$AI,23,FALSE)</f>
        <v>0.81655671419450904</v>
      </c>
      <c r="AG576">
        <f>VLOOKUP($J576,'[1]Table S6'!$A:$AI,24,FALSE)</f>
        <v>15.65</v>
      </c>
      <c r="AH576" t="str">
        <f>VLOOKUP($J576,'[1]Table S6'!$A:$AI,25,FALSE)</f>
        <v>No</v>
      </c>
      <c r="AJ576">
        <f>VLOOKUP($J576,'[1]Table S6'!$A:$AI,27,FALSE)</f>
        <v>405.1</v>
      </c>
      <c r="AK576">
        <f>VLOOKUP($J576,'[1]Table S6'!$A:$AI,28,FALSE)</f>
        <v>0.862098318791232</v>
      </c>
      <c r="AL576">
        <f>VLOOKUP($J576,'[1]Table S6'!$A:$AI,29,FALSE)</f>
        <v>37.85</v>
      </c>
      <c r="AM576" t="str">
        <f>VLOOKUP($J576,'[1]Table S6'!$A:$AI,30,FALSE)</f>
        <v>No</v>
      </c>
      <c r="AO576">
        <f>VLOOKUP($J576,'[1]Table S6'!$A:$AI,32,FALSE)</f>
        <v>390.2</v>
      </c>
      <c r="AP576">
        <f>VLOOKUP($J576,'[1]Table S6'!$A:$AI,33,FALSE)</f>
        <v>0.83038944456267305</v>
      </c>
      <c r="AQ576">
        <f>VLOOKUP($J576,'[1]Table S6'!$A:$AI,34,FALSE)</f>
        <v>17.93</v>
      </c>
      <c r="AR576" t="str">
        <f>VLOOKUP($J576,'[1]Table S6'!$A:$AI,35,FALSE)</f>
        <v>No</v>
      </c>
      <c r="AT576" t="e">
        <f>VLOOKUP($I576,'[2]Table S5'!$A:$K,8,FALSE)</f>
        <v>#N/A</v>
      </c>
      <c r="AU576" t="e">
        <f>VLOOKUP($I576,'[2]Table S5'!$A:$K,9,FALSE)</f>
        <v>#N/A</v>
      </c>
      <c r="AV576" t="e">
        <f>VLOOKUP($I576,'[2]Table S5'!$A:$K,10,FALSE)</f>
        <v>#N/A</v>
      </c>
      <c r="AW576" t="e">
        <f>VLOOKUP($I576,'[2]Table S5'!$A:$K,11,FALSE)</f>
        <v>#N/A</v>
      </c>
    </row>
    <row r="577" spans="1:49">
      <c r="A577" s="12" t="s">
        <v>3671</v>
      </c>
      <c r="B577" t="s">
        <v>3672</v>
      </c>
      <c r="C577" t="s">
        <v>3673</v>
      </c>
      <c r="D577" t="s">
        <v>17</v>
      </c>
      <c r="E577" t="s">
        <v>1677</v>
      </c>
      <c r="F577" s="12" t="s">
        <v>1678</v>
      </c>
      <c r="G577" t="s">
        <v>1679</v>
      </c>
      <c r="H577" t="s">
        <v>1680</v>
      </c>
      <c r="I577" t="s">
        <v>1681</v>
      </c>
      <c r="J577" t="s">
        <v>1682</v>
      </c>
      <c r="K577">
        <f>VLOOKUP($J577,'[1]Table S6'!$A:$AI,2,FALSE)</f>
        <v>398.5</v>
      </c>
      <c r="L577">
        <f>VLOOKUP($J577,'[1]Table S6'!$A:$AI,3,FALSE)</f>
        <v>0.84805277718663596</v>
      </c>
      <c r="M577">
        <f>VLOOKUP($J577,'[1]Table S6'!$A:$AI,4,FALSE)</f>
        <v>24.52</v>
      </c>
      <c r="N577" t="str">
        <f>VLOOKUP($J577,'[1]Table S6'!$A:$AI,5,FALSE)</f>
        <v>No</v>
      </c>
      <c r="P577">
        <f>VLOOKUP($J577,'[1]Table S6'!$A:$AI,7,FALSE)</f>
        <v>361.9</v>
      </c>
      <c r="Q577">
        <f>VLOOKUP($J577,'[1]Table S6'!$A:$AI,8,FALSE)</f>
        <v>0.770163864652054</v>
      </c>
      <c r="R577">
        <f>VLOOKUP($J577,'[1]Table S6'!$A:$AI,9,FALSE)</f>
        <v>7.8929999999999998</v>
      </c>
      <c r="S577" t="str">
        <f>VLOOKUP($J577,'[1]Table S6'!$A:$AI,10,FALSE)</f>
        <v>No</v>
      </c>
      <c r="U577">
        <f>VLOOKUP($J577,'[1]Table S6'!$A:$AI,12,FALSE)</f>
        <v>397.2</v>
      </c>
      <c r="V577">
        <f>VLOOKUP($J577,'[1]Table S6'!$A:$AI,13,FALSE)</f>
        <v>0.84528623111300305</v>
      </c>
      <c r="W577">
        <f>VLOOKUP($J577,'[1]Table S6'!$A:$AI,14,FALSE)</f>
        <v>26.74</v>
      </c>
      <c r="X577" t="str">
        <f>VLOOKUP($J577,'[1]Table S6'!$A:$AI,15,FALSE)</f>
        <v>No</v>
      </c>
      <c r="Z577">
        <f>VLOOKUP($J577,'[1]Table S6'!$A:$AI,17,FALSE)</f>
        <v>397.4</v>
      </c>
      <c r="AA577">
        <f>VLOOKUP($J577,'[1]Table S6'!$A:$AI,18,FALSE)</f>
        <v>0.84571185358586898</v>
      </c>
      <c r="AB577">
        <f>VLOOKUP($J577,'[1]Table S6'!$A:$AI,19,FALSE)</f>
        <v>25.13</v>
      </c>
      <c r="AC577" t="str">
        <f>VLOOKUP($J577,'[1]Table S6'!$A:$AI,20,FALSE)</f>
        <v>No</v>
      </c>
      <c r="AE577">
        <f>VLOOKUP($J577,'[1]Table S6'!$A:$AI,22,FALSE)</f>
        <v>383.7</v>
      </c>
      <c r="AF577">
        <f>VLOOKUP($J577,'[1]Table S6'!$A:$AI,23,FALSE)</f>
        <v>0.81655671419450904</v>
      </c>
      <c r="AG577">
        <f>VLOOKUP($J577,'[1]Table S6'!$A:$AI,24,FALSE)</f>
        <v>15.65</v>
      </c>
      <c r="AH577" t="str">
        <f>VLOOKUP($J577,'[1]Table S6'!$A:$AI,25,FALSE)</f>
        <v>No</v>
      </c>
      <c r="AJ577">
        <f>VLOOKUP($J577,'[1]Table S6'!$A:$AI,27,FALSE)</f>
        <v>405.1</v>
      </c>
      <c r="AK577">
        <f>VLOOKUP($J577,'[1]Table S6'!$A:$AI,28,FALSE)</f>
        <v>0.862098318791232</v>
      </c>
      <c r="AL577">
        <f>VLOOKUP($J577,'[1]Table S6'!$A:$AI,29,FALSE)</f>
        <v>37.85</v>
      </c>
      <c r="AM577" t="str">
        <f>VLOOKUP($J577,'[1]Table S6'!$A:$AI,30,FALSE)</f>
        <v>No</v>
      </c>
      <c r="AO577">
        <f>VLOOKUP($J577,'[1]Table S6'!$A:$AI,32,FALSE)</f>
        <v>390.2</v>
      </c>
      <c r="AP577">
        <f>VLOOKUP($J577,'[1]Table S6'!$A:$AI,33,FALSE)</f>
        <v>0.83038944456267305</v>
      </c>
      <c r="AQ577">
        <f>VLOOKUP($J577,'[1]Table S6'!$A:$AI,34,FALSE)</f>
        <v>17.93</v>
      </c>
      <c r="AR577" t="str">
        <f>VLOOKUP($J577,'[1]Table S6'!$A:$AI,35,FALSE)</f>
        <v>No</v>
      </c>
      <c r="AT577" t="e">
        <f>VLOOKUP($I577,'[2]Table S5'!$A:$K,8,FALSE)</f>
        <v>#N/A</v>
      </c>
      <c r="AU577" t="e">
        <f>VLOOKUP($I577,'[2]Table S5'!$A:$K,9,FALSE)</f>
        <v>#N/A</v>
      </c>
      <c r="AV577" t="e">
        <f>VLOOKUP($I577,'[2]Table S5'!$A:$K,10,FALSE)</f>
        <v>#N/A</v>
      </c>
      <c r="AW577" t="e">
        <f>VLOOKUP($I577,'[2]Table S5'!$A:$K,11,FALSE)</f>
        <v>#N/A</v>
      </c>
    </row>
    <row r="578" spans="1:49">
      <c r="A578" s="12" t="s">
        <v>3674</v>
      </c>
      <c r="B578" t="s">
        <v>3675</v>
      </c>
      <c r="C578" t="s">
        <v>3676</v>
      </c>
      <c r="D578" t="s">
        <v>17</v>
      </c>
      <c r="E578" t="s">
        <v>1686</v>
      </c>
      <c r="F578" s="12" t="s">
        <v>1687</v>
      </c>
      <c r="G578" t="s">
        <v>1688</v>
      </c>
      <c r="H578" t="s">
        <v>1689</v>
      </c>
      <c r="I578" t="s">
        <v>1681</v>
      </c>
      <c r="J578" t="s">
        <v>1682</v>
      </c>
      <c r="K578">
        <f>VLOOKUP($J578,'[1]Table S6'!$A:$AI,2,FALSE)</f>
        <v>398.5</v>
      </c>
      <c r="L578">
        <f>VLOOKUP($J578,'[1]Table S6'!$A:$AI,3,FALSE)</f>
        <v>0.84805277718663596</v>
      </c>
      <c r="M578">
        <f>VLOOKUP($J578,'[1]Table S6'!$A:$AI,4,FALSE)</f>
        <v>24.52</v>
      </c>
      <c r="N578" t="str">
        <f>VLOOKUP($J578,'[1]Table S6'!$A:$AI,5,FALSE)</f>
        <v>No</v>
      </c>
      <c r="P578">
        <f>VLOOKUP($J578,'[1]Table S6'!$A:$AI,7,FALSE)</f>
        <v>361.9</v>
      </c>
      <c r="Q578">
        <f>VLOOKUP($J578,'[1]Table S6'!$A:$AI,8,FALSE)</f>
        <v>0.770163864652054</v>
      </c>
      <c r="R578">
        <f>VLOOKUP($J578,'[1]Table S6'!$A:$AI,9,FALSE)</f>
        <v>7.8929999999999998</v>
      </c>
      <c r="S578" t="str">
        <f>VLOOKUP($J578,'[1]Table S6'!$A:$AI,10,FALSE)</f>
        <v>No</v>
      </c>
      <c r="U578">
        <f>VLOOKUP($J578,'[1]Table S6'!$A:$AI,12,FALSE)</f>
        <v>397.2</v>
      </c>
      <c r="V578">
        <f>VLOOKUP($J578,'[1]Table S6'!$A:$AI,13,FALSE)</f>
        <v>0.84528623111300305</v>
      </c>
      <c r="W578">
        <f>VLOOKUP($J578,'[1]Table S6'!$A:$AI,14,FALSE)</f>
        <v>26.74</v>
      </c>
      <c r="X578" t="str">
        <f>VLOOKUP($J578,'[1]Table S6'!$A:$AI,15,FALSE)</f>
        <v>No</v>
      </c>
      <c r="Z578">
        <f>VLOOKUP($J578,'[1]Table S6'!$A:$AI,17,FALSE)</f>
        <v>397.4</v>
      </c>
      <c r="AA578">
        <f>VLOOKUP($J578,'[1]Table S6'!$A:$AI,18,FALSE)</f>
        <v>0.84571185358586898</v>
      </c>
      <c r="AB578">
        <f>VLOOKUP($J578,'[1]Table S6'!$A:$AI,19,FALSE)</f>
        <v>25.13</v>
      </c>
      <c r="AC578" t="str">
        <f>VLOOKUP($J578,'[1]Table S6'!$A:$AI,20,FALSE)</f>
        <v>No</v>
      </c>
      <c r="AE578">
        <f>VLOOKUP($J578,'[1]Table S6'!$A:$AI,22,FALSE)</f>
        <v>383.7</v>
      </c>
      <c r="AF578">
        <f>VLOOKUP($J578,'[1]Table S6'!$A:$AI,23,FALSE)</f>
        <v>0.81655671419450904</v>
      </c>
      <c r="AG578">
        <f>VLOOKUP($J578,'[1]Table S6'!$A:$AI,24,FALSE)</f>
        <v>15.65</v>
      </c>
      <c r="AH578" t="str">
        <f>VLOOKUP($J578,'[1]Table S6'!$A:$AI,25,FALSE)</f>
        <v>No</v>
      </c>
      <c r="AJ578">
        <f>VLOOKUP($J578,'[1]Table S6'!$A:$AI,27,FALSE)</f>
        <v>405.1</v>
      </c>
      <c r="AK578">
        <f>VLOOKUP($J578,'[1]Table S6'!$A:$AI,28,FALSE)</f>
        <v>0.862098318791232</v>
      </c>
      <c r="AL578">
        <f>VLOOKUP($J578,'[1]Table S6'!$A:$AI,29,FALSE)</f>
        <v>37.85</v>
      </c>
      <c r="AM578" t="str">
        <f>VLOOKUP($J578,'[1]Table S6'!$A:$AI,30,FALSE)</f>
        <v>No</v>
      </c>
      <c r="AO578">
        <f>VLOOKUP($J578,'[1]Table S6'!$A:$AI,32,FALSE)</f>
        <v>390.2</v>
      </c>
      <c r="AP578">
        <f>VLOOKUP($J578,'[1]Table S6'!$A:$AI,33,FALSE)</f>
        <v>0.83038944456267305</v>
      </c>
      <c r="AQ578">
        <f>VLOOKUP($J578,'[1]Table S6'!$A:$AI,34,FALSE)</f>
        <v>17.93</v>
      </c>
      <c r="AR578" t="str">
        <f>VLOOKUP($J578,'[1]Table S6'!$A:$AI,35,FALSE)</f>
        <v>No</v>
      </c>
      <c r="AT578" t="e">
        <f>VLOOKUP($I578,'[2]Table S5'!$A:$K,8,FALSE)</f>
        <v>#N/A</v>
      </c>
      <c r="AU578" t="e">
        <f>VLOOKUP($I578,'[2]Table S5'!$A:$K,9,FALSE)</f>
        <v>#N/A</v>
      </c>
      <c r="AV578" t="e">
        <f>VLOOKUP($I578,'[2]Table S5'!$A:$K,10,FALSE)</f>
        <v>#N/A</v>
      </c>
      <c r="AW578" t="e">
        <f>VLOOKUP($I578,'[2]Table S5'!$A:$K,11,FALSE)</f>
        <v>#N/A</v>
      </c>
    </row>
    <row r="579" spans="1:49">
      <c r="A579" s="12" t="s">
        <v>3677</v>
      </c>
      <c r="B579" t="s">
        <v>3678</v>
      </c>
      <c r="C579" t="s">
        <v>3679</v>
      </c>
      <c r="D579" t="s">
        <v>17</v>
      </c>
      <c r="E579" t="s">
        <v>1693</v>
      </c>
      <c r="F579" s="12" t="s">
        <v>1694</v>
      </c>
      <c r="G579" t="s">
        <v>1695</v>
      </c>
      <c r="H579" t="s">
        <v>1696</v>
      </c>
      <c r="I579" t="s">
        <v>1681</v>
      </c>
      <c r="J579" t="s">
        <v>1682</v>
      </c>
      <c r="K579">
        <f>VLOOKUP($J579,'[1]Table S6'!$A:$AI,2,FALSE)</f>
        <v>398.5</v>
      </c>
      <c r="L579">
        <f>VLOOKUP($J579,'[1]Table S6'!$A:$AI,3,FALSE)</f>
        <v>0.84805277718663596</v>
      </c>
      <c r="M579">
        <f>VLOOKUP($J579,'[1]Table S6'!$A:$AI,4,FALSE)</f>
        <v>24.52</v>
      </c>
      <c r="N579" t="str">
        <f>VLOOKUP($J579,'[1]Table S6'!$A:$AI,5,FALSE)</f>
        <v>No</v>
      </c>
      <c r="P579">
        <f>VLOOKUP($J579,'[1]Table S6'!$A:$AI,7,FALSE)</f>
        <v>361.9</v>
      </c>
      <c r="Q579">
        <f>VLOOKUP($J579,'[1]Table S6'!$A:$AI,8,FALSE)</f>
        <v>0.770163864652054</v>
      </c>
      <c r="R579">
        <f>VLOOKUP($J579,'[1]Table S6'!$A:$AI,9,FALSE)</f>
        <v>7.8929999999999998</v>
      </c>
      <c r="S579" t="str">
        <f>VLOOKUP($J579,'[1]Table S6'!$A:$AI,10,FALSE)</f>
        <v>No</v>
      </c>
      <c r="U579">
        <f>VLOOKUP($J579,'[1]Table S6'!$A:$AI,12,FALSE)</f>
        <v>397.2</v>
      </c>
      <c r="V579">
        <f>VLOOKUP($J579,'[1]Table S6'!$A:$AI,13,FALSE)</f>
        <v>0.84528623111300305</v>
      </c>
      <c r="W579">
        <f>VLOOKUP($J579,'[1]Table S6'!$A:$AI,14,FALSE)</f>
        <v>26.74</v>
      </c>
      <c r="X579" t="str">
        <f>VLOOKUP($J579,'[1]Table S6'!$A:$AI,15,FALSE)</f>
        <v>No</v>
      </c>
      <c r="Z579">
        <f>VLOOKUP($J579,'[1]Table S6'!$A:$AI,17,FALSE)</f>
        <v>397.4</v>
      </c>
      <c r="AA579">
        <f>VLOOKUP($J579,'[1]Table S6'!$A:$AI,18,FALSE)</f>
        <v>0.84571185358586898</v>
      </c>
      <c r="AB579">
        <f>VLOOKUP($J579,'[1]Table S6'!$A:$AI,19,FALSE)</f>
        <v>25.13</v>
      </c>
      <c r="AC579" t="str">
        <f>VLOOKUP($J579,'[1]Table S6'!$A:$AI,20,FALSE)</f>
        <v>No</v>
      </c>
      <c r="AE579">
        <f>VLOOKUP($J579,'[1]Table S6'!$A:$AI,22,FALSE)</f>
        <v>383.7</v>
      </c>
      <c r="AF579">
        <f>VLOOKUP($J579,'[1]Table S6'!$A:$AI,23,FALSE)</f>
        <v>0.81655671419450904</v>
      </c>
      <c r="AG579">
        <f>VLOOKUP($J579,'[1]Table S6'!$A:$AI,24,FALSE)</f>
        <v>15.65</v>
      </c>
      <c r="AH579" t="str">
        <f>VLOOKUP($J579,'[1]Table S6'!$A:$AI,25,FALSE)</f>
        <v>No</v>
      </c>
      <c r="AJ579">
        <f>VLOOKUP($J579,'[1]Table S6'!$A:$AI,27,FALSE)</f>
        <v>405.1</v>
      </c>
      <c r="AK579">
        <f>VLOOKUP($J579,'[1]Table S6'!$A:$AI,28,FALSE)</f>
        <v>0.862098318791232</v>
      </c>
      <c r="AL579">
        <f>VLOOKUP($J579,'[1]Table S6'!$A:$AI,29,FALSE)</f>
        <v>37.85</v>
      </c>
      <c r="AM579" t="str">
        <f>VLOOKUP($J579,'[1]Table S6'!$A:$AI,30,FALSE)</f>
        <v>No</v>
      </c>
      <c r="AO579">
        <f>VLOOKUP($J579,'[1]Table S6'!$A:$AI,32,FALSE)</f>
        <v>390.2</v>
      </c>
      <c r="AP579">
        <f>VLOOKUP($J579,'[1]Table S6'!$A:$AI,33,FALSE)</f>
        <v>0.83038944456267305</v>
      </c>
      <c r="AQ579">
        <f>VLOOKUP($J579,'[1]Table S6'!$A:$AI,34,FALSE)</f>
        <v>17.93</v>
      </c>
      <c r="AR579" t="str">
        <f>VLOOKUP($J579,'[1]Table S6'!$A:$AI,35,FALSE)</f>
        <v>No</v>
      </c>
      <c r="AT579" t="e">
        <f>VLOOKUP($I579,'[2]Table S5'!$A:$K,8,FALSE)</f>
        <v>#N/A</v>
      </c>
      <c r="AU579" t="e">
        <f>VLOOKUP($I579,'[2]Table S5'!$A:$K,9,FALSE)</f>
        <v>#N/A</v>
      </c>
      <c r="AV579" t="e">
        <f>VLOOKUP($I579,'[2]Table S5'!$A:$K,10,FALSE)</f>
        <v>#N/A</v>
      </c>
      <c r="AW579" t="e">
        <f>VLOOKUP($I579,'[2]Table S5'!$A:$K,11,FALSE)</f>
        <v>#N/A</v>
      </c>
    </row>
    <row r="580" spans="1:49">
      <c r="A580" s="12" t="s">
        <v>3680</v>
      </c>
      <c r="B580" t="s">
        <v>3681</v>
      </c>
      <c r="C580" t="s">
        <v>3682</v>
      </c>
      <c r="D580" t="s">
        <v>17</v>
      </c>
      <c r="E580" t="s">
        <v>3683</v>
      </c>
      <c r="F580" s="12" t="s">
        <v>3684</v>
      </c>
      <c r="G580" t="s">
        <v>3685</v>
      </c>
      <c r="H580" t="s">
        <v>3686</v>
      </c>
      <c r="I580" t="s">
        <v>3687</v>
      </c>
      <c r="J580" t="s">
        <v>3688</v>
      </c>
      <c r="K580">
        <f>VLOOKUP($J580,'[1]Table S6'!$A:$AI,2,FALSE)</f>
        <v>320</v>
      </c>
      <c r="L580">
        <f>VLOOKUP($J580,'[1]Table S6'!$A:$AI,3,FALSE)</f>
        <v>0.68099595658650802</v>
      </c>
      <c r="M580">
        <f>VLOOKUP($J580,'[1]Table S6'!$A:$AI,4,FALSE)</f>
        <v>1.978</v>
      </c>
      <c r="N580" t="str">
        <f>VLOOKUP($J580,'[1]Table S6'!$A:$AI,5,FALSE)</f>
        <v>Yes</v>
      </c>
      <c r="P580">
        <f>VLOOKUP($J580,'[1]Table S6'!$A:$AI,7,FALSE)</f>
        <v>326.10000000000002</v>
      </c>
      <c r="Q580">
        <f>VLOOKUP($J580,'[1]Table S6'!$A:$AI,8,FALSE)</f>
        <v>0.69397744200893796</v>
      </c>
      <c r="R580">
        <f>VLOOKUP($J580,'[1]Table S6'!$A:$AI,9,FALSE)</f>
        <v>2.258</v>
      </c>
      <c r="S580" t="str">
        <f>VLOOKUP($J580,'[1]Table S6'!$A:$AI,10,FALSE)</f>
        <v>Yes</v>
      </c>
      <c r="U580">
        <f>VLOOKUP($J580,'[1]Table S6'!$A:$AI,12,FALSE)</f>
        <v>318.5</v>
      </c>
      <c r="V580">
        <f>VLOOKUP($J580,'[1]Table S6'!$A:$AI,13,FALSE)</f>
        <v>0.67780378804000896</v>
      </c>
      <c r="W580">
        <f>VLOOKUP($J580,'[1]Table S6'!$A:$AI,14,FALSE)</f>
        <v>1.98</v>
      </c>
      <c r="X580" t="str">
        <f>VLOOKUP($J580,'[1]Table S6'!$A:$AI,15,FALSE)</f>
        <v>Yes</v>
      </c>
      <c r="Z580">
        <f>VLOOKUP($J580,'[1]Table S6'!$A:$AI,17,FALSE)</f>
        <v>329.1</v>
      </c>
      <c r="AA580">
        <f>VLOOKUP($J580,'[1]Table S6'!$A:$AI,18,FALSE)</f>
        <v>0.70036177910193698</v>
      </c>
      <c r="AB580">
        <f>VLOOKUP($J580,'[1]Table S6'!$A:$AI,19,FALSE)</f>
        <v>2.4580000000000002</v>
      </c>
      <c r="AC580" t="str">
        <f>VLOOKUP($J580,'[1]Table S6'!$A:$AI,20,FALSE)</f>
        <v>No</v>
      </c>
      <c r="AE580">
        <f>VLOOKUP($J580,'[1]Table S6'!$A:$AI,22,FALSE)</f>
        <v>313.3</v>
      </c>
      <c r="AF580">
        <f>VLOOKUP($J580,'[1]Table S6'!$A:$AI,23,FALSE)</f>
        <v>0.66673760374547797</v>
      </c>
      <c r="AG580">
        <f>VLOOKUP($J580,'[1]Table S6'!$A:$AI,24,FALSE)</f>
        <v>1.2490000000000001</v>
      </c>
      <c r="AH580" t="str">
        <f>VLOOKUP($J580,'[1]Table S6'!$A:$AI,25,FALSE)</f>
        <v>Yes</v>
      </c>
      <c r="AJ580">
        <f>VLOOKUP($J580,'[1]Table S6'!$A:$AI,27,FALSE)</f>
        <v>412.2</v>
      </c>
      <c r="AK580">
        <f>VLOOKUP($J580,'[1]Table S6'!$A:$AI,28,FALSE)</f>
        <v>0.87720791657799502</v>
      </c>
      <c r="AL580">
        <f>VLOOKUP($J580,'[1]Table S6'!$A:$AI,29,FALSE)</f>
        <v>45.6</v>
      </c>
      <c r="AM580" t="str">
        <f>VLOOKUP($J580,'[1]Table S6'!$A:$AI,30,FALSE)</f>
        <v>No</v>
      </c>
      <c r="AO580">
        <f>VLOOKUP($J580,'[1]Table S6'!$A:$AI,32,FALSE)</f>
        <v>416.7</v>
      </c>
      <c r="AP580">
        <f>VLOOKUP($J580,'[1]Table S6'!$A:$AI,33,FALSE)</f>
        <v>0.88678442221749298</v>
      </c>
      <c r="AQ580">
        <f>VLOOKUP($J580,'[1]Table S6'!$A:$AI,34,FALSE)</f>
        <v>65.23</v>
      </c>
      <c r="AR580" t="str">
        <f>VLOOKUP($J580,'[1]Table S6'!$A:$AI,35,FALSE)</f>
        <v>No</v>
      </c>
      <c r="AT580" t="e">
        <f>VLOOKUP($I580,'[2]Table S5'!$A:$K,8,FALSE)</f>
        <v>#N/A</v>
      </c>
      <c r="AU580" t="e">
        <f>VLOOKUP($I580,'[2]Table S5'!$A:$K,9,FALSE)</f>
        <v>#N/A</v>
      </c>
      <c r="AV580" t="e">
        <f>VLOOKUP($I580,'[2]Table S5'!$A:$K,10,FALSE)</f>
        <v>#N/A</v>
      </c>
      <c r="AW580" t="e">
        <f>VLOOKUP($I580,'[2]Table S5'!$A:$K,11,FALSE)</f>
        <v>#N/A</v>
      </c>
    </row>
    <row r="581" spans="1:49">
      <c r="A581" s="12" t="s">
        <v>3689</v>
      </c>
      <c r="B581" t="s">
        <v>3690</v>
      </c>
      <c r="C581" t="s">
        <v>3691</v>
      </c>
      <c r="D581" t="s">
        <v>17</v>
      </c>
      <c r="E581" t="s">
        <v>3692</v>
      </c>
      <c r="F581" s="12" t="s">
        <v>3693</v>
      </c>
      <c r="G581" t="s">
        <v>3694</v>
      </c>
      <c r="H581" t="s">
        <v>3695</v>
      </c>
      <c r="I581" t="s">
        <v>3687</v>
      </c>
      <c r="J581" t="s">
        <v>3696</v>
      </c>
      <c r="K581">
        <f>VLOOKUP($J581,'[1]Table S6'!$A:$AI,2,FALSE)</f>
        <v>312</v>
      </c>
      <c r="L581">
        <f>VLOOKUP($J581,'[1]Table S6'!$A:$AI,3,FALSE)</f>
        <v>0.66397105767184506</v>
      </c>
      <c r="M581">
        <f>VLOOKUP($J581,'[1]Table S6'!$A:$AI,4,FALSE)</f>
        <v>0.95269999999999999</v>
      </c>
      <c r="N581" t="str">
        <f>VLOOKUP($J581,'[1]Table S6'!$A:$AI,5,FALSE)</f>
        <v>Yes</v>
      </c>
      <c r="P581">
        <f>VLOOKUP($J581,'[1]Table S6'!$A:$AI,7,FALSE)</f>
        <v>320.7</v>
      </c>
      <c r="Q581">
        <f>VLOOKUP($J581,'[1]Table S6'!$A:$AI,8,FALSE)</f>
        <v>0.68248563524154104</v>
      </c>
      <c r="R581">
        <f>VLOOKUP($J581,'[1]Table S6'!$A:$AI,9,FALSE)</f>
        <v>1.9079999999999999</v>
      </c>
      <c r="S581" t="str">
        <f>VLOOKUP($J581,'[1]Table S6'!$A:$AI,10,FALSE)</f>
        <v>Yes</v>
      </c>
      <c r="U581">
        <f>VLOOKUP($J581,'[1]Table S6'!$A:$AI,12,FALSE)</f>
        <v>331.2</v>
      </c>
      <c r="V581">
        <f>VLOOKUP($J581,'[1]Table S6'!$A:$AI,13,FALSE)</f>
        <v>0.70483081506703604</v>
      </c>
      <c r="W581">
        <f>VLOOKUP($J581,'[1]Table S6'!$A:$AI,14,FALSE)</f>
        <v>2.87</v>
      </c>
      <c r="X581" t="str">
        <f>VLOOKUP($J581,'[1]Table S6'!$A:$AI,15,FALSE)</f>
        <v>No</v>
      </c>
      <c r="Z581">
        <f>VLOOKUP($J581,'[1]Table S6'!$A:$AI,17,FALSE)</f>
        <v>316.2</v>
      </c>
      <c r="AA581">
        <f>VLOOKUP($J581,'[1]Table S6'!$A:$AI,18,FALSE)</f>
        <v>0.67290912960204297</v>
      </c>
      <c r="AB581">
        <f>VLOOKUP($J581,'[1]Table S6'!$A:$AI,19,FALSE)</f>
        <v>1.5589999999999999</v>
      </c>
      <c r="AC581" t="str">
        <f>VLOOKUP($J581,'[1]Table S6'!$A:$AI,20,FALSE)</f>
        <v>Yes</v>
      </c>
      <c r="AE581">
        <f>VLOOKUP($J581,'[1]Table S6'!$A:$AI,22,FALSE)</f>
        <v>315</v>
      </c>
      <c r="AF581">
        <f>VLOOKUP($J581,'[1]Table S6'!$A:$AI,23,FALSE)</f>
        <v>0.67035539476484396</v>
      </c>
      <c r="AG581">
        <f>VLOOKUP($J581,'[1]Table S6'!$A:$AI,24,FALSE)</f>
        <v>1.5529999999999999</v>
      </c>
      <c r="AH581" t="str">
        <f>VLOOKUP($J581,'[1]Table S6'!$A:$AI,25,FALSE)</f>
        <v>Yes</v>
      </c>
      <c r="AJ581">
        <f>VLOOKUP($J581,'[1]Table S6'!$A:$AI,27,FALSE)</f>
        <v>394.3</v>
      </c>
      <c r="AK581">
        <f>VLOOKUP($J581,'[1]Table S6'!$A:$AI,28,FALSE)</f>
        <v>0.83911470525643805</v>
      </c>
      <c r="AL581">
        <f>VLOOKUP($J581,'[1]Table S6'!$A:$AI,29,FALSE)</f>
        <v>22.35</v>
      </c>
      <c r="AM581" t="str">
        <f>VLOOKUP($J581,'[1]Table S6'!$A:$AI,30,FALSE)</f>
        <v>No</v>
      </c>
      <c r="AO581">
        <f>VLOOKUP($J581,'[1]Table S6'!$A:$AI,32,FALSE)</f>
        <v>412.8</v>
      </c>
      <c r="AP581">
        <f>VLOOKUP($J581,'[1]Table S6'!$A:$AI,33,FALSE)</f>
        <v>0.87848478399659502</v>
      </c>
      <c r="AQ581">
        <f>VLOOKUP($J581,'[1]Table S6'!$A:$AI,34,FALSE)</f>
        <v>49.42</v>
      </c>
      <c r="AR581" t="str">
        <f>VLOOKUP($J581,'[1]Table S6'!$A:$AI,35,FALSE)</f>
        <v>No</v>
      </c>
      <c r="AT581" t="e">
        <f>VLOOKUP($I581,'[2]Table S5'!$A:$K,8,FALSE)</f>
        <v>#N/A</v>
      </c>
      <c r="AU581" t="e">
        <f>VLOOKUP($I581,'[2]Table S5'!$A:$K,9,FALSE)</f>
        <v>#N/A</v>
      </c>
      <c r="AV581" t="e">
        <f>VLOOKUP($I581,'[2]Table S5'!$A:$K,10,FALSE)</f>
        <v>#N/A</v>
      </c>
      <c r="AW581" t="e">
        <f>VLOOKUP($I581,'[2]Table S5'!$A:$K,11,FALSE)</f>
        <v>#N/A</v>
      </c>
    </row>
    <row r="582" spans="1:49">
      <c r="A582" s="12" t="s">
        <v>3697</v>
      </c>
      <c r="B582" t="s">
        <v>3698</v>
      </c>
      <c r="C582" t="s">
        <v>3699</v>
      </c>
      <c r="D582" t="s">
        <v>17</v>
      </c>
      <c r="E582" t="s">
        <v>3700</v>
      </c>
      <c r="F582" s="12" t="s">
        <v>3701</v>
      </c>
      <c r="G582" t="s">
        <v>3702</v>
      </c>
      <c r="H582" t="s">
        <v>3703</v>
      </c>
      <c r="I582" t="s">
        <v>3687</v>
      </c>
      <c r="J582" t="s">
        <v>3704</v>
      </c>
      <c r="K582">
        <f>VLOOKUP($J582,'[1]Table S6'!$A:$AI,2,FALSE)</f>
        <v>322.10000000000002</v>
      </c>
      <c r="L582">
        <f>VLOOKUP($J582,'[1]Table S6'!$A:$AI,3,FALSE)</f>
        <v>0.68546499255160698</v>
      </c>
      <c r="M582">
        <f>VLOOKUP($J582,'[1]Table S6'!$A:$AI,4,FALSE)</f>
        <v>1.83</v>
      </c>
      <c r="N582" t="str">
        <f>VLOOKUP($J582,'[1]Table S6'!$A:$AI,5,FALSE)</f>
        <v>Yes</v>
      </c>
      <c r="P582">
        <f>VLOOKUP($J582,'[1]Table S6'!$A:$AI,7,FALSE)</f>
        <v>344.5</v>
      </c>
      <c r="Q582">
        <f>VLOOKUP($J582,'[1]Table S6'!$A:$AI,8,FALSE)</f>
        <v>0.73313470951266202</v>
      </c>
      <c r="R582">
        <f>VLOOKUP($J582,'[1]Table S6'!$A:$AI,9,FALSE)</f>
        <v>4.5609999999999999</v>
      </c>
      <c r="S582" t="str">
        <f>VLOOKUP($J582,'[1]Table S6'!$A:$AI,10,FALSE)</f>
        <v>No</v>
      </c>
      <c r="U582">
        <f>VLOOKUP($J582,'[1]Table S6'!$A:$AI,12,FALSE)</f>
        <v>360.1</v>
      </c>
      <c r="V582">
        <f>VLOOKUP($J582,'[1]Table S6'!$A:$AI,13,FALSE)</f>
        <v>0.76633326239625499</v>
      </c>
      <c r="W582">
        <f>VLOOKUP($J582,'[1]Table S6'!$A:$AI,14,FALSE)</f>
        <v>6.8220000000000001</v>
      </c>
      <c r="X582" t="str">
        <f>VLOOKUP($J582,'[1]Table S6'!$A:$AI,15,FALSE)</f>
        <v>No</v>
      </c>
      <c r="Z582">
        <f>VLOOKUP($J582,'[1]Table S6'!$A:$AI,17,FALSE)</f>
        <v>326.89999999999998</v>
      </c>
      <c r="AA582">
        <f>VLOOKUP($J582,'[1]Table S6'!$A:$AI,18,FALSE)</f>
        <v>0.695679931900404</v>
      </c>
      <c r="AB582">
        <f>VLOOKUP($J582,'[1]Table S6'!$A:$AI,19,FALSE)</f>
        <v>2.2120000000000002</v>
      </c>
      <c r="AC582" t="str">
        <f>VLOOKUP($J582,'[1]Table S6'!$A:$AI,20,FALSE)</f>
        <v>No</v>
      </c>
      <c r="AE582">
        <f>VLOOKUP($J582,'[1]Table S6'!$A:$AI,22,FALSE)</f>
        <v>324.8</v>
      </c>
      <c r="AF582">
        <f>VLOOKUP($J582,'[1]Table S6'!$A:$AI,23,FALSE)</f>
        <v>0.69121089593530505</v>
      </c>
      <c r="AG582">
        <f>VLOOKUP($J582,'[1]Table S6'!$A:$AI,24,FALSE)</f>
        <v>2.2450000000000001</v>
      </c>
      <c r="AH582" t="str">
        <f>VLOOKUP($J582,'[1]Table S6'!$A:$AI,25,FALSE)</f>
        <v>No</v>
      </c>
      <c r="AJ582">
        <f>VLOOKUP($J582,'[1]Table S6'!$A:$AI,27,FALSE)</f>
        <v>403.9</v>
      </c>
      <c r="AK582">
        <f>VLOOKUP($J582,'[1]Table S6'!$A:$AI,28,FALSE)</f>
        <v>0.85954458395403299</v>
      </c>
      <c r="AL582">
        <f>VLOOKUP($J582,'[1]Table S6'!$A:$AI,29,FALSE)</f>
        <v>31.56</v>
      </c>
      <c r="AM582" t="str">
        <f>VLOOKUP($J582,'[1]Table S6'!$A:$AI,30,FALSE)</f>
        <v>No</v>
      </c>
      <c r="AO582">
        <f>VLOOKUP($J582,'[1]Table S6'!$A:$AI,32,FALSE)</f>
        <v>411.4</v>
      </c>
      <c r="AP582">
        <f>VLOOKUP($J582,'[1]Table S6'!$A:$AI,33,FALSE)</f>
        <v>0.87550542668652898</v>
      </c>
      <c r="AQ582">
        <f>VLOOKUP($J582,'[1]Table S6'!$A:$AI,34,FALSE)</f>
        <v>41.32</v>
      </c>
      <c r="AR582" t="str">
        <f>VLOOKUP($J582,'[1]Table S6'!$A:$AI,35,FALSE)</f>
        <v>No</v>
      </c>
      <c r="AT582" t="e">
        <f>VLOOKUP($I582,'[2]Table S5'!$A:$K,8,FALSE)</f>
        <v>#N/A</v>
      </c>
      <c r="AU582" t="e">
        <f>VLOOKUP($I582,'[2]Table S5'!$A:$K,9,FALSE)</f>
        <v>#N/A</v>
      </c>
      <c r="AV582" t="e">
        <f>VLOOKUP($I582,'[2]Table S5'!$A:$K,10,FALSE)</f>
        <v>#N/A</v>
      </c>
      <c r="AW582" t="e">
        <f>VLOOKUP($I582,'[2]Table S5'!$A:$K,11,FALSE)</f>
        <v>#N/A</v>
      </c>
    </row>
    <row r="583" spans="1:49">
      <c r="A583" s="12" t="s">
        <v>3705</v>
      </c>
      <c r="B583" t="s">
        <v>3706</v>
      </c>
      <c r="C583" t="s">
        <v>3707</v>
      </c>
      <c r="D583" t="s">
        <v>17</v>
      </c>
      <c r="E583" t="s">
        <v>3708</v>
      </c>
      <c r="F583" s="12" t="s">
        <v>3709</v>
      </c>
      <c r="G583" t="s">
        <v>3710</v>
      </c>
      <c r="H583" t="s">
        <v>3711</v>
      </c>
      <c r="I583" t="s">
        <v>3712</v>
      </c>
      <c r="J583" t="s">
        <v>3713</v>
      </c>
      <c r="K583">
        <f>VLOOKUP($J583,'[1]Table S6'!$A:$AI,2,FALSE)</f>
        <v>338.3</v>
      </c>
      <c r="L583">
        <f>VLOOKUP($J583,'[1]Table S6'!$A:$AI,3,FALSE)</f>
        <v>0.71994041285379895</v>
      </c>
      <c r="M583">
        <f>VLOOKUP($J583,'[1]Table S6'!$A:$AI,4,FALSE)</f>
        <v>3.4020000000000001</v>
      </c>
      <c r="N583" t="str">
        <f>VLOOKUP($J583,'[1]Table S6'!$A:$AI,5,FALSE)</f>
        <v>No</v>
      </c>
      <c r="P583">
        <f>VLOOKUP($J583,'[1]Table S6'!$A:$AI,7,FALSE)</f>
        <v>353.6</v>
      </c>
      <c r="Q583">
        <f>VLOOKUP($J583,'[1]Table S6'!$A:$AI,8,FALSE)</f>
        <v>0.75250053202809097</v>
      </c>
      <c r="R583">
        <f>VLOOKUP($J583,'[1]Table S6'!$A:$AI,9,FALSE)</f>
        <v>5.5609999999999999</v>
      </c>
      <c r="S583" t="str">
        <f>VLOOKUP($J583,'[1]Table S6'!$A:$AI,10,FALSE)</f>
        <v>No</v>
      </c>
      <c r="U583">
        <f>VLOOKUP($J583,'[1]Table S6'!$A:$AI,12,FALSE)</f>
        <v>320.5</v>
      </c>
      <c r="V583">
        <f>VLOOKUP($J583,'[1]Table S6'!$A:$AI,13,FALSE)</f>
        <v>0.68206001276867401</v>
      </c>
      <c r="W583">
        <f>VLOOKUP($J583,'[1]Table S6'!$A:$AI,14,FALSE)</f>
        <v>1.75</v>
      </c>
      <c r="X583" t="str">
        <f>VLOOKUP($J583,'[1]Table S6'!$A:$AI,15,FALSE)</f>
        <v>Yes</v>
      </c>
      <c r="Z583">
        <f>VLOOKUP($J583,'[1]Table S6'!$A:$AI,17,FALSE)</f>
        <v>391.9</v>
      </c>
      <c r="AA583">
        <f>VLOOKUP($J583,'[1]Table S6'!$A:$AI,18,FALSE)</f>
        <v>0.83400723558203904</v>
      </c>
      <c r="AB583">
        <f>VLOOKUP($J583,'[1]Table S6'!$A:$AI,19,FALSE)</f>
        <v>18.12</v>
      </c>
      <c r="AC583" t="str">
        <f>VLOOKUP($J583,'[1]Table S6'!$A:$AI,20,FALSE)</f>
        <v>No</v>
      </c>
      <c r="AE583">
        <f>VLOOKUP($J583,'[1]Table S6'!$A:$AI,22,FALSE)</f>
        <v>400.7</v>
      </c>
      <c r="AF583">
        <f>VLOOKUP($J583,'[1]Table S6'!$A:$AI,23,FALSE)</f>
        <v>0.85273462438816805</v>
      </c>
      <c r="AG583">
        <f>VLOOKUP($J583,'[1]Table S6'!$A:$AI,24,FALSE)</f>
        <v>29.54</v>
      </c>
      <c r="AH583" t="str">
        <f>VLOOKUP($J583,'[1]Table S6'!$A:$AI,25,FALSE)</f>
        <v>No</v>
      </c>
      <c r="AJ583">
        <f>VLOOKUP($J583,'[1]Table S6'!$A:$AI,27,FALSE)</f>
        <v>344.4</v>
      </c>
      <c r="AK583">
        <f>VLOOKUP($J583,'[1]Table S6'!$A:$AI,28,FALSE)</f>
        <v>0.732921898276229</v>
      </c>
      <c r="AL583">
        <f>VLOOKUP($J583,'[1]Table S6'!$A:$AI,29,FALSE)</f>
        <v>4.5529999999999999</v>
      </c>
      <c r="AM583" t="str">
        <f>VLOOKUP($J583,'[1]Table S6'!$A:$AI,30,FALSE)</f>
        <v>No</v>
      </c>
      <c r="AO583">
        <f>VLOOKUP($J583,'[1]Table S6'!$A:$AI,32,FALSE)</f>
        <v>389.2</v>
      </c>
      <c r="AP583">
        <f>VLOOKUP($J583,'[1]Table S6'!$A:$AI,33,FALSE)</f>
        <v>0.82826133219833997</v>
      </c>
      <c r="AQ583">
        <f>VLOOKUP($J583,'[1]Table S6'!$A:$AI,34,FALSE)</f>
        <v>19.559999999999999</v>
      </c>
      <c r="AR583" t="str">
        <f>VLOOKUP($J583,'[1]Table S6'!$A:$AI,35,FALSE)</f>
        <v>No</v>
      </c>
      <c r="AT583" t="e">
        <f>VLOOKUP($I583,'[2]Table S5'!$A:$K,8,FALSE)</f>
        <v>#N/A</v>
      </c>
      <c r="AU583" t="e">
        <f>VLOOKUP($I583,'[2]Table S5'!$A:$K,9,FALSE)</f>
        <v>#N/A</v>
      </c>
      <c r="AV583" t="e">
        <f>VLOOKUP($I583,'[2]Table S5'!$A:$K,10,FALSE)</f>
        <v>#N/A</v>
      </c>
      <c r="AW583" t="e">
        <f>VLOOKUP($I583,'[2]Table S5'!$A:$K,11,FALSE)</f>
        <v>#N/A</v>
      </c>
    </row>
    <row r="584" spans="1:49">
      <c r="A584" s="12" t="s">
        <v>3714</v>
      </c>
      <c r="B584" t="s">
        <v>3715</v>
      </c>
      <c r="C584" t="s">
        <v>3716</v>
      </c>
      <c r="D584" t="s">
        <v>17</v>
      </c>
      <c r="E584" t="s">
        <v>3717</v>
      </c>
      <c r="F584" s="12" t="s">
        <v>3718</v>
      </c>
      <c r="G584" t="s">
        <v>3719</v>
      </c>
      <c r="H584" t="s">
        <v>3720</v>
      </c>
      <c r="I584" t="s">
        <v>3712</v>
      </c>
      <c r="J584" t="s">
        <v>3721</v>
      </c>
      <c r="K584">
        <f>VLOOKUP($J584,'[1]Table S6'!$A:$AI,2,FALSE)</f>
        <v>348.1</v>
      </c>
      <c r="L584">
        <f>VLOOKUP($J584,'[1]Table S6'!$A:$AI,3,FALSE)</f>
        <v>0.74079591402426104</v>
      </c>
      <c r="M584">
        <f>VLOOKUP($J584,'[1]Table S6'!$A:$AI,4,FALSE)</f>
        <v>4.8739999999999997</v>
      </c>
      <c r="N584" t="str">
        <f>VLOOKUP($J584,'[1]Table S6'!$A:$AI,5,FALSE)</f>
        <v>No</v>
      </c>
      <c r="P584">
        <f>VLOOKUP($J584,'[1]Table S6'!$A:$AI,7,FALSE)</f>
        <v>366.6</v>
      </c>
      <c r="Q584">
        <f>VLOOKUP($J584,'[1]Table S6'!$A:$AI,8,FALSE)</f>
        <v>0.780165992764418</v>
      </c>
      <c r="R584">
        <f>VLOOKUP($J584,'[1]Table S6'!$A:$AI,9,FALSE)</f>
        <v>8.4429999999999996</v>
      </c>
      <c r="S584" t="str">
        <f>VLOOKUP($J584,'[1]Table S6'!$A:$AI,10,FALSE)</f>
        <v>No</v>
      </c>
      <c r="U584">
        <f>VLOOKUP($J584,'[1]Table S6'!$A:$AI,12,FALSE)</f>
        <v>372.2</v>
      </c>
      <c r="V584">
        <f>VLOOKUP($J584,'[1]Table S6'!$A:$AI,13,FALSE)</f>
        <v>0.79208342200468196</v>
      </c>
      <c r="W584">
        <f>VLOOKUP($J584,'[1]Table S6'!$A:$AI,14,FALSE)</f>
        <v>10.57</v>
      </c>
      <c r="X584" t="str">
        <f>VLOOKUP($J584,'[1]Table S6'!$A:$AI,15,FALSE)</f>
        <v>No</v>
      </c>
      <c r="Z584">
        <f>VLOOKUP($J584,'[1]Table S6'!$A:$AI,17,FALSE)</f>
        <v>387.5</v>
      </c>
      <c r="AA584">
        <f>VLOOKUP($J584,'[1]Table S6'!$A:$AI,18,FALSE)</f>
        <v>0.82464354117897398</v>
      </c>
      <c r="AB584">
        <f>VLOOKUP($J584,'[1]Table S6'!$A:$AI,19,FALSE)</f>
        <v>19.21</v>
      </c>
      <c r="AC584" t="str">
        <f>VLOOKUP($J584,'[1]Table S6'!$A:$AI,20,FALSE)</f>
        <v>No</v>
      </c>
      <c r="AE584">
        <f>VLOOKUP($J584,'[1]Table S6'!$A:$AI,22,FALSE)</f>
        <v>403.1</v>
      </c>
      <c r="AF584">
        <f>VLOOKUP($J584,'[1]Table S6'!$A:$AI,23,FALSE)</f>
        <v>0.85784209406256695</v>
      </c>
      <c r="AG584">
        <f>VLOOKUP($J584,'[1]Table S6'!$A:$AI,24,FALSE)</f>
        <v>31.4</v>
      </c>
      <c r="AH584" t="str">
        <f>VLOOKUP($J584,'[1]Table S6'!$A:$AI,25,FALSE)</f>
        <v>No</v>
      </c>
      <c r="AJ584">
        <f>VLOOKUP($J584,'[1]Table S6'!$A:$AI,27,FALSE)</f>
        <v>390.7</v>
      </c>
      <c r="AK584">
        <f>VLOOKUP($J584,'[1]Table S6'!$A:$AI,28,FALSE)</f>
        <v>0.83145350074483904</v>
      </c>
      <c r="AL584">
        <f>VLOOKUP($J584,'[1]Table S6'!$A:$AI,29,FALSE)</f>
        <v>18.53</v>
      </c>
      <c r="AM584" t="str">
        <f>VLOOKUP($J584,'[1]Table S6'!$A:$AI,30,FALSE)</f>
        <v>No</v>
      </c>
      <c r="AO584">
        <f>VLOOKUP($J584,'[1]Table S6'!$A:$AI,32,FALSE)</f>
        <v>402.8</v>
      </c>
      <c r="AP584">
        <f>VLOOKUP($J584,'[1]Table S6'!$A:$AI,33,FALSE)</f>
        <v>0.85720366035326701</v>
      </c>
      <c r="AQ584">
        <f>VLOOKUP($J584,'[1]Table S6'!$A:$AI,34,FALSE)</f>
        <v>26.65</v>
      </c>
      <c r="AR584" t="str">
        <f>VLOOKUP($J584,'[1]Table S6'!$A:$AI,35,FALSE)</f>
        <v>No</v>
      </c>
      <c r="AT584" t="e">
        <f>VLOOKUP($I584,'[2]Table S5'!$A:$K,8,FALSE)</f>
        <v>#N/A</v>
      </c>
      <c r="AU584" t="e">
        <f>VLOOKUP($I584,'[2]Table S5'!$A:$K,9,FALSE)</f>
        <v>#N/A</v>
      </c>
      <c r="AV584" t="e">
        <f>VLOOKUP($I584,'[2]Table S5'!$A:$K,10,FALSE)</f>
        <v>#N/A</v>
      </c>
      <c r="AW584" t="e">
        <f>VLOOKUP($I584,'[2]Table S5'!$A:$K,11,FALSE)</f>
        <v>#N/A</v>
      </c>
    </row>
    <row r="585" spans="1:49">
      <c r="A585" s="12" t="s">
        <v>3722</v>
      </c>
      <c r="B585" t="s">
        <v>3723</v>
      </c>
      <c r="C585" t="s">
        <v>3724</v>
      </c>
      <c r="D585" t="s">
        <v>17</v>
      </c>
      <c r="E585" t="s">
        <v>3725</v>
      </c>
      <c r="F585" s="12" t="s">
        <v>3726</v>
      </c>
      <c r="G585" t="s">
        <v>3727</v>
      </c>
      <c r="H585" t="s">
        <v>3728</v>
      </c>
      <c r="I585" t="s">
        <v>3712</v>
      </c>
      <c r="J585" t="s">
        <v>3729</v>
      </c>
      <c r="K585">
        <f>VLOOKUP($J585,'[1]Table S6'!$A:$AI,2,FALSE)</f>
        <v>333</v>
      </c>
      <c r="L585">
        <f>VLOOKUP($J585,'[1]Table S6'!$A:$AI,3,FALSE)</f>
        <v>0.70866141732283505</v>
      </c>
      <c r="M585">
        <f>VLOOKUP($J585,'[1]Table S6'!$A:$AI,4,FALSE)</f>
        <v>2.85</v>
      </c>
      <c r="N585" t="str">
        <f>VLOOKUP($J585,'[1]Table S6'!$A:$AI,5,FALSE)</f>
        <v>No</v>
      </c>
      <c r="P585">
        <f>VLOOKUP($J585,'[1]Table S6'!$A:$AI,7,FALSE)</f>
        <v>354.2</v>
      </c>
      <c r="Q585">
        <f>VLOOKUP($J585,'[1]Table S6'!$A:$AI,8,FALSE)</f>
        <v>0.75377739944669098</v>
      </c>
      <c r="R585">
        <f>VLOOKUP($J585,'[1]Table S6'!$A:$AI,9,FALSE)</f>
        <v>6.3150000000000004</v>
      </c>
      <c r="S585" t="str">
        <f>VLOOKUP($J585,'[1]Table S6'!$A:$AI,10,FALSE)</f>
        <v>No</v>
      </c>
      <c r="U585">
        <f>VLOOKUP($J585,'[1]Table S6'!$A:$AI,12,FALSE)</f>
        <v>335.5</v>
      </c>
      <c r="V585">
        <f>VLOOKUP($J585,'[1]Table S6'!$A:$AI,13,FALSE)</f>
        <v>0.71398169823366697</v>
      </c>
      <c r="W585">
        <f>VLOOKUP($J585,'[1]Table S6'!$A:$AI,14,FALSE)</f>
        <v>3.33</v>
      </c>
      <c r="X585" t="str">
        <f>VLOOKUP($J585,'[1]Table S6'!$A:$AI,15,FALSE)</f>
        <v>No</v>
      </c>
      <c r="Z585">
        <f>VLOOKUP($J585,'[1]Table S6'!$A:$AI,17,FALSE)</f>
        <v>381.4</v>
      </c>
      <c r="AA585">
        <f>VLOOKUP($J585,'[1]Table S6'!$A:$AI,18,FALSE)</f>
        <v>0.81166205575654404</v>
      </c>
      <c r="AB585">
        <f>VLOOKUP($J585,'[1]Table S6'!$A:$AI,19,FALSE)</f>
        <v>13.47</v>
      </c>
      <c r="AC585" t="str">
        <f>VLOOKUP($J585,'[1]Table S6'!$A:$AI,20,FALSE)</f>
        <v>No</v>
      </c>
      <c r="AE585">
        <f>VLOOKUP($J585,'[1]Table S6'!$A:$AI,22,FALSE)</f>
        <v>389.1</v>
      </c>
      <c r="AF585">
        <f>VLOOKUP($J585,'[1]Table S6'!$A:$AI,23,FALSE)</f>
        <v>0.82804852096190695</v>
      </c>
      <c r="AG585">
        <f>VLOOKUP($J585,'[1]Table S6'!$A:$AI,24,FALSE)</f>
        <v>17.72</v>
      </c>
      <c r="AH585" t="str">
        <f>VLOOKUP($J585,'[1]Table S6'!$A:$AI,25,FALSE)</f>
        <v>No</v>
      </c>
      <c r="AJ585">
        <f>VLOOKUP($J585,'[1]Table S6'!$A:$AI,27,FALSE)</f>
        <v>396.4</v>
      </c>
      <c r="AK585">
        <f>VLOOKUP($J585,'[1]Table S6'!$A:$AI,28,FALSE)</f>
        <v>0.84358374122153601</v>
      </c>
      <c r="AL585">
        <f>VLOOKUP($J585,'[1]Table S6'!$A:$AI,29,FALSE)</f>
        <v>22.79</v>
      </c>
      <c r="AM585" t="str">
        <f>VLOOKUP($J585,'[1]Table S6'!$A:$AI,30,FALSE)</f>
        <v>No</v>
      </c>
      <c r="AO585">
        <f>VLOOKUP($J585,'[1]Table S6'!$A:$AI,32,FALSE)</f>
        <v>408</v>
      </c>
      <c r="AP585">
        <f>VLOOKUP($J585,'[1]Table S6'!$A:$AI,33,FALSE)</f>
        <v>0.868269844647797</v>
      </c>
      <c r="AQ585">
        <f>VLOOKUP($J585,'[1]Table S6'!$A:$AI,34,FALSE)</f>
        <v>33.71</v>
      </c>
      <c r="AR585" t="str">
        <f>VLOOKUP($J585,'[1]Table S6'!$A:$AI,35,FALSE)</f>
        <v>No</v>
      </c>
      <c r="AT585" t="e">
        <f>VLOOKUP($I585,'[2]Table S5'!$A:$K,8,FALSE)</f>
        <v>#N/A</v>
      </c>
      <c r="AU585" t="e">
        <f>VLOOKUP($I585,'[2]Table S5'!$A:$K,9,FALSE)</f>
        <v>#N/A</v>
      </c>
      <c r="AV585" t="e">
        <f>VLOOKUP($I585,'[2]Table S5'!$A:$K,10,FALSE)</f>
        <v>#N/A</v>
      </c>
      <c r="AW585" t="e">
        <f>VLOOKUP($I585,'[2]Table S5'!$A:$K,11,FALSE)</f>
        <v>#N/A</v>
      </c>
    </row>
    <row r="586" spans="1:49">
      <c r="A586" s="12" t="s">
        <v>3730</v>
      </c>
      <c r="B586" t="s">
        <v>3731</v>
      </c>
      <c r="C586" t="s">
        <v>3732</v>
      </c>
      <c r="D586" t="s">
        <v>17</v>
      </c>
      <c r="E586" t="s">
        <v>3733</v>
      </c>
      <c r="F586" s="12" t="s">
        <v>3734</v>
      </c>
      <c r="G586" t="s">
        <v>3735</v>
      </c>
      <c r="H586" t="s">
        <v>3736</v>
      </c>
      <c r="I586" t="s">
        <v>3737</v>
      </c>
      <c r="J586" t="s">
        <v>3738</v>
      </c>
      <c r="K586">
        <f>VLOOKUP($J586,'[1]Table S6'!$A:$AI,2,FALSE)</f>
        <v>312.2</v>
      </c>
      <c r="L586">
        <f>VLOOKUP($J586,'[1]Table S6'!$A:$AI,3,FALSE)</f>
        <v>0.66439668014471198</v>
      </c>
      <c r="M586">
        <f>VLOOKUP($J586,'[1]Table S6'!$A:$AI,4,FALSE)</f>
        <v>1.1739999999999999</v>
      </c>
      <c r="N586" t="str">
        <f>VLOOKUP($J586,'[1]Table S6'!$A:$AI,5,FALSE)</f>
        <v>Yes</v>
      </c>
      <c r="P586">
        <f>VLOOKUP($J586,'[1]Table S6'!$A:$AI,7,FALSE)</f>
        <v>348.1</v>
      </c>
      <c r="Q586">
        <f>VLOOKUP($J586,'[1]Table S6'!$A:$AI,8,FALSE)</f>
        <v>0.74079591402426104</v>
      </c>
      <c r="R586">
        <f>VLOOKUP($J586,'[1]Table S6'!$A:$AI,9,FALSE)</f>
        <v>5.3319999999999999</v>
      </c>
      <c r="S586" t="str">
        <f>VLOOKUP($J586,'[1]Table S6'!$A:$AI,10,FALSE)</f>
        <v>No</v>
      </c>
      <c r="U586">
        <f>VLOOKUP($J586,'[1]Table S6'!$A:$AI,12,FALSE)</f>
        <v>354.8</v>
      </c>
      <c r="V586">
        <f>VLOOKUP($J586,'[1]Table S6'!$A:$AI,13,FALSE)</f>
        <v>0.75505426686529098</v>
      </c>
      <c r="W586">
        <f>VLOOKUP($J586,'[1]Table S6'!$A:$AI,14,FALSE)</f>
        <v>6.4240000000000004</v>
      </c>
      <c r="X586" t="str">
        <f>VLOOKUP($J586,'[1]Table S6'!$A:$AI,15,FALSE)</f>
        <v>No</v>
      </c>
      <c r="Z586">
        <f>VLOOKUP($J586,'[1]Table S6'!$A:$AI,17,FALSE)</f>
        <v>378.3</v>
      </c>
      <c r="AA586">
        <f>VLOOKUP($J586,'[1]Table S6'!$A:$AI,18,FALSE)</f>
        <v>0.80506490742711201</v>
      </c>
      <c r="AB586">
        <f>VLOOKUP($J586,'[1]Table S6'!$A:$AI,19,FALSE)</f>
        <v>13.11</v>
      </c>
      <c r="AC586" t="str">
        <f>VLOOKUP($J586,'[1]Table S6'!$A:$AI,20,FALSE)</f>
        <v>No</v>
      </c>
      <c r="AE586">
        <f>VLOOKUP($J586,'[1]Table S6'!$A:$AI,22,FALSE)</f>
        <v>415</v>
      </c>
      <c r="AF586">
        <f>VLOOKUP($J586,'[1]Table S6'!$A:$AI,23,FALSE)</f>
        <v>0.88316663119812699</v>
      </c>
      <c r="AG586">
        <f>VLOOKUP($J586,'[1]Table S6'!$A:$AI,24,FALSE)</f>
        <v>47.84</v>
      </c>
      <c r="AH586" t="str">
        <f>VLOOKUP($J586,'[1]Table S6'!$A:$AI,25,FALSE)</f>
        <v>No</v>
      </c>
      <c r="AJ586">
        <f>VLOOKUP($J586,'[1]Table S6'!$A:$AI,27,FALSE)</f>
        <v>406.7</v>
      </c>
      <c r="AK586">
        <f>VLOOKUP($J586,'[1]Table S6'!$A:$AI,28,FALSE)</f>
        <v>0.86550329857416497</v>
      </c>
      <c r="AL586">
        <f>VLOOKUP($J586,'[1]Table S6'!$A:$AI,29,FALSE)</f>
        <v>33.54</v>
      </c>
      <c r="AM586" t="str">
        <f>VLOOKUP($J586,'[1]Table S6'!$A:$AI,30,FALSE)</f>
        <v>No</v>
      </c>
      <c r="AO586">
        <f>VLOOKUP($J586,'[1]Table S6'!$A:$AI,32,FALSE)</f>
        <v>381.5</v>
      </c>
      <c r="AP586">
        <f>VLOOKUP($J586,'[1]Table S6'!$A:$AI,33,FALSE)</f>
        <v>0.81187486699297695</v>
      </c>
      <c r="AQ586">
        <f>VLOOKUP($J586,'[1]Table S6'!$A:$AI,34,FALSE)</f>
        <v>16.5</v>
      </c>
      <c r="AR586" t="str">
        <f>VLOOKUP($J586,'[1]Table S6'!$A:$AI,35,FALSE)</f>
        <v>No</v>
      </c>
      <c r="AT586" t="e">
        <f>VLOOKUP($I586,'[2]Table S5'!$A:$K,8,FALSE)</f>
        <v>#N/A</v>
      </c>
      <c r="AU586" t="e">
        <f>VLOOKUP($I586,'[2]Table S5'!$A:$K,9,FALSE)</f>
        <v>#N/A</v>
      </c>
      <c r="AV586" t="e">
        <f>VLOOKUP($I586,'[2]Table S5'!$A:$K,10,FALSE)</f>
        <v>#N/A</v>
      </c>
      <c r="AW586" t="e">
        <f>VLOOKUP($I586,'[2]Table S5'!$A:$K,11,FALSE)</f>
        <v>#N/A</v>
      </c>
    </row>
    <row r="587" spans="1:49">
      <c r="A587" s="12" t="s">
        <v>3739</v>
      </c>
      <c r="B587" t="s">
        <v>3740</v>
      </c>
      <c r="C587" t="s">
        <v>3741</v>
      </c>
      <c r="D587" t="s">
        <v>17</v>
      </c>
      <c r="E587" t="s">
        <v>3742</v>
      </c>
      <c r="F587" s="12" t="s">
        <v>3743</v>
      </c>
      <c r="G587" t="s">
        <v>3744</v>
      </c>
      <c r="H587" t="s">
        <v>3745</v>
      </c>
      <c r="I587" t="s">
        <v>3737</v>
      </c>
      <c r="J587" t="s">
        <v>3746</v>
      </c>
      <c r="K587">
        <f>VLOOKUP($J587,'[1]Table S6'!$A:$AI,2,FALSE)</f>
        <v>309.39999999999998</v>
      </c>
      <c r="L587">
        <f>VLOOKUP($J587,'[1]Table S6'!$A:$AI,3,FALSE)</f>
        <v>0.65843796552458</v>
      </c>
      <c r="M587">
        <f>VLOOKUP($J587,'[1]Table S6'!$A:$AI,4,FALSE)</f>
        <v>1.0720000000000001</v>
      </c>
      <c r="N587" t="str">
        <f>VLOOKUP($J587,'[1]Table S6'!$A:$AI,5,FALSE)</f>
        <v>Yes</v>
      </c>
      <c r="P587">
        <f>VLOOKUP($J587,'[1]Table S6'!$A:$AI,7,FALSE)</f>
        <v>329.8</v>
      </c>
      <c r="Q587">
        <f>VLOOKUP($J587,'[1]Table S6'!$A:$AI,8,FALSE)</f>
        <v>0.70185145775697</v>
      </c>
      <c r="R587">
        <f>VLOOKUP($J587,'[1]Table S6'!$A:$AI,9,FALSE)</f>
        <v>2.66</v>
      </c>
      <c r="S587" t="str">
        <f>VLOOKUP($J587,'[1]Table S6'!$A:$AI,10,FALSE)</f>
        <v>No</v>
      </c>
      <c r="U587">
        <f>VLOOKUP($J587,'[1]Table S6'!$A:$AI,12,FALSE)</f>
        <v>316.5</v>
      </c>
      <c r="V587">
        <f>VLOOKUP($J587,'[1]Table S6'!$A:$AI,13,FALSE)</f>
        <v>0.67354756331134302</v>
      </c>
      <c r="W587">
        <f>VLOOKUP($J587,'[1]Table S6'!$A:$AI,14,FALSE)</f>
        <v>1.629</v>
      </c>
      <c r="X587" t="str">
        <f>VLOOKUP($J587,'[1]Table S6'!$A:$AI,15,FALSE)</f>
        <v>Yes</v>
      </c>
      <c r="Z587">
        <f>VLOOKUP($J587,'[1]Table S6'!$A:$AI,17,FALSE)</f>
        <v>326.10000000000002</v>
      </c>
      <c r="AA587">
        <f>VLOOKUP($J587,'[1]Table S6'!$A:$AI,18,FALSE)</f>
        <v>0.69397744200893796</v>
      </c>
      <c r="AB587">
        <f>VLOOKUP($J587,'[1]Table S6'!$A:$AI,19,FALSE)</f>
        <v>2.2799999999999998</v>
      </c>
      <c r="AC587" t="str">
        <f>VLOOKUP($J587,'[1]Table S6'!$A:$AI,20,FALSE)</f>
        <v>Yes</v>
      </c>
      <c r="AE587">
        <f>VLOOKUP($J587,'[1]Table S6'!$A:$AI,22,FALSE)</f>
        <v>397.7</v>
      </c>
      <c r="AF587">
        <f>VLOOKUP($J587,'[1]Table S6'!$A:$AI,23,FALSE)</f>
        <v>0.84635028729516903</v>
      </c>
      <c r="AG587">
        <f>VLOOKUP($J587,'[1]Table S6'!$A:$AI,24,FALSE)</f>
        <v>25.31</v>
      </c>
      <c r="AH587" t="str">
        <f>VLOOKUP($J587,'[1]Table S6'!$A:$AI,25,FALSE)</f>
        <v>No</v>
      </c>
      <c r="AJ587">
        <f>VLOOKUP($J587,'[1]Table S6'!$A:$AI,27,FALSE)</f>
        <v>405.9</v>
      </c>
      <c r="AK587">
        <f>VLOOKUP($J587,'[1]Table S6'!$A:$AI,28,FALSE)</f>
        <v>0.86380080868269804</v>
      </c>
      <c r="AL587">
        <f>VLOOKUP($J587,'[1]Table S6'!$A:$AI,29,FALSE)</f>
        <v>31.11</v>
      </c>
      <c r="AM587" t="str">
        <f>VLOOKUP($J587,'[1]Table S6'!$A:$AI,30,FALSE)</f>
        <v>No</v>
      </c>
      <c r="AO587">
        <f>VLOOKUP($J587,'[1]Table S6'!$A:$AI,32,FALSE)</f>
        <v>361.7</v>
      </c>
      <c r="AP587">
        <f>VLOOKUP($J587,'[1]Table S6'!$A:$AI,33,FALSE)</f>
        <v>0.76973824217918696</v>
      </c>
      <c r="AQ587">
        <f>VLOOKUP($J587,'[1]Table S6'!$A:$AI,34,FALSE)</f>
        <v>7.8449999999999998</v>
      </c>
      <c r="AR587" t="str">
        <f>VLOOKUP($J587,'[1]Table S6'!$A:$AI,35,FALSE)</f>
        <v>No</v>
      </c>
      <c r="AT587" t="e">
        <f>VLOOKUP($I587,'[2]Table S5'!$A:$K,8,FALSE)</f>
        <v>#N/A</v>
      </c>
      <c r="AU587" t="e">
        <f>VLOOKUP($I587,'[2]Table S5'!$A:$K,9,FALSE)</f>
        <v>#N/A</v>
      </c>
      <c r="AV587" t="e">
        <f>VLOOKUP($I587,'[2]Table S5'!$A:$K,10,FALSE)</f>
        <v>#N/A</v>
      </c>
      <c r="AW587" t="e">
        <f>VLOOKUP($I587,'[2]Table S5'!$A:$K,11,FALSE)</f>
        <v>#N/A</v>
      </c>
    </row>
    <row r="588" spans="1:49">
      <c r="A588" s="12" t="s">
        <v>3747</v>
      </c>
      <c r="B588" t="s">
        <v>3748</v>
      </c>
      <c r="C588" t="s">
        <v>3749</v>
      </c>
      <c r="D588" t="s">
        <v>17</v>
      </c>
      <c r="E588" t="s">
        <v>3750</v>
      </c>
      <c r="F588" s="12" t="s">
        <v>3751</v>
      </c>
      <c r="G588" t="s">
        <v>3752</v>
      </c>
      <c r="H588" t="s">
        <v>3753</v>
      </c>
      <c r="I588" t="s">
        <v>3737</v>
      </c>
      <c r="J588" t="s">
        <v>3754</v>
      </c>
      <c r="K588">
        <f>VLOOKUP($J588,'[1]Table S6'!$A:$AI,2,FALSE)</f>
        <v>314.10000000000002</v>
      </c>
      <c r="L588">
        <f>VLOOKUP($J588,'[1]Table S6'!$A:$AI,3,FALSE)</f>
        <v>0.66844009363694401</v>
      </c>
      <c r="M588">
        <f>VLOOKUP($J588,'[1]Table S6'!$A:$AI,4,FALSE)</f>
        <v>1.1819999999999999</v>
      </c>
      <c r="N588" t="str">
        <f>VLOOKUP($J588,'[1]Table S6'!$A:$AI,5,FALSE)</f>
        <v>Yes</v>
      </c>
      <c r="P588">
        <f>VLOOKUP($J588,'[1]Table S6'!$A:$AI,7,FALSE)</f>
        <v>338.2</v>
      </c>
      <c r="Q588">
        <f>VLOOKUP($J588,'[1]Table S6'!$A:$AI,8,FALSE)</f>
        <v>0.71972760161736504</v>
      </c>
      <c r="R588">
        <f>VLOOKUP($J588,'[1]Table S6'!$A:$AI,9,FALSE)</f>
        <v>3.57</v>
      </c>
      <c r="S588" t="str">
        <f>VLOOKUP($J588,'[1]Table S6'!$A:$AI,10,FALSE)</f>
        <v>No</v>
      </c>
      <c r="U588">
        <f>VLOOKUP($J588,'[1]Table S6'!$A:$AI,12,FALSE)</f>
        <v>308.7</v>
      </c>
      <c r="V588">
        <f>VLOOKUP($J588,'[1]Table S6'!$A:$AI,13,FALSE)</f>
        <v>0.65694828686954698</v>
      </c>
      <c r="W588">
        <f>VLOOKUP($J588,'[1]Table S6'!$A:$AI,14,FALSE)</f>
        <v>1.1100000000000001</v>
      </c>
      <c r="X588" t="str">
        <f>VLOOKUP($J588,'[1]Table S6'!$A:$AI,15,FALSE)</f>
        <v>Yes</v>
      </c>
      <c r="Z588">
        <f>VLOOKUP($J588,'[1]Table S6'!$A:$AI,17,FALSE)</f>
        <v>344.7</v>
      </c>
      <c r="AA588">
        <f>VLOOKUP($J588,'[1]Table S6'!$A:$AI,18,FALSE)</f>
        <v>0.73356033198552895</v>
      </c>
      <c r="AB588">
        <f>VLOOKUP($J588,'[1]Table S6'!$A:$AI,19,FALSE)</f>
        <v>4.5419999999999998</v>
      </c>
      <c r="AC588" t="str">
        <f>VLOOKUP($J588,'[1]Table S6'!$A:$AI,20,FALSE)</f>
        <v>No</v>
      </c>
      <c r="AE588">
        <f>VLOOKUP($J588,'[1]Table S6'!$A:$AI,22,FALSE)</f>
        <v>399.8</v>
      </c>
      <c r="AF588">
        <f>VLOOKUP($J588,'[1]Table S6'!$A:$AI,23,FALSE)</f>
        <v>0.85081932326026799</v>
      </c>
      <c r="AG588">
        <f>VLOOKUP($J588,'[1]Table S6'!$A:$AI,24,FALSE)</f>
        <v>28.96</v>
      </c>
      <c r="AH588" t="str">
        <f>VLOOKUP($J588,'[1]Table S6'!$A:$AI,25,FALSE)</f>
        <v>No</v>
      </c>
      <c r="AJ588">
        <f>VLOOKUP($J588,'[1]Table S6'!$A:$AI,27,FALSE)</f>
        <v>387.7</v>
      </c>
      <c r="AK588">
        <f>VLOOKUP($J588,'[1]Table S6'!$A:$AI,28,FALSE)</f>
        <v>0.82506916365184102</v>
      </c>
      <c r="AL588">
        <f>VLOOKUP($J588,'[1]Table S6'!$A:$AI,29,FALSE)</f>
        <v>15.58</v>
      </c>
      <c r="AM588" t="str">
        <f>VLOOKUP($J588,'[1]Table S6'!$A:$AI,30,FALSE)</f>
        <v>No</v>
      </c>
      <c r="AO588">
        <f>VLOOKUP($J588,'[1]Table S6'!$A:$AI,32,FALSE)</f>
        <v>408.4</v>
      </c>
      <c r="AP588">
        <f>VLOOKUP($J588,'[1]Table S6'!$A:$AI,33,FALSE)</f>
        <v>0.86912108959353096</v>
      </c>
      <c r="AQ588">
        <f>VLOOKUP($J588,'[1]Table S6'!$A:$AI,34,FALSE)</f>
        <v>38.42</v>
      </c>
      <c r="AR588" t="str">
        <f>VLOOKUP($J588,'[1]Table S6'!$A:$AI,35,FALSE)</f>
        <v>No</v>
      </c>
      <c r="AT588" t="e">
        <f>VLOOKUP($I588,'[2]Table S5'!$A:$K,8,FALSE)</f>
        <v>#N/A</v>
      </c>
      <c r="AU588" t="e">
        <f>VLOOKUP($I588,'[2]Table S5'!$A:$K,9,FALSE)</f>
        <v>#N/A</v>
      </c>
      <c r="AV588" t="e">
        <f>VLOOKUP($I588,'[2]Table S5'!$A:$K,10,FALSE)</f>
        <v>#N/A</v>
      </c>
      <c r="AW588" t="e">
        <f>VLOOKUP($I588,'[2]Table S5'!$A:$K,11,FALSE)</f>
        <v>#N/A</v>
      </c>
    </row>
    <row r="589" spans="1:49">
      <c r="A589" s="12" t="s">
        <v>3755</v>
      </c>
      <c r="B589" t="s">
        <v>3756</v>
      </c>
      <c r="C589" t="s">
        <v>3757</v>
      </c>
      <c r="D589" t="s">
        <v>17</v>
      </c>
      <c r="E589" t="s">
        <v>3758</v>
      </c>
      <c r="F589" s="12" t="s">
        <v>3759</v>
      </c>
      <c r="G589" t="s">
        <v>3760</v>
      </c>
      <c r="H589" t="s">
        <v>3761</v>
      </c>
      <c r="I589" t="s">
        <v>1711</v>
      </c>
      <c r="J589" t="s">
        <v>1712</v>
      </c>
      <c r="K589">
        <f>VLOOKUP($J589,'[1]Table S6'!$A:$AI,2,FALSE)</f>
        <v>379.3</v>
      </c>
      <c r="L589">
        <f>VLOOKUP($J589,'[1]Table S6'!$A:$AI,3,FALSE)</f>
        <v>0.80719301979144498</v>
      </c>
      <c r="M589">
        <f>VLOOKUP($J589,'[1]Table S6'!$A:$AI,4,FALSE)</f>
        <v>13.15</v>
      </c>
      <c r="N589" t="str">
        <f>VLOOKUP($J589,'[1]Table S6'!$A:$AI,5,FALSE)</f>
        <v>No</v>
      </c>
      <c r="P589">
        <f>VLOOKUP($J589,'[1]Table S6'!$A:$AI,7,FALSE)</f>
        <v>400.4</v>
      </c>
      <c r="Q589">
        <f>VLOOKUP($J589,'[1]Table S6'!$A:$AI,8,FALSE)</f>
        <v>0.85209619067886799</v>
      </c>
      <c r="R589">
        <f>VLOOKUP($J589,'[1]Table S6'!$A:$AI,9,FALSE)</f>
        <v>28.42</v>
      </c>
      <c r="S589" t="str">
        <f>VLOOKUP($J589,'[1]Table S6'!$A:$AI,10,FALSE)</f>
        <v>No</v>
      </c>
      <c r="U589">
        <f>VLOOKUP($J589,'[1]Table S6'!$A:$AI,12,FALSE)</f>
        <v>408.9</v>
      </c>
      <c r="V589">
        <f>VLOOKUP($J589,'[1]Table S6'!$A:$AI,13,FALSE)</f>
        <v>0.87018514577569706</v>
      </c>
      <c r="W589">
        <f>VLOOKUP($J589,'[1]Table S6'!$A:$AI,14,FALSE)</f>
        <v>33.5</v>
      </c>
      <c r="X589" t="str">
        <f>VLOOKUP($J589,'[1]Table S6'!$A:$AI,15,FALSE)</f>
        <v>No</v>
      </c>
      <c r="Z589">
        <f>VLOOKUP($J589,'[1]Table S6'!$A:$AI,17,FALSE)</f>
        <v>376.9</v>
      </c>
      <c r="AA589">
        <f>VLOOKUP($J589,'[1]Table S6'!$A:$AI,18,FALSE)</f>
        <v>0.80208555011704596</v>
      </c>
      <c r="AB589">
        <f>VLOOKUP($J589,'[1]Table S6'!$A:$AI,19,FALSE)</f>
        <v>12.58</v>
      </c>
      <c r="AC589" t="str">
        <f>VLOOKUP($J589,'[1]Table S6'!$A:$AI,20,FALSE)</f>
        <v>No</v>
      </c>
      <c r="AE589">
        <f>VLOOKUP($J589,'[1]Table S6'!$A:$AI,22,FALSE)</f>
        <v>388.6</v>
      </c>
      <c r="AF589">
        <f>VLOOKUP($J589,'[1]Table S6'!$A:$AI,23,FALSE)</f>
        <v>0.82698446477973997</v>
      </c>
      <c r="AG589">
        <f>VLOOKUP($J589,'[1]Table S6'!$A:$AI,24,FALSE)</f>
        <v>18.55</v>
      </c>
      <c r="AH589" t="str">
        <f>VLOOKUP($J589,'[1]Table S6'!$A:$AI,25,FALSE)</f>
        <v>No</v>
      </c>
      <c r="AJ589">
        <f>VLOOKUP($J589,'[1]Table S6'!$A:$AI,27,FALSE)</f>
        <v>392.5</v>
      </c>
      <c r="AK589">
        <f>VLOOKUP($J589,'[1]Table S6'!$A:$AI,28,FALSE)</f>
        <v>0.83528410300063805</v>
      </c>
      <c r="AL589">
        <f>VLOOKUP($J589,'[1]Table S6'!$A:$AI,29,FALSE)</f>
        <v>21.55</v>
      </c>
      <c r="AM589" t="str">
        <f>VLOOKUP($J589,'[1]Table S6'!$A:$AI,30,FALSE)</f>
        <v>No</v>
      </c>
      <c r="AO589">
        <f>VLOOKUP($J589,'[1]Table S6'!$A:$AI,32,FALSE)</f>
        <v>399.2</v>
      </c>
      <c r="AP589">
        <f>VLOOKUP($J589,'[1]Table S6'!$A:$AI,33,FALSE)</f>
        <v>0.84954245584166799</v>
      </c>
      <c r="AQ589">
        <f>VLOOKUP($J589,'[1]Table S6'!$A:$AI,34,FALSE)</f>
        <v>33.76</v>
      </c>
      <c r="AR589" t="str">
        <f>VLOOKUP($J589,'[1]Table S6'!$A:$AI,35,FALSE)</f>
        <v>No</v>
      </c>
      <c r="AT589" t="e">
        <f>VLOOKUP($I589,'[2]Table S5'!$A:$K,8,FALSE)</f>
        <v>#N/A</v>
      </c>
      <c r="AU589" t="e">
        <f>VLOOKUP($I589,'[2]Table S5'!$A:$K,9,FALSE)</f>
        <v>#N/A</v>
      </c>
      <c r="AV589" t="e">
        <f>VLOOKUP($I589,'[2]Table S5'!$A:$K,10,FALSE)</f>
        <v>#N/A</v>
      </c>
      <c r="AW589" t="e">
        <f>VLOOKUP($I589,'[2]Table S5'!$A:$K,11,FALSE)</f>
        <v>#N/A</v>
      </c>
    </row>
    <row r="590" spans="1:49">
      <c r="A590" s="12" t="s">
        <v>3762</v>
      </c>
      <c r="B590" t="s">
        <v>3763</v>
      </c>
      <c r="C590" t="s">
        <v>3764</v>
      </c>
      <c r="D590" t="s">
        <v>17</v>
      </c>
      <c r="E590" t="s">
        <v>3765</v>
      </c>
      <c r="F590" s="12" t="s">
        <v>3766</v>
      </c>
      <c r="G590" t="s">
        <v>3767</v>
      </c>
      <c r="H590" t="s">
        <v>3768</v>
      </c>
      <c r="I590" t="s">
        <v>1711</v>
      </c>
      <c r="J590" t="s">
        <v>3769</v>
      </c>
      <c r="K590">
        <f>VLOOKUP($J590,'[1]Table S6'!$A:$AI,2,FALSE)</f>
        <v>400.1</v>
      </c>
      <c r="L590">
        <f>VLOOKUP($J590,'[1]Table S6'!$A:$AI,3,FALSE)</f>
        <v>0.85145775696956805</v>
      </c>
      <c r="M590">
        <f>VLOOKUP($J590,'[1]Table S6'!$A:$AI,4,FALSE)</f>
        <v>36.54</v>
      </c>
      <c r="N590" t="str">
        <f>VLOOKUP($J590,'[1]Table S6'!$A:$AI,5,FALSE)</f>
        <v>No</v>
      </c>
      <c r="P590">
        <f>VLOOKUP($J590,'[1]Table S6'!$A:$AI,7,FALSE)</f>
        <v>326</v>
      </c>
      <c r="Q590">
        <f>VLOOKUP($J590,'[1]Table S6'!$A:$AI,8,FALSE)</f>
        <v>0.69376463077250505</v>
      </c>
      <c r="R590">
        <f>VLOOKUP($J590,'[1]Table S6'!$A:$AI,9,FALSE)</f>
        <v>2.3290000000000002</v>
      </c>
      <c r="S590" t="str">
        <f>VLOOKUP($J590,'[1]Table S6'!$A:$AI,10,FALSE)</f>
        <v>Yes</v>
      </c>
      <c r="U590">
        <f>VLOOKUP($J590,'[1]Table S6'!$A:$AI,12,FALSE)</f>
        <v>317.39999999999998</v>
      </c>
      <c r="V590">
        <f>VLOOKUP($J590,'[1]Table S6'!$A:$AI,13,FALSE)</f>
        <v>0.67546286443924197</v>
      </c>
      <c r="W590">
        <f>VLOOKUP($J590,'[1]Table S6'!$A:$AI,14,FALSE)</f>
        <v>1.839</v>
      </c>
      <c r="X590" t="str">
        <f>VLOOKUP($J590,'[1]Table S6'!$A:$AI,15,FALSE)</f>
        <v>Yes</v>
      </c>
      <c r="Z590">
        <f>VLOOKUP($J590,'[1]Table S6'!$A:$AI,17,FALSE)</f>
        <v>358.3</v>
      </c>
      <c r="AA590">
        <f>VLOOKUP($J590,'[1]Table S6'!$A:$AI,18,FALSE)</f>
        <v>0.76250266014045498</v>
      </c>
      <c r="AB590">
        <f>VLOOKUP($J590,'[1]Table S6'!$A:$AI,19,FALSE)</f>
        <v>6.5090000000000003</v>
      </c>
      <c r="AC590" t="str">
        <f>VLOOKUP($J590,'[1]Table S6'!$A:$AI,20,FALSE)</f>
        <v>No</v>
      </c>
      <c r="AE590">
        <f>VLOOKUP($J590,'[1]Table S6'!$A:$AI,22,FALSE)</f>
        <v>348.4</v>
      </c>
      <c r="AF590">
        <f>VLOOKUP($J590,'[1]Table S6'!$A:$AI,23,FALSE)</f>
        <v>0.74143434773355998</v>
      </c>
      <c r="AG590">
        <f>VLOOKUP($J590,'[1]Table S6'!$A:$AI,24,FALSE)</f>
        <v>4.57</v>
      </c>
      <c r="AH590" t="str">
        <f>VLOOKUP($J590,'[1]Table S6'!$A:$AI,25,FALSE)</f>
        <v>No</v>
      </c>
      <c r="AJ590">
        <f>VLOOKUP($J590,'[1]Table S6'!$A:$AI,27,FALSE)</f>
        <v>335.8</v>
      </c>
      <c r="AK590">
        <f>VLOOKUP($J590,'[1]Table S6'!$A:$AI,28,FALSE)</f>
        <v>0.71462013194296703</v>
      </c>
      <c r="AL590">
        <f>VLOOKUP($J590,'[1]Table S6'!$A:$AI,29,FALSE)</f>
        <v>3.3319999999999999</v>
      </c>
      <c r="AM590" t="str">
        <f>VLOOKUP($J590,'[1]Table S6'!$A:$AI,30,FALSE)</f>
        <v>No</v>
      </c>
      <c r="AO590">
        <f>VLOOKUP($J590,'[1]Table S6'!$A:$AI,32,FALSE)</f>
        <v>412.4</v>
      </c>
      <c r="AP590">
        <f>VLOOKUP($J590,'[1]Table S6'!$A:$AI,33,FALSE)</f>
        <v>0.87763353905086205</v>
      </c>
      <c r="AQ590">
        <f>VLOOKUP($J590,'[1]Table S6'!$A:$AI,34,FALSE)</f>
        <v>40.11</v>
      </c>
      <c r="AR590" t="str">
        <f>VLOOKUP($J590,'[1]Table S6'!$A:$AI,35,FALSE)</f>
        <v>No</v>
      </c>
      <c r="AT590" t="e">
        <f>VLOOKUP($I590,'[2]Table S5'!$A:$K,8,FALSE)</f>
        <v>#N/A</v>
      </c>
      <c r="AU590" t="e">
        <f>VLOOKUP($I590,'[2]Table S5'!$A:$K,9,FALSE)</f>
        <v>#N/A</v>
      </c>
      <c r="AV590" t="e">
        <f>VLOOKUP($I590,'[2]Table S5'!$A:$K,10,FALSE)</f>
        <v>#N/A</v>
      </c>
      <c r="AW590" t="e">
        <f>VLOOKUP($I590,'[2]Table S5'!$A:$K,11,FALSE)</f>
        <v>#N/A</v>
      </c>
    </row>
    <row r="591" spans="1:49">
      <c r="A591" s="12" t="s">
        <v>3770</v>
      </c>
      <c r="B591" t="s">
        <v>3771</v>
      </c>
      <c r="C591" t="s">
        <v>3772</v>
      </c>
      <c r="D591" t="s">
        <v>17</v>
      </c>
      <c r="E591" t="s">
        <v>3773</v>
      </c>
      <c r="F591" s="12" t="s">
        <v>3774</v>
      </c>
      <c r="G591" t="s">
        <v>3775</v>
      </c>
      <c r="H591" t="s">
        <v>3776</v>
      </c>
      <c r="I591" t="s">
        <v>1711</v>
      </c>
      <c r="J591" t="s">
        <v>3777</v>
      </c>
      <c r="K591">
        <f>VLOOKUP($J591,'[1]Table S6'!$A:$AI,2,FALSE)</f>
        <v>390</v>
      </c>
      <c r="L591">
        <f>VLOOKUP($J591,'[1]Table S6'!$A:$AI,3,FALSE)</f>
        <v>0.82996382208980601</v>
      </c>
      <c r="M591">
        <f>VLOOKUP($J591,'[1]Table S6'!$A:$AI,4,FALSE)</f>
        <v>17.14</v>
      </c>
      <c r="N591" t="str">
        <f>VLOOKUP($J591,'[1]Table S6'!$A:$AI,5,FALSE)</f>
        <v>No</v>
      </c>
      <c r="P591">
        <f>VLOOKUP($J591,'[1]Table S6'!$A:$AI,7,FALSE)</f>
        <v>343</v>
      </c>
      <c r="Q591">
        <f>VLOOKUP($J591,'[1]Table S6'!$A:$AI,8,FALSE)</f>
        <v>0.72994254096616296</v>
      </c>
      <c r="R591">
        <f>VLOOKUP($J591,'[1]Table S6'!$A:$AI,9,FALSE)</f>
        <v>4.25</v>
      </c>
      <c r="S591" t="str">
        <f>VLOOKUP($J591,'[1]Table S6'!$A:$AI,10,FALSE)</f>
        <v>No</v>
      </c>
      <c r="U591">
        <f>VLOOKUP($J591,'[1]Table S6'!$A:$AI,12,FALSE)</f>
        <v>372.3</v>
      </c>
      <c r="V591">
        <f>VLOOKUP($J591,'[1]Table S6'!$A:$AI,13,FALSE)</f>
        <v>0.79229623324111498</v>
      </c>
      <c r="W591">
        <f>VLOOKUP($J591,'[1]Table S6'!$A:$AI,14,FALSE)</f>
        <v>10.3</v>
      </c>
      <c r="X591" t="str">
        <f>VLOOKUP($J591,'[1]Table S6'!$A:$AI,15,FALSE)</f>
        <v>No</v>
      </c>
      <c r="Z591">
        <f>VLOOKUP($J591,'[1]Table S6'!$A:$AI,17,FALSE)</f>
        <v>359</v>
      </c>
      <c r="AA591">
        <f>VLOOKUP($J591,'[1]Table S6'!$A:$AI,18,FALSE)</f>
        <v>0.763992338795488</v>
      </c>
      <c r="AB591">
        <f>VLOOKUP($J591,'[1]Table S6'!$A:$AI,19,FALSE)</f>
        <v>6.7709999999999999</v>
      </c>
      <c r="AC591" t="str">
        <f>VLOOKUP($J591,'[1]Table S6'!$A:$AI,20,FALSE)</f>
        <v>No</v>
      </c>
      <c r="AE591">
        <f>VLOOKUP($J591,'[1]Table S6'!$A:$AI,22,FALSE)</f>
        <v>414.5</v>
      </c>
      <c r="AF591">
        <f>VLOOKUP($J591,'[1]Table S6'!$A:$AI,23,FALSE)</f>
        <v>0.88210257501596101</v>
      </c>
      <c r="AG591">
        <f>VLOOKUP($J591,'[1]Table S6'!$A:$AI,24,FALSE)</f>
        <v>57.1</v>
      </c>
      <c r="AH591" t="str">
        <f>VLOOKUP($J591,'[1]Table S6'!$A:$AI,25,FALSE)</f>
        <v>No</v>
      </c>
      <c r="AJ591">
        <f>VLOOKUP($J591,'[1]Table S6'!$A:$AI,27,FALSE)</f>
        <v>390</v>
      </c>
      <c r="AK591">
        <f>VLOOKUP($J591,'[1]Table S6'!$A:$AI,28,FALSE)</f>
        <v>0.82996382208980601</v>
      </c>
      <c r="AL591">
        <f>VLOOKUP($J591,'[1]Table S6'!$A:$AI,29,FALSE)</f>
        <v>19.41</v>
      </c>
      <c r="AM591" t="str">
        <f>VLOOKUP($J591,'[1]Table S6'!$A:$AI,30,FALSE)</f>
        <v>No</v>
      </c>
      <c r="AO591">
        <f>VLOOKUP($J591,'[1]Table S6'!$A:$AI,32,FALSE)</f>
        <v>399.6</v>
      </c>
      <c r="AP591">
        <f>VLOOKUP($J591,'[1]Table S6'!$A:$AI,33,FALSE)</f>
        <v>0.85039370078740195</v>
      </c>
      <c r="AQ591">
        <f>VLOOKUP($J591,'[1]Table S6'!$A:$AI,34,FALSE)</f>
        <v>26.66</v>
      </c>
      <c r="AR591" t="str">
        <f>VLOOKUP($J591,'[1]Table S6'!$A:$AI,35,FALSE)</f>
        <v>No</v>
      </c>
      <c r="AT591" t="e">
        <f>VLOOKUP($I591,'[2]Table S5'!$A:$K,8,FALSE)</f>
        <v>#N/A</v>
      </c>
      <c r="AU591" t="e">
        <f>VLOOKUP($I591,'[2]Table S5'!$A:$K,9,FALSE)</f>
        <v>#N/A</v>
      </c>
      <c r="AV591" t="e">
        <f>VLOOKUP($I591,'[2]Table S5'!$A:$K,10,FALSE)</f>
        <v>#N/A</v>
      </c>
      <c r="AW591" t="e">
        <f>VLOOKUP($I591,'[2]Table S5'!$A:$K,11,FALSE)</f>
        <v>#N/A</v>
      </c>
    </row>
    <row r="592" spans="1:49">
      <c r="A592" s="12" t="s">
        <v>3778</v>
      </c>
      <c r="B592" t="s">
        <v>3779</v>
      </c>
      <c r="C592" t="s">
        <v>3780</v>
      </c>
      <c r="D592" t="s">
        <v>17</v>
      </c>
      <c r="E592" t="s">
        <v>1707</v>
      </c>
      <c r="F592" s="12" t="s">
        <v>1708</v>
      </c>
      <c r="G592" t="s">
        <v>1709</v>
      </c>
      <c r="H592" t="s">
        <v>1710</v>
      </c>
      <c r="I592" t="s">
        <v>1711</v>
      </c>
      <c r="J592" t="s">
        <v>1712</v>
      </c>
      <c r="K592">
        <f>VLOOKUP($J592,'[1]Table S6'!$A:$AI,2,FALSE)</f>
        <v>379.3</v>
      </c>
      <c r="L592">
        <f>VLOOKUP($J592,'[1]Table S6'!$A:$AI,3,FALSE)</f>
        <v>0.80719301979144498</v>
      </c>
      <c r="M592">
        <f>VLOOKUP($J592,'[1]Table S6'!$A:$AI,4,FALSE)</f>
        <v>13.15</v>
      </c>
      <c r="N592" t="str">
        <f>VLOOKUP($J592,'[1]Table S6'!$A:$AI,5,FALSE)</f>
        <v>No</v>
      </c>
      <c r="P592">
        <f>VLOOKUP($J592,'[1]Table S6'!$A:$AI,7,FALSE)</f>
        <v>400.4</v>
      </c>
      <c r="Q592">
        <f>VLOOKUP($J592,'[1]Table S6'!$A:$AI,8,FALSE)</f>
        <v>0.85209619067886799</v>
      </c>
      <c r="R592">
        <f>VLOOKUP($J592,'[1]Table S6'!$A:$AI,9,FALSE)</f>
        <v>28.42</v>
      </c>
      <c r="S592" t="str">
        <f>VLOOKUP($J592,'[1]Table S6'!$A:$AI,10,FALSE)</f>
        <v>No</v>
      </c>
      <c r="U592">
        <f>VLOOKUP($J592,'[1]Table S6'!$A:$AI,12,FALSE)</f>
        <v>408.9</v>
      </c>
      <c r="V592">
        <f>VLOOKUP($J592,'[1]Table S6'!$A:$AI,13,FALSE)</f>
        <v>0.87018514577569706</v>
      </c>
      <c r="W592">
        <f>VLOOKUP($J592,'[1]Table S6'!$A:$AI,14,FALSE)</f>
        <v>33.5</v>
      </c>
      <c r="X592" t="str">
        <f>VLOOKUP($J592,'[1]Table S6'!$A:$AI,15,FALSE)</f>
        <v>No</v>
      </c>
      <c r="Z592">
        <f>VLOOKUP($J592,'[1]Table S6'!$A:$AI,17,FALSE)</f>
        <v>376.9</v>
      </c>
      <c r="AA592">
        <f>VLOOKUP($J592,'[1]Table S6'!$A:$AI,18,FALSE)</f>
        <v>0.80208555011704596</v>
      </c>
      <c r="AB592">
        <f>VLOOKUP($J592,'[1]Table S6'!$A:$AI,19,FALSE)</f>
        <v>12.58</v>
      </c>
      <c r="AC592" t="str">
        <f>VLOOKUP($J592,'[1]Table S6'!$A:$AI,20,FALSE)</f>
        <v>No</v>
      </c>
      <c r="AE592">
        <f>VLOOKUP($J592,'[1]Table S6'!$A:$AI,22,FALSE)</f>
        <v>388.6</v>
      </c>
      <c r="AF592">
        <f>VLOOKUP($J592,'[1]Table S6'!$A:$AI,23,FALSE)</f>
        <v>0.82698446477973997</v>
      </c>
      <c r="AG592">
        <f>VLOOKUP($J592,'[1]Table S6'!$A:$AI,24,FALSE)</f>
        <v>18.55</v>
      </c>
      <c r="AH592" t="str">
        <f>VLOOKUP($J592,'[1]Table S6'!$A:$AI,25,FALSE)</f>
        <v>No</v>
      </c>
      <c r="AJ592">
        <f>VLOOKUP($J592,'[1]Table S6'!$A:$AI,27,FALSE)</f>
        <v>392.5</v>
      </c>
      <c r="AK592">
        <f>VLOOKUP($J592,'[1]Table S6'!$A:$AI,28,FALSE)</f>
        <v>0.83528410300063805</v>
      </c>
      <c r="AL592">
        <f>VLOOKUP($J592,'[1]Table S6'!$A:$AI,29,FALSE)</f>
        <v>21.55</v>
      </c>
      <c r="AM592" t="str">
        <f>VLOOKUP($J592,'[1]Table S6'!$A:$AI,30,FALSE)</f>
        <v>No</v>
      </c>
      <c r="AO592">
        <f>VLOOKUP($J592,'[1]Table S6'!$A:$AI,32,FALSE)</f>
        <v>399.2</v>
      </c>
      <c r="AP592">
        <f>VLOOKUP($J592,'[1]Table S6'!$A:$AI,33,FALSE)</f>
        <v>0.84954245584166799</v>
      </c>
      <c r="AQ592">
        <f>VLOOKUP($J592,'[1]Table S6'!$A:$AI,34,FALSE)</f>
        <v>33.76</v>
      </c>
      <c r="AR592" t="str">
        <f>VLOOKUP($J592,'[1]Table S6'!$A:$AI,35,FALSE)</f>
        <v>No</v>
      </c>
      <c r="AT592" t="e">
        <f>VLOOKUP($I592,'[2]Table S5'!$A:$K,8,FALSE)</f>
        <v>#N/A</v>
      </c>
      <c r="AU592" t="e">
        <f>VLOOKUP($I592,'[2]Table S5'!$A:$K,9,FALSE)</f>
        <v>#N/A</v>
      </c>
      <c r="AV592" t="e">
        <f>VLOOKUP($I592,'[2]Table S5'!$A:$K,10,FALSE)</f>
        <v>#N/A</v>
      </c>
      <c r="AW592" t="e">
        <f>VLOOKUP($I592,'[2]Table S5'!$A:$K,11,FALSE)</f>
        <v>#N/A</v>
      </c>
    </row>
    <row r="593" spans="1:49">
      <c r="A593" s="12" t="s">
        <v>3781</v>
      </c>
      <c r="B593" t="s">
        <v>3782</v>
      </c>
      <c r="C593" t="s">
        <v>3783</v>
      </c>
      <c r="D593" t="s">
        <v>17</v>
      </c>
      <c r="E593" t="s">
        <v>1716</v>
      </c>
      <c r="F593" s="12" t="s">
        <v>1717</v>
      </c>
      <c r="G593" t="s">
        <v>1718</v>
      </c>
      <c r="H593" t="s">
        <v>1719</v>
      </c>
      <c r="I593" t="s">
        <v>1711</v>
      </c>
      <c r="J593" t="s">
        <v>1712</v>
      </c>
      <c r="K593">
        <f>VLOOKUP($J593,'[1]Table S6'!$A:$AI,2,FALSE)</f>
        <v>379.3</v>
      </c>
      <c r="L593">
        <f>VLOOKUP($J593,'[1]Table S6'!$A:$AI,3,FALSE)</f>
        <v>0.80719301979144498</v>
      </c>
      <c r="M593">
        <f>VLOOKUP($J593,'[1]Table S6'!$A:$AI,4,FALSE)</f>
        <v>13.15</v>
      </c>
      <c r="N593" t="str">
        <f>VLOOKUP($J593,'[1]Table S6'!$A:$AI,5,FALSE)</f>
        <v>No</v>
      </c>
      <c r="P593">
        <f>VLOOKUP($J593,'[1]Table S6'!$A:$AI,7,FALSE)</f>
        <v>400.4</v>
      </c>
      <c r="Q593">
        <f>VLOOKUP($J593,'[1]Table S6'!$A:$AI,8,FALSE)</f>
        <v>0.85209619067886799</v>
      </c>
      <c r="R593">
        <f>VLOOKUP($J593,'[1]Table S6'!$A:$AI,9,FALSE)</f>
        <v>28.42</v>
      </c>
      <c r="S593" t="str">
        <f>VLOOKUP($J593,'[1]Table S6'!$A:$AI,10,FALSE)</f>
        <v>No</v>
      </c>
      <c r="U593">
        <f>VLOOKUP($J593,'[1]Table S6'!$A:$AI,12,FALSE)</f>
        <v>408.9</v>
      </c>
      <c r="V593">
        <f>VLOOKUP($J593,'[1]Table S6'!$A:$AI,13,FALSE)</f>
        <v>0.87018514577569706</v>
      </c>
      <c r="W593">
        <f>VLOOKUP($J593,'[1]Table S6'!$A:$AI,14,FALSE)</f>
        <v>33.5</v>
      </c>
      <c r="X593" t="str">
        <f>VLOOKUP($J593,'[1]Table S6'!$A:$AI,15,FALSE)</f>
        <v>No</v>
      </c>
      <c r="Z593">
        <f>VLOOKUP($J593,'[1]Table S6'!$A:$AI,17,FALSE)</f>
        <v>376.9</v>
      </c>
      <c r="AA593">
        <f>VLOOKUP($J593,'[1]Table S6'!$A:$AI,18,FALSE)</f>
        <v>0.80208555011704596</v>
      </c>
      <c r="AB593">
        <f>VLOOKUP($J593,'[1]Table S6'!$A:$AI,19,FALSE)</f>
        <v>12.58</v>
      </c>
      <c r="AC593" t="str">
        <f>VLOOKUP($J593,'[1]Table S6'!$A:$AI,20,FALSE)</f>
        <v>No</v>
      </c>
      <c r="AE593">
        <f>VLOOKUP($J593,'[1]Table S6'!$A:$AI,22,FALSE)</f>
        <v>388.6</v>
      </c>
      <c r="AF593">
        <f>VLOOKUP($J593,'[1]Table S6'!$A:$AI,23,FALSE)</f>
        <v>0.82698446477973997</v>
      </c>
      <c r="AG593">
        <f>VLOOKUP($J593,'[1]Table S6'!$A:$AI,24,FALSE)</f>
        <v>18.55</v>
      </c>
      <c r="AH593" t="str">
        <f>VLOOKUP($J593,'[1]Table S6'!$A:$AI,25,FALSE)</f>
        <v>No</v>
      </c>
      <c r="AJ593">
        <f>VLOOKUP($J593,'[1]Table S6'!$A:$AI,27,FALSE)</f>
        <v>392.5</v>
      </c>
      <c r="AK593">
        <f>VLOOKUP($J593,'[1]Table S6'!$A:$AI,28,FALSE)</f>
        <v>0.83528410300063805</v>
      </c>
      <c r="AL593">
        <f>VLOOKUP($J593,'[1]Table S6'!$A:$AI,29,FALSE)</f>
        <v>21.55</v>
      </c>
      <c r="AM593" t="str">
        <f>VLOOKUP($J593,'[1]Table S6'!$A:$AI,30,FALSE)</f>
        <v>No</v>
      </c>
      <c r="AO593">
        <f>VLOOKUP($J593,'[1]Table S6'!$A:$AI,32,FALSE)</f>
        <v>399.2</v>
      </c>
      <c r="AP593">
        <f>VLOOKUP($J593,'[1]Table S6'!$A:$AI,33,FALSE)</f>
        <v>0.84954245584166799</v>
      </c>
      <c r="AQ593">
        <f>VLOOKUP($J593,'[1]Table S6'!$A:$AI,34,FALSE)</f>
        <v>33.76</v>
      </c>
      <c r="AR593" t="str">
        <f>VLOOKUP($J593,'[1]Table S6'!$A:$AI,35,FALSE)</f>
        <v>No</v>
      </c>
      <c r="AT593" t="e">
        <f>VLOOKUP($I593,'[2]Table S5'!$A:$K,8,FALSE)</f>
        <v>#N/A</v>
      </c>
      <c r="AU593" t="e">
        <f>VLOOKUP($I593,'[2]Table S5'!$A:$K,9,FALSE)</f>
        <v>#N/A</v>
      </c>
      <c r="AV593" t="e">
        <f>VLOOKUP($I593,'[2]Table S5'!$A:$K,10,FALSE)</f>
        <v>#N/A</v>
      </c>
      <c r="AW593" t="e">
        <f>VLOOKUP($I593,'[2]Table S5'!$A:$K,11,FALSE)</f>
        <v>#N/A</v>
      </c>
    </row>
    <row r="594" spans="1:49">
      <c r="A594" s="12" t="s">
        <v>3784</v>
      </c>
      <c r="B594" t="s">
        <v>3785</v>
      </c>
      <c r="C594" t="s">
        <v>3786</v>
      </c>
      <c r="D594" t="s">
        <v>17</v>
      </c>
      <c r="E594" t="s">
        <v>1723</v>
      </c>
      <c r="F594" s="12" t="s">
        <v>1724</v>
      </c>
      <c r="G594" t="s">
        <v>1725</v>
      </c>
      <c r="H594" t="s">
        <v>1726</v>
      </c>
      <c r="I594" t="s">
        <v>1711</v>
      </c>
      <c r="J594" t="s">
        <v>1712</v>
      </c>
      <c r="K594">
        <f>VLOOKUP($J594,'[1]Table S6'!$A:$AI,2,FALSE)</f>
        <v>379.3</v>
      </c>
      <c r="L594">
        <f>VLOOKUP($J594,'[1]Table S6'!$A:$AI,3,FALSE)</f>
        <v>0.80719301979144498</v>
      </c>
      <c r="M594">
        <f>VLOOKUP($J594,'[1]Table S6'!$A:$AI,4,FALSE)</f>
        <v>13.15</v>
      </c>
      <c r="N594" t="str">
        <f>VLOOKUP($J594,'[1]Table S6'!$A:$AI,5,FALSE)</f>
        <v>No</v>
      </c>
      <c r="P594">
        <f>VLOOKUP($J594,'[1]Table S6'!$A:$AI,7,FALSE)</f>
        <v>400.4</v>
      </c>
      <c r="Q594">
        <f>VLOOKUP($J594,'[1]Table S6'!$A:$AI,8,FALSE)</f>
        <v>0.85209619067886799</v>
      </c>
      <c r="R594">
        <f>VLOOKUP($J594,'[1]Table S6'!$A:$AI,9,FALSE)</f>
        <v>28.42</v>
      </c>
      <c r="S594" t="str">
        <f>VLOOKUP($J594,'[1]Table S6'!$A:$AI,10,FALSE)</f>
        <v>No</v>
      </c>
      <c r="U594">
        <f>VLOOKUP($J594,'[1]Table S6'!$A:$AI,12,FALSE)</f>
        <v>408.9</v>
      </c>
      <c r="V594">
        <f>VLOOKUP($J594,'[1]Table S6'!$A:$AI,13,FALSE)</f>
        <v>0.87018514577569706</v>
      </c>
      <c r="W594">
        <f>VLOOKUP($J594,'[1]Table S6'!$A:$AI,14,FALSE)</f>
        <v>33.5</v>
      </c>
      <c r="X594" t="str">
        <f>VLOOKUP($J594,'[1]Table S6'!$A:$AI,15,FALSE)</f>
        <v>No</v>
      </c>
      <c r="Z594">
        <f>VLOOKUP($J594,'[1]Table S6'!$A:$AI,17,FALSE)</f>
        <v>376.9</v>
      </c>
      <c r="AA594">
        <f>VLOOKUP($J594,'[1]Table S6'!$A:$AI,18,FALSE)</f>
        <v>0.80208555011704596</v>
      </c>
      <c r="AB594">
        <f>VLOOKUP($J594,'[1]Table S6'!$A:$AI,19,FALSE)</f>
        <v>12.58</v>
      </c>
      <c r="AC594" t="str">
        <f>VLOOKUP($J594,'[1]Table S6'!$A:$AI,20,FALSE)</f>
        <v>No</v>
      </c>
      <c r="AE594">
        <f>VLOOKUP($J594,'[1]Table S6'!$A:$AI,22,FALSE)</f>
        <v>388.6</v>
      </c>
      <c r="AF594">
        <f>VLOOKUP($J594,'[1]Table S6'!$A:$AI,23,FALSE)</f>
        <v>0.82698446477973997</v>
      </c>
      <c r="AG594">
        <f>VLOOKUP($J594,'[1]Table S6'!$A:$AI,24,FALSE)</f>
        <v>18.55</v>
      </c>
      <c r="AH594" t="str">
        <f>VLOOKUP($J594,'[1]Table S6'!$A:$AI,25,FALSE)</f>
        <v>No</v>
      </c>
      <c r="AJ594">
        <f>VLOOKUP($J594,'[1]Table S6'!$A:$AI,27,FALSE)</f>
        <v>392.5</v>
      </c>
      <c r="AK594">
        <f>VLOOKUP($J594,'[1]Table S6'!$A:$AI,28,FALSE)</f>
        <v>0.83528410300063805</v>
      </c>
      <c r="AL594">
        <f>VLOOKUP($J594,'[1]Table S6'!$A:$AI,29,FALSE)</f>
        <v>21.55</v>
      </c>
      <c r="AM594" t="str">
        <f>VLOOKUP($J594,'[1]Table S6'!$A:$AI,30,FALSE)</f>
        <v>No</v>
      </c>
      <c r="AO594">
        <f>VLOOKUP($J594,'[1]Table S6'!$A:$AI,32,FALSE)</f>
        <v>399.2</v>
      </c>
      <c r="AP594">
        <f>VLOOKUP($J594,'[1]Table S6'!$A:$AI,33,FALSE)</f>
        <v>0.84954245584166799</v>
      </c>
      <c r="AQ594">
        <f>VLOOKUP($J594,'[1]Table S6'!$A:$AI,34,FALSE)</f>
        <v>33.76</v>
      </c>
      <c r="AR594" t="str">
        <f>VLOOKUP($J594,'[1]Table S6'!$A:$AI,35,FALSE)</f>
        <v>No</v>
      </c>
      <c r="AT594" t="e">
        <f>VLOOKUP($I594,'[2]Table S5'!$A:$K,8,FALSE)</f>
        <v>#N/A</v>
      </c>
      <c r="AU594" t="e">
        <f>VLOOKUP($I594,'[2]Table S5'!$A:$K,9,FALSE)</f>
        <v>#N/A</v>
      </c>
      <c r="AV594" t="e">
        <f>VLOOKUP($I594,'[2]Table S5'!$A:$K,10,FALSE)</f>
        <v>#N/A</v>
      </c>
      <c r="AW594" t="e">
        <f>VLOOKUP($I594,'[2]Table S5'!$A:$K,11,FALSE)</f>
        <v>#N/A</v>
      </c>
    </row>
    <row r="595" spans="1:49">
      <c r="A595" s="12" t="s">
        <v>3787</v>
      </c>
      <c r="B595" t="s">
        <v>3788</v>
      </c>
      <c r="C595" t="s">
        <v>3789</v>
      </c>
      <c r="D595" t="s">
        <v>17</v>
      </c>
      <c r="E595" t="s">
        <v>3790</v>
      </c>
      <c r="F595" s="12" t="s">
        <v>3791</v>
      </c>
      <c r="G595" t="s">
        <v>3792</v>
      </c>
      <c r="H595" t="s">
        <v>3793</v>
      </c>
      <c r="I595" t="s">
        <v>1741</v>
      </c>
      <c r="J595" t="s">
        <v>1742</v>
      </c>
      <c r="K595">
        <f>VLOOKUP($J595,'[1]Table S6'!$A:$AI,2,FALSE)</f>
        <v>354</v>
      </c>
      <c r="L595">
        <f>VLOOKUP($J595,'[1]Table S6'!$A:$AI,3,FALSE)</f>
        <v>0.75335177697382405</v>
      </c>
      <c r="M595">
        <f>VLOOKUP($J595,'[1]Table S6'!$A:$AI,4,FALSE)</f>
        <v>5.6849999999999996</v>
      </c>
      <c r="N595" t="str">
        <f>VLOOKUP($J595,'[1]Table S6'!$A:$AI,5,FALSE)</f>
        <v>No</v>
      </c>
      <c r="P595">
        <f>VLOOKUP($J595,'[1]Table S6'!$A:$AI,7,FALSE)</f>
        <v>404.5</v>
      </c>
      <c r="Q595">
        <f>VLOOKUP($J595,'[1]Table S6'!$A:$AI,8,FALSE)</f>
        <v>0.860821451372633</v>
      </c>
      <c r="R595">
        <f>VLOOKUP($J595,'[1]Table S6'!$A:$AI,9,FALSE)</f>
        <v>34.31</v>
      </c>
      <c r="S595" t="str">
        <f>VLOOKUP($J595,'[1]Table S6'!$A:$AI,10,FALSE)</f>
        <v>No</v>
      </c>
      <c r="U595">
        <f>VLOOKUP($J595,'[1]Table S6'!$A:$AI,12,FALSE)</f>
        <v>336.7</v>
      </c>
      <c r="V595">
        <f>VLOOKUP($J595,'[1]Table S6'!$A:$AI,13,FALSE)</f>
        <v>0.71653543307086598</v>
      </c>
      <c r="W595">
        <f>VLOOKUP($J595,'[1]Table S6'!$A:$AI,14,FALSE)</f>
        <v>3.2090000000000001</v>
      </c>
      <c r="X595" t="str">
        <f>VLOOKUP($J595,'[1]Table S6'!$A:$AI,15,FALSE)</f>
        <v>No</v>
      </c>
      <c r="Z595">
        <f>VLOOKUP($J595,'[1]Table S6'!$A:$AI,17,FALSE)</f>
        <v>337</v>
      </c>
      <c r="AA595">
        <f>VLOOKUP($J595,'[1]Table S6'!$A:$AI,18,FALSE)</f>
        <v>0.71717386678016604</v>
      </c>
      <c r="AB595">
        <f>VLOOKUP($J595,'[1]Table S6'!$A:$AI,19,FALSE)</f>
        <v>3.581</v>
      </c>
      <c r="AC595" t="str">
        <f>VLOOKUP($J595,'[1]Table S6'!$A:$AI,20,FALSE)</f>
        <v>No</v>
      </c>
      <c r="AE595">
        <f>VLOOKUP($J595,'[1]Table S6'!$A:$AI,22,FALSE)</f>
        <v>406.7</v>
      </c>
      <c r="AF595">
        <f>VLOOKUP($J595,'[1]Table S6'!$A:$AI,23,FALSE)</f>
        <v>0.86550329857416497</v>
      </c>
      <c r="AG595">
        <f>VLOOKUP($J595,'[1]Table S6'!$A:$AI,24,FALSE)</f>
        <v>35.590000000000003</v>
      </c>
      <c r="AH595" t="str">
        <f>VLOOKUP($J595,'[1]Table S6'!$A:$AI,25,FALSE)</f>
        <v>No</v>
      </c>
      <c r="AJ595">
        <f>VLOOKUP($J595,'[1]Table S6'!$A:$AI,27,FALSE)</f>
        <v>406</v>
      </c>
      <c r="AK595">
        <f>VLOOKUP($J595,'[1]Table S6'!$A:$AI,28,FALSE)</f>
        <v>0.86401361991913195</v>
      </c>
      <c r="AL595">
        <f>VLOOKUP($J595,'[1]Table S6'!$A:$AI,29,FALSE)</f>
        <v>35.159999999999997</v>
      </c>
      <c r="AM595" t="str">
        <f>VLOOKUP($J595,'[1]Table S6'!$A:$AI,30,FALSE)</f>
        <v>No</v>
      </c>
      <c r="AO595">
        <f>VLOOKUP($J595,'[1]Table S6'!$A:$AI,32,FALSE)</f>
        <v>395.1</v>
      </c>
      <c r="AP595">
        <f>VLOOKUP($J595,'[1]Table S6'!$A:$AI,33,FALSE)</f>
        <v>0.84081719514790398</v>
      </c>
      <c r="AQ595">
        <f>VLOOKUP($J595,'[1]Table S6'!$A:$AI,34,FALSE)</f>
        <v>25.01</v>
      </c>
      <c r="AR595" t="str">
        <f>VLOOKUP($J595,'[1]Table S6'!$A:$AI,35,FALSE)</f>
        <v>No</v>
      </c>
      <c r="AT595" t="e">
        <f>VLOOKUP($I595,'[2]Table S5'!$A:$K,8,FALSE)</f>
        <v>#N/A</v>
      </c>
      <c r="AU595" t="e">
        <f>VLOOKUP($I595,'[2]Table S5'!$A:$K,9,FALSE)</f>
        <v>#N/A</v>
      </c>
      <c r="AV595" t="e">
        <f>VLOOKUP($I595,'[2]Table S5'!$A:$K,10,FALSE)</f>
        <v>#N/A</v>
      </c>
      <c r="AW595" t="e">
        <f>VLOOKUP($I595,'[2]Table S5'!$A:$K,11,FALSE)</f>
        <v>#N/A</v>
      </c>
    </row>
    <row r="596" spans="1:49">
      <c r="A596" s="12" t="s">
        <v>3794</v>
      </c>
      <c r="B596" t="s">
        <v>3795</v>
      </c>
      <c r="C596" t="s">
        <v>3796</v>
      </c>
      <c r="D596" t="s">
        <v>17</v>
      </c>
      <c r="E596" t="s">
        <v>3797</v>
      </c>
      <c r="F596" s="12" t="s">
        <v>3798</v>
      </c>
      <c r="G596" t="s">
        <v>3799</v>
      </c>
      <c r="H596" t="s">
        <v>3800</v>
      </c>
      <c r="I596" t="s">
        <v>1741</v>
      </c>
      <c r="J596" t="s">
        <v>1764</v>
      </c>
      <c r="K596">
        <f>VLOOKUP($J596,'[1]Table S6'!$A:$AI,2,FALSE)</f>
        <v>338</v>
      </c>
      <c r="L596">
        <f>VLOOKUP($J596,'[1]Table S6'!$A:$AI,3,FALSE)</f>
        <v>0.719301979144499</v>
      </c>
      <c r="M596">
        <f>VLOOKUP($J596,'[1]Table S6'!$A:$AI,4,FALSE)</f>
        <v>3.6880000000000002</v>
      </c>
      <c r="N596" t="str">
        <f>VLOOKUP($J596,'[1]Table S6'!$A:$AI,5,FALSE)</f>
        <v>No</v>
      </c>
      <c r="P596">
        <f>VLOOKUP($J596,'[1]Table S6'!$A:$AI,7,FALSE)</f>
        <v>400.8</v>
      </c>
      <c r="Q596">
        <f>VLOOKUP($J596,'[1]Table S6'!$A:$AI,8,FALSE)</f>
        <v>0.85294743562460096</v>
      </c>
      <c r="R596">
        <f>VLOOKUP($J596,'[1]Table S6'!$A:$AI,9,FALSE)</f>
        <v>32.46</v>
      </c>
      <c r="S596" t="str">
        <f>VLOOKUP($J596,'[1]Table S6'!$A:$AI,10,FALSE)</f>
        <v>No</v>
      </c>
      <c r="U596">
        <f>VLOOKUP($J596,'[1]Table S6'!$A:$AI,12,FALSE)</f>
        <v>314.8</v>
      </c>
      <c r="V596">
        <f>VLOOKUP($J596,'[1]Table S6'!$A:$AI,13,FALSE)</f>
        <v>0.66992977229197703</v>
      </c>
      <c r="W596">
        <f>VLOOKUP($J596,'[1]Table S6'!$A:$AI,14,FALSE)</f>
        <v>1.69</v>
      </c>
      <c r="X596" t="str">
        <f>VLOOKUP($J596,'[1]Table S6'!$A:$AI,15,FALSE)</f>
        <v>Yes</v>
      </c>
      <c r="Z596">
        <f>VLOOKUP($J596,'[1]Table S6'!$A:$AI,17,FALSE)</f>
        <v>377.6</v>
      </c>
      <c r="AA596">
        <f>VLOOKUP($J596,'[1]Table S6'!$A:$AI,18,FALSE)</f>
        <v>0.80357522877207899</v>
      </c>
      <c r="AB596">
        <f>VLOOKUP($J596,'[1]Table S6'!$A:$AI,19,FALSE)</f>
        <v>12.17</v>
      </c>
      <c r="AC596" t="str">
        <f>VLOOKUP($J596,'[1]Table S6'!$A:$AI,20,FALSE)</f>
        <v>No</v>
      </c>
      <c r="AE596">
        <f>VLOOKUP($J596,'[1]Table S6'!$A:$AI,22,FALSE)</f>
        <v>395.6</v>
      </c>
      <c r="AF596">
        <f>VLOOKUP($J596,'[1]Table S6'!$A:$AI,23,FALSE)</f>
        <v>0.84188125133006997</v>
      </c>
      <c r="AG596">
        <f>VLOOKUP($J596,'[1]Table S6'!$A:$AI,24,FALSE)</f>
        <v>25.05</v>
      </c>
      <c r="AH596" t="str">
        <f>VLOOKUP($J596,'[1]Table S6'!$A:$AI,25,FALSE)</f>
        <v>No</v>
      </c>
      <c r="AJ596">
        <f>VLOOKUP($J596,'[1]Table S6'!$A:$AI,27,FALSE)</f>
        <v>420.5</v>
      </c>
      <c r="AK596">
        <f>VLOOKUP($J596,'[1]Table S6'!$A:$AI,28,FALSE)</f>
        <v>0.89487124920195804</v>
      </c>
      <c r="AL596">
        <f>VLOOKUP($J596,'[1]Table S6'!$A:$AI,29,FALSE)</f>
        <v>63.93</v>
      </c>
      <c r="AM596" t="str">
        <f>VLOOKUP($J596,'[1]Table S6'!$A:$AI,30,FALSE)</f>
        <v>No</v>
      </c>
      <c r="AO596">
        <f>VLOOKUP($J596,'[1]Table S6'!$A:$AI,32,FALSE)</f>
        <v>400.6</v>
      </c>
      <c r="AP596">
        <f>VLOOKUP($J596,'[1]Table S6'!$A:$AI,33,FALSE)</f>
        <v>0.85252181315173403</v>
      </c>
      <c r="AQ596">
        <f>VLOOKUP($J596,'[1]Table S6'!$A:$AI,34,FALSE)</f>
        <v>27.04</v>
      </c>
      <c r="AR596" t="str">
        <f>VLOOKUP($J596,'[1]Table S6'!$A:$AI,35,FALSE)</f>
        <v>No</v>
      </c>
      <c r="AT596" t="e">
        <f>VLOOKUP($I596,'[2]Table S5'!$A:$K,8,FALSE)</f>
        <v>#N/A</v>
      </c>
      <c r="AU596" t="e">
        <f>VLOOKUP($I596,'[2]Table S5'!$A:$K,9,FALSE)</f>
        <v>#N/A</v>
      </c>
      <c r="AV596" t="e">
        <f>VLOOKUP($I596,'[2]Table S5'!$A:$K,10,FALSE)</f>
        <v>#N/A</v>
      </c>
      <c r="AW596" t="e">
        <f>VLOOKUP($I596,'[2]Table S5'!$A:$K,11,FALSE)</f>
        <v>#N/A</v>
      </c>
    </row>
    <row r="597" spans="1:49">
      <c r="A597" s="12" t="s">
        <v>3801</v>
      </c>
      <c r="B597" t="s">
        <v>3802</v>
      </c>
      <c r="C597" t="s">
        <v>3803</v>
      </c>
      <c r="D597" t="s">
        <v>17</v>
      </c>
      <c r="E597" t="s">
        <v>3804</v>
      </c>
      <c r="F597" s="12" t="s">
        <v>3805</v>
      </c>
      <c r="G597" t="s">
        <v>3806</v>
      </c>
      <c r="H597" t="s">
        <v>3807</v>
      </c>
      <c r="I597" t="s">
        <v>1741</v>
      </c>
      <c r="J597" t="s">
        <v>1786</v>
      </c>
      <c r="K597">
        <f>VLOOKUP($J597,'[1]Table S6'!$A:$AI,2,FALSE)</f>
        <v>394.9</v>
      </c>
      <c r="L597">
        <f>VLOOKUP($J597,'[1]Table S6'!$A:$AI,3,FALSE)</f>
        <v>0.84039157267503695</v>
      </c>
      <c r="M597">
        <f>VLOOKUP($J597,'[1]Table S6'!$A:$AI,4,FALSE)</f>
        <v>25.17</v>
      </c>
      <c r="N597" t="str">
        <f>VLOOKUP($J597,'[1]Table S6'!$A:$AI,5,FALSE)</f>
        <v>No</v>
      </c>
      <c r="P597">
        <f>VLOOKUP($J597,'[1]Table S6'!$A:$AI,7,FALSE)</f>
        <v>407.9</v>
      </c>
      <c r="Q597">
        <f>VLOOKUP($J597,'[1]Table S6'!$A:$AI,8,FALSE)</f>
        <v>0.86805703341136398</v>
      </c>
      <c r="R597">
        <f>VLOOKUP($J597,'[1]Table S6'!$A:$AI,9,FALSE)</f>
        <v>42.59</v>
      </c>
      <c r="S597" t="str">
        <f>VLOOKUP($J597,'[1]Table S6'!$A:$AI,10,FALSE)</f>
        <v>No</v>
      </c>
      <c r="U597">
        <f>VLOOKUP($J597,'[1]Table S6'!$A:$AI,12,FALSE)</f>
        <v>378.8</v>
      </c>
      <c r="V597">
        <f>VLOOKUP($J597,'[1]Table S6'!$A:$AI,13,FALSE)</f>
        <v>0.80612896360927899</v>
      </c>
      <c r="W597">
        <f>VLOOKUP($J597,'[1]Table S6'!$A:$AI,14,FALSE)</f>
        <v>12.3</v>
      </c>
      <c r="X597" t="str">
        <f>VLOOKUP($J597,'[1]Table S6'!$A:$AI,15,FALSE)</f>
        <v>No</v>
      </c>
      <c r="Z597">
        <f>VLOOKUP($J597,'[1]Table S6'!$A:$AI,17,FALSE)</f>
        <v>352</v>
      </c>
      <c r="AA597">
        <f>VLOOKUP($J597,'[1]Table S6'!$A:$AI,18,FALSE)</f>
        <v>0.749095552245159</v>
      </c>
      <c r="AB597">
        <f>VLOOKUP($J597,'[1]Table S6'!$A:$AI,19,FALSE)</f>
        <v>5.9779999999999998</v>
      </c>
      <c r="AC597" t="str">
        <f>VLOOKUP($J597,'[1]Table S6'!$A:$AI,20,FALSE)</f>
        <v>No</v>
      </c>
      <c r="AE597">
        <f>VLOOKUP($J597,'[1]Table S6'!$A:$AI,22,FALSE)</f>
        <v>377.1</v>
      </c>
      <c r="AF597">
        <f>VLOOKUP($J597,'[1]Table S6'!$A:$AI,23,FALSE)</f>
        <v>0.802511172589913</v>
      </c>
      <c r="AG597">
        <f>VLOOKUP($J597,'[1]Table S6'!$A:$AI,24,FALSE)</f>
        <v>11.72</v>
      </c>
      <c r="AH597" t="str">
        <f>VLOOKUP($J597,'[1]Table S6'!$A:$AI,25,FALSE)</f>
        <v>No</v>
      </c>
      <c r="AJ597">
        <f>VLOOKUP($J597,'[1]Table S6'!$A:$AI,27,FALSE)</f>
        <v>410.6</v>
      </c>
      <c r="AK597">
        <f>VLOOKUP($J597,'[1]Table S6'!$A:$AI,28,FALSE)</f>
        <v>0.87380293679506305</v>
      </c>
      <c r="AL597">
        <f>VLOOKUP($J597,'[1]Table S6'!$A:$AI,29,FALSE)</f>
        <v>50.77</v>
      </c>
      <c r="AM597" t="str">
        <f>VLOOKUP($J597,'[1]Table S6'!$A:$AI,30,FALSE)</f>
        <v>No</v>
      </c>
      <c r="AO597">
        <f>VLOOKUP($J597,'[1]Table S6'!$A:$AI,32,FALSE)</f>
        <v>338.9</v>
      </c>
      <c r="AP597">
        <f>VLOOKUP($J597,'[1]Table S6'!$A:$AI,33,FALSE)</f>
        <v>0.72121728027239795</v>
      </c>
      <c r="AQ597">
        <f>VLOOKUP($J597,'[1]Table S6'!$A:$AI,34,FALSE)</f>
        <v>3.4740000000000002</v>
      </c>
      <c r="AR597" t="str">
        <f>VLOOKUP($J597,'[1]Table S6'!$A:$AI,35,FALSE)</f>
        <v>No</v>
      </c>
      <c r="AT597" t="e">
        <f>VLOOKUP($I597,'[2]Table S5'!$A:$K,8,FALSE)</f>
        <v>#N/A</v>
      </c>
      <c r="AU597" t="e">
        <f>VLOOKUP($I597,'[2]Table S5'!$A:$K,9,FALSE)</f>
        <v>#N/A</v>
      </c>
      <c r="AV597" t="e">
        <f>VLOOKUP($I597,'[2]Table S5'!$A:$K,10,FALSE)</f>
        <v>#N/A</v>
      </c>
      <c r="AW597" t="e">
        <f>VLOOKUP($I597,'[2]Table S5'!$A:$K,11,FALSE)</f>
        <v>#N/A</v>
      </c>
    </row>
    <row r="598" spans="1:49">
      <c r="A598" s="12" t="s">
        <v>3808</v>
      </c>
      <c r="B598" t="s">
        <v>3809</v>
      </c>
      <c r="C598" t="s">
        <v>3810</v>
      </c>
      <c r="D598" t="s">
        <v>17</v>
      </c>
      <c r="E598" t="s">
        <v>1737</v>
      </c>
      <c r="F598" s="12" t="s">
        <v>1738</v>
      </c>
      <c r="G598" t="s">
        <v>1739</v>
      </c>
      <c r="H598" t="s">
        <v>1740</v>
      </c>
      <c r="I598" t="s">
        <v>1741</v>
      </c>
      <c r="J598" t="s">
        <v>1742</v>
      </c>
      <c r="K598">
        <f>VLOOKUP($J598,'[1]Table S6'!$A:$AI,2,FALSE)</f>
        <v>354</v>
      </c>
      <c r="L598">
        <f>VLOOKUP($J598,'[1]Table S6'!$A:$AI,3,FALSE)</f>
        <v>0.75335177697382405</v>
      </c>
      <c r="M598">
        <f>VLOOKUP($J598,'[1]Table S6'!$A:$AI,4,FALSE)</f>
        <v>5.6849999999999996</v>
      </c>
      <c r="N598" t="str">
        <f>VLOOKUP($J598,'[1]Table S6'!$A:$AI,5,FALSE)</f>
        <v>No</v>
      </c>
      <c r="P598">
        <f>VLOOKUP($J598,'[1]Table S6'!$A:$AI,7,FALSE)</f>
        <v>404.5</v>
      </c>
      <c r="Q598">
        <f>VLOOKUP($J598,'[1]Table S6'!$A:$AI,8,FALSE)</f>
        <v>0.860821451372633</v>
      </c>
      <c r="R598">
        <f>VLOOKUP($J598,'[1]Table S6'!$A:$AI,9,FALSE)</f>
        <v>34.31</v>
      </c>
      <c r="S598" t="str">
        <f>VLOOKUP($J598,'[1]Table S6'!$A:$AI,10,FALSE)</f>
        <v>No</v>
      </c>
      <c r="U598">
        <f>VLOOKUP($J598,'[1]Table S6'!$A:$AI,12,FALSE)</f>
        <v>336.7</v>
      </c>
      <c r="V598">
        <f>VLOOKUP($J598,'[1]Table S6'!$A:$AI,13,FALSE)</f>
        <v>0.71653543307086598</v>
      </c>
      <c r="W598">
        <f>VLOOKUP($J598,'[1]Table S6'!$A:$AI,14,FALSE)</f>
        <v>3.2090000000000001</v>
      </c>
      <c r="X598" t="str">
        <f>VLOOKUP($J598,'[1]Table S6'!$A:$AI,15,FALSE)</f>
        <v>No</v>
      </c>
      <c r="Z598">
        <f>VLOOKUP($J598,'[1]Table S6'!$A:$AI,17,FALSE)</f>
        <v>337</v>
      </c>
      <c r="AA598">
        <f>VLOOKUP($J598,'[1]Table S6'!$A:$AI,18,FALSE)</f>
        <v>0.71717386678016604</v>
      </c>
      <c r="AB598">
        <f>VLOOKUP($J598,'[1]Table S6'!$A:$AI,19,FALSE)</f>
        <v>3.581</v>
      </c>
      <c r="AC598" t="str">
        <f>VLOOKUP($J598,'[1]Table S6'!$A:$AI,20,FALSE)</f>
        <v>No</v>
      </c>
      <c r="AE598">
        <f>VLOOKUP($J598,'[1]Table S6'!$A:$AI,22,FALSE)</f>
        <v>406.7</v>
      </c>
      <c r="AF598">
        <f>VLOOKUP($J598,'[1]Table S6'!$A:$AI,23,FALSE)</f>
        <v>0.86550329857416497</v>
      </c>
      <c r="AG598">
        <f>VLOOKUP($J598,'[1]Table S6'!$A:$AI,24,FALSE)</f>
        <v>35.590000000000003</v>
      </c>
      <c r="AH598" t="str">
        <f>VLOOKUP($J598,'[1]Table S6'!$A:$AI,25,FALSE)</f>
        <v>No</v>
      </c>
      <c r="AJ598">
        <f>VLOOKUP($J598,'[1]Table S6'!$A:$AI,27,FALSE)</f>
        <v>406</v>
      </c>
      <c r="AK598">
        <f>VLOOKUP($J598,'[1]Table S6'!$A:$AI,28,FALSE)</f>
        <v>0.86401361991913195</v>
      </c>
      <c r="AL598">
        <f>VLOOKUP($J598,'[1]Table S6'!$A:$AI,29,FALSE)</f>
        <v>35.159999999999997</v>
      </c>
      <c r="AM598" t="str">
        <f>VLOOKUP($J598,'[1]Table S6'!$A:$AI,30,FALSE)</f>
        <v>No</v>
      </c>
      <c r="AO598">
        <f>VLOOKUP($J598,'[1]Table S6'!$A:$AI,32,FALSE)</f>
        <v>395.1</v>
      </c>
      <c r="AP598">
        <f>VLOOKUP($J598,'[1]Table S6'!$A:$AI,33,FALSE)</f>
        <v>0.84081719514790398</v>
      </c>
      <c r="AQ598">
        <f>VLOOKUP($J598,'[1]Table S6'!$A:$AI,34,FALSE)</f>
        <v>25.01</v>
      </c>
      <c r="AR598" t="str">
        <f>VLOOKUP($J598,'[1]Table S6'!$A:$AI,35,FALSE)</f>
        <v>No</v>
      </c>
      <c r="AT598" t="e">
        <f>VLOOKUP($I598,'[2]Table S5'!$A:$K,8,FALSE)</f>
        <v>#N/A</v>
      </c>
      <c r="AU598" t="e">
        <f>VLOOKUP($I598,'[2]Table S5'!$A:$K,9,FALSE)</f>
        <v>#N/A</v>
      </c>
      <c r="AV598" t="e">
        <f>VLOOKUP($I598,'[2]Table S5'!$A:$K,10,FALSE)</f>
        <v>#N/A</v>
      </c>
      <c r="AW598" t="e">
        <f>VLOOKUP($I598,'[2]Table S5'!$A:$K,11,FALSE)</f>
        <v>#N/A</v>
      </c>
    </row>
    <row r="599" spans="1:49">
      <c r="A599" s="12" t="s">
        <v>3811</v>
      </c>
      <c r="B599" t="s">
        <v>3812</v>
      </c>
      <c r="C599" t="s">
        <v>3813</v>
      </c>
      <c r="D599" t="s">
        <v>17</v>
      </c>
      <c r="E599" t="s">
        <v>1746</v>
      </c>
      <c r="F599" s="12" t="s">
        <v>1747</v>
      </c>
      <c r="G599" t="s">
        <v>1748</v>
      </c>
      <c r="H599" t="s">
        <v>1749</v>
      </c>
      <c r="I599" t="s">
        <v>1741</v>
      </c>
      <c r="J599" t="s">
        <v>1742</v>
      </c>
      <c r="K599">
        <f>VLOOKUP($J599,'[1]Table S6'!$A:$AI,2,FALSE)</f>
        <v>354</v>
      </c>
      <c r="L599">
        <f>VLOOKUP($J599,'[1]Table S6'!$A:$AI,3,FALSE)</f>
        <v>0.75335177697382405</v>
      </c>
      <c r="M599">
        <f>VLOOKUP($J599,'[1]Table S6'!$A:$AI,4,FALSE)</f>
        <v>5.6849999999999996</v>
      </c>
      <c r="N599" t="str">
        <f>VLOOKUP($J599,'[1]Table S6'!$A:$AI,5,FALSE)</f>
        <v>No</v>
      </c>
      <c r="P599">
        <f>VLOOKUP($J599,'[1]Table S6'!$A:$AI,7,FALSE)</f>
        <v>404.5</v>
      </c>
      <c r="Q599">
        <f>VLOOKUP($J599,'[1]Table S6'!$A:$AI,8,FALSE)</f>
        <v>0.860821451372633</v>
      </c>
      <c r="R599">
        <f>VLOOKUP($J599,'[1]Table S6'!$A:$AI,9,FALSE)</f>
        <v>34.31</v>
      </c>
      <c r="S599" t="str">
        <f>VLOOKUP($J599,'[1]Table S6'!$A:$AI,10,FALSE)</f>
        <v>No</v>
      </c>
      <c r="U599">
        <f>VLOOKUP($J599,'[1]Table S6'!$A:$AI,12,FALSE)</f>
        <v>336.7</v>
      </c>
      <c r="V599">
        <f>VLOOKUP($J599,'[1]Table S6'!$A:$AI,13,FALSE)</f>
        <v>0.71653543307086598</v>
      </c>
      <c r="W599">
        <f>VLOOKUP($J599,'[1]Table S6'!$A:$AI,14,FALSE)</f>
        <v>3.2090000000000001</v>
      </c>
      <c r="X599" t="str">
        <f>VLOOKUP($J599,'[1]Table S6'!$A:$AI,15,FALSE)</f>
        <v>No</v>
      </c>
      <c r="Z599">
        <f>VLOOKUP($J599,'[1]Table S6'!$A:$AI,17,FALSE)</f>
        <v>337</v>
      </c>
      <c r="AA599">
        <f>VLOOKUP($J599,'[1]Table S6'!$A:$AI,18,FALSE)</f>
        <v>0.71717386678016604</v>
      </c>
      <c r="AB599">
        <f>VLOOKUP($J599,'[1]Table S6'!$A:$AI,19,FALSE)</f>
        <v>3.581</v>
      </c>
      <c r="AC599" t="str">
        <f>VLOOKUP($J599,'[1]Table S6'!$A:$AI,20,FALSE)</f>
        <v>No</v>
      </c>
      <c r="AE599">
        <f>VLOOKUP($J599,'[1]Table S6'!$A:$AI,22,FALSE)</f>
        <v>406.7</v>
      </c>
      <c r="AF599">
        <f>VLOOKUP($J599,'[1]Table S6'!$A:$AI,23,FALSE)</f>
        <v>0.86550329857416497</v>
      </c>
      <c r="AG599">
        <f>VLOOKUP($J599,'[1]Table S6'!$A:$AI,24,FALSE)</f>
        <v>35.590000000000003</v>
      </c>
      <c r="AH599" t="str">
        <f>VLOOKUP($J599,'[1]Table S6'!$A:$AI,25,FALSE)</f>
        <v>No</v>
      </c>
      <c r="AJ599">
        <f>VLOOKUP($J599,'[1]Table S6'!$A:$AI,27,FALSE)</f>
        <v>406</v>
      </c>
      <c r="AK599">
        <f>VLOOKUP($J599,'[1]Table S6'!$A:$AI,28,FALSE)</f>
        <v>0.86401361991913195</v>
      </c>
      <c r="AL599">
        <f>VLOOKUP($J599,'[1]Table S6'!$A:$AI,29,FALSE)</f>
        <v>35.159999999999997</v>
      </c>
      <c r="AM599" t="str">
        <f>VLOOKUP($J599,'[1]Table S6'!$A:$AI,30,FALSE)</f>
        <v>No</v>
      </c>
      <c r="AO599">
        <f>VLOOKUP($J599,'[1]Table S6'!$A:$AI,32,FALSE)</f>
        <v>395.1</v>
      </c>
      <c r="AP599">
        <f>VLOOKUP($J599,'[1]Table S6'!$A:$AI,33,FALSE)</f>
        <v>0.84081719514790398</v>
      </c>
      <c r="AQ599">
        <f>VLOOKUP($J599,'[1]Table S6'!$A:$AI,34,FALSE)</f>
        <v>25.01</v>
      </c>
      <c r="AR599" t="str">
        <f>VLOOKUP($J599,'[1]Table S6'!$A:$AI,35,FALSE)</f>
        <v>No</v>
      </c>
      <c r="AT599" t="e">
        <f>VLOOKUP($I599,'[2]Table S5'!$A:$K,8,FALSE)</f>
        <v>#N/A</v>
      </c>
      <c r="AU599" t="e">
        <f>VLOOKUP($I599,'[2]Table S5'!$A:$K,9,FALSE)</f>
        <v>#N/A</v>
      </c>
      <c r="AV599" t="e">
        <f>VLOOKUP($I599,'[2]Table S5'!$A:$K,10,FALSE)</f>
        <v>#N/A</v>
      </c>
      <c r="AW599" t="e">
        <f>VLOOKUP($I599,'[2]Table S5'!$A:$K,11,FALSE)</f>
        <v>#N/A</v>
      </c>
    </row>
    <row r="600" spans="1:49">
      <c r="A600" s="12" t="s">
        <v>3814</v>
      </c>
      <c r="B600" t="s">
        <v>3815</v>
      </c>
      <c r="C600" t="s">
        <v>3816</v>
      </c>
      <c r="D600" t="s">
        <v>17</v>
      </c>
      <c r="E600" t="s">
        <v>1753</v>
      </c>
      <c r="F600" s="12" t="s">
        <v>1754</v>
      </c>
      <c r="G600" t="s">
        <v>1755</v>
      </c>
      <c r="H600" t="s">
        <v>1756</v>
      </c>
      <c r="I600" t="s">
        <v>1741</v>
      </c>
      <c r="J600" t="s">
        <v>1742</v>
      </c>
      <c r="K600">
        <f>VLOOKUP($J600,'[1]Table S6'!$A:$AI,2,FALSE)</f>
        <v>354</v>
      </c>
      <c r="L600">
        <f>VLOOKUP($J600,'[1]Table S6'!$A:$AI,3,FALSE)</f>
        <v>0.75335177697382405</v>
      </c>
      <c r="M600">
        <f>VLOOKUP($J600,'[1]Table S6'!$A:$AI,4,FALSE)</f>
        <v>5.6849999999999996</v>
      </c>
      <c r="N600" t="str">
        <f>VLOOKUP($J600,'[1]Table S6'!$A:$AI,5,FALSE)</f>
        <v>No</v>
      </c>
      <c r="P600">
        <f>VLOOKUP($J600,'[1]Table S6'!$A:$AI,7,FALSE)</f>
        <v>404.5</v>
      </c>
      <c r="Q600">
        <f>VLOOKUP($J600,'[1]Table S6'!$A:$AI,8,FALSE)</f>
        <v>0.860821451372633</v>
      </c>
      <c r="R600">
        <f>VLOOKUP($J600,'[1]Table S6'!$A:$AI,9,FALSE)</f>
        <v>34.31</v>
      </c>
      <c r="S600" t="str">
        <f>VLOOKUP($J600,'[1]Table S6'!$A:$AI,10,FALSE)</f>
        <v>No</v>
      </c>
      <c r="U600">
        <f>VLOOKUP($J600,'[1]Table S6'!$A:$AI,12,FALSE)</f>
        <v>336.7</v>
      </c>
      <c r="V600">
        <f>VLOOKUP($J600,'[1]Table S6'!$A:$AI,13,FALSE)</f>
        <v>0.71653543307086598</v>
      </c>
      <c r="W600">
        <f>VLOOKUP($J600,'[1]Table S6'!$A:$AI,14,FALSE)</f>
        <v>3.2090000000000001</v>
      </c>
      <c r="X600" t="str">
        <f>VLOOKUP($J600,'[1]Table S6'!$A:$AI,15,FALSE)</f>
        <v>No</v>
      </c>
      <c r="Z600">
        <f>VLOOKUP($J600,'[1]Table S6'!$A:$AI,17,FALSE)</f>
        <v>337</v>
      </c>
      <c r="AA600">
        <f>VLOOKUP($J600,'[1]Table S6'!$A:$AI,18,FALSE)</f>
        <v>0.71717386678016604</v>
      </c>
      <c r="AB600">
        <f>VLOOKUP($J600,'[1]Table S6'!$A:$AI,19,FALSE)</f>
        <v>3.581</v>
      </c>
      <c r="AC600" t="str">
        <f>VLOOKUP($J600,'[1]Table S6'!$A:$AI,20,FALSE)</f>
        <v>No</v>
      </c>
      <c r="AE600">
        <f>VLOOKUP($J600,'[1]Table S6'!$A:$AI,22,FALSE)</f>
        <v>406.7</v>
      </c>
      <c r="AF600">
        <f>VLOOKUP($J600,'[1]Table S6'!$A:$AI,23,FALSE)</f>
        <v>0.86550329857416497</v>
      </c>
      <c r="AG600">
        <f>VLOOKUP($J600,'[1]Table S6'!$A:$AI,24,FALSE)</f>
        <v>35.590000000000003</v>
      </c>
      <c r="AH600" t="str">
        <f>VLOOKUP($J600,'[1]Table S6'!$A:$AI,25,FALSE)</f>
        <v>No</v>
      </c>
      <c r="AJ600">
        <f>VLOOKUP($J600,'[1]Table S6'!$A:$AI,27,FALSE)</f>
        <v>406</v>
      </c>
      <c r="AK600">
        <f>VLOOKUP($J600,'[1]Table S6'!$A:$AI,28,FALSE)</f>
        <v>0.86401361991913195</v>
      </c>
      <c r="AL600">
        <f>VLOOKUP($J600,'[1]Table S6'!$A:$AI,29,FALSE)</f>
        <v>35.159999999999997</v>
      </c>
      <c r="AM600" t="str">
        <f>VLOOKUP($J600,'[1]Table S6'!$A:$AI,30,FALSE)</f>
        <v>No</v>
      </c>
      <c r="AO600">
        <f>VLOOKUP($J600,'[1]Table S6'!$A:$AI,32,FALSE)</f>
        <v>395.1</v>
      </c>
      <c r="AP600">
        <f>VLOOKUP($J600,'[1]Table S6'!$A:$AI,33,FALSE)</f>
        <v>0.84081719514790398</v>
      </c>
      <c r="AQ600">
        <f>VLOOKUP($J600,'[1]Table S6'!$A:$AI,34,FALSE)</f>
        <v>25.01</v>
      </c>
      <c r="AR600" t="str">
        <f>VLOOKUP($J600,'[1]Table S6'!$A:$AI,35,FALSE)</f>
        <v>No</v>
      </c>
      <c r="AT600" t="e">
        <f>VLOOKUP($I600,'[2]Table S5'!$A:$K,8,FALSE)</f>
        <v>#N/A</v>
      </c>
      <c r="AU600" t="e">
        <f>VLOOKUP($I600,'[2]Table S5'!$A:$K,9,FALSE)</f>
        <v>#N/A</v>
      </c>
      <c r="AV600" t="e">
        <f>VLOOKUP($I600,'[2]Table S5'!$A:$K,10,FALSE)</f>
        <v>#N/A</v>
      </c>
      <c r="AW600" t="e">
        <f>VLOOKUP($I600,'[2]Table S5'!$A:$K,11,FALSE)</f>
        <v>#N/A</v>
      </c>
    </row>
    <row r="601" spans="1:49">
      <c r="A601" s="12" t="s">
        <v>3817</v>
      </c>
      <c r="B601" t="s">
        <v>3818</v>
      </c>
      <c r="C601" t="s">
        <v>3819</v>
      </c>
      <c r="D601" t="s">
        <v>17</v>
      </c>
      <c r="E601" t="s">
        <v>1760</v>
      </c>
      <c r="F601" s="12" t="s">
        <v>1761</v>
      </c>
      <c r="G601" t="s">
        <v>1762</v>
      </c>
      <c r="H601" t="s">
        <v>1763</v>
      </c>
      <c r="I601" t="s">
        <v>1741</v>
      </c>
      <c r="J601" t="s">
        <v>1764</v>
      </c>
      <c r="K601">
        <f>VLOOKUP($J601,'[1]Table S6'!$A:$AI,2,FALSE)</f>
        <v>338</v>
      </c>
      <c r="L601">
        <f>VLOOKUP($J601,'[1]Table S6'!$A:$AI,3,FALSE)</f>
        <v>0.719301979144499</v>
      </c>
      <c r="M601">
        <f>VLOOKUP($J601,'[1]Table S6'!$A:$AI,4,FALSE)</f>
        <v>3.6880000000000002</v>
      </c>
      <c r="N601" t="str">
        <f>VLOOKUP($J601,'[1]Table S6'!$A:$AI,5,FALSE)</f>
        <v>No</v>
      </c>
      <c r="P601">
        <f>VLOOKUP($J601,'[1]Table S6'!$A:$AI,7,FALSE)</f>
        <v>400.8</v>
      </c>
      <c r="Q601">
        <f>VLOOKUP($J601,'[1]Table S6'!$A:$AI,8,FALSE)</f>
        <v>0.85294743562460096</v>
      </c>
      <c r="R601">
        <f>VLOOKUP($J601,'[1]Table S6'!$A:$AI,9,FALSE)</f>
        <v>32.46</v>
      </c>
      <c r="S601" t="str">
        <f>VLOOKUP($J601,'[1]Table S6'!$A:$AI,10,FALSE)</f>
        <v>No</v>
      </c>
      <c r="U601">
        <f>VLOOKUP($J601,'[1]Table S6'!$A:$AI,12,FALSE)</f>
        <v>314.8</v>
      </c>
      <c r="V601">
        <f>VLOOKUP($J601,'[1]Table S6'!$A:$AI,13,FALSE)</f>
        <v>0.66992977229197703</v>
      </c>
      <c r="W601">
        <f>VLOOKUP($J601,'[1]Table S6'!$A:$AI,14,FALSE)</f>
        <v>1.69</v>
      </c>
      <c r="X601" t="str">
        <f>VLOOKUP($J601,'[1]Table S6'!$A:$AI,15,FALSE)</f>
        <v>Yes</v>
      </c>
      <c r="Z601">
        <f>VLOOKUP($J601,'[1]Table S6'!$A:$AI,17,FALSE)</f>
        <v>377.6</v>
      </c>
      <c r="AA601">
        <f>VLOOKUP($J601,'[1]Table S6'!$A:$AI,18,FALSE)</f>
        <v>0.80357522877207899</v>
      </c>
      <c r="AB601">
        <f>VLOOKUP($J601,'[1]Table S6'!$A:$AI,19,FALSE)</f>
        <v>12.17</v>
      </c>
      <c r="AC601" t="str">
        <f>VLOOKUP($J601,'[1]Table S6'!$A:$AI,20,FALSE)</f>
        <v>No</v>
      </c>
      <c r="AE601">
        <f>VLOOKUP($J601,'[1]Table S6'!$A:$AI,22,FALSE)</f>
        <v>395.6</v>
      </c>
      <c r="AF601">
        <f>VLOOKUP($J601,'[1]Table S6'!$A:$AI,23,FALSE)</f>
        <v>0.84188125133006997</v>
      </c>
      <c r="AG601">
        <f>VLOOKUP($J601,'[1]Table S6'!$A:$AI,24,FALSE)</f>
        <v>25.05</v>
      </c>
      <c r="AH601" t="str">
        <f>VLOOKUP($J601,'[1]Table S6'!$A:$AI,25,FALSE)</f>
        <v>No</v>
      </c>
      <c r="AJ601">
        <f>VLOOKUP($J601,'[1]Table S6'!$A:$AI,27,FALSE)</f>
        <v>420.5</v>
      </c>
      <c r="AK601">
        <f>VLOOKUP($J601,'[1]Table S6'!$A:$AI,28,FALSE)</f>
        <v>0.89487124920195804</v>
      </c>
      <c r="AL601">
        <f>VLOOKUP($J601,'[1]Table S6'!$A:$AI,29,FALSE)</f>
        <v>63.93</v>
      </c>
      <c r="AM601" t="str">
        <f>VLOOKUP($J601,'[1]Table S6'!$A:$AI,30,FALSE)</f>
        <v>No</v>
      </c>
      <c r="AO601">
        <f>VLOOKUP($J601,'[1]Table S6'!$A:$AI,32,FALSE)</f>
        <v>400.6</v>
      </c>
      <c r="AP601">
        <f>VLOOKUP($J601,'[1]Table S6'!$A:$AI,33,FALSE)</f>
        <v>0.85252181315173403</v>
      </c>
      <c r="AQ601">
        <f>VLOOKUP($J601,'[1]Table S6'!$A:$AI,34,FALSE)</f>
        <v>27.04</v>
      </c>
      <c r="AR601" t="str">
        <f>VLOOKUP($J601,'[1]Table S6'!$A:$AI,35,FALSE)</f>
        <v>No</v>
      </c>
      <c r="AT601" t="e">
        <f>VLOOKUP($I601,'[2]Table S5'!$A:$K,8,FALSE)</f>
        <v>#N/A</v>
      </c>
      <c r="AU601" t="e">
        <f>VLOOKUP($I601,'[2]Table S5'!$A:$K,9,FALSE)</f>
        <v>#N/A</v>
      </c>
      <c r="AV601" t="e">
        <f>VLOOKUP($I601,'[2]Table S5'!$A:$K,10,FALSE)</f>
        <v>#N/A</v>
      </c>
      <c r="AW601" t="e">
        <f>VLOOKUP($I601,'[2]Table S5'!$A:$K,11,FALSE)</f>
        <v>#N/A</v>
      </c>
    </row>
    <row r="602" spans="1:49">
      <c r="A602" s="12" t="s">
        <v>3820</v>
      </c>
      <c r="B602" t="s">
        <v>3821</v>
      </c>
      <c r="C602" t="s">
        <v>3822</v>
      </c>
      <c r="D602" t="s">
        <v>17</v>
      </c>
      <c r="E602" t="s">
        <v>1768</v>
      </c>
      <c r="F602" s="12" t="s">
        <v>1769</v>
      </c>
      <c r="G602" t="s">
        <v>1770</v>
      </c>
      <c r="H602" t="s">
        <v>1771</v>
      </c>
      <c r="I602" t="s">
        <v>1741</v>
      </c>
      <c r="J602" t="s">
        <v>1764</v>
      </c>
      <c r="K602">
        <f>VLOOKUP($J602,'[1]Table S6'!$A:$AI,2,FALSE)</f>
        <v>338</v>
      </c>
      <c r="L602">
        <f>VLOOKUP($J602,'[1]Table S6'!$A:$AI,3,FALSE)</f>
        <v>0.719301979144499</v>
      </c>
      <c r="M602">
        <f>VLOOKUP($J602,'[1]Table S6'!$A:$AI,4,FALSE)</f>
        <v>3.6880000000000002</v>
      </c>
      <c r="N602" t="str">
        <f>VLOOKUP($J602,'[1]Table S6'!$A:$AI,5,FALSE)</f>
        <v>No</v>
      </c>
      <c r="P602">
        <f>VLOOKUP($J602,'[1]Table S6'!$A:$AI,7,FALSE)</f>
        <v>400.8</v>
      </c>
      <c r="Q602">
        <f>VLOOKUP($J602,'[1]Table S6'!$A:$AI,8,FALSE)</f>
        <v>0.85294743562460096</v>
      </c>
      <c r="R602">
        <f>VLOOKUP($J602,'[1]Table S6'!$A:$AI,9,FALSE)</f>
        <v>32.46</v>
      </c>
      <c r="S602" t="str">
        <f>VLOOKUP($J602,'[1]Table S6'!$A:$AI,10,FALSE)</f>
        <v>No</v>
      </c>
      <c r="U602">
        <f>VLOOKUP($J602,'[1]Table S6'!$A:$AI,12,FALSE)</f>
        <v>314.8</v>
      </c>
      <c r="V602">
        <f>VLOOKUP($J602,'[1]Table S6'!$A:$AI,13,FALSE)</f>
        <v>0.66992977229197703</v>
      </c>
      <c r="W602">
        <f>VLOOKUP($J602,'[1]Table S6'!$A:$AI,14,FALSE)</f>
        <v>1.69</v>
      </c>
      <c r="X602" t="str">
        <f>VLOOKUP($J602,'[1]Table S6'!$A:$AI,15,FALSE)</f>
        <v>Yes</v>
      </c>
      <c r="Z602">
        <f>VLOOKUP($J602,'[1]Table S6'!$A:$AI,17,FALSE)</f>
        <v>377.6</v>
      </c>
      <c r="AA602">
        <f>VLOOKUP($J602,'[1]Table S6'!$A:$AI,18,FALSE)</f>
        <v>0.80357522877207899</v>
      </c>
      <c r="AB602">
        <f>VLOOKUP($J602,'[1]Table S6'!$A:$AI,19,FALSE)</f>
        <v>12.17</v>
      </c>
      <c r="AC602" t="str">
        <f>VLOOKUP($J602,'[1]Table S6'!$A:$AI,20,FALSE)</f>
        <v>No</v>
      </c>
      <c r="AE602">
        <f>VLOOKUP($J602,'[1]Table S6'!$A:$AI,22,FALSE)</f>
        <v>395.6</v>
      </c>
      <c r="AF602">
        <f>VLOOKUP($J602,'[1]Table S6'!$A:$AI,23,FALSE)</f>
        <v>0.84188125133006997</v>
      </c>
      <c r="AG602">
        <f>VLOOKUP($J602,'[1]Table S6'!$A:$AI,24,FALSE)</f>
        <v>25.05</v>
      </c>
      <c r="AH602" t="str">
        <f>VLOOKUP($J602,'[1]Table S6'!$A:$AI,25,FALSE)</f>
        <v>No</v>
      </c>
      <c r="AJ602">
        <f>VLOOKUP($J602,'[1]Table S6'!$A:$AI,27,FALSE)</f>
        <v>420.5</v>
      </c>
      <c r="AK602">
        <f>VLOOKUP($J602,'[1]Table S6'!$A:$AI,28,FALSE)</f>
        <v>0.89487124920195804</v>
      </c>
      <c r="AL602">
        <f>VLOOKUP($J602,'[1]Table S6'!$A:$AI,29,FALSE)</f>
        <v>63.93</v>
      </c>
      <c r="AM602" t="str">
        <f>VLOOKUP($J602,'[1]Table S6'!$A:$AI,30,FALSE)</f>
        <v>No</v>
      </c>
      <c r="AO602">
        <f>VLOOKUP($J602,'[1]Table S6'!$A:$AI,32,FALSE)</f>
        <v>400.6</v>
      </c>
      <c r="AP602">
        <f>VLOOKUP($J602,'[1]Table S6'!$A:$AI,33,FALSE)</f>
        <v>0.85252181315173403</v>
      </c>
      <c r="AQ602">
        <f>VLOOKUP($J602,'[1]Table S6'!$A:$AI,34,FALSE)</f>
        <v>27.04</v>
      </c>
      <c r="AR602" t="str">
        <f>VLOOKUP($J602,'[1]Table S6'!$A:$AI,35,FALSE)</f>
        <v>No</v>
      </c>
      <c r="AT602" t="e">
        <f>VLOOKUP($I602,'[2]Table S5'!$A:$K,8,FALSE)</f>
        <v>#N/A</v>
      </c>
      <c r="AU602" t="e">
        <f>VLOOKUP($I602,'[2]Table S5'!$A:$K,9,FALSE)</f>
        <v>#N/A</v>
      </c>
      <c r="AV602" t="e">
        <f>VLOOKUP($I602,'[2]Table S5'!$A:$K,10,FALSE)</f>
        <v>#N/A</v>
      </c>
      <c r="AW602" t="e">
        <f>VLOOKUP($I602,'[2]Table S5'!$A:$K,11,FALSE)</f>
        <v>#N/A</v>
      </c>
    </row>
    <row r="603" spans="1:49">
      <c r="A603" s="12" t="s">
        <v>3823</v>
      </c>
      <c r="B603" t="s">
        <v>3824</v>
      </c>
      <c r="C603" t="s">
        <v>3825</v>
      </c>
      <c r="D603" t="s">
        <v>17</v>
      </c>
      <c r="E603" t="s">
        <v>1775</v>
      </c>
      <c r="F603" s="12" t="s">
        <v>1776</v>
      </c>
      <c r="G603" t="s">
        <v>1777</v>
      </c>
      <c r="H603" t="s">
        <v>1778</v>
      </c>
      <c r="I603" t="s">
        <v>1741</v>
      </c>
      <c r="J603" t="s">
        <v>1764</v>
      </c>
      <c r="K603">
        <f>VLOOKUP($J603,'[1]Table S6'!$A:$AI,2,FALSE)</f>
        <v>338</v>
      </c>
      <c r="L603">
        <f>VLOOKUP($J603,'[1]Table S6'!$A:$AI,3,FALSE)</f>
        <v>0.719301979144499</v>
      </c>
      <c r="M603">
        <f>VLOOKUP($J603,'[1]Table S6'!$A:$AI,4,FALSE)</f>
        <v>3.6880000000000002</v>
      </c>
      <c r="N603" t="str">
        <f>VLOOKUP($J603,'[1]Table S6'!$A:$AI,5,FALSE)</f>
        <v>No</v>
      </c>
      <c r="P603">
        <f>VLOOKUP($J603,'[1]Table S6'!$A:$AI,7,FALSE)</f>
        <v>400.8</v>
      </c>
      <c r="Q603">
        <f>VLOOKUP($J603,'[1]Table S6'!$A:$AI,8,FALSE)</f>
        <v>0.85294743562460096</v>
      </c>
      <c r="R603">
        <f>VLOOKUP($J603,'[1]Table S6'!$A:$AI,9,FALSE)</f>
        <v>32.46</v>
      </c>
      <c r="S603" t="str">
        <f>VLOOKUP($J603,'[1]Table S6'!$A:$AI,10,FALSE)</f>
        <v>No</v>
      </c>
      <c r="U603">
        <f>VLOOKUP($J603,'[1]Table S6'!$A:$AI,12,FALSE)</f>
        <v>314.8</v>
      </c>
      <c r="V603">
        <f>VLOOKUP($J603,'[1]Table S6'!$A:$AI,13,FALSE)</f>
        <v>0.66992977229197703</v>
      </c>
      <c r="W603">
        <f>VLOOKUP($J603,'[1]Table S6'!$A:$AI,14,FALSE)</f>
        <v>1.69</v>
      </c>
      <c r="X603" t="str">
        <f>VLOOKUP($J603,'[1]Table S6'!$A:$AI,15,FALSE)</f>
        <v>Yes</v>
      </c>
      <c r="Z603">
        <f>VLOOKUP($J603,'[1]Table S6'!$A:$AI,17,FALSE)</f>
        <v>377.6</v>
      </c>
      <c r="AA603">
        <f>VLOOKUP($J603,'[1]Table S6'!$A:$AI,18,FALSE)</f>
        <v>0.80357522877207899</v>
      </c>
      <c r="AB603">
        <f>VLOOKUP($J603,'[1]Table S6'!$A:$AI,19,FALSE)</f>
        <v>12.17</v>
      </c>
      <c r="AC603" t="str">
        <f>VLOOKUP($J603,'[1]Table S6'!$A:$AI,20,FALSE)</f>
        <v>No</v>
      </c>
      <c r="AE603">
        <f>VLOOKUP($J603,'[1]Table S6'!$A:$AI,22,FALSE)</f>
        <v>395.6</v>
      </c>
      <c r="AF603">
        <f>VLOOKUP($J603,'[1]Table S6'!$A:$AI,23,FALSE)</f>
        <v>0.84188125133006997</v>
      </c>
      <c r="AG603">
        <f>VLOOKUP($J603,'[1]Table S6'!$A:$AI,24,FALSE)</f>
        <v>25.05</v>
      </c>
      <c r="AH603" t="str">
        <f>VLOOKUP($J603,'[1]Table S6'!$A:$AI,25,FALSE)</f>
        <v>No</v>
      </c>
      <c r="AJ603">
        <f>VLOOKUP($J603,'[1]Table S6'!$A:$AI,27,FALSE)</f>
        <v>420.5</v>
      </c>
      <c r="AK603">
        <f>VLOOKUP($J603,'[1]Table S6'!$A:$AI,28,FALSE)</f>
        <v>0.89487124920195804</v>
      </c>
      <c r="AL603">
        <f>VLOOKUP($J603,'[1]Table S6'!$A:$AI,29,FALSE)</f>
        <v>63.93</v>
      </c>
      <c r="AM603" t="str">
        <f>VLOOKUP($J603,'[1]Table S6'!$A:$AI,30,FALSE)</f>
        <v>No</v>
      </c>
      <c r="AO603">
        <f>VLOOKUP($J603,'[1]Table S6'!$A:$AI,32,FALSE)</f>
        <v>400.6</v>
      </c>
      <c r="AP603">
        <f>VLOOKUP($J603,'[1]Table S6'!$A:$AI,33,FALSE)</f>
        <v>0.85252181315173403</v>
      </c>
      <c r="AQ603">
        <f>VLOOKUP($J603,'[1]Table S6'!$A:$AI,34,FALSE)</f>
        <v>27.04</v>
      </c>
      <c r="AR603" t="str">
        <f>VLOOKUP($J603,'[1]Table S6'!$A:$AI,35,FALSE)</f>
        <v>No</v>
      </c>
      <c r="AT603" t="e">
        <f>VLOOKUP($I603,'[2]Table S5'!$A:$K,8,FALSE)</f>
        <v>#N/A</v>
      </c>
      <c r="AU603" t="e">
        <f>VLOOKUP($I603,'[2]Table S5'!$A:$K,9,FALSE)</f>
        <v>#N/A</v>
      </c>
      <c r="AV603" t="e">
        <f>VLOOKUP($I603,'[2]Table S5'!$A:$K,10,FALSE)</f>
        <v>#N/A</v>
      </c>
      <c r="AW603" t="e">
        <f>VLOOKUP($I603,'[2]Table S5'!$A:$K,11,FALSE)</f>
        <v>#N/A</v>
      </c>
    </row>
    <row r="604" spans="1:49">
      <c r="A604" s="12" t="s">
        <v>3826</v>
      </c>
      <c r="B604" t="s">
        <v>3827</v>
      </c>
      <c r="C604" t="s">
        <v>3828</v>
      </c>
      <c r="D604" t="s">
        <v>17</v>
      </c>
      <c r="E604" t="s">
        <v>1782</v>
      </c>
      <c r="F604" s="12" t="s">
        <v>1783</v>
      </c>
      <c r="G604" t="s">
        <v>1784</v>
      </c>
      <c r="H604" t="s">
        <v>1785</v>
      </c>
      <c r="I604" t="s">
        <v>1741</v>
      </c>
      <c r="J604" t="s">
        <v>1786</v>
      </c>
      <c r="K604">
        <f>VLOOKUP($J604,'[1]Table S6'!$A:$AI,2,FALSE)</f>
        <v>394.9</v>
      </c>
      <c r="L604">
        <f>VLOOKUP($J604,'[1]Table S6'!$A:$AI,3,FALSE)</f>
        <v>0.84039157267503695</v>
      </c>
      <c r="M604">
        <f>VLOOKUP($J604,'[1]Table S6'!$A:$AI,4,FALSE)</f>
        <v>25.17</v>
      </c>
      <c r="N604" t="str">
        <f>VLOOKUP($J604,'[1]Table S6'!$A:$AI,5,FALSE)</f>
        <v>No</v>
      </c>
      <c r="P604">
        <f>VLOOKUP($J604,'[1]Table S6'!$A:$AI,7,FALSE)</f>
        <v>407.9</v>
      </c>
      <c r="Q604">
        <f>VLOOKUP($J604,'[1]Table S6'!$A:$AI,8,FALSE)</f>
        <v>0.86805703341136398</v>
      </c>
      <c r="R604">
        <f>VLOOKUP($J604,'[1]Table S6'!$A:$AI,9,FALSE)</f>
        <v>42.59</v>
      </c>
      <c r="S604" t="str">
        <f>VLOOKUP($J604,'[1]Table S6'!$A:$AI,10,FALSE)</f>
        <v>No</v>
      </c>
      <c r="U604">
        <f>VLOOKUP($J604,'[1]Table S6'!$A:$AI,12,FALSE)</f>
        <v>378.8</v>
      </c>
      <c r="V604">
        <f>VLOOKUP($J604,'[1]Table S6'!$A:$AI,13,FALSE)</f>
        <v>0.80612896360927899</v>
      </c>
      <c r="W604">
        <f>VLOOKUP($J604,'[1]Table S6'!$A:$AI,14,FALSE)</f>
        <v>12.3</v>
      </c>
      <c r="X604" t="str">
        <f>VLOOKUP($J604,'[1]Table S6'!$A:$AI,15,FALSE)</f>
        <v>No</v>
      </c>
      <c r="Z604">
        <f>VLOOKUP($J604,'[1]Table S6'!$A:$AI,17,FALSE)</f>
        <v>352</v>
      </c>
      <c r="AA604">
        <f>VLOOKUP($J604,'[1]Table S6'!$A:$AI,18,FALSE)</f>
        <v>0.749095552245159</v>
      </c>
      <c r="AB604">
        <f>VLOOKUP($J604,'[1]Table S6'!$A:$AI,19,FALSE)</f>
        <v>5.9779999999999998</v>
      </c>
      <c r="AC604" t="str">
        <f>VLOOKUP($J604,'[1]Table S6'!$A:$AI,20,FALSE)</f>
        <v>No</v>
      </c>
      <c r="AE604">
        <f>VLOOKUP($J604,'[1]Table S6'!$A:$AI,22,FALSE)</f>
        <v>377.1</v>
      </c>
      <c r="AF604">
        <f>VLOOKUP($J604,'[1]Table S6'!$A:$AI,23,FALSE)</f>
        <v>0.802511172589913</v>
      </c>
      <c r="AG604">
        <f>VLOOKUP($J604,'[1]Table S6'!$A:$AI,24,FALSE)</f>
        <v>11.72</v>
      </c>
      <c r="AH604" t="str">
        <f>VLOOKUP($J604,'[1]Table S6'!$A:$AI,25,FALSE)</f>
        <v>No</v>
      </c>
      <c r="AJ604">
        <f>VLOOKUP($J604,'[1]Table S6'!$A:$AI,27,FALSE)</f>
        <v>410.6</v>
      </c>
      <c r="AK604">
        <f>VLOOKUP($J604,'[1]Table S6'!$A:$AI,28,FALSE)</f>
        <v>0.87380293679506305</v>
      </c>
      <c r="AL604">
        <f>VLOOKUP($J604,'[1]Table S6'!$A:$AI,29,FALSE)</f>
        <v>50.77</v>
      </c>
      <c r="AM604" t="str">
        <f>VLOOKUP($J604,'[1]Table S6'!$A:$AI,30,FALSE)</f>
        <v>No</v>
      </c>
      <c r="AO604">
        <f>VLOOKUP($J604,'[1]Table S6'!$A:$AI,32,FALSE)</f>
        <v>338.9</v>
      </c>
      <c r="AP604">
        <f>VLOOKUP($J604,'[1]Table S6'!$A:$AI,33,FALSE)</f>
        <v>0.72121728027239795</v>
      </c>
      <c r="AQ604">
        <f>VLOOKUP($J604,'[1]Table S6'!$A:$AI,34,FALSE)</f>
        <v>3.4740000000000002</v>
      </c>
      <c r="AR604" t="str">
        <f>VLOOKUP($J604,'[1]Table S6'!$A:$AI,35,FALSE)</f>
        <v>No</v>
      </c>
      <c r="AT604" t="e">
        <f>VLOOKUP($I604,'[2]Table S5'!$A:$K,8,FALSE)</f>
        <v>#N/A</v>
      </c>
      <c r="AU604" t="e">
        <f>VLOOKUP($I604,'[2]Table S5'!$A:$K,9,FALSE)</f>
        <v>#N/A</v>
      </c>
      <c r="AV604" t="e">
        <f>VLOOKUP($I604,'[2]Table S5'!$A:$K,10,FALSE)</f>
        <v>#N/A</v>
      </c>
      <c r="AW604" t="e">
        <f>VLOOKUP($I604,'[2]Table S5'!$A:$K,11,FALSE)</f>
        <v>#N/A</v>
      </c>
    </row>
    <row r="605" spans="1:49">
      <c r="A605" s="12" t="s">
        <v>3829</v>
      </c>
      <c r="B605" t="s">
        <v>3830</v>
      </c>
      <c r="C605" t="s">
        <v>3831</v>
      </c>
      <c r="D605" t="s">
        <v>17</v>
      </c>
      <c r="E605" t="s">
        <v>1790</v>
      </c>
      <c r="F605" s="12" t="s">
        <v>1791</v>
      </c>
      <c r="G605" t="s">
        <v>1792</v>
      </c>
      <c r="H605" t="s">
        <v>1793</v>
      </c>
      <c r="I605" t="s">
        <v>1741</v>
      </c>
      <c r="J605" t="s">
        <v>1786</v>
      </c>
      <c r="K605">
        <f>VLOOKUP($J605,'[1]Table S6'!$A:$AI,2,FALSE)</f>
        <v>394.9</v>
      </c>
      <c r="L605">
        <f>VLOOKUP($J605,'[1]Table S6'!$A:$AI,3,FALSE)</f>
        <v>0.84039157267503695</v>
      </c>
      <c r="M605">
        <f>VLOOKUP($J605,'[1]Table S6'!$A:$AI,4,FALSE)</f>
        <v>25.17</v>
      </c>
      <c r="N605" t="str">
        <f>VLOOKUP($J605,'[1]Table S6'!$A:$AI,5,FALSE)</f>
        <v>No</v>
      </c>
      <c r="P605">
        <f>VLOOKUP($J605,'[1]Table S6'!$A:$AI,7,FALSE)</f>
        <v>407.9</v>
      </c>
      <c r="Q605">
        <f>VLOOKUP($J605,'[1]Table S6'!$A:$AI,8,FALSE)</f>
        <v>0.86805703341136398</v>
      </c>
      <c r="R605">
        <f>VLOOKUP($J605,'[1]Table S6'!$A:$AI,9,FALSE)</f>
        <v>42.59</v>
      </c>
      <c r="S605" t="str">
        <f>VLOOKUP($J605,'[1]Table S6'!$A:$AI,10,FALSE)</f>
        <v>No</v>
      </c>
      <c r="U605">
        <f>VLOOKUP($J605,'[1]Table S6'!$A:$AI,12,FALSE)</f>
        <v>378.8</v>
      </c>
      <c r="V605">
        <f>VLOOKUP($J605,'[1]Table S6'!$A:$AI,13,FALSE)</f>
        <v>0.80612896360927899</v>
      </c>
      <c r="W605">
        <f>VLOOKUP($J605,'[1]Table S6'!$A:$AI,14,FALSE)</f>
        <v>12.3</v>
      </c>
      <c r="X605" t="str">
        <f>VLOOKUP($J605,'[1]Table S6'!$A:$AI,15,FALSE)</f>
        <v>No</v>
      </c>
      <c r="Z605">
        <f>VLOOKUP($J605,'[1]Table S6'!$A:$AI,17,FALSE)</f>
        <v>352</v>
      </c>
      <c r="AA605">
        <f>VLOOKUP($J605,'[1]Table S6'!$A:$AI,18,FALSE)</f>
        <v>0.749095552245159</v>
      </c>
      <c r="AB605">
        <f>VLOOKUP($J605,'[1]Table S6'!$A:$AI,19,FALSE)</f>
        <v>5.9779999999999998</v>
      </c>
      <c r="AC605" t="str">
        <f>VLOOKUP($J605,'[1]Table S6'!$A:$AI,20,FALSE)</f>
        <v>No</v>
      </c>
      <c r="AE605">
        <f>VLOOKUP($J605,'[1]Table S6'!$A:$AI,22,FALSE)</f>
        <v>377.1</v>
      </c>
      <c r="AF605">
        <f>VLOOKUP($J605,'[1]Table S6'!$A:$AI,23,FALSE)</f>
        <v>0.802511172589913</v>
      </c>
      <c r="AG605">
        <f>VLOOKUP($J605,'[1]Table S6'!$A:$AI,24,FALSE)</f>
        <v>11.72</v>
      </c>
      <c r="AH605" t="str">
        <f>VLOOKUP($J605,'[1]Table S6'!$A:$AI,25,FALSE)</f>
        <v>No</v>
      </c>
      <c r="AJ605">
        <f>VLOOKUP($J605,'[1]Table S6'!$A:$AI,27,FALSE)</f>
        <v>410.6</v>
      </c>
      <c r="AK605">
        <f>VLOOKUP($J605,'[1]Table S6'!$A:$AI,28,FALSE)</f>
        <v>0.87380293679506305</v>
      </c>
      <c r="AL605">
        <f>VLOOKUP($J605,'[1]Table S6'!$A:$AI,29,FALSE)</f>
        <v>50.77</v>
      </c>
      <c r="AM605" t="str">
        <f>VLOOKUP($J605,'[1]Table S6'!$A:$AI,30,FALSE)</f>
        <v>No</v>
      </c>
      <c r="AO605">
        <f>VLOOKUP($J605,'[1]Table S6'!$A:$AI,32,FALSE)</f>
        <v>338.9</v>
      </c>
      <c r="AP605">
        <f>VLOOKUP($J605,'[1]Table S6'!$A:$AI,33,FALSE)</f>
        <v>0.72121728027239795</v>
      </c>
      <c r="AQ605">
        <f>VLOOKUP($J605,'[1]Table S6'!$A:$AI,34,FALSE)</f>
        <v>3.4740000000000002</v>
      </c>
      <c r="AR605" t="str">
        <f>VLOOKUP($J605,'[1]Table S6'!$A:$AI,35,FALSE)</f>
        <v>No</v>
      </c>
      <c r="AT605" t="e">
        <f>VLOOKUP($I605,'[2]Table S5'!$A:$K,8,FALSE)</f>
        <v>#N/A</v>
      </c>
      <c r="AU605" t="e">
        <f>VLOOKUP($I605,'[2]Table S5'!$A:$K,9,FALSE)</f>
        <v>#N/A</v>
      </c>
      <c r="AV605" t="e">
        <f>VLOOKUP($I605,'[2]Table S5'!$A:$K,10,FALSE)</f>
        <v>#N/A</v>
      </c>
      <c r="AW605" t="e">
        <f>VLOOKUP($I605,'[2]Table S5'!$A:$K,11,FALSE)</f>
        <v>#N/A</v>
      </c>
    </row>
    <row r="606" spans="1:49">
      <c r="A606" s="12" t="s">
        <v>3832</v>
      </c>
      <c r="B606" t="s">
        <v>3833</v>
      </c>
      <c r="C606" t="s">
        <v>3834</v>
      </c>
      <c r="D606" t="s">
        <v>17</v>
      </c>
      <c r="E606" t="s">
        <v>1797</v>
      </c>
      <c r="F606" s="12" t="s">
        <v>1798</v>
      </c>
      <c r="G606" t="s">
        <v>1799</v>
      </c>
      <c r="H606" t="s">
        <v>1800</v>
      </c>
      <c r="I606" t="s">
        <v>1741</v>
      </c>
      <c r="J606" t="s">
        <v>1786</v>
      </c>
      <c r="K606">
        <f>VLOOKUP($J606,'[1]Table S6'!$A:$AI,2,FALSE)</f>
        <v>394.9</v>
      </c>
      <c r="L606">
        <f>VLOOKUP($J606,'[1]Table S6'!$A:$AI,3,FALSE)</f>
        <v>0.84039157267503695</v>
      </c>
      <c r="M606">
        <f>VLOOKUP($J606,'[1]Table S6'!$A:$AI,4,FALSE)</f>
        <v>25.17</v>
      </c>
      <c r="N606" t="str">
        <f>VLOOKUP($J606,'[1]Table S6'!$A:$AI,5,FALSE)</f>
        <v>No</v>
      </c>
      <c r="P606">
        <f>VLOOKUP($J606,'[1]Table S6'!$A:$AI,7,FALSE)</f>
        <v>407.9</v>
      </c>
      <c r="Q606">
        <f>VLOOKUP($J606,'[1]Table S6'!$A:$AI,8,FALSE)</f>
        <v>0.86805703341136398</v>
      </c>
      <c r="R606">
        <f>VLOOKUP($J606,'[1]Table S6'!$A:$AI,9,FALSE)</f>
        <v>42.59</v>
      </c>
      <c r="S606" t="str">
        <f>VLOOKUP($J606,'[1]Table S6'!$A:$AI,10,FALSE)</f>
        <v>No</v>
      </c>
      <c r="U606">
        <f>VLOOKUP($J606,'[1]Table S6'!$A:$AI,12,FALSE)</f>
        <v>378.8</v>
      </c>
      <c r="V606">
        <f>VLOOKUP($J606,'[1]Table S6'!$A:$AI,13,FALSE)</f>
        <v>0.80612896360927899</v>
      </c>
      <c r="W606">
        <f>VLOOKUP($J606,'[1]Table S6'!$A:$AI,14,FALSE)</f>
        <v>12.3</v>
      </c>
      <c r="X606" t="str">
        <f>VLOOKUP($J606,'[1]Table S6'!$A:$AI,15,FALSE)</f>
        <v>No</v>
      </c>
      <c r="Z606">
        <f>VLOOKUP($J606,'[1]Table S6'!$A:$AI,17,FALSE)</f>
        <v>352</v>
      </c>
      <c r="AA606">
        <f>VLOOKUP($J606,'[1]Table S6'!$A:$AI,18,FALSE)</f>
        <v>0.749095552245159</v>
      </c>
      <c r="AB606">
        <f>VLOOKUP($J606,'[1]Table S6'!$A:$AI,19,FALSE)</f>
        <v>5.9779999999999998</v>
      </c>
      <c r="AC606" t="str">
        <f>VLOOKUP($J606,'[1]Table S6'!$A:$AI,20,FALSE)</f>
        <v>No</v>
      </c>
      <c r="AE606">
        <f>VLOOKUP($J606,'[1]Table S6'!$A:$AI,22,FALSE)</f>
        <v>377.1</v>
      </c>
      <c r="AF606">
        <f>VLOOKUP($J606,'[1]Table S6'!$A:$AI,23,FALSE)</f>
        <v>0.802511172589913</v>
      </c>
      <c r="AG606">
        <f>VLOOKUP($J606,'[1]Table S6'!$A:$AI,24,FALSE)</f>
        <v>11.72</v>
      </c>
      <c r="AH606" t="str">
        <f>VLOOKUP($J606,'[1]Table S6'!$A:$AI,25,FALSE)</f>
        <v>No</v>
      </c>
      <c r="AJ606">
        <f>VLOOKUP($J606,'[1]Table S6'!$A:$AI,27,FALSE)</f>
        <v>410.6</v>
      </c>
      <c r="AK606">
        <f>VLOOKUP($J606,'[1]Table S6'!$A:$AI,28,FALSE)</f>
        <v>0.87380293679506305</v>
      </c>
      <c r="AL606">
        <f>VLOOKUP($J606,'[1]Table S6'!$A:$AI,29,FALSE)</f>
        <v>50.77</v>
      </c>
      <c r="AM606" t="str">
        <f>VLOOKUP($J606,'[1]Table S6'!$A:$AI,30,FALSE)</f>
        <v>No</v>
      </c>
      <c r="AO606">
        <f>VLOOKUP($J606,'[1]Table S6'!$A:$AI,32,FALSE)</f>
        <v>338.9</v>
      </c>
      <c r="AP606">
        <f>VLOOKUP($J606,'[1]Table S6'!$A:$AI,33,FALSE)</f>
        <v>0.72121728027239795</v>
      </c>
      <c r="AQ606">
        <f>VLOOKUP($J606,'[1]Table S6'!$A:$AI,34,FALSE)</f>
        <v>3.4740000000000002</v>
      </c>
      <c r="AR606" t="str">
        <f>VLOOKUP($J606,'[1]Table S6'!$A:$AI,35,FALSE)</f>
        <v>No</v>
      </c>
      <c r="AT606" t="e">
        <f>VLOOKUP($I606,'[2]Table S5'!$A:$K,8,FALSE)</f>
        <v>#N/A</v>
      </c>
      <c r="AU606" t="e">
        <f>VLOOKUP($I606,'[2]Table S5'!$A:$K,9,FALSE)</f>
        <v>#N/A</v>
      </c>
      <c r="AV606" t="e">
        <f>VLOOKUP($I606,'[2]Table S5'!$A:$K,10,FALSE)</f>
        <v>#N/A</v>
      </c>
      <c r="AW606" t="e">
        <f>VLOOKUP($I606,'[2]Table S5'!$A:$K,11,FALSE)</f>
        <v>#N/A</v>
      </c>
    </row>
    <row r="607" spans="1:49">
      <c r="A607" s="12" t="s">
        <v>3835</v>
      </c>
      <c r="B607" t="s">
        <v>3836</v>
      </c>
      <c r="C607" t="s">
        <v>3837</v>
      </c>
      <c r="D607" t="s">
        <v>17</v>
      </c>
      <c r="E607" t="s">
        <v>3838</v>
      </c>
      <c r="F607" s="12" t="s">
        <v>3839</v>
      </c>
      <c r="G607" t="s">
        <v>3840</v>
      </c>
      <c r="H607" t="s">
        <v>3841</v>
      </c>
      <c r="I607" t="s">
        <v>3842</v>
      </c>
      <c r="J607" t="s">
        <v>3843</v>
      </c>
      <c r="K607">
        <f>VLOOKUP($J607,'[1]Table S6'!$A:$AI,2,FALSE)</f>
        <v>394.5</v>
      </c>
      <c r="L607">
        <f>VLOOKUP($J607,'[1]Table S6'!$A:$AI,3,FALSE)</f>
        <v>0.83954032772930398</v>
      </c>
      <c r="M607">
        <f>VLOOKUP($J607,'[1]Table S6'!$A:$AI,4,FALSE)</f>
        <v>21.38</v>
      </c>
      <c r="N607" t="str">
        <f>VLOOKUP($J607,'[1]Table S6'!$A:$AI,5,FALSE)</f>
        <v>No</v>
      </c>
      <c r="P607">
        <f>VLOOKUP($J607,'[1]Table S6'!$A:$AI,7,FALSE)</f>
        <v>333.7</v>
      </c>
      <c r="Q607">
        <f>VLOOKUP($J607,'[1]Table S6'!$A:$AI,8,FALSE)</f>
        <v>0.71015109597786796</v>
      </c>
      <c r="R607">
        <f>VLOOKUP($J607,'[1]Table S6'!$A:$AI,9,FALSE)</f>
        <v>3.1989999999999998</v>
      </c>
      <c r="S607" t="str">
        <f>VLOOKUP($J607,'[1]Table S6'!$A:$AI,10,FALSE)</f>
        <v>No</v>
      </c>
      <c r="U607">
        <f>VLOOKUP($J607,'[1]Table S6'!$A:$AI,12,FALSE)</f>
        <v>328.1</v>
      </c>
      <c r="V607">
        <f>VLOOKUP($J607,'[1]Table S6'!$A:$AI,13,FALSE)</f>
        <v>0.69823366673760401</v>
      </c>
      <c r="W607">
        <f>VLOOKUP($J607,'[1]Table S6'!$A:$AI,14,FALSE)</f>
        <v>2.399</v>
      </c>
      <c r="X607" t="str">
        <f>VLOOKUP($J607,'[1]Table S6'!$A:$AI,15,FALSE)</f>
        <v>Yes</v>
      </c>
      <c r="Z607">
        <f>VLOOKUP($J607,'[1]Table S6'!$A:$AI,17,FALSE)</f>
        <v>387.7</v>
      </c>
      <c r="AA607">
        <f>VLOOKUP($J607,'[1]Table S6'!$A:$AI,18,FALSE)</f>
        <v>0.82506916365184102</v>
      </c>
      <c r="AB607">
        <f>VLOOKUP($J607,'[1]Table S6'!$A:$AI,19,FALSE)</f>
        <v>19.32</v>
      </c>
      <c r="AC607" t="str">
        <f>VLOOKUP($J607,'[1]Table S6'!$A:$AI,20,FALSE)</f>
        <v>No</v>
      </c>
      <c r="AE607">
        <f>VLOOKUP($J607,'[1]Table S6'!$A:$AI,22,FALSE)</f>
        <v>335.1</v>
      </c>
      <c r="AF607">
        <f>VLOOKUP($J607,'[1]Table S6'!$A:$AI,23,FALSE)</f>
        <v>0.71313045328793401</v>
      </c>
      <c r="AG607">
        <f>VLOOKUP($J607,'[1]Table S6'!$A:$AI,24,FALSE)</f>
        <v>3.4079999999999999</v>
      </c>
      <c r="AH607" t="str">
        <f>VLOOKUP($J607,'[1]Table S6'!$A:$AI,25,FALSE)</f>
        <v>No</v>
      </c>
      <c r="AJ607">
        <f>VLOOKUP($J607,'[1]Table S6'!$A:$AI,27,FALSE)</f>
        <v>413.4</v>
      </c>
      <c r="AK607">
        <f>VLOOKUP($J607,'[1]Table S6'!$A:$AI,28,FALSE)</f>
        <v>0.87976165141519502</v>
      </c>
      <c r="AL607">
        <f>VLOOKUP($J607,'[1]Table S6'!$A:$AI,29,FALSE)</f>
        <v>44.06</v>
      </c>
      <c r="AM607" t="str">
        <f>VLOOKUP($J607,'[1]Table S6'!$A:$AI,30,FALSE)</f>
        <v>No</v>
      </c>
      <c r="AO607">
        <f>VLOOKUP($J607,'[1]Table S6'!$A:$AI,32,FALSE)</f>
        <v>416.9</v>
      </c>
      <c r="AP607">
        <f>VLOOKUP($J607,'[1]Table S6'!$A:$AI,33,FALSE)</f>
        <v>0.88721004469036002</v>
      </c>
      <c r="AQ607">
        <f>VLOOKUP($J607,'[1]Table S6'!$A:$AI,34,FALSE)</f>
        <v>55.32</v>
      </c>
      <c r="AR607" t="str">
        <f>VLOOKUP($J607,'[1]Table S6'!$A:$AI,35,FALSE)</f>
        <v>No</v>
      </c>
      <c r="AT607" t="e">
        <f>VLOOKUP($I607,'[2]Table S5'!$A:$K,8,FALSE)</f>
        <v>#N/A</v>
      </c>
      <c r="AU607" t="e">
        <f>VLOOKUP($I607,'[2]Table S5'!$A:$K,9,FALSE)</f>
        <v>#N/A</v>
      </c>
      <c r="AV607" t="e">
        <f>VLOOKUP($I607,'[2]Table S5'!$A:$K,10,FALSE)</f>
        <v>#N/A</v>
      </c>
      <c r="AW607" t="e">
        <f>VLOOKUP($I607,'[2]Table S5'!$A:$K,11,FALSE)</f>
        <v>#N/A</v>
      </c>
    </row>
    <row r="608" spans="1:49">
      <c r="A608" s="12" t="s">
        <v>3844</v>
      </c>
      <c r="B608" t="s">
        <v>3845</v>
      </c>
      <c r="C608" t="s">
        <v>3846</v>
      </c>
      <c r="D608" t="s">
        <v>17</v>
      </c>
      <c r="E608" t="s">
        <v>3847</v>
      </c>
      <c r="F608" s="12" t="s">
        <v>3848</v>
      </c>
      <c r="G608" t="s">
        <v>3849</v>
      </c>
      <c r="H608" t="s">
        <v>3850</v>
      </c>
      <c r="I608" t="s">
        <v>3842</v>
      </c>
      <c r="J608" t="s">
        <v>3851</v>
      </c>
      <c r="K608">
        <f>VLOOKUP($J608,'[1]Table S6'!$A:$AI,2,FALSE)</f>
        <v>397.9</v>
      </c>
      <c r="L608">
        <f>VLOOKUP($J608,'[1]Table S6'!$A:$AI,3,FALSE)</f>
        <v>0.84677590976803596</v>
      </c>
      <c r="M608">
        <f>VLOOKUP($J608,'[1]Table S6'!$A:$AI,4,FALSE)</f>
        <v>23.81</v>
      </c>
      <c r="N608" t="str">
        <f>VLOOKUP($J608,'[1]Table S6'!$A:$AI,5,FALSE)</f>
        <v>No</v>
      </c>
      <c r="P608">
        <f>VLOOKUP($J608,'[1]Table S6'!$A:$AI,7,FALSE)</f>
        <v>346.2</v>
      </c>
      <c r="Q608">
        <f>VLOOKUP($J608,'[1]Table S6'!$A:$AI,8,FALSE)</f>
        <v>0.73675250053202801</v>
      </c>
      <c r="R608">
        <f>VLOOKUP($J608,'[1]Table S6'!$A:$AI,9,FALSE)</f>
        <v>4.4729999999999999</v>
      </c>
      <c r="S608" t="str">
        <f>VLOOKUP($J608,'[1]Table S6'!$A:$AI,10,FALSE)</f>
        <v>No</v>
      </c>
      <c r="U608">
        <f>VLOOKUP($J608,'[1]Table S6'!$A:$AI,12,FALSE)</f>
        <v>320.89999999999998</v>
      </c>
      <c r="V608">
        <f>VLOOKUP($J608,'[1]Table S6'!$A:$AI,13,FALSE)</f>
        <v>0.68291125771440697</v>
      </c>
      <c r="W608">
        <f>VLOOKUP($J608,'[1]Table S6'!$A:$AI,14,FALSE)</f>
        <v>1.929</v>
      </c>
      <c r="X608" t="str">
        <f>VLOOKUP($J608,'[1]Table S6'!$A:$AI,15,FALSE)</f>
        <v>Yes</v>
      </c>
      <c r="Z608">
        <f>VLOOKUP($J608,'[1]Table S6'!$A:$AI,17,FALSE)</f>
        <v>365.5</v>
      </c>
      <c r="AA608">
        <f>VLOOKUP($J608,'[1]Table S6'!$A:$AI,18,FALSE)</f>
        <v>0.77782506916365202</v>
      </c>
      <c r="AB608">
        <f>VLOOKUP($J608,'[1]Table S6'!$A:$AI,19,FALSE)</f>
        <v>8.218</v>
      </c>
      <c r="AC608" t="str">
        <f>VLOOKUP($J608,'[1]Table S6'!$A:$AI,20,FALSE)</f>
        <v>No</v>
      </c>
      <c r="AE608">
        <f>VLOOKUP($J608,'[1]Table S6'!$A:$AI,22,FALSE)</f>
        <v>390.5</v>
      </c>
      <c r="AF608">
        <f>VLOOKUP($J608,'[1]Table S6'!$A:$AI,23,FALSE)</f>
        <v>0.831027878271973</v>
      </c>
      <c r="AG608">
        <f>VLOOKUP($J608,'[1]Table S6'!$A:$AI,24,FALSE)</f>
        <v>18.95</v>
      </c>
      <c r="AH608" t="str">
        <f>VLOOKUP($J608,'[1]Table S6'!$A:$AI,25,FALSE)</f>
        <v>No</v>
      </c>
      <c r="AJ608">
        <f>VLOOKUP($J608,'[1]Table S6'!$A:$AI,27,FALSE)</f>
        <v>390.2</v>
      </c>
      <c r="AK608">
        <f>VLOOKUP($J608,'[1]Table S6'!$A:$AI,28,FALSE)</f>
        <v>0.83038944456267305</v>
      </c>
      <c r="AL608">
        <f>VLOOKUP($J608,'[1]Table S6'!$A:$AI,29,FALSE)</f>
        <v>21.58</v>
      </c>
      <c r="AM608" t="str">
        <f>VLOOKUP($J608,'[1]Table S6'!$A:$AI,30,FALSE)</f>
        <v>No</v>
      </c>
      <c r="AO608">
        <f>VLOOKUP($J608,'[1]Table S6'!$A:$AI,32,FALSE)</f>
        <v>404.4</v>
      </c>
      <c r="AP608">
        <f>VLOOKUP($J608,'[1]Table S6'!$A:$AI,33,FALSE)</f>
        <v>0.86060864013619898</v>
      </c>
      <c r="AQ608">
        <f>VLOOKUP($J608,'[1]Table S6'!$A:$AI,34,FALSE)</f>
        <v>31.96</v>
      </c>
      <c r="AR608" t="str">
        <f>VLOOKUP($J608,'[1]Table S6'!$A:$AI,35,FALSE)</f>
        <v>No</v>
      </c>
      <c r="AT608" t="e">
        <f>VLOOKUP($I608,'[2]Table S5'!$A:$K,8,FALSE)</f>
        <v>#N/A</v>
      </c>
      <c r="AU608" t="e">
        <f>VLOOKUP($I608,'[2]Table S5'!$A:$K,9,FALSE)</f>
        <v>#N/A</v>
      </c>
      <c r="AV608" t="e">
        <f>VLOOKUP($I608,'[2]Table S5'!$A:$K,10,FALSE)</f>
        <v>#N/A</v>
      </c>
      <c r="AW608" t="e">
        <f>VLOOKUP($I608,'[2]Table S5'!$A:$K,11,FALSE)</f>
        <v>#N/A</v>
      </c>
    </row>
    <row r="609" spans="1:49">
      <c r="A609" s="12" t="s">
        <v>3852</v>
      </c>
      <c r="B609" t="s">
        <v>3853</v>
      </c>
      <c r="C609" t="s">
        <v>3854</v>
      </c>
      <c r="D609" t="s">
        <v>17</v>
      </c>
      <c r="E609" t="s">
        <v>3855</v>
      </c>
      <c r="F609" s="12" t="s">
        <v>3856</v>
      </c>
      <c r="G609" t="s">
        <v>3857</v>
      </c>
      <c r="H609" t="s">
        <v>3858</v>
      </c>
      <c r="I609" t="s">
        <v>3842</v>
      </c>
      <c r="J609" t="s">
        <v>3859</v>
      </c>
      <c r="K609">
        <f>VLOOKUP($J609,'[1]Table S6'!$A:$AI,2,FALSE)</f>
        <v>407.4</v>
      </c>
      <c r="L609">
        <f>VLOOKUP($J609,'[1]Table S6'!$A:$AI,3,FALSE)</f>
        <v>0.86699297722919799</v>
      </c>
      <c r="M609">
        <f>VLOOKUP($J609,'[1]Table S6'!$A:$AI,4,FALSE)</f>
        <v>30.37</v>
      </c>
      <c r="N609" t="str">
        <f>VLOOKUP($J609,'[1]Table S6'!$A:$AI,5,FALSE)</f>
        <v>No</v>
      </c>
      <c r="P609">
        <f>VLOOKUP($J609,'[1]Table S6'!$A:$AI,7,FALSE)</f>
        <v>348.2</v>
      </c>
      <c r="Q609">
        <f>VLOOKUP($J609,'[1]Table S6'!$A:$AI,8,FALSE)</f>
        <v>0.74100872526069395</v>
      </c>
      <c r="R609">
        <f>VLOOKUP($J609,'[1]Table S6'!$A:$AI,9,FALSE)</f>
        <v>4.8620000000000001</v>
      </c>
      <c r="S609" t="str">
        <f>VLOOKUP($J609,'[1]Table S6'!$A:$AI,10,FALSE)</f>
        <v>No</v>
      </c>
      <c r="U609">
        <f>VLOOKUP($J609,'[1]Table S6'!$A:$AI,12,FALSE)</f>
        <v>317.39999999999998</v>
      </c>
      <c r="V609">
        <f>VLOOKUP($J609,'[1]Table S6'!$A:$AI,13,FALSE)</f>
        <v>0.67546286443924197</v>
      </c>
      <c r="W609">
        <f>VLOOKUP($J609,'[1]Table S6'!$A:$AI,14,FALSE)</f>
        <v>1.65</v>
      </c>
      <c r="X609" t="str">
        <f>VLOOKUP($J609,'[1]Table S6'!$A:$AI,15,FALSE)</f>
        <v>Yes</v>
      </c>
      <c r="Z609">
        <f>VLOOKUP($J609,'[1]Table S6'!$A:$AI,17,FALSE)</f>
        <v>401.6</v>
      </c>
      <c r="AA609">
        <f>VLOOKUP($J609,'[1]Table S6'!$A:$AI,18,FALSE)</f>
        <v>0.854649925516067</v>
      </c>
      <c r="AB609">
        <f>VLOOKUP($J609,'[1]Table S6'!$A:$AI,19,FALSE)</f>
        <v>27.94</v>
      </c>
      <c r="AC609" t="str">
        <f>VLOOKUP($J609,'[1]Table S6'!$A:$AI,20,FALSE)</f>
        <v>No</v>
      </c>
      <c r="AE609">
        <f>VLOOKUP($J609,'[1]Table S6'!$A:$AI,22,FALSE)</f>
        <v>405.1</v>
      </c>
      <c r="AF609">
        <f>VLOOKUP($J609,'[1]Table S6'!$A:$AI,23,FALSE)</f>
        <v>0.862098318791232</v>
      </c>
      <c r="AG609">
        <f>VLOOKUP($J609,'[1]Table S6'!$A:$AI,24,FALSE)</f>
        <v>34.61</v>
      </c>
      <c r="AH609" t="str">
        <f>VLOOKUP($J609,'[1]Table S6'!$A:$AI,25,FALSE)</f>
        <v>No</v>
      </c>
      <c r="AJ609">
        <f>VLOOKUP($J609,'[1]Table S6'!$A:$AI,27,FALSE)</f>
        <v>406.6</v>
      </c>
      <c r="AK609">
        <f>VLOOKUP($J609,'[1]Table S6'!$A:$AI,28,FALSE)</f>
        <v>0.86529048733773195</v>
      </c>
      <c r="AL609">
        <f>VLOOKUP($J609,'[1]Table S6'!$A:$AI,29,FALSE)</f>
        <v>36.200000000000003</v>
      </c>
      <c r="AM609" t="str">
        <f>VLOOKUP($J609,'[1]Table S6'!$A:$AI,30,FALSE)</f>
        <v>No</v>
      </c>
      <c r="AO609">
        <f>VLOOKUP($J609,'[1]Table S6'!$A:$AI,32,FALSE)</f>
        <v>403.3</v>
      </c>
      <c r="AP609">
        <f>VLOOKUP($J609,'[1]Table S6'!$A:$AI,33,FALSE)</f>
        <v>0.85826771653543299</v>
      </c>
      <c r="AQ609">
        <f>VLOOKUP($J609,'[1]Table S6'!$A:$AI,34,FALSE)</f>
        <v>26.56</v>
      </c>
      <c r="AR609" t="str">
        <f>VLOOKUP($J609,'[1]Table S6'!$A:$AI,35,FALSE)</f>
        <v>No</v>
      </c>
      <c r="AT609" t="e">
        <f>VLOOKUP($I609,'[2]Table S5'!$A:$K,8,FALSE)</f>
        <v>#N/A</v>
      </c>
      <c r="AU609" t="e">
        <f>VLOOKUP($I609,'[2]Table S5'!$A:$K,9,FALSE)</f>
        <v>#N/A</v>
      </c>
      <c r="AV609" t="e">
        <f>VLOOKUP($I609,'[2]Table S5'!$A:$K,10,FALSE)</f>
        <v>#N/A</v>
      </c>
      <c r="AW609" t="e">
        <f>VLOOKUP($I609,'[2]Table S5'!$A:$K,11,FALSE)</f>
        <v>#N/A</v>
      </c>
    </row>
    <row r="610" spans="1:49">
      <c r="A610" s="12" t="s">
        <v>3860</v>
      </c>
      <c r="B610" t="s">
        <v>3861</v>
      </c>
      <c r="C610" t="s">
        <v>3862</v>
      </c>
      <c r="D610" t="s">
        <v>17</v>
      </c>
      <c r="E610" t="s">
        <v>3863</v>
      </c>
      <c r="F610" s="12" t="s">
        <v>3864</v>
      </c>
      <c r="G610" t="s">
        <v>3865</v>
      </c>
      <c r="H610" t="s">
        <v>3866</v>
      </c>
      <c r="I610" t="s">
        <v>3867</v>
      </c>
      <c r="J610" t="s">
        <v>3868</v>
      </c>
      <c r="K610">
        <f>VLOOKUP($J610,'[1]Table S6'!$A:$AI,2,FALSE)</f>
        <v>386.9</v>
      </c>
      <c r="L610">
        <f>VLOOKUP($J610,'[1]Table S6'!$A:$AI,3,FALSE)</f>
        <v>0.82336667376037498</v>
      </c>
      <c r="M610">
        <f>VLOOKUP($J610,'[1]Table S6'!$A:$AI,4,FALSE)</f>
        <v>16.41</v>
      </c>
      <c r="N610" t="str">
        <f>VLOOKUP($J610,'[1]Table S6'!$A:$AI,5,FALSE)</f>
        <v>No</v>
      </c>
      <c r="P610">
        <f>VLOOKUP($J610,'[1]Table S6'!$A:$AI,7,FALSE)</f>
        <v>409.6</v>
      </c>
      <c r="Q610">
        <f>VLOOKUP($J610,'[1]Table S6'!$A:$AI,8,FALSE)</f>
        <v>0.87167482443072997</v>
      </c>
      <c r="R610">
        <f>VLOOKUP($J610,'[1]Table S6'!$A:$AI,9,FALSE)</f>
        <v>54.14</v>
      </c>
      <c r="S610" t="str">
        <f>VLOOKUP($J610,'[1]Table S6'!$A:$AI,10,FALSE)</f>
        <v>No</v>
      </c>
      <c r="U610">
        <f>VLOOKUP($J610,'[1]Table S6'!$A:$AI,12,FALSE)</f>
        <v>401</v>
      </c>
      <c r="V610">
        <f>VLOOKUP($J610,'[1]Table S6'!$A:$AI,13,FALSE)</f>
        <v>0.853373058097468</v>
      </c>
      <c r="W610">
        <f>VLOOKUP($J610,'[1]Table S6'!$A:$AI,14,FALSE)</f>
        <v>31.19</v>
      </c>
      <c r="X610" t="str">
        <f>VLOOKUP($J610,'[1]Table S6'!$A:$AI,15,FALSE)</f>
        <v>No</v>
      </c>
      <c r="Z610">
        <f>VLOOKUP($J610,'[1]Table S6'!$A:$AI,17,FALSE)</f>
        <v>409.9</v>
      </c>
      <c r="AA610">
        <f>VLOOKUP($J610,'[1]Table S6'!$A:$AI,18,FALSE)</f>
        <v>0.87231325814003002</v>
      </c>
      <c r="AB610">
        <f>VLOOKUP($J610,'[1]Table S6'!$A:$AI,19,FALSE)</f>
        <v>46.61</v>
      </c>
      <c r="AC610" t="str">
        <f>VLOOKUP($J610,'[1]Table S6'!$A:$AI,20,FALSE)</f>
        <v>No</v>
      </c>
      <c r="AE610">
        <f>VLOOKUP($J610,'[1]Table S6'!$A:$AI,22,FALSE)</f>
        <v>415.3</v>
      </c>
      <c r="AF610">
        <f>VLOOKUP($J610,'[1]Table S6'!$A:$AI,23,FALSE)</f>
        <v>0.88380506490742705</v>
      </c>
      <c r="AG610">
        <f>VLOOKUP($J610,'[1]Table S6'!$A:$AI,24,FALSE)</f>
        <v>51.17</v>
      </c>
      <c r="AH610" t="str">
        <f>VLOOKUP($J610,'[1]Table S6'!$A:$AI,25,FALSE)</f>
        <v>No</v>
      </c>
      <c r="AJ610">
        <f>VLOOKUP($J610,'[1]Table S6'!$A:$AI,27,FALSE)</f>
        <v>417.8</v>
      </c>
      <c r="AK610">
        <f>VLOOKUP($J610,'[1]Table S6'!$A:$AI,28,FALSE)</f>
        <v>0.88912534581825897</v>
      </c>
      <c r="AL610">
        <f>VLOOKUP($J610,'[1]Table S6'!$A:$AI,29,FALSE)</f>
        <v>69.349999999999994</v>
      </c>
      <c r="AM610" t="str">
        <f>VLOOKUP($J610,'[1]Table S6'!$A:$AI,30,FALSE)</f>
        <v>No</v>
      </c>
      <c r="AO610">
        <f>VLOOKUP($J610,'[1]Table S6'!$A:$AI,32,FALSE)</f>
        <v>411.9</v>
      </c>
      <c r="AP610">
        <f>VLOOKUP($J610,'[1]Table S6'!$A:$AI,33,FALSE)</f>
        <v>0.87656948286869596</v>
      </c>
      <c r="AQ610">
        <f>VLOOKUP($J610,'[1]Table S6'!$A:$AI,34,FALSE)</f>
        <v>46.12</v>
      </c>
      <c r="AR610" t="str">
        <f>VLOOKUP($J610,'[1]Table S6'!$A:$AI,35,FALSE)</f>
        <v>No</v>
      </c>
      <c r="AT610" t="e">
        <f>VLOOKUP($I610,'[2]Table S5'!$A:$K,8,FALSE)</f>
        <v>#N/A</v>
      </c>
      <c r="AU610" t="e">
        <f>VLOOKUP($I610,'[2]Table S5'!$A:$K,9,FALSE)</f>
        <v>#N/A</v>
      </c>
      <c r="AV610" t="e">
        <f>VLOOKUP($I610,'[2]Table S5'!$A:$K,10,FALSE)</f>
        <v>#N/A</v>
      </c>
      <c r="AW610" t="e">
        <f>VLOOKUP($I610,'[2]Table S5'!$A:$K,11,FALSE)</f>
        <v>#N/A</v>
      </c>
    </row>
    <row r="611" spans="1:49">
      <c r="A611" s="12" t="s">
        <v>3869</v>
      </c>
      <c r="B611" t="s">
        <v>3870</v>
      </c>
      <c r="C611" t="s">
        <v>3871</v>
      </c>
      <c r="D611" t="s">
        <v>17</v>
      </c>
      <c r="E611" t="s">
        <v>3872</v>
      </c>
      <c r="F611" s="12" t="s">
        <v>3873</v>
      </c>
      <c r="G611" t="s">
        <v>3874</v>
      </c>
      <c r="H611" t="s">
        <v>3875</v>
      </c>
      <c r="I611" t="s">
        <v>3867</v>
      </c>
      <c r="J611" t="s">
        <v>3876</v>
      </c>
      <c r="K611">
        <f>VLOOKUP($J611,'[1]Table S6'!$A:$AI,2,FALSE)</f>
        <v>391.6</v>
      </c>
      <c r="L611">
        <f>VLOOKUP($J611,'[1]Table S6'!$A:$AI,3,FALSE)</f>
        <v>0.83336880187273898</v>
      </c>
      <c r="M611">
        <f>VLOOKUP($J611,'[1]Table S6'!$A:$AI,4,FALSE)</f>
        <v>17.97</v>
      </c>
      <c r="N611" t="str">
        <f>VLOOKUP($J611,'[1]Table S6'!$A:$AI,5,FALSE)</f>
        <v>No</v>
      </c>
      <c r="P611">
        <f>VLOOKUP($J611,'[1]Table S6'!$A:$AI,7,FALSE)</f>
        <v>402.2</v>
      </c>
      <c r="Q611">
        <f>VLOOKUP($J611,'[1]Table S6'!$A:$AI,8,FALSE)</f>
        <v>0.855926792934667</v>
      </c>
      <c r="R611">
        <f>VLOOKUP($J611,'[1]Table S6'!$A:$AI,9,FALSE)</f>
        <v>33.28</v>
      </c>
      <c r="S611" t="str">
        <f>VLOOKUP($J611,'[1]Table S6'!$A:$AI,10,FALSE)</f>
        <v>No</v>
      </c>
      <c r="U611">
        <f>VLOOKUP($J611,'[1]Table S6'!$A:$AI,12,FALSE)</f>
        <v>396.6</v>
      </c>
      <c r="V611">
        <f>VLOOKUP($J611,'[1]Table S6'!$A:$AI,13,FALSE)</f>
        <v>0.84400936369440305</v>
      </c>
      <c r="W611">
        <f>VLOOKUP($J611,'[1]Table S6'!$A:$AI,14,FALSE)</f>
        <v>22.47</v>
      </c>
      <c r="X611" t="str">
        <f>VLOOKUP($J611,'[1]Table S6'!$A:$AI,15,FALSE)</f>
        <v>No</v>
      </c>
      <c r="Z611">
        <f>VLOOKUP($J611,'[1]Table S6'!$A:$AI,17,FALSE)</f>
        <v>386.3</v>
      </c>
      <c r="AA611">
        <f>VLOOKUP($J611,'[1]Table S6'!$A:$AI,18,FALSE)</f>
        <v>0.82208980634177498</v>
      </c>
      <c r="AB611">
        <f>VLOOKUP($J611,'[1]Table S6'!$A:$AI,19,FALSE)</f>
        <v>17.11</v>
      </c>
      <c r="AC611" t="str">
        <f>VLOOKUP($J611,'[1]Table S6'!$A:$AI,20,FALSE)</f>
        <v>No</v>
      </c>
      <c r="AE611">
        <f>VLOOKUP($J611,'[1]Table S6'!$A:$AI,22,FALSE)</f>
        <v>412.1</v>
      </c>
      <c r="AF611">
        <f>VLOOKUP($J611,'[1]Table S6'!$A:$AI,23,FALSE)</f>
        <v>0.876995105341562</v>
      </c>
      <c r="AG611">
        <f>VLOOKUP($J611,'[1]Table S6'!$A:$AI,24,FALSE)</f>
        <v>48.87</v>
      </c>
      <c r="AH611" t="str">
        <f>VLOOKUP($J611,'[1]Table S6'!$A:$AI,25,FALSE)</f>
        <v>No</v>
      </c>
      <c r="AJ611">
        <f>VLOOKUP($J611,'[1]Table S6'!$A:$AI,27,FALSE)</f>
        <v>395.5</v>
      </c>
      <c r="AK611">
        <f>VLOOKUP($J611,'[1]Table S6'!$A:$AI,28,FALSE)</f>
        <v>0.84166844009363695</v>
      </c>
      <c r="AL611">
        <f>VLOOKUP($J611,'[1]Table S6'!$A:$AI,29,FALSE)</f>
        <v>24.32</v>
      </c>
      <c r="AM611" t="str">
        <f>VLOOKUP($J611,'[1]Table S6'!$A:$AI,30,FALSE)</f>
        <v>No</v>
      </c>
      <c r="AO611">
        <f>VLOOKUP($J611,'[1]Table S6'!$A:$AI,32,FALSE)</f>
        <v>407</v>
      </c>
      <c r="AP611">
        <f>VLOOKUP($J611,'[1]Table S6'!$A:$AI,33,FALSE)</f>
        <v>0.86614173228346503</v>
      </c>
      <c r="AQ611">
        <f>VLOOKUP($J611,'[1]Table S6'!$A:$AI,34,FALSE)</f>
        <v>36.69</v>
      </c>
      <c r="AR611" t="str">
        <f>VLOOKUP($J611,'[1]Table S6'!$A:$AI,35,FALSE)</f>
        <v>No</v>
      </c>
      <c r="AT611" t="e">
        <f>VLOOKUP($I611,'[2]Table S5'!$A:$K,8,FALSE)</f>
        <v>#N/A</v>
      </c>
      <c r="AU611" t="e">
        <f>VLOOKUP($I611,'[2]Table S5'!$A:$K,9,FALSE)</f>
        <v>#N/A</v>
      </c>
      <c r="AV611" t="e">
        <f>VLOOKUP($I611,'[2]Table S5'!$A:$K,10,FALSE)</f>
        <v>#N/A</v>
      </c>
      <c r="AW611" t="e">
        <f>VLOOKUP($I611,'[2]Table S5'!$A:$K,11,FALSE)</f>
        <v>#N/A</v>
      </c>
    </row>
    <row r="612" spans="1:49">
      <c r="A612" s="12" t="s">
        <v>3877</v>
      </c>
      <c r="B612" t="s">
        <v>3878</v>
      </c>
      <c r="C612" t="s">
        <v>3879</v>
      </c>
      <c r="D612" t="s">
        <v>17</v>
      </c>
      <c r="E612" t="s">
        <v>3880</v>
      </c>
      <c r="F612" s="12" t="s">
        <v>3881</v>
      </c>
      <c r="G612" t="s">
        <v>3882</v>
      </c>
      <c r="H612" t="s">
        <v>3883</v>
      </c>
      <c r="I612" t="s">
        <v>3867</v>
      </c>
      <c r="J612" t="s">
        <v>3884</v>
      </c>
      <c r="K612">
        <f>VLOOKUP($J612,'[1]Table S6'!$A:$AI,2,FALSE)</f>
        <v>396.1</v>
      </c>
      <c r="L612">
        <f>VLOOKUP($J612,'[1]Table S6'!$A:$AI,3,FALSE)</f>
        <v>0.84294530751223695</v>
      </c>
      <c r="M612">
        <f>VLOOKUP($J612,'[1]Table S6'!$A:$AI,4,FALSE)</f>
        <v>22.75</v>
      </c>
      <c r="N612" t="str">
        <f>VLOOKUP($J612,'[1]Table S6'!$A:$AI,5,FALSE)</f>
        <v>No</v>
      </c>
      <c r="P612">
        <f>VLOOKUP($J612,'[1]Table S6'!$A:$AI,7,FALSE)</f>
        <v>423</v>
      </c>
      <c r="Q612">
        <f>VLOOKUP($J612,'[1]Table S6'!$A:$AI,8,FALSE)</f>
        <v>0.90019153011278996</v>
      </c>
      <c r="R612">
        <f>VLOOKUP($J612,'[1]Table S6'!$A:$AI,9,FALSE)</f>
        <v>88.33</v>
      </c>
      <c r="S612" t="str">
        <f>VLOOKUP($J612,'[1]Table S6'!$A:$AI,10,FALSE)</f>
        <v>No</v>
      </c>
      <c r="U612">
        <f>VLOOKUP($J612,'[1]Table S6'!$A:$AI,12,FALSE)</f>
        <v>416.9</v>
      </c>
      <c r="V612">
        <f>VLOOKUP($J612,'[1]Table S6'!$A:$AI,13,FALSE)</f>
        <v>0.88721004469036002</v>
      </c>
      <c r="W612">
        <f>VLOOKUP($J612,'[1]Table S6'!$A:$AI,14,FALSE)</f>
        <v>62.46</v>
      </c>
      <c r="X612" t="str">
        <f>VLOOKUP($J612,'[1]Table S6'!$A:$AI,15,FALSE)</f>
        <v>No</v>
      </c>
      <c r="Z612">
        <f>VLOOKUP($J612,'[1]Table S6'!$A:$AI,17,FALSE)</f>
        <v>415.6</v>
      </c>
      <c r="AA612">
        <f>VLOOKUP($J612,'[1]Table S6'!$A:$AI,18,FALSE)</f>
        <v>0.884443498616727</v>
      </c>
      <c r="AB612">
        <f>VLOOKUP($J612,'[1]Table S6'!$A:$AI,19,FALSE)</f>
        <v>53.99</v>
      </c>
      <c r="AC612" t="str">
        <f>VLOOKUP($J612,'[1]Table S6'!$A:$AI,20,FALSE)</f>
        <v>No</v>
      </c>
      <c r="AE612">
        <f>VLOOKUP($J612,'[1]Table S6'!$A:$AI,22,FALSE)</f>
        <v>419.3</v>
      </c>
      <c r="AF612">
        <f>VLOOKUP($J612,'[1]Table S6'!$A:$AI,23,FALSE)</f>
        <v>0.89231751436475804</v>
      </c>
      <c r="AG612">
        <f>VLOOKUP($J612,'[1]Table S6'!$A:$AI,24,FALSE)</f>
        <v>76.28</v>
      </c>
      <c r="AH612" t="str">
        <f>VLOOKUP($J612,'[1]Table S6'!$A:$AI,25,FALSE)</f>
        <v>No</v>
      </c>
      <c r="AJ612">
        <f>VLOOKUP($J612,'[1]Table S6'!$A:$AI,27,FALSE)</f>
        <v>399.5</v>
      </c>
      <c r="AK612">
        <f>VLOOKUP($J612,'[1]Table S6'!$A:$AI,28,FALSE)</f>
        <v>0.85018088955096804</v>
      </c>
      <c r="AL612">
        <f>VLOOKUP($J612,'[1]Table S6'!$A:$AI,29,FALSE)</f>
        <v>26.65</v>
      </c>
      <c r="AM612" t="str">
        <f>VLOOKUP($J612,'[1]Table S6'!$A:$AI,30,FALSE)</f>
        <v>No</v>
      </c>
      <c r="AO612">
        <f>VLOOKUP($J612,'[1]Table S6'!$A:$AI,32,FALSE)</f>
        <v>419.4</v>
      </c>
      <c r="AP612">
        <f>VLOOKUP($J612,'[1]Table S6'!$A:$AI,33,FALSE)</f>
        <v>0.89253032560119205</v>
      </c>
      <c r="AQ612">
        <f>VLOOKUP($J612,'[1]Table S6'!$A:$AI,34,FALSE)</f>
        <v>53.5</v>
      </c>
      <c r="AR612" t="str">
        <f>VLOOKUP($J612,'[1]Table S6'!$A:$AI,35,FALSE)</f>
        <v>No</v>
      </c>
      <c r="AT612" t="e">
        <f>VLOOKUP($I612,'[2]Table S5'!$A:$K,8,FALSE)</f>
        <v>#N/A</v>
      </c>
      <c r="AU612" t="e">
        <f>VLOOKUP($I612,'[2]Table S5'!$A:$K,9,FALSE)</f>
        <v>#N/A</v>
      </c>
      <c r="AV612" t="e">
        <f>VLOOKUP($I612,'[2]Table S5'!$A:$K,10,FALSE)</f>
        <v>#N/A</v>
      </c>
      <c r="AW612" t="e">
        <f>VLOOKUP($I612,'[2]Table S5'!$A:$K,11,FALSE)</f>
        <v>#N/A</v>
      </c>
    </row>
    <row r="613" spans="1:49">
      <c r="A613" s="12" t="s">
        <v>3885</v>
      </c>
      <c r="B613" t="s">
        <v>3886</v>
      </c>
      <c r="C613" t="s">
        <v>3887</v>
      </c>
      <c r="D613" t="s">
        <v>17</v>
      </c>
      <c r="E613" t="s">
        <v>3888</v>
      </c>
      <c r="F613" s="12" t="s">
        <v>3889</v>
      </c>
      <c r="G613" t="s">
        <v>3890</v>
      </c>
      <c r="H613" t="s">
        <v>3891</v>
      </c>
      <c r="I613" t="s">
        <v>3892</v>
      </c>
      <c r="J613" t="s">
        <v>3893</v>
      </c>
      <c r="K613">
        <f>VLOOKUP($J613,'[1]Table S6'!$A:$AI,2,FALSE)</f>
        <v>378.1</v>
      </c>
      <c r="L613">
        <f>VLOOKUP($J613,'[1]Table S6'!$A:$AI,3,FALSE)</f>
        <v>0.80463928495424597</v>
      </c>
      <c r="M613">
        <f>VLOOKUP($J613,'[1]Table S6'!$A:$AI,4,FALSE)</f>
        <v>12.6</v>
      </c>
      <c r="N613" t="str">
        <f>VLOOKUP($J613,'[1]Table S6'!$A:$AI,5,FALSE)</f>
        <v>No</v>
      </c>
      <c r="P613">
        <f>VLOOKUP($J613,'[1]Table S6'!$A:$AI,7,FALSE)</f>
        <v>324.7</v>
      </c>
      <c r="Q613">
        <f>VLOOKUP($J613,'[1]Table S6'!$A:$AI,8,FALSE)</f>
        <v>0.69099808469887203</v>
      </c>
      <c r="R613">
        <f>VLOOKUP($J613,'[1]Table S6'!$A:$AI,9,FALSE)</f>
        <v>2.34</v>
      </c>
      <c r="S613" t="str">
        <f>VLOOKUP($J613,'[1]Table S6'!$A:$AI,10,FALSE)</f>
        <v>Yes</v>
      </c>
      <c r="U613">
        <f>VLOOKUP($J613,'[1]Table S6'!$A:$AI,12,FALSE)</f>
        <v>321.39999999999998</v>
      </c>
      <c r="V613">
        <f>VLOOKUP($J613,'[1]Table S6'!$A:$AI,13,FALSE)</f>
        <v>0.68397531389657396</v>
      </c>
      <c r="W613">
        <f>VLOOKUP($J613,'[1]Table S6'!$A:$AI,14,FALSE)</f>
        <v>2.11</v>
      </c>
      <c r="X613" t="str">
        <f>VLOOKUP($J613,'[1]Table S6'!$A:$AI,15,FALSE)</f>
        <v>Yes</v>
      </c>
      <c r="Z613">
        <f>VLOOKUP($J613,'[1]Table S6'!$A:$AI,17,FALSE)</f>
        <v>385.9</v>
      </c>
      <c r="AA613">
        <f>VLOOKUP($J613,'[1]Table S6'!$A:$AI,18,FALSE)</f>
        <v>0.82123856139604201</v>
      </c>
      <c r="AB613">
        <f>VLOOKUP($J613,'[1]Table S6'!$A:$AI,19,FALSE)</f>
        <v>16.47</v>
      </c>
      <c r="AC613" t="str">
        <f>VLOOKUP($J613,'[1]Table S6'!$A:$AI,20,FALSE)</f>
        <v>No</v>
      </c>
      <c r="AE613">
        <f>VLOOKUP($J613,'[1]Table S6'!$A:$AI,22,FALSE)</f>
        <v>372.3</v>
      </c>
      <c r="AF613">
        <f>VLOOKUP($J613,'[1]Table S6'!$A:$AI,23,FALSE)</f>
        <v>0.79229623324111498</v>
      </c>
      <c r="AG613">
        <f>VLOOKUP($J613,'[1]Table S6'!$A:$AI,24,FALSE)</f>
        <v>9.8390000000000004</v>
      </c>
      <c r="AH613" t="str">
        <f>VLOOKUP($J613,'[1]Table S6'!$A:$AI,25,FALSE)</f>
        <v>No</v>
      </c>
      <c r="AJ613">
        <f>VLOOKUP($J613,'[1]Table S6'!$A:$AI,27,FALSE)</f>
        <v>387.3</v>
      </c>
      <c r="AK613">
        <f>VLOOKUP($J613,'[1]Table S6'!$A:$AI,28,FALSE)</f>
        <v>0.82421791870610805</v>
      </c>
      <c r="AL613">
        <f>VLOOKUP($J613,'[1]Table S6'!$A:$AI,29,FALSE)</f>
        <v>19.3</v>
      </c>
      <c r="AM613" t="str">
        <f>VLOOKUP($J613,'[1]Table S6'!$A:$AI,30,FALSE)</f>
        <v>No</v>
      </c>
      <c r="AO613">
        <f>VLOOKUP($J613,'[1]Table S6'!$A:$AI,32,FALSE)</f>
        <v>408</v>
      </c>
      <c r="AP613">
        <f>VLOOKUP($J613,'[1]Table S6'!$A:$AI,33,FALSE)</f>
        <v>0.868269844647797</v>
      </c>
      <c r="AQ613">
        <f>VLOOKUP($J613,'[1]Table S6'!$A:$AI,34,FALSE)</f>
        <v>34.229999999999997</v>
      </c>
      <c r="AR613" t="str">
        <f>VLOOKUP($J613,'[1]Table S6'!$A:$AI,35,FALSE)</f>
        <v>No</v>
      </c>
      <c r="AT613" t="e">
        <f>VLOOKUP($I613,'[2]Table S5'!$A:$K,8,FALSE)</f>
        <v>#N/A</v>
      </c>
      <c r="AU613" t="e">
        <f>VLOOKUP($I613,'[2]Table S5'!$A:$K,9,FALSE)</f>
        <v>#N/A</v>
      </c>
      <c r="AV613" t="e">
        <f>VLOOKUP($I613,'[2]Table S5'!$A:$K,10,FALSE)</f>
        <v>#N/A</v>
      </c>
      <c r="AW613" t="e">
        <f>VLOOKUP($I613,'[2]Table S5'!$A:$K,11,FALSE)</f>
        <v>#N/A</v>
      </c>
    </row>
    <row r="614" spans="1:49">
      <c r="A614" s="12" t="s">
        <v>3894</v>
      </c>
      <c r="B614" t="s">
        <v>3895</v>
      </c>
      <c r="C614" t="s">
        <v>3896</v>
      </c>
      <c r="D614" t="s">
        <v>17</v>
      </c>
      <c r="E614" t="s">
        <v>3897</v>
      </c>
      <c r="F614" s="12" t="s">
        <v>3898</v>
      </c>
      <c r="G614" t="s">
        <v>3899</v>
      </c>
      <c r="H614" t="s">
        <v>3900</v>
      </c>
      <c r="I614" t="s">
        <v>3892</v>
      </c>
      <c r="J614" t="s">
        <v>3901</v>
      </c>
      <c r="K614">
        <f>VLOOKUP($J614,'[1]Table S6'!$A:$AI,2,FALSE)</f>
        <v>326.10000000000002</v>
      </c>
      <c r="L614">
        <f>VLOOKUP($J614,'[1]Table S6'!$A:$AI,3,FALSE)</f>
        <v>0.69397744200893796</v>
      </c>
      <c r="M614">
        <f>VLOOKUP($J614,'[1]Table S6'!$A:$AI,4,FALSE)</f>
        <v>2.1080000000000001</v>
      </c>
      <c r="N614" t="str">
        <f>VLOOKUP($J614,'[1]Table S6'!$A:$AI,5,FALSE)</f>
        <v>Yes</v>
      </c>
      <c r="P614">
        <f>VLOOKUP($J614,'[1]Table S6'!$A:$AI,7,FALSE)</f>
        <v>361.1</v>
      </c>
      <c r="Q614">
        <f>VLOOKUP($J614,'[1]Table S6'!$A:$AI,8,FALSE)</f>
        <v>0.76846137476058696</v>
      </c>
      <c r="R614">
        <f>VLOOKUP($J614,'[1]Table S6'!$A:$AI,9,FALSE)</f>
        <v>8.3330000000000002</v>
      </c>
      <c r="S614" t="str">
        <f>VLOOKUP($J614,'[1]Table S6'!$A:$AI,10,FALSE)</f>
        <v>No</v>
      </c>
      <c r="U614">
        <f>VLOOKUP($J614,'[1]Table S6'!$A:$AI,12,FALSE)</f>
        <v>327.10000000000002</v>
      </c>
      <c r="V614">
        <f>VLOOKUP($J614,'[1]Table S6'!$A:$AI,13,FALSE)</f>
        <v>0.69610555437327104</v>
      </c>
      <c r="W614">
        <f>VLOOKUP($J614,'[1]Table S6'!$A:$AI,14,FALSE)</f>
        <v>2.4260000000000002</v>
      </c>
      <c r="X614" t="str">
        <f>VLOOKUP($J614,'[1]Table S6'!$A:$AI,15,FALSE)</f>
        <v>Yes</v>
      </c>
      <c r="Z614">
        <f>VLOOKUP($J614,'[1]Table S6'!$A:$AI,17,FALSE)</f>
        <v>379.3</v>
      </c>
      <c r="AA614">
        <f>VLOOKUP($J614,'[1]Table S6'!$A:$AI,18,FALSE)</f>
        <v>0.80719301979144498</v>
      </c>
      <c r="AB614">
        <f>VLOOKUP($J614,'[1]Table S6'!$A:$AI,19,FALSE)</f>
        <v>12.51</v>
      </c>
      <c r="AC614" t="str">
        <f>VLOOKUP($J614,'[1]Table S6'!$A:$AI,20,FALSE)</f>
        <v>No</v>
      </c>
      <c r="AE614">
        <f>VLOOKUP($J614,'[1]Table S6'!$A:$AI,22,FALSE)</f>
        <v>380.5</v>
      </c>
      <c r="AF614">
        <f>VLOOKUP($J614,'[1]Table S6'!$A:$AI,23,FALSE)</f>
        <v>0.80974675462864398</v>
      </c>
      <c r="AG614">
        <f>VLOOKUP($J614,'[1]Table S6'!$A:$AI,24,FALSE)</f>
        <v>13.23</v>
      </c>
      <c r="AH614" t="str">
        <f>VLOOKUP($J614,'[1]Table S6'!$A:$AI,25,FALSE)</f>
        <v>No</v>
      </c>
      <c r="AJ614">
        <f>VLOOKUP($J614,'[1]Table S6'!$A:$AI,27,FALSE)</f>
        <v>385.2</v>
      </c>
      <c r="AK614">
        <f>VLOOKUP($J614,'[1]Table S6'!$A:$AI,28,FALSE)</f>
        <v>0.81974888274100899</v>
      </c>
      <c r="AL614">
        <f>VLOOKUP($J614,'[1]Table S6'!$A:$AI,29,FALSE)</f>
        <v>15.34</v>
      </c>
      <c r="AM614" t="str">
        <f>VLOOKUP($J614,'[1]Table S6'!$A:$AI,30,FALSE)</f>
        <v>No</v>
      </c>
      <c r="AO614">
        <f>VLOOKUP($J614,'[1]Table S6'!$A:$AI,32,FALSE)</f>
        <v>401.8</v>
      </c>
      <c r="AP614">
        <f>VLOOKUP($J614,'[1]Table S6'!$A:$AI,33,FALSE)</f>
        <v>0.85507554798893404</v>
      </c>
      <c r="AQ614">
        <f>VLOOKUP($J614,'[1]Table S6'!$A:$AI,34,FALSE)</f>
        <v>27.62</v>
      </c>
      <c r="AR614" t="str">
        <f>VLOOKUP($J614,'[1]Table S6'!$A:$AI,35,FALSE)</f>
        <v>No</v>
      </c>
      <c r="AT614" t="e">
        <f>VLOOKUP($I614,'[2]Table S5'!$A:$K,8,FALSE)</f>
        <v>#N/A</v>
      </c>
      <c r="AU614" t="e">
        <f>VLOOKUP($I614,'[2]Table S5'!$A:$K,9,FALSE)</f>
        <v>#N/A</v>
      </c>
      <c r="AV614" t="e">
        <f>VLOOKUP($I614,'[2]Table S5'!$A:$K,10,FALSE)</f>
        <v>#N/A</v>
      </c>
      <c r="AW614" t="e">
        <f>VLOOKUP($I614,'[2]Table S5'!$A:$K,11,FALSE)</f>
        <v>#N/A</v>
      </c>
    </row>
    <row r="615" spans="1:49">
      <c r="A615" s="12" t="s">
        <v>3902</v>
      </c>
      <c r="B615" t="s">
        <v>3903</v>
      </c>
      <c r="C615" t="s">
        <v>3904</v>
      </c>
      <c r="D615" t="s">
        <v>17</v>
      </c>
      <c r="E615" t="s">
        <v>3905</v>
      </c>
      <c r="F615" s="12" t="s">
        <v>3906</v>
      </c>
      <c r="G615" t="s">
        <v>3907</v>
      </c>
      <c r="H615" t="s">
        <v>3908</v>
      </c>
      <c r="I615" t="s">
        <v>3892</v>
      </c>
      <c r="J615" t="s">
        <v>3909</v>
      </c>
      <c r="K615">
        <f>VLOOKUP($J615,'[1]Table S6'!$A:$AI,2,FALSE)</f>
        <v>325.7</v>
      </c>
      <c r="L615">
        <f>VLOOKUP($J615,'[1]Table S6'!$A:$AI,3,FALSE)</f>
        <v>0.693126197063205</v>
      </c>
      <c r="M615">
        <f>VLOOKUP($J615,'[1]Table S6'!$A:$AI,4,FALSE)</f>
        <v>2.347</v>
      </c>
      <c r="N615" t="str">
        <f>VLOOKUP($J615,'[1]Table S6'!$A:$AI,5,FALSE)</f>
        <v>Yes</v>
      </c>
      <c r="P615">
        <f>VLOOKUP($J615,'[1]Table S6'!$A:$AI,7,FALSE)</f>
        <v>351.5</v>
      </c>
      <c r="Q615">
        <f>VLOOKUP($J615,'[1]Table S6'!$A:$AI,8,FALSE)</f>
        <v>0.74803149606299202</v>
      </c>
      <c r="R615">
        <f>VLOOKUP($J615,'[1]Table S6'!$A:$AI,9,FALSE)</f>
        <v>5.6680000000000001</v>
      </c>
      <c r="S615" t="str">
        <f>VLOOKUP($J615,'[1]Table S6'!$A:$AI,10,FALSE)</f>
        <v>No</v>
      </c>
      <c r="U615">
        <f>VLOOKUP($J615,'[1]Table S6'!$A:$AI,12,FALSE)</f>
        <v>389.6</v>
      </c>
      <c r="V615">
        <f>VLOOKUP($J615,'[1]Table S6'!$A:$AI,13,FALSE)</f>
        <v>0.82911257714407305</v>
      </c>
      <c r="W615">
        <f>VLOOKUP($J615,'[1]Table S6'!$A:$AI,14,FALSE)</f>
        <v>18.45</v>
      </c>
      <c r="X615" t="str">
        <f>VLOOKUP($J615,'[1]Table S6'!$A:$AI,15,FALSE)</f>
        <v>No</v>
      </c>
      <c r="Z615">
        <f>VLOOKUP($J615,'[1]Table S6'!$A:$AI,17,FALSE)</f>
        <v>334.7</v>
      </c>
      <c r="AA615">
        <f>VLOOKUP($J615,'[1]Table S6'!$A:$AI,18,FALSE)</f>
        <v>0.71227920834220004</v>
      </c>
      <c r="AB615">
        <f>VLOOKUP($J615,'[1]Table S6'!$A:$AI,19,FALSE)</f>
        <v>3.2109999999999999</v>
      </c>
      <c r="AC615" t="str">
        <f>VLOOKUP($J615,'[1]Table S6'!$A:$AI,20,FALSE)</f>
        <v>No</v>
      </c>
      <c r="AE615">
        <f>VLOOKUP($J615,'[1]Table S6'!$A:$AI,22,FALSE)</f>
        <v>326.5</v>
      </c>
      <c r="AF615">
        <f>VLOOKUP($J615,'[1]Table S6'!$A:$AI,23,FALSE)</f>
        <v>0.69482868695467104</v>
      </c>
      <c r="AG615">
        <f>VLOOKUP($J615,'[1]Table S6'!$A:$AI,24,FALSE)</f>
        <v>2.29</v>
      </c>
      <c r="AH615" t="str">
        <f>VLOOKUP($J615,'[1]Table S6'!$A:$AI,25,FALSE)</f>
        <v>No</v>
      </c>
      <c r="AJ615">
        <f>VLOOKUP($J615,'[1]Table S6'!$A:$AI,27,FALSE)</f>
        <v>393.7</v>
      </c>
      <c r="AK615">
        <f>VLOOKUP($J615,'[1]Table S6'!$A:$AI,28,FALSE)</f>
        <v>0.83783783783783805</v>
      </c>
      <c r="AL615">
        <f>VLOOKUP($J615,'[1]Table S6'!$A:$AI,29,FALSE)</f>
        <v>22.6</v>
      </c>
      <c r="AM615" t="str">
        <f>VLOOKUP($J615,'[1]Table S6'!$A:$AI,30,FALSE)</f>
        <v>No</v>
      </c>
      <c r="AO615">
        <f>VLOOKUP($J615,'[1]Table S6'!$A:$AI,32,FALSE)</f>
        <v>391.6</v>
      </c>
      <c r="AP615">
        <f>VLOOKUP($J615,'[1]Table S6'!$A:$AI,33,FALSE)</f>
        <v>0.83336880187273898</v>
      </c>
      <c r="AQ615">
        <f>VLOOKUP($J615,'[1]Table S6'!$A:$AI,34,FALSE)</f>
        <v>18.27</v>
      </c>
      <c r="AR615" t="str">
        <f>VLOOKUP($J615,'[1]Table S6'!$A:$AI,35,FALSE)</f>
        <v>No</v>
      </c>
      <c r="AT615" t="e">
        <f>VLOOKUP($I615,'[2]Table S5'!$A:$K,8,FALSE)</f>
        <v>#N/A</v>
      </c>
      <c r="AU615" t="e">
        <f>VLOOKUP($I615,'[2]Table S5'!$A:$K,9,FALSE)</f>
        <v>#N/A</v>
      </c>
      <c r="AV615" t="e">
        <f>VLOOKUP($I615,'[2]Table S5'!$A:$K,10,FALSE)</f>
        <v>#N/A</v>
      </c>
      <c r="AW615" t="e">
        <f>VLOOKUP($I615,'[2]Table S5'!$A:$K,11,FALSE)</f>
        <v>#N/A</v>
      </c>
    </row>
    <row r="616" spans="1:49">
      <c r="A616" s="12" t="s">
        <v>3910</v>
      </c>
      <c r="B616" t="s">
        <v>3911</v>
      </c>
      <c r="C616" t="s">
        <v>3912</v>
      </c>
      <c r="D616" t="s">
        <v>17</v>
      </c>
      <c r="E616" t="s">
        <v>3913</v>
      </c>
      <c r="F616" s="12" t="s">
        <v>3914</v>
      </c>
      <c r="G616" t="s">
        <v>3915</v>
      </c>
      <c r="H616" t="s">
        <v>3916</v>
      </c>
      <c r="I616" t="s">
        <v>3917</v>
      </c>
      <c r="J616" t="s">
        <v>3918</v>
      </c>
      <c r="K616">
        <f>VLOOKUP($J616,'[1]Table S6'!$A:$AI,2,FALSE)</f>
        <v>318.5</v>
      </c>
      <c r="L616">
        <f>VLOOKUP($J616,'[1]Table S6'!$A:$AI,3,FALSE)</f>
        <v>0.67780378804000896</v>
      </c>
      <c r="M616">
        <f>VLOOKUP($J616,'[1]Table S6'!$A:$AI,4,FALSE)</f>
        <v>1.5149999999999999</v>
      </c>
      <c r="N616" t="str">
        <f>VLOOKUP($J616,'[1]Table S6'!$A:$AI,5,FALSE)</f>
        <v>Yes</v>
      </c>
      <c r="P616">
        <f>VLOOKUP($J616,'[1]Table S6'!$A:$AI,7,FALSE)</f>
        <v>325.3</v>
      </c>
      <c r="Q616">
        <f>VLOOKUP($J616,'[1]Table S6'!$A:$AI,8,FALSE)</f>
        <v>0.69227495211747203</v>
      </c>
      <c r="R616">
        <f>VLOOKUP($J616,'[1]Table S6'!$A:$AI,9,FALSE)</f>
        <v>2.4350000000000001</v>
      </c>
      <c r="S616" t="str">
        <f>VLOOKUP($J616,'[1]Table S6'!$A:$AI,10,FALSE)</f>
        <v>Yes</v>
      </c>
      <c r="U616">
        <f>VLOOKUP($J616,'[1]Table S6'!$A:$AI,12,FALSE)</f>
        <v>319.5</v>
      </c>
      <c r="V616">
        <f>VLOOKUP($J616,'[1]Table S6'!$A:$AI,13,FALSE)</f>
        <v>0.67993190040434104</v>
      </c>
      <c r="W616">
        <f>VLOOKUP($J616,'[1]Table S6'!$A:$AI,14,FALSE)</f>
        <v>1.65</v>
      </c>
      <c r="X616" t="str">
        <f>VLOOKUP($J616,'[1]Table S6'!$A:$AI,15,FALSE)</f>
        <v>Yes</v>
      </c>
      <c r="Z616">
        <f>VLOOKUP($J616,'[1]Table S6'!$A:$AI,17,FALSE)</f>
        <v>370.6</v>
      </c>
      <c r="AA616">
        <f>VLOOKUP($J616,'[1]Table S6'!$A:$AI,18,FALSE)</f>
        <v>0.78867844222174899</v>
      </c>
      <c r="AB616">
        <f>VLOOKUP($J616,'[1]Table S6'!$A:$AI,19,FALSE)</f>
        <v>9.8789999999999996</v>
      </c>
      <c r="AC616" t="str">
        <f>VLOOKUP($J616,'[1]Table S6'!$A:$AI,20,FALSE)</f>
        <v>No</v>
      </c>
      <c r="AE616">
        <f>VLOOKUP($J616,'[1]Table S6'!$A:$AI,22,FALSE)</f>
        <v>398.3</v>
      </c>
      <c r="AF616">
        <f>VLOOKUP($J616,'[1]Table S6'!$A:$AI,23,FALSE)</f>
        <v>0.84762715471376904</v>
      </c>
      <c r="AG616">
        <f>VLOOKUP($J616,'[1]Table S6'!$A:$AI,24,FALSE)</f>
        <v>29.33</v>
      </c>
      <c r="AH616" t="str">
        <f>VLOOKUP($J616,'[1]Table S6'!$A:$AI,25,FALSE)</f>
        <v>No</v>
      </c>
      <c r="AJ616">
        <f>VLOOKUP($J616,'[1]Table S6'!$A:$AI,27,FALSE)</f>
        <v>380.9</v>
      </c>
      <c r="AK616">
        <f>VLOOKUP($J616,'[1]Table S6'!$A:$AI,28,FALSE)</f>
        <v>0.81059799957437795</v>
      </c>
      <c r="AL616">
        <f>VLOOKUP($J616,'[1]Table S6'!$A:$AI,29,FALSE)</f>
        <v>14.52</v>
      </c>
      <c r="AM616" t="str">
        <f>VLOOKUP($J616,'[1]Table S6'!$A:$AI,30,FALSE)</f>
        <v>No</v>
      </c>
      <c r="AO616">
        <f>VLOOKUP($J616,'[1]Table S6'!$A:$AI,32,FALSE)</f>
        <v>367.7</v>
      </c>
      <c r="AP616">
        <f>VLOOKUP($J616,'[1]Table S6'!$A:$AI,33,FALSE)</f>
        <v>0.78250691636518399</v>
      </c>
      <c r="AQ616">
        <f>VLOOKUP($J616,'[1]Table S6'!$A:$AI,34,FALSE)</f>
        <v>9.875</v>
      </c>
      <c r="AR616" t="str">
        <f>VLOOKUP($J616,'[1]Table S6'!$A:$AI,35,FALSE)</f>
        <v>No</v>
      </c>
      <c r="AT616" t="e">
        <f>VLOOKUP($I616,'[2]Table S5'!$A:$K,8,FALSE)</f>
        <v>#N/A</v>
      </c>
      <c r="AU616" t="e">
        <f>VLOOKUP($I616,'[2]Table S5'!$A:$K,9,FALSE)</f>
        <v>#N/A</v>
      </c>
      <c r="AV616" t="e">
        <f>VLOOKUP($I616,'[2]Table S5'!$A:$K,10,FALSE)</f>
        <v>#N/A</v>
      </c>
      <c r="AW616" t="e">
        <f>VLOOKUP($I616,'[2]Table S5'!$A:$K,11,FALSE)</f>
        <v>#N/A</v>
      </c>
    </row>
    <row r="617" spans="1:49">
      <c r="A617" s="12" t="s">
        <v>3919</v>
      </c>
      <c r="B617" t="s">
        <v>3920</v>
      </c>
      <c r="C617" t="s">
        <v>3921</v>
      </c>
      <c r="D617" t="s">
        <v>17</v>
      </c>
      <c r="E617" t="s">
        <v>3922</v>
      </c>
      <c r="F617" s="12" t="s">
        <v>3923</v>
      </c>
      <c r="G617" t="s">
        <v>3924</v>
      </c>
      <c r="H617" t="s">
        <v>3925</v>
      </c>
      <c r="I617" t="s">
        <v>3917</v>
      </c>
      <c r="J617" t="s">
        <v>3926</v>
      </c>
      <c r="K617">
        <f>VLOOKUP($J617,'[1]Table S6'!$A:$AI,2,FALSE)</f>
        <v>332.6</v>
      </c>
      <c r="L617">
        <f>VLOOKUP($J617,'[1]Table S6'!$A:$AI,3,FALSE)</f>
        <v>0.70781017237710198</v>
      </c>
      <c r="M617">
        <f>VLOOKUP($J617,'[1]Table S6'!$A:$AI,4,FALSE)</f>
        <v>2.9750000000000001</v>
      </c>
      <c r="N617" t="str">
        <f>VLOOKUP($J617,'[1]Table S6'!$A:$AI,5,FALSE)</f>
        <v>No</v>
      </c>
      <c r="P617">
        <f>VLOOKUP($J617,'[1]Table S6'!$A:$AI,7,FALSE)</f>
        <v>348.1</v>
      </c>
      <c r="Q617">
        <f>VLOOKUP($J617,'[1]Table S6'!$A:$AI,8,FALSE)</f>
        <v>0.74079591402426104</v>
      </c>
      <c r="R617">
        <f>VLOOKUP($J617,'[1]Table S6'!$A:$AI,9,FALSE)</f>
        <v>5.3689999999999998</v>
      </c>
      <c r="S617" t="str">
        <f>VLOOKUP($J617,'[1]Table S6'!$A:$AI,10,FALSE)</f>
        <v>No</v>
      </c>
      <c r="U617">
        <f>VLOOKUP($J617,'[1]Table S6'!$A:$AI,12,FALSE)</f>
        <v>381.4</v>
      </c>
      <c r="V617">
        <f>VLOOKUP($J617,'[1]Table S6'!$A:$AI,13,FALSE)</f>
        <v>0.81166205575654404</v>
      </c>
      <c r="W617">
        <f>VLOOKUP($J617,'[1]Table S6'!$A:$AI,14,FALSE)</f>
        <v>16.29</v>
      </c>
      <c r="X617" t="str">
        <f>VLOOKUP($J617,'[1]Table S6'!$A:$AI,15,FALSE)</f>
        <v>No</v>
      </c>
      <c r="Z617">
        <f>VLOOKUP($J617,'[1]Table S6'!$A:$AI,17,FALSE)</f>
        <v>325.8</v>
      </c>
      <c r="AA617">
        <f>VLOOKUP($J617,'[1]Table S6'!$A:$AI,18,FALSE)</f>
        <v>0.69333900829963802</v>
      </c>
      <c r="AB617">
        <f>VLOOKUP($J617,'[1]Table S6'!$A:$AI,19,FALSE)</f>
        <v>2.202</v>
      </c>
      <c r="AC617" t="str">
        <f>VLOOKUP($J617,'[1]Table S6'!$A:$AI,20,FALSE)</f>
        <v>Yes</v>
      </c>
      <c r="AE617">
        <f>VLOOKUP($J617,'[1]Table S6'!$A:$AI,22,FALSE)</f>
        <v>416</v>
      </c>
      <c r="AF617">
        <f>VLOOKUP($J617,'[1]Table S6'!$A:$AI,23,FALSE)</f>
        <v>0.88529474356245996</v>
      </c>
      <c r="AG617">
        <f>VLOOKUP($J617,'[1]Table S6'!$A:$AI,24,FALSE)</f>
        <v>53.05</v>
      </c>
      <c r="AH617" t="str">
        <f>VLOOKUP($J617,'[1]Table S6'!$A:$AI,25,FALSE)</f>
        <v>No</v>
      </c>
      <c r="AJ617">
        <f>VLOOKUP($J617,'[1]Table S6'!$A:$AI,27,FALSE)</f>
        <v>350</v>
      </c>
      <c r="AK617">
        <f>VLOOKUP($J617,'[1]Table S6'!$A:$AI,28,FALSE)</f>
        <v>0.74483932751649296</v>
      </c>
      <c r="AL617">
        <f>VLOOKUP($J617,'[1]Table S6'!$A:$AI,29,FALSE)</f>
        <v>5.39</v>
      </c>
      <c r="AM617" t="str">
        <f>VLOOKUP($J617,'[1]Table S6'!$A:$AI,30,FALSE)</f>
        <v>No</v>
      </c>
      <c r="AO617">
        <f>VLOOKUP($J617,'[1]Table S6'!$A:$AI,32,FALSE)</f>
        <v>397.3</v>
      </c>
      <c r="AP617">
        <f>VLOOKUP($J617,'[1]Table S6'!$A:$AI,33,FALSE)</f>
        <v>0.84549904234943596</v>
      </c>
      <c r="AQ617">
        <f>VLOOKUP($J617,'[1]Table S6'!$A:$AI,34,FALSE)</f>
        <v>24.77</v>
      </c>
      <c r="AR617" t="str">
        <f>VLOOKUP($J617,'[1]Table S6'!$A:$AI,35,FALSE)</f>
        <v>No</v>
      </c>
      <c r="AT617" t="e">
        <f>VLOOKUP($I617,'[2]Table S5'!$A:$K,8,FALSE)</f>
        <v>#N/A</v>
      </c>
      <c r="AU617" t="e">
        <f>VLOOKUP($I617,'[2]Table S5'!$A:$K,9,FALSE)</f>
        <v>#N/A</v>
      </c>
      <c r="AV617" t="e">
        <f>VLOOKUP($I617,'[2]Table S5'!$A:$K,10,FALSE)</f>
        <v>#N/A</v>
      </c>
      <c r="AW617" t="e">
        <f>VLOOKUP($I617,'[2]Table S5'!$A:$K,11,FALSE)</f>
        <v>#N/A</v>
      </c>
    </row>
    <row r="618" spans="1:49">
      <c r="A618" s="12" t="s">
        <v>3927</v>
      </c>
      <c r="B618" t="s">
        <v>3928</v>
      </c>
      <c r="C618" t="s">
        <v>3929</v>
      </c>
      <c r="D618" t="s">
        <v>17</v>
      </c>
      <c r="E618" t="s">
        <v>3930</v>
      </c>
      <c r="F618" s="12" t="s">
        <v>3931</v>
      </c>
      <c r="G618" t="s">
        <v>3932</v>
      </c>
      <c r="H618" t="s">
        <v>3933</v>
      </c>
      <c r="I618" t="s">
        <v>3917</v>
      </c>
      <c r="J618" t="s">
        <v>3934</v>
      </c>
      <c r="K618">
        <f>VLOOKUP($J618,'[1]Table S6'!$A:$AI,2,FALSE)</f>
        <v>323.60000000000002</v>
      </c>
      <c r="L618">
        <f>VLOOKUP($J618,'[1]Table S6'!$A:$AI,3,FALSE)</f>
        <v>0.68865716109810604</v>
      </c>
      <c r="M618">
        <f>VLOOKUP($J618,'[1]Table S6'!$A:$AI,4,FALSE)</f>
        <v>2.0779999999999998</v>
      </c>
      <c r="N618" t="str">
        <f>VLOOKUP($J618,'[1]Table S6'!$A:$AI,5,FALSE)</f>
        <v>Yes</v>
      </c>
      <c r="P618">
        <f>VLOOKUP($J618,'[1]Table S6'!$A:$AI,7,FALSE)</f>
        <v>362.6</v>
      </c>
      <c r="Q618">
        <f>VLOOKUP($J618,'[1]Table S6'!$A:$AI,8,FALSE)</f>
        <v>0.77165354330708702</v>
      </c>
      <c r="R618">
        <f>VLOOKUP($J618,'[1]Table S6'!$A:$AI,9,FALSE)</f>
        <v>8.5749999999999993</v>
      </c>
      <c r="S618" t="str">
        <f>VLOOKUP($J618,'[1]Table S6'!$A:$AI,10,FALSE)</f>
        <v>No</v>
      </c>
      <c r="U618">
        <f>VLOOKUP($J618,'[1]Table S6'!$A:$AI,12,FALSE)</f>
        <v>379.8</v>
      </c>
      <c r="V618">
        <f>VLOOKUP($J618,'[1]Table S6'!$A:$AI,13,FALSE)</f>
        <v>0.80825707597361196</v>
      </c>
      <c r="W618">
        <f>VLOOKUP($J618,'[1]Table S6'!$A:$AI,14,FALSE)</f>
        <v>14.45</v>
      </c>
      <c r="X618" t="str">
        <f>VLOOKUP($J618,'[1]Table S6'!$A:$AI,15,FALSE)</f>
        <v>No</v>
      </c>
      <c r="Z618">
        <f>VLOOKUP($J618,'[1]Table S6'!$A:$AI,17,FALSE)</f>
        <v>379.4</v>
      </c>
      <c r="AA618">
        <f>VLOOKUP($J618,'[1]Table S6'!$A:$AI,18,FALSE)</f>
        <v>0.807405831027878</v>
      </c>
      <c r="AB618">
        <f>VLOOKUP($J618,'[1]Table S6'!$A:$AI,19,FALSE)</f>
        <v>13.11</v>
      </c>
      <c r="AC618" t="str">
        <f>VLOOKUP($J618,'[1]Table S6'!$A:$AI,20,FALSE)</f>
        <v>No</v>
      </c>
      <c r="AE618">
        <f>VLOOKUP($J618,'[1]Table S6'!$A:$AI,22,FALSE)</f>
        <v>408.1</v>
      </c>
      <c r="AF618">
        <f>VLOOKUP($J618,'[1]Table S6'!$A:$AI,23,FALSE)</f>
        <v>0.86848265588423101</v>
      </c>
      <c r="AG618">
        <f>VLOOKUP($J618,'[1]Table S6'!$A:$AI,24,FALSE)</f>
        <v>38.43</v>
      </c>
      <c r="AH618" t="str">
        <f>VLOOKUP($J618,'[1]Table S6'!$A:$AI,25,FALSE)</f>
        <v>No</v>
      </c>
      <c r="AJ618">
        <f>VLOOKUP($J618,'[1]Table S6'!$A:$AI,27,FALSE)</f>
        <v>413.4</v>
      </c>
      <c r="AK618">
        <f>VLOOKUP($J618,'[1]Table S6'!$A:$AI,28,FALSE)</f>
        <v>0.87976165141519502</v>
      </c>
      <c r="AL618">
        <f>VLOOKUP($J618,'[1]Table S6'!$A:$AI,29,FALSE)</f>
        <v>42.86</v>
      </c>
      <c r="AM618" t="str">
        <f>VLOOKUP($J618,'[1]Table S6'!$A:$AI,30,FALSE)</f>
        <v>No</v>
      </c>
      <c r="AO618">
        <f>VLOOKUP($J618,'[1]Table S6'!$A:$AI,32,FALSE)</f>
        <v>407.6</v>
      </c>
      <c r="AP618">
        <f>VLOOKUP($J618,'[1]Table S6'!$A:$AI,33,FALSE)</f>
        <v>0.86741859970206403</v>
      </c>
      <c r="AQ618">
        <f>VLOOKUP($J618,'[1]Table S6'!$A:$AI,34,FALSE)</f>
        <v>34.51</v>
      </c>
      <c r="AR618" t="str">
        <f>VLOOKUP($J618,'[1]Table S6'!$A:$AI,35,FALSE)</f>
        <v>No</v>
      </c>
      <c r="AT618" t="e">
        <f>VLOOKUP($I618,'[2]Table S5'!$A:$K,8,FALSE)</f>
        <v>#N/A</v>
      </c>
      <c r="AU618" t="e">
        <f>VLOOKUP($I618,'[2]Table S5'!$A:$K,9,FALSE)</f>
        <v>#N/A</v>
      </c>
      <c r="AV618" t="e">
        <f>VLOOKUP($I618,'[2]Table S5'!$A:$K,10,FALSE)</f>
        <v>#N/A</v>
      </c>
      <c r="AW618" t="e">
        <f>VLOOKUP($I618,'[2]Table S5'!$A:$K,11,FALSE)</f>
        <v>#N/A</v>
      </c>
    </row>
    <row r="619" spans="1:49">
      <c r="A619" s="12" t="s">
        <v>3935</v>
      </c>
      <c r="B619" t="s">
        <v>3936</v>
      </c>
      <c r="C619" t="s">
        <v>3937</v>
      </c>
      <c r="D619" t="s">
        <v>17</v>
      </c>
      <c r="E619" t="s">
        <v>3938</v>
      </c>
      <c r="F619" s="12" t="s">
        <v>3939</v>
      </c>
      <c r="G619" t="s">
        <v>3940</v>
      </c>
      <c r="H619" t="s">
        <v>3941</v>
      </c>
      <c r="I619" t="s">
        <v>3942</v>
      </c>
      <c r="J619" t="s">
        <v>3943</v>
      </c>
      <c r="K619">
        <f>VLOOKUP($J619,'[1]Table S6'!$A:$AI,2,FALSE)</f>
        <v>353</v>
      </c>
      <c r="L619">
        <f>VLOOKUP($J619,'[1]Table S6'!$A:$AI,3,FALSE)</f>
        <v>0.75122366460949097</v>
      </c>
      <c r="M619">
        <f>VLOOKUP($J619,'[1]Table S6'!$A:$AI,4,FALSE)</f>
        <v>5.8159999999999998</v>
      </c>
      <c r="N619" t="str">
        <f>VLOOKUP($J619,'[1]Table S6'!$A:$AI,5,FALSE)</f>
        <v>No</v>
      </c>
      <c r="P619">
        <f>VLOOKUP($J619,'[1]Table S6'!$A:$AI,7,FALSE)</f>
        <v>367.7</v>
      </c>
      <c r="Q619">
        <f>VLOOKUP($J619,'[1]Table S6'!$A:$AI,8,FALSE)</f>
        <v>0.78250691636518399</v>
      </c>
      <c r="R619">
        <f>VLOOKUP($J619,'[1]Table S6'!$A:$AI,9,FALSE)</f>
        <v>10.17</v>
      </c>
      <c r="S619" t="str">
        <f>VLOOKUP($J619,'[1]Table S6'!$A:$AI,10,FALSE)</f>
        <v>No</v>
      </c>
      <c r="U619">
        <f>VLOOKUP($J619,'[1]Table S6'!$A:$AI,12,FALSE)</f>
        <v>347.1</v>
      </c>
      <c r="V619">
        <f>VLOOKUP($J619,'[1]Table S6'!$A:$AI,13,FALSE)</f>
        <v>0.73866780165992796</v>
      </c>
      <c r="W619">
        <f>VLOOKUP($J619,'[1]Table S6'!$A:$AI,14,FALSE)</f>
        <v>4.6689999999999996</v>
      </c>
      <c r="X619" t="str">
        <f>VLOOKUP($J619,'[1]Table S6'!$A:$AI,15,FALSE)</f>
        <v>No</v>
      </c>
      <c r="Z619">
        <f>VLOOKUP($J619,'[1]Table S6'!$A:$AI,17,FALSE)</f>
        <v>325.5</v>
      </c>
      <c r="AA619">
        <f>VLOOKUP($J619,'[1]Table S6'!$A:$AI,18,FALSE)</f>
        <v>0.69270057459033796</v>
      </c>
      <c r="AB619">
        <f>VLOOKUP($J619,'[1]Table S6'!$A:$AI,19,FALSE)</f>
        <v>2.3109999999999999</v>
      </c>
      <c r="AC619" t="str">
        <f>VLOOKUP($J619,'[1]Table S6'!$A:$AI,20,FALSE)</f>
        <v>Yes</v>
      </c>
      <c r="AE619">
        <f>VLOOKUP($J619,'[1]Table S6'!$A:$AI,22,FALSE)</f>
        <v>397.2</v>
      </c>
      <c r="AF619">
        <f>VLOOKUP($J619,'[1]Table S6'!$A:$AI,23,FALSE)</f>
        <v>0.84528623111300305</v>
      </c>
      <c r="AG619">
        <f>VLOOKUP($J619,'[1]Table S6'!$A:$AI,24,FALSE)</f>
        <v>23.45</v>
      </c>
      <c r="AH619" t="str">
        <f>VLOOKUP($J619,'[1]Table S6'!$A:$AI,25,FALSE)</f>
        <v>No</v>
      </c>
      <c r="AJ619">
        <f>VLOOKUP($J619,'[1]Table S6'!$A:$AI,27,FALSE)</f>
        <v>402.8</v>
      </c>
      <c r="AK619">
        <f>VLOOKUP($J619,'[1]Table S6'!$A:$AI,28,FALSE)</f>
        <v>0.85720366035326701</v>
      </c>
      <c r="AL619">
        <f>VLOOKUP($J619,'[1]Table S6'!$A:$AI,29,FALSE)</f>
        <v>30</v>
      </c>
      <c r="AM619" t="str">
        <f>VLOOKUP($J619,'[1]Table S6'!$A:$AI,30,FALSE)</f>
        <v>No</v>
      </c>
      <c r="AO619">
        <f>VLOOKUP($J619,'[1]Table S6'!$A:$AI,32,FALSE)</f>
        <v>397.9</v>
      </c>
      <c r="AP619">
        <f>VLOOKUP($J619,'[1]Table S6'!$A:$AI,33,FALSE)</f>
        <v>0.84677590976803596</v>
      </c>
      <c r="AQ619">
        <f>VLOOKUP($J619,'[1]Table S6'!$A:$AI,34,FALSE)</f>
        <v>24.49</v>
      </c>
      <c r="AR619" t="str">
        <f>VLOOKUP($J619,'[1]Table S6'!$A:$AI,35,FALSE)</f>
        <v>No</v>
      </c>
      <c r="AT619" t="e">
        <f>VLOOKUP($I619,'[2]Table S5'!$A:$K,8,FALSE)</f>
        <v>#N/A</v>
      </c>
      <c r="AU619" t="e">
        <f>VLOOKUP($I619,'[2]Table S5'!$A:$K,9,FALSE)</f>
        <v>#N/A</v>
      </c>
      <c r="AV619" t="e">
        <f>VLOOKUP($I619,'[2]Table S5'!$A:$K,10,FALSE)</f>
        <v>#N/A</v>
      </c>
      <c r="AW619" t="e">
        <f>VLOOKUP($I619,'[2]Table S5'!$A:$K,11,FALSE)</f>
        <v>#N/A</v>
      </c>
    </row>
    <row r="620" spans="1:49">
      <c r="A620" s="12" t="s">
        <v>3944</v>
      </c>
      <c r="B620" t="s">
        <v>3945</v>
      </c>
      <c r="C620" t="s">
        <v>3946</v>
      </c>
      <c r="D620" t="s">
        <v>17</v>
      </c>
      <c r="E620" t="s">
        <v>3947</v>
      </c>
      <c r="F620" s="12" t="s">
        <v>3948</v>
      </c>
      <c r="G620" t="s">
        <v>3949</v>
      </c>
      <c r="H620" t="s">
        <v>3950</v>
      </c>
      <c r="I620" t="s">
        <v>3942</v>
      </c>
      <c r="J620" t="s">
        <v>3951</v>
      </c>
      <c r="K620">
        <f>VLOOKUP($J620,'[1]Table S6'!$A:$AI,2,FALSE)</f>
        <v>375.7</v>
      </c>
      <c r="L620">
        <f>VLOOKUP($J620,'[1]Table S6'!$A:$AI,3,FALSE)</f>
        <v>0.79953181527984696</v>
      </c>
      <c r="M620">
        <f>VLOOKUP($J620,'[1]Table S6'!$A:$AI,4,FALSE)</f>
        <v>11.01</v>
      </c>
      <c r="N620" t="str">
        <f>VLOOKUP($J620,'[1]Table S6'!$A:$AI,5,FALSE)</f>
        <v>No</v>
      </c>
      <c r="P620">
        <f>VLOOKUP($J620,'[1]Table S6'!$A:$AI,7,FALSE)</f>
        <v>345.4</v>
      </c>
      <c r="Q620">
        <f>VLOOKUP($J620,'[1]Table S6'!$A:$AI,8,FALSE)</f>
        <v>0.73505001064056197</v>
      </c>
      <c r="R620">
        <f>VLOOKUP($J620,'[1]Table S6'!$A:$AI,9,FALSE)</f>
        <v>4.6589999999999998</v>
      </c>
      <c r="S620" t="str">
        <f>VLOOKUP($J620,'[1]Table S6'!$A:$AI,10,FALSE)</f>
        <v>No</v>
      </c>
      <c r="U620">
        <f>VLOOKUP($J620,'[1]Table S6'!$A:$AI,12,FALSE)</f>
        <v>320.10000000000002</v>
      </c>
      <c r="V620">
        <f>VLOOKUP($J620,'[1]Table S6'!$A:$AI,13,FALSE)</f>
        <v>0.68120876782294104</v>
      </c>
      <c r="W620">
        <f>VLOOKUP($J620,'[1]Table S6'!$A:$AI,14,FALSE)</f>
        <v>1.982</v>
      </c>
      <c r="X620" t="str">
        <f>VLOOKUP($J620,'[1]Table S6'!$A:$AI,15,FALSE)</f>
        <v>Yes</v>
      </c>
      <c r="Z620">
        <f>VLOOKUP($J620,'[1]Table S6'!$A:$AI,17,FALSE)</f>
        <v>314.60000000000002</v>
      </c>
      <c r="AA620">
        <f>VLOOKUP($J620,'[1]Table S6'!$A:$AI,18,FALSE)</f>
        <v>0.66950414981911099</v>
      </c>
      <c r="AB620">
        <f>VLOOKUP($J620,'[1]Table S6'!$A:$AI,19,FALSE)</f>
        <v>1.5429999999999999</v>
      </c>
      <c r="AC620" t="str">
        <f>VLOOKUP($J620,'[1]Table S6'!$A:$AI,20,FALSE)</f>
        <v>Yes</v>
      </c>
      <c r="AE620">
        <f>VLOOKUP($J620,'[1]Table S6'!$A:$AI,22,FALSE)</f>
        <v>384</v>
      </c>
      <c r="AF620">
        <f>VLOOKUP($J620,'[1]Table S6'!$A:$AI,23,FALSE)</f>
        <v>0.81719514790380898</v>
      </c>
      <c r="AG620">
        <f>VLOOKUP($J620,'[1]Table S6'!$A:$AI,24,FALSE)</f>
        <v>14.36</v>
      </c>
      <c r="AH620" t="str">
        <f>VLOOKUP($J620,'[1]Table S6'!$A:$AI,25,FALSE)</f>
        <v>No</v>
      </c>
      <c r="AJ620">
        <f>VLOOKUP($J620,'[1]Table S6'!$A:$AI,27,FALSE)</f>
        <v>388</v>
      </c>
      <c r="AK620">
        <f>VLOOKUP($J620,'[1]Table S6'!$A:$AI,28,FALSE)</f>
        <v>0.82570759736114097</v>
      </c>
      <c r="AL620">
        <f>VLOOKUP($J620,'[1]Table S6'!$A:$AI,29,FALSE)</f>
        <v>17.79</v>
      </c>
      <c r="AM620" t="str">
        <f>VLOOKUP($J620,'[1]Table S6'!$A:$AI,30,FALSE)</f>
        <v>No</v>
      </c>
      <c r="AO620">
        <f>VLOOKUP($J620,'[1]Table S6'!$A:$AI,32,FALSE)</f>
        <v>392.3</v>
      </c>
      <c r="AP620">
        <f>VLOOKUP($J620,'[1]Table S6'!$A:$AI,33,FALSE)</f>
        <v>0.83485848052777201</v>
      </c>
      <c r="AQ620">
        <f>VLOOKUP($J620,'[1]Table S6'!$A:$AI,34,FALSE)</f>
        <v>20.37</v>
      </c>
      <c r="AR620" t="str">
        <f>VLOOKUP($J620,'[1]Table S6'!$A:$AI,35,FALSE)</f>
        <v>No</v>
      </c>
      <c r="AT620" t="e">
        <f>VLOOKUP($I620,'[2]Table S5'!$A:$K,8,FALSE)</f>
        <v>#N/A</v>
      </c>
      <c r="AU620" t="e">
        <f>VLOOKUP($I620,'[2]Table S5'!$A:$K,9,FALSE)</f>
        <v>#N/A</v>
      </c>
      <c r="AV620" t="e">
        <f>VLOOKUP($I620,'[2]Table S5'!$A:$K,10,FALSE)</f>
        <v>#N/A</v>
      </c>
      <c r="AW620" t="e">
        <f>VLOOKUP($I620,'[2]Table S5'!$A:$K,11,FALSE)</f>
        <v>#N/A</v>
      </c>
    </row>
    <row r="621" spans="1:49">
      <c r="A621" s="12" t="s">
        <v>3952</v>
      </c>
      <c r="B621" t="s">
        <v>3953</v>
      </c>
      <c r="C621" t="s">
        <v>3954</v>
      </c>
      <c r="D621" t="s">
        <v>17</v>
      </c>
      <c r="E621" t="s">
        <v>3955</v>
      </c>
      <c r="F621" s="12" t="s">
        <v>3956</v>
      </c>
      <c r="G621" t="s">
        <v>3957</v>
      </c>
      <c r="H621" t="s">
        <v>3958</v>
      </c>
      <c r="I621" t="s">
        <v>3942</v>
      </c>
      <c r="J621" t="s">
        <v>3959</v>
      </c>
      <c r="K621">
        <f>VLOOKUP($J621,'[1]Table S6'!$A:$AI,2,FALSE)</f>
        <v>375.7</v>
      </c>
      <c r="L621">
        <f>VLOOKUP($J621,'[1]Table S6'!$A:$AI,3,FALSE)</f>
        <v>0.79953181527984696</v>
      </c>
      <c r="M621">
        <f>VLOOKUP($J621,'[1]Table S6'!$A:$AI,4,FALSE)</f>
        <v>11.98</v>
      </c>
      <c r="N621" t="str">
        <f>VLOOKUP($J621,'[1]Table S6'!$A:$AI,5,FALSE)</f>
        <v>No</v>
      </c>
      <c r="P621">
        <f>VLOOKUP($J621,'[1]Table S6'!$A:$AI,7,FALSE)</f>
        <v>382.7</v>
      </c>
      <c r="Q621">
        <f>VLOOKUP($J621,'[1]Table S6'!$A:$AI,8,FALSE)</f>
        <v>0.81442860183017696</v>
      </c>
      <c r="R621">
        <f>VLOOKUP($J621,'[1]Table S6'!$A:$AI,9,FALSE)</f>
        <v>15.82</v>
      </c>
      <c r="S621" t="str">
        <f>VLOOKUP($J621,'[1]Table S6'!$A:$AI,10,FALSE)</f>
        <v>No</v>
      </c>
      <c r="U621">
        <f>VLOOKUP($J621,'[1]Table S6'!$A:$AI,12,FALSE)</f>
        <v>367.4</v>
      </c>
      <c r="V621">
        <f>VLOOKUP($J621,'[1]Table S6'!$A:$AI,13,FALSE)</f>
        <v>0.78186848265588405</v>
      </c>
      <c r="W621">
        <f>VLOOKUP($J621,'[1]Table S6'!$A:$AI,14,FALSE)</f>
        <v>9.2680000000000007</v>
      </c>
      <c r="X621" t="str">
        <f>VLOOKUP($J621,'[1]Table S6'!$A:$AI,15,FALSE)</f>
        <v>No</v>
      </c>
      <c r="Z621">
        <f>VLOOKUP($J621,'[1]Table S6'!$A:$AI,17,FALSE)</f>
        <v>382.7</v>
      </c>
      <c r="AA621">
        <f>VLOOKUP($J621,'[1]Table S6'!$A:$AI,18,FALSE)</f>
        <v>0.81442860183017696</v>
      </c>
      <c r="AB621">
        <f>VLOOKUP($J621,'[1]Table S6'!$A:$AI,19,FALSE)</f>
        <v>15.66</v>
      </c>
      <c r="AC621" t="str">
        <f>VLOOKUP($J621,'[1]Table S6'!$A:$AI,20,FALSE)</f>
        <v>No</v>
      </c>
      <c r="AE621">
        <f>VLOOKUP($J621,'[1]Table S6'!$A:$AI,22,FALSE)</f>
        <v>371.8</v>
      </c>
      <c r="AF621">
        <f>VLOOKUP($J621,'[1]Table S6'!$A:$AI,23,FALSE)</f>
        <v>0.79123217705894899</v>
      </c>
      <c r="AG621">
        <f>VLOOKUP($J621,'[1]Table S6'!$A:$AI,24,FALSE)</f>
        <v>10.95</v>
      </c>
      <c r="AH621" t="str">
        <f>VLOOKUP($J621,'[1]Table S6'!$A:$AI,25,FALSE)</f>
        <v>No</v>
      </c>
      <c r="AJ621">
        <f>VLOOKUP($J621,'[1]Table S6'!$A:$AI,27,FALSE)</f>
        <v>397.9</v>
      </c>
      <c r="AK621">
        <f>VLOOKUP($J621,'[1]Table S6'!$A:$AI,28,FALSE)</f>
        <v>0.84677590976803596</v>
      </c>
      <c r="AL621">
        <f>VLOOKUP($J621,'[1]Table S6'!$A:$AI,29,FALSE)</f>
        <v>25.33</v>
      </c>
      <c r="AM621" t="str">
        <f>VLOOKUP($J621,'[1]Table S6'!$A:$AI,30,FALSE)</f>
        <v>No</v>
      </c>
      <c r="AO621">
        <f>VLOOKUP($J621,'[1]Table S6'!$A:$AI,32,FALSE)</f>
        <v>406.8</v>
      </c>
      <c r="AP621">
        <f>VLOOKUP($J621,'[1]Table S6'!$A:$AI,33,FALSE)</f>
        <v>0.86571610981059799</v>
      </c>
      <c r="AQ621">
        <f>VLOOKUP($J621,'[1]Table S6'!$A:$AI,34,FALSE)</f>
        <v>41.15</v>
      </c>
      <c r="AR621" t="str">
        <f>VLOOKUP($J621,'[1]Table S6'!$A:$AI,35,FALSE)</f>
        <v>No</v>
      </c>
      <c r="AT621" t="e">
        <f>VLOOKUP($I621,'[2]Table S5'!$A:$K,8,FALSE)</f>
        <v>#N/A</v>
      </c>
      <c r="AU621" t="e">
        <f>VLOOKUP($I621,'[2]Table S5'!$A:$K,9,FALSE)</f>
        <v>#N/A</v>
      </c>
      <c r="AV621" t="e">
        <f>VLOOKUP($I621,'[2]Table S5'!$A:$K,10,FALSE)</f>
        <v>#N/A</v>
      </c>
      <c r="AW621" t="e">
        <f>VLOOKUP($I621,'[2]Table S5'!$A:$K,11,FALSE)</f>
        <v>#N/A</v>
      </c>
    </row>
    <row r="622" spans="1:49">
      <c r="A622" s="12" t="s">
        <v>3960</v>
      </c>
      <c r="B622" t="s">
        <v>3961</v>
      </c>
      <c r="C622" t="s">
        <v>3962</v>
      </c>
      <c r="D622" t="s">
        <v>17</v>
      </c>
      <c r="E622" t="s">
        <v>3963</v>
      </c>
      <c r="F622" s="12" t="s">
        <v>3964</v>
      </c>
      <c r="G622" t="s">
        <v>3965</v>
      </c>
      <c r="H622" t="s">
        <v>3966</v>
      </c>
      <c r="I622" t="s">
        <v>3967</v>
      </c>
      <c r="J622" t="s">
        <v>3968</v>
      </c>
      <c r="K622">
        <f>VLOOKUP($J622,'[1]Table S6'!$A:$AI,2,FALSE)</f>
        <v>331.8</v>
      </c>
      <c r="L622">
        <f>VLOOKUP($J622,'[1]Table S6'!$A:$AI,3,FALSE)</f>
        <v>0.70610768248563505</v>
      </c>
      <c r="M622">
        <f>VLOOKUP($J622,'[1]Table S6'!$A:$AI,4,FALSE)</f>
        <v>2.782</v>
      </c>
      <c r="N622" t="str">
        <f>VLOOKUP($J622,'[1]Table S6'!$A:$AI,5,FALSE)</f>
        <v>No</v>
      </c>
      <c r="P622">
        <f>VLOOKUP($J622,'[1]Table S6'!$A:$AI,7,FALSE)</f>
        <v>340.7</v>
      </c>
      <c r="Q622">
        <f>VLOOKUP($J622,'[1]Table S6'!$A:$AI,8,FALSE)</f>
        <v>0.72504788252819796</v>
      </c>
      <c r="R622">
        <f>VLOOKUP($J622,'[1]Table S6'!$A:$AI,9,FALSE)</f>
        <v>4.4219999999999997</v>
      </c>
      <c r="S622" t="str">
        <f>VLOOKUP($J622,'[1]Table S6'!$A:$AI,10,FALSE)</f>
        <v>No</v>
      </c>
      <c r="U622">
        <f>VLOOKUP($J622,'[1]Table S6'!$A:$AI,12,FALSE)</f>
        <v>397.9</v>
      </c>
      <c r="V622">
        <f>VLOOKUP($J622,'[1]Table S6'!$A:$AI,13,FALSE)</f>
        <v>0.84677590976803596</v>
      </c>
      <c r="W622">
        <f>VLOOKUP($J622,'[1]Table S6'!$A:$AI,14,FALSE)</f>
        <v>23.13</v>
      </c>
      <c r="X622" t="str">
        <f>VLOOKUP($J622,'[1]Table S6'!$A:$AI,15,FALSE)</f>
        <v>No</v>
      </c>
      <c r="Z622">
        <f>VLOOKUP($J622,'[1]Table S6'!$A:$AI,17,FALSE)</f>
        <v>397.5</v>
      </c>
      <c r="AA622">
        <f>VLOOKUP($J622,'[1]Table S6'!$A:$AI,18,FALSE)</f>
        <v>0.845924664822303</v>
      </c>
      <c r="AB622">
        <f>VLOOKUP($J622,'[1]Table S6'!$A:$AI,19,FALSE)</f>
        <v>21.51</v>
      </c>
      <c r="AC622" t="str">
        <f>VLOOKUP($J622,'[1]Table S6'!$A:$AI,20,FALSE)</f>
        <v>No</v>
      </c>
      <c r="AE622">
        <f>VLOOKUP($J622,'[1]Table S6'!$A:$AI,22,FALSE)</f>
        <v>411.3</v>
      </c>
      <c r="AF622">
        <f>VLOOKUP($J622,'[1]Table S6'!$A:$AI,23,FALSE)</f>
        <v>0.87529261545009596</v>
      </c>
      <c r="AG622">
        <f>VLOOKUP($J622,'[1]Table S6'!$A:$AI,24,FALSE)</f>
        <v>46.09</v>
      </c>
      <c r="AH622" t="str">
        <f>VLOOKUP($J622,'[1]Table S6'!$A:$AI,25,FALSE)</f>
        <v>No</v>
      </c>
      <c r="AJ622">
        <f>VLOOKUP($J622,'[1]Table S6'!$A:$AI,27,FALSE)</f>
        <v>320.8</v>
      </c>
      <c r="AK622">
        <f>VLOOKUP($J622,'[1]Table S6'!$A:$AI,28,FALSE)</f>
        <v>0.68269844647797395</v>
      </c>
      <c r="AL622">
        <f>VLOOKUP($J622,'[1]Table S6'!$A:$AI,29,FALSE)</f>
        <v>2.089</v>
      </c>
      <c r="AM622" t="str">
        <f>VLOOKUP($J622,'[1]Table S6'!$A:$AI,30,FALSE)</f>
        <v>No</v>
      </c>
      <c r="AO622">
        <f>VLOOKUP($J622,'[1]Table S6'!$A:$AI,32,FALSE)</f>
        <v>325.2</v>
      </c>
      <c r="AP622">
        <f>VLOOKUP($J622,'[1]Table S6'!$A:$AI,33,FALSE)</f>
        <v>0.69206214088103901</v>
      </c>
      <c r="AQ622">
        <f>VLOOKUP($J622,'[1]Table S6'!$A:$AI,34,FALSE)</f>
        <v>2.2490000000000001</v>
      </c>
      <c r="AR622" t="str">
        <f>VLOOKUP($J622,'[1]Table S6'!$A:$AI,35,FALSE)</f>
        <v>No</v>
      </c>
      <c r="AT622" t="e">
        <f>VLOOKUP($I622,'[2]Table S5'!$A:$K,8,FALSE)</f>
        <v>#N/A</v>
      </c>
      <c r="AU622" t="e">
        <f>VLOOKUP($I622,'[2]Table S5'!$A:$K,9,FALSE)</f>
        <v>#N/A</v>
      </c>
      <c r="AV622" t="e">
        <f>VLOOKUP($I622,'[2]Table S5'!$A:$K,10,FALSE)</f>
        <v>#N/A</v>
      </c>
      <c r="AW622" t="e">
        <f>VLOOKUP($I622,'[2]Table S5'!$A:$K,11,FALSE)</f>
        <v>#N/A</v>
      </c>
    </row>
    <row r="623" spans="1:49">
      <c r="A623" s="12" t="s">
        <v>3969</v>
      </c>
      <c r="B623" t="s">
        <v>3970</v>
      </c>
      <c r="C623" t="s">
        <v>3971</v>
      </c>
      <c r="D623" t="s">
        <v>17</v>
      </c>
      <c r="E623" t="s">
        <v>3972</v>
      </c>
      <c r="F623" s="12" t="s">
        <v>3973</v>
      </c>
      <c r="G623" t="s">
        <v>3974</v>
      </c>
      <c r="H623" t="s">
        <v>3975</v>
      </c>
      <c r="I623" t="s">
        <v>3967</v>
      </c>
      <c r="J623" t="s">
        <v>3976</v>
      </c>
      <c r="K623">
        <f>VLOOKUP($J623,'[1]Table S6'!$A:$AI,2,FALSE)</f>
        <v>373.9</v>
      </c>
      <c r="L623">
        <f>VLOOKUP($J623,'[1]Table S6'!$A:$AI,3,FALSE)</f>
        <v>0.79570121302404795</v>
      </c>
      <c r="M623">
        <f>VLOOKUP($J623,'[1]Table S6'!$A:$AI,4,FALSE)</f>
        <v>11.12</v>
      </c>
      <c r="N623" t="str">
        <f>VLOOKUP($J623,'[1]Table S6'!$A:$AI,5,FALSE)</f>
        <v>No</v>
      </c>
      <c r="P623">
        <f>VLOOKUP($J623,'[1]Table S6'!$A:$AI,7,FALSE)</f>
        <v>388.4</v>
      </c>
      <c r="Q623">
        <f>VLOOKUP($J623,'[1]Table S6'!$A:$AI,8,FALSE)</f>
        <v>0.82655884230687404</v>
      </c>
      <c r="R623">
        <f>VLOOKUP($J623,'[1]Table S6'!$A:$AI,9,FALSE)</f>
        <v>18.89</v>
      </c>
      <c r="S623" t="str">
        <f>VLOOKUP($J623,'[1]Table S6'!$A:$AI,10,FALSE)</f>
        <v>No</v>
      </c>
      <c r="U623">
        <f>VLOOKUP($J623,'[1]Table S6'!$A:$AI,12,FALSE)</f>
        <v>396.9</v>
      </c>
      <c r="V623">
        <f>VLOOKUP($J623,'[1]Table S6'!$A:$AI,13,FALSE)</f>
        <v>0.84464779740370299</v>
      </c>
      <c r="W623">
        <f>VLOOKUP($J623,'[1]Table S6'!$A:$AI,14,FALSE)</f>
        <v>21.22</v>
      </c>
      <c r="X623" t="str">
        <f>VLOOKUP($J623,'[1]Table S6'!$A:$AI,15,FALSE)</f>
        <v>No</v>
      </c>
      <c r="Z623">
        <f>VLOOKUP($J623,'[1]Table S6'!$A:$AI,17,FALSE)</f>
        <v>378.5</v>
      </c>
      <c r="AA623">
        <f>VLOOKUP($J623,'[1]Table S6'!$A:$AI,18,FALSE)</f>
        <v>0.80549052989997905</v>
      </c>
      <c r="AB623">
        <f>VLOOKUP($J623,'[1]Table S6'!$A:$AI,19,FALSE)</f>
        <v>12.47</v>
      </c>
      <c r="AC623" t="str">
        <f>VLOOKUP($J623,'[1]Table S6'!$A:$AI,20,FALSE)</f>
        <v>No</v>
      </c>
      <c r="AE623">
        <f>VLOOKUP($J623,'[1]Table S6'!$A:$AI,22,FALSE)</f>
        <v>375</v>
      </c>
      <c r="AF623">
        <f>VLOOKUP($J623,'[1]Table S6'!$A:$AI,23,FALSE)</f>
        <v>0.79804213662481405</v>
      </c>
      <c r="AG623">
        <f>VLOOKUP($J623,'[1]Table S6'!$A:$AI,24,FALSE)</f>
        <v>12.46</v>
      </c>
      <c r="AH623" t="str">
        <f>VLOOKUP($J623,'[1]Table S6'!$A:$AI,25,FALSE)</f>
        <v>No</v>
      </c>
      <c r="AJ623">
        <f>VLOOKUP($J623,'[1]Table S6'!$A:$AI,27,FALSE)</f>
        <v>390.1</v>
      </c>
      <c r="AK623">
        <f>VLOOKUP($J623,'[1]Table S6'!$A:$AI,28,FALSE)</f>
        <v>0.83017663332624003</v>
      </c>
      <c r="AL623">
        <f>VLOOKUP($J623,'[1]Table S6'!$A:$AI,29,FALSE)</f>
        <v>17.89</v>
      </c>
      <c r="AM623" t="str">
        <f>VLOOKUP($J623,'[1]Table S6'!$A:$AI,30,FALSE)</f>
        <v>No</v>
      </c>
      <c r="AO623">
        <f>VLOOKUP($J623,'[1]Table S6'!$A:$AI,32,FALSE)</f>
        <v>319.7</v>
      </c>
      <c r="AP623">
        <f>VLOOKUP($J623,'[1]Table S6'!$A:$AI,33,FALSE)</f>
        <v>0.68035752287720797</v>
      </c>
      <c r="AQ623">
        <f>VLOOKUP($J623,'[1]Table S6'!$A:$AI,34,FALSE)</f>
        <v>1.831</v>
      </c>
      <c r="AR623" t="str">
        <f>VLOOKUP($J623,'[1]Table S6'!$A:$AI,35,FALSE)</f>
        <v>No</v>
      </c>
      <c r="AT623" t="e">
        <f>VLOOKUP($I623,'[2]Table S5'!$A:$K,8,FALSE)</f>
        <v>#N/A</v>
      </c>
      <c r="AU623" t="e">
        <f>VLOOKUP($I623,'[2]Table S5'!$A:$K,9,FALSE)</f>
        <v>#N/A</v>
      </c>
      <c r="AV623" t="e">
        <f>VLOOKUP($I623,'[2]Table S5'!$A:$K,10,FALSE)</f>
        <v>#N/A</v>
      </c>
      <c r="AW623" t="e">
        <f>VLOOKUP($I623,'[2]Table S5'!$A:$K,11,FALSE)</f>
        <v>#N/A</v>
      </c>
    </row>
    <row r="624" spans="1:49">
      <c r="A624" s="12" t="s">
        <v>3977</v>
      </c>
      <c r="B624" t="s">
        <v>3978</v>
      </c>
      <c r="C624" t="s">
        <v>3979</v>
      </c>
      <c r="D624" t="s">
        <v>17</v>
      </c>
      <c r="E624" t="s">
        <v>3980</v>
      </c>
      <c r="F624" s="12" t="s">
        <v>3981</v>
      </c>
      <c r="G624" t="s">
        <v>3982</v>
      </c>
      <c r="H624" t="s">
        <v>3983</v>
      </c>
      <c r="I624" t="s">
        <v>3967</v>
      </c>
      <c r="J624" t="s">
        <v>3984</v>
      </c>
      <c r="K624">
        <f>VLOOKUP($J624,'[1]Table S6'!$A:$AI,2,FALSE)</f>
        <v>418.2</v>
      </c>
      <c r="L624">
        <f>VLOOKUP($J624,'[1]Table S6'!$A:$AI,3,FALSE)</f>
        <v>0.88997659076399205</v>
      </c>
      <c r="M624">
        <f>VLOOKUP($J624,'[1]Table S6'!$A:$AI,4,FALSE)</f>
        <v>58.93</v>
      </c>
      <c r="N624" t="str">
        <f>VLOOKUP($J624,'[1]Table S6'!$A:$AI,5,FALSE)</f>
        <v>No</v>
      </c>
      <c r="P624">
        <f>VLOOKUP($J624,'[1]Table S6'!$A:$AI,7,FALSE)</f>
        <v>418.6</v>
      </c>
      <c r="Q624">
        <f>VLOOKUP($J624,'[1]Table S6'!$A:$AI,8,FALSE)</f>
        <v>0.89082783570972601</v>
      </c>
      <c r="R624">
        <f>VLOOKUP($J624,'[1]Table S6'!$A:$AI,9,FALSE)</f>
        <v>56.38</v>
      </c>
      <c r="S624" t="str">
        <f>VLOOKUP($J624,'[1]Table S6'!$A:$AI,10,FALSE)</f>
        <v>No</v>
      </c>
      <c r="U624">
        <f>VLOOKUP($J624,'[1]Table S6'!$A:$AI,12,FALSE)</f>
        <v>397.9</v>
      </c>
      <c r="V624">
        <f>VLOOKUP($J624,'[1]Table S6'!$A:$AI,13,FALSE)</f>
        <v>0.84677590976803596</v>
      </c>
      <c r="W624">
        <f>VLOOKUP($J624,'[1]Table S6'!$A:$AI,14,FALSE)</f>
        <v>34.68</v>
      </c>
      <c r="X624" t="str">
        <f>VLOOKUP($J624,'[1]Table S6'!$A:$AI,15,FALSE)</f>
        <v>No</v>
      </c>
      <c r="Z624">
        <f>VLOOKUP($J624,'[1]Table S6'!$A:$AI,17,FALSE)</f>
        <v>406.6</v>
      </c>
      <c r="AA624">
        <f>VLOOKUP($J624,'[1]Table S6'!$A:$AI,18,FALSE)</f>
        <v>0.86529048733773195</v>
      </c>
      <c r="AB624">
        <f>VLOOKUP($J624,'[1]Table S6'!$A:$AI,19,FALSE)</f>
        <v>43.31</v>
      </c>
      <c r="AC624" t="str">
        <f>VLOOKUP($J624,'[1]Table S6'!$A:$AI,20,FALSE)</f>
        <v>No</v>
      </c>
      <c r="AE624">
        <f>VLOOKUP($J624,'[1]Table S6'!$A:$AI,22,FALSE)</f>
        <v>417.7</v>
      </c>
      <c r="AF624">
        <f>VLOOKUP($J624,'[1]Table S6'!$A:$AI,23,FALSE)</f>
        <v>0.88891253458182595</v>
      </c>
      <c r="AG624">
        <f>VLOOKUP($J624,'[1]Table S6'!$A:$AI,24,FALSE)</f>
        <v>59.33</v>
      </c>
      <c r="AH624" t="str">
        <f>VLOOKUP($J624,'[1]Table S6'!$A:$AI,25,FALSE)</f>
        <v>No</v>
      </c>
      <c r="AJ624">
        <f>VLOOKUP($J624,'[1]Table S6'!$A:$AI,27,FALSE)</f>
        <v>352.1</v>
      </c>
      <c r="AK624">
        <f>VLOOKUP($J624,'[1]Table S6'!$A:$AI,28,FALSE)</f>
        <v>0.74930836348159202</v>
      </c>
      <c r="AL624">
        <f>VLOOKUP($J624,'[1]Table S6'!$A:$AI,29,FALSE)</f>
        <v>5.673</v>
      </c>
      <c r="AM624" t="str">
        <f>VLOOKUP($J624,'[1]Table S6'!$A:$AI,30,FALSE)</f>
        <v>No</v>
      </c>
      <c r="AO624">
        <f>VLOOKUP($J624,'[1]Table S6'!$A:$AI,32,FALSE)</f>
        <v>311.60000000000002</v>
      </c>
      <c r="AP624">
        <f>VLOOKUP($J624,'[1]Table S6'!$A:$AI,33,FALSE)</f>
        <v>0.66311981272611198</v>
      </c>
      <c r="AQ624">
        <f>VLOOKUP($J624,'[1]Table S6'!$A:$AI,34,FALSE)</f>
        <v>1.0389999999999999</v>
      </c>
      <c r="AR624" t="str">
        <f>VLOOKUP($J624,'[1]Table S6'!$A:$AI,35,FALSE)</f>
        <v>Yes</v>
      </c>
      <c r="AT624" t="e">
        <f>VLOOKUP($I624,'[2]Table S5'!$A:$K,8,FALSE)</f>
        <v>#N/A</v>
      </c>
      <c r="AU624" t="e">
        <f>VLOOKUP($I624,'[2]Table S5'!$A:$K,9,FALSE)</f>
        <v>#N/A</v>
      </c>
      <c r="AV624" t="e">
        <f>VLOOKUP($I624,'[2]Table S5'!$A:$K,10,FALSE)</f>
        <v>#N/A</v>
      </c>
      <c r="AW624" t="e">
        <f>VLOOKUP($I624,'[2]Table S5'!$A:$K,11,FALSE)</f>
        <v>#N/A</v>
      </c>
    </row>
    <row r="625" spans="1:49">
      <c r="A625" s="12" t="s">
        <v>3985</v>
      </c>
      <c r="B625" t="s">
        <v>3986</v>
      </c>
      <c r="C625" t="s">
        <v>3987</v>
      </c>
      <c r="D625" t="s">
        <v>17</v>
      </c>
      <c r="E625" t="s">
        <v>3988</v>
      </c>
      <c r="F625" s="12" t="s">
        <v>3989</v>
      </c>
      <c r="G625" t="s">
        <v>3990</v>
      </c>
      <c r="H625" t="s">
        <v>3991</v>
      </c>
      <c r="I625" t="s">
        <v>3992</v>
      </c>
      <c r="J625" t="s">
        <v>3993</v>
      </c>
      <c r="K625">
        <f>VLOOKUP($J625,'[1]Table S6'!$A:$AI,2,FALSE)</f>
        <v>313.39999999999998</v>
      </c>
      <c r="L625">
        <f>VLOOKUP($J625,'[1]Table S6'!$A:$AI,3,FALSE)</f>
        <v>0.66695041498191099</v>
      </c>
      <c r="M625">
        <f>VLOOKUP($J625,'[1]Table S6'!$A:$AI,4,FALSE)</f>
        <v>1.5049999999999999</v>
      </c>
      <c r="N625" t="str">
        <f>VLOOKUP($J625,'[1]Table S6'!$A:$AI,5,FALSE)</f>
        <v>Yes</v>
      </c>
      <c r="P625">
        <f>VLOOKUP($J625,'[1]Table S6'!$A:$AI,7,FALSE)</f>
        <v>359.9</v>
      </c>
      <c r="Q625">
        <f>VLOOKUP($J625,'[1]Table S6'!$A:$AI,8,FALSE)</f>
        <v>0.76590763992338795</v>
      </c>
      <c r="R625">
        <f>VLOOKUP($J625,'[1]Table S6'!$A:$AI,9,FALSE)</f>
        <v>7.1849999999999996</v>
      </c>
      <c r="S625" t="str">
        <f>VLOOKUP($J625,'[1]Table S6'!$A:$AI,10,FALSE)</f>
        <v>No</v>
      </c>
      <c r="U625">
        <f>VLOOKUP($J625,'[1]Table S6'!$A:$AI,12,FALSE)</f>
        <v>321.89999999999998</v>
      </c>
      <c r="V625">
        <f>VLOOKUP($J625,'[1]Table S6'!$A:$AI,13,FALSE)</f>
        <v>0.68503937007874005</v>
      </c>
      <c r="W625">
        <f>VLOOKUP($J625,'[1]Table S6'!$A:$AI,14,FALSE)</f>
        <v>2.17</v>
      </c>
      <c r="X625" t="str">
        <f>VLOOKUP($J625,'[1]Table S6'!$A:$AI,15,FALSE)</f>
        <v>Yes</v>
      </c>
      <c r="Z625">
        <f>VLOOKUP($J625,'[1]Table S6'!$A:$AI,17,FALSE)</f>
        <v>382</v>
      </c>
      <c r="AA625">
        <f>VLOOKUP($J625,'[1]Table S6'!$A:$AI,18,FALSE)</f>
        <v>0.81293892317514405</v>
      </c>
      <c r="AB625">
        <f>VLOOKUP($J625,'[1]Table S6'!$A:$AI,19,FALSE)</f>
        <v>13.2</v>
      </c>
      <c r="AC625" t="str">
        <f>VLOOKUP($J625,'[1]Table S6'!$A:$AI,20,FALSE)</f>
        <v>No</v>
      </c>
      <c r="AE625">
        <f>VLOOKUP($J625,'[1]Table S6'!$A:$AI,22,FALSE)</f>
        <v>327</v>
      </c>
      <c r="AF625">
        <f>VLOOKUP($J625,'[1]Table S6'!$A:$AI,23,FALSE)</f>
        <v>0.69589274313683802</v>
      </c>
      <c r="AG625">
        <f>VLOOKUP($J625,'[1]Table S6'!$A:$AI,24,FALSE)</f>
        <v>2.5579999999999998</v>
      </c>
      <c r="AH625" t="str">
        <f>VLOOKUP($J625,'[1]Table S6'!$A:$AI,25,FALSE)</f>
        <v>No</v>
      </c>
      <c r="AJ625">
        <f>VLOOKUP($J625,'[1]Table S6'!$A:$AI,27,FALSE)</f>
        <v>393.8</v>
      </c>
      <c r="AK625">
        <f>VLOOKUP($J625,'[1]Table S6'!$A:$AI,28,FALSE)</f>
        <v>0.83805064907427096</v>
      </c>
      <c r="AL625">
        <f>VLOOKUP($J625,'[1]Table S6'!$A:$AI,29,FALSE)</f>
        <v>23.43</v>
      </c>
      <c r="AM625" t="str">
        <f>VLOOKUP($J625,'[1]Table S6'!$A:$AI,30,FALSE)</f>
        <v>No</v>
      </c>
      <c r="AO625">
        <f>VLOOKUP($J625,'[1]Table S6'!$A:$AI,32,FALSE)</f>
        <v>383.9</v>
      </c>
      <c r="AP625">
        <f>VLOOKUP($J625,'[1]Table S6'!$A:$AI,33,FALSE)</f>
        <v>0.81698233666737596</v>
      </c>
      <c r="AQ625">
        <f>VLOOKUP($J625,'[1]Table S6'!$A:$AI,34,FALSE)</f>
        <v>17.57</v>
      </c>
      <c r="AR625" t="str">
        <f>VLOOKUP($J625,'[1]Table S6'!$A:$AI,35,FALSE)</f>
        <v>No</v>
      </c>
      <c r="AT625" t="e">
        <f>VLOOKUP($I625,'[2]Table S5'!$A:$K,8,FALSE)</f>
        <v>#N/A</v>
      </c>
      <c r="AU625" t="e">
        <f>VLOOKUP($I625,'[2]Table S5'!$A:$K,9,FALSE)</f>
        <v>#N/A</v>
      </c>
      <c r="AV625" t="e">
        <f>VLOOKUP($I625,'[2]Table S5'!$A:$K,10,FALSE)</f>
        <v>#N/A</v>
      </c>
      <c r="AW625" t="e">
        <f>VLOOKUP($I625,'[2]Table S5'!$A:$K,11,FALSE)</f>
        <v>#N/A</v>
      </c>
    </row>
    <row r="626" spans="1:49">
      <c r="A626" s="12" t="s">
        <v>3994</v>
      </c>
      <c r="B626" t="s">
        <v>3995</v>
      </c>
      <c r="C626" t="s">
        <v>3996</v>
      </c>
      <c r="D626" t="s">
        <v>17</v>
      </c>
      <c r="E626" t="s">
        <v>3997</v>
      </c>
      <c r="F626" s="12" t="s">
        <v>3998</v>
      </c>
      <c r="G626" t="s">
        <v>3999</v>
      </c>
      <c r="H626" t="s">
        <v>4000</v>
      </c>
      <c r="I626" t="s">
        <v>3992</v>
      </c>
      <c r="J626" t="s">
        <v>4001</v>
      </c>
      <c r="K626">
        <f>VLOOKUP($J626,'[1]Table S6'!$A:$AI,2,FALSE)</f>
        <v>319.3</v>
      </c>
      <c r="L626">
        <f>VLOOKUP($J626,'[1]Table S6'!$A:$AI,3,FALSE)</f>
        <v>0.679506277931475</v>
      </c>
      <c r="M626">
        <f>VLOOKUP($J626,'[1]Table S6'!$A:$AI,4,FALSE)</f>
        <v>1.7809999999999999</v>
      </c>
      <c r="N626" t="str">
        <f>VLOOKUP($J626,'[1]Table S6'!$A:$AI,5,FALSE)</f>
        <v>Yes</v>
      </c>
      <c r="P626">
        <f>VLOOKUP($J626,'[1]Table S6'!$A:$AI,7,FALSE)</f>
        <v>362</v>
      </c>
      <c r="Q626">
        <f>VLOOKUP($J626,'[1]Table S6'!$A:$AI,8,FALSE)</f>
        <v>0.77037667588848702</v>
      </c>
      <c r="R626">
        <f>VLOOKUP($J626,'[1]Table S6'!$A:$AI,9,FALSE)</f>
        <v>8.2210000000000001</v>
      </c>
      <c r="S626" t="str">
        <f>VLOOKUP($J626,'[1]Table S6'!$A:$AI,10,FALSE)</f>
        <v>No</v>
      </c>
      <c r="U626">
        <f>VLOOKUP($J626,'[1]Table S6'!$A:$AI,12,FALSE)</f>
        <v>350.3</v>
      </c>
      <c r="V626">
        <f>VLOOKUP($J626,'[1]Table S6'!$A:$AI,13,FALSE)</f>
        <v>0.74547776122579301</v>
      </c>
      <c r="W626">
        <f>VLOOKUP($J626,'[1]Table S6'!$A:$AI,14,FALSE)</f>
        <v>5.68</v>
      </c>
      <c r="X626" t="str">
        <f>VLOOKUP($J626,'[1]Table S6'!$A:$AI,15,FALSE)</f>
        <v>No</v>
      </c>
      <c r="Z626">
        <f>VLOOKUP($J626,'[1]Table S6'!$A:$AI,17,FALSE)</f>
        <v>327</v>
      </c>
      <c r="AA626">
        <f>VLOOKUP($J626,'[1]Table S6'!$A:$AI,18,FALSE)</f>
        <v>0.69589274313683802</v>
      </c>
      <c r="AB626">
        <f>VLOOKUP($J626,'[1]Table S6'!$A:$AI,19,FALSE)</f>
        <v>2.31</v>
      </c>
      <c r="AC626" t="str">
        <f>VLOOKUP($J626,'[1]Table S6'!$A:$AI,20,FALSE)</f>
        <v>No</v>
      </c>
      <c r="AE626">
        <f>VLOOKUP($J626,'[1]Table S6'!$A:$AI,22,FALSE)</f>
        <v>391.7</v>
      </c>
      <c r="AF626">
        <f>VLOOKUP($J626,'[1]Table S6'!$A:$AI,23,FALSE)</f>
        <v>0.833581613109172</v>
      </c>
      <c r="AG626">
        <f>VLOOKUP($J626,'[1]Table S6'!$A:$AI,24,FALSE)</f>
        <v>19.97</v>
      </c>
      <c r="AH626" t="str">
        <f>VLOOKUP($J626,'[1]Table S6'!$A:$AI,25,FALSE)</f>
        <v>No</v>
      </c>
      <c r="AJ626">
        <f>VLOOKUP($J626,'[1]Table S6'!$A:$AI,27,FALSE)</f>
        <v>406</v>
      </c>
      <c r="AK626">
        <f>VLOOKUP($J626,'[1]Table S6'!$A:$AI,28,FALSE)</f>
        <v>0.86401361991913195</v>
      </c>
      <c r="AL626">
        <f>VLOOKUP($J626,'[1]Table S6'!$A:$AI,29,FALSE)</f>
        <v>33.47</v>
      </c>
      <c r="AM626" t="str">
        <f>VLOOKUP($J626,'[1]Table S6'!$A:$AI,30,FALSE)</f>
        <v>No</v>
      </c>
      <c r="AO626">
        <f>VLOOKUP($J626,'[1]Table S6'!$A:$AI,32,FALSE)</f>
        <v>375.2</v>
      </c>
      <c r="AP626">
        <f>VLOOKUP($J626,'[1]Table S6'!$A:$AI,33,FALSE)</f>
        <v>0.79846775909767997</v>
      </c>
      <c r="AQ626">
        <f>VLOOKUP($J626,'[1]Table S6'!$A:$AI,34,FALSE)</f>
        <v>11.35</v>
      </c>
      <c r="AR626" t="str">
        <f>VLOOKUP($J626,'[1]Table S6'!$A:$AI,35,FALSE)</f>
        <v>No</v>
      </c>
      <c r="AT626" t="e">
        <f>VLOOKUP($I626,'[2]Table S5'!$A:$K,8,FALSE)</f>
        <v>#N/A</v>
      </c>
      <c r="AU626" t="e">
        <f>VLOOKUP($I626,'[2]Table S5'!$A:$K,9,FALSE)</f>
        <v>#N/A</v>
      </c>
      <c r="AV626" t="e">
        <f>VLOOKUP($I626,'[2]Table S5'!$A:$K,10,FALSE)</f>
        <v>#N/A</v>
      </c>
      <c r="AW626" t="e">
        <f>VLOOKUP($I626,'[2]Table S5'!$A:$K,11,FALSE)</f>
        <v>#N/A</v>
      </c>
    </row>
    <row r="627" spans="1:49">
      <c r="A627" s="12" t="s">
        <v>4002</v>
      </c>
      <c r="B627" t="s">
        <v>4003</v>
      </c>
      <c r="C627" t="s">
        <v>4004</v>
      </c>
      <c r="D627" t="s">
        <v>17</v>
      </c>
      <c r="E627" t="s">
        <v>4005</v>
      </c>
      <c r="F627" s="12" t="s">
        <v>4006</v>
      </c>
      <c r="G627" t="s">
        <v>4007</v>
      </c>
      <c r="H627" t="s">
        <v>4008</v>
      </c>
      <c r="I627" t="s">
        <v>3992</v>
      </c>
      <c r="J627" t="s">
        <v>4009</v>
      </c>
      <c r="K627">
        <f>VLOOKUP($J627,'[1]Table S6'!$A:$AI,2,FALSE)</f>
        <v>320.10000000000002</v>
      </c>
      <c r="L627">
        <f>VLOOKUP($J627,'[1]Table S6'!$A:$AI,3,FALSE)</f>
        <v>0.68120876782294104</v>
      </c>
      <c r="M627">
        <f>VLOOKUP($J627,'[1]Table S6'!$A:$AI,4,FALSE)</f>
        <v>1.792</v>
      </c>
      <c r="N627" t="str">
        <f>VLOOKUP($J627,'[1]Table S6'!$A:$AI,5,FALSE)</f>
        <v>Yes</v>
      </c>
      <c r="P627">
        <f>VLOOKUP($J627,'[1]Table S6'!$A:$AI,7,FALSE)</f>
        <v>327.10000000000002</v>
      </c>
      <c r="Q627">
        <f>VLOOKUP($J627,'[1]Table S6'!$A:$AI,8,FALSE)</f>
        <v>0.69610555437327104</v>
      </c>
      <c r="R627">
        <f>VLOOKUP($J627,'[1]Table S6'!$A:$AI,9,FALSE)</f>
        <v>2.331</v>
      </c>
      <c r="S627" t="str">
        <f>VLOOKUP($J627,'[1]Table S6'!$A:$AI,10,FALSE)</f>
        <v>Yes</v>
      </c>
      <c r="U627">
        <f>VLOOKUP($J627,'[1]Table S6'!$A:$AI,12,FALSE)</f>
        <v>367.6</v>
      </c>
      <c r="V627">
        <f>VLOOKUP($J627,'[1]Table S6'!$A:$AI,13,FALSE)</f>
        <v>0.78229410512875097</v>
      </c>
      <c r="W627">
        <f>VLOOKUP($J627,'[1]Table S6'!$A:$AI,14,FALSE)</f>
        <v>9.3940000000000001</v>
      </c>
      <c r="X627" t="str">
        <f>VLOOKUP($J627,'[1]Table S6'!$A:$AI,15,FALSE)</f>
        <v>No</v>
      </c>
      <c r="Z627">
        <f>VLOOKUP($J627,'[1]Table S6'!$A:$AI,17,FALSE)</f>
        <v>321.10000000000002</v>
      </c>
      <c r="AA627">
        <f>VLOOKUP($J627,'[1]Table S6'!$A:$AI,18,FALSE)</f>
        <v>0.68333688018727401</v>
      </c>
      <c r="AB627">
        <f>VLOOKUP($J627,'[1]Table S6'!$A:$AI,19,FALSE)</f>
        <v>1.79</v>
      </c>
      <c r="AC627" t="str">
        <f>VLOOKUP($J627,'[1]Table S6'!$A:$AI,20,FALSE)</f>
        <v>Yes</v>
      </c>
      <c r="AE627">
        <f>VLOOKUP($J627,'[1]Table S6'!$A:$AI,22,FALSE)</f>
        <v>402.1</v>
      </c>
      <c r="AF627">
        <f>VLOOKUP($J627,'[1]Table S6'!$A:$AI,23,FALSE)</f>
        <v>0.85571398169823398</v>
      </c>
      <c r="AG627">
        <f>VLOOKUP($J627,'[1]Table S6'!$A:$AI,24,FALSE)</f>
        <v>32.18</v>
      </c>
      <c r="AH627" t="str">
        <f>VLOOKUP($J627,'[1]Table S6'!$A:$AI,25,FALSE)</f>
        <v>No</v>
      </c>
      <c r="AJ627">
        <f>VLOOKUP($J627,'[1]Table S6'!$A:$AI,27,FALSE)</f>
        <v>367.5</v>
      </c>
      <c r="AK627">
        <f>VLOOKUP($J627,'[1]Table S6'!$A:$AI,28,FALSE)</f>
        <v>0.78208129389231795</v>
      </c>
      <c r="AL627">
        <f>VLOOKUP($J627,'[1]Table S6'!$A:$AI,29,FALSE)</f>
        <v>8.8780000000000001</v>
      </c>
      <c r="AM627" t="str">
        <f>VLOOKUP($J627,'[1]Table S6'!$A:$AI,30,FALSE)</f>
        <v>No</v>
      </c>
      <c r="AO627">
        <f>VLOOKUP($J627,'[1]Table S6'!$A:$AI,32,FALSE)</f>
        <v>389.3</v>
      </c>
      <c r="AP627">
        <f>VLOOKUP($J627,'[1]Table S6'!$A:$AI,33,FALSE)</f>
        <v>0.82847414343477299</v>
      </c>
      <c r="AQ627">
        <f>VLOOKUP($J627,'[1]Table S6'!$A:$AI,34,FALSE)</f>
        <v>19.190000000000001</v>
      </c>
      <c r="AR627" t="str">
        <f>VLOOKUP($J627,'[1]Table S6'!$A:$AI,35,FALSE)</f>
        <v>No</v>
      </c>
      <c r="AT627" t="e">
        <f>VLOOKUP($I627,'[2]Table S5'!$A:$K,8,FALSE)</f>
        <v>#N/A</v>
      </c>
      <c r="AU627" t="e">
        <f>VLOOKUP($I627,'[2]Table S5'!$A:$K,9,FALSE)</f>
        <v>#N/A</v>
      </c>
      <c r="AV627" t="e">
        <f>VLOOKUP($I627,'[2]Table S5'!$A:$K,10,FALSE)</f>
        <v>#N/A</v>
      </c>
      <c r="AW627" t="e">
        <f>VLOOKUP($I627,'[2]Table S5'!$A:$K,11,FALSE)</f>
        <v>#N/A</v>
      </c>
    </row>
    <row r="628" spans="1:49">
      <c r="A628" s="12" t="s">
        <v>4010</v>
      </c>
      <c r="B628" t="s">
        <v>4011</v>
      </c>
      <c r="C628" t="s">
        <v>4012</v>
      </c>
      <c r="D628" t="s">
        <v>17</v>
      </c>
      <c r="E628" t="s">
        <v>4013</v>
      </c>
      <c r="F628" s="12" t="s">
        <v>4014</v>
      </c>
      <c r="G628" t="s">
        <v>4015</v>
      </c>
      <c r="H628" t="s">
        <v>4016</v>
      </c>
      <c r="I628" t="s">
        <v>1815</v>
      </c>
      <c r="J628" t="s">
        <v>4017</v>
      </c>
      <c r="K628">
        <f>VLOOKUP($J628,'[1]Table S6'!$A:$AI,2,FALSE)</f>
        <v>328.3</v>
      </c>
      <c r="L628">
        <f>VLOOKUP($J628,'[1]Table S6'!$A:$AI,3,FALSE)</f>
        <v>0.69865928921047005</v>
      </c>
      <c r="M628">
        <f>VLOOKUP($J628,'[1]Table S6'!$A:$AI,4,FALSE)</f>
        <v>2.3839999999999999</v>
      </c>
      <c r="N628" t="str">
        <f>VLOOKUP($J628,'[1]Table S6'!$A:$AI,5,FALSE)</f>
        <v>Yes</v>
      </c>
      <c r="P628">
        <f>VLOOKUP($J628,'[1]Table S6'!$A:$AI,7,FALSE)</f>
        <v>320.60000000000002</v>
      </c>
      <c r="Q628">
        <f>VLOOKUP($J628,'[1]Table S6'!$A:$AI,8,FALSE)</f>
        <v>0.68227282400510803</v>
      </c>
      <c r="R628">
        <f>VLOOKUP($J628,'[1]Table S6'!$A:$AI,9,FALSE)</f>
        <v>1.68</v>
      </c>
      <c r="S628" t="str">
        <f>VLOOKUP($J628,'[1]Table S6'!$A:$AI,10,FALSE)</f>
        <v>Yes</v>
      </c>
      <c r="U628">
        <f>VLOOKUP($J628,'[1]Table S6'!$A:$AI,12,FALSE)</f>
        <v>324.10000000000002</v>
      </c>
      <c r="V628">
        <f>VLOOKUP($J628,'[1]Table S6'!$A:$AI,13,FALSE)</f>
        <v>0.68972121728027203</v>
      </c>
      <c r="W628">
        <f>VLOOKUP($J628,'[1]Table S6'!$A:$AI,14,FALSE)</f>
        <v>2.4609999999999999</v>
      </c>
      <c r="X628" t="str">
        <f>VLOOKUP($J628,'[1]Table S6'!$A:$AI,15,FALSE)</f>
        <v>Yes</v>
      </c>
      <c r="Z628">
        <f>VLOOKUP($J628,'[1]Table S6'!$A:$AI,17,FALSE)</f>
        <v>335.6</v>
      </c>
      <c r="AA628">
        <f>VLOOKUP($J628,'[1]Table S6'!$A:$AI,18,FALSE)</f>
        <v>0.71419450947009999</v>
      </c>
      <c r="AB628">
        <f>VLOOKUP($J628,'[1]Table S6'!$A:$AI,19,FALSE)</f>
        <v>3.1989999999999998</v>
      </c>
      <c r="AC628" t="str">
        <f>VLOOKUP($J628,'[1]Table S6'!$A:$AI,20,FALSE)</f>
        <v>No</v>
      </c>
      <c r="AE628">
        <f>VLOOKUP($J628,'[1]Table S6'!$A:$AI,22,FALSE)</f>
        <v>410.7</v>
      </c>
      <c r="AF628">
        <f>VLOOKUP($J628,'[1]Table S6'!$A:$AI,23,FALSE)</f>
        <v>0.87401574803149595</v>
      </c>
      <c r="AG628">
        <f>VLOOKUP($J628,'[1]Table S6'!$A:$AI,24,FALSE)</f>
        <v>45.18</v>
      </c>
      <c r="AH628" t="str">
        <f>VLOOKUP($J628,'[1]Table S6'!$A:$AI,25,FALSE)</f>
        <v>No</v>
      </c>
      <c r="AJ628">
        <f>VLOOKUP($J628,'[1]Table S6'!$A:$AI,27,FALSE)</f>
        <v>404.5</v>
      </c>
      <c r="AK628">
        <f>VLOOKUP($J628,'[1]Table S6'!$A:$AI,28,FALSE)</f>
        <v>0.860821451372633</v>
      </c>
      <c r="AL628">
        <f>VLOOKUP($J628,'[1]Table S6'!$A:$AI,29,FALSE)</f>
        <v>38.409999999999997</v>
      </c>
      <c r="AM628" t="str">
        <f>VLOOKUP($J628,'[1]Table S6'!$A:$AI,30,FALSE)</f>
        <v>No</v>
      </c>
      <c r="AO628">
        <f>VLOOKUP($J628,'[1]Table S6'!$A:$AI,32,FALSE)</f>
        <v>414</v>
      </c>
      <c r="AP628">
        <f>VLOOKUP($J628,'[1]Table S6'!$A:$AI,33,FALSE)</f>
        <v>0.88103851883379403</v>
      </c>
      <c r="AQ628">
        <f>VLOOKUP($J628,'[1]Table S6'!$A:$AI,34,FALSE)</f>
        <v>54.29</v>
      </c>
      <c r="AR628" t="str">
        <f>VLOOKUP($J628,'[1]Table S6'!$A:$AI,35,FALSE)</f>
        <v>No</v>
      </c>
      <c r="AT628" t="e">
        <f>VLOOKUP($I628,'[2]Table S5'!$A:$K,8,FALSE)</f>
        <v>#N/A</v>
      </c>
      <c r="AU628" t="e">
        <f>VLOOKUP($I628,'[2]Table S5'!$A:$K,9,FALSE)</f>
        <v>#N/A</v>
      </c>
      <c r="AV628" t="e">
        <f>VLOOKUP($I628,'[2]Table S5'!$A:$K,10,FALSE)</f>
        <v>#N/A</v>
      </c>
      <c r="AW628" t="e">
        <f>VLOOKUP($I628,'[2]Table S5'!$A:$K,11,FALSE)</f>
        <v>#N/A</v>
      </c>
    </row>
    <row r="629" spans="1:49">
      <c r="A629" s="12" t="s">
        <v>4018</v>
      </c>
      <c r="B629" t="s">
        <v>4019</v>
      </c>
      <c r="C629" t="s">
        <v>4020</v>
      </c>
      <c r="D629" t="s">
        <v>17</v>
      </c>
      <c r="E629" t="s">
        <v>4021</v>
      </c>
      <c r="F629" s="12" t="s">
        <v>4022</v>
      </c>
      <c r="G629" t="s">
        <v>4023</v>
      </c>
      <c r="H629" t="s">
        <v>4024</v>
      </c>
      <c r="I629" t="s">
        <v>1815</v>
      </c>
      <c r="J629" t="s">
        <v>4025</v>
      </c>
      <c r="K629">
        <f>VLOOKUP($J629,'[1]Table S6'!$A:$AI,2,FALSE)</f>
        <v>324.8</v>
      </c>
      <c r="L629">
        <f>VLOOKUP($J629,'[1]Table S6'!$A:$AI,3,FALSE)</f>
        <v>0.69121089593530505</v>
      </c>
      <c r="M629">
        <f>VLOOKUP($J629,'[1]Table S6'!$A:$AI,4,FALSE)</f>
        <v>2.2349999999999999</v>
      </c>
      <c r="N629" t="str">
        <f>VLOOKUP($J629,'[1]Table S6'!$A:$AI,5,FALSE)</f>
        <v>Yes</v>
      </c>
      <c r="P629">
        <f>VLOOKUP($J629,'[1]Table S6'!$A:$AI,7,FALSE)</f>
        <v>321.89999999999998</v>
      </c>
      <c r="Q629">
        <f>VLOOKUP($J629,'[1]Table S6'!$A:$AI,8,FALSE)</f>
        <v>0.68503937007874005</v>
      </c>
      <c r="R629">
        <f>VLOOKUP($J629,'[1]Table S6'!$A:$AI,9,FALSE)</f>
        <v>1.91</v>
      </c>
      <c r="S629" t="str">
        <f>VLOOKUP($J629,'[1]Table S6'!$A:$AI,10,FALSE)</f>
        <v>Yes</v>
      </c>
      <c r="U629">
        <f>VLOOKUP($J629,'[1]Table S6'!$A:$AI,12,FALSE)</f>
        <v>329.4</v>
      </c>
      <c r="V629">
        <f>VLOOKUP($J629,'[1]Table S6'!$A:$AI,13,FALSE)</f>
        <v>0.70100021281123603</v>
      </c>
      <c r="W629">
        <f>VLOOKUP($J629,'[1]Table S6'!$A:$AI,14,FALSE)</f>
        <v>2.5510000000000002</v>
      </c>
      <c r="X629" t="str">
        <f>VLOOKUP($J629,'[1]Table S6'!$A:$AI,15,FALSE)</f>
        <v>No</v>
      </c>
      <c r="Z629">
        <f>VLOOKUP($J629,'[1]Table S6'!$A:$AI,17,FALSE)</f>
        <v>311.5</v>
      </c>
      <c r="AA629">
        <f>VLOOKUP($J629,'[1]Table S6'!$A:$AI,18,FALSE)</f>
        <v>0.66290700148967896</v>
      </c>
      <c r="AB629">
        <f>VLOOKUP($J629,'[1]Table S6'!$A:$AI,19,FALSE)</f>
        <v>1.1679999999999999</v>
      </c>
      <c r="AC629" t="str">
        <f>VLOOKUP($J629,'[1]Table S6'!$A:$AI,20,FALSE)</f>
        <v>Yes</v>
      </c>
      <c r="AE629">
        <f>VLOOKUP($J629,'[1]Table S6'!$A:$AI,22,FALSE)</f>
        <v>370.1</v>
      </c>
      <c r="AF629">
        <f>VLOOKUP($J629,'[1]Table S6'!$A:$AI,23,FALSE)</f>
        <v>0.787614386039583</v>
      </c>
      <c r="AG629">
        <f>VLOOKUP($J629,'[1]Table S6'!$A:$AI,24,FALSE)</f>
        <v>10.4</v>
      </c>
      <c r="AH629" t="str">
        <f>VLOOKUP($J629,'[1]Table S6'!$A:$AI,25,FALSE)</f>
        <v>No</v>
      </c>
      <c r="AJ629">
        <f>VLOOKUP($J629,'[1]Table S6'!$A:$AI,27,FALSE)</f>
        <v>395.4</v>
      </c>
      <c r="AK629">
        <f>VLOOKUP($J629,'[1]Table S6'!$A:$AI,28,FALSE)</f>
        <v>0.84145562885720404</v>
      </c>
      <c r="AL629">
        <f>VLOOKUP($J629,'[1]Table S6'!$A:$AI,29,FALSE)</f>
        <v>22.98</v>
      </c>
      <c r="AM629" t="str">
        <f>VLOOKUP($J629,'[1]Table S6'!$A:$AI,30,FALSE)</f>
        <v>No</v>
      </c>
      <c r="AO629">
        <f>VLOOKUP($J629,'[1]Table S6'!$A:$AI,32,FALSE)</f>
        <v>415.9</v>
      </c>
      <c r="AP629">
        <f>VLOOKUP($J629,'[1]Table S6'!$A:$AI,33,FALSE)</f>
        <v>0.88508193232602705</v>
      </c>
      <c r="AQ629">
        <f>VLOOKUP($J629,'[1]Table S6'!$A:$AI,34,FALSE)</f>
        <v>65.19</v>
      </c>
      <c r="AR629" t="str">
        <f>VLOOKUP($J629,'[1]Table S6'!$A:$AI,35,FALSE)</f>
        <v>No</v>
      </c>
      <c r="AT629" t="e">
        <f>VLOOKUP($I629,'[2]Table S5'!$A:$K,8,FALSE)</f>
        <v>#N/A</v>
      </c>
      <c r="AU629" t="e">
        <f>VLOOKUP($I629,'[2]Table S5'!$A:$K,9,FALSE)</f>
        <v>#N/A</v>
      </c>
      <c r="AV629" t="e">
        <f>VLOOKUP($I629,'[2]Table S5'!$A:$K,10,FALSE)</f>
        <v>#N/A</v>
      </c>
      <c r="AW629" t="e">
        <f>VLOOKUP($I629,'[2]Table S5'!$A:$K,11,FALSE)</f>
        <v>#N/A</v>
      </c>
    </row>
    <row r="630" spans="1:49">
      <c r="A630" s="12" t="s">
        <v>4026</v>
      </c>
      <c r="B630" t="s">
        <v>4027</v>
      </c>
      <c r="C630" t="s">
        <v>4028</v>
      </c>
      <c r="D630" t="s">
        <v>17</v>
      </c>
      <c r="E630" t="s">
        <v>4029</v>
      </c>
      <c r="F630" s="12" t="s">
        <v>4030</v>
      </c>
      <c r="G630" t="s">
        <v>4031</v>
      </c>
      <c r="H630" t="s">
        <v>4032</v>
      </c>
      <c r="I630" t="s">
        <v>1815</v>
      </c>
      <c r="J630" t="s">
        <v>1816</v>
      </c>
      <c r="K630">
        <f>VLOOKUP($J630,'[1]Table S6'!$A:$AI,2,FALSE)</f>
        <v>353.1</v>
      </c>
      <c r="L630">
        <f>VLOOKUP($J630,'[1]Table S6'!$A:$AI,3,FALSE)</f>
        <v>0.75143647584592499</v>
      </c>
      <c r="M630">
        <f>VLOOKUP($J630,'[1]Table S6'!$A:$AI,4,FALSE)</f>
        <v>6.13</v>
      </c>
      <c r="N630" t="str">
        <f>VLOOKUP($J630,'[1]Table S6'!$A:$AI,5,FALSE)</f>
        <v>No</v>
      </c>
      <c r="P630">
        <f>VLOOKUP($J630,'[1]Table S6'!$A:$AI,7,FALSE)</f>
        <v>352.1</v>
      </c>
      <c r="Q630">
        <f>VLOOKUP($J630,'[1]Table S6'!$A:$AI,8,FALSE)</f>
        <v>0.74930836348159202</v>
      </c>
      <c r="R630">
        <f>VLOOKUP($J630,'[1]Table S6'!$A:$AI,9,FALSE)</f>
        <v>5.86</v>
      </c>
      <c r="S630" t="str">
        <f>VLOOKUP($J630,'[1]Table S6'!$A:$AI,10,FALSE)</f>
        <v>No</v>
      </c>
      <c r="U630">
        <f>VLOOKUP($J630,'[1]Table S6'!$A:$AI,12,FALSE)</f>
        <v>380.2</v>
      </c>
      <c r="V630">
        <f>VLOOKUP($J630,'[1]Table S6'!$A:$AI,13,FALSE)</f>
        <v>0.80910832091934504</v>
      </c>
      <c r="W630">
        <f>VLOOKUP($J630,'[1]Table S6'!$A:$AI,14,FALSE)</f>
        <v>14.39</v>
      </c>
      <c r="X630" t="str">
        <f>VLOOKUP($J630,'[1]Table S6'!$A:$AI,15,FALSE)</f>
        <v>No</v>
      </c>
      <c r="Z630">
        <f>VLOOKUP($J630,'[1]Table S6'!$A:$AI,17,FALSE)</f>
        <v>379.4</v>
      </c>
      <c r="AA630">
        <f>VLOOKUP($J630,'[1]Table S6'!$A:$AI,18,FALSE)</f>
        <v>0.807405831027878</v>
      </c>
      <c r="AB630">
        <f>VLOOKUP($J630,'[1]Table S6'!$A:$AI,19,FALSE)</f>
        <v>12.83</v>
      </c>
      <c r="AC630" t="str">
        <f>VLOOKUP($J630,'[1]Table S6'!$A:$AI,20,FALSE)</f>
        <v>No</v>
      </c>
      <c r="AE630">
        <f>VLOOKUP($J630,'[1]Table S6'!$A:$AI,22,FALSE)</f>
        <v>399.2</v>
      </c>
      <c r="AF630">
        <f>VLOOKUP($J630,'[1]Table S6'!$A:$AI,23,FALSE)</f>
        <v>0.84954245584166799</v>
      </c>
      <c r="AG630">
        <f>VLOOKUP($J630,'[1]Table S6'!$A:$AI,24,FALSE)</f>
        <v>29.84</v>
      </c>
      <c r="AH630" t="str">
        <f>VLOOKUP($J630,'[1]Table S6'!$A:$AI,25,FALSE)</f>
        <v>No</v>
      </c>
      <c r="AJ630">
        <f>VLOOKUP($J630,'[1]Table S6'!$A:$AI,27,FALSE)</f>
        <v>411.8</v>
      </c>
      <c r="AK630">
        <f>VLOOKUP($J630,'[1]Table S6'!$A:$AI,28,FALSE)</f>
        <v>0.87635667163226205</v>
      </c>
      <c r="AL630">
        <f>VLOOKUP($J630,'[1]Table S6'!$A:$AI,29,FALSE)</f>
        <v>43.58</v>
      </c>
      <c r="AM630" t="str">
        <f>VLOOKUP($J630,'[1]Table S6'!$A:$AI,30,FALSE)</f>
        <v>No</v>
      </c>
      <c r="AO630">
        <f>VLOOKUP($J630,'[1]Table S6'!$A:$AI,32,FALSE)</f>
        <v>396.8</v>
      </c>
      <c r="AP630">
        <f>VLOOKUP($J630,'[1]Table S6'!$A:$AI,33,FALSE)</f>
        <v>0.84443498616726997</v>
      </c>
      <c r="AQ630">
        <f>VLOOKUP($J630,'[1]Table S6'!$A:$AI,34,FALSE)</f>
        <v>21.5</v>
      </c>
      <c r="AR630" t="str">
        <f>VLOOKUP($J630,'[1]Table S6'!$A:$AI,35,FALSE)</f>
        <v>No</v>
      </c>
      <c r="AT630" t="e">
        <f>VLOOKUP($I630,'[2]Table S5'!$A:$K,8,FALSE)</f>
        <v>#N/A</v>
      </c>
      <c r="AU630" t="e">
        <f>VLOOKUP($I630,'[2]Table S5'!$A:$K,9,FALSE)</f>
        <v>#N/A</v>
      </c>
      <c r="AV630" t="e">
        <f>VLOOKUP($I630,'[2]Table S5'!$A:$K,10,FALSE)</f>
        <v>#N/A</v>
      </c>
      <c r="AW630" t="e">
        <f>VLOOKUP($I630,'[2]Table S5'!$A:$K,11,FALSE)</f>
        <v>#N/A</v>
      </c>
    </row>
    <row r="631" spans="1:49">
      <c r="A631" s="12" t="s">
        <v>4033</v>
      </c>
      <c r="B631" t="s">
        <v>4034</v>
      </c>
      <c r="C631" t="s">
        <v>4035</v>
      </c>
      <c r="D631" t="s">
        <v>17</v>
      </c>
      <c r="E631" t="s">
        <v>1811</v>
      </c>
      <c r="F631" s="12" t="s">
        <v>1812</v>
      </c>
      <c r="G631" t="s">
        <v>1813</v>
      </c>
      <c r="H631" t="s">
        <v>1814</v>
      </c>
      <c r="I631" t="s">
        <v>1815</v>
      </c>
      <c r="J631" t="s">
        <v>1816</v>
      </c>
      <c r="K631">
        <f>VLOOKUP($J631,'[1]Table S6'!$A:$AI,2,FALSE)</f>
        <v>353.1</v>
      </c>
      <c r="L631">
        <f>VLOOKUP($J631,'[1]Table S6'!$A:$AI,3,FALSE)</f>
        <v>0.75143647584592499</v>
      </c>
      <c r="M631">
        <f>VLOOKUP($J631,'[1]Table S6'!$A:$AI,4,FALSE)</f>
        <v>6.13</v>
      </c>
      <c r="N631" t="str">
        <f>VLOOKUP($J631,'[1]Table S6'!$A:$AI,5,FALSE)</f>
        <v>No</v>
      </c>
      <c r="P631">
        <f>VLOOKUP($J631,'[1]Table S6'!$A:$AI,7,FALSE)</f>
        <v>352.1</v>
      </c>
      <c r="Q631">
        <f>VLOOKUP($J631,'[1]Table S6'!$A:$AI,8,FALSE)</f>
        <v>0.74930836348159202</v>
      </c>
      <c r="R631">
        <f>VLOOKUP($J631,'[1]Table S6'!$A:$AI,9,FALSE)</f>
        <v>5.86</v>
      </c>
      <c r="S631" t="str">
        <f>VLOOKUP($J631,'[1]Table S6'!$A:$AI,10,FALSE)</f>
        <v>No</v>
      </c>
      <c r="U631">
        <f>VLOOKUP($J631,'[1]Table S6'!$A:$AI,12,FALSE)</f>
        <v>380.2</v>
      </c>
      <c r="V631">
        <f>VLOOKUP($J631,'[1]Table S6'!$A:$AI,13,FALSE)</f>
        <v>0.80910832091934504</v>
      </c>
      <c r="W631">
        <f>VLOOKUP($J631,'[1]Table S6'!$A:$AI,14,FALSE)</f>
        <v>14.39</v>
      </c>
      <c r="X631" t="str">
        <f>VLOOKUP($J631,'[1]Table S6'!$A:$AI,15,FALSE)</f>
        <v>No</v>
      </c>
      <c r="Z631">
        <f>VLOOKUP($J631,'[1]Table S6'!$A:$AI,17,FALSE)</f>
        <v>379.4</v>
      </c>
      <c r="AA631">
        <f>VLOOKUP($J631,'[1]Table S6'!$A:$AI,18,FALSE)</f>
        <v>0.807405831027878</v>
      </c>
      <c r="AB631">
        <f>VLOOKUP($J631,'[1]Table S6'!$A:$AI,19,FALSE)</f>
        <v>12.83</v>
      </c>
      <c r="AC631" t="str">
        <f>VLOOKUP($J631,'[1]Table S6'!$A:$AI,20,FALSE)</f>
        <v>No</v>
      </c>
      <c r="AE631">
        <f>VLOOKUP($J631,'[1]Table S6'!$A:$AI,22,FALSE)</f>
        <v>399.2</v>
      </c>
      <c r="AF631">
        <f>VLOOKUP($J631,'[1]Table S6'!$A:$AI,23,FALSE)</f>
        <v>0.84954245584166799</v>
      </c>
      <c r="AG631">
        <f>VLOOKUP($J631,'[1]Table S6'!$A:$AI,24,FALSE)</f>
        <v>29.84</v>
      </c>
      <c r="AH631" t="str">
        <f>VLOOKUP($J631,'[1]Table S6'!$A:$AI,25,FALSE)</f>
        <v>No</v>
      </c>
      <c r="AJ631">
        <f>VLOOKUP($J631,'[1]Table S6'!$A:$AI,27,FALSE)</f>
        <v>411.8</v>
      </c>
      <c r="AK631">
        <f>VLOOKUP($J631,'[1]Table S6'!$A:$AI,28,FALSE)</f>
        <v>0.87635667163226205</v>
      </c>
      <c r="AL631">
        <f>VLOOKUP($J631,'[1]Table S6'!$A:$AI,29,FALSE)</f>
        <v>43.58</v>
      </c>
      <c r="AM631" t="str">
        <f>VLOOKUP($J631,'[1]Table S6'!$A:$AI,30,FALSE)</f>
        <v>No</v>
      </c>
      <c r="AO631">
        <f>VLOOKUP($J631,'[1]Table S6'!$A:$AI,32,FALSE)</f>
        <v>396.8</v>
      </c>
      <c r="AP631">
        <f>VLOOKUP($J631,'[1]Table S6'!$A:$AI,33,FALSE)</f>
        <v>0.84443498616726997</v>
      </c>
      <c r="AQ631">
        <f>VLOOKUP($J631,'[1]Table S6'!$A:$AI,34,FALSE)</f>
        <v>21.5</v>
      </c>
      <c r="AR631" t="str">
        <f>VLOOKUP($J631,'[1]Table S6'!$A:$AI,35,FALSE)</f>
        <v>No</v>
      </c>
      <c r="AT631" t="e">
        <f>VLOOKUP($I631,'[2]Table S5'!$A:$K,8,FALSE)</f>
        <v>#N/A</v>
      </c>
      <c r="AU631" t="e">
        <f>VLOOKUP($I631,'[2]Table S5'!$A:$K,9,FALSE)</f>
        <v>#N/A</v>
      </c>
      <c r="AV631" t="e">
        <f>VLOOKUP($I631,'[2]Table S5'!$A:$K,10,FALSE)</f>
        <v>#N/A</v>
      </c>
      <c r="AW631" t="e">
        <f>VLOOKUP($I631,'[2]Table S5'!$A:$K,11,FALSE)</f>
        <v>#N/A</v>
      </c>
    </row>
    <row r="632" spans="1:49">
      <c r="A632" s="12" t="s">
        <v>4036</v>
      </c>
      <c r="B632" t="s">
        <v>4037</v>
      </c>
      <c r="C632" t="s">
        <v>4038</v>
      </c>
      <c r="D632" t="s">
        <v>17</v>
      </c>
      <c r="E632" t="s">
        <v>1820</v>
      </c>
      <c r="F632" s="12" t="s">
        <v>1821</v>
      </c>
      <c r="G632" t="s">
        <v>1822</v>
      </c>
      <c r="H632" t="s">
        <v>1823</v>
      </c>
      <c r="I632" t="s">
        <v>1815</v>
      </c>
      <c r="J632" t="s">
        <v>1816</v>
      </c>
      <c r="K632">
        <f>VLOOKUP($J632,'[1]Table S6'!$A:$AI,2,FALSE)</f>
        <v>353.1</v>
      </c>
      <c r="L632">
        <f>VLOOKUP($J632,'[1]Table S6'!$A:$AI,3,FALSE)</f>
        <v>0.75143647584592499</v>
      </c>
      <c r="M632">
        <f>VLOOKUP($J632,'[1]Table S6'!$A:$AI,4,FALSE)</f>
        <v>6.13</v>
      </c>
      <c r="N632" t="str">
        <f>VLOOKUP($J632,'[1]Table S6'!$A:$AI,5,FALSE)</f>
        <v>No</v>
      </c>
      <c r="P632">
        <f>VLOOKUP($J632,'[1]Table S6'!$A:$AI,7,FALSE)</f>
        <v>352.1</v>
      </c>
      <c r="Q632">
        <f>VLOOKUP($J632,'[1]Table S6'!$A:$AI,8,FALSE)</f>
        <v>0.74930836348159202</v>
      </c>
      <c r="R632">
        <f>VLOOKUP($J632,'[1]Table S6'!$A:$AI,9,FALSE)</f>
        <v>5.86</v>
      </c>
      <c r="S632" t="str">
        <f>VLOOKUP($J632,'[1]Table S6'!$A:$AI,10,FALSE)</f>
        <v>No</v>
      </c>
      <c r="U632">
        <f>VLOOKUP($J632,'[1]Table S6'!$A:$AI,12,FALSE)</f>
        <v>380.2</v>
      </c>
      <c r="V632">
        <f>VLOOKUP($J632,'[1]Table S6'!$A:$AI,13,FALSE)</f>
        <v>0.80910832091934504</v>
      </c>
      <c r="W632">
        <f>VLOOKUP($J632,'[1]Table S6'!$A:$AI,14,FALSE)</f>
        <v>14.39</v>
      </c>
      <c r="X632" t="str">
        <f>VLOOKUP($J632,'[1]Table S6'!$A:$AI,15,FALSE)</f>
        <v>No</v>
      </c>
      <c r="Z632">
        <f>VLOOKUP($J632,'[1]Table S6'!$A:$AI,17,FALSE)</f>
        <v>379.4</v>
      </c>
      <c r="AA632">
        <f>VLOOKUP($J632,'[1]Table S6'!$A:$AI,18,FALSE)</f>
        <v>0.807405831027878</v>
      </c>
      <c r="AB632">
        <f>VLOOKUP($J632,'[1]Table S6'!$A:$AI,19,FALSE)</f>
        <v>12.83</v>
      </c>
      <c r="AC632" t="str">
        <f>VLOOKUP($J632,'[1]Table S6'!$A:$AI,20,FALSE)</f>
        <v>No</v>
      </c>
      <c r="AE632">
        <f>VLOOKUP($J632,'[1]Table S6'!$A:$AI,22,FALSE)</f>
        <v>399.2</v>
      </c>
      <c r="AF632">
        <f>VLOOKUP($J632,'[1]Table S6'!$A:$AI,23,FALSE)</f>
        <v>0.84954245584166799</v>
      </c>
      <c r="AG632">
        <f>VLOOKUP($J632,'[1]Table S6'!$A:$AI,24,FALSE)</f>
        <v>29.84</v>
      </c>
      <c r="AH632" t="str">
        <f>VLOOKUP($J632,'[1]Table S6'!$A:$AI,25,FALSE)</f>
        <v>No</v>
      </c>
      <c r="AJ632">
        <f>VLOOKUP($J632,'[1]Table S6'!$A:$AI,27,FALSE)</f>
        <v>411.8</v>
      </c>
      <c r="AK632">
        <f>VLOOKUP($J632,'[1]Table S6'!$A:$AI,28,FALSE)</f>
        <v>0.87635667163226205</v>
      </c>
      <c r="AL632">
        <f>VLOOKUP($J632,'[1]Table S6'!$A:$AI,29,FALSE)</f>
        <v>43.58</v>
      </c>
      <c r="AM632" t="str">
        <f>VLOOKUP($J632,'[1]Table S6'!$A:$AI,30,FALSE)</f>
        <v>No</v>
      </c>
      <c r="AO632">
        <f>VLOOKUP($J632,'[1]Table S6'!$A:$AI,32,FALSE)</f>
        <v>396.8</v>
      </c>
      <c r="AP632">
        <f>VLOOKUP($J632,'[1]Table S6'!$A:$AI,33,FALSE)</f>
        <v>0.84443498616726997</v>
      </c>
      <c r="AQ632">
        <f>VLOOKUP($J632,'[1]Table S6'!$A:$AI,34,FALSE)</f>
        <v>21.5</v>
      </c>
      <c r="AR632" t="str">
        <f>VLOOKUP($J632,'[1]Table S6'!$A:$AI,35,FALSE)</f>
        <v>No</v>
      </c>
      <c r="AT632" t="e">
        <f>VLOOKUP($I632,'[2]Table S5'!$A:$K,8,FALSE)</f>
        <v>#N/A</v>
      </c>
      <c r="AU632" t="e">
        <f>VLOOKUP($I632,'[2]Table S5'!$A:$K,9,FALSE)</f>
        <v>#N/A</v>
      </c>
      <c r="AV632" t="e">
        <f>VLOOKUP($I632,'[2]Table S5'!$A:$K,10,FALSE)</f>
        <v>#N/A</v>
      </c>
      <c r="AW632" t="e">
        <f>VLOOKUP($I632,'[2]Table S5'!$A:$K,11,FALSE)</f>
        <v>#N/A</v>
      </c>
    </row>
    <row r="633" spans="1:49">
      <c r="A633" s="12" t="s">
        <v>4039</v>
      </c>
      <c r="B633" t="s">
        <v>4040</v>
      </c>
      <c r="C633" t="s">
        <v>4041</v>
      </c>
      <c r="D633" t="s">
        <v>17</v>
      </c>
      <c r="E633" t="s">
        <v>1827</v>
      </c>
      <c r="F633" s="12" t="s">
        <v>1828</v>
      </c>
      <c r="G633" t="s">
        <v>1829</v>
      </c>
      <c r="H633" t="s">
        <v>1830</v>
      </c>
      <c r="I633" t="s">
        <v>1815</v>
      </c>
      <c r="J633" t="s">
        <v>1816</v>
      </c>
      <c r="K633">
        <f>VLOOKUP($J633,'[1]Table S6'!$A:$AI,2,FALSE)</f>
        <v>353.1</v>
      </c>
      <c r="L633">
        <f>VLOOKUP($J633,'[1]Table S6'!$A:$AI,3,FALSE)</f>
        <v>0.75143647584592499</v>
      </c>
      <c r="M633">
        <f>VLOOKUP($J633,'[1]Table S6'!$A:$AI,4,FALSE)</f>
        <v>6.13</v>
      </c>
      <c r="N633" t="str">
        <f>VLOOKUP($J633,'[1]Table S6'!$A:$AI,5,FALSE)</f>
        <v>No</v>
      </c>
      <c r="P633">
        <f>VLOOKUP($J633,'[1]Table S6'!$A:$AI,7,FALSE)</f>
        <v>352.1</v>
      </c>
      <c r="Q633">
        <f>VLOOKUP($J633,'[1]Table S6'!$A:$AI,8,FALSE)</f>
        <v>0.74930836348159202</v>
      </c>
      <c r="R633">
        <f>VLOOKUP($J633,'[1]Table S6'!$A:$AI,9,FALSE)</f>
        <v>5.86</v>
      </c>
      <c r="S633" t="str">
        <f>VLOOKUP($J633,'[1]Table S6'!$A:$AI,10,FALSE)</f>
        <v>No</v>
      </c>
      <c r="U633">
        <f>VLOOKUP($J633,'[1]Table S6'!$A:$AI,12,FALSE)</f>
        <v>380.2</v>
      </c>
      <c r="V633">
        <f>VLOOKUP($J633,'[1]Table S6'!$A:$AI,13,FALSE)</f>
        <v>0.80910832091934504</v>
      </c>
      <c r="W633">
        <f>VLOOKUP($J633,'[1]Table S6'!$A:$AI,14,FALSE)</f>
        <v>14.39</v>
      </c>
      <c r="X633" t="str">
        <f>VLOOKUP($J633,'[1]Table S6'!$A:$AI,15,FALSE)</f>
        <v>No</v>
      </c>
      <c r="Z633">
        <f>VLOOKUP($J633,'[1]Table S6'!$A:$AI,17,FALSE)</f>
        <v>379.4</v>
      </c>
      <c r="AA633">
        <f>VLOOKUP($J633,'[1]Table S6'!$A:$AI,18,FALSE)</f>
        <v>0.807405831027878</v>
      </c>
      <c r="AB633">
        <f>VLOOKUP($J633,'[1]Table S6'!$A:$AI,19,FALSE)</f>
        <v>12.83</v>
      </c>
      <c r="AC633" t="str">
        <f>VLOOKUP($J633,'[1]Table S6'!$A:$AI,20,FALSE)</f>
        <v>No</v>
      </c>
      <c r="AE633">
        <f>VLOOKUP($J633,'[1]Table S6'!$A:$AI,22,FALSE)</f>
        <v>399.2</v>
      </c>
      <c r="AF633">
        <f>VLOOKUP($J633,'[1]Table S6'!$A:$AI,23,FALSE)</f>
        <v>0.84954245584166799</v>
      </c>
      <c r="AG633">
        <f>VLOOKUP($J633,'[1]Table S6'!$A:$AI,24,FALSE)</f>
        <v>29.84</v>
      </c>
      <c r="AH633" t="str">
        <f>VLOOKUP($J633,'[1]Table S6'!$A:$AI,25,FALSE)</f>
        <v>No</v>
      </c>
      <c r="AJ633">
        <f>VLOOKUP($J633,'[1]Table S6'!$A:$AI,27,FALSE)</f>
        <v>411.8</v>
      </c>
      <c r="AK633">
        <f>VLOOKUP($J633,'[1]Table S6'!$A:$AI,28,FALSE)</f>
        <v>0.87635667163226205</v>
      </c>
      <c r="AL633">
        <f>VLOOKUP($J633,'[1]Table S6'!$A:$AI,29,FALSE)</f>
        <v>43.58</v>
      </c>
      <c r="AM633" t="str">
        <f>VLOOKUP($J633,'[1]Table S6'!$A:$AI,30,FALSE)</f>
        <v>No</v>
      </c>
      <c r="AO633">
        <f>VLOOKUP($J633,'[1]Table S6'!$A:$AI,32,FALSE)</f>
        <v>396.8</v>
      </c>
      <c r="AP633">
        <f>VLOOKUP($J633,'[1]Table S6'!$A:$AI,33,FALSE)</f>
        <v>0.84443498616726997</v>
      </c>
      <c r="AQ633">
        <f>VLOOKUP($J633,'[1]Table S6'!$A:$AI,34,FALSE)</f>
        <v>21.5</v>
      </c>
      <c r="AR633" t="str">
        <f>VLOOKUP($J633,'[1]Table S6'!$A:$AI,35,FALSE)</f>
        <v>No</v>
      </c>
      <c r="AT633" t="e">
        <f>VLOOKUP($I633,'[2]Table S5'!$A:$K,8,FALSE)</f>
        <v>#N/A</v>
      </c>
      <c r="AU633" t="e">
        <f>VLOOKUP($I633,'[2]Table S5'!$A:$K,9,FALSE)</f>
        <v>#N/A</v>
      </c>
      <c r="AV633" t="e">
        <f>VLOOKUP($I633,'[2]Table S5'!$A:$K,10,FALSE)</f>
        <v>#N/A</v>
      </c>
      <c r="AW633" t="e">
        <f>VLOOKUP($I633,'[2]Table S5'!$A:$K,11,FALSE)</f>
        <v>#N/A</v>
      </c>
    </row>
    <row r="634" spans="1:49">
      <c r="A634" s="12" t="s">
        <v>4042</v>
      </c>
      <c r="B634" t="s">
        <v>4043</v>
      </c>
      <c r="C634" t="s">
        <v>4044</v>
      </c>
      <c r="D634" t="s">
        <v>17</v>
      </c>
      <c r="E634" t="s">
        <v>4045</v>
      </c>
      <c r="F634" s="12" t="s">
        <v>4046</v>
      </c>
      <c r="G634" t="s">
        <v>4047</v>
      </c>
      <c r="H634" t="s">
        <v>4048</v>
      </c>
      <c r="I634" t="s">
        <v>1845</v>
      </c>
      <c r="J634" t="s">
        <v>4049</v>
      </c>
      <c r="K634">
        <f>VLOOKUP($J634,'[1]Table S6'!$A:$AI,2,FALSE)</f>
        <v>357.8</v>
      </c>
      <c r="L634">
        <f>VLOOKUP($J634,'[1]Table S6'!$A:$AI,3,FALSE)</f>
        <v>0.761438603958289</v>
      </c>
      <c r="M634">
        <f>VLOOKUP($J634,'[1]Table S6'!$A:$AI,4,FALSE)</f>
        <v>6.7919999999999998</v>
      </c>
      <c r="N634" t="str">
        <f>VLOOKUP($J634,'[1]Table S6'!$A:$AI,5,FALSE)</f>
        <v>No</v>
      </c>
      <c r="P634">
        <f>VLOOKUP($J634,'[1]Table S6'!$A:$AI,7,FALSE)</f>
        <v>370.2</v>
      </c>
      <c r="Q634">
        <f>VLOOKUP($J634,'[1]Table S6'!$A:$AI,8,FALSE)</f>
        <v>0.78782719727601602</v>
      </c>
      <c r="R634">
        <f>VLOOKUP($J634,'[1]Table S6'!$A:$AI,9,FALSE)</f>
        <v>10.31</v>
      </c>
      <c r="S634" t="str">
        <f>VLOOKUP($J634,'[1]Table S6'!$A:$AI,10,FALSE)</f>
        <v>No</v>
      </c>
      <c r="U634">
        <f>VLOOKUP($J634,'[1]Table S6'!$A:$AI,12,FALSE)</f>
        <v>352</v>
      </c>
      <c r="V634">
        <f>VLOOKUP($J634,'[1]Table S6'!$A:$AI,13,FALSE)</f>
        <v>0.749095552245159</v>
      </c>
      <c r="W634">
        <f>VLOOKUP($J634,'[1]Table S6'!$A:$AI,14,FALSE)</f>
        <v>5.9009999999999998</v>
      </c>
      <c r="X634" t="str">
        <f>VLOOKUP($J634,'[1]Table S6'!$A:$AI,15,FALSE)</f>
        <v>No</v>
      </c>
      <c r="Z634">
        <f>VLOOKUP($J634,'[1]Table S6'!$A:$AI,17,FALSE)</f>
        <v>318.8</v>
      </c>
      <c r="AA634">
        <f>VLOOKUP($J634,'[1]Table S6'!$A:$AI,18,FALSE)</f>
        <v>0.67844222174930802</v>
      </c>
      <c r="AB634">
        <f>VLOOKUP($J634,'[1]Table S6'!$A:$AI,19,FALSE)</f>
        <v>1.7989999999999999</v>
      </c>
      <c r="AC634" t="str">
        <f>VLOOKUP($J634,'[1]Table S6'!$A:$AI,20,FALSE)</f>
        <v>Yes</v>
      </c>
      <c r="AE634">
        <f>VLOOKUP($J634,'[1]Table S6'!$A:$AI,22,FALSE)</f>
        <v>328.1</v>
      </c>
      <c r="AF634">
        <f>VLOOKUP($J634,'[1]Table S6'!$A:$AI,23,FALSE)</f>
        <v>0.69823366673760401</v>
      </c>
      <c r="AG634">
        <f>VLOOKUP($J634,'[1]Table S6'!$A:$AI,24,FALSE)</f>
        <v>2.552</v>
      </c>
      <c r="AH634" t="str">
        <f>VLOOKUP($J634,'[1]Table S6'!$A:$AI,25,FALSE)</f>
        <v>No</v>
      </c>
      <c r="AJ634">
        <f>VLOOKUP($J634,'[1]Table S6'!$A:$AI,27,FALSE)</f>
        <v>367.5</v>
      </c>
      <c r="AK634">
        <f>VLOOKUP($J634,'[1]Table S6'!$A:$AI,28,FALSE)</f>
        <v>0.78208129389231795</v>
      </c>
      <c r="AL634">
        <f>VLOOKUP($J634,'[1]Table S6'!$A:$AI,29,FALSE)</f>
        <v>8.8219999999999992</v>
      </c>
      <c r="AM634" t="str">
        <f>VLOOKUP($J634,'[1]Table S6'!$A:$AI,30,FALSE)</f>
        <v>No</v>
      </c>
      <c r="AO634">
        <f>VLOOKUP($J634,'[1]Table S6'!$A:$AI,32,FALSE)</f>
        <v>417.7</v>
      </c>
      <c r="AP634">
        <f>VLOOKUP($J634,'[1]Table S6'!$A:$AI,33,FALSE)</f>
        <v>0.88891253458182595</v>
      </c>
      <c r="AQ634">
        <f>VLOOKUP($J634,'[1]Table S6'!$A:$AI,34,FALSE)</f>
        <v>54.28</v>
      </c>
      <c r="AR634" t="str">
        <f>VLOOKUP($J634,'[1]Table S6'!$A:$AI,35,FALSE)</f>
        <v>No</v>
      </c>
      <c r="AT634" t="e">
        <f>VLOOKUP($I634,'[2]Table S5'!$A:$K,8,FALSE)</f>
        <v>#N/A</v>
      </c>
      <c r="AU634" t="e">
        <f>VLOOKUP($I634,'[2]Table S5'!$A:$K,9,FALSE)</f>
        <v>#N/A</v>
      </c>
      <c r="AV634" t="e">
        <f>VLOOKUP($I634,'[2]Table S5'!$A:$K,10,FALSE)</f>
        <v>#N/A</v>
      </c>
      <c r="AW634" t="e">
        <f>VLOOKUP($I634,'[2]Table S5'!$A:$K,11,FALSE)</f>
        <v>#N/A</v>
      </c>
    </row>
    <row r="635" spans="1:49">
      <c r="A635" s="12" t="s">
        <v>4050</v>
      </c>
      <c r="B635" t="s">
        <v>4051</v>
      </c>
      <c r="C635" t="s">
        <v>4052</v>
      </c>
      <c r="D635" t="s">
        <v>17</v>
      </c>
      <c r="E635" t="s">
        <v>4053</v>
      </c>
      <c r="F635" s="12" t="s">
        <v>4054</v>
      </c>
      <c r="G635" t="s">
        <v>4055</v>
      </c>
      <c r="H635" t="s">
        <v>4056</v>
      </c>
      <c r="I635" t="s">
        <v>1845</v>
      </c>
      <c r="J635" t="s">
        <v>4057</v>
      </c>
      <c r="K635">
        <f>VLOOKUP($J635,'[1]Table S6'!$A:$AI,2,FALSE)</f>
        <v>309.3</v>
      </c>
      <c r="L635">
        <f>VLOOKUP($J635,'[1]Table S6'!$A:$AI,3,FALSE)</f>
        <v>0.65822515428814599</v>
      </c>
      <c r="M635">
        <f>VLOOKUP($J635,'[1]Table S6'!$A:$AI,4,FALSE)</f>
        <v>1.1879999999999999</v>
      </c>
      <c r="N635" t="str">
        <f>VLOOKUP($J635,'[1]Table S6'!$A:$AI,5,FALSE)</f>
        <v>Yes</v>
      </c>
      <c r="P635">
        <f>VLOOKUP($J635,'[1]Table S6'!$A:$AI,7,FALSE)</f>
        <v>377.4</v>
      </c>
      <c r="Q635">
        <f>VLOOKUP($J635,'[1]Table S6'!$A:$AI,8,FALSE)</f>
        <v>0.80314960629921295</v>
      </c>
      <c r="R635">
        <f>VLOOKUP($J635,'[1]Table S6'!$A:$AI,9,FALSE)</f>
        <v>12.21</v>
      </c>
      <c r="S635" t="str">
        <f>VLOOKUP($J635,'[1]Table S6'!$A:$AI,10,FALSE)</f>
        <v>No</v>
      </c>
      <c r="U635">
        <f>VLOOKUP($J635,'[1]Table S6'!$A:$AI,12,FALSE)</f>
        <v>322.39999999999998</v>
      </c>
      <c r="V635">
        <f>VLOOKUP($J635,'[1]Table S6'!$A:$AI,13,FALSE)</f>
        <v>0.68610342626090703</v>
      </c>
      <c r="W635">
        <f>VLOOKUP($J635,'[1]Table S6'!$A:$AI,14,FALSE)</f>
        <v>2.09</v>
      </c>
      <c r="X635" t="str">
        <f>VLOOKUP($J635,'[1]Table S6'!$A:$AI,15,FALSE)</f>
        <v>Yes</v>
      </c>
      <c r="Z635">
        <f>VLOOKUP($J635,'[1]Table S6'!$A:$AI,17,FALSE)</f>
        <v>312.7</v>
      </c>
      <c r="AA635">
        <f>VLOOKUP($J635,'[1]Table S6'!$A:$AI,18,FALSE)</f>
        <v>0.66546073632687797</v>
      </c>
      <c r="AB635">
        <f>VLOOKUP($J635,'[1]Table S6'!$A:$AI,19,FALSE)</f>
        <v>1.45</v>
      </c>
      <c r="AC635" t="str">
        <f>VLOOKUP($J635,'[1]Table S6'!$A:$AI,20,FALSE)</f>
        <v>Yes</v>
      </c>
      <c r="AE635">
        <f>VLOOKUP($J635,'[1]Table S6'!$A:$AI,22,FALSE)</f>
        <v>393</v>
      </c>
      <c r="AF635">
        <f>VLOOKUP($J635,'[1]Table S6'!$A:$AI,23,FALSE)</f>
        <v>0.83634815918280503</v>
      </c>
      <c r="AG635">
        <f>VLOOKUP($J635,'[1]Table S6'!$A:$AI,24,FALSE)</f>
        <v>19.72</v>
      </c>
      <c r="AH635" t="str">
        <f>VLOOKUP($J635,'[1]Table S6'!$A:$AI,25,FALSE)</f>
        <v>No</v>
      </c>
      <c r="AJ635">
        <f>VLOOKUP($J635,'[1]Table S6'!$A:$AI,27,FALSE)</f>
        <v>407.6</v>
      </c>
      <c r="AK635">
        <f>VLOOKUP($J635,'[1]Table S6'!$A:$AI,28,FALSE)</f>
        <v>0.86741859970206403</v>
      </c>
      <c r="AL635">
        <f>VLOOKUP($J635,'[1]Table S6'!$A:$AI,29,FALSE)</f>
        <v>38.19</v>
      </c>
      <c r="AM635" t="str">
        <f>VLOOKUP($J635,'[1]Table S6'!$A:$AI,30,FALSE)</f>
        <v>No</v>
      </c>
      <c r="AO635">
        <f>VLOOKUP($J635,'[1]Table S6'!$A:$AI,32,FALSE)</f>
        <v>408</v>
      </c>
      <c r="AP635">
        <f>VLOOKUP($J635,'[1]Table S6'!$A:$AI,33,FALSE)</f>
        <v>0.868269844647797</v>
      </c>
      <c r="AQ635">
        <f>VLOOKUP($J635,'[1]Table S6'!$A:$AI,34,FALSE)</f>
        <v>44.94</v>
      </c>
      <c r="AR635" t="str">
        <f>VLOOKUP($J635,'[1]Table S6'!$A:$AI,35,FALSE)</f>
        <v>No</v>
      </c>
      <c r="AT635" t="e">
        <f>VLOOKUP($I635,'[2]Table S5'!$A:$K,8,FALSE)</f>
        <v>#N/A</v>
      </c>
      <c r="AU635" t="e">
        <f>VLOOKUP($I635,'[2]Table S5'!$A:$K,9,FALSE)</f>
        <v>#N/A</v>
      </c>
      <c r="AV635" t="e">
        <f>VLOOKUP($I635,'[2]Table S5'!$A:$K,10,FALSE)</f>
        <v>#N/A</v>
      </c>
      <c r="AW635" t="e">
        <f>VLOOKUP($I635,'[2]Table S5'!$A:$K,11,FALSE)</f>
        <v>#N/A</v>
      </c>
    </row>
    <row r="636" spans="1:49">
      <c r="A636" s="12" t="s">
        <v>4058</v>
      </c>
      <c r="B636" t="s">
        <v>4059</v>
      </c>
      <c r="C636" t="s">
        <v>4060</v>
      </c>
      <c r="D636" t="s">
        <v>17</v>
      </c>
      <c r="E636" t="s">
        <v>4061</v>
      </c>
      <c r="F636" s="12" t="s">
        <v>4062</v>
      </c>
      <c r="G636" t="s">
        <v>4063</v>
      </c>
      <c r="H636" t="s">
        <v>4064</v>
      </c>
      <c r="I636" t="s">
        <v>1845</v>
      </c>
      <c r="J636" t="s">
        <v>1846</v>
      </c>
      <c r="K636">
        <f>VLOOKUP($J636,'[1]Table S6'!$A:$AI,2,FALSE)</f>
        <v>368.3</v>
      </c>
      <c r="L636">
        <f>VLOOKUP($J636,'[1]Table S6'!$A:$AI,3,FALSE)</f>
        <v>0.78378378378378399</v>
      </c>
      <c r="M636">
        <f>VLOOKUP($J636,'[1]Table S6'!$A:$AI,4,FALSE)</f>
        <v>9.5289999999999999</v>
      </c>
      <c r="N636" t="str">
        <f>VLOOKUP($J636,'[1]Table S6'!$A:$AI,5,FALSE)</f>
        <v>No</v>
      </c>
      <c r="P636">
        <f>VLOOKUP($J636,'[1]Table S6'!$A:$AI,7,FALSE)</f>
        <v>376.4</v>
      </c>
      <c r="Q636">
        <f>VLOOKUP($J636,'[1]Table S6'!$A:$AI,8,FALSE)</f>
        <v>0.80102149393487998</v>
      </c>
      <c r="R636">
        <f>VLOOKUP($J636,'[1]Table S6'!$A:$AI,9,FALSE)</f>
        <v>13.22</v>
      </c>
      <c r="S636" t="str">
        <f>VLOOKUP($J636,'[1]Table S6'!$A:$AI,10,FALSE)</f>
        <v>No</v>
      </c>
      <c r="U636">
        <f>VLOOKUP($J636,'[1]Table S6'!$A:$AI,12,FALSE)</f>
        <v>389.9</v>
      </c>
      <c r="V636">
        <f>VLOOKUP($J636,'[1]Table S6'!$A:$AI,13,FALSE)</f>
        <v>0.82975101085337299</v>
      </c>
      <c r="W636">
        <f>VLOOKUP($J636,'[1]Table S6'!$A:$AI,14,FALSE)</f>
        <v>17.64</v>
      </c>
      <c r="X636" t="str">
        <f>VLOOKUP($J636,'[1]Table S6'!$A:$AI,15,FALSE)</f>
        <v>No</v>
      </c>
      <c r="Z636">
        <f>VLOOKUP($J636,'[1]Table S6'!$A:$AI,17,FALSE)</f>
        <v>379.9</v>
      </c>
      <c r="AA636">
        <f>VLOOKUP($J636,'[1]Table S6'!$A:$AI,18,FALSE)</f>
        <v>0.80846988721004498</v>
      </c>
      <c r="AB636">
        <f>VLOOKUP($J636,'[1]Table S6'!$A:$AI,19,FALSE)</f>
        <v>13.1</v>
      </c>
      <c r="AC636" t="str">
        <f>VLOOKUP($J636,'[1]Table S6'!$A:$AI,20,FALSE)</f>
        <v>No</v>
      </c>
      <c r="AE636">
        <f>VLOOKUP($J636,'[1]Table S6'!$A:$AI,22,FALSE)</f>
        <v>327.9</v>
      </c>
      <c r="AF636">
        <f>VLOOKUP($J636,'[1]Table S6'!$A:$AI,23,FALSE)</f>
        <v>0.69780804426473697</v>
      </c>
      <c r="AG636">
        <f>VLOOKUP($J636,'[1]Table S6'!$A:$AI,24,FALSE)</f>
        <v>2.4980000000000002</v>
      </c>
      <c r="AH636" t="str">
        <f>VLOOKUP($J636,'[1]Table S6'!$A:$AI,25,FALSE)</f>
        <v>No</v>
      </c>
      <c r="AJ636">
        <f>VLOOKUP($J636,'[1]Table S6'!$A:$AI,27,FALSE)</f>
        <v>399.3</v>
      </c>
      <c r="AK636">
        <f>VLOOKUP($J636,'[1]Table S6'!$A:$AI,28,FALSE)</f>
        <v>0.84975526707810201</v>
      </c>
      <c r="AL636">
        <f>VLOOKUP($J636,'[1]Table S6'!$A:$AI,29,FALSE)</f>
        <v>27.7</v>
      </c>
      <c r="AM636" t="str">
        <f>VLOOKUP($J636,'[1]Table S6'!$A:$AI,30,FALSE)</f>
        <v>No</v>
      </c>
      <c r="AO636">
        <f>VLOOKUP($J636,'[1]Table S6'!$A:$AI,32,FALSE)</f>
        <v>397.9</v>
      </c>
      <c r="AP636">
        <f>VLOOKUP($J636,'[1]Table S6'!$A:$AI,33,FALSE)</f>
        <v>0.84677590976803596</v>
      </c>
      <c r="AQ636">
        <f>VLOOKUP($J636,'[1]Table S6'!$A:$AI,34,FALSE)</f>
        <v>23.59</v>
      </c>
      <c r="AR636" t="str">
        <f>VLOOKUP($J636,'[1]Table S6'!$A:$AI,35,FALSE)</f>
        <v>No</v>
      </c>
      <c r="AT636" t="e">
        <f>VLOOKUP($I636,'[2]Table S5'!$A:$K,8,FALSE)</f>
        <v>#N/A</v>
      </c>
      <c r="AU636" t="e">
        <f>VLOOKUP($I636,'[2]Table S5'!$A:$K,9,FALSE)</f>
        <v>#N/A</v>
      </c>
      <c r="AV636" t="e">
        <f>VLOOKUP($I636,'[2]Table S5'!$A:$K,10,FALSE)</f>
        <v>#N/A</v>
      </c>
      <c r="AW636" t="e">
        <f>VLOOKUP($I636,'[2]Table S5'!$A:$K,11,FALSE)</f>
        <v>#N/A</v>
      </c>
    </row>
    <row r="637" spans="1:49">
      <c r="A637" s="12" t="s">
        <v>4065</v>
      </c>
      <c r="B637" t="s">
        <v>4066</v>
      </c>
      <c r="C637" t="s">
        <v>4067</v>
      </c>
      <c r="D637" t="s">
        <v>17</v>
      </c>
      <c r="E637" t="s">
        <v>1841</v>
      </c>
      <c r="F637" s="12" t="s">
        <v>1842</v>
      </c>
      <c r="G637" t="s">
        <v>1843</v>
      </c>
      <c r="H637" t="s">
        <v>1844</v>
      </c>
      <c r="I637" t="s">
        <v>1845</v>
      </c>
      <c r="J637" t="s">
        <v>1846</v>
      </c>
      <c r="K637">
        <f>VLOOKUP($J637,'[1]Table S6'!$A:$AI,2,FALSE)</f>
        <v>368.3</v>
      </c>
      <c r="L637">
        <f>VLOOKUP($J637,'[1]Table S6'!$A:$AI,3,FALSE)</f>
        <v>0.78378378378378399</v>
      </c>
      <c r="M637">
        <f>VLOOKUP($J637,'[1]Table S6'!$A:$AI,4,FALSE)</f>
        <v>9.5289999999999999</v>
      </c>
      <c r="N637" t="str">
        <f>VLOOKUP($J637,'[1]Table S6'!$A:$AI,5,FALSE)</f>
        <v>No</v>
      </c>
      <c r="P637">
        <f>VLOOKUP($J637,'[1]Table S6'!$A:$AI,7,FALSE)</f>
        <v>376.4</v>
      </c>
      <c r="Q637">
        <f>VLOOKUP($J637,'[1]Table S6'!$A:$AI,8,FALSE)</f>
        <v>0.80102149393487998</v>
      </c>
      <c r="R637">
        <f>VLOOKUP($J637,'[1]Table S6'!$A:$AI,9,FALSE)</f>
        <v>13.22</v>
      </c>
      <c r="S637" t="str">
        <f>VLOOKUP($J637,'[1]Table S6'!$A:$AI,10,FALSE)</f>
        <v>No</v>
      </c>
      <c r="U637">
        <f>VLOOKUP($J637,'[1]Table S6'!$A:$AI,12,FALSE)</f>
        <v>389.9</v>
      </c>
      <c r="V637">
        <f>VLOOKUP($J637,'[1]Table S6'!$A:$AI,13,FALSE)</f>
        <v>0.82975101085337299</v>
      </c>
      <c r="W637">
        <f>VLOOKUP($J637,'[1]Table S6'!$A:$AI,14,FALSE)</f>
        <v>17.64</v>
      </c>
      <c r="X637" t="str">
        <f>VLOOKUP($J637,'[1]Table S6'!$A:$AI,15,FALSE)</f>
        <v>No</v>
      </c>
      <c r="Z637">
        <f>VLOOKUP($J637,'[1]Table S6'!$A:$AI,17,FALSE)</f>
        <v>379.9</v>
      </c>
      <c r="AA637">
        <f>VLOOKUP($J637,'[1]Table S6'!$A:$AI,18,FALSE)</f>
        <v>0.80846988721004498</v>
      </c>
      <c r="AB637">
        <f>VLOOKUP($J637,'[1]Table S6'!$A:$AI,19,FALSE)</f>
        <v>13.1</v>
      </c>
      <c r="AC637" t="str">
        <f>VLOOKUP($J637,'[1]Table S6'!$A:$AI,20,FALSE)</f>
        <v>No</v>
      </c>
      <c r="AE637">
        <f>VLOOKUP($J637,'[1]Table S6'!$A:$AI,22,FALSE)</f>
        <v>327.9</v>
      </c>
      <c r="AF637">
        <f>VLOOKUP($J637,'[1]Table S6'!$A:$AI,23,FALSE)</f>
        <v>0.69780804426473697</v>
      </c>
      <c r="AG637">
        <f>VLOOKUP($J637,'[1]Table S6'!$A:$AI,24,FALSE)</f>
        <v>2.4980000000000002</v>
      </c>
      <c r="AH637" t="str">
        <f>VLOOKUP($J637,'[1]Table S6'!$A:$AI,25,FALSE)</f>
        <v>No</v>
      </c>
      <c r="AJ637">
        <f>VLOOKUP($J637,'[1]Table S6'!$A:$AI,27,FALSE)</f>
        <v>399.3</v>
      </c>
      <c r="AK637">
        <f>VLOOKUP($J637,'[1]Table S6'!$A:$AI,28,FALSE)</f>
        <v>0.84975526707810201</v>
      </c>
      <c r="AL637">
        <f>VLOOKUP($J637,'[1]Table S6'!$A:$AI,29,FALSE)</f>
        <v>27.7</v>
      </c>
      <c r="AM637" t="str">
        <f>VLOOKUP($J637,'[1]Table S6'!$A:$AI,30,FALSE)</f>
        <v>No</v>
      </c>
      <c r="AO637">
        <f>VLOOKUP($J637,'[1]Table S6'!$A:$AI,32,FALSE)</f>
        <v>397.9</v>
      </c>
      <c r="AP637">
        <f>VLOOKUP($J637,'[1]Table S6'!$A:$AI,33,FALSE)</f>
        <v>0.84677590976803596</v>
      </c>
      <c r="AQ637">
        <f>VLOOKUP($J637,'[1]Table S6'!$A:$AI,34,FALSE)</f>
        <v>23.59</v>
      </c>
      <c r="AR637" t="str">
        <f>VLOOKUP($J637,'[1]Table S6'!$A:$AI,35,FALSE)</f>
        <v>No</v>
      </c>
      <c r="AT637" t="e">
        <f>VLOOKUP($I637,'[2]Table S5'!$A:$K,8,FALSE)</f>
        <v>#N/A</v>
      </c>
      <c r="AU637" t="e">
        <f>VLOOKUP($I637,'[2]Table S5'!$A:$K,9,FALSE)</f>
        <v>#N/A</v>
      </c>
      <c r="AV637" t="e">
        <f>VLOOKUP($I637,'[2]Table S5'!$A:$K,10,FALSE)</f>
        <v>#N/A</v>
      </c>
      <c r="AW637" t="e">
        <f>VLOOKUP($I637,'[2]Table S5'!$A:$K,11,FALSE)</f>
        <v>#N/A</v>
      </c>
    </row>
    <row r="638" spans="1:49">
      <c r="A638" s="12" t="s">
        <v>4068</v>
      </c>
      <c r="B638" t="s">
        <v>4069</v>
      </c>
      <c r="C638" t="s">
        <v>4070</v>
      </c>
      <c r="D638" t="s">
        <v>17</v>
      </c>
      <c r="E638" t="s">
        <v>1850</v>
      </c>
      <c r="F638" s="12" t="s">
        <v>1851</v>
      </c>
      <c r="G638" t="s">
        <v>1852</v>
      </c>
      <c r="H638" t="s">
        <v>1853</v>
      </c>
      <c r="I638" t="s">
        <v>1845</v>
      </c>
      <c r="J638" t="s">
        <v>1846</v>
      </c>
      <c r="K638">
        <f>VLOOKUP($J638,'[1]Table S6'!$A:$AI,2,FALSE)</f>
        <v>368.3</v>
      </c>
      <c r="L638">
        <f>VLOOKUP($J638,'[1]Table S6'!$A:$AI,3,FALSE)</f>
        <v>0.78378378378378399</v>
      </c>
      <c r="M638">
        <f>VLOOKUP($J638,'[1]Table S6'!$A:$AI,4,FALSE)</f>
        <v>9.5289999999999999</v>
      </c>
      <c r="N638" t="str">
        <f>VLOOKUP($J638,'[1]Table S6'!$A:$AI,5,FALSE)</f>
        <v>No</v>
      </c>
      <c r="P638">
        <f>VLOOKUP($J638,'[1]Table S6'!$A:$AI,7,FALSE)</f>
        <v>376.4</v>
      </c>
      <c r="Q638">
        <f>VLOOKUP($J638,'[1]Table S6'!$A:$AI,8,FALSE)</f>
        <v>0.80102149393487998</v>
      </c>
      <c r="R638">
        <f>VLOOKUP($J638,'[1]Table S6'!$A:$AI,9,FALSE)</f>
        <v>13.22</v>
      </c>
      <c r="S638" t="str">
        <f>VLOOKUP($J638,'[1]Table S6'!$A:$AI,10,FALSE)</f>
        <v>No</v>
      </c>
      <c r="U638">
        <f>VLOOKUP($J638,'[1]Table S6'!$A:$AI,12,FALSE)</f>
        <v>389.9</v>
      </c>
      <c r="V638">
        <f>VLOOKUP($J638,'[1]Table S6'!$A:$AI,13,FALSE)</f>
        <v>0.82975101085337299</v>
      </c>
      <c r="W638">
        <f>VLOOKUP($J638,'[1]Table S6'!$A:$AI,14,FALSE)</f>
        <v>17.64</v>
      </c>
      <c r="X638" t="str">
        <f>VLOOKUP($J638,'[1]Table S6'!$A:$AI,15,FALSE)</f>
        <v>No</v>
      </c>
      <c r="Z638">
        <f>VLOOKUP($J638,'[1]Table S6'!$A:$AI,17,FALSE)</f>
        <v>379.9</v>
      </c>
      <c r="AA638">
        <f>VLOOKUP($J638,'[1]Table S6'!$A:$AI,18,FALSE)</f>
        <v>0.80846988721004498</v>
      </c>
      <c r="AB638">
        <f>VLOOKUP($J638,'[1]Table S6'!$A:$AI,19,FALSE)</f>
        <v>13.1</v>
      </c>
      <c r="AC638" t="str">
        <f>VLOOKUP($J638,'[1]Table S6'!$A:$AI,20,FALSE)</f>
        <v>No</v>
      </c>
      <c r="AE638">
        <f>VLOOKUP($J638,'[1]Table S6'!$A:$AI,22,FALSE)</f>
        <v>327.9</v>
      </c>
      <c r="AF638">
        <f>VLOOKUP($J638,'[1]Table S6'!$A:$AI,23,FALSE)</f>
        <v>0.69780804426473697</v>
      </c>
      <c r="AG638">
        <f>VLOOKUP($J638,'[1]Table S6'!$A:$AI,24,FALSE)</f>
        <v>2.4980000000000002</v>
      </c>
      <c r="AH638" t="str">
        <f>VLOOKUP($J638,'[1]Table S6'!$A:$AI,25,FALSE)</f>
        <v>No</v>
      </c>
      <c r="AJ638">
        <f>VLOOKUP($J638,'[1]Table S6'!$A:$AI,27,FALSE)</f>
        <v>399.3</v>
      </c>
      <c r="AK638">
        <f>VLOOKUP($J638,'[1]Table S6'!$A:$AI,28,FALSE)</f>
        <v>0.84975526707810201</v>
      </c>
      <c r="AL638">
        <f>VLOOKUP($J638,'[1]Table S6'!$A:$AI,29,FALSE)</f>
        <v>27.7</v>
      </c>
      <c r="AM638" t="str">
        <f>VLOOKUP($J638,'[1]Table S6'!$A:$AI,30,FALSE)</f>
        <v>No</v>
      </c>
      <c r="AO638">
        <f>VLOOKUP($J638,'[1]Table S6'!$A:$AI,32,FALSE)</f>
        <v>397.9</v>
      </c>
      <c r="AP638">
        <f>VLOOKUP($J638,'[1]Table S6'!$A:$AI,33,FALSE)</f>
        <v>0.84677590976803596</v>
      </c>
      <c r="AQ638">
        <f>VLOOKUP($J638,'[1]Table S6'!$A:$AI,34,FALSE)</f>
        <v>23.59</v>
      </c>
      <c r="AR638" t="str">
        <f>VLOOKUP($J638,'[1]Table S6'!$A:$AI,35,FALSE)</f>
        <v>No</v>
      </c>
      <c r="AT638" t="e">
        <f>VLOOKUP($I638,'[2]Table S5'!$A:$K,8,FALSE)</f>
        <v>#N/A</v>
      </c>
      <c r="AU638" t="e">
        <f>VLOOKUP($I638,'[2]Table S5'!$A:$K,9,FALSE)</f>
        <v>#N/A</v>
      </c>
      <c r="AV638" t="e">
        <f>VLOOKUP($I638,'[2]Table S5'!$A:$K,10,FALSE)</f>
        <v>#N/A</v>
      </c>
      <c r="AW638" t="e">
        <f>VLOOKUP($I638,'[2]Table S5'!$A:$K,11,FALSE)</f>
        <v>#N/A</v>
      </c>
    </row>
    <row r="639" spans="1:49">
      <c r="A639" s="12" t="s">
        <v>4071</v>
      </c>
      <c r="B639" t="s">
        <v>4072</v>
      </c>
      <c r="C639" t="s">
        <v>4073</v>
      </c>
      <c r="D639" t="s">
        <v>17</v>
      </c>
      <c r="E639" t="s">
        <v>1857</v>
      </c>
      <c r="F639" s="12" t="s">
        <v>1858</v>
      </c>
      <c r="G639" t="s">
        <v>1859</v>
      </c>
      <c r="H639" t="s">
        <v>1860</v>
      </c>
      <c r="I639" t="s">
        <v>1845</v>
      </c>
      <c r="J639" t="s">
        <v>1846</v>
      </c>
      <c r="K639">
        <f>VLOOKUP($J639,'[1]Table S6'!$A:$AI,2,FALSE)</f>
        <v>368.3</v>
      </c>
      <c r="L639">
        <f>VLOOKUP($J639,'[1]Table S6'!$A:$AI,3,FALSE)</f>
        <v>0.78378378378378399</v>
      </c>
      <c r="M639">
        <f>VLOOKUP($J639,'[1]Table S6'!$A:$AI,4,FALSE)</f>
        <v>9.5289999999999999</v>
      </c>
      <c r="N639" t="str">
        <f>VLOOKUP($J639,'[1]Table S6'!$A:$AI,5,FALSE)</f>
        <v>No</v>
      </c>
      <c r="P639">
        <f>VLOOKUP($J639,'[1]Table S6'!$A:$AI,7,FALSE)</f>
        <v>376.4</v>
      </c>
      <c r="Q639">
        <f>VLOOKUP($J639,'[1]Table S6'!$A:$AI,8,FALSE)</f>
        <v>0.80102149393487998</v>
      </c>
      <c r="R639">
        <f>VLOOKUP($J639,'[1]Table S6'!$A:$AI,9,FALSE)</f>
        <v>13.22</v>
      </c>
      <c r="S639" t="str">
        <f>VLOOKUP($J639,'[1]Table S6'!$A:$AI,10,FALSE)</f>
        <v>No</v>
      </c>
      <c r="U639">
        <f>VLOOKUP($J639,'[1]Table S6'!$A:$AI,12,FALSE)</f>
        <v>389.9</v>
      </c>
      <c r="V639">
        <f>VLOOKUP($J639,'[1]Table S6'!$A:$AI,13,FALSE)</f>
        <v>0.82975101085337299</v>
      </c>
      <c r="W639">
        <f>VLOOKUP($J639,'[1]Table S6'!$A:$AI,14,FALSE)</f>
        <v>17.64</v>
      </c>
      <c r="X639" t="str">
        <f>VLOOKUP($J639,'[1]Table S6'!$A:$AI,15,FALSE)</f>
        <v>No</v>
      </c>
      <c r="Z639">
        <f>VLOOKUP($J639,'[1]Table S6'!$A:$AI,17,FALSE)</f>
        <v>379.9</v>
      </c>
      <c r="AA639">
        <f>VLOOKUP($J639,'[1]Table S6'!$A:$AI,18,FALSE)</f>
        <v>0.80846988721004498</v>
      </c>
      <c r="AB639">
        <f>VLOOKUP($J639,'[1]Table S6'!$A:$AI,19,FALSE)</f>
        <v>13.1</v>
      </c>
      <c r="AC639" t="str">
        <f>VLOOKUP($J639,'[1]Table S6'!$A:$AI,20,FALSE)</f>
        <v>No</v>
      </c>
      <c r="AE639">
        <f>VLOOKUP($J639,'[1]Table S6'!$A:$AI,22,FALSE)</f>
        <v>327.9</v>
      </c>
      <c r="AF639">
        <f>VLOOKUP($J639,'[1]Table S6'!$A:$AI,23,FALSE)</f>
        <v>0.69780804426473697</v>
      </c>
      <c r="AG639">
        <f>VLOOKUP($J639,'[1]Table S6'!$A:$AI,24,FALSE)</f>
        <v>2.4980000000000002</v>
      </c>
      <c r="AH639" t="str">
        <f>VLOOKUP($J639,'[1]Table S6'!$A:$AI,25,FALSE)</f>
        <v>No</v>
      </c>
      <c r="AJ639">
        <f>VLOOKUP($J639,'[1]Table S6'!$A:$AI,27,FALSE)</f>
        <v>399.3</v>
      </c>
      <c r="AK639">
        <f>VLOOKUP($J639,'[1]Table S6'!$A:$AI,28,FALSE)</f>
        <v>0.84975526707810201</v>
      </c>
      <c r="AL639">
        <f>VLOOKUP($J639,'[1]Table S6'!$A:$AI,29,FALSE)</f>
        <v>27.7</v>
      </c>
      <c r="AM639" t="str">
        <f>VLOOKUP($J639,'[1]Table S6'!$A:$AI,30,FALSE)</f>
        <v>No</v>
      </c>
      <c r="AO639">
        <f>VLOOKUP($J639,'[1]Table S6'!$A:$AI,32,FALSE)</f>
        <v>397.9</v>
      </c>
      <c r="AP639">
        <f>VLOOKUP($J639,'[1]Table S6'!$A:$AI,33,FALSE)</f>
        <v>0.84677590976803596</v>
      </c>
      <c r="AQ639">
        <f>VLOOKUP($J639,'[1]Table S6'!$A:$AI,34,FALSE)</f>
        <v>23.59</v>
      </c>
      <c r="AR639" t="str">
        <f>VLOOKUP($J639,'[1]Table S6'!$A:$AI,35,FALSE)</f>
        <v>No</v>
      </c>
      <c r="AT639" t="e">
        <f>VLOOKUP($I639,'[2]Table S5'!$A:$K,8,FALSE)</f>
        <v>#N/A</v>
      </c>
      <c r="AU639" t="e">
        <f>VLOOKUP($I639,'[2]Table S5'!$A:$K,9,FALSE)</f>
        <v>#N/A</v>
      </c>
      <c r="AV639" t="e">
        <f>VLOOKUP($I639,'[2]Table S5'!$A:$K,10,FALSE)</f>
        <v>#N/A</v>
      </c>
      <c r="AW639" t="e">
        <f>VLOOKUP($I639,'[2]Table S5'!$A:$K,11,FALSE)</f>
        <v>#N/A</v>
      </c>
    </row>
    <row r="640" spans="1:49">
      <c r="A640" s="12" t="s">
        <v>4074</v>
      </c>
      <c r="B640" t="s">
        <v>4075</v>
      </c>
      <c r="C640" t="s">
        <v>4076</v>
      </c>
      <c r="D640" t="s">
        <v>17</v>
      </c>
      <c r="E640" t="s">
        <v>4077</v>
      </c>
      <c r="F640" s="12" t="s">
        <v>4078</v>
      </c>
      <c r="G640" t="s">
        <v>4079</v>
      </c>
      <c r="H640" t="s">
        <v>4080</v>
      </c>
      <c r="I640" t="s">
        <v>1875</v>
      </c>
      <c r="J640" t="s">
        <v>4081</v>
      </c>
      <c r="K640">
        <f>VLOOKUP($J640,'[1]Table S6'!$A:$AI,2,FALSE)</f>
        <v>329.1</v>
      </c>
      <c r="L640">
        <f>VLOOKUP($J640,'[1]Table S6'!$A:$AI,3,FALSE)</f>
        <v>0.70036177910193698</v>
      </c>
      <c r="M640">
        <f>VLOOKUP($J640,'[1]Table S6'!$A:$AI,4,FALSE)</f>
        <v>2.7349999999999999</v>
      </c>
      <c r="N640" t="str">
        <f>VLOOKUP($J640,'[1]Table S6'!$A:$AI,5,FALSE)</f>
        <v>Yes</v>
      </c>
      <c r="P640">
        <f>VLOOKUP($J640,'[1]Table S6'!$A:$AI,7,FALSE)</f>
        <v>360.4</v>
      </c>
      <c r="Q640">
        <f>VLOOKUP($J640,'[1]Table S6'!$A:$AI,8,FALSE)</f>
        <v>0.76697169610555405</v>
      </c>
      <c r="R640">
        <f>VLOOKUP($J640,'[1]Table S6'!$A:$AI,9,FALSE)</f>
        <v>7.4630000000000001</v>
      </c>
      <c r="S640" t="str">
        <f>VLOOKUP($J640,'[1]Table S6'!$A:$AI,10,FALSE)</f>
        <v>No</v>
      </c>
      <c r="U640">
        <f>VLOOKUP($J640,'[1]Table S6'!$A:$AI,12,FALSE)</f>
        <v>343.2</v>
      </c>
      <c r="V640">
        <f>VLOOKUP($J640,'[1]Table S6'!$A:$AI,13,FALSE)</f>
        <v>0.73036816343902999</v>
      </c>
      <c r="W640">
        <f>VLOOKUP($J640,'[1]Table S6'!$A:$AI,14,FALSE)</f>
        <v>4.3209999999999997</v>
      </c>
      <c r="X640" t="str">
        <f>VLOOKUP($J640,'[1]Table S6'!$A:$AI,15,FALSE)</f>
        <v>No</v>
      </c>
      <c r="Z640">
        <f>VLOOKUP($J640,'[1]Table S6'!$A:$AI,17,FALSE)</f>
        <v>363.5</v>
      </c>
      <c r="AA640">
        <f>VLOOKUP($J640,'[1]Table S6'!$A:$AI,18,FALSE)</f>
        <v>0.77356884443498597</v>
      </c>
      <c r="AB640">
        <f>VLOOKUP($J640,'[1]Table S6'!$A:$AI,19,FALSE)</f>
        <v>7.6609999999999996</v>
      </c>
      <c r="AC640" t="str">
        <f>VLOOKUP($J640,'[1]Table S6'!$A:$AI,20,FALSE)</f>
        <v>No</v>
      </c>
      <c r="AE640">
        <f>VLOOKUP($J640,'[1]Table S6'!$A:$AI,22,FALSE)</f>
        <v>415.2</v>
      </c>
      <c r="AF640">
        <f>VLOOKUP($J640,'[1]Table S6'!$A:$AI,23,FALSE)</f>
        <v>0.88359225367099403</v>
      </c>
      <c r="AG640">
        <f>VLOOKUP($J640,'[1]Table S6'!$A:$AI,24,FALSE)</f>
        <v>67.25</v>
      </c>
      <c r="AH640" t="str">
        <f>VLOOKUP($J640,'[1]Table S6'!$A:$AI,25,FALSE)</f>
        <v>No</v>
      </c>
      <c r="AJ640">
        <f>VLOOKUP($J640,'[1]Table S6'!$A:$AI,27,FALSE)</f>
        <v>385</v>
      </c>
      <c r="AK640">
        <f>VLOOKUP($J640,'[1]Table S6'!$A:$AI,28,FALSE)</f>
        <v>0.81932326026814195</v>
      </c>
      <c r="AL640">
        <f>VLOOKUP($J640,'[1]Table S6'!$A:$AI,29,FALSE)</f>
        <v>18.91</v>
      </c>
      <c r="AM640" t="str">
        <f>VLOOKUP($J640,'[1]Table S6'!$A:$AI,30,FALSE)</f>
        <v>No</v>
      </c>
      <c r="AO640">
        <f>VLOOKUP($J640,'[1]Table S6'!$A:$AI,32,FALSE)</f>
        <v>410.9</v>
      </c>
      <c r="AP640">
        <f>VLOOKUP($J640,'[1]Table S6'!$A:$AI,33,FALSE)</f>
        <v>0.87444137050436299</v>
      </c>
      <c r="AQ640">
        <f>VLOOKUP($J640,'[1]Table S6'!$A:$AI,34,FALSE)</f>
        <v>47.37</v>
      </c>
      <c r="AR640" t="str">
        <f>VLOOKUP($J640,'[1]Table S6'!$A:$AI,35,FALSE)</f>
        <v>No</v>
      </c>
      <c r="AT640" t="e">
        <f>VLOOKUP($I640,'[2]Table S5'!$A:$K,8,FALSE)</f>
        <v>#N/A</v>
      </c>
      <c r="AU640" t="e">
        <f>VLOOKUP($I640,'[2]Table S5'!$A:$K,9,FALSE)</f>
        <v>#N/A</v>
      </c>
      <c r="AV640" t="e">
        <f>VLOOKUP($I640,'[2]Table S5'!$A:$K,10,FALSE)</f>
        <v>#N/A</v>
      </c>
      <c r="AW640" t="e">
        <f>VLOOKUP($I640,'[2]Table S5'!$A:$K,11,FALSE)</f>
        <v>#N/A</v>
      </c>
    </row>
    <row r="641" spans="1:49">
      <c r="A641" s="12" t="s">
        <v>4082</v>
      </c>
      <c r="B641" t="s">
        <v>4083</v>
      </c>
      <c r="C641" t="s">
        <v>4084</v>
      </c>
      <c r="D641" t="s">
        <v>17</v>
      </c>
      <c r="E641" t="s">
        <v>4085</v>
      </c>
      <c r="F641" s="12" t="s">
        <v>4086</v>
      </c>
      <c r="G641" t="s">
        <v>4087</v>
      </c>
      <c r="H641" t="s">
        <v>4088</v>
      </c>
      <c r="I641" t="s">
        <v>1875</v>
      </c>
      <c r="J641" t="s">
        <v>1876</v>
      </c>
      <c r="K641">
        <f>VLOOKUP($J641,'[1]Table S6'!$A:$AI,2,FALSE)</f>
        <v>347.5</v>
      </c>
      <c r="L641">
        <f>VLOOKUP($J641,'[1]Table S6'!$A:$AI,3,FALSE)</f>
        <v>0.73951904660566103</v>
      </c>
      <c r="M641">
        <f>VLOOKUP($J641,'[1]Table S6'!$A:$AI,4,FALSE)</f>
        <v>4.9109999999999996</v>
      </c>
      <c r="N641" t="str">
        <f>VLOOKUP($J641,'[1]Table S6'!$A:$AI,5,FALSE)</f>
        <v>No</v>
      </c>
      <c r="P641">
        <f>VLOOKUP($J641,'[1]Table S6'!$A:$AI,7,FALSE)</f>
        <v>341.8</v>
      </c>
      <c r="Q641">
        <f>VLOOKUP($J641,'[1]Table S6'!$A:$AI,8,FALSE)</f>
        <v>0.72738880612896395</v>
      </c>
      <c r="R641">
        <f>VLOOKUP($J641,'[1]Table S6'!$A:$AI,9,FALSE)</f>
        <v>3.91</v>
      </c>
      <c r="S641" t="str">
        <f>VLOOKUP($J641,'[1]Table S6'!$A:$AI,10,FALSE)</f>
        <v>No</v>
      </c>
      <c r="U641">
        <f>VLOOKUP($J641,'[1]Table S6'!$A:$AI,12,FALSE)</f>
        <v>322.7</v>
      </c>
      <c r="V641">
        <f>VLOOKUP($J641,'[1]Table S6'!$A:$AI,13,FALSE)</f>
        <v>0.68674185997020598</v>
      </c>
      <c r="W641">
        <f>VLOOKUP($J641,'[1]Table S6'!$A:$AI,14,FALSE)</f>
        <v>1.9810000000000001</v>
      </c>
      <c r="X641" t="str">
        <f>VLOOKUP($J641,'[1]Table S6'!$A:$AI,15,FALSE)</f>
        <v>Yes</v>
      </c>
      <c r="Z641">
        <f>VLOOKUP($J641,'[1]Table S6'!$A:$AI,17,FALSE)</f>
        <v>322.60000000000002</v>
      </c>
      <c r="AA641">
        <f>VLOOKUP($J641,'[1]Table S6'!$A:$AI,18,FALSE)</f>
        <v>0.68652904873377296</v>
      </c>
      <c r="AB641">
        <f>VLOOKUP($J641,'[1]Table S6'!$A:$AI,19,FALSE)</f>
        <v>2.21</v>
      </c>
      <c r="AC641" t="str">
        <f>VLOOKUP($J641,'[1]Table S6'!$A:$AI,20,FALSE)</f>
        <v>Yes</v>
      </c>
      <c r="AE641">
        <f>VLOOKUP($J641,'[1]Table S6'!$A:$AI,22,FALSE)</f>
        <v>427.5</v>
      </c>
      <c r="AF641">
        <f>VLOOKUP($J641,'[1]Table S6'!$A:$AI,23,FALSE)</f>
        <v>0.90976803575228804</v>
      </c>
      <c r="AG641">
        <f>VLOOKUP($J641,'[1]Table S6'!$A:$AI,24,FALSE)</f>
        <v>98.19</v>
      </c>
      <c r="AH641" t="str">
        <f>VLOOKUP($J641,'[1]Table S6'!$A:$AI,25,FALSE)</f>
        <v>No</v>
      </c>
      <c r="AJ641">
        <f>VLOOKUP($J641,'[1]Table S6'!$A:$AI,27,FALSE)</f>
        <v>425.2</v>
      </c>
      <c r="AK641">
        <f>VLOOKUP($J641,'[1]Table S6'!$A:$AI,28,FALSE)</f>
        <v>0.90487337731432205</v>
      </c>
      <c r="AL641">
        <f>VLOOKUP($J641,'[1]Table S6'!$A:$AI,29,FALSE)</f>
        <v>72.319999999999993</v>
      </c>
      <c r="AM641" t="str">
        <f>VLOOKUP($J641,'[1]Table S6'!$A:$AI,30,FALSE)</f>
        <v>No</v>
      </c>
      <c r="AO641">
        <f>VLOOKUP($J641,'[1]Table S6'!$A:$AI,32,FALSE)</f>
        <v>419.7</v>
      </c>
      <c r="AP641">
        <f>VLOOKUP($J641,'[1]Table S6'!$A:$AI,33,FALSE)</f>
        <v>0.893168759310492</v>
      </c>
      <c r="AQ641">
        <f>VLOOKUP($J641,'[1]Table S6'!$A:$AI,34,FALSE)</f>
        <v>67.319999999999993</v>
      </c>
      <c r="AR641" t="str">
        <f>VLOOKUP($J641,'[1]Table S6'!$A:$AI,35,FALSE)</f>
        <v>No</v>
      </c>
      <c r="AT641" t="e">
        <f>VLOOKUP($I641,'[2]Table S5'!$A:$K,8,FALSE)</f>
        <v>#N/A</v>
      </c>
      <c r="AU641" t="e">
        <f>VLOOKUP($I641,'[2]Table S5'!$A:$K,9,FALSE)</f>
        <v>#N/A</v>
      </c>
      <c r="AV641" t="e">
        <f>VLOOKUP($I641,'[2]Table S5'!$A:$K,10,FALSE)</f>
        <v>#N/A</v>
      </c>
      <c r="AW641" t="e">
        <f>VLOOKUP($I641,'[2]Table S5'!$A:$K,11,FALSE)</f>
        <v>#N/A</v>
      </c>
    </row>
    <row r="642" spans="1:49">
      <c r="A642" s="12" t="s">
        <v>4089</v>
      </c>
      <c r="B642" t="s">
        <v>4090</v>
      </c>
      <c r="C642" t="s">
        <v>4091</v>
      </c>
      <c r="D642" t="s">
        <v>17</v>
      </c>
      <c r="E642" t="s">
        <v>4092</v>
      </c>
      <c r="F642" s="12" t="s">
        <v>4093</v>
      </c>
      <c r="G642" t="s">
        <v>4094</v>
      </c>
      <c r="H642" t="s">
        <v>4095</v>
      </c>
      <c r="I642" t="s">
        <v>1875</v>
      </c>
      <c r="J642" t="s">
        <v>4096</v>
      </c>
      <c r="K642">
        <f>VLOOKUP($J642,'[1]Table S6'!$A:$AI,2,FALSE)</f>
        <v>392.6</v>
      </c>
      <c r="L642">
        <f>VLOOKUP($J642,'[1]Table S6'!$A:$AI,3,FALSE)</f>
        <v>0.83549691423707195</v>
      </c>
      <c r="M642">
        <f>VLOOKUP($J642,'[1]Table S6'!$A:$AI,4,FALSE)</f>
        <v>20.11</v>
      </c>
      <c r="N642" t="str">
        <f>VLOOKUP($J642,'[1]Table S6'!$A:$AI,5,FALSE)</f>
        <v>No</v>
      </c>
      <c r="P642">
        <f>VLOOKUP($J642,'[1]Table S6'!$A:$AI,7,FALSE)</f>
        <v>396.6</v>
      </c>
      <c r="Q642">
        <f>VLOOKUP($J642,'[1]Table S6'!$A:$AI,8,FALSE)</f>
        <v>0.84400936369440305</v>
      </c>
      <c r="R642">
        <f>VLOOKUP($J642,'[1]Table S6'!$A:$AI,9,FALSE)</f>
        <v>22.54</v>
      </c>
      <c r="S642" t="str">
        <f>VLOOKUP($J642,'[1]Table S6'!$A:$AI,10,FALSE)</f>
        <v>No</v>
      </c>
      <c r="U642">
        <f>VLOOKUP($J642,'[1]Table S6'!$A:$AI,12,FALSE)</f>
        <v>370.1</v>
      </c>
      <c r="V642">
        <f>VLOOKUP($J642,'[1]Table S6'!$A:$AI,13,FALSE)</f>
        <v>0.787614386039583</v>
      </c>
      <c r="W642">
        <f>VLOOKUP($J642,'[1]Table S6'!$A:$AI,14,FALSE)</f>
        <v>9.7349999999999994</v>
      </c>
      <c r="X642" t="str">
        <f>VLOOKUP($J642,'[1]Table S6'!$A:$AI,15,FALSE)</f>
        <v>No</v>
      </c>
      <c r="Z642">
        <f>VLOOKUP($J642,'[1]Table S6'!$A:$AI,17,FALSE)</f>
        <v>385.8</v>
      </c>
      <c r="AA642">
        <f>VLOOKUP($J642,'[1]Table S6'!$A:$AI,18,FALSE)</f>
        <v>0.82102575015960799</v>
      </c>
      <c r="AB642">
        <f>VLOOKUP($J642,'[1]Table S6'!$A:$AI,19,FALSE)</f>
        <v>15.57</v>
      </c>
      <c r="AC642" t="str">
        <f>VLOOKUP($J642,'[1]Table S6'!$A:$AI,20,FALSE)</f>
        <v>No</v>
      </c>
      <c r="AE642">
        <f>VLOOKUP($J642,'[1]Table S6'!$A:$AI,22,FALSE)</f>
        <v>418.4</v>
      </c>
      <c r="AF642">
        <f>VLOOKUP($J642,'[1]Table S6'!$A:$AI,23,FALSE)</f>
        <v>0.89040221323685897</v>
      </c>
      <c r="AG642">
        <f>VLOOKUP($J642,'[1]Table S6'!$A:$AI,24,FALSE)</f>
        <v>76.62</v>
      </c>
      <c r="AH642" t="str">
        <f>VLOOKUP($J642,'[1]Table S6'!$A:$AI,25,FALSE)</f>
        <v>No</v>
      </c>
      <c r="AJ642">
        <f>VLOOKUP($J642,'[1]Table S6'!$A:$AI,27,FALSE)</f>
        <v>397.2</v>
      </c>
      <c r="AK642">
        <f>VLOOKUP($J642,'[1]Table S6'!$A:$AI,28,FALSE)</f>
        <v>0.84528623111300305</v>
      </c>
      <c r="AL642">
        <f>VLOOKUP($J642,'[1]Table S6'!$A:$AI,29,FALSE)</f>
        <v>23.43</v>
      </c>
      <c r="AM642" t="str">
        <f>VLOOKUP($J642,'[1]Table S6'!$A:$AI,30,FALSE)</f>
        <v>No</v>
      </c>
      <c r="AO642">
        <f>VLOOKUP($J642,'[1]Table S6'!$A:$AI,32,FALSE)</f>
        <v>392.5</v>
      </c>
      <c r="AP642">
        <f>VLOOKUP($J642,'[1]Table S6'!$A:$AI,33,FALSE)</f>
        <v>0.83528410300063805</v>
      </c>
      <c r="AQ642">
        <f>VLOOKUP($J642,'[1]Table S6'!$A:$AI,34,FALSE)</f>
        <v>18.809999999999999</v>
      </c>
      <c r="AR642" t="str">
        <f>VLOOKUP($J642,'[1]Table S6'!$A:$AI,35,FALSE)</f>
        <v>No</v>
      </c>
      <c r="AT642" t="e">
        <f>VLOOKUP($I642,'[2]Table S5'!$A:$K,8,FALSE)</f>
        <v>#N/A</v>
      </c>
      <c r="AU642" t="e">
        <f>VLOOKUP($I642,'[2]Table S5'!$A:$K,9,FALSE)</f>
        <v>#N/A</v>
      </c>
      <c r="AV642" t="e">
        <f>VLOOKUP($I642,'[2]Table S5'!$A:$K,10,FALSE)</f>
        <v>#N/A</v>
      </c>
      <c r="AW642" t="e">
        <f>VLOOKUP($I642,'[2]Table S5'!$A:$K,11,FALSE)</f>
        <v>#N/A</v>
      </c>
    </row>
    <row r="643" spans="1:49">
      <c r="A643" s="12" t="s">
        <v>4097</v>
      </c>
      <c r="B643" t="s">
        <v>4098</v>
      </c>
      <c r="C643" t="s">
        <v>4099</v>
      </c>
      <c r="D643" t="s">
        <v>17</v>
      </c>
      <c r="E643" t="s">
        <v>1871</v>
      </c>
      <c r="F643" s="12" t="s">
        <v>1872</v>
      </c>
      <c r="G643" t="s">
        <v>1873</v>
      </c>
      <c r="H643" t="s">
        <v>1874</v>
      </c>
      <c r="I643" t="s">
        <v>1875</v>
      </c>
      <c r="J643" t="s">
        <v>1876</v>
      </c>
      <c r="K643">
        <f>VLOOKUP($J643,'[1]Table S6'!$A:$AI,2,FALSE)</f>
        <v>347.5</v>
      </c>
      <c r="L643">
        <f>VLOOKUP($J643,'[1]Table S6'!$A:$AI,3,FALSE)</f>
        <v>0.73951904660566103</v>
      </c>
      <c r="M643">
        <f>VLOOKUP($J643,'[1]Table S6'!$A:$AI,4,FALSE)</f>
        <v>4.9109999999999996</v>
      </c>
      <c r="N643" t="str">
        <f>VLOOKUP($J643,'[1]Table S6'!$A:$AI,5,FALSE)</f>
        <v>No</v>
      </c>
      <c r="P643">
        <f>VLOOKUP($J643,'[1]Table S6'!$A:$AI,7,FALSE)</f>
        <v>341.8</v>
      </c>
      <c r="Q643">
        <f>VLOOKUP($J643,'[1]Table S6'!$A:$AI,8,FALSE)</f>
        <v>0.72738880612896395</v>
      </c>
      <c r="R643">
        <f>VLOOKUP($J643,'[1]Table S6'!$A:$AI,9,FALSE)</f>
        <v>3.91</v>
      </c>
      <c r="S643" t="str">
        <f>VLOOKUP($J643,'[1]Table S6'!$A:$AI,10,FALSE)</f>
        <v>No</v>
      </c>
      <c r="U643">
        <f>VLOOKUP($J643,'[1]Table S6'!$A:$AI,12,FALSE)</f>
        <v>322.7</v>
      </c>
      <c r="V643">
        <f>VLOOKUP($J643,'[1]Table S6'!$A:$AI,13,FALSE)</f>
        <v>0.68674185997020598</v>
      </c>
      <c r="W643">
        <f>VLOOKUP($J643,'[1]Table S6'!$A:$AI,14,FALSE)</f>
        <v>1.9810000000000001</v>
      </c>
      <c r="X643" t="str">
        <f>VLOOKUP($J643,'[1]Table S6'!$A:$AI,15,FALSE)</f>
        <v>Yes</v>
      </c>
      <c r="Z643">
        <f>VLOOKUP($J643,'[1]Table S6'!$A:$AI,17,FALSE)</f>
        <v>322.60000000000002</v>
      </c>
      <c r="AA643">
        <f>VLOOKUP($J643,'[1]Table S6'!$A:$AI,18,FALSE)</f>
        <v>0.68652904873377296</v>
      </c>
      <c r="AB643">
        <f>VLOOKUP($J643,'[1]Table S6'!$A:$AI,19,FALSE)</f>
        <v>2.21</v>
      </c>
      <c r="AC643" t="str">
        <f>VLOOKUP($J643,'[1]Table S6'!$A:$AI,20,FALSE)</f>
        <v>Yes</v>
      </c>
      <c r="AE643">
        <f>VLOOKUP($J643,'[1]Table S6'!$A:$AI,22,FALSE)</f>
        <v>427.5</v>
      </c>
      <c r="AF643">
        <f>VLOOKUP($J643,'[1]Table S6'!$A:$AI,23,FALSE)</f>
        <v>0.90976803575228804</v>
      </c>
      <c r="AG643">
        <f>VLOOKUP($J643,'[1]Table S6'!$A:$AI,24,FALSE)</f>
        <v>98.19</v>
      </c>
      <c r="AH643" t="str">
        <f>VLOOKUP($J643,'[1]Table S6'!$A:$AI,25,FALSE)</f>
        <v>No</v>
      </c>
      <c r="AJ643">
        <f>VLOOKUP($J643,'[1]Table S6'!$A:$AI,27,FALSE)</f>
        <v>425.2</v>
      </c>
      <c r="AK643">
        <f>VLOOKUP($J643,'[1]Table S6'!$A:$AI,28,FALSE)</f>
        <v>0.90487337731432205</v>
      </c>
      <c r="AL643">
        <f>VLOOKUP($J643,'[1]Table S6'!$A:$AI,29,FALSE)</f>
        <v>72.319999999999993</v>
      </c>
      <c r="AM643" t="str">
        <f>VLOOKUP($J643,'[1]Table S6'!$A:$AI,30,FALSE)</f>
        <v>No</v>
      </c>
      <c r="AO643">
        <f>VLOOKUP($J643,'[1]Table S6'!$A:$AI,32,FALSE)</f>
        <v>419.7</v>
      </c>
      <c r="AP643">
        <f>VLOOKUP($J643,'[1]Table S6'!$A:$AI,33,FALSE)</f>
        <v>0.893168759310492</v>
      </c>
      <c r="AQ643">
        <f>VLOOKUP($J643,'[1]Table S6'!$A:$AI,34,FALSE)</f>
        <v>67.319999999999993</v>
      </c>
      <c r="AR643" t="str">
        <f>VLOOKUP($J643,'[1]Table S6'!$A:$AI,35,FALSE)</f>
        <v>No</v>
      </c>
      <c r="AT643" t="e">
        <f>VLOOKUP($I643,'[2]Table S5'!$A:$K,8,FALSE)</f>
        <v>#N/A</v>
      </c>
      <c r="AU643" t="e">
        <f>VLOOKUP($I643,'[2]Table S5'!$A:$K,9,FALSE)</f>
        <v>#N/A</v>
      </c>
      <c r="AV643" t="e">
        <f>VLOOKUP($I643,'[2]Table S5'!$A:$K,10,FALSE)</f>
        <v>#N/A</v>
      </c>
      <c r="AW643" t="e">
        <f>VLOOKUP($I643,'[2]Table S5'!$A:$K,11,FALSE)</f>
        <v>#N/A</v>
      </c>
    </row>
    <row r="644" spans="1:49">
      <c r="A644" s="12" t="s">
        <v>4100</v>
      </c>
      <c r="B644" t="s">
        <v>4101</v>
      </c>
      <c r="C644" t="s">
        <v>4102</v>
      </c>
      <c r="D644" t="s">
        <v>17</v>
      </c>
      <c r="E644" t="s">
        <v>1880</v>
      </c>
      <c r="F644" s="12" t="s">
        <v>1881</v>
      </c>
      <c r="G644" t="s">
        <v>1882</v>
      </c>
      <c r="H644" t="s">
        <v>1883</v>
      </c>
      <c r="I644" t="s">
        <v>1875</v>
      </c>
      <c r="J644" t="s">
        <v>1876</v>
      </c>
      <c r="K644">
        <f>VLOOKUP($J644,'[1]Table S6'!$A:$AI,2,FALSE)</f>
        <v>347.5</v>
      </c>
      <c r="L644">
        <f>VLOOKUP($J644,'[1]Table S6'!$A:$AI,3,FALSE)</f>
        <v>0.73951904660566103</v>
      </c>
      <c r="M644">
        <f>VLOOKUP($J644,'[1]Table S6'!$A:$AI,4,FALSE)</f>
        <v>4.9109999999999996</v>
      </c>
      <c r="N644" t="str">
        <f>VLOOKUP($J644,'[1]Table S6'!$A:$AI,5,FALSE)</f>
        <v>No</v>
      </c>
      <c r="P644">
        <f>VLOOKUP($J644,'[1]Table S6'!$A:$AI,7,FALSE)</f>
        <v>341.8</v>
      </c>
      <c r="Q644">
        <f>VLOOKUP($J644,'[1]Table S6'!$A:$AI,8,FALSE)</f>
        <v>0.72738880612896395</v>
      </c>
      <c r="R644">
        <f>VLOOKUP($J644,'[1]Table S6'!$A:$AI,9,FALSE)</f>
        <v>3.91</v>
      </c>
      <c r="S644" t="str">
        <f>VLOOKUP($J644,'[1]Table S6'!$A:$AI,10,FALSE)</f>
        <v>No</v>
      </c>
      <c r="U644">
        <f>VLOOKUP($J644,'[1]Table S6'!$A:$AI,12,FALSE)</f>
        <v>322.7</v>
      </c>
      <c r="V644">
        <f>VLOOKUP($J644,'[1]Table S6'!$A:$AI,13,FALSE)</f>
        <v>0.68674185997020598</v>
      </c>
      <c r="W644">
        <f>VLOOKUP($J644,'[1]Table S6'!$A:$AI,14,FALSE)</f>
        <v>1.9810000000000001</v>
      </c>
      <c r="X644" t="str">
        <f>VLOOKUP($J644,'[1]Table S6'!$A:$AI,15,FALSE)</f>
        <v>Yes</v>
      </c>
      <c r="Z644">
        <f>VLOOKUP($J644,'[1]Table S6'!$A:$AI,17,FALSE)</f>
        <v>322.60000000000002</v>
      </c>
      <c r="AA644">
        <f>VLOOKUP($J644,'[1]Table S6'!$A:$AI,18,FALSE)</f>
        <v>0.68652904873377296</v>
      </c>
      <c r="AB644">
        <f>VLOOKUP($J644,'[1]Table S6'!$A:$AI,19,FALSE)</f>
        <v>2.21</v>
      </c>
      <c r="AC644" t="str">
        <f>VLOOKUP($J644,'[1]Table S6'!$A:$AI,20,FALSE)</f>
        <v>Yes</v>
      </c>
      <c r="AE644">
        <f>VLOOKUP($J644,'[1]Table S6'!$A:$AI,22,FALSE)</f>
        <v>427.5</v>
      </c>
      <c r="AF644">
        <f>VLOOKUP($J644,'[1]Table S6'!$A:$AI,23,FALSE)</f>
        <v>0.90976803575228804</v>
      </c>
      <c r="AG644">
        <f>VLOOKUP($J644,'[1]Table S6'!$A:$AI,24,FALSE)</f>
        <v>98.19</v>
      </c>
      <c r="AH644" t="str">
        <f>VLOOKUP($J644,'[1]Table S6'!$A:$AI,25,FALSE)</f>
        <v>No</v>
      </c>
      <c r="AJ644">
        <f>VLOOKUP($J644,'[1]Table S6'!$A:$AI,27,FALSE)</f>
        <v>425.2</v>
      </c>
      <c r="AK644">
        <f>VLOOKUP($J644,'[1]Table S6'!$A:$AI,28,FALSE)</f>
        <v>0.90487337731432205</v>
      </c>
      <c r="AL644">
        <f>VLOOKUP($J644,'[1]Table S6'!$A:$AI,29,FALSE)</f>
        <v>72.319999999999993</v>
      </c>
      <c r="AM644" t="str">
        <f>VLOOKUP($J644,'[1]Table S6'!$A:$AI,30,FALSE)</f>
        <v>No</v>
      </c>
      <c r="AO644">
        <f>VLOOKUP($J644,'[1]Table S6'!$A:$AI,32,FALSE)</f>
        <v>419.7</v>
      </c>
      <c r="AP644">
        <f>VLOOKUP($J644,'[1]Table S6'!$A:$AI,33,FALSE)</f>
        <v>0.893168759310492</v>
      </c>
      <c r="AQ644">
        <f>VLOOKUP($J644,'[1]Table S6'!$A:$AI,34,FALSE)</f>
        <v>67.319999999999993</v>
      </c>
      <c r="AR644" t="str">
        <f>VLOOKUP($J644,'[1]Table S6'!$A:$AI,35,FALSE)</f>
        <v>No</v>
      </c>
      <c r="AT644" t="e">
        <f>VLOOKUP($I644,'[2]Table S5'!$A:$K,8,FALSE)</f>
        <v>#N/A</v>
      </c>
      <c r="AU644" t="e">
        <f>VLOOKUP($I644,'[2]Table S5'!$A:$K,9,FALSE)</f>
        <v>#N/A</v>
      </c>
      <c r="AV644" t="e">
        <f>VLOOKUP($I644,'[2]Table S5'!$A:$K,10,FALSE)</f>
        <v>#N/A</v>
      </c>
      <c r="AW644" t="e">
        <f>VLOOKUP($I644,'[2]Table S5'!$A:$K,11,FALSE)</f>
        <v>#N/A</v>
      </c>
    </row>
    <row r="645" spans="1:49">
      <c r="A645" s="12" t="s">
        <v>4103</v>
      </c>
      <c r="B645" t="s">
        <v>4104</v>
      </c>
      <c r="C645" t="s">
        <v>4105</v>
      </c>
      <c r="D645" t="s">
        <v>17</v>
      </c>
      <c r="E645" t="s">
        <v>1887</v>
      </c>
      <c r="F645" s="12" t="s">
        <v>1888</v>
      </c>
      <c r="G645" t="s">
        <v>1889</v>
      </c>
      <c r="H645" t="s">
        <v>1890</v>
      </c>
      <c r="I645" t="s">
        <v>1875</v>
      </c>
      <c r="J645" t="s">
        <v>1876</v>
      </c>
      <c r="K645">
        <f>VLOOKUP($J645,'[1]Table S6'!$A:$AI,2,FALSE)</f>
        <v>347.5</v>
      </c>
      <c r="L645">
        <f>VLOOKUP($J645,'[1]Table S6'!$A:$AI,3,FALSE)</f>
        <v>0.73951904660566103</v>
      </c>
      <c r="M645">
        <f>VLOOKUP($J645,'[1]Table S6'!$A:$AI,4,FALSE)</f>
        <v>4.9109999999999996</v>
      </c>
      <c r="N645" t="str">
        <f>VLOOKUP($J645,'[1]Table S6'!$A:$AI,5,FALSE)</f>
        <v>No</v>
      </c>
      <c r="P645">
        <f>VLOOKUP($J645,'[1]Table S6'!$A:$AI,7,FALSE)</f>
        <v>341.8</v>
      </c>
      <c r="Q645">
        <f>VLOOKUP($J645,'[1]Table S6'!$A:$AI,8,FALSE)</f>
        <v>0.72738880612896395</v>
      </c>
      <c r="R645">
        <f>VLOOKUP($J645,'[1]Table S6'!$A:$AI,9,FALSE)</f>
        <v>3.91</v>
      </c>
      <c r="S645" t="str">
        <f>VLOOKUP($J645,'[1]Table S6'!$A:$AI,10,FALSE)</f>
        <v>No</v>
      </c>
      <c r="U645">
        <f>VLOOKUP($J645,'[1]Table S6'!$A:$AI,12,FALSE)</f>
        <v>322.7</v>
      </c>
      <c r="V645">
        <f>VLOOKUP($J645,'[1]Table S6'!$A:$AI,13,FALSE)</f>
        <v>0.68674185997020598</v>
      </c>
      <c r="W645">
        <f>VLOOKUP($J645,'[1]Table S6'!$A:$AI,14,FALSE)</f>
        <v>1.9810000000000001</v>
      </c>
      <c r="X645" t="str">
        <f>VLOOKUP($J645,'[1]Table S6'!$A:$AI,15,FALSE)</f>
        <v>Yes</v>
      </c>
      <c r="Z645">
        <f>VLOOKUP($J645,'[1]Table S6'!$A:$AI,17,FALSE)</f>
        <v>322.60000000000002</v>
      </c>
      <c r="AA645">
        <f>VLOOKUP($J645,'[1]Table S6'!$A:$AI,18,FALSE)</f>
        <v>0.68652904873377296</v>
      </c>
      <c r="AB645">
        <f>VLOOKUP($J645,'[1]Table S6'!$A:$AI,19,FALSE)</f>
        <v>2.21</v>
      </c>
      <c r="AC645" t="str">
        <f>VLOOKUP($J645,'[1]Table S6'!$A:$AI,20,FALSE)</f>
        <v>Yes</v>
      </c>
      <c r="AE645">
        <f>VLOOKUP($J645,'[1]Table S6'!$A:$AI,22,FALSE)</f>
        <v>427.5</v>
      </c>
      <c r="AF645">
        <f>VLOOKUP($J645,'[1]Table S6'!$A:$AI,23,FALSE)</f>
        <v>0.90976803575228804</v>
      </c>
      <c r="AG645">
        <f>VLOOKUP($J645,'[1]Table S6'!$A:$AI,24,FALSE)</f>
        <v>98.19</v>
      </c>
      <c r="AH645" t="str">
        <f>VLOOKUP($J645,'[1]Table S6'!$A:$AI,25,FALSE)</f>
        <v>No</v>
      </c>
      <c r="AJ645">
        <f>VLOOKUP($J645,'[1]Table S6'!$A:$AI,27,FALSE)</f>
        <v>425.2</v>
      </c>
      <c r="AK645">
        <f>VLOOKUP($J645,'[1]Table S6'!$A:$AI,28,FALSE)</f>
        <v>0.90487337731432205</v>
      </c>
      <c r="AL645">
        <f>VLOOKUP($J645,'[1]Table S6'!$A:$AI,29,FALSE)</f>
        <v>72.319999999999993</v>
      </c>
      <c r="AM645" t="str">
        <f>VLOOKUP($J645,'[1]Table S6'!$A:$AI,30,FALSE)</f>
        <v>No</v>
      </c>
      <c r="AO645">
        <f>VLOOKUP($J645,'[1]Table S6'!$A:$AI,32,FALSE)</f>
        <v>419.7</v>
      </c>
      <c r="AP645">
        <f>VLOOKUP($J645,'[1]Table S6'!$A:$AI,33,FALSE)</f>
        <v>0.893168759310492</v>
      </c>
      <c r="AQ645">
        <f>VLOOKUP($J645,'[1]Table S6'!$A:$AI,34,FALSE)</f>
        <v>67.319999999999993</v>
      </c>
      <c r="AR645" t="str">
        <f>VLOOKUP($J645,'[1]Table S6'!$A:$AI,35,FALSE)</f>
        <v>No</v>
      </c>
      <c r="AT645" t="e">
        <f>VLOOKUP($I645,'[2]Table S5'!$A:$K,8,FALSE)</f>
        <v>#N/A</v>
      </c>
      <c r="AU645" t="e">
        <f>VLOOKUP($I645,'[2]Table S5'!$A:$K,9,FALSE)</f>
        <v>#N/A</v>
      </c>
      <c r="AV645" t="e">
        <f>VLOOKUP($I645,'[2]Table S5'!$A:$K,10,FALSE)</f>
        <v>#N/A</v>
      </c>
      <c r="AW645" t="e">
        <f>VLOOKUP($I645,'[2]Table S5'!$A:$K,11,FALSE)</f>
        <v>#N/A</v>
      </c>
    </row>
    <row r="646" spans="1:49">
      <c r="A646" s="12" t="s">
        <v>4106</v>
      </c>
      <c r="B646" t="s">
        <v>4107</v>
      </c>
      <c r="C646" t="s">
        <v>4108</v>
      </c>
      <c r="D646" t="s">
        <v>17</v>
      </c>
      <c r="E646" t="s">
        <v>4109</v>
      </c>
      <c r="F646" s="12" t="s">
        <v>4110</v>
      </c>
      <c r="G646" t="s">
        <v>4111</v>
      </c>
      <c r="H646" t="s">
        <v>4112</v>
      </c>
      <c r="I646" t="s">
        <v>4113</v>
      </c>
      <c r="J646" t="s">
        <v>4114</v>
      </c>
      <c r="K646">
        <f>VLOOKUP($J646,'[1]Table S6'!$A:$AI,2,FALSE)</f>
        <v>338.7</v>
      </c>
      <c r="L646">
        <f>VLOOKUP($J646,'[1]Table S6'!$A:$AI,3,FALSE)</f>
        <v>0.72079165779953203</v>
      </c>
      <c r="M646">
        <f>VLOOKUP($J646,'[1]Table S6'!$A:$AI,4,FALSE)</f>
        <v>3.5609999999999999</v>
      </c>
      <c r="N646" t="str">
        <f>VLOOKUP($J646,'[1]Table S6'!$A:$AI,5,FALSE)</f>
        <v>No</v>
      </c>
      <c r="P646">
        <f>VLOOKUP($J646,'[1]Table S6'!$A:$AI,7,FALSE)</f>
        <v>347.9</v>
      </c>
      <c r="Q646">
        <f>VLOOKUP($J646,'[1]Table S6'!$A:$AI,8,FALSE)</f>
        <v>0.740370291551394</v>
      </c>
      <c r="R646">
        <f>VLOOKUP($J646,'[1]Table S6'!$A:$AI,9,FALSE)</f>
        <v>4.8310000000000004</v>
      </c>
      <c r="S646" t="str">
        <f>VLOOKUP($J646,'[1]Table S6'!$A:$AI,10,FALSE)</f>
        <v>No</v>
      </c>
      <c r="U646">
        <f>VLOOKUP($J646,'[1]Table S6'!$A:$AI,12,FALSE)</f>
        <v>322</v>
      </c>
      <c r="V646">
        <f>VLOOKUP($J646,'[1]Table S6'!$A:$AI,13,FALSE)</f>
        <v>0.68525218131517396</v>
      </c>
      <c r="W646">
        <f>VLOOKUP($J646,'[1]Table S6'!$A:$AI,14,FALSE)</f>
        <v>2.16</v>
      </c>
      <c r="X646" t="str">
        <f>VLOOKUP($J646,'[1]Table S6'!$A:$AI,15,FALSE)</f>
        <v>Yes</v>
      </c>
      <c r="Z646">
        <f>VLOOKUP($J646,'[1]Table S6'!$A:$AI,17,FALSE)</f>
        <v>324.39999999999998</v>
      </c>
      <c r="AA646">
        <f>VLOOKUP($J646,'[1]Table S6'!$A:$AI,18,FALSE)</f>
        <v>0.69035965098957197</v>
      </c>
      <c r="AB646">
        <f>VLOOKUP($J646,'[1]Table S6'!$A:$AI,19,FALSE)</f>
        <v>2.2509999999999999</v>
      </c>
      <c r="AC646" t="str">
        <f>VLOOKUP($J646,'[1]Table S6'!$A:$AI,20,FALSE)</f>
        <v>Yes</v>
      </c>
      <c r="AE646">
        <f>VLOOKUP($J646,'[1]Table S6'!$A:$AI,22,FALSE)</f>
        <v>407.5</v>
      </c>
      <c r="AF646">
        <f>VLOOKUP($J646,'[1]Table S6'!$A:$AI,23,FALSE)</f>
        <v>0.86720578846563101</v>
      </c>
      <c r="AG646">
        <f>VLOOKUP($J646,'[1]Table S6'!$A:$AI,24,FALSE)</f>
        <v>39.82</v>
      </c>
      <c r="AH646" t="str">
        <f>VLOOKUP($J646,'[1]Table S6'!$A:$AI,25,FALSE)</f>
        <v>No</v>
      </c>
      <c r="AJ646">
        <f>VLOOKUP($J646,'[1]Table S6'!$A:$AI,27,FALSE)</f>
        <v>367.7</v>
      </c>
      <c r="AK646">
        <f>VLOOKUP($J646,'[1]Table S6'!$A:$AI,28,FALSE)</f>
        <v>0.78250691636518399</v>
      </c>
      <c r="AL646">
        <f>VLOOKUP($J646,'[1]Table S6'!$A:$AI,29,FALSE)</f>
        <v>10.32</v>
      </c>
      <c r="AM646" t="str">
        <f>VLOOKUP($J646,'[1]Table S6'!$A:$AI,30,FALSE)</f>
        <v>No</v>
      </c>
      <c r="AO646">
        <f>VLOOKUP($J646,'[1]Table S6'!$A:$AI,32,FALSE)</f>
        <v>403.8</v>
      </c>
      <c r="AP646">
        <f>VLOOKUP($J646,'[1]Table S6'!$A:$AI,33,FALSE)</f>
        <v>0.85933177271759997</v>
      </c>
      <c r="AQ646">
        <f>VLOOKUP($J646,'[1]Table S6'!$A:$AI,34,FALSE)</f>
        <v>30</v>
      </c>
      <c r="AR646" t="str">
        <f>VLOOKUP($J646,'[1]Table S6'!$A:$AI,35,FALSE)</f>
        <v>No</v>
      </c>
      <c r="AT646" t="e">
        <f>VLOOKUP($I646,'[2]Table S5'!$A:$K,8,FALSE)</f>
        <v>#N/A</v>
      </c>
      <c r="AU646" t="e">
        <f>VLOOKUP($I646,'[2]Table S5'!$A:$K,9,FALSE)</f>
        <v>#N/A</v>
      </c>
      <c r="AV646" t="e">
        <f>VLOOKUP($I646,'[2]Table S5'!$A:$K,10,FALSE)</f>
        <v>#N/A</v>
      </c>
      <c r="AW646" t="e">
        <f>VLOOKUP($I646,'[2]Table S5'!$A:$K,11,FALSE)</f>
        <v>#N/A</v>
      </c>
    </row>
    <row r="647" spans="1:49">
      <c r="A647" s="12" t="s">
        <v>4115</v>
      </c>
      <c r="B647" t="s">
        <v>4116</v>
      </c>
      <c r="C647" t="s">
        <v>4117</v>
      </c>
      <c r="D647" t="s">
        <v>17</v>
      </c>
      <c r="E647" t="s">
        <v>4118</v>
      </c>
      <c r="F647" s="12" t="s">
        <v>4119</v>
      </c>
      <c r="G647" t="s">
        <v>4120</v>
      </c>
      <c r="H647" t="s">
        <v>4121</v>
      </c>
      <c r="I647" t="s">
        <v>4113</v>
      </c>
      <c r="J647" t="s">
        <v>4122</v>
      </c>
      <c r="K647">
        <f>VLOOKUP($J647,'[1]Table S6'!$A:$AI,2,FALSE)</f>
        <v>417.4</v>
      </c>
      <c r="L647">
        <f>VLOOKUP($J647,'[1]Table S6'!$A:$AI,3,FALSE)</f>
        <v>0.88827410087252601</v>
      </c>
      <c r="M647">
        <f>VLOOKUP($J647,'[1]Table S6'!$A:$AI,4,FALSE)</f>
        <v>73.28</v>
      </c>
      <c r="N647" t="str">
        <f>VLOOKUP($J647,'[1]Table S6'!$A:$AI,5,FALSE)</f>
        <v>No</v>
      </c>
      <c r="P647">
        <f>VLOOKUP($J647,'[1]Table S6'!$A:$AI,7,FALSE)</f>
        <v>380.2</v>
      </c>
      <c r="Q647">
        <f>VLOOKUP($J647,'[1]Table S6'!$A:$AI,8,FALSE)</f>
        <v>0.80910832091934504</v>
      </c>
      <c r="R647">
        <f>VLOOKUP($J647,'[1]Table S6'!$A:$AI,9,FALSE)</f>
        <v>14.2</v>
      </c>
      <c r="S647" t="str">
        <f>VLOOKUP($J647,'[1]Table S6'!$A:$AI,10,FALSE)</f>
        <v>No</v>
      </c>
      <c r="U647">
        <f>VLOOKUP($J647,'[1]Table S6'!$A:$AI,12,FALSE)</f>
        <v>391.7</v>
      </c>
      <c r="V647">
        <f>VLOOKUP($J647,'[1]Table S6'!$A:$AI,13,FALSE)</f>
        <v>0.833581613109172</v>
      </c>
      <c r="W647">
        <f>VLOOKUP($J647,'[1]Table S6'!$A:$AI,14,FALSE)</f>
        <v>19.09</v>
      </c>
      <c r="X647" t="str">
        <f>VLOOKUP($J647,'[1]Table S6'!$A:$AI,15,FALSE)</f>
        <v>No</v>
      </c>
      <c r="Z647">
        <f>VLOOKUP($J647,'[1]Table S6'!$A:$AI,17,FALSE)</f>
        <v>352.7</v>
      </c>
      <c r="AA647">
        <f>VLOOKUP($J647,'[1]Table S6'!$A:$AI,18,FALSE)</f>
        <v>0.75058523090019202</v>
      </c>
      <c r="AB647">
        <f>VLOOKUP($J647,'[1]Table S6'!$A:$AI,19,FALSE)</f>
        <v>6.0330000000000004</v>
      </c>
      <c r="AC647" t="str">
        <f>VLOOKUP($J647,'[1]Table S6'!$A:$AI,20,FALSE)</f>
        <v>No</v>
      </c>
      <c r="AE647">
        <f>VLOOKUP($J647,'[1]Table S6'!$A:$AI,22,FALSE)</f>
        <v>413.1</v>
      </c>
      <c r="AF647">
        <f>VLOOKUP($J647,'[1]Table S6'!$A:$AI,23,FALSE)</f>
        <v>0.87912321770589497</v>
      </c>
      <c r="AG647">
        <f>VLOOKUP($J647,'[1]Table S6'!$A:$AI,24,FALSE)</f>
        <v>42.95</v>
      </c>
      <c r="AH647" t="str">
        <f>VLOOKUP($J647,'[1]Table S6'!$A:$AI,25,FALSE)</f>
        <v>No</v>
      </c>
      <c r="AJ647">
        <f>VLOOKUP($J647,'[1]Table S6'!$A:$AI,27,FALSE)</f>
        <v>323.7</v>
      </c>
      <c r="AK647">
        <f>VLOOKUP($J647,'[1]Table S6'!$A:$AI,28,FALSE)</f>
        <v>0.68886997233453895</v>
      </c>
      <c r="AL647">
        <f>VLOOKUP($J647,'[1]Table S6'!$A:$AI,29,FALSE)</f>
        <v>2.19</v>
      </c>
      <c r="AM647" t="str">
        <f>VLOOKUP($J647,'[1]Table S6'!$A:$AI,30,FALSE)</f>
        <v>No</v>
      </c>
      <c r="AO647">
        <f>VLOOKUP($J647,'[1]Table S6'!$A:$AI,32,FALSE)</f>
        <v>405.4</v>
      </c>
      <c r="AP647">
        <f>VLOOKUP($J647,'[1]Table S6'!$A:$AI,33,FALSE)</f>
        <v>0.86273675250053194</v>
      </c>
      <c r="AQ647">
        <f>VLOOKUP($J647,'[1]Table S6'!$A:$AI,34,FALSE)</f>
        <v>33.46</v>
      </c>
      <c r="AR647" t="str">
        <f>VLOOKUP($J647,'[1]Table S6'!$A:$AI,35,FALSE)</f>
        <v>No</v>
      </c>
      <c r="AT647" t="e">
        <f>VLOOKUP($I647,'[2]Table S5'!$A:$K,8,FALSE)</f>
        <v>#N/A</v>
      </c>
      <c r="AU647" t="e">
        <f>VLOOKUP($I647,'[2]Table S5'!$A:$K,9,FALSE)</f>
        <v>#N/A</v>
      </c>
      <c r="AV647" t="e">
        <f>VLOOKUP($I647,'[2]Table S5'!$A:$K,10,FALSE)</f>
        <v>#N/A</v>
      </c>
      <c r="AW647" t="e">
        <f>VLOOKUP($I647,'[2]Table S5'!$A:$K,11,FALSE)</f>
        <v>#N/A</v>
      </c>
    </row>
    <row r="648" spans="1:49">
      <c r="A648" s="12" t="s">
        <v>4123</v>
      </c>
      <c r="B648" t="s">
        <v>4124</v>
      </c>
      <c r="C648" t="s">
        <v>4125</v>
      </c>
      <c r="D648" t="s">
        <v>17</v>
      </c>
      <c r="E648" t="s">
        <v>4126</v>
      </c>
      <c r="F648" s="12" t="s">
        <v>4127</v>
      </c>
      <c r="G648" t="s">
        <v>4128</v>
      </c>
      <c r="H648" t="s">
        <v>4129</v>
      </c>
      <c r="I648" t="s">
        <v>1905</v>
      </c>
      <c r="J648" t="s">
        <v>1913</v>
      </c>
      <c r="K648">
        <f>VLOOKUP($J648,'[1]Table S6'!$A:$AI,2,FALSE)</f>
        <v>325</v>
      </c>
      <c r="L648">
        <f>VLOOKUP($J648,'[1]Table S6'!$A:$AI,3,FALSE)</f>
        <v>0.69163651840817197</v>
      </c>
      <c r="M648">
        <f>VLOOKUP($J648,'[1]Table S6'!$A:$AI,4,FALSE)</f>
        <v>2.3159999999999998</v>
      </c>
      <c r="N648" t="str">
        <f>VLOOKUP($J648,'[1]Table S6'!$A:$AI,5,FALSE)</f>
        <v>Yes</v>
      </c>
      <c r="P648">
        <f>VLOOKUP($J648,'[1]Table S6'!$A:$AI,7,FALSE)</f>
        <v>323.5</v>
      </c>
      <c r="Q648">
        <f>VLOOKUP($J648,'[1]Table S6'!$A:$AI,8,FALSE)</f>
        <v>0.68844434986167302</v>
      </c>
      <c r="R648">
        <f>VLOOKUP($J648,'[1]Table S6'!$A:$AI,9,FALSE)</f>
        <v>2.133</v>
      </c>
      <c r="S648" t="str">
        <f>VLOOKUP($J648,'[1]Table S6'!$A:$AI,10,FALSE)</f>
        <v>Yes</v>
      </c>
      <c r="U648">
        <f>VLOOKUP($J648,'[1]Table S6'!$A:$AI,12,FALSE)</f>
        <v>341.6</v>
      </c>
      <c r="V648">
        <f>VLOOKUP($J648,'[1]Table S6'!$A:$AI,13,FALSE)</f>
        <v>0.72696318365609702</v>
      </c>
      <c r="W648">
        <f>VLOOKUP($J648,'[1]Table S6'!$A:$AI,14,FALSE)</f>
        <v>5.2990000000000004</v>
      </c>
      <c r="X648" t="str">
        <f>VLOOKUP($J648,'[1]Table S6'!$A:$AI,15,FALSE)</f>
        <v>No</v>
      </c>
      <c r="Z648">
        <f>VLOOKUP($J648,'[1]Table S6'!$A:$AI,17,FALSE)</f>
        <v>326.60000000000002</v>
      </c>
      <c r="AA648">
        <f>VLOOKUP($J648,'[1]Table S6'!$A:$AI,18,FALSE)</f>
        <v>0.69504149819110495</v>
      </c>
      <c r="AB648">
        <f>VLOOKUP($J648,'[1]Table S6'!$A:$AI,19,FALSE)</f>
        <v>2.3660000000000001</v>
      </c>
      <c r="AC648" t="str">
        <f>VLOOKUP($J648,'[1]Table S6'!$A:$AI,20,FALSE)</f>
        <v>No</v>
      </c>
      <c r="AE648">
        <f>VLOOKUP($J648,'[1]Table S6'!$A:$AI,22,FALSE)</f>
        <v>368</v>
      </c>
      <c r="AF648">
        <f>VLOOKUP($J648,'[1]Table S6'!$A:$AI,23,FALSE)</f>
        <v>0.78314535007448405</v>
      </c>
      <c r="AG648">
        <f>VLOOKUP($J648,'[1]Table S6'!$A:$AI,24,FALSE)</f>
        <v>20.9</v>
      </c>
      <c r="AH648" t="str">
        <f>VLOOKUP($J648,'[1]Table S6'!$A:$AI,25,FALSE)</f>
        <v>No</v>
      </c>
      <c r="AJ648">
        <f>VLOOKUP($J648,'[1]Table S6'!$A:$AI,27,FALSE)</f>
        <v>400.4</v>
      </c>
      <c r="AK648">
        <f>VLOOKUP($J648,'[1]Table S6'!$A:$AI,28,FALSE)</f>
        <v>0.85209619067886799</v>
      </c>
      <c r="AL648">
        <f>VLOOKUP($J648,'[1]Table S6'!$A:$AI,29,FALSE)</f>
        <v>78.099999999999994</v>
      </c>
      <c r="AM648" t="str">
        <f>VLOOKUP($J648,'[1]Table S6'!$A:$AI,30,FALSE)</f>
        <v>No</v>
      </c>
      <c r="AO648">
        <f>VLOOKUP($J648,'[1]Table S6'!$A:$AI,32,FALSE)</f>
        <v>372.8</v>
      </c>
      <c r="AP648">
        <f>VLOOKUP($J648,'[1]Table S6'!$A:$AI,33,FALSE)</f>
        <v>0.79336028942328196</v>
      </c>
      <c r="AQ648">
        <f>VLOOKUP($J648,'[1]Table S6'!$A:$AI,34,FALSE)</f>
        <v>68.849999999999994</v>
      </c>
      <c r="AR648" t="str">
        <f>VLOOKUP($J648,'[1]Table S6'!$A:$AI,35,FALSE)</f>
        <v>No</v>
      </c>
      <c r="AT648" t="e">
        <f>VLOOKUP($I648,'[2]Table S5'!$A:$K,8,FALSE)</f>
        <v>#N/A</v>
      </c>
      <c r="AU648" t="e">
        <f>VLOOKUP($I648,'[2]Table S5'!$A:$K,9,FALSE)</f>
        <v>#N/A</v>
      </c>
      <c r="AV648" t="e">
        <f>VLOOKUP($I648,'[2]Table S5'!$A:$K,10,FALSE)</f>
        <v>#N/A</v>
      </c>
      <c r="AW648" t="e">
        <f>VLOOKUP($I648,'[2]Table S5'!$A:$K,11,FALSE)</f>
        <v>#N/A</v>
      </c>
    </row>
    <row r="649" spans="1:49">
      <c r="A649" s="12" t="s">
        <v>4130</v>
      </c>
      <c r="B649" t="s">
        <v>4131</v>
      </c>
      <c r="C649" t="s">
        <v>4132</v>
      </c>
      <c r="D649" t="s">
        <v>17</v>
      </c>
      <c r="E649" t="s">
        <v>4133</v>
      </c>
      <c r="F649" s="12" t="s">
        <v>4134</v>
      </c>
      <c r="G649" t="s">
        <v>4135</v>
      </c>
      <c r="H649" t="s">
        <v>4136</v>
      </c>
      <c r="I649" t="s">
        <v>4137</v>
      </c>
      <c r="J649" t="s">
        <v>4138</v>
      </c>
      <c r="K649">
        <f>VLOOKUP($J649,'[1]Table S6'!$A:$AI,2,FALSE)</f>
        <v>347.5</v>
      </c>
      <c r="L649">
        <f>VLOOKUP($J649,'[1]Table S6'!$A:$AI,3,FALSE)</f>
        <v>0.73951904660566103</v>
      </c>
      <c r="M649">
        <f>VLOOKUP($J649,'[1]Table S6'!$A:$AI,4,FALSE)</f>
        <v>4.5789999999999997</v>
      </c>
      <c r="N649" t="str">
        <f>VLOOKUP($J649,'[1]Table S6'!$A:$AI,5,FALSE)</f>
        <v>No</v>
      </c>
      <c r="P649">
        <f>VLOOKUP($J649,'[1]Table S6'!$A:$AI,7,FALSE)</f>
        <v>361.6</v>
      </c>
      <c r="Q649">
        <f>VLOOKUP($J649,'[1]Table S6'!$A:$AI,8,FALSE)</f>
        <v>0.76952543094275405</v>
      </c>
      <c r="R649">
        <f>VLOOKUP($J649,'[1]Table S6'!$A:$AI,9,FALSE)</f>
        <v>7.819</v>
      </c>
      <c r="S649" t="str">
        <f>VLOOKUP($J649,'[1]Table S6'!$A:$AI,10,FALSE)</f>
        <v>No</v>
      </c>
      <c r="U649">
        <f>VLOOKUP($J649,'[1]Table S6'!$A:$AI,12,FALSE)</f>
        <v>369.3</v>
      </c>
      <c r="V649">
        <f>VLOOKUP($J649,'[1]Table S6'!$A:$AI,13,FALSE)</f>
        <v>0.78591189614811696</v>
      </c>
      <c r="W649">
        <f>VLOOKUP($J649,'[1]Table S6'!$A:$AI,14,FALSE)</f>
        <v>8.8550000000000004</v>
      </c>
      <c r="X649" t="str">
        <f>VLOOKUP($J649,'[1]Table S6'!$A:$AI,15,FALSE)</f>
        <v>No</v>
      </c>
      <c r="Z649">
        <f>VLOOKUP($J649,'[1]Table S6'!$A:$AI,17,FALSE)</f>
        <v>357.4</v>
      </c>
      <c r="AA649">
        <f>VLOOKUP($J649,'[1]Table S6'!$A:$AI,18,FALSE)</f>
        <v>0.76058735901255603</v>
      </c>
      <c r="AB649">
        <f>VLOOKUP($J649,'[1]Table S6'!$A:$AI,19,FALSE)</f>
        <v>10.98</v>
      </c>
      <c r="AC649" t="str">
        <f>VLOOKUP($J649,'[1]Table S6'!$A:$AI,20,FALSE)</f>
        <v>No</v>
      </c>
      <c r="AE649">
        <f>VLOOKUP($J649,'[1]Table S6'!$A:$AI,22,FALSE)</f>
        <v>321.89999999999998</v>
      </c>
      <c r="AF649">
        <f>VLOOKUP($J649,'[1]Table S6'!$A:$AI,23,FALSE)</f>
        <v>0.68503937007874005</v>
      </c>
      <c r="AG649">
        <f>VLOOKUP($J649,'[1]Table S6'!$A:$AI,24,FALSE)</f>
        <v>2.573</v>
      </c>
      <c r="AH649" t="str">
        <f>VLOOKUP($J649,'[1]Table S6'!$A:$AI,25,FALSE)</f>
        <v>Yes</v>
      </c>
      <c r="AJ649">
        <f>VLOOKUP($J649,'[1]Table S6'!$A:$AI,27,FALSE)</f>
        <v>290.10000000000002</v>
      </c>
      <c r="AK649">
        <f>VLOOKUP($J649,'[1]Table S6'!$A:$AI,28,FALSE)</f>
        <v>0.617365396892956</v>
      </c>
      <c r="AL649">
        <f>VLOOKUP($J649,'[1]Table S6'!$A:$AI,29,FALSE)</f>
        <v>0.88500000000000001</v>
      </c>
      <c r="AM649" t="str">
        <f>VLOOKUP($J649,'[1]Table S6'!$A:$AI,30,FALSE)</f>
        <v>Yes</v>
      </c>
      <c r="AO649">
        <f>VLOOKUP($J649,'[1]Table S6'!$A:$AI,32,FALSE)</f>
        <v>313</v>
      </c>
      <c r="AP649">
        <f>VLOOKUP($J649,'[1]Table S6'!$A:$AI,33,FALSE)</f>
        <v>0.66609917003617802</v>
      </c>
      <c r="AQ649">
        <f>VLOOKUP($J649,'[1]Table S6'!$A:$AI,34,FALSE)</f>
        <v>2.8</v>
      </c>
      <c r="AR649" t="str">
        <f>VLOOKUP($J649,'[1]Table S6'!$A:$AI,35,FALSE)</f>
        <v>Yes</v>
      </c>
      <c r="AT649" t="e">
        <f>VLOOKUP($I649,'[2]Table S5'!$A:$K,8,FALSE)</f>
        <v>#N/A</v>
      </c>
      <c r="AU649" t="e">
        <f>VLOOKUP($I649,'[2]Table S5'!$A:$K,9,FALSE)</f>
        <v>#N/A</v>
      </c>
      <c r="AV649" t="e">
        <f>VLOOKUP($I649,'[2]Table S5'!$A:$K,10,FALSE)</f>
        <v>#N/A</v>
      </c>
      <c r="AW649" t="e">
        <f>VLOOKUP($I649,'[2]Table S5'!$A:$K,11,FALSE)</f>
        <v>#N/A</v>
      </c>
    </row>
    <row r="650" spans="1:49">
      <c r="A650" s="12" t="s">
        <v>4139</v>
      </c>
      <c r="B650" t="s">
        <v>4140</v>
      </c>
      <c r="C650" t="s">
        <v>4141</v>
      </c>
      <c r="D650" t="s">
        <v>17</v>
      </c>
      <c r="E650" t="s">
        <v>4142</v>
      </c>
      <c r="F650" s="12" t="s">
        <v>4143</v>
      </c>
      <c r="G650" t="s">
        <v>4144</v>
      </c>
      <c r="H650" t="s">
        <v>4145</v>
      </c>
      <c r="I650" t="s">
        <v>4146</v>
      </c>
      <c r="J650" t="s">
        <v>4147</v>
      </c>
      <c r="K650">
        <f>VLOOKUP($J650,'[1]Table S6'!$A:$AI,2,FALSE)</f>
        <v>371.1</v>
      </c>
      <c r="L650">
        <f>VLOOKUP($J650,'[1]Table S6'!$A:$AI,3,FALSE)</f>
        <v>0.78974249840391597</v>
      </c>
      <c r="M650">
        <f>VLOOKUP($J650,'[1]Table S6'!$A:$AI,4,FALSE)</f>
        <v>6.9729999999999999</v>
      </c>
      <c r="N650" t="str">
        <f>VLOOKUP($J650,'[1]Table S6'!$A:$AI,5,FALSE)</f>
        <v>No</v>
      </c>
      <c r="P650">
        <f>VLOOKUP($J650,'[1]Table S6'!$A:$AI,7,FALSE)</f>
        <v>323.7</v>
      </c>
      <c r="Q650">
        <f>VLOOKUP($J650,'[1]Table S6'!$A:$AI,8,FALSE)</f>
        <v>0.68886997233453895</v>
      </c>
      <c r="R650">
        <f>VLOOKUP($J650,'[1]Table S6'!$A:$AI,9,FALSE)</f>
        <v>2.3769999999999998</v>
      </c>
      <c r="S650" t="str">
        <f>VLOOKUP($J650,'[1]Table S6'!$A:$AI,10,FALSE)</f>
        <v>Yes</v>
      </c>
      <c r="U650">
        <f>VLOOKUP($J650,'[1]Table S6'!$A:$AI,12,FALSE)</f>
        <v>345.1</v>
      </c>
      <c r="V650">
        <f>VLOOKUP($J650,'[1]Table S6'!$A:$AI,13,FALSE)</f>
        <v>0.73441157693126202</v>
      </c>
      <c r="W650">
        <f>VLOOKUP($J650,'[1]Table S6'!$A:$AI,14,FALSE)</f>
        <v>4.6070000000000002</v>
      </c>
      <c r="X650" t="str">
        <f>VLOOKUP($J650,'[1]Table S6'!$A:$AI,15,FALSE)</f>
        <v>No</v>
      </c>
      <c r="Z650">
        <f>VLOOKUP($J650,'[1]Table S6'!$A:$AI,17,FALSE)</f>
        <v>345.8</v>
      </c>
      <c r="AA650">
        <f>VLOOKUP($J650,'[1]Table S6'!$A:$AI,18,FALSE)</f>
        <v>0.73590125558629504</v>
      </c>
      <c r="AB650">
        <f>VLOOKUP($J650,'[1]Table S6'!$A:$AI,19,FALSE)</f>
        <v>3.8490000000000002</v>
      </c>
      <c r="AC650" t="str">
        <f>VLOOKUP($J650,'[1]Table S6'!$A:$AI,20,FALSE)</f>
        <v>No</v>
      </c>
      <c r="AE650">
        <f>VLOOKUP($J650,'[1]Table S6'!$A:$AI,22,FALSE)</f>
        <v>372.9</v>
      </c>
      <c r="AF650">
        <f>VLOOKUP($J650,'[1]Table S6'!$A:$AI,23,FALSE)</f>
        <v>0.79357310065971498</v>
      </c>
      <c r="AG650">
        <f>VLOOKUP($J650,'[1]Table S6'!$A:$AI,24,FALSE)</f>
        <v>13.38</v>
      </c>
      <c r="AH650" t="str">
        <f>VLOOKUP($J650,'[1]Table S6'!$A:$AI,25,FALSE)</f>
        <v>No</v>
      </c>
      <c r="AJ650">
        <f>VLOOKUP($J650,'[1]Table S6'!$A:$AI,27,FALSE)</f>
        <v>413.8</v>
      </c>
      <c r="AK650">
        <f>VLOOKUP($J650,'[1]Table S6'!$A:$AI,28,FALSE)</f>
        <v>0.88061289636092799</v>
      </c>
      <c r="AL650">
        <f>VLOOKUP($J650,'[1]Table S6'!$A:$AI,29,FALSE)</f>
        <v>48.61</v>
      </c>
      <c r="AM650" t="str">
        <f>VLOOKUP($J650,'[1]Table S6'!$A:$AI,30,FALSE)</f>
        <v>No</v>
      </c>
      <c r="AO650">
        <f>VLOOKUP($J650,'[1]Table S6'!$A:$AI,32,FALSE)</f>
        <v>404.6</v>
      </c>
      <c r="AP650">
        <f>VLOOKUP($J650,'[1]Table S6'!$A:$AI,33,FALSE)</f>
        <v>0.86103426260906601</v>
      </c>
      <c r="AQ650">
        <f>VLOOKUP($J650,'[1]Table S6'!$A:$AI,34,FALSE)</f>
        <v>41.96</v>
      </c>
      <c r="AR650" t="str">
        <f>VLOOKUP($J650,'[1]Table S6'!$A:$AI,35,FALSE)</f>
        <v>No</v>
      </c>
      <c r="AT650" t="e">
        <f>VLOOKUP($I650,'[2]Table S5'!$A:$K,8,FALSE)</f>
        <v>#N/A</v>
      </c>
      <c r="AU650" t="e">
        <f>VLOOKUP($I650,'[2]Table S5'!$A:$K,9,FALSE)</f>
        <v>#N/A</v>
      </c>
      <c r="AV650" t="e">
        <f>VLOOKUP($I650,'[2]Table S5'!$A:$K,10,FALSE)</f>
        <v>#N/A</v>
      </c>
      <c r="AW650" t="e">
        <f>VLOOKUP($I650,'[2]Table S5'!$A:$K,11,FALSE)</f>
        <v>#N/A</v>
      </c>
    </row>
    <row r="651" spans="1:49">
      <c r="A651" s="12" t="s">
        <v>4148</v>
      </c>
      <c r="B651" t="s">
        <v>4149</v>
      </c>
      <c r="C651" t="s">
        <v>4150</v>
      </c>
      <c r="D651" t="s">
        <v>17</v>
      </c>
      <c r="E651" t="s">
        <v>4151</v>
      </c>
      <c r="F651" s="12" t="s">
        <v>4152</v>
      </c>
      <c r="G651" t="s">
        <v>4153</v>
      </c>
      <c r="H651" t="s">
        <v>4154</v>
      </c>
      <c r="I651" t="s">
        <v>4155</v>
      </c>
      <c r="J651" t="s">
        <v>4156</v>
      </c>
      <c r="K651">
        <f>VLOOKUP($J651,'[1]Table S6'!$A:$AI,2,FALSE)</f>
        <v>403.1</v>
      </c>
      <c r="L651">
        <f>VLOOKUP($J651,'[1]Table S6'!$A:$AI,3,FALSE)</f>
        <v>0.85784209406256695</v>
      </c>
      <c r="M651">
        <f>VLOOKUP($J651,'[1]Table S6'!$A:$AI,4,FALSE)</f>
        <v>17.260000000000002</v>
      </c>
      <c r="N651" t="str">
        <f>VLOOKUP($J651,'[1]Table S6'!$A:$AI,5,FALSE)</f>
        <v>No</v>
      </c>
      <c r="P651">
        <f>VLOOKUP($J651,'[1]Table S6'!$A:$AI,7,FALSE)</f>
        <v>389.2</v>
      </c>
      <c r="Q651">
        <f>VLOOKUP($J651,'[1]Table S6'!$A:$AI,8,FALSE)</f>
        <v>0.82826133219833997</v>
      </c>
      <c r="R651">
        <f>VLOOKUP($J651,'[1]Table S6'!$A:$AI,9,FALSE)</f>
        <v>9.5749999999999993</v>
      </c>
      <c r="S651" t="str">
        <f>VLOOKUP($J651,'[1]Table S6'!$A:$AI,10,FALSE)</f>
        <v>No</v>
      </c>
      <c r="U651">
        <f>VLOOKUP($J651,'[1]Table S6'!$A:$AI,12,FALSE)</f>
        <v>322</v>
      </c>
      <c r="V651">
        <f>VLOOKUP($J651,'[1]Table S6'!$A:$AI,13,FALSE)</f>
        <v>0.68525218131517396</v>
      </c>
      <c r="W651">
        <f>VLOOKUP($J651,'[1]Table S6'!$A:$AI,14,FALSE)</f>
        <v>2.1120000000000001</v>
      </c>
      <c r="X651" t="str">
        <f>VLOOKUP($J651,'[1]Table S6'!$A:$AI,15,FALSE)</f>
        <v>Yes</v>
      </c>
      <c r="Z651">
        <f>VLOOKUP($J651,'[1]Table S6'!$A:$AI,17,FALSE)</f>
        <v>326</v>
      </c>
      <c r="AA651">
        <f>VLOOKUP($J651,'[1]Table S6'!$A:$AI,18,FALSE)</f>
        <v>0.69376463077250505</v>
      </c>
      <c r="AB651">
        <f>VLOOKUP($J651,'[1]Table S6'!$A:$AI,19,FALSE)</f>
        <v>2.2759999999999998</v>
      </c>
      <c r="AC651" t="str">
        <f>VLOOKUP($J651,'[1]Table S6'!$A:$AI,20,FALSE)</f>
        <v>Yes</v>
      </c>
      <c r="AE651">
        <f>VLOOKUP($J651,'[1]Table S6'!$A:$AI,22,FALSE)</f>
        <v>392.2</v>
      </c>
      <c r="AF651">
        <f>VLOOKUP($J651,'[1]Table S6'!$A:$AI,23,FALSE)</f>
        <v>0.83464566929133899</v>
      </c>
      <c r="AG651">
        <f>VLOOKUP($J651,'[1]Table S6'!$A:$AI,24,FALSE)</f>
        <v>17.850000000000001</v>
      </c>
      <c r="AH651" t="str">
        <f>VLOOKUP($J651,'[1]Table S6'!$A:$AI,25,FALSE)</f>
        <v>No</v>
      </c>
      <c r="AJ651">
        <f>VLOOKUP($J651,'[1]Table S6'!$A:$AI,27,FALSE)</f>
        <v>426.9</v>
      </c>
      <c r="AK651">
        <f>VLOOKUP($J651,'[1]Table S6'!$A:$AI,28,FALSE)</f>
        <v>0.90849116833368804</v>
      </c>
      <c r="AL651">
        <f>VLOOKUP($J651,'[1]Table S6'!$A:$AI,29,FALSE)</f>
        <v>31.95</v>
      </c>
      <c r="AM651" t="str">
        <f>VLOOKUP($J651,'[1]Table S6'!$A:$AI,30,FALSE)</f>
        <v>No</v>
      </c>
      <c r="AO651">
        <f>VLOOKUP($J651,'[1]Table S6'!$A:$AI,32,FALSE)</f>
        <v>456.3</v>
      </c>
      <c r="AP651">
        <f>VLOOKUP($J651,'[1]Table S6'!$A:$AI,33,FALSE)</f>
        <v>0.97105767184507397</v>
      </c>
      <c r="AQ651">
        <f>VLOOKUP($J651,'[1]Table S6'!$A:$AI,34,FALSE)</f>
        <v>133.9</v>
      </c>
      <c r="AR651" t="str">
        <f>VLOOKUP($J651,'[1]Table S6'!$A:$AI,35,FALSE)</f>
        <v>No</v>
      </c>
      <c r="AT651" t="e">
        <f>VLOOKUP($I651,'[2]Table S5'!$A:$K,8,FALSE)</f>
        <v>#N/A</v>
      </c>
      <c r="AU651" t="e">
        <f>VLOOKUP($I651,'[2]Table S5'!$A:$K,9,FALSE)</f>
        <v>#N/A</v>
      </c>
      <c r="AV651" t="e">
        <f>VLOOKUP($I651,'[2]Table S5'!$A:$K,10,FALSE)</f>
        <v>#N/A</v>
      </c>
      <c r="AW651" t="e">
        <f>VLOOKUP($I651,'[2]Table S5'!$A:$K,11,FALSE)</f>
        <v>#N/A</v>
      </c>
    </row>
    <row r="652" spans="1:49">
      <c r="A652" s="12" t="s">
        <v>4157</v>
      </c>
      <c r="B652" t="s">
        <v>4158</v>
      </c>
      <c r="C652" t="s">
        <v>4159</v>
      </c>
      <c r="D652" t="s">
        <v>17</v>
      </c>
      <c r="E652" t="s">
        <v>4160</v>
      </c>
      <c r="F652" s="12" t="s">
        <v>4161</v>
      </c>
      <c r="G652" t="s">
        <v>4162</v>
      </c>
      <c r="H652" t="s">
        <v>4163</v>
      </c>
      <c r="I652" t="s">
        <v>4164</v>
      </c>
      <c r="J652" t="s">
        <v>4165</v>
      </c>
      <c r="K652">
        <f>VLOOKUP($J652,'[1]Table S6'!$A:$AI,2,FALSE)</f>
        <v>302.60000000000002</v>
      </c>
      <c r="L652">
        <f>VLOOKUP($J652,'[1]Table S6'!$A:$AI,3,FALSE)</f>
        <v>0.64396680144711604</v>
      </c>
      <c r="M652">
        <f>VLOOKUP($J652,'[1]Table S6'!$A:$AI,4,FALSE)</f>
        <v>1.3919999999999999</v>
      </c>
      <c r="N652" t="str">
        <f>VLOOKUP($J652,'[1]Table S6'!$A:$AI,5,FALSE)</f>
        <v>Yes</v>
      </c>
      <c r="P652">
        <f>VLOOKUP($J652,'[1]Table S6'!$A:$AI,7,FALSE)</f>
        <v>311.3</v>
      </c>
      <c r="Q652">
        <f>VLOOKUP($J652,'[1]Table S6'!$A:$AI,8,FALSE)</f>
        <v>0.66248137901681203</v>
      </c>
      <c r="R652">
        <f>VLOOKUP($J652,'[1]Table S6'!$A:$AI,9,FALSE)</f>
        <v>1.06</v>
      </c>
      <c r="S652" t="str">
        <f>VLOOKUP($J652,'[1]Table S6'!$A:$AI,10,FALSE)</f>
        <v>Yes</v>
      </c>
      <c r="U652">
        <f>VLOOKUP($J652,'[1]Table S6'!$A:$AI,12,FALSE)</f>
        <v>347.7</v>
      </c>
      <c r="V652">
        <f>VLOOKUP($J652,'[1]Table S6'!$A:$AI,13,FALSE)</f>
        <v>0.73994466907852696</v>
      </c>
      <c r="W652">
        <f>VLOOKUP($J652,'[1]Table S6'!$A:$AI,14,FALSE)</f>
        <v>4.9790000000000001</v>
      </c>
      <c r="X652" t="str">
        <f>VLOOKUP($J652,'[1]Table S6'!$A:$AI,15,FALSE)</f>
        <v>No</v>
      </c>
      <c r="Z652">
        <f>VLOOKUP($J652,'[1]Table S6'!$A:$AI,17,FALSE)</f>
        <v>353.1</v>
      </c>
      <c r="AA652">
        <f>VLOOKUP($J652,'[1]Table S6'!$A:$AI,18,FALSE)</f>
        <v>0.75143647584592499</v>
      </c>
      <c r="AB652">
        <f>VLOOKUP($J652,'[1]Table S6'!$A:$AI,19,FALSE)</f>
        <v>6.3559999999999999</v>
      </c>
      <c r="AC652" t="str">
        <f>VLOOKUP($J652,'[1]Table S6'!$A:$AI,20,FALSE)</f>
        <v>No</v>
      </c>
      <c r="AE652">
        <f>VLOOKUP($J652,'[1]Table S6'!$A:$AI,22,FALSE)</f>
        <v>353.5</v>
      </c>
      <c r="AF652">
        <f>VLOOKUP($J652,'[1]Table S6'!$A:$AI,23,FALSE)</f>
        <v>0.75228772079165795</v>
      </c>
      <c r="AG652">
        <f>VLOOKUP($J652,'[1]Table S6'!$A:$AI,24,FALSE)</f>
        <v>8.6950000000000003</v>
      </c>
      <c r="AH652" t="str">
        <f>VLOOKUP($J652,'[1]Table S6'!$A:$AI,25,FALSE)</f>
        <v>No</v>
      </c>
      <c r="AJ652">
        <f>VLOOKUP($J652,'[1]Table S6'!$A:$AI,27,FALSE)</f>
        <v>430.7</v>
      </c>
      <c r="AK652">
        <f>VLOOKUP($J652,'[1]Table S6'!$A:$AI,28,FALSE)</f>
        <v>0.91657799531815298</v>
      </c>
      <c r="AL652">
        <f>VLOOKUP($J652,'[1]Table S6'!$A:$AI,29,FALSE)</f>
        <v>171.6</v>
      </c>
      <c r="AM652" t="str">
        <f>VLOOKUP($J652,'[1]Table S6'!$A:$AI,30,FALSE)</f>
        <v>No</v>
      </c>
      <c r="AO652">
        <f>VLOOKUP($J652,'[1]Table S6'!$A:$AI,32,FALSE)</f>
        <v>391</v>
      </c>
      <c r="AP652">
        <f>VLOOKUP($J652,'[1]Table S6'!$A:$AI,33,FALSE)</f>
        <v>0.83209193445413898</v>
      </c>
      <c r="AQ652">
        <f>VLOOKUP($J652,'[1]Table S6'!$A:$AI,34,FALSE)</f>
        <v>57.03</v>
      </c>
      <c r="AR652" t="str">
        <f>VLOOKUP($J652,'[1]Table S6'!$A:$AI,35,FALSE)</f>
        <v>No</v>
      </c>
      <c r="AT652" t="e">
        <f>VLOOKUP($I652,'[2]Table S5'!$A:$K,8,FALSE)</f>
        <v>#N/A</v>
      </c>
      <c r="AU652" t="e">
        <f>VLOOKUP($I652,'[2]Table S5'!$A:$K,9,FALSE)</f>
        <v>#N/A</v>
      </c>
      <c r="AV652" t="e">
        <f>VLOOKUP($I652,'[2]Table S5'!$A:$K,10,FALSE)</f>
        <v>#N/A</v>
      </c>
      <c r="AW652" t="e">
        <f>VLOOKUP($I652,'[2]Table S5'!$A:$K,11,FALSE)</f>
        <v>#N/A</v>
      </c>
    </row>
    <row r="653" spans="1:49">
      <c r="A653" s="12" t="s">
        <v>4166</v>
      </c>
      <c r="B653" t="s">
        <v>4167</v>
      </c>
      <c r="C653" t="s">
        <v>4168</v>
      </c>
      <c r="D653" t="s">
        <v>17</v>
      </c>
      <c r="E653" t="s">
        <v>2046</v>
      </c>
      <c r="F653" s="12" t="s">
        <v>2047</v>
      </c>
      <c r="G653" t="s">
        <v>2048</v>
      </c>
      <c r="H653" t="s">
        <v>2049</v>
      </c>
      <c r="I653" t="s">
        <v>2041</v>
      </c>
      <c r="J653" t="s">
        <v>2042</v>
      </c>
      <c r="K653">
        <f>VLOOKUP($J653,'[1]Table S6'!$A:$AI,2,FALSE)</f>
        <v>359.6</v>
      </c>
      <c r="L653">
        <f>VLOOKUP($J653,'[1]Table S6'!$A:$AI,3,FALSE)</f>
        <v>0.765269206214088</v>
      </c>
      <c r="M653">
        <f>VLOOKUP($J653,'[1]Table S6'!$A:$AI,4,FALSE)</f>
        <v>6.2859999999999996</v>
      </c>
      <c r="N653" t="str">
        <f>VLOOKUP($J653,'[1]Table S6'!$A:$AI,5,FALSE)</f>
        <v>No</v>
      </c>
      <c r="P653">
        <f>VLOOKUP($J653,'[1]Table S6'!$A:$AI,7,FALSE)</f>
        <v>354.2</v>
      </c>
      <c r="Q653">
        <f>VLOOKUP($J653,'[1]Table S6'!$A:$AI,8,FALSE)</f>
        <v>0.75377739944669098</v>
      </c>
      <c r="R653">
        <f>VLOOKUP($J653,'[1]Table S6'!$A:$AI,9,FALSE)</f>
        <v>6.992</v>
      </c>
      <c r="S653" t="str">
        <f>VLOOKUP($J653,'[1]Table S6'!$A:$AI,10,FALSE)</f>
        <v>No</v>
      </c>
      <c r="U653">
        <f>VLOOKUP($J653,'[1]Table S6'!$A:$AI,12,FALSE)</f>
        <v>381.7</v>
      </c>
      <c r="V653">
        <f>VLOOKUP($J653,'[1]Table S6'!$A:$AI,13,FALSE)</f>
        <v>0.81230048946584399</v>
      </c>
      <c r="W653">
        <f>VLOOKUP($J653,'[1]Table S6'!$A:$AI,14,FALSE)</f>
        <v>8.7309999999999999</v>
      </c>
      <c r="X653" t="str">
        <f>VLOOKUP($J653,'[1]Table S6'!$A:$AI,15,FALSE)</f>
        <v>No</v>
      </c>
      <c r="Z653">
        <f>VLOOKUP($J653,'[1]Table S6'!$A:$AI,17,FALSE)</f>
        <v>395.2</v>
      </c>
      <c r="AA653">
        <f>VLOOKUP($J653,'[1]Table S6'!$A:$AI,18,FALSE)</f>
        <v>0.841030006384337</v>
      </c>
      <c r="AB653">
        <f>VLOOKUP($J653,'[1]Table S6'!$A:$AI,19,FALSE)</f>
        <v>24.62</v>
      </c>
      <c r="AC653" t="str">
        <f>VLOOKUP($J653,'[1]Table S6'!$A:$AI,20,FALSE)</f>
        <v>No</v>
      </c>
      <c r="AE653">
        <f>VLOOKUP($J653,'[1]Table S6'!$A:$AI,22,FALSE)</f>
        <v>383</v>
      </c>
      <c r="AF653">
        <f>VLOOKUP($J653,'[1]Table S6'!$A:$AI,23,FALSE)</f>
        <v>0.81506703553947701</v>
      </c>
      <c r="AG653">
        <f>VLOOKUP($J653,'[1]Table S6'!$A:$AI,24,FALSE)</f>
        <v>14.69</v>
      </c>
      <c r="AH653" t="str">
        <f>VLOOKUP($J653,'[1]Table S6'!$A:$AI,25,FALSE)</f>
        <v>No</v>
      </c>
      <c r="AJ653">
        <f>VLOOKUP($J653,'[1]Table S6'!$A:$AI,27,FALSE)</f>
        <v>422.6</v>
      </c>
      <c r="AK653">
        <f>VLOOKUP($J653,'[1]Table S6'!$A:$AI,28,FALSE)</f>
        <v>0.899340285167057</v>
      </c>
      <c r="AL653">
        <f>VLOOKUP($J653,'[1]Table S6'!$A:$AI,29,FALSE)</f>
        <v>90.72</v>
      </c>
      <c r="AM653" t="str">
        <f>VLOOKUP($J653,'[1]Table S6'!$A:$AI,30,FALSE)</f>
        <v>No</v>
      </c>
      <c r="AO653">
        <f>VLOOKUP($J653,'[1]Table S6'!$A:$AI,32,FALSE)</f>
        <v>433.8</v>
      </c>
      <c r="AP653">
        <f>VLOOKUP($J653,'[1]Table S6'!$A:$AI,33,FALSE)</f>
        <v>0.92317514364758502</v>
      </c>
      <c r="AQ653">
        <f>VLOOKUP($J653,'[1]Table S6'!$A:$AI,34,FALSE)</f>
        <v>110.2</v>
      </c>
      <c r="AR653" t="str">
        <f>VLOOKUP($J653,'[1]Table S6'!$A:$AI,35,FALSE)</f>
        <v>No</v>
      </c>
      <c r="AT653" t="e">
        <f>VLOOKUP($I653,'[2]Table S5'!$A:$K,8,FALSE)</f>
        <v>#N/A</v>
      </c>
      <c r="AU653" t="e">
        <f>VLOOKUP($I653,'[2]Table S5'!$A:$K,9,FALSE)</f>
        <v>#N/A</v>
      </c>
      <c r="AV653" t="e">
        <f>VLOOKUP($I653,'[2]Table S5'!$A:$K,10,FALSE)</f>
        <v>#N/A</v>
      </c>
      <c r="AW653" t="e">
        <f>VLOOKUP($I653,'[2]Table S5'!$A:$K,11,FALSE)</f>
        <v>#N/A</v>
      </c>
    </row>
    <row r="654" spans="1:49">
      <c r="A654" s="12" t="s">
        <v>4169</v>
      </c>
      <c r="B654" t="s">
        <v>4170</v>
      </c>
      <c r="C654" t="s">
        <v>4171</v>
      </c>
      <c r="D654" t="s">
        <v>17</v>
      </c>
      <c r="E654" t="s">
        <v>2053</v>
      </c>
      <c r="F654" s="12" t="s">
        <v>2054</v>
      </c>
      <c r="G654" t="s">
        <v>2055</v>
      </c>
      <c r="H654" t="s">
        <v>2056</v>
      </c>
      <c r="I654" t="s">
        <v>2041</v>
      </c>
      <c r="J654" t="s">
        <v>2042</v>
      </c>
      <c r="K654">
        <f>VLOOKUP($J654,'[1]Table S6'!$A:$AI,2,FALSE)</f>
        <v>359.6</v>
      </c>
      <c r="L654">
        <f>VLOOKUP($J654,'[1]Table S6'!$A:$AI,3,FALSE)</f>
        <v>0.765269206214088</v>
      </c>
      <c r="M654">
        <f>VLOOKUP($J654,'[1]Table S6'!$A:$AI,4,FALSE)</f>
        <v>6.2859999999999996</v>
      </c>
      <c r="N654" t="str">
        <f>VLOOKUP($J654,'[1]Table S6'!$A:$AI,5,FALSE)</f>
        <v>No</v>
      </c>
      <c r="P654">
        <f>VLOOKUP($J654,'[1]Table S6'!$A:$AI,7,FALSE)</f>
        <v>354.2</v>
      </c>
      <c r="Q654">
        <f>VLOOKUP($J654,'[1]Table S6'!$A:$AI,8,FALSE)</f>
        <v>0.75377739944669098</v>
      </c>
      <c r="R654">
        <f>VLOOKUP($J654,'[1]Table S6'!$A:$AI,9,FALSE)</f>
        <v>6.992</v>
      </c>
      <c r="S654" t="str">
        <f>VLOOKUP($J654,'[1]Table S6'!$A:$AI,10,FALSE)</f>
        <v>No</v>
      </c>
      <c r="U654">
        <f>VLOOKUP($J654,'[1]Table S6'!$A:$AI,12,FALSE)</f>
        <v>381.7</v>
      </c>
      <c r="V654">
        <f>VLOOKUP($J654,'[1]Table S6'!$A:$AI,13,FALSE)</f>
        <v>0.81230048946584399</v>
      </c>
      <c r="W654">
        <f>VLOOKUP($J654,'[1]Table S6'!$A:$AI,14,FALSE)</f>
        <v>8.7309999999999999</v>
      </c>
      <c r="X654" t="str">
        <f>VLOOKUP($J654,'[1]Table S6'!$A:$AI,15,FALSE)</f>
        <v>No</v>
      </c>
      <c r="Z654">
        <f>VLOOKUP($J654,'[1]Table S6'!$A:$AI,17,FALSE)</f>
        <v>395.2</v>
      </c>
      <c r="AA654">
        <f>VLOOKUP($J654,'[1]Table S6'!$A:$AI,18,FALSE)</f>
        <v>0.841030006384337</v>
      </c>
      <c r="AB654">
        <f>VLOOKUP($J654,'[1]Table S6'!$A:$AI,19,FALSE)</f>
        <v>24.62</v>
      </c>
      <c r="AC654" t="str">
        <f>VLOOKUP($J654,'[1]Table S6'!$A:$AI,20,FALSE)</f>
        <v>No</v>
      </c>
      <c r="AE654">
        <f>VLOOKUP($J654,'[1]Table S6'!$A:$AI,22,FALSE)</f>
        <v>383</v>
      </c>
      <c r="AF654">
        <f>VLOOKUP($J654,'[1]Table S6'!$A:$AI,23,FALSE)</f>
        <v>0.81506703553947701</v>
      </c>
      <c r="AG654">
        <f>VLOOKUP($J654,'[1]Table S6'!$A:$AI,24,FALSE)</f>
        <v>14.69</v>
      </c>
      <c r="AH654" t="str">
        <f>VLOOKUP($J654,'[1]Table S6'!$A:$AI,25,FALSE)</f>
        <v>No</v>
      </c>
      <c r="AJ654">
        <f>VLOOKUP($J654,'[1]Table S6'!$A:$AI,27,FALSE)</f>
        <v>422.6</v>
      </c>
      <c r="AK654">
        <f>VLOOKUP($J654,'[1]Table S6'!$A:$AI,28,FALSE)</f>
        <v>0.899340285167057</v>
      </c>
      <c r="AL654">
        <f>VLOOKUP($J654,'[1]Table S6'!$A:$AI,29,FALSE)</f>
        <v>90.72</v>
      </c>
      <c r="AM654" t="str">
        <f>VLOOKUP($J654,'[1]Table S6'!$A:$AI,30,FALSE)</f>
        <v>No</v>
      </c>
      <c r="AO654">
        <f>VLOOKUP($J654,'[1]Table S6'!$A:$AI,32,FALSE)</f>
        <v>433.8</v>
      </c>
      <c r="AP654">
        <f>VLOOKUP($J654,'[1]Table S6'!$A:$AI,33,FALSE)</f>
        <v>0.92317514364758502</v>
      </c>
      <c r="AQ654">
        <f>VLOOKUP($J654,'[1]Table S6'!$A:$AI,34,FALSE)</f>
        <v>110.2</v>
      </c>
      <c r="AR654" t="str">
        <f>VLOOKUP($J654,'[1]Table S6'!$A:$AI,35,FALSE)</f>
        <v>No</v>
      </c>
      <c r="AT654" t="e">
        <f>VLOOKUP($I654,'[2]Table S5'!$A:$K,8,FALSE)</f>
        <v>#N/A</v>
      </c>
      <c r="AU654" t="e">
        <f>VLOOKUP($I654,'[2]Table S5'!$A:$K,9,FALSE)</f>
        <v>#N/A</v>
      </c>
      <c r="AV654" t="e">
        <f>VLOOKUP($I654,'[2]Table S5'!$A:$K,10,FALSE)</f>
        <v>#N/A</v>
      </c>
      <c r="AW654" t="e">
        <f>VLOOKUP($I654,'[2]Table S5'!$A:$K,11,FALSE)</f>
        <v>#N/A</v>
      </c>
    </row>
    <row r="655" spans="1:49">
      <c r="A655" s="12" t="s">
        <v>4172</v>
      </c>
      <c r="B655" t="s">
        <v>4173</v>
      </c>
      <c r="C655" t="s">
        <v>4174</v>
      </c>
      <c r="D655" t="s">
        <v>17</v>
      </c>
      <c r="E655" t="s">
        <v>2060</v>
      </c>
      <c r="F655" s="12" t="s">
        <v>2061</v>
      </c>
      <c r="G655" t="s">
        <v>2062</v>
      </c>
      <c r="H655" t="s">
        <v>2063</v>
      </c>
      <c r="I655" t="s">
        <v>2041</v>
      </c>
      <c r="J655" t="s">
        <v>2042</v>
      </c>
      <c r="K655">
        <f>VLOOKUP($J655,'[1]Table S6'!$A:$AI,2,FALSE)</f>
        <v>359.6</v>
      </c>
      <c r="L655">
        <f>VLOOKUP($J655,'[1]Table S6'!$A:$AI,3,FALSE)</f>
        <v>0.765269206214088</v>
      </c>
      <c r="M655">
        <f>VLOOKUP($J655,'[1]Table S6'!$A:$AI,4,FALSE)</f>
        <v>6.2859999999999996</v>
      </c>
      <c r="N655" t="str">
        <f>VLOOKUP($J655,'[1]Table S6'!$A:$AI,5,FALSE)</f>
        <v>No</v>
      </c>
      <c r="P655">
        <f>VLOOKUP($J655,'[1]Table S6'!$A:$AI,7,FALSE)</f>
        <v>354.2</v>
      </c>
      <c r="Q655">
        <f>VLOOKUP($J655,'[1]Table S6'!$A:$AI,8,FALSE)</f>
        <v>0.75377739944669098</v>
      </c>
      <c r="R655">
        <f>VLOOKUP($J655,'[1]Table S6'!$A:$AI,9,FALSE)</f>
        <v>6.992</v>
      </c>
      <c r="S655" t="str">
        <f>VLOOKUP($J655,'[1]Table S6'!$A:$AI,10,FALSE)</f>
        <v>No</v>
      </c>
      <c r="U655">
        <f>VLOOKUP($J655,'[1]Table S6'!$A:$AI,12,FALSE)</f>
        <v>381.7</v>
      </c>
      <c r="V655">
        <f>VLOOKUP($J655,'[1]Table S6'!$A:$AI,13,FALSE)</f>
        <v>0.81230048946584399</v>
      </c>
      <c r="W655">
        <f>VLOOKUP($J655,'[1]Table S6'!$A:$AI,14,FALSE)</f>
        <v>8.7309999999999999</v>
      </c>
      <c r="X655" t="str">
        <f>VLOOKUP($J655,'[1]Table S6'!$A:$AI,15,FALSE)</f>
        <v>No</v>
      </c>
      <c r="Z655">
        <f>VLOOKUP($J655,'[1]Table S6'!$A:$AI,17,FALSE)</f>
        <v>395.2</v>
      </c>
      <c r="AA655">
        <f>VLOOKUP($J655,'[1]Table S6'!$A:$AI,18,FALSE)</f>
        <v>0.841030006384337</v>
      </c>
      <c r="AB655">
        <f>VLOOKUP($J655,'[1]Table S6'!$A:$AI,19,FALSE)</f>
        <v>24.62</v>
      </c>
      <c r="AC655" t="str">
        <f>VLOOKUP($J655,'[1]Table S6'!$A:$AI,20,FALSE)</f>
        <v>No</v>
      </c>
      <c r="AE655">
        <f>VLOOKUP($J655,'[1]Table S6'!$A:$AI,22,FALSE)</f>
        <v>383</v>
      </c>
      <c r="AF655">
        <f>VLOOKUP($J655,'[1]Table S6'!$A:$AI,23,FALSE)</f>
        <v>0.81506703553947701</v>
      </c>
      <c r="AG655">
        <f>VLOOKUP($J655,'[1]Table S6'!$A:$AI,24,FALSE)</f>
        <v>14.69</v>
      </c>
      <c r="AH655" t="str">
        <f>VLOOKUP($J655,'[1]Table S6'!$A:$AI,25,FALSE)</f>
        <v>No</v>
      </c>
      <c r="AJ655">
        <f>VLOOKUP($J655,'[1]Table S6'!$A:$AI,27,FALSE)</f>
        <v>422.6</v>
      </c>
      <c r="AK655">
        <f>VLOOKUP($J655,'[1]Table S6'!$A:$AI,28,FALSE)</f>
        <v>0.899340285167057</v>
      </c>
      <c r="AL655">
        <f>VLOOKUP($J655,'[1]Table S6'!$A:$AI,29,FALSE)</f>
        <v>90.72</v>
      </c>
      <c r="AM655" t="str">
        <f>VLOOKUP($J655,'[1]Table S6'!$A:$AI,30,FALSE)</f>
        <v>No</v>
      </c>
      <c r="AO655">
        <f>VLOOKUP($J655,'[1]Table S6'!$A:$AI,32,FALSE)</f>
        <v>433.8</v>
      </c>
      <c r="AP655">
        <f>VLOOKUP($J655,'[1]Table S6'!$A:$AI,33,FALSE)</f>
        <v>0.92317514364758502</v>
      </c>
      <c r="AQ655">
        <f>VLOOKUP($J655,'[1]Table S6'!$A:$AI,34,FALSE)</f>
        <v>110.2</v>
      </c>
      <c r="AR655" t="str">
        <f>VLOOKUP($J655,'[1]Table S6'!$A:$AI,35,FALSE)</f>
        <v>No</v>
      </c>
      <c r="AT655" t="e">
        <f>VLOOKUP($I655,'[2]Table S5'!$A:$K,8,FALSE)</f>
        <v>#N/A</v>
      </c>
      <c r="AU655" t="e">
        <f>VLOOKUP($I655,'[2]Table S5'!$A:$K,9,FALSE)</f>
        <v>#N/A</v>
      </c>
      <c r="AV655" t="e">
        <f>VLOOKUP($I655,'[2]Table S5'!$A:$K,10,FALSE)</f>
        <v>#N/A</v>
      </c>
      <c r="AW655" t="e">
        <f>VLOOKUP($I655,'[2]Table S5'!$A:$K,11,FALSE)</f>
        <v>#N/A</v>
      </c>
    </row>
    <row r="656" spans="1:49">
      <c r="A656" s="12" t="s">
        <v>4175</v>
      </c>
      <c r="B656" t="s">
        <v>4176</v>
      </c>
      <c r="C656" t="s">
        <v>4177</v>
      </c>
      <c r="D656" t="s">
        <v>17</v>
      </c>
      <c r="E656" t="s">
        <v>4178</v>
      </c>
      <c r="F656" s="12" t="s">
        <v>4179</v>
      </c>
      <c r="G656" t="s">
        <v>4180</v>
      </c>
      <c r="H656" t="s">
        <v>4181</v>
      </c>
      <c r="I656" t="s">
        <v>4182</v>
      </c>
      <c r="J656" t="s">
        <v>4183</v>
      </c>
      <c r="K656">
        <f>VLOOKUP($J656,'[1]Table S6'!$A:$AI,2,FALSE)</f>
        <v>315.89999999999998</v>
      </c>
      <c r="L656">
        <f>VLOOKUP($J656,'[1]Table S6'!$A:$AI,3,FALSE)</f>
        <v>0.67227069589274302</v>
      </c>
      <c r="M656">
        <f>VLOOKUP($J656,'[1]Table S6'!$A:$AI,4,FALSE)</f>
        <v>2.7309999999999999</v>
      </c>
      <c r="N656" t="str">
        <f>VLOOKUP($J656,'[1]Table S6'!$A:$AI,5,FALSE)</f>
        <v>Yes</v>
      </c>
      <c r="P656">
        <f>VLOOKUP($J656,'[1]Table S6'!$A:$AI,7,FALSE)</f>
        <v>328.5</v>
      </c>
      <c r="Q656">
        <f>VLOOKUP($J656,'[1]Table S6'!$A:$AI,8,FALSE)</f>
        <v>0.69908491168333697</v>
      </c>
      <c r="R656">
        <f>VLOOKUP($J656,'[1]Table S6'!$A:$AI,9,FALSE)</f>
        <v>2.7949999999999999</v>
      </c>
      <c r="S656" t="str">
        <f>VLOOKUP($J656,'[1]Table S6'!$A:$AI,10,FALSE)</f>
        <v>No</v>
      </c>
      <c r="U656">
        <f>VLOOKUP($J656,'[1]Table S6'!$A:$AI,12,FALSE)</f>
        <v>358.1</v>
      </c>
      <c r="V656">
        <f>VLOOKUP($J656,'[1]Table S6'!$A:$AI,13,FALSE)</f>
        <v>0.76207703766758905</v>
      </c>
      <c r="W656">
        <f>VLOOKUP($J656,'[1]Table S6'!$A:$AI,14,FALSE)</f>
        <v>5.8789999999999996</v>
      </c>
      <c r="X656" t="str">
        <f>VLOOKUP($J656,'[1]Table S6'!$A:$AI,15,FALSE)</f>
        <v>No</v>
      </c>
      <c r="Z656">
        <f>VLOOKUP($J656,'[1]Table S6'!$A:$AI,17,FALSE)</f>
        <v>347.6</v>
      </c>
      <c r="AA656">
        <f>VLOOKUP($J656,'[1]Table S6'!$A:$AI,18,FALSE)</f>
        <v>0.73973185784209405</v>
      </c>
      <c r="AB656">
        <f>VLOOKUP($J656,'[1]Table S6'!$A:$AI,19,FALSE)</f>
        <v>4.5999999999999996</v>
      </c>
      <c r="AC656" t="str">
        <f>VLOOKUP($J656,'[1]Table S6'!$A:$AI,20,FALSE)</f>
        <v>No</v>
      </c>
      <c r="AE656">
        <f>VLOOKUP($J656,'[1]Table S6'!$A:$AI,22,FALSE)</f>
        <v>365.9</v>
      </c>
      <c r="AF656">
        <f>VLOOKUP($J656,'[1]Table S6'!$A:$AI,23,FALSE)</f>
        <v>0.77867631410938498</v>
      </c>
      <c r="AG656">
        <f>VLOOKUP($J656,'[1]Table S6'!$A:$AI,24,FALSE)</f>
        <v>12.4</v>
      </c>
      <c r="AH656" t="str">
        <f>VLOOKUP($J656,'[1]Table S6'!$A:$AI,25,FALSE)</f>
        <v>No</v>
      </c>
      <c r="AJ656">
        <f>VLOOKUP($J656,'[1]Table S6'!$A:$AI,27,FALSE)</f>
        <v>389</v>
      </c>
      <c r="AK656">
        <f>VLOOKUP($J656,'[1]Table S6'!$A:$AI,28,FALSE)</f>
        <v>0.82783570972547305</v>
      </c>
      <c r="AL656">
        <f>VLOOKUP($J656,'[1]Table S6'!$A:$AI,29,FALSE)</f>
        <v>18.02</v>
      </c>
      <c r="AM656" t="str">
        <f>VLOOKUP($J656,'[1]Table S6'!$A:$AI,30,FALSE)</f>
        <v>No</v>
      </c>
      <c r="AO656">
        <f>VLOOKUP($J656,'[1]Table S6'!$A:$AI,32,FALSE)</f>
        <v>410.6</v>
      </c>
      <c r="AP656">
        <f>VLOOKUP($J656,'[1]Table S6'!$A:$AI,33,FALSE)</f>
        <v>0.87380293679506305</v>
      </c>
      <c r="AQ656">
        <f>VLOOKUP($J656,'[1]Table S6'!$A:$AI,34,FALSE)</f>
        <v>21.91</v>
      </c>
      <c r="AR656" t="str">
        <f>VLOOKUP($J656,'[1]Table S6'!$A:$AI,35,FALSE)</f>
        <v>No</v>
      </c>
      <c r="AT656" t="e">
        <f>VLOOKUP($I656,'[2]Table S5'!$A:$K,8,FALSE)</f>
        <v>#N/A</v>
      </c>
      <c r="AU656" t="e">
        <f>VLOOKUP($I656,'[2]Table S5'!$A:$K,9,FALSE)</f>
        <v>#N/A</v>
      </c>
      <c r="AV656" t="e">
        <f>VLOOKUP($I656,'[2]Table S5'!$A:$K,10,FALSE)</f>
        <v>#N/A</v>
      </c>
      <c r="AW656" t="e">
        <f>VLOOKUP($I656,'[2]Table S5'!$A:$K,11,FALSE)</f>
        <v>#N/A</v>
      </c>
    </row>
    <row r="657" spans="1:49">
      <c r="A657" s="12" t="s">
        <v>4184</v>
      </c>
      <c r="B657" t="s">
        <v>4185</v>
      </c>
      <c r="C657" t="s">
        <v>4186</v>
      </c>
      <c r="D657" t="s">
        <v>17</v>
      </c>
      <c r="E657" t="s">
        <v>2075</v>
      </c>
      <c r="F657" s="12" t="s">
        <v>2076</v>
      </c>
      <c r="G657" t="s">
        <v>2077</v>
      </c>
      <c r="H657" t="s">
        <v>2078</v>
      </c>
      <c r="I657" t="s">
        <v>2071</v>
      </c>
      <c r="J657" t="s">
        <v>2071</v>
      </c>
      <c r="K657" t="e">
        <f>VLOOKUP($J657,'[1]Table S6'!$A:$AI,2,FALSE)</f>
        <v>#N/A</v>
      </c>
      <c r="L657" t="e">
        <f>VLOOKUP($J657,'[1]Table S6'!$A:$AI,3,FALSE)</f>
        <v>#N/A</v>
      </c>
      <c r="M657" t="e">
        <f>VLOOKUP($J657,'[1]Table S6'!$A:$AI,4,FALSE)</f>
        <v>#N/A</v>
      </c>
      <c r="N657" t="e">
        <f>VLOOKUP($J657,'[1]Table S6'!$A:$AI,5,FALSE)</f>
        <v>#N/A</v>
      </c>
      <c r="P657" t="e">
        <f>VLOOKUP($J657,'[1]Table S6'!$A:$AI,7,FALSE)</f>
        <v>#N/A</v>
      </c>
      <c r="Q657" t="e">
        <f>VLOOKUP($J657,'[1]Table S6'!$A:$AI,8,FALSE)</f>
        <v>#N/A</v>
      </c>
      <c r="R657" t="e">
        <f>VLOOKUP($J657,'[1]Table S6'!$A:$AI,9,FALSE)</f>
        <v>#N/A</v>
      </c>
      <c r="S657" t="e">
        <f>VLOOKUP($J657,'[1]Table S6'!$A:$AI,10,FALSE)</f>
        <v>#N/A</v>
      </c>
      <c r="U657" t="e">
        <f>VLOOKUP($J657,'[1]Table S6'!$A:$AI,12,FALSE)</f>
        <v>#N/A</v>
      </c>
      <c r="V657" t="e">
        <f>VLOOKUP($J657,'[1]Table S6'!$A:$AI,13,FALSE)</f>
        <v>#N/A</v>
      </c>
      <c r="W657" t="e">
        <f>VLOOKUP($J657,'[1]Table S6'!$A:$AI,14,FALSE)</f>
        <v>#N/A</v>
      </c>
      <c r="X657" t="e">
        <f>VLOOKUP($J657,'[1]Table S6'!$A:$AI,15,FALSE)</f>
        <v>#N/A</v>
      </c>
      <c r="Z657" t="e">
        <f>VLOOKUP($J657,'[1]Table S6'!$A:$AI,17,FALSE)</f>
        <v>#N/A</v>
      </c>
      <c r="AA657" t="e">
        <f>VLOOKUP($J657,'[1]Table S6'!$A:$AI,18,FALSE)</f>
        <v>#N/A</v>
      </c>
      <c r="AB657" t="e">
        <f>VLOOKUP($J657,'[1]Table S6'!$A:$AI,19,FALSE)</f>
        <v>#N/A</v>
      </c>
      <c r="AC657" t="e">
        <f>VLOOKUP($J657,'[1]Table S6'!$A:$AI,20,FALSE)</f>
        <v>#N/A</v>
      </c>
      <c r="AE657" t="e">
        <f>VLOOKUP($J657,'[1]Table S6'!$A:$AI,22,FALSE)</f>
        <v>#N/A</v>
      </c>
      <c r="AF657" t="e">
        <f>VLOOKUP($J657,'[1]Table S6'!$A:$AI,23,FALSE)</f>
        <v>#N/A</v>
      </c>
      <c r="AG657" t="e">
        <f>VLOOKUP($J657,'[1]Table S6'!$A:$AI,24,FALSE)</f>
        <v>#N/A</v>
      </c>
      <c r="AH657" t="e">
        <f>VLOOKUP($J657,'[1]Table S6'!$A:$AI,25,FALSE)</f>
        <v>#N/A</v>
      </c>
      <c r="AJ657" t="e">
        <f>VLOOKUP($J657,'[1]Table S6'!$A:$AI,27,FALSE)</f>
        <v>#N/A</v>
      </c>
      <c r="AK657" t="e">
        <f>VLOOKUP($J657,'[1]Table S6'!$A:$AI,28,FALSE)</f>
        <v>#N/A</v>
      </c>
      <c r="AL657" t="e">
        <f>VLOOKUP($J657,'[1]Table S6'!$A:$AI,29,FALSE)</f>
        <v>#N/A</v>
      </c>
      <c r="AM657" t="e">
        <f>VLOOKUP($J657,'[1]Table S6'!$A:$AI,30,FALSE)</f>
        <v>#N/A</v>
      </c>
      <c r="AO657" t="e">
        <f>VLOOKUP($J657,'[1]Table S6'!$A:$AI,32,FALSE)</f>
        <v>#N/A</v>
      </c>
      <c r="AP657" t="e">
        <f>VLOOKUP($J657,'[1]Table S6'!$A:$AI,33,FALSE)</f>
        <v>#N/A</v>
      </c>
      <c r="AQ657" t="e">
        <f>VLOOKUP($J657,'[1]Table S6'!$A:$AI,34,FALSE)</f>
        <v>#N/A</v>
      </c>
      <c r="AR657" t="e">
        <f>VLOOKUP($J657,'[1]Table S6'!$A:$AI,35,FALSE)</f>
        <v>#N/A</v>
      </c>
      <c r="AT657" t="e">
        <f>VLOOKUP($I657,'[2]Table S5'!$A:$K,8,FALSE)</f>
        <v>#N/A</v>
      </c>
      <c r="AU657" t="e">
        <f>VLOOKUP($I657,'[2]Table S5'!$A:$K,9,FALSE)</f>
        <v>#N/A</v>
      </c>
      <c r="AV657" t="e">
        <f>VLOOKUP($I657,'[2]Table S5'!$A:$K,10,FALSE)</f>
        <v>#N/A</v>
      </c>
      <c r="AW657" t="e">
        <f>VLOOKUP($I657,'[2]Table S5'!$A:$K,11,FALSE)</f>
        <v>#N/A</v>
      </c>
    </row>
    <row r="658" spans="1:49">
      <c r="A658" s="12" t="s">
        <v>4187</v>
      </c>
      <c r="B658" t="s">
        <v>4188</v>
      </c>
      <c r="C658" t="s">
        <v>4189</v>
      </c>
      <c r="D658" t="s">
        <v>17</v>
      </c>
      <c r="E658" t="s">
        <v>2090</v>
      </c>
      <c r="F658" s="12" t="s">
        <v>2091</v>
      </c>
      <c r="G658" t="s">
        <v>2092</v>
      </c>
      <c r="H658" t="s">
        <v>2093</v>
      </c>
      <c r="I658" t="s">
        <v>2086</v>
      </c>
      <c r="J658" t="s">
        <v>2086</v>
      </c>
      <c r="K658" t="e">
        <f>VLOOKUP($J658,'[1]Table S6'!$A:$AI,2,FALSE)</f>
        <v>#N/A</v>
      </c>
      <c r="L658" t="e">
        <f>VLOOKUP($J658,'[1]Table S6'!$A:$AI,3,FALSE)</f>
        <v>#N/A</v>
      </c>
      <c r="M658" t="e">
        <f>VLOOKUP($J658,'[1]Table S6'!$A:$AI,4,FALSE)</f>
        <v>#N/A</v>
      </c>
      <c r="N658" t="e">
        <f>VLOOKUP($J658,'[1]Table S6'!$A:$AI,5,FALSE)</f>
        <v>#N/A</v>
      </c>
      <c r="P658" t="e">
        <f>VLOOKUP($J658,'[1]Table S6'!$A:$AI,7,FALSE)</f>
        <v>#N/A</v>
      </c>
      <c r="Q658" t="e">
        <f>VLOOKUP($J658,'[1]Table S6'!$A:$AI,8,FALSE)</f>
        <v>#N/A</v>
      </c>
      <c r="R658" t="e">
        <f>VLOOKUP($J658,'[1]Table S6'!$A:$AI,9,FALSE)</f>
        <v>#N/A</v>
      </c>
      <c r="S658" t="e">
        <f>VLOOKUP($J658,'[1]Table S6'!$A:$AI,10,FALSE)</f>
        <v>#N/A</v>
      </c>
      <c r="U658" t="e">
        <f>VLOOKUP($J658,'[1]Table S6'!$A:$AI,12,FALSE)</f>
        <v>#N/A</v>
      </c>
      <c r="V658" t="e">
        <f>VLOOKUP($J658,'[1]Table S6'!$A:$AI,13,FALSE)</f>
        <v>#N/A</v>
      </c>
      <c r="W658" t="e">
        <f>VLOOKUP($J658,'[1]Table S6'!$A:$AI,14,FALSE)</f>
        <v>#N/A</v>
      </c>
      <c r="X658" t="e">
        <f>VLOOKUP($J658,'[1]Table S6'!$A:$AI,15,FALSE)</f>
        <v>#N/A</v>
      </c>
      <c r="Z658" t="e">
        <f>VLOOKUP($J658,'[1]Table S6'!$A:$AI,17,FALSE)</f>
        <v>#N/A</v>
      </c>
      <c r="AA658" t="e">
        <f>VLOOKUP($J658,'[1]Table S6'!$A:$AI,18,FALSE)</f>
        <v>#N/A</v>
      </c>
      <c r="AB658" t="e">
        <f>VLOOKUP($J658,'[1]Table S6'!$A:$AI,19,FALSE)</f>
        <v>#N/A</v>
      </c>
      <c r="AC658" t="e">
        <f>VLOOKUP($J658,'[1]Table S6'!$A:$AI,20,FALSE)</f>
        <v>#N/A</v>
      </c>
      <c r="AE658" t="e">
        <f>VLOOKUP($J658,'[1]Table S6'!$A:$AI,22,FALSE)</f>
        <v>#N/A</v>
      </c>
      <c r="AF658" t="e">
        <f>VLOOKUP($J658,'[1]Table S6'!$A:$AI,23,FALSE)</f>
        <v>#N/A</v>
      </c>
      <c r="AG658" t="e">
        <f>VLOOKUP($J658,'[1]Table S6'!$A:$AI,24,FALSE)</f>
        <v>#N/A</v>
      </c>
      <c r="AH658" t="e">
        <f>VLOOKUP($J658,'[1]Table S6'!$A:$AI,25,FALSE)</f>
        <v>#N/A</v>
      </c>
      <c r="AJ658" t="e">
        <f>VLOOKUP($J658,'[1]Table S6'!$A:$AI,27,FALSE)</f>
        <v>#N/A</v>
      </c>
      <c r="AK658" t="e">
        <f>VLOOKUP($J658,'[1]Table S6'!$A:$AI,28,FALSE)</f>
        <v>#N/A</v>
      </c>
      <c r="AL658" t="e">
        <f>VLOOKUP($J658,'[1]Table S6'!$A:$AI,29,FALSE)</f>
        <v>#N/A</v>
      </c>
      <c r="AM658" t="e">
        <f>VLOOKUP($J658,'[1]Table S6'!$A:$AI,30,FALSE)</f>
        <v>#N/A</v>
      </c>
      <c r="AO658" t="e">
        <f>VLOOKUP($J658,'[1]Table S6'!$A:$AI,32,FALSE)</f>
        <v>#N/A</v>
      </c>
      <c r="AP658" t="e">
        <f>VLOOKUP($J658,'[1]Table S6'!$A:$AI,33,FALSE)</f>
        <v>#N/A</v>
      </c>
      <c r="AQ658" t="e">
        <f>VLOOKUP($J658,'[1]Table S6'!$A:$AI,34,FALSE)</f>
        <v>#N/A</v>
      </c>
      <c r="AR658" t="e">
        <f>VLOOKUP($J658,'[1]Table S6'!$A:$AI,35,FALSE)</f>
        <v>#N/A</v>
      </c>
      <c r="AT658" t="e">
        <f>VLOOKUP($I658,'[2]Table S5'!$A:$K,8,FALSE)</f>
        <v>#N/A</v>
      </c>
      <c r="AU658" t="e">
        <f>VLOOKUP($I658,'[2]Table S5'!$A:$K,9,FALSE)</f>
        <v>#N/A</v>
      </c>
      <c r="AV658" t="e">
        <f>VLOOKUP($I658,'[2]Table S5'!$A:$K,10,FALSE)</f>
        <v>#N/A</v>
      </c>
      <c r="AW658" t="e">
        <f>VLOOKUP($I658,'[2]Table S5'!$A:$K,11,FALSE)</f>
        <v>#N/A</v>
      </c>
    </row>
    <row r="659" spans="1:49">
      <c r="A659" s="12" t="s">
        <v>4190</v>
      </c>
      <c r="B659" t="s">
        <v>4191</v>
      </c>
      <c r="C659" t="s">
        <v>4192</v>
      </c>
      <c r="D659" t="s">
        <v>17</v>
      </c>
      <c r="E659" t="s">
        <v>2105</v>
      </c>
      <c r="F659" s="12" t="s">
        <v>2106</v>
      </c>
      <c r="G659" t="s">
        <v>2107</v>
      </c>
      <c r="H659" t="s">
        <v>2108</v>
      </c>
      <c r="I659" t="s">
        <v>2101</v>
      </c>
      <c r="J659" t="s">
        <v>2101</v>
      </c>
      <c r="K659" t="e">
        <f>VLOOKUP($J659,'[1]Table S6'!$A:$AI,2,FALSE)</f>
        <v>#N/A</v>
      </c>
      <c r="L659" t="e">
        <f>VLOOKUP($J659,'[1]Table S6'!$A:$AI,3,FALSE)</f>
        <v>#N/A</v>
      </c>
      <c r="M659" t="e">
        <f>VLOOKUP($J659,'[1]Table S6'!$A:$AI,4,FALSE)</f>
        <v>#N/A</v>
      </c>
      <c r="N659" t="e">
        <f>VLOOKUP($J659,'[1]Table S6'!$A:$AI,5,FALSE)</f>
        <v>#N/A</v>
      </c>
      <c r="P659" t="e">
        <f>VLOOKUP($J659,'[1]Table S6'!$A:$AI,7,FALSE)</f>
        <v>#N/A</v>
      </c>
      <c r="Q659" t="e">
        <f>VLOOKUP($J659,'[1]Table S6'!$A:$AI,8,FALSE)</f>
        <v>#N/A</v>
      </c>
      <c r="R659" t="e">
        <f>VLOOKUP($J659,'[1]Table S6'!$A:$AI,9,FALSE)</f>
        <v>#N/A</v>
      </c>
      <c r="S659" t="e">
        <f>VLOOKUP($J659,'[1]Table S6'!$A:$AI,10,FALSE)</f>
        <v>#N/A</v>
      </c>
      <c r="U659" t="e">
        <f>VLOOKUP($J659,'[1]Table S6'!$A:$AI,12,FALSE)</f>
        <v>#N/A</v>
      </c>
      <c r="V659" t="e">
        <f>VLOOKUP($J659,'[1]Table S6'!$A:$AI,13,FALSE)</f>
        <v>#N/A</v>
      </c>
      <c r="W659" t="e">
        <f>VLOOKUP($J659,'[1]Table S6'!$A:$AI,14,FALSE)</f>
        <v>#N/A</v>
      </c>
      <c r="X659" t="e">
        <f>VLOOKUP($J659,'[1]Table S6'!$A:$AI,15,FALSE)</f>
        <v>#N/A</v>
      </c>
      <c r="Z659" t="e">
        <f>VLOOKUP($J659,'[1]Table S6'!$A:$AI,17,FALSE)</f>
        <v>#N/A</v>
      </c>
      <c r="AA659" t="e">
        <f>VLOOKUP($J659,'[1]Table S6'!$A:$AI,18,FALSE)</f>
        <v>#N/A</v>
      </c>
      <c r="AB659" t="e">
        <f>VLOOKUP($J659,'[1]Table S6'!$A:$AI,19,FALSE)</f>
        <v>#N/A</v>
      </c>
      <c r="AC659" t="e">
        <f>VLOOKUP($J659,'[1]Table S6'!$A:$AI,20,FALSE)</f>
        <v>#N/A</v>
      </c>
      <c r="AE659" t="e">
        <f>VLOOKUP($J659,'[1]Table S6'!$A:$AI,22,FALSE)</f>
        <v>#N/A</v>
      </c>
      <c r="AF659" t="e">
        <f>VLOOKUP($J659,'[1]Table S6'!$A:$AI,23,FALSE)</f>
        <v>#N/A</v>
      </c>
      <c r="AG659" t="e">
        <f>VLOOKUP($J659,'[1]Table S6'!$A:$AI,24,FALSE)</f>
        <v>#N/A</v>
      </c>
      <c r="AH659" t="e">
        <f>VLOOKUP($J659,'[1]Table S6'!$A:$AI,25,FALSE)</f>
        <v>#N/A</v>
      </c>
      <c r="AJ659" t="e">
        <f>VLOOKUP($J659,'[1]Table S6'!$A:$AI,27,FALSE)</f>
        <v>#N/A</v>
      </c>
      <c r="AK659" t="e">
        <f>VLOOKUP($J659,'[1]Table S6'!$A:$AI,28,FALSE)</f>
        <v>#N/A</v>
      </c>
      <c r="AL659" t="e">
        <f>VLOOKUP($J659,'[1]Table S6'!$A:$AI,29,FALSE)</f>
        <v>#N/A</v>
      </c>
      <c r="AM659" t="e">
        <f>VLOOKUP($J659,'[1]Table S6'!$A:$AI,30,FALSE)</f>
        <v>#N/A</v>
      </c>
      <c r="AO659" t="e">
        <f>VLOOKUP($J659,'[1]Table S6'!$A:$AI,32,FALSE)</f>
        <v>#N/A</v>
      </c>
      <c r="AP659" t="e">
        <f>VLOOKUP($J659,'[1]Table S6'!$A:$AI,33,FALSE)</f>
        <v>#N/A</v>
      </c>
      <c r="AQ659" t="e">
        <f>VLOOKUP($J659,'[1]Table S6'!$A:$AI,34,FALSE)</f>
        <v>#N/A</v>
      </c>
      <c r="AR659" t="e">
        <f>VLOOKUP($J659,'[1]Table S6'!$A:$AI,35,FALSE)</f>
        <v>#N/A</v>
      </c>
      <c r="AT659" t="e">
        <f>VLOOKUP($I659,'[2]Table S5'!$A:$K,8,FALSE)</f>
        <v>#N/A</v>
      </c>
      <c r="AU659" t="e">
        <f>VLOOKUP($I659,'[2]Table S5'!$A:$K,9,FALSE)</f>
        <v>#N/A</v>
      </c>
      <c r="AV659" t="e">
        <f>VLOOKUP($I659,'[2]Table S5'!$A:$K,10,FALSE)</f>
        <v>#N/A</v>
      </c>
      <c r="AW659" t="e">
        <f>VLOOKUP($I659,'[2]Table S5'!$A:$K,11,FALSE)</f>
        <v>#N/A</v>
      </c>
    </row>
    <row r="660" spans="1:49">
      <c r="A660" s="12" t="s">
        <v>4193</v>
      </c>
      <c r="B660" t="s">
        <v>4194</v>
      </c>
      <c r="C660" t="s">
        <v>4195</v>
      </c>
      <c r="D660" t="s">
        <v>17</v>
      </c>
      <c r="E660" t="s">
        <v>2112</v>
      </c>
      <c r="F660" s="12" t="s">
        <v>2113</v>
      </c>
      <c r="G660" t="s">
        <v>2114</v>
      </c>
      <c r="H660" t="s">
        <v>2115</v>
      </c>
      <c r="I660" t="s">
        <v>2116</v>
      </c>
      <c r="J660" t="s">
        <v>2116</v>
      </c>
      <c r="K660" t="e">
        <f>VLOOKUP($J660,'[1]Table S6'!$A:$AI,2,FALSE)</f>
        <v>#N/A</v>
      </c>
      <c r="L660" t="e">
        <f>VLOOKUP($J660,'[1]Table S6'!$A:$AI,3,FALSE)</f>
        <v>#N/A</v>
      </c>
      <c r="M660" t="e">
        <f>VLOOKUP($J660,'[1]Table S6'!$A:$AI,4,FALSE)</f>
        <v>#N/A</v>
      </c>
      <c r="N660" t="e">
        <f>VLOOKUP($J660,'[1]Table S6'!$A:$AI,5,FALSE)</f>
        <v>#N/A</v>
      </c>
      <c r="P660" t="e">
        <f>VLOOKUP($J660,'[1]Table S6'!$A:$AI,7,FALSE)</f>
        <v>#N/A</v>
      </c>
      <c r="Q660" t="e">
        <f>VLOOKUP($J660,'[1]Table S6'!$A:$AI,8,FALSE)</f>
        <v>#N/A</v>
      </c>
      <c r="R660" t="e">
        <f>VLOOKUP($J660,'[1]Table S6'!$A:$AI,9,FALSE)</f>
        <v>#N/A</v>
      </c>
      <c r="S660" t="e">
        <f>VLOOKUP($J660,'[1]Table S6'!$A:$AI,10,FALSE)</f>
        <v>#N/A</v>
      </c>
      <c r="U660" t="e">
        <f>VLOOKUP($J660,'[1]Table S6'!$A:$AI,12,FALSE)</f>
        <v>#N/A</v>
      </c>
      <c r="V660" t="e">
        <f>VLOOKUP($J660,'[1]Table S6'!$A:$AI,13,FALSE)</f>
        <v>#N/A</v>
      </c>
      <c r="W660" t="e">
        <f>VLOOKUP($J660,'[1]Table S6'!$A:$AI,14,FALSE)</f>
        <v>#N/A</v>
      </c>
      <c r="X660" t="e">
        <f>VLOOKUP($J660,'[1]Table S6'!$A:$AI,15,FALSE)</f>
        <v>#N/A</v>
      </c>
      <c r="Z660" t="e">
        <f>VLOOKUP($J660,'[1]Table S6'!$A:$AI,17,FALSE)</f>
        <v>#N/A</v>
      </c>
      <c r="AA660" t="e">
        <f>VLOOKUP($J660,'[1]Table S6'!$A:$AI,18,FALSE)</f>
        <v>#N/A</v>
      </c>
      <c r="AB660" t="e">
        <f>VLOOKUP($J660,'[1]Table S6'!$A:$AI,19,FALSE)</f>
        <v>#N/A</v>
      </c>
      <c r="AC660" t="e">
        <f>VLOOKUP($J660,'[1]Table S6'!$A:$AI,20,FALSE)</f>
        <v>#N/A</v>
      </c>
      <c r="AE660" t="e">
        <f>VLOOKUP($J660,'[1]Table S6'!$A:$AI,22,FALSE)</f>
        <v>#N/A</v>
      </c>
      <c r="AF660" t="e">
        <f>VLOOKUP($J660,'[1]Table S6'!$A:$AI,23,FALSE)</f>
        <v>#N/A</v>
      </c>
      <c r="AG660" t="e">
        <f>VLOOKUP($J660,'[1]Table S6'!$A:$AI,24,FALSE)</f>
        <v>#N/A</v>
      </c>
      <c r="AH660" t="e">
        <f>VLOOKUP($J660,'[1]Table S6'!$A:$AI,25,FALSE)</f>
        <v>#N/A</v>
      </c>
      <c r="AJ660" t="e">
        <f>VLOOKUP($J660,'[1]Table S6'!$A:$AI,27,FALSE)</f>
        <v>#N/A</v>
      </c>
      <c r="AK660" t="e">
        <f>VLOOKUP($J660,'[1]Table S6'!$A:$AI,28,FALSE)</f>
        <v>#N/A</v>
      </c>
      <c r="AL660" t="e">
        <f>VLOOKUP($J660,'[1]Table S6'!$A:$AI,29,FALSE)</f>
        <v>#N/A</v>
      </c>
      <c r="AM660" t="e">
        <f>VLOOKUP($J660,'[1]Table S6'!$A:$AI,30,FALSE)</f>
        <v>#N/A</v>
      </c>
      <c r="AO660" t="e">
        <f>VLOOKUP($J660,'[1]Table S6'!$A:$AI,32,FALSE)</f>
        <v>#N/A</v>
      </c>
      <c r="AP660" t="e">
        <f>VLOOKUP($J660,'[1]Table S6'!$A:$AI,33,FALSE)</f>
        <v>#N/A</v>
      </c>
      <c r="AQ660" t="e">
        <f>VLOOKUP($J660,'[1]Table S6'!$A:$AI,34,FALSE)</f>
        <v>#N/A</v>
      </c>
      <c r="AR660" t="e">
        <f>VLOOKUP($J660,'[1]Table S6'!$A:$AI,35,FALSE)</f>
        <v>#N/A</v>
      </c>
      <c r="AT660" t="e">
        <f>VLOOKUP($I660,'[2]Table S5'!$A:$K,8,FALSE)</f>
        <v>#N/A</v>
      </c>
      <c r="AU660" t="e">
        <f>VLOOKUP($I660,'[2]Table S5'!$A:$K,9,FALSE)</f>
        <v>#N/A</v>
      </c>
      <c r="AV660" t="e">
        <f>VLOOKUP($I660,'[2]Table S5'!$A:$K,10,FALSE)</f>
        <v>#N/A</v>
      </c>
      <c r="AW660" t="e">
        <f>VLOOKUP($I660,'[2]Table S5'!$A:$K,11,FALSE)</f>
        <v>#N/A</v>
      </c>
    </row>
    <row r="661" spans="1:49">
      <c r="A661" s="12" t="s">
        <v>4196</v>
      </c>
      <c r="B661" t="s">
        <v>4197</v>
      </c>
      <c r="C661" t="s">
        <v>4198</v>
      </c>
      <c r="D661" t="s">
        <v>17</v>
      </c>
      <c r="E661" t="s">
        <v>2127</v>
      </c>
      <c r="F661" s="12" t="s">
        <v>2128</v>
      </c>
      <c r="G661" t="s">
        <v>2129</v>
      </c>
      <c r="H661" t="s">
        <v>2130</v>
      </c>
      <c r="I661" t="s">
        <v>2131</v>
      </c>
      <c r="J661" t="s">
        <v>2131</v>
      </c>
      <c r="K661" t="e">
        <f>VLOOKUP($J661,'[1]Table S6'!$A:$AI,2,FALSE)</f>
        <v>#N/A</v>
      </c>
      <c r="L661" t="e">
        <f>VLOOKUP($J661,'[1]Table S6'!$A:$AI,3,FALSE)</f>
        <v>#N/A</v>
      </c>
      <c r="M661" t="e">
        <f>VLOOKUP($J661,'[1]Table S6'!$A:$AI,4,FALSE)</f>
        <v>#N/A</v>
      </c>
      <c r="N661" t="e">
        <f>VLOOKUP($J661,'[1]Table S6'!$A:$AI,5,FALSE)</f>
        <v>#N/A</v>
      </c>
      <c r="P661" t="e">
        <f>VLOOKUP($J661,'[1]Table S6'!$A:$AI,7,FALSE)</f>
        <v>#N/A</v>
      </c>
      <c r="Q661" t="e">
        <f>VLOOKUP($J661,'[1]Table S6'!$A:$AI,8,FALSE)</f>
        <v>#N/A</v>
      </c>
      <c r="R661" t="e">
        <f>VLOOKUP($J661,'[1]Table S6'!$A:$AI,9,FALSE)</f>
        <v>#N/A</v>
      </c>
      <c r="S661" t="e">
        <f>VLOOKUP($J661,'[1]Table S6'!$A:$AI,10,FALSE)</f>
        <v>#N/A</v>
      </c>
      <c r="U661" t="e">
        <f>VLOOKUP($J661,'[1]Table S6'!$A:$AI,12,FALSE)</f>
        <v>#N/A</v>
      </c>
      <c r="V661" t="e">
        <f>VLOOKUP($J661,'[1]Table S6'!$A:$AI,13,FALSE)</f>
        <v>#N/A</v>
      </c>
      <c r="W661" t="e">
        <f>VLOOKUP($J661,'[1]Table S6'!$A:$AI,14,FALSE)</f>
        <v>#N/A</v>
      </c>
      <c r="X661" t="e">
        <f>VLOOKUP($J661,'[1]Table S6'!$A:$AI,15,FALSE)</f>
        <v>#N/A</v>
      </c>
      <c r="Z661" t="e">
        <f>VLOOKUP($J661,'[1]Table S6'!$A:$AI,17,FALSE)</f>
        <v>#N/A</v>
      </c>
      <c r="AA661" t="e">
        <f>VLOOKUP($J661,'[1]Table S6'!$A:$AI,18,FALSE)</f>
        <v>#N/A</v>
      </c>
      <c r="AB661" t="e">
        <f>VLOOKUP($J661,'[1]Table S6'!$A:$AI,19,FALSE)</f>
        <v>#N/A</v>
      </c>
      <c r="AC661" t="e">
        <f>VLOOKUP($J661,'[1]Table S6'!$A:$AI,20,FALSE)</f>
        <v>#N/A</v>
      </c>
      <c r="AE661" t="e">
        <f>VLOOKUP($J661,'[1]Table S6'!$A:$AI,22,FALSE)</f>
        <v>#N/A</v>
      </c>
      <c r="AF661" t="e">
        <f>VLOOKUP($J661,'[1]Table S6'!$A:$AI,23,FALSE)</f>
        <v>#N/A</v>
      </c>
      <c r="AG661" t="e">
        <f>VLOOKUP($J661,'[1]Table S6'!$A:$AI,24,FALSE)</f>
        <v>#N/A</v>
      </c>
      <c r="AH661" t="e">
        <f>VLOOKUP($J661,'[1]Table S6'!$A:$AI,25,FALSE)</f>
        <v>#N/A</v>
      </c>
      <c r="AJ661" t="e">
        <f>VLOOKUP($J661,'[1]Table S6'!$A:$AI,27,FALSE)</f>
        <v>#N/A</v>
      </c>
      <c r="AK661" t="e">
        <f>VLOOKUP($J661,'[1]Table S6'!$A:$AI,28,FALSE)</f>
        <v>#N/A</v>
      </c>
      <c r="AL661" t="e">
        <f>VLOOKUP($J661,'[1]Table S6'!$A:$AI,29,FALSE)</f>
        <v>#N/A</v>
      </c>
      <c r="AM661" t="e">
        <f>VLOOKUP($J661,'[1]Table S6'!$A:$AI,30,FALSE)</f>
        <v>#N/A</v>
      </c>
      <c r="AO661" t="e">
        <f>VLOOKUP($J661,'[1]Table S6'!$A:$AI,32,FALSE)</f>
        <v>#N/A</v>
      </c>
      <c r="AP661" t="e">
        <f>VLOOKUP($J661,'[1]Table S6'!$A:$AI,33,FALSE)</f>
        <v>#N/A</v>
      </c>
      <c r="AQ661" t="e">
        <f>VLOOKUP($J661,'[1]Table S6'!$A:$AI,34,FALSE)</f>
        <v>#N/A</v>
      </c>
      <c r="AR661" t="e">
        <f>VLOOKUP($J661,'[1]Table S6'!$A:$AI,35,FALSE)</f>
        <v>#N/A</v>
      </c>
      <c r="AT661" t="e">
        <f>VLOOKUP($I661,'[2]Table S5'!$A:$K,8,FALSE)</f>
        <v>#N/A</v>
      </c>
      <c r="AU661" t="e">
        <f>VLOOKUP($I661,'[2]Table S5'!$A:$K,9,FALSE)</f>
        <v>#N/A</v>
      </c>
      <c r="AV661" t="e">
        <f>VLOOKUP($I661,'[2]Table S5'!$A:$K,10,FALSE)</f>
        <v>#N/A</v>
      </c>
      <c r="AW661" t="e">
        <f>VLOOKUP($I661,'[2]Table S5'!$A:$K,11,FALSE)</f>
        <v>#N/A</v>
      </c>
    </row>
    <row r="662" spans="1:49">
      <c r="A662" s="12" t="s">
        <v>4199</v>
      </c>
      <c r="B662" t="s">
        <v>4200</v>
      </c>
      <c r="C662" t="s">
        <v>4201</v>
      </c>
      <c r="D662" t="s">
        <v>17</v>
      </c>
      <c r="E662" t="s">
        <v>2142</v>
      </c>
      <c r="F662" s="12" t="s">
        <v>2143</v>
      </c>
      <c r="G662" t="s">
        <v>2144</v>
      </c>
      <c r="H662" t="s">
        <v>2145</v>
      </c>
      <c r="I662" t="s">
        <v>2146</v>
      </c>
      <c r="J662" t="s">
        <v>2146</v>
      </c>
      <c r="K662" t="e">
        <f>VLOOKUP($J662,'[1]Table S6'!$A:$AI,2,FALSE)</f>
        <v>#N/A</v>
      </c>
      <c r="L662" t="e">
        <f>VLOOKUP($J662,'[1]Table S6'!$A:$AI,3,FALSE)</f>
        <v>#N/A</v>
      </c>
      <c r="M662" t="e">
        <f>VLOOKUP($J662,'[1]Table S6'!$A:$AI,4,FALSE)</f>
        <v>#N/A</v>
      </c>
      <c r="N662" t="e">
        <f>VLOOKUP($J662,'[1]Table S6'!$A:$AI,5,FALSE)</f>
        <v>#N/A</v>
      </c>
      <c r="P662" t="e">
        <f>VLOOKUP($J662,'[1]Table S6'!$A:$AI,7,FALSE)</f>
        <v>#N/A</v>
      </c>
      <c r="Q662" t="e">
        <f>VLOOKUP($J662,'[1]Table S6'!$A:$AI,8,FALSE)</f>
        <v>#N/A</v>
      </c>
      <c r="R662" t="e">
        <f>VLOOKUP($J662,'[1]Table S6'!$A:$AI,9,FALSE)</f>
        <v>#N/A</v>
      </c>
      <c r="S662" t="e">
        <f>VLOOKUP($J662,'[1]Table S6'!$A:$AI,10,FALSE)</f>
        <v>#N/A</v>
      </c>
      <c r="U662" t="e">
        <f>VLOOKUP($J662,'[1]Table S6'!$A:$AI,12,FALSE)</f>
        <v>#N/A</v>
      </c>
      <c r="V662" t="e">
        <f>VLOOKUP($J662,'[1]Table S6'!$A:$AI,13,FALSE)</f>
        <v>#N/A</v>
      </c>
      <c r="W662" t="e">
        <f>VLOOKUP($J662,'[1]Table S6'!$A:$AI,14,FALSE)</f>
        <v>#N/A</v>
      </c>
      <c r="X662" t="e">
        <f>VLOOKUP($J662,'[1]Table S6'!$A:$AI,15,FALSE)</f>
        <v>#N/A</v>
      </c>
      <c r="Z662" t="e">
        <f>VLOOKUP($J662,'[1]Table S6'!$A:$AI,17,FALSE)</f>
        <v>#N/A</v>
      </c>
      <c r="AA662" t="e">
        <f>VLOOKUP($J662,'[1]Table S6'!$A:$AI,18,FALSE)</f>
        <v>#N/A</v>
      </c>
      <c r="AB662" t="e">
        <f>VLOOKUP($J662,'[1]Table S6'!$A:$AI,19,FALSE)</f>
        <v>#N/A</v>
      </c>
      <c r="AC662" t="e">
        <f>VLOOKUP($J662,'[1]Table S6'!$A:$AI,20,FALSE)</f>
        <v>#N/A</v>
      </c>
      <c r="AE662" t="e">
        <f>VLOOKUP($J662,'[1]Table S6'!$A:$AI,22,FALSE)</f>
        <v>#N/A</v>
      </c>
      <c r="AF662" t="e">
        <f>VLOOKUP($J662,'[1]Table S6'!$A:$AI,23,FALSE)</f>
        <v>#N/A</v>
      </c>
      <c r="AG662" t="e">
        <f>VLOOKUP($J662,'[1]Table S6'!$A:$AI,24,FALSE)</f>
        <v>#N/A</v>
      </c>
      <c r="AH662" t="e">
        <f>VLOOKUP($J662,'[1]Table S6'!$A:$AI,25,FALSE)</f>
        <v>#N/A</v>
      </c>
      <c r="AJ662" t="e">
        <f>VLOOKUP($J662,'[1]Table S6'!$A:$AI,27,FALSE)</f>
        <v>#N/A</v>
      </c>
      <c r="AK662" t="e">
        <f>VLOOKUP($J662,'[1]Table S6'!$A:$AI,28,FALSE)</f>
        <v>#N/A</v>
      </c>
      <c r="AL662" t="e">
        <f>VLOOKUP($J662,'[1]Table S6'!$A:$AI,29,FALSE)</f>
        <v>#N/A</v>
      </c>
      <c r="AM662" t="e">
        <f>VLOOKUP($J662,'[1]Table S6'!$A:$AI,30,FALSE)</f>
        <v>#N/A</v>
      </c>
      <c r="AO662" t="e">
        <f>VLOOKUP($J662,'[1]Table S6'!$A:$AI,32,FALSE)</f>
        <v>#N/A</v>
      </c>
      <c r="AP662" t="e">
        <f>VLOOKUP($J662,'[1]Table S6'!$A:$AI,33,FALSE)</f>
        <v>#N/A</v>
      </c>
      <c r="AQ662" t="e">
        <f>VLOOKUP($J662,'[1]Table S6'!$A:$AI,34,FALSE)</f>
        <v>#N/A</v>
      </c>
      <c r="AR662" t="e">
        <f>VLOOKUP($J662,'[1]Table S6'!$A:$AI,35,FALSE)</f>
        <v>#N/A</v>
      </c>
      <c r="AT662" t="e">
        <f>VLOOKUP($I662,'[2]Table S5'!$A:$K,8,FALSE)</f>
        <v>#N/A</v>
      </c>
      <c r="AU662" t="e">
        <f>VLOOKUP($I662,'[2]Table S5'!$A:$K,9,FALSE)</f>
        <v>#N/A</v>
      </c>
      <c r="AV662" t="e">
        <f>VLOOKUP($I662,'[2]Table S5'!$A:$K,10,FALSE)</f>
        <v>#N/A</v>
      </c>
      <c r="AW662" t="e">
        <f>VLOOKUP($I662,'[2]Table S5'!$A:$K,11,FALSE)</f>
        <v>#N/A</v>
      </c>
    </row>
    <row r="663" spans="1:49">
      <c r="A663" s="12" t="s">
        <v>4202</v>
      </c>
      <c r="B663" t="s">
        <v>4203</v>
      </c>
      <c r="C663" t="s">
        <v>4204</v>
      </c>
      <c r="D663" t="s">
        <v>17</v>
      </c>
      <c r="E663" t="s">
        <v>2165</v>
      </c>
      <c r="F663" s="12" t="s">
        <v>2166</v>
      </c>
      <c r="G663" t="s">
        <v>2167</v>
      </c>
      <c r="H663" t="s">
        <v>2168</v>
      </c>
      <c r="I663" t="s">
        <v>2161</v>
      </c>
      <c r="J663" t="s">
        <v>2161</v>
      </c>
      <c r="K663" t="e">
        <f>VLOOKUP($J663,'[1]Table S6'!$A:$AI,2,FALSE)</f>
        <v>#N/A</v>
      </c>
      <c r="L663" t="e">
        <f>VLOOKUP($J663,'[1]Table S6'!$A:$AI,3,FALSE)</f>
        <v>#N/A</v>
      </c>
      <c r="M663" t="e">
        <f>VLOOKUP($J663,'[1]Table S6'!$A:$AI,4,FALSE)</f>
        <v>#N/A</v>
      </c>
      <c r="N663" t="e">
        <f>VLOOKUP($J663,'[1]Table S6'!$A:$AI,5,FALSE)</f>
        <v>#N/A</v>
      </c>
      <c r="P663" t="e">
        <f>VLOOKUP($J663,'[1]Table S6'!$A:$AI,7,FALSE)</f>
        <v>#N/A</v>
      </c>
      <c r="Q663" t="e">
        <f>VLOOKUP($J663,'[1]Table S6'!$A:$AI,8,FALSE)</f>
        <v>#N/A</v>
      </c>
      <c r="R663" t="e">
        <f>VLOOKUP($J663,'[1]Table S6'!$A:$AI,9,FALSE)</f>
        <v>#N/A</v>
      </c>
      <c r="S663" t="e">
        <f>VLOOKUP($J663,'[1]Table S6'!$A:$AI,10,FALSE)</f>
        <v>#N/A</v>
      </c>
      <c r="U663" t="e">
        <f>VLOOKUP($J663,'[1]Table S6'!$A:$AI,12,FALSE)</f>
        <v>#N/A</v>
      </c>
      <c r="V663" t="e">
        <f>VLOOKUP($J663,'[1]Table S6'!$A:$AI,13,FALSE)</f>
        <v>#N/A</v>
      </c>
      <c r="W663" t="e">
        <f>VLOOKUP($J663,'[1]Table S6'!$A:$AI,14,FALSE)</f>
        <v>#N/A</v>
      </c>
      <c r="X663" t="e">
        <f>VLOOKUP($J663,'[1]Table S6'!$A:$AI,15,FALSE)</f>
        <v>#N/A</v>
      </c>
      <c r="Z663" t="e">
        <f>VLOOKUP($J663,'[1]Table S6'!$A:$AI,17,FALSE)</f>
        <v>#N/A</v>
      </c>
      <c r="AA663" t="e">
        <f>VLOOKUP($J663,'[1]Table S6'!$A:$AI,18,FALSE)</f>
        <v>#N/A</v>
      </c>
      <c r="AB663" t="e">
        <f>VLOOKUP($J663,'[1]Table S6'!$A:$AI,19,FALSE)</f>
        <v>#N/A</v>
      </c>
      <c r="AC663" t="e">
        <f>VLOOKUP($J663,'[1]Table S6'!$A:$AI,20,FALSE)</f>
        <v>#N/A</v>
      </c>
      <c r="AE663" t="e">
        <f>VLOOKUP($J663,'[1]Table S6'!$A:$AI,22,FALSE)</f>
        <v>#N/A</v>
      </c>
      <c r="AF663" t="e">
        <f>VLOOKUP($J663,'[1]Table S6'!$A:$AI,23,FALSE)</f>
        <v>#N/A</v>
      </c>
      <c r="AG663" t="e">
        <f>VLOOKUP($J663,'[1]Table S6'!$A:$AI,24,FALSE)</f>
        <v>#N/A</v>
      </c>
      <c r="AH663" t="e">
        <f>VLOOKUP($J663,'[1]Table S6'!$A:$AI,25,FALSE)</f>
        <v>#N/A</v>
      </c>
      <c r="AJ663" t="e">
        <f>VLOOKUP($J663,'[1]Table S6'!$A:$AI,27,FALSE)</f>
        <v>#N/A</v>
      </c>
      <c r="AK663" t="e">
        <f>VLOOKUP($J663,'[1]Table S6'!$A:$AI,28,FALSE)</f>
        <v>#N/A</v>
      </c>
      <c r="AL663" t="e">
        <f>VLOOKUP($J663,'[1]Table S6'!$A:$AI,29,FALSE)</f>
        <v>#N/A</v>
      </c>
      <c r="AM663" t="e">
        <f>VLOOKUP($J663,'[1]Table S6'!$A:$AI,30,FALSE)</f>
        <v>#N/A</v>
      </c>
      <c r="AO663" t="e">
        <f>VLOOKUP($J663,'[1]Table S6'!$A:$AI,32,FALSE)</f>
        <v>#N/A</v>
      </c>
      <c r="AP663" t="e">
        <f>VLOOKUP($J663,'[1]Table S6'!$A:$AI,33,FALSE)</f>
        <v>#N/A</v>
      </c>
      <c r="AQ663" t="e">
        <f>VLOOKUP($J663,'[1]Table S6'!$A:$AI,34,FALSE)</f>
        <v>#N/A</v>
      </c>
      <c r="AR663" t="e">
        <f>VLOOKUP($J663,'[1]Table S6'!$A:$AI,35,FALSE)</f>
        <v>#N/A</v>
      </c>
      <c r="AT663" t="e">
        <f>VLOOKUP($I663,'[2]Table S5'!$A:$K,8,FALSE)</f>
        <v>#N/A</v>
      </c>
      <c r="AU663" t="e">
        <f>VLOOKUP($I663,'[2]Table S5'!$A:$K,9,FALSE)</f>
        <v>#N/A</v>
      </c>
      <c r="AV663" t="e">
        <f>VLOOKUP($I663,'[2]Table S5'!$A:$K,10,FALSE)</f>
        <v>#N/A</v>
      </c>
      <c r="AW663" t="e">
        <f>VLOOKUP($I663,'[2]Table S5'!$A:$K,11,FALSE)</f>
        <v>#N/A</v>
      </c>
    </row>
    <row r="664" spans="1:49">
      <c r="A664" s="12" t="s">
        <v>4205</v>
      </c>
      <c r="B664" t="s">
        <v>4206</v>
      </c>
      <c r="C664" t="s">
        <v>4207</v>
      </c>
      <c r="D664" t="s">
        <v>17</v>
      </c>
      <c r="E664" t="s">
        <v>2172</v>
      </c>
      <c r="F664" s="12" t="s">
        <v>2173</v>
      </c>
      <c r="G664" t="s">
        <v>2174</v>
      </c>
      <c r="H664" t="s">
        <v>2175</v>
      </c>
      <c r="I664" t="s">
        <v>2176</v>
      </c>
      <c r="J664" t="s">
        <v>2176</v>
      </c>
      <c r="K664" t="e">
        <f>VLOOKUP($J664,'[1]Table S6'!$A:$AI,2,FALSE)</f>
        <v>#N/A</v>
      </c>
      <c r="L664" t="e">
        <f>VLOOKUP($J664,'[1]Table S6'!$A:$AI,3,FALSE)</f>
        <v>#N/A</v>
      </c>
      <c r="M664" t="e">
        <f>VLOOKUP($J664,'[1]Table S6'!$A:$AI,4,FALSE)</f>
        <v>#N/A</v>
      </c>
      <c r="N664" t="e">
        <f>VLOOKUP($J664,'[1]Table S6'!$A:$AI,5,FALSE)</f>
        <v>#N/A</v>
      </c>
      <c r="P664" t="e">
        <f>VLOOKUP($J664,'[1]Table S6'!$A:$AI,7,FALSE)</f>
        <v>#N/A</v>
      </c>
      <c r="Q664" t="e">
        <f>VLOOKUP($J664,'[1]Table S6'!$A:$AI,8,FALSE)</f>
        <v>#N/A</v>
      </c>
      <c r="R664" t="e">
        <f>VLOOKUP($J664,'[1]Table S6'!$A:$AI,9,FALSE)</f>
        <v>#N/A</v>
      </c>
      <c r="S664" t="e">
        <f>VLOOKUP($J664,'[1]Table S6'!$A:$AI,10,FALSE)</f>
        <v>#N/A</v>
      </c>
      <c r="U664" t="e">
        <f>VLOOKUP($J664,'[1]Table S6'!$A:$AI,12,FALSE)</f>
        <v>#N/A</v>
      </c>
      <c r="V664" t="e">
        <f>VLOOKUP($J664,'[1]Table S6'!$A:$AI,13,FALSE)</f>
        <v>#N/A</v>
      </c>
      <c r="W664" t="e">
        <f>VLOOKUP($J664,'[1]Table S6'!$A:$AI,14,FALSE)</f>
        <v>#N/A</v>
      </c>
      <c r="X664" t="e">
        <f>VLOOKUP($J664,'[1]Table S6'!$A:$AI,15,FALSE)</f>
        <v>#N/A</v>
      </c>
      <c r="Z664" t="e">
        <f>VLOOKUP($J664,'[1]Table S6'!$A:$AI,17,FALSE)</f>
        <v>#N/A</v>
      </c>
      <c r="AA664" t="e">
        <f>VLOOKUP($J664,'[1]Table S6'!$A:$AI,18,FALSE)</f>
        <v>#N/A</v>
      </c>
      <c r="AB664" t="e">
        <f>VLOOKUP($J664,'[1]Table S6'!$A:$AI,19,FALSE)</f>
        <v>#N/A</v>
      </c>
      <c r="AC664" t="e">
        <f>VLOOKUP($J664,'[1]Table S6'!$A:$AI,20,FALSE)</f>
        <v>#N/A</v>
      </c>
      <c r="AE664" t="e">
        <f>VLOOKUP($J664,'[1]Table S6'!$A:$AI,22,FALSE)</f>
        <v>#N/A</v>
      </c>
      <c r="AF664" t="e">
        <f>VLOOKUP($J664,'[1]Table S6'!$A:$AI,23,FALSE)</f>
        <v>#N/A</v>
      </c>
      <c r="AG664" t="e">
        <f>VLOOKUP($J664,'[1]Table S6'!$A:$AI,24,FALSE)</f>
        <v>#N/A</v>
      </c>
      <c r="AH664" t="e">
        <f>VLOOKUP($J664,'[1]Table S6'!$A:$AI,25,FALSE)</f>
        <v>#N/A</v>
      </c>
      <c r="AJ664" t="e">
        <f>VLOOKUP($J664,'[1]Table S6'!$A:$AI,27,FALSE)</f>
        <v>#N/A</v>
      </c>
      <c r="AK664" t="e">
        <f>VLOOKUP($J664,'[1]Table S6'!$A:$AI,28,FALSE)</f>
        <v>#N/A</v>
      </c>
      <c r="AL664" t="e">
        <f>VLOOKUP($J664,'[1]Table S6'!$A:$AI,29,FALSE)</f>
        <v>#N/A</v>
      </c>
      <c r="AM664" t="e">
        <f>VLOOKUP($J664,'[1]Table S6'!$A:$AI,30,FALSE)</f>
        <v>#N/A</v>
      </c>
      <c r="AO664" t="e">
        <f>VLOOKUP($J664,'[1]Table S6'!$A:$AI,32,FALSE)</f>
        <v>#N/A</v>
      </c>
      <c r="AP664" t="e">
        <f>VLOOKUP($J664,'[1]Table S6'!$A:$AI,33,FALSE)</f>
        <v>#N/A</v>
      </c>
      <c r="AQ664" t="e">
        <f>VLOOKUP($J664,'[1]Table S6'!$A:$AI,34,FALSE)</f>
        <v>#N/A</v>
      </c>
      <c r="AR664" t="e">
        <f>VLOOKUP($J664,'[1]Table S6'!$A:$AI,35,FALSE)</f>
        <v>#N/A</v>
      </c>
      <c r="AT664" t="e">
        <f>VLOOKUP($I664,'[2]Table S5'!$A:$K,8,FALSE)</f>
        <v>#N/A</v>
      </c>
      <c r="AU664" t="e">
        <f>VLOOKUP($I664,'[2]Table S5'!$A:$K,9,FALSE)</f>
        <v>#N/A</v>
      </c>
      <c r="AV664" t="e">
        <f>VLOOKUP($I664,'[2]Table S5'!$A:$K,10,FALSE)</f>
        <v>#N/A</v>
      </c>
      <c r="AW664" t="e">
        <f>VLOOKUP($I664,'[2]Table S5'!$A:$K,11,FALSE)</f>
        <v>#N/A</v>
      </c>
    </row>
    <row r="665" spans="1:49">
      <c r="A665" s="12" t="s">
        <v>4208</v>
      </c>
      <c r="B665" t="s">
        <v>4209</v>
      </c>
      <c r="C665" t="s">
        <v>4210</v>
      </c>
      <c r="D665" t="s">
        <v>17</v>
      </c>
      <c r="E665" t="s">
        <v>2187</v>
      </c>
      <c r="F665" s="12" t="s">
        <v>2188</v>
      </c>
      <c r="G665" t="s">
        <v>2189</v>
      </c>
      <c r="H665" t="s">
        <v>2190</v>
      </c>
      <c r="I665" t="s">
        <v>2191</v>
      </c>
      <c r="J665" t="s">
        <v>2191</v>
      </c>
      <c r="K665" t="e">
        <f>VLOOKUP($J665,'[1]Table S6'!$A:$AI,2,FALSE)</f>
        <v>#N/A</v>
      </c>
      <c r="L665" t="e">
        <f>VLOOKUP($J665,'[1]Table S6'!$A:$AI,3,FALSE)</f>
        <v>#N/A</v>
      </c>
      <c r="M665" t="e">
        <f>VLOOKUP($J665,'[1]Table S6'!$A:$AI,4,FALSE)</f>
        <v>#N/A</v>
      </c>
      <c r="N665" t="e">
        <f>VLOOKUP($J665,'[1]Table S6'!$A:$AI,5,FALSE)</f>
        <v>#N/A</v>
      </c>
      <c r="P665" t="e">
        <f>VLOOKUP($J665,'[1]Table S6'!$A:$AI,7,FALSE)</f>
        <v>#N/A</v>
      </c>
      <c r="Q665" t="e">
        <f>VLOOKUP($J665,'[1]Table S6'!$A:$AI,8,FALSE)</f>
        <v>#N/A</v>
      </c>
      <c r="R665" t="e">
        <f>VLOOKUP($J665,'[1]Table S6'!$A:$AI,9,FALSE)</f>
        <v>#N/A</v>
      </c>
      <c r="S665" t="e">
        <f>VLOOKUP($J665,'[1]Table S6'!$A:$AI,10,FALSE)</f>
        <v>#N/A</v>
      </c>
      <c r="U665" t="e">
        <f>VLOOKUP($J665,'[1]Table S6'!$A:$AI,12,FALSE)</f>
        <v>#N/A</v>
      </c>
      <c r="V665" t="e">
        <f>VLOOKUP($J665,'[1]Table S6'!$A:$AI,13,FALSE)</f>
        <v>#N/A</v>
      </c>
      <c r="W665" t="e">
        <f>VLOOKUP($J665,'[1]Table S6'!$A:$AI,14,FALSE)</f>
        <v>#N/A</v>
      </c>
      <c r="X665" t="e">
        <f>VLOOKUP($J665,'[1]Table S6'!$A:$AI,15,FALSE)</f>
        <v>#N/A</v>
      </c>
      <c r="Z665" t="e">
        <f>VLOOKUP($J665,'[1]Table S6'!$A:$AI,17,FALSE)</f>
        <v>#N/A</v>
      </c>
      <c r="AA665" t="e">
        <f>VLOOKUP($J665,'[1]Table S6'!$A:$AI,18,FALSE)</f>
        <v>#N/A</v>
      </c>
      <c r="AB665" t="e">
        <f>VLOOKUP($J665,'[1]Table S6'!$A:$AI,19,FALSE)</f>
        <v>#N/A</v>
      </c>
      <c r="AC665" t="e">
        <f>VLOOKUP($J665,'[1]Table S6'!$A:$AI,20,FALSE)</f>
        <v>#N/A</v>
      </c>
      <c r="AE665" t="e">
        <f>VLOOKUP($J665,'[1]Table S6'!$A:$AI,22,FALSE)</f>
        <v>#N/A</v>
      </c>
      <c r="AF665" t="e">
        <f>VLOOKUP($J665,'[1]Table S6'!$A:$AI,23,FALSE)</f>
        <v>#N/A</v>
      </c>
      <c r="AG665" t="e">
        <f>VLOOKUP($J665,'[1]Table S6'!$A:$AI,24,FALSE)</f>
        <v>#N/A</v>
      </c>
      <c r="AH665" t="e">
        <f>VLOOKUP($J665,'[1]Table S6'!$A:$AI,25,FALSE)</f>
        <v>#N/A</v>
      </c>
      <c r="AJ665" t="e">
        <f>VLOOKUP($J665,'[1]Table S6'!$A:$AI,27,FALSE)</f>
        <v>#N/A</v>
      </c>
      <c r="AK665" t="e">
        <f>VLOOKUP($J665,'[1]Table S6'!$A:$AI,28,FALSE)</f>
        <v>#N/A</v>
      </c>
      <c r="AL665" t="e">
        <f>VLOOKUP($J665,'[1]Table S6'!$A:$AI,29,FALSE)</f>
        <v>#N/A</v>
      </c>
      <c r="AM665" t="e">
        <f>VLOOKUP($J665,'[1]Table S6'!$A:$AI,30,FALSE)</f>
        <v>#N/A</v>
      </c>
      <c r="AO665" t="e">
        <f>VLOOKUP($J665,'[1]Table S6'!$A:$AI,32,FALSE)</f>
        <v>#N/A</v>
      </c>
      <c r="AP665" t="e">
        <f>VLOOKUP($J665,'[1]Table S6'!$A:$AI,33,FALSE)</f>
        <v>#N/A</v>
      </c>
      <c r="AQ665" t="e">
        <f>VLOOKUP($J665,'[1]Table S6'!$A:$AI,34,FALSE)</f>
        <v>#N/A</v>
      </c>
      <c r="AR665" t="e">
        <f>VLOOKUP($J665,'[1]Table S6'!$A:$AI,35,FALSE)</f>
        <v>#N/A</v>
      </c>
      <c r="AT665" t="e">
        <f>VLOOKUP($I665,'[2]Table S5'!$A:$K,8,FALSE)</f>
        <v>#N/A</v>
      </c>
      <c r="AU665" t="e">
        <f>VLOOKUP($I665,'[2]Table S5'!$A:$K,9,FALSE)</f>
        <v>#N/A</v>
      </c>
      <c r="AV665" t="e">
        <f>VLOOKUP($I665,'[2]Table S5'!$A:$K,10,FALSE)</f>
        <v>#N/A</v>
      </c>
      <c r="AW665" t="e">
        <f>VLOOKUP($I665,'[2]Table S5'!$A:$K,11,FALSE)</f>
        <v>#N/A</v>
      </c>
    </row>
    <row r="666" spans="1:49">
      <c r="A666" s="12" t="s">
        <v>4211</v>
      </c>
      <c r="B666" t="s">
        <v>4212</v>
      </c>
      <c r="C666" t="s">
        <v>4213</v>
      </c>
      <c r="D666" t="s">
        <v>17</v>
      </c>
      <c r="E666" t="s">
        <v>2202</v>
      </c>
      <c r="F666" s="12" t="s">
        <v>2203</v>
      </c>
      <c r="G666" t="s">
        <v>2204</v>
      </c>
      <c r="H666" t="s">
        <v>2205</v>
      </c>
      <c r="I666" t="s">
        <v>2206</v>
      </c>
      <c r="J666" t="s">
        <v>2206</v>
      </c>
      <c r="K666" t="e">
        <f>VLOOKUP($J666,'[1]Table S6'!$A:$AI,2,FALSE)</f>
        <v>#N/A</v>
      </c>
      <c r="L666" t="e">
        <f>VLOOKUP($J666,'[1]Table S6'!$A:$AI,3,FALSE)</f>
        <v>#N/A</v>
      </c>
      <c r="M666" t="e">
        <f>VLOOKUP($J666,'[1]Table S6'!$A:$AI,4,FALSE)</f>
        <v>#N/A</v>
      </c>
      <c r="N666" t="e">
        <f>VLOOKUP($J666,'[1]Table S6'!$A:$AI,5,FALSE)</f>
        <v>#N/A</v>
      </c>
      <c r="P666" t="e">
        <f>VLOOKUP($J666,'[1]Table S6'!$A:$AI,7,FALSE)</f>
        <v>#N/A</v>
      </c>
      <c r="Q666" t="e">
        <f>VLOOKUP($J666,'[1]Table S6'!$A:$AI,8,FALSE)</f>
        <v>#N/A</v>
      </c>
      <c r="R666" t="e">
        <f>VLOOKUP($J666,'[1]Table S6'!$A:$AI,9,FALSE)</f>
        <v>#N/A</v>
      </c>
      <c r="S666" t="e">
        <f>VLOOKUP($J666,'[1]Table S6'!$A:$AI,10,FALSE)</f>
        <v>#N/A</v>
      </c>
      <c r="U666" t="e">
        <f>VLOOKUP($J666,'[1]Table S6'!$A:$AI,12,FALSE)</f>
        <v>#N/A</v>
      </c>
      <c r="V666" t="e">
        <f>VLOOKUP($J666,'[1]Table S6'!$A:$AI,13,FALSE)</f>
        <v>#N/A</v>
      </c>
      <c r="W666" t="e">
        <f>VLOOKUP($J666,'[1]Table S6'!$A:$AI,14,FALSE)</f>
        <v>#N/A</v>
      </c>
      <c r="X666" t="e">
        <f>VLOOKUP($J666,'[1]Table S6'!$A:$AI,15,FALSE)</f>
        <v>#N/A</v>
      </c>
      <c r="Z666" t="e">
        <f>VLOOKUP($J666,'[1]Table S6'!$A:$AI,17,FALSE)</f>
        <v>#N/A</v>
      </c>
      <c r="AA666" t="e">
        <f>VLOOKUP($J666,'[1]Table S6'!$A:$AI,18,FALSE)</f>
        <v>#N/A</v>
      </c>
      <c r="AB666" t="e">
        <f>VLOOKUP($J666,'[1]Table S6'!$A:$AI,19,FALSE)</f>
        <v>#N/A</v>
      </c>
      <c r="AC666" t="e">
        <f>VLOOKUP($J666,'[1]Table S6'!$A:$AI,20,FALSE)</f>
        <v>#N/A</v>
      </c>
      <c r="AE666" t="e">
        <f>VLOOKUP($J666,'[1]Table S6'!$A:$AI,22,FALSE)</f>
        <v>#N/A</v>
      </c>
      <c r="AF666" t="e">
        <f>VLOOKUP($J666,'[1]Table S6'!$A:$AI,23,FALSE)</f>
        <v>#N/A</v>
      </c>
      <c r="AG666" t="e">
        <f>VLOOKUP($J666,'[1]Table S6'!$A:$AI,24,FALSE)</f>
        <v>#N/A</v>
      </c>
      <c r="AH666" t="e">
        <f>VLOOKUP($J666,'[1]Table S6'!$A:$AI,25,FALSE)</f>
        <v>#N/A</v>
      </c>
      <c r="AJ666" t="e">
        <f>VLOOKUP($J666,'[1]Table S6'!$A:$AI,27,FALSE)</f>
        <v>#N/A</v>
      </c>
      <c r="AK666" t="e">
        <f>VLOOKUP($J666,'[1]Table S6'!$A:$AI,28,FALSE)</f>
        <v>#N/A</v>
      </c>
      <c r="AL666" t="e">
        <f>VLOOKUP($J666,'[1]Table S6'!$A:$AI,29,FALSE)</f>
        <v>#N/A</v>
      </c>
      <c r="AM666" t="e">
        <f>VLOOKUP($J666,'[1]Table S6'!$A:$AI,30,FALSE)</f>
        <v>#N/A</v>
      </c>
      <c r="AO666" t="e">
        <f>VLOOKUP($J666,'[1]Table S6'!$A:$AI,32,FALSE)</f>
        <v>#N/A</v>
      </c>
      <c r="AP666" t="e">
        <f>VLOOKUP($J666,'[1]Table S6'!$A:$AI,33,FALSE)</f>
        <v>#N/A</v>
      </c>
      <c r="AQ666" t="e">
        <f>VLOOKUP($J666,'[1]Table S6'!$A:$AI,34,FALSE)</f>
        <v>#N/A</v>
      </c>
      <c r="AR666" t="e">
        <f>VLOOKUP($J666,'[1]Table S6'!$A:$AI,35,FALSE)</f>
        <v>#N/A</v>
      </c>
      <c r="AT666" t="e">
        <f>VLOOKUP($I666,'[2]Table S5'!$A:$K,8,FALSE)</f>
        <v>#N/A</v>
      </c>
      <c r="AU666" t="e">
        <f>VLOOKUP($I666,'[2]Table S5'!$A:$K,9,FALSE)</f>
        <v>#N/A</v>
      </c>
      <c r="AV666" t="e">
        <f>VLOOKUP($I666,'[2]Table S5'!$A:$K,10,FALSE)</f>
        <v>#N/A</v>
      </c>
      <c r="AW666" t="e">
        <f>VLOOKUP($I666,'[2]Table S5'!$A:$K,11,FALSE)</f>
        <v>#N/A</v>
      </c>
    </row>
    <row r="667" spans="1:49">
      <c r="A667" s="12" t="s">
        <v>4214</v>
      </c>
      <c r="B667" t="s">
        <v>4215</v>
      </c>
      <c r="C667" t="s">
        <v>4216</v>
      </c>
      <c r="D667" t="s">
        <v>17</v>
      </c>
      <c r="E667" t="s">
        <v>2217</v>
      </c>
      <c r="F667" s="12" t="s">
        <v>2218</v>
      </c>
      <c r="G667" t="s">
        <v>2219</v>
      </c>
      <c r="H667" t="s">
        <v>2220</v>
      </c>
      <c r="I667" t="s">
        <v>2221</v>
      </c>
      <c r="J667" t="s">
        <v>2221</v>
      </c>
      <c r="K667" t="e">
        <f>VLOOKUP($J667,'[1]Table S6'!$A:$AI,2,FALSE)</f>
        <v>#N/A</v>
      </c>
      <c r="L667" t="e">
        <f>VLOOKUP($J667,'[1]Table S6'!$A:$AI,3,FALSE)</f>
        <v>#N/A</v>
      </c>
      <c r="M667" t="e">
        <f>VLOOKUP($J667,'[1]Table S6'!$A:$AI,4,FALSE)</f>
        <v>#N/A</v>
      </c>
      <c r="N667" t="e">
        <f>VLOOKUP($J667,'[1]Table S6'!$A:$AI,5,FALSE)</f>
        <v>#N/A</v>
      </c>
      <c r="P667" t="e">
        <f>VLOOKUP($J667,'[1]Table S6'!$A:$AI,7,FALSE)</f>
        <v>#N/A</v>
      </c>
      <c r="Q667" t="e">
        <f>VLOOKUP($J667,'[1]Table S6'!$A:$AI,8,FALSE)</f>
        <v>#N/A</v>
      </c>
      <c r="R667" t="e">
        <f>VLOOKUP($J667,'[1]Table S6'!$A:$AI,9,FALSE)</f>
        <v>#N/A</v>
      </c>
      <c r="S667" t="e">
        <f>VLOOKUP($J667,'[1]Table S6'!$A:$AI,10,FALSE)</f>
        <v>#N/A</v>
      </c>
      <c r="U667" t="e">
        <f>VLOOKUP($J667,'[1]Table S6'!$A:$AI,12,FALSE)</f>
        <v>#N/A</v>
      </c>
      <c r="V667" t="e">
        <f>VLOOKUP($J667,'[1]Table S6'!$A:$AI,13,FALSE)</f>
        <v>#N/A</v>
      </c>
      <c r="W667" t="e">
        <f>VLOOKUP($J667,'[1]Table S6'!$A:$AI,14,FALSE)</f>
        <v>#N/A</v>
      </c>
      <c r="X667" t="e">
        <f>VLOOKUP($J667,'[1]Table S6'!$A:$AI,15,FALSE)</f>
        <v>#N/A</v>
      </c>
      <c r="Z667" t="e">
        <f>VLOOKUP($J667,'[1]Table S6'!$A:$AI,17,FALSE)</f>
        <v>#N/A</v>
      </c>
      <c r="AA667" t="e">
        <f>VLOOKUP($J667,'[1]Table S6'!$A:$AI,18,FALSE)</f>
        <v>#N/A</v>
      </c>
      <c r="AB667" t="e">
        <f>VLOOKUP($J667,'[1]Table S6'!$A:$AI,19,FALSE)</f>
        <v>#N/A</v>
      </c>
      <c r="AC667" t="e">
        <f>VLOOKUP($J667,'[1]Table S6'!$A:$AI,20,FALSE)</f>
        <v>#N/A</v>
      </c>
      <c r="AE667" t="e">
        <f>VLOOKUP($J667,'[1]Table S6'!$A:$AI,22,FALSE)</f>
        <v>#N/A</v>
      </c>
      <c r="AF667" t="e">
        <f>VLOOKUP($J667,'[1]Table S6'!$A:$AI,23,FALSE)</f>
        <v>#N/A</v>
      </c>
      <c r="AG667" t="e">
        <f>VLOOKUP($J667,'[1]Table S6'!$A:$AI,24,FALSE)</f>
        <v>#N/A</v>
      </c>
      <c r="AH667" t="e">
        <f>VLOOKUP($J667,'[1]Table S6'!$A:$AI,25,FALSE)</f>
        <v>#N/A</v>
      </c>
      <c r="AJ667" t="e">
        <f>VLOOKUP($J667,'[1]Table S6'!$A:$AI,27,FALSE)</f>
        <v>#N/A</v>
      </c>
      <c r="AK667" t="e">
        <f>VLOOKUP($J667,'[1]Table S6'!$A:$AI,28,FALSE)</f>
        <v>#N/A</v>
      </c>
      <c r="AL667" t="e">
        <f>VLOOKUP($J667,'[1]Table S6'!$A:$AI,29,FALSE)</f>
        <v>#N/A</v>
      </c>
      <c r="AM667" t="e">
        <f>VLOOKUP($J667,'[1]Table S6'!$A:$AI,30,FALSE)</f>
        <v>#N/A</v>
      </c>
      <c r="AO667" t="e">
        <f>VLOOKUP($J667,'[1]Table S6'!$A:$AI,32,FALSE)</f>
        <v>#N/A</v>
      </c>
      <c r="AP667" t="e">
        <f>VLOOKUP($J667,'[1]Table S6'!$A:$AI,33,FALSE)</f>
        <v>#N/A</v>
      </c>
      <c r="AQ667" t="e">
        <f>VLOOKUP($J667,'[1]Table S6'!$A:$AI,34,FALSE)</f>
        <v>#N/A</v>
      </c>
      <c r="AR667" t="e">
        <f>VLOOKUP($J667,'[1]Table S6'!$A:$AI,35,FALSE)</f>
        <v>#N/A</v>
      </c>
      <c r="AT667" t="e">
        <f>VLOOKUP($I667,'[2]Table S5'!$A:$K,8,FALSE)</f>
        <v>#N/A</v>
      </c>
      <c r="AU667" t="e">
        <f>VLOOKUP($I667,'[2]Table S5'!$A:$K,9,FALSE)</f>
        <v>#N/A</v>
      </c>
      <c r="AV667" t="e">
        <f>VLOOKUP($I667,'[2]Table S5'!$A:$K,10,FALSE)</f>
        <v>#N/A</v>
      </c>
      <c r="AW667" t="e">
        <f>VLOOKUP($I667,'[2]Table S5'!$A:$K,11,FALSE)</f>
        <v>#N/A</v>
      </c>
    </row>
    <row r="668" spans="1:49">
      <c r="A668" s="12" t="s">
        <v>4217</v>
      </c>
      <c r="B668" t="s">
        <v>4218</v>
      </c>
      <c r="C668" t="s">
        <v>4219</v>
      </c>
      <c r="D668" t="s">
        <v>17</v>
      </c>
      <c r="E668" t="s">
        <v>2240</v>
      </c>
      <c r="F668" s="12" t="s">
        <v>2241</v>
      </c>
      <c r="G668" t="s">
        <v>2242</v>
      </c>
      <c r="H668" t="s">
        <v>2243</v>
      </c>
      <c r="I668" t="s">
        <v>2236</v>
      </c>
      <c r="J668" t="s">
        <v>2236</v>
      </c>
      <c r="K668" t="e">
        <f>VLOOKUP($J668,'[1]Table S6'!$A:$AI,2,FALSE)</f>
        <v>#N/A</v>
      </c>
      <c r="L668" t="e">
        <f>VLOOKUP($J668,'[1]Table S6'!$A:$AI,3,FALSE)</f>
        <v>#N/A</v>
      </c>
      <c r="M668" t="e">
        <f>VLOOKUP($J668,'[1]Table S6'!$A:$AI,4,FALSE)</f>
        <v>#N/A</v>
      </c>
      <c r="N668" t="e">
        <f>VLOOKUP($J668,'[1]Table S6'!$A:$AI,5,FALSE)</f>
        <v>#N/A</v>
      </c>
      <c r="P668" t="e">
        <f>VLOOKUP($J668,'[1]Table S6'!$A:$AI,7,FALSE)</f>
        <v>#N/A</v>
      </c>
      <c r="Q668" t="e">
        <f>VLOOKUP($J668,'[1]Table S6'!$A:$AI,8,FALSE)</f>
        <v>#N/A</v>
      </c>
      <c r="R668" t="e">
        <f>VLOOKUP($J668,'[1]Table S6'!$A:$AI,9,FALSE)</f>
        <v>#N/A</v>
      </c>
      <c r="S668" t="e">
        <f>VLOOKUP($J668,'[1]Table S6'!$A:$AI,10,FALSE)</f>
        <v>#N/A</v>
      </c>
      <c r="U668" t="e">
        <f>VLOOKUP($J668,'[1]Table S6'!$A:$AI,12,FALSE)</f>
        <v>#N/A</v>
      </c>
      <c r="V668" t="e">
        <f>VLOOKUP($J668,'[1]Table S6'!$A:$AI,13,FALSE)</f>
        <v>#N/A</v>
      </c>
      <c r="W668" t="e">
        <f>VLOOKUP($J668,'[1]Table S6'!$A:$AI,14,FALSE)</f>
        <v>#N/A</v>
      </c>
      <c r="X668" t="e">
        <f>VLOOKUP($J668,'[1]Table S6'!$A:$AI,15,FALSE)</f>
        <v>#N/A</v>
      </c>
      <c r="Z668" t="e">
        <f>VLOOKUP($J668,'[1]Table S6'!$A:$AI,17,FALSE)</f>
        <v>#N/A</v>
      </c>
      <c r="AA668" t="e">
        <f>VLOOKUP($J668,'[1]Table S6'!$A:$AI,18,FALSE)</f>
        <v>#N/A</v>
      </c>
      <c r="AB668" t="e">
        <f>VLOOKUP($J668,'[1]Table S6'!$A:$AI,19,FALSE)</f>
        <v>#N/A</v>
      </c>
      <c r="AC668" t="e">
        <f>VLOOKUP($J668,'[1]Table S6'!$A:$AI,20,FALSE)</f>
        <v>#N/A</v>
      </c>
      <c r="AE668" t="e">
        <f>VLOOKUP($J668,'[1]Table S6'!$A:$AI,22,FALSE)</f>
        <v>#N/A</v>
      </c>
      <c r="AF668" t="e">
        <f>VLOOKUP($J668,'[1]Table S6'!$A:$AI,23,FALSE)</f>
        <v>#N/A</v>
      </c>
      <c r="AG668" t="e">
        <f>VLOOKUP($J668,'[1]Table S6'!$A:$AI,24,FALSE)</f>
        <v>#N/A</v>
      </c>
      <c r="AH668" t="e">
        <f>VLOOKUP($J668,'[1]Table S6'!$A:$AI,25,FALSE)</f>
        <v>#N/A</v>
      </c>
      <c r="AJ668" t="e">
        <f>VLOOKUP($J668,'[1]Table S6'!$A:$AI,27,FALSE)</f>
        <v>#N/A</v>
      </c>
      <c r="AK668" t="e">
        <f>VLOOKUP($J668,'[1]Table S6'!$A:$AI,28,FALSE)</f>
        <v>#N/A</v>
      </c>
      <c r="AL668" t="e">
        <f>VLOOKUP($J668,'[1]Table S6'!$A:$AI,29,FALSE)</f>
        <v>#N/A</v>
      </c>
      <c r="AM668" t="e">
        <f>VLOOKUP($J668,'[1]Table S6'!$A:$AI,30,FALSE)</f>
        <v>#N/A</v>
      </c>
      <c r="AO668" t="e">
        <f>VLOOKUP($J668,'[1]Table S6'!$A:$AI,32,FALSE)</f>
        <v>#N/A</v>
      </c>
      <c r="AP668" t="e">
        <f>VLOOKUP($J668,'[1]Table S6'!$A:$AI,33,FALSE)</f>
        <v>#N/A</v>
      </c>
      <c r="AQ668" t="e">
        <f>VLOOKUP($J668,'[1]Table S6'!$A:$AI,34,FALSE)</f>
        <v>#N/A</v>
      </c>
      <c r="AR668" t="e">
        <f>VLOOKUP($J668,'[1]Table S6'!$A:$AI,35,FALSE)</f>
        <v>#N/A</v>
      </c>
      <c r="AT668" t="e">
        <f>VLOOKUP($I668,'[2]Table S5'!$A:$K,8,FALSE)</f>
        <v>#N/A</v>
      </c>
      <c r="AU668" t="e">
        <f>VLOOKUP($I668,'[2]Table S5'!$A:$K,9,FALSE)</f>
        <v>#N/A</v>
      </c>
      <c r="AV668" t="e">
        <f>VLOOKUP($I668,'[2]Table S5'!$A:$K,10,FALSE)</f>
        <v>#N/A</v>
      </c>
      <c r="AW668" t="e">
        <f>VLOOKUP($I668,'[2]Table S5'!$A:$K,11,FALSE)</f>
        <v>#N/A</v>
      </c>
    </row>
    <row r="669" spans="1:49">
      <c r="A669" s="12" t="s">
        <v>4220</v>
      </c>
      <c r="B669" t="s">
        <v>4221</v>
      </c>
      <c r="C669" t="s">
        <v>4222</v>
      </c>
      <c r="D669" t="s">
        <v>17</v>
      </c>
      <c r="E669" t="s">
        <v>2247</v>
      </c>
      <c r="F669" s="12" t="s">
        <v>2248</v>
      </c>
      <c r="G669" t="s">
        <v>2249</v>
      </c>
      <c r="H669" t="s">
        <v>2250</v>
      </c>
      <c r="I669" t="s">
        <v>2251</v>
      </c>
      <c r="J669" t="s">
        <v>2251</v>
      </c>
      <c r="K669" t="e">
        <f>VLOOKUP($J669,'[1]Table S6'!$A:$AI,2,FALSE)</f>
        <v>#N/A</v>
      </c>
      <c r="L669" t="e">
        <f>VLOOKUP($J669,'[1]Table S6'!$A:$AI,3,FALSE)</f>
        <v>#N/A</v>
      </c>
      <c r="M669" t="e">
        <f>VLOOKUP($J669,'[1]Table S6'!$A:$AI,4,FALSE)</f>
        <v>#N/A</v>
      </c>
      <c r="N669" t="e">
        <f>VLOOKUP($J669,'[1]Table S6'!$A:$AI,5,FALSE)</f>
        <v>#N/A</v>
      </c>
      <c r="P669" t="e">
        <f>VLOOKUP($J669,'[1]Table S6'!$A:$AI,7,FALSE)</f>
        <v>#N/A</v>
      </c>
      <c r="Q669" t="e">
        <f>VLOOKUP($J669,'[1]Table S6'!$A:$AI,8,FALSE)</f>
        <v>#N/A</v>
      </c>
      <c r="R669" t="e">
        <f>VLOOKUP($J669,'[1]Table S6'!$A:$AI,9,FALSE)</f>
        <v>#N/A</v>
      </c>
      <c r="S669" t="e">
        <f>VLOOKUP($J669,'[1]Table S6'!$A:$AI,10,FALSE)</f>
        <v>#N/A</v>
      </c>
      <c r="U669" t="e">
        <f>VLOOKUP($J669,'[1]Table S6'!$A:$AI,12,FALSE)</f>
        <v>#N/A</v>
      </c>
      <c r="V669" t="e">
        <f>VLOOKUP($J669,'[1]Table S6'!$A:$AI,13,FALSE)</f>
        <v>#N/A</v>
      </c>
      <c r="W669" t="e">
        <f>VLOOKUP($J669,'[1]Table S6'!$A:$AI,14,FALSE)</f>
        <v>#N/A</v>
      </c>
      <c r="X669" t="e">
        <f>VLOOKUP($J669,'[1]Table S6'!$A:$AI,15,FALSE)</f>
        <v>#N/A</v>
      </c>
      <c r="Z669" t="e">
        <f>VLOOKUP($J669,'[1]Table S6'!$A:$AI,17,FALSE)</f>
        <v>#N/A</v>
      </c>
      <c r="AA669" t="e">
        <f>VLOOKUP($J669,'[1]Table S6'!$A:$AI,18,FALSE)</f>
        <v>#N/A</v>
      </c>
      <c r="AB669" t="e">
        <f>VLOOKUP($J669,'[1]Table S6'!$A:$AI,19,FALSE)</f>
        <v>#N/A</v>
      </c>
      <c r="AC669" t="e">
        <f>VLOOKUP($J669,'[1]Table S6'!$A:$AI,20,FALSE)</f>
        <v>#N/A</v>
      </c>
      <c r="AE669" t="e">
        <f>VLOOKUP($J669,'[1]Table S6'!$A:$AI,22,FALSE)</f>
        <v>#N/A</v>
      </c>
      <c r="AF669" t="e">
        <f>VLOOKUP($J669,'[1]Table S6'!$A:$AI,23,FALSE)</f>
        <v>#N/A</v>
      </c>
      <c r="AG669" t="e">
        <f>VLOOKUP($J669,'[1]Table S6'!$A:$AI,24,FALSE)</f>
        <v>#N/A</v>
      </c>
      <c r="AH669" t="e">
        <f>VLOOKUP($J669,'[1]Table S6'!$A:$AI,25,FALSE)</f>
        <v>#N/A</v>
      </c>
      <c r="AJ669" t="e">
        <f>VLOOKUP($J669,'[1]Table S6'!$A:$AI,27,FALSE)</f>
        <v>#N/A</v>
      </c>
      <c r="AK669" t="e">
        <f>VLOOKUP($J669,'[1]Table S6'!$A:$AI,28,FALSE)</f>
        <v>#N/A</v>
      </c>
      <c r="AL669" t="e">
        <f>VLOOKUP($J669,'[1]Table S6'!$A:$AI,29,FALSE)</f>
        <v>#N/A</v>
      </c>
      <c r="AM669" t="e">
        <f>VLOOKUP($J669,'[1]Table S6'!$A:$AI,30,FALSE)</f>
        <v>#N/A</v>
      </c>
      <c r="AO669" t="e">
        <f>VLOOKUP($J669,'[1]Table S6'!$A:$AI,32,FALSE)</f>
        <v>#N/A</v>
      </c>
      <c r="AP669" t="e">
        <f>VLOOKUP($J669,'[1]Table S6'!$A:$AI,33,FALSE)</f>
        <v>#N/A</v>
      </c>
      <c r="AQ669" t="e">
        <f>VLOOKUP($J669,'[1]Table S6'!$A:$AI,34,FALSE)</f>
        <v>#N/A</v>
      </c>
      <c r="AR669" t="e">
        <f>VLOOKUP($J669,'[1]Table S6'!$A:$AI,35,FALSE)</f>
        <v>#N/A</v>
      </c>
      <c r="AT669" t="e">
        <f>VLOOKUP($I669,'[2]Table S5'!$A:$K,8,FALSE)</f>
        <v>#N/A</v>
      </c>
      <c r="AU669" t="e">
        <f>VLOOKUP($I669,'[2]Table S5'!$A:$K,9,FALSE)</f>
        <v>#N/A</v>
      </c>
      <c r="AV669" t="e">
        <f>VLOOKUP($I669,'[2]Table S5'!$A:$K,10,FALSE)</f>
        <v>#N/A</v>
      </c>
      <c r="AW669" t="e">
        <f>VLOOKUP($I669,'[2]Table S5'!$A:$K,11,FALSE)</f>
        <v>#N/A</v>
      </c>
    </row>
    <row r="670" spans="1:49">
      <c r="A670" s="12" t="s">
        <v>4223</v>
      </c>
      <c r="B670" t="s">
        <v>4224</v>
      </c>
      <c r="C670" t="s">
        <v>4225</v>
      </c>
      <c r="D670" t="s">
        <v>17</v>
      </c>
      <c r="E670" t="s">
        <v>2270</v>
      </c>
      <c r="F670" s="12" t="s">
        <v>2271</v>
      </c>
      <c r="G670" t="s">
        <v>2272</v>
      </c>
      <c r="H670" t="s">
        <v>2273</v>
      </c>
      <c r="I670" t="s">
        <v>2266</v>
      </c>
      <c r="J670" t="s">
        <v>2266</v>
      </c>
      <c r="K670" t="e">
        <f>VLOOKUP($J670,'[1]Table S6'!$A:$AI,2,FALSE)</f>
        <v>#N/A</v>
      </c>
      <c r="L670" t="e">
        <f>VLOOKUP($J670,'[1]Table S6'!$A:$AI,3,FALSE)</f>
        <v>#N/A</v>
      </c>
      <c r="M670" t="e">
        <f>VLOOKUP($J670,'[1]Table S6'!$A:$AI,4,FALSE)</f>
        <v>#N/A</v>
      </c>
      <c r="N670" t="e">
        <f>VLOOKUP($J670,'[1]Table S6'!$A:$AI,5,FALSE)</f>
        <v>#N/A</v>
      </c>
      <c r="P670" t="e">
        <f>VLOOKUP($J670,'[1]Table S6'!$A:$AI,7,FALSE)</f>
        <v>#N/A</v>
      </c>
      <c r="Q670" t="e">
        <f>VLOOKUP($J670,'[1]Table S6'!$A:$AI,8,FALSE)</f>
        <v>#N/A</v>
      </c>
      <c r="R670" t="e">
        <f>VLOOKUP($J670,'[1]Table S6'!$A:$AI,9,FALSE)</f>
        <v>#N/A</v>
      </c>
      <c r="S670" t="e">
        <f>VLOOKUP($J670,'[1]Table S6'!$A:$AI,10,FALSE)</f>
        <v>#N/A</v>
      </c>
      <c r="U670" t="e">
        <f>VLOOKUP($J670,'[1]Table S6'!$A:$AI,12,FALSE)</f>
        <v>#N/A</v>
      </c>
      <c r="V670" t="e">
        <f>VLOOKUP($J670,'[1]Table S6'!$A:$AI,13,FALSE)</f>
        <v>#N/A</v>
      </c>
      <c r="W670" t="e">
        <f>VLOOKUP($J670,'[1]Table S6'!$A:$AI,14,FALSE)</f>
        <v>#N/A</v>
      </c>
      <c r="X670" t="e">
        <f>VLOOKUP($J670,'[1]Table S6'!$A:$AI,15,FALSE)</f>
        <v>#N/A</v>
      </c>
      <c r="Z670" t="e">
        <f>VLOOKUP($J670,'[1]Table S6'!$A:$AI,17,FALSE)</f>
        <v>#N/A</v>
      </c>
      <c r="AA670" t="e">
        <f>VLOOKUP($J670,'[1]Table S6'!$A:$AI,18,FALSE)</f>
        <v>#N/A</v>
      </c>
      <c r="AB670" t="e">
        <f>VLOOKUP($J670,'[1]Table S6'!$A:$AI,19,FALSE)</f>
        <v>#N/A</v>
      </c>
      <c r="AC670" t="e">
        <f>VLOOKUP($J670,'[1]Table S6'!$A:$AI,20,FALSE)</f>
        <v>#N/A</v>
      </c>
      <c r="AE670" t="e">
        <f>VLOOKUP($J670,'[1]Table S6'!$A:$AI,22,FALSE)</f>
        <v>#N/A</v>
      </c>
      <c r="AF670" t="e">
        <f>VLOOKUP($J670,'[1]Table S6'!$A:$AI,23,FALSE)</f>
        <v>#N/A</v>
      </c>
      <c r="AG670" t="e">
        <f>VLOOKUP($J670,'[1]Table S6'!$A:$AI,24,FALSE)</f>
        <v>#N/A</v>
      </c>
      <c r="AH670" t="e">
        <f>VLOOKUP($J670,'[1]Table S6'!$A:$AI,25,FALSE)</f>
        <v>#N/A</v>
      </c>
      <c r="AJ670" t="e">
        <f>VLOOKUP($J670,'[1]Table S6'!$A:$AI,27,FALSE)</f>
        <v>#N/A</v>
      </c>
      <c r="AK670" t="e">
        <f>VLOOKUP($J670,'[1]Table S6'!$A:$AI,28,FALSE)</f>
        <v>#N/A</v>
      </c>
      <c r="AL670" t="e">
        <f>VLOOKUP($J670,'[1]Table S6'!$A:$AI,29,FALSE)</f>
        <v>#N/A</v>
      </c>
      <c r="AM670" t="e">
        <f>VLOOKUP($J670,'[1]Table S6'!$A:$AI,30,FALSE)</f>
        <v>#N/A</v>
      </c>
      <c r="AO670" t="e">
        <f>VLOOKUP($J670,'[1]Table S6'!$A:$AI,32,FALSE)</f>
        <v>#N/A</v>
      </c>
      <c r="AP670" t="e">
        <f>VLOOKUP($J670,'[1]Table S6'!$A:$AI,33,FALSE)</f>
        <v>#N/A</v>
      </c>
      <c r="AQ670" t="e">
        <f>VLOOKUP($J670,'[1]Table S6'!$A:$AI,34,FALSE)</f>
        <v>#N/A</v>
      </c>
      <c r="AR670" t="e">
        <f>VLOOKUP($J670,'[1]Table S6'!$A:$AI,35,FALSE)</f>
        <v>#N/A</v>
      </c>
      <c r="AT670" t="e">
        <f>VLOOKUP($I670,'[2]Table S5'!$A:$K,8,FALSE)</f>
        <v>#N/A</v>
      </c>
      <c r="AU670" t="e">
        <f>VLOOKUP($I670,'[2]Table S5'!$A:$K,9,FALSE)</f>
        <v>#N/A</v>
      </c>
      <c r="AV670" t="e">
        <f>VLOOKUP($I670,'[2]Table S5'!$A:$K,10,FALSE)</f>
        <v>#N/A</v>
      </c>
      <c r="AW670" t="e">
        <f>VLOOKUP($I670,'[2]Table S5'!$A:$K,11,FALSE)</f>
        <v>#N/A</v>
      </c>
    </row>
    <row r="671" spans="1:49">
      <c r="A671" s="12" t="s">
        <v>4226</v>
      </c>
      <c r="B671" t="s">
        <v>4227</v>
      </c>
      <c r="C671" t="s">
        <v>4228</v>
      </c>
      <c r="D671" t="s">
        <v>17</v>
      </c>
      <c r="E671" t="s">
        <v>2277</v>
      </c>
      <c r="F671" s="12" t="s">
        <v>2278</v>
      </c>
      <c r="G671" t="s">
        <v>2279</v>
      </c>
      <c r="H671" t="s">
        <v>2280</v>
      </c>
      <c r="I671" t="s">
        <v>2266</v>
      </c>
      <c r="J671" t="s">
        <v>2266</v>
      </c>
      <c r="K671" t="e">
        <f>VLOOKUP($J671,'[1]Table S6'!$A:$AI,2,FALSE)</f>
        <v>#N/A</v>
      </c>
      <c r="L671" t="e">
        <f>VLOOKUP($J671,'[1]Table S6'!$A:$AI,3,FALSE)</f>
        <v>#N/A</v>
      </c>
      <c r="M671" t="e">
        <f>VLOOKUP($J671,'[1]Table S6'!$A:$AI,4,FALSE)</f>
        <v>#N/A</v>
      </c>
      <c r="N671" t="e">
        <f>VLOOKUP($J671,'[1]Table S6'!$A:$AI,5,FALSE)</f>
        <v>#N/A</v>
      </c>
      <c r="P671" t="e">
        <f>VLOOKUP($J671,'[1]Table S6'!$A:$AI,7,FALSE)</f>
        <v>#N/A</v>
      </c>
      <c r="Q671" t="e">
        <f>VLOOKUP($J671,'[1]Table S6'!$A:$AI,8,FALSE)</f>
        <v>#N/A</v>
      </c>
      <c r="R671" t="e">
        <f>VLOOKUP($J671,'[1]Table S6'!$A:$AI,9,FALSE)</f>
        <v>#N/A</v>
      </c>
      <c r="S671" t="e">
        <f>VLOOKUP($J671,'[1]Table S6'!$A:$AI,10,FALSE)</f>
        <v>#N/A</v>
      </c>
      <c r="U671" t="e">
        <f>VLOOKUP($J671,'[1]Table S6'!$A:$AI,12,FALSE)</f>
        <v>#N/A</v>
      </c>
      <c r="V671" t="e">
        <f>VLOOKUP($J671,'[1]Table S6'!$A:$AI,13,FALSE)</f>
        <v>#N/A</v>
      </c>
      <c r="W671" t="e">
        <f>VLOOKUP($J671,'[1]Table S6'!$A:$AI,14,FALSE)</f>
        <v>#N/A</v>
      </c>
      <c r="X671" t="e">
        <f>VLOOKUP($J671,'[1]Table S6'!$A:$AI,15,FALSE)</f>
        <v>#N/A</v>
      </c>
      <c r="Z671" t="e">
        <f>VLOOKUP($J671,'[1]Table S6'!$A:$AI,17,FALSE)</f>
        <v>#N/A</v>
      </c>
      <c r="AA671" t="e">
        <f>VLOOKUP($J671,'[1]Table S6'!$A:$AI,18,FALSE)</f>
        <v>#N/A</v>
      </c>
      <c r="AB671" t="e">
        <f>VLOOKUP($J671,'[1]Table S6'!$A:$AI,19,FALSE)</f>
        <v>#N/A</v>
      </c>
      <c r="AC671" t="e">
        <f>VLOOKUP($J671,'[1]Table S6'!$A:$AI,20,FALSE)</f>
        <v>#N/A</v>
      </c>
      <c r="AE671" t="e">
        <f>VLOOKUP($J671,'[1]Table S6'!$A:$AI,22,FALSE)</f>
        <v>#N/A</v>
      </c>
      <c r="AF671" t="e">
        <f>VLOOKUP($J671,'[1]Table S6'!$A:$AI,23,FALSE)</f>
        <v>#N/A</v>
      </c>
      <c r="AG671" t="e">
        <f>VLOOKUP($J671,'[1]Table S6'!$A:$AI,24,FALSE)</f>
        <v>#N/A</v>
      </c>
      <c r="AH671" t="e">
        <f>VLOOKUP($J671,'[1]Table S6'!$A:$AI,25,FALSE)</f>
        <v>#N/A</v>
      </c>
      <c r="AJ671" t="e">
        <f>VLOOKUP($J671,'[1]Table S6'!$A:$AI,27,FALSE)</f>
        <v>#N/A</v>
      </c>
      <c r="AK671" t="e">
        <f>VLOOKUP($J671,'[1]Table S6'!$A:$AI,28,FALSE)</f>
        <v>#N/A</v>
      </c>
      <c r="AL671" t="e">
        <f>VLOOKUP($J671,'[1]Table S6'!$A:$AI,29,FALSE)</f>
        <v>#N/A</v>
      </c>
      <c r="AM671" t="e">
        <f>VLOOKUP($J671,'[1]Table S6'!$A:$AI,30,FALSE)</f>
        <v>#N/A</v>
      </c>
      <c r="AO671" t="e">
        <f>VLOOKUP($J671,'[1]Table S6'!$A:$AI,32,FALSE)</f>
        <v>#N/A</v>
      </c>
      <c r="AP671" t="e">
        <f>VLOOKUP($J671,'[1]Table S6'!$A:$AI,33,FALSE)</f>
        <v>#N/A</v>
      </c>
      <c r="AQ671" t="e">
        <f>VLOOKUP($J671,'[1]Table S6'!$A:$AI,34,FALSE)</f>
        <v>#N/A</v>
      </c>
      <c r="AR671" t="e">
        <f>VLOOKUP($J671,'[1]Table S6'!$A:$AI,35,FALSE)</f>
        <v>#N/A</v>
      </c>
      <c r="AT671" t="e">
        <f>VLOOKUP($I671,'[2]Table S5'!$A:$K,8,FALSE)</f>
        <v>#N/A</v>
      </c>
      <c r="AU671" t="e">
        <f>VLOOKUP($I671,'[2]Table S5'!$A:$K,9,FALSE)</f>
        <v>#N/A</v>
      </c>
      <c r="AV671" t="e">
        <f>VLOOKUP($I671,'[2]Table S5'!$A:$K,10,FALSE)</f>
        <v>#N/A</v>
      </c>
      <c r="AW671" t="e">
        <f>VLOOKUP($I671,'[2]Table S5'!$A:$K,11,FALSE)</f>
        <v>#N/A</v>
      </c>
    </row>
    <row r="672" spans="1:49">
      <c r="A672" s="12" t="s">
        <v>4229</v>
      </c>
      <c r="B672" t="s">
        <v>4230</v>
      </c>
      <c r="C672" t="s">
        <v>4231</v>
      </c>
      <c r="D672" t="s">
        <v>17</v>
      </c>
      <c r="E672" t="s">
        <v>2284</v>
      </c>
      <c r="F672" s="12" t="s">
        <v>2285</v>
      </c>
      <c r="G672" t="s">
        <v>2286</v>
      </c>
      <c r="H672" t="s">
        <v>2287</v>
      </c>
      <c r="I672" t="s">
        <v>2266</v>
      </c>
      <c r="J672" t="s">
        <v>2266</v>
      </c>
      <c r="K672" t="e">
        <f>VLOOKUP($J672,'[1]Table S6'!$A:$AI,2,FALSE)</f>
        <v>#N/A</v>
      </c>
      <c r="L672" t="e">
        <f>VLOOKUP($J672,'[1]Table S6'!$A:$AI,3,FALSE)</f>
        <v>#N/A</v>
      </c>
      <c r="M672" t="e">
        <f>VLOOKUP($J672,'[1]Table S6'!$A:$AI,4,FALSE)</f>
        <v>#N/A</v>
      </c>
      <c r="N672" t="e">
        <f>VLOOKUP($J672,'[1]Table S6'!$A:$AI,5,FALSE)</f>
        <v>#N/A</v>
      </c>
      <c r="P672" t="e">
        <f>VLOOKUP($J672,'[1]Table S6'!$A:$AI,7,FALSE)</f>
        <v>#N/A</v>
      </c>
      <c r="Q672" t="e">
        <f>VLOOKUP($J672,'[1]Table S6'!$A:$AI,8,FALSE)</f>
        <v>#N/A</v>
      </c>
      <c r="R672" t="e">
        <f>VLOOKUP($J672,'[1]Table S6'!$A:$AI,9,FALSE)</f>
        <v>#N/A</v>
      </c>
      <c r="S672" t="e">
        <f>VLOOKUP($J672,'[1]Table S6'!$A:$AI,10,FALSE)</f>
        <v>#N/A</v>
      </c>
      <c r="U672" t="e">
        <f>VLOOKUP($J672,'[1]Table S6'!$A:$AI,12,FALSE)</f>
        <v>#N/A</v>
      </c>
      <c r="V672" t="e">
        <f>VLOOKUP($J672,'[1]Table S6'!$A:$AI,13,FALSE)</f>
        <v>#N/A</v>
      </c>
      <c r="W672" t="e">
        <f>VLOOKUP($J672,'[1]Table S6'!$A:$AI,14,FALSE)</f>
        <v>#N/A</v>
      </c>
      <c r="X672" t="e">
        <f>VLOOKUP($J672,'[1]Table S6'!$A:$AI,15,FALSE)</f>
        <v>#N/A</v>
      </c>
      <c r="Z672" t="e">
        <f>VLOOKUP($J672,'[1]Table S6'!$A:$AI,17,FALSE)</f>
        <v>#N/A</v>
      </c>
      <c r="AA672" t="e">
        <f>VLOOKUP($J672,'[1]Table S6'!$A:$AI,18,FALSE)</f>
        <v>#N/A</v>
      </c>
      <c r="AB672" t="e">
        <f>VLOOKUP($J672,'[1]Table S6'!$A:$AI,19,FALSE)</f>
        <v>#N/A</v>
      </c>
      <c r="AC672" t="e">
        <f>VLOOKUP($J672,'[1]Table S6'!$A:$AI,20,FALSE)</f>
        <v>#N/A</v>
      </c>
      <c r="AE672" t="e">
        <f>VLOOKUP($J672,'[1]Table S6'!$A:$AI,22,FALSE)</f>
        <v>#N/A</v>
      </c>
      <c r="AF672" t="e">
        <f>VLOOKUP($J672,'[1]Table S6'!$A:$AI,23,FALSE)</f>
        <v>#N/A</v>
      </c>
      <c r="AG672" t="e">
        <f>VLOOKUP($J672,'[1]Table S6'!$A:$AI,24,FALSE)</f>
        <v>#N/A</v>
      </c>
      <c r="AH672" t="e">
        <f>VLOOKUP($J672,'[1]Table S6'!$A:$AI,25,FALSE)</f>
        <v>#N/A</v>
      </c>
      <c r="AJ672" t="e">
        <f>VLOOKUP($J672,'[1]Table S6'!$A:$AI,27,FALSE)</f>
        <v>#N/A</v>
      </c>
      <c r="AK672" t="e">
        <f>VLOOKUP($J672,'[1]Table S6'!$A:$AI,28,FALSE)</f>
        <v>#N/A</v>
      </c>
      <c r="AL672" t="e">
        <f>VLOOKUP($J672,'[1]Table S6'!$A:$AI,29,FALSE)</f>
        <v>#N/A</v>
      </c>
      <c r="AM672" t="e">
        <f>VLOOKUP($J672,'[1]Table S6'!$A:$AI,30,FALSE)</f>
        <v>#N/A</v>
      </c>
      <c r="AO672" t="e">
        <f>VLOOKUP($J672,'[1]Table S6'!$A:$AI,32,FALSE)</f>
        <v>#N/A</v>
      </c>
      <c r="AP672" t="e">
        <f>VLOOKUP($J672,'[1]Table S6'!$A:$AI,33,FALSE)</f>
        <v>#N/A</v>
      </c>
      <c r="AQ672" t="e">
        <f>VLOOKUP($J672,'[1]Table S6'!$A:$AI,34,FALSE)</f>
        <v>#N/A</v>
      </c>
      <c r="AR672" t="e">
        <f>VLOOKUP($J672,'[1]Table S6'!$A:$AI,35,FALSE)</f>
        <v>#N/A</v>
      </c>
      <c r="AT672" t="e">
        <f>VLOOKUP($I672,'[2]Table S5'!$A:$K,8,FALSE)</f>
        <v>#N/A</v>
      </c>
      <c r="AU672" t="e">
        <f>VLOOKUP($I672,'[2]Table S5'!$A:$K,9,FALSE)</f>
        <v>#N/A</v>
      </c>
      <c r="AV672" t="e">
        <f>VLOOKUP($I672,'[2]Table S5'!$A:$K,10,FALSE)</f>
        <v>#N/A</v>
      </c>
      <c r="AW672" t="e">
        <f>VLOOKUP($I672,'[2]Table S5'!$A:$K,11,FALSE)</f>
        <v>#N/A</v>
      </c>
    </row>
    <row r="673" spans="1:49">
      <c r="A673" s="12" t="s">
        <v>4232</v>
      </c>
      <c r="B673" t="s">
        <v>4233</v>
      </c>
      <c r="C673" t="s">
        <v>4234</v>
      </c>
      <c r="D673" t="s">
        <v>17</v>
      </c>
      <c r="E673" t="s">
        <v>2299</v>
      </c>
      <c r="F673" s="12" t="s">
        <v>2300</v>
      </c>
      <c r="G673" t="s">
        <v>2301</v>
      </c>
      <c r="H673" t="s">
        <v>2302</v>
      </c>
      <c r="I673" t="s">
        <v>2295</v>
      </c>
      <c r="J673" t="s">
        <v>2295</v>
      </c>
      <c r="K673" t="e">
        <f>VLOOKUP($J673,'[1]Table S6'!$A:$AI,2,FALSE)</f>
        <v>#N/A</v>
      </c>
      <c r="L673" t="e">
        <f>VLOOKUP($J673,'[1]Table S6'!$A:$AI,3,FALSE)</f>
        <v>#N/A</v>
      </c>
      <c r="M673" t="e">
        <f>VLOOKUP($J673,'[1]Table S6'!$A:$AI,4,FALSE)</f>
        <v>#N/A</v>
      </c>
      <c r="N673" t="e">
        <f>VLOOKUP($J673,'[1]Table S6'!$A:$AI,5,FALSE)</f>
        <v>#N/A</v>
      </c>
      <c r="P673" t="e">
        <f>VLOOKUP($J673,'[1]Table S6'!$A:$AI,7,FALSE)</f>
        <v>#N/A</v>
      </c>
      <c r="Q673" t="e">
        <f>VLOOKUP($J673,'[1]Table S6'!$A:$AI,8,FALSE)</f>
        <v>#N/A</v>
      </c>
      <c r="R673" t="e">
        <f>VLOOKUP($J673,'[1]Table S6'!$A:$AI,9,FALSE)</f>
        <v>#N/A</v>
      </c>
      <c r="S673" t="e">
        <f>VLOOKUP($J673,'[1]Table S6'!$A:$AI,10,FALSE)</f>
        <v>#N/A</v>
      </c>
      <c r="U673" t="e">
        <f>VLOOKUP($J673,'[1]Table S6'!$A:$AI,12,FALSE)</f>
        <v>#N/A</v>
      </c>
      <c r="V673" t="e">
        <f>VLOOKUP($J673,'[1]Table S6'!$A:$AI,13,FALSE)</f>
        <v>#N/A</v>
      </c>
      <c r="W673" t="e">
        <f>VLOOKUP($J673,'[1]Table S6'!$A:$AI,14,FALSE)</f>
        <v>#N/A</v>
      </c>
      <c r="X673" t="e">
        <f>VLOOKUP($J673,'[1]Table S6'!$A:$AI,15,FALSE)</f>
        <v>#N/A</v>
      </c>
      <c r="Z673" t="e">
        <f>VLOOKUP($J673,'[1]Table S6'!$A:$AI,17,FALSE)</f>
        <v>#N/A</v>
      </c>
      <c r="AA673" t="e">
        <f>VLOOKUP($J673,'[1]Table S6'!$A:$AI,18,FALSE)</f>
        <v>#N/A</v>
      </c>
      <c r="AB673" t="e">
        <f>VLOOKUP($J673,'[1]Table S6'!$A:$AI,19,FALSE)</f>
        <v>#N/A</v>
      </c>
      <c r="AC673" t="e">
        <f>VLOOKUP($J673,'[1]Table S6'!$A:$AI,20,FALSE)</f>
        <v>#N/A</v>
      </c>
      <c r="AE673" t="e">
        <f>VLOOKUP($J673,'[1]Table S6'!$A:$AI,22,FALSE)</f>
        <v>#N/A</v>
      </c>
      <c r="AF673" t="e">
        <f>VLOOKUP($J673,'[1]Table S6'!$A:$AI,23,FALSE)</f>
        <v>#N/A</v>
      </c>
      <c r="AG673" t="e">
        <f>VLOOKUP($J673,'[1]Table S6'!$A:$AI,24,FALSE)</f>
        <v>#N/A</v>
      </c>
      <c r="AH673" t="e">
        <f>VLOOKUP($J673,'[1]Table S6'!$A:$AI,25,FALSE)</f>
        <v>#N/A</v>
      </c>
      <c r="AJ673" t="e">
        <f>VLOOKUP($J673,'[1]Table S6'!$A:$AI,27,FALSE)</f>
        <v>#N/A</v>
      </c>
      <c r="AK673" t="e">
        <f>VLOOKUP($J673,'[1]Table S6'!$A:$AI,28,FALSE)</f>
        <v>#N/A</v>
      </c>
      <c r="AL673" t="e">
        <f>VLOOKUP($J673,'[1]Table S6'!$A:$AI,29,FALSE)</f>
        <v>#N/A</v>
      </c>
      <c r="AM673" t="e">
        <f>VLOOKUP($J673,'[1]Table S6'!$A:$AI,30,FALSE)</f>
        <v>#N/A</v>
      </c>
      <c r="AO673" t="e">
        <f>VLOOKUP($J673,'[1]Table S6'!$A:$AI,32,FALSE)</f>
        <v>#N/A</v>
      </c>
      <c r="AP673" t="e">
        <f>VLOOKUP($J673,'[1]Table S6'!$A:$AI,33,FALSE)</f>
        <v>#N/A</v>
      </c>
      <c r="AQ673" t="e">
        <f>VLOOKUP($J673,'[1]Table S6'!$A:$AI,34,FALSE)</f>
        <v>#N/A</v>
      </c>
      <c r="AR673" t="e">
        <f>VLOOKUP($J673,'[1]Table S6'!$A:$AI,35,FALSE)</f>
        <v>#N/A</v>
      </c>
      <c r="AT673" t="e">
        <f>VLOOKUP($I673,'[2]Table S5'!$A:$K,8,FALSE)</f>
        <v>#N/A</v>
      </c>
      <c r="AU673" t="e">
        <f>VLOOKUP($I673,'[2]Table S5'!$A:$K,9,FALSE)</f>
        <v>#N/A</v>
      </c>
      <c r="AV673" t="e">
        <f>VLOOKUP($I673,'[2]Table S5'!$A:$K,10,FALSE)</f>
        <v>#N/A</v>
      </c>
      <c r="AW673" t="e">
        <f>VLOOKUP($I673,'[2]Table S5'!$A:$K,11,FALSE)</f>
        <v>#N/A</v>
      </c>
    </row>
    <row r="674" spans="1:49">
      <c r="A674" s="12" t="s">
        <v>4235</v>
      </c>
      <c r="B674" t="s">
        <v>4236</v>
      </c>
      <c r="C674" t="s">
        <v>4237</v>
      </c>
      <c r="D674" t="s">
        <v>17</v>
      </c>
      <c r="E674" t="s">
        <v>2306</v>
      </c>
      <c r="F674" s="12" t="s">
        <v>2307</v>
      </c>
      <c r="G674" t="s">
        <v>2308</v>
      </c>
      <c r="H674" t="s">
        <v>2309</v>
      </c>
      <c r="I674" t="s">
        <v>2295</v>
      </c>
      <c r="J674" t="s">
        <v>2295</v>
      </c>
      <c r="K674" t="e">
        <f>VLOOKUP($J674,'[1]Table S6'!$A:$AI,2,FALSE)</f>
        <v>#N/A</v>
      </c>
      <c r="L674" t="e">
        <f>VLOOKUP($J674,'[1]Table S6'!$A:$AI,3,FALSE)</f>
        <v>#N/A</v>
      </c>
      <c r="M674" t="e">
        <f>VLOOKUP($J674,'[1]Table S6'!$A:$AI,4,FALSE)</f>
        <v>#N/A</v>
      </c>
      <c r="N674" t="e">
        <f>VLOOKUP($J674,'[1]Table S6'!$A:$AI,5,FALSE)</f>
        <v>#N/A</v>
      </c>
      <c r="P674" t="e">
        <f>VLOOKUP($J674,'[1]Table S6'!$A:$AI,7,FALSE)</f>
        <v>#N/A</v>
      </c>
      <c r="Q674" t="e">
        <f>VLOOKUP($J674,'[1]Table S6'!$A:$AI,8,FALSE)</f>
        <v>#N/A</v>
      </c>
      <c r="R674" t="e">
        <f>VLOOKUP($J674,'[1]Table S6'!$A:$AI,9,FALSE)</f>
        <v>#N/A</v>
      </c>
      <c r="S674" t="e">
        <f>VLOOKUP($J674,'[1]Table S6'!$A:$AI,10,FALSE)</f>
        <v>#N/A</v>
      </c>
      <c r="U674" t="e">
        <f>VLOOKUP($J674,'[1]Table S6'!$A:$AI,12,FALSE)</f>
        <v>#N/A</v>
      </c>
      <c r="V674" t="e">
        <f>VLOOKUP($J674,'[1]Table S6'!$A:$AI,13,FALSE)</f>
        <v>#N/A</v>
      </c>
      <c r="W674" t="e">
        <f>VLOOKUP($J674,'[1]Table S6'!$A:$AI,14,FALSE)</f>
        <v>#N/A</v>
      </c>
      <c r="X674" t="e">
        <f>VLOOKUP($J674,'[1]Table S6'!$A:$AI,15,FALSE)</f>
        <v>#N/A</v>
      </c>
      <c r="Z674" t="e">
        <f>VLOOKUP($J674,'[1]Table S6'!$A:$AI,17,FALSE)</f>
        <v>#N/A</v>
      </c>
      <c r="AA674" t="e">
        <f>VLOOKUP($J674,'[1]Table S6'!$A:$AI,18,FALSE)</f>
        <v>#N/A</v>
      </c>
      <c r="AB674" t="e">
        <f>VLOOKUP($J674,'[1]Table S6'!$A:$AI,19,FALSE)</f>
        <v>#N/A</v>
      </c>
      <c r="AC674" t="e">
        <f>VLOOKUP($J674,'[1]Table S6'!$A:$AI,20,FALSE)</f>
        <v>#N/A</v>
      </c>
      <c r="AE674" t="e">
        <f>VLOOKUP($J674,'[1]Table S6'!$A:$AI,22,FALSE)</f>
        <v>#N/A</v>
      </c>
      <c r="AF674" t="e">
        <f>VLOOKUP($J674,'[1]Table S6'!$A:$AI,23,FALSE)</f>
        <v>#N/A</v>
      </c>
      <c r="AG674" t="e">
        <f>VLOOKUP($J674,'[1]Table S6'!$A:$AI,24,FALSE)</f>
        <v>#N/A</v>
      </c>
      <c r="AH674" t="e">
        <f>VLOOKUP($J674,'[1]Table S6'!$A:$AI,25,FALSE)</f>
        <v>#N/A</v>
      </c>
      <c r="AJ674" t="e">
        <f>VLOOKUP($J674,'[1]Table S6'!$A:$AI,27,FALSE)</f>
        <v>#N/A</v>
      </c>
      <c r="AK674" t="e">
        <f>VLOOKUP($J674,'[1]Table S6'!$A:$AI,28,FALSE)</f>
        <v>#N/A</v>
      </c>
      <c r="AL674" t="e">
        <f>VLOOKUP($J674,'[1]Table S6'!$A:$AI,29,FALSE)</f>
        <v>#N/A</v>
      </c>
      <c r="AM674" t="e">
        <f>VLOOKUP($J674,'[1]Table S6'!$A:$AI,30,FALSE)</f>
        <v>#N/A</v>
      </c>
      <c r="AO674" t="e">
        <f>VLOOKUP($J674,'[1]Table S6'!$A:$AI,32,FALSE)</f>
        <v>#N/A</v>
      </c>
      <c r="AP674" t="e">
        <f>VLOOKUP($J674,'[1]Table S6'!$A:$AI,33,FALSE)</f>
        <v>#N/A</v>
      </c>
      <c r="AQ674" t="e">
        <f>VLOOKUP($J674,'[1]Table S6'!$A:$AI,34,FALSE)</f>
        <v>#N/A</v>
      </c>
      <c r="AR674" t="e">
        <f>VLOOKUP($J674,'[1]Table S6'!$A:$AI,35,FALSE)</f>
        <v>#N/A</v>
      </c>
      <c r="AT674" t="e">
        <f>VLOOKUP($I674,'[2]Table S5'!$A:$K,8,FALSE)</f>
        <v>#N/A</v>
      </c>
      <c r="AU674" t="e">
        <f>VLOOKUP($I674,'[2]Table S5'!$A:$K,9,FALSE)</f>
        <v>#N/A</v>
      </c>
      <c r="AV674" t="e">
        <f>VLOOKUP($I674,'[2]Table S5'!$A:$K,10,FALSE)</f>
        <v>#N/A</v>
      </c>
      <c r="AW674" t="e">
        <f>VLOOKUP($I674,'[2]Table S5'!$A:$K,11,FALSE)</f>
        <v>#N/A</v>
      </c>
    </row>
    <row r="675" spans="1:49">
      <c r="A675" s="12" t="s">
        <v>4238</v>
      </c>
      <c r="B675" t="s">
        <v>4239</v>
      </c>
      <c r="C675" t="s">
        <v>4240</v>
      </c>
      <c r="D675" t="s">
        <v>17</v>
      </c>
      <c r="E675" t="s">
        <v>2313</v>
      </c>
      <c r="F675" s="12" t="s">
        <v>2314</v>
      </c>
      <c r="G675" t="s">
        <v>2315</v>
      </c>
      <c r="H675" t="s">
        <v>2316</v>
      </c>
      <c r="I675" t="s">
        <v>2295</v>
      </c>
      <c r="J675" t="s">
        <v>2295</v>
      </c>
      <c r="K675" t="e">
        <f>VLOOKUP($J675,'[1]Table S6'!$A:$AI,2,FALSE)</f>
        <v>#N/A</v>
      </c>
      <c r="L675" t="e">
        <f>VLOOKUP($J675,'[1]Table S6'!$A:$AI,3,FALSE)</f>
        <v>#N/A</v>
      </c>
      <c r="M675" t="e">
        <f>VLOOKUP($J675,'[1]Table S6'!$A:$AI,4,FALSE)</f>
        <v>#N/A</v>
      </c>
      <c r="N675" t="e">
        <f>VLOOKUP($J675,'[1]Table S6'!$A:$AI,5,FALSE)</f>
        <v>#N/A</v>
      </c>
      <c r="P675" t="e">
        <f>VLOOKUP($J675,'[1]Table S6'!$A:$AI,7,FALSE)</f>
        <v>#N/A</v>
      </c>
      <c r="Q675" t="e">
        <f>VLOOKUP($J675,'[1]Table S6'!$A:$AI,8,FALSE)</f>
        <v>#N/A</v>
      </c>
      <c r="R675" t="e">
        <f>VLOOKUP($J675,'[1]Table S6'!$A:$AI,9,FALSE)</f>
        <v>#N/A</v>
      </c>
      <c r="S675" t="e">
        <f>VLOOKUP($J675,'[1]Table S6'!$A:$AI,10,FALSE)</f>
        <v>#N/A</v>
      </c>
      <c r="U675" t="e">
        <f>VLOOKUP($J675,'[1]Table S6'!$A:$AI,12,FALSE)</f>
        <v>#N/A</v>
      </c>
      <c r="V675" t="e">
        <f>VLOOKUP($J675,'[1]Table S6'!$A:$AI,13,FALSE)</f>
        <v>#N/A</v>
      </c>
      <c r="W675" t="e">
        <f>VLOOKUP($J675,'[1]Table S6'!$A:$AI,14,FALSE)</f>
        <v>#N/A</v>
      </c>
      <c r="X675" t="e">
        <f>VLOOKUP($J675,'[1]Table S6'!$A:$AI,15,FALSE)</f>
        <v>#N/A</v>
      </c>
      <c r="Z675" t="e">
        <f>VLOOKUP($J675,'[1]Table S6'!$A:$AI,17,FALSE)</f>
        <v>#N/A</v>
      </c>
      <c r="AA675" t="e">
        <f>VLOOKUP($J675,'[1]Table S6'!$A:$AI,18,FALSE)</f>
        <v>#N/A</v>
      </c>
      <c r="AB675" t="e">
        <f>VLOOKUP($J675,'[1]Table S6'!$A:$AI,19,FALSE)</f>
        <v>#N/A</v>
      </c>
      <c r="AC675" t="e">
        <f>VLOOKUP($J675,'[1]Table S6'!$A:$AI,20,FALSE)</f>
        <v>#N/A</v>
      </c>
      <c r="AE675" t="e">
        <f>VLOOKUP($J675,'[1]Table S6'!$A:$AI,22,FALSE)</f>
        <v>#N/A</v>
      </c>
      <c r="AF675" t="e">
        <f>VLOOKUP($J675,'[1]Table S6'!$A:$AI,23,FALSE)</f>
        <v>#N/A</v>
      </c>
      <c r="AG675" t="e">
        <f>VLOOKUP($J675,'[1]Table S6'!$A:$AI,24,FALSE)</f>
        <v>#N/A</v>
      </c>
      <c r="AH675" t="e">
        <f>VLOOKUP($J675,'[1]Table S6'!$A:$AI,25,FALSE)</f>
        <v>#N/A</v>
      </c>
      <c r="AJ675" t="e">
        <f>VLOOKUP($J675,'[1]Table S6'!$A:$AI,27,FALSE)</f>
        <v>#N/A</v>
      </c>
      <c r="AK675" t="e">
        <f>VLOOKUP($J675,'[1]Table S6'!$A:$AI,28,FALSE)</f>
        <v>#N/A</v>
      </c>
      <c r="AL675" t="e">
        <f>VLOOKUP($J675,'[1]Table S6'!$A:$AI,29,FALSE)</f>
        <v>#N/A</v>
      </c>
      <c r="AM675" t="e">
        <f>VLOOKUP($J675,'[1]Table S6'!$A:$AI,30,FALSE)</f>
        <v>#N/A</v>
      </c>
      <c r="AO675" t="e">
        <f>VLOOKUP($J675,'[1]Table S6'!$A:$AI,32,FALSE)</f>
        <v>#N/A</v>
      </c>
      <c r="AP675" t="e">
        <f>VLOOKUP($J675,'[1]Table S6'!$A:$AI,33,FALSE)</f>
        <v>#N/A</v>
      </c>
      <c r="AQ675" t="e">
        <f>VLOOKUP($J675,'[1]Table S6'!$A:$AI,34,FALSE)</f>
        <v>#N/A</v>
      </c>
      <c r="AR675" t="e">
        <f>VLOOKUP($J675,'[1]Table S6'!$A:$AI,35,FALSE)</f>
        <v>#N/A</v>
      </c>
      <c r="AT675" t="e">
        <f>VLOOKUP($I675,'[2]Table S5'!$A:$K,8,FALSE)</f>
        <v>#N/A</v>
      </c>
      <c r="AU675" t="e">
        <f>VLOOKUP($I675,'[2]Table S5'!$A:$K,9,FALSE)</f>
        <v>#N/A</v>
      </c>
      <c r="AV675" t="e">
        <f>VLOOKUP($I675,'[2]Table S5'!$A:$K,10,FALSE)</f>
        <v>#N/A</v>
      </c>
      <c r="AW675" t="e">
        <f>VLOOKUP($I675,'[2]Table S5'!$A:$K,11,FALSE)</f>
        <v>#N/A</v>
      </c>
    </row>
    <row r="676" spans="1:49">
      <c r="A676" s="12" t="s">
        <v>4241</v>
      </c>
      <c r="B676" t="s">
        <v>4242</v>
      </c>
      <c r="C676" t="s">
        <v>4243</v>
      </c>
      <c r="D676" t="s">
        <v>17</v>
      </c>
      <c r="E676" t="s">
        <v>2320</v>
      </c>
      <c r="F676" s="12" t="s">
        <v>2321</v>
      </c>
      <c r="G676" t="s">
        <v>2322</v>
      </c>
      <c r="H676" t="s">
        <v>2323</v>
      </c>
      <c r="I676" t="s">
        <v>2324</v>
      </c>
      <c r="J676" t="s">
        <v>2324</v>
      </c>
      <c r="K676" t="e">
        <f>VLOOKUP($J676,'[1]Table S6'!$A:$AI,2,FALSE)</f>
        <v>#N/A</v>
      </c>
      <c r="L676" t="e">
        <f>VLOOKUP($J676,'[1]Table S6'!$A:$AI,3,FALSE)</f>
        <v>#N/A</v>
      </c>
      <c r="M676" t="e">
        <f>VLOOKUP($J676,'[1]Table S6'!$A:$AI,4,FALSE)</f>
        <v>#N/A</v>
      </c>
      <c r="N676" t="e">
        <f>VLOOKUP($J676,'[1]Table S6'!$A:$AI,5,FALSE)</f>
        <v>#N/A</v>
      </c>
      <c r="P676" t="e">
        <f>VLOOKUP($J676,'[1]Table S6'!$A:$AI,7,FALSE)</f>
        <v>#N/A</v>
      </c>
      <c r="Q676" t="e">
        <f>VLOOKUP($J676,'[1]Table S6'!$A:$AI,8,FALSE)</f>
        <v>#N/A</v>
      </c>
      <c r="R676" t="e">
        <f>VLOOKUP($J676,'[1]Table S6'!$A:$AI,9,FALSE)</f>
        <v>#N/A</v>
      </c>
      <c r="S676" t="e">
        <f>VLOOKUP($J676,'[1]Table S6'!$A:$AI,10,FALSE)</f>
        <v>#N/A</v>
      </c>
      <c r="U676" t="e">
        <f>VLOOKUP($J676,'[1]Table S6'!$A:$AI,12,FALSE)</f>
        <v>#N/A</v>
      </c>
      <c r="V676" t="e">
        <f>VLOOKUP($J676,'[1]Table S6'!$A:$AI,13,FALSE)</f>
        <v>#N/A</v>
      </c>
      <c r="W676" t="e">
        <f>VLOOKUP($J676,'[1]Table S6'!$A:$AI,14,FALSE)</f>
        <v>#N/A</v>
      </c>
      <c r="X676" t="e">
        <f>VLOOKUP($J676,'[1]Table S6'!$A:$AI,15,FALSE)</f>
        <v>#N/A</v>
      </c>
      <c r="Z676" t="e">
        <f>VLOOKUP($J676,'[1]Table S6'!$A:$AI,17,FALSE)</f>
        <v>#N/A</v>
      </c>
      <c r="AA676" t="e">
        <f>VLOOKUP($J676,'[1]Table S6'!$A:$AI,18,FALSE)</f>
        <v>#N/A</v>
      </c>
      <c r="AB676" t="e">
        <f>VLOOKUP($J676,'[1]Table S6'!$A:$AI,19,FALSE)</f>
        <v>#N/A</v>
      </c>
      <c r="AC676" t="e">
        <f>VLOOKUP($J676,'[1]Table S6'!$A:$AI,20,FALSE)</f>
        <v>#N/A</v>
      </c>
      <c r="AE676" t="e">
        <f>VLOOKUP($J676,'[1]Table S6'!$A:$AI,22,FALSE)</f>
        <v>#N/A</v>
      </c>
      <c r="AF676" t="e">
        <f>VLOOKUP($J676,'[1]Table S6'!$A:$AI,23,FALSE)</f>
        <v>#N/A</v>
      </c>
      <c r="AG676" t="e">
        <f>VLOOKUP($J676,'[1]Table S6'!$A:$AI,24,FALSE)</f>
        <v>#N/A</v>
      </c>
      <c r="AH676" t="e">
        <f>VLOOKUP($J676,'[1]Table S6'!$A:$AI,25,FALSE)</f>
        <v>#N/A</v>
      </c>
      <c r="AJ676" t="e">
        <f>VLOOKUP($J676,'[1]Table S6'!$A:$AI,27,FALSE)</f>
        <v>#N/A</v>
      </c>
      <c r="AK676" t="e">
        <f>VLOOKUP($J676,'[1]Table S6'!$A:$AI,28,FALSE)</f>
        <v>#N/A</v>
      </c>
      <c r="AL676" t="e">
        <f>VLOOKUP($J676,'[1]Table S6'!$A:$AI,29,FALSE)</f>
        <v>#N/A</v>
      </c>
      <c r="AM676" t="e">
        <f>VLOOKUP($J676,'[1]Table S6'!$A:$AI,30,FALSE)</f>
        <v>#N/A</v>
      </c>
      <c r="AO676" t="e">
        <f>VLOOKUP($J676,'[1]Table S6'!$A:$AI,32,FALSE)</f>
        <v>#N/A</v>
      </c>
      <c r="AP676" t="e">
        <f>VLOOKUP($J676,'[1]Table S6'!$A:$AI,33,FALSE)</f>
        <v>#N/A</v>
      </c>
      <c r="AQ676" t="e">
        <f>VLOOKUP($J676,'[1]Table S6'!$A:$AI,34,FALSE)</f>
        <v>#N/A</v>
      </c>
      <c r="AR676" t="e">
        <f>VLOOKUP($J676,'[1]Table S6'!$A:$AI,35,FALSE)</f>
        <v>#N/A</v>
      </c>
      <c r="AT676" t="e">
        <f>VLOOKUP($I676,'[2]Table S5'!$A:$K,8,FALSE)</f>
        <v>#N/A</v>
      </c>
      <c r="AU676" t="e">
        <f>VLOOKUP($I676,'[2]Table S5'!$A:$K,9,FALSE)</f>
        <v>#N/A</v>
      </c>
      <c r="AV676" t="e">
        <f>VLOOKUP($I676,'[2]Table S5'!$A:$K,10,FALSE)</f>
        <v>#N/A</v>
      </c>
      <c r="AW676" t="e">
        <f>VLOOKUP($I676,'[2]Table S5'!$A:$K,11,FALSE)</f>
        <v>#N/A</v>
      </c>
    </row>
    <row r="677" spans="1:49">
      <c r="A677" s="12" t="s">
        <v>4244</v>
      </c>
      <c r="B677" t="s">
        <v>4245</v>
      </c>
      <c r="C677" t="s">
        <v>4246</v>
      </c>
      <c r="D677" t="s">
        <v>17</v>
      </c>
      <c r="E677" t="s">
        <v>2328</v>
      </c>
      <c r="F677" s="12" t="s">
        <v>2329</v>
      </c>
      <c r="G677" t="s">
        <v>2330</v>
      </c>
      <c r="H677" t="s">
        <v>2331</v>
      </c>
      <c r="I677" t="s">
        <v>2324</v>
      </c>
      <c r="J677" t="s">
        <v>2324</v>
      </c>
      <c r="K677" t="e">
        <f>VLOOKUP($J677,'[1]Table S6'!$A:$AI,2,FALSE)</f>
        <v>#N/A</v>
      </c>
      <c r="L677" t="e">
        <f>VLOOKUP($J677,'[1]Table S6'!$A:$AI,3,FALSE)</f>
        <v>#N/A</v>
      </c>
      <c r="M677" t="e">
        <f>VLOOKUP($J677,'[1]Table S6'!$A:$AI,4,FALSE)</f>
        <v>#N/A</v>
      </c>
      <c r="N677" t="e">
        <f>VLOOKUP($J677,'[1]Table S6'!$A:$AI,5,FALSE)</f>
        <v>#N/A</v>
      </c>
      <c r="P677" t="e">
        <f>VLOOKUP($J677,'[1]Table S6'!$A:$AI,7,FALSE)</f>
        <v>#N/A</v>
      </c>
      <c r="Q677" t="e">
        <f>VLOOKUP($J677,'[1]Table S6'!$A:$AI,8,FALSE)</f>
        <v>#N/A</v>
      </c>
      <c r="R677" t="e">
        <f>VLOOKUP($J677,'[1]Table S6'!$A:$AI,9,FALSE)</f>
        <v>#N/A</v>
      </c>
      <c r="S677" t="e">
        <f>VLOOKUP($J677,'[1]Table S6'!$A:$AI,10,FALSE)</f>
        <v>#N/A</v>
      </c>
      <c r="U677" t="e">
        <f>VLOOKUP($J677,'[1]Table S6'!$A:$AI,12,FALSE)</f>
        <v>#N/A</v>
      </c>
      <c r="V677" t="e">
        <f>VLOOKUP($J677,'[1]Table S6'!$A:$AI,13,FALSE)</f>
        <v>#N/A</v>
      </c>
      <c r="W677" t="e">
        <f>VLOOKUP($J677,'[1]Table S6'!$A:$AI,14,FALSE)</f>
        <v>#N/A</v>
      </c>
      <c r="X677" t="e">
        <f>VLOOKUP($J677,'[1]Table S6'!$A:$AI,15,FALSE)</f>
        <v>#N/A</v>
      </c>
      <c r="Z677" t="e">
        <f>VLOOKUP($J677,'[1]Table S6'!$A:$AI,17,FALSE)</f>
        <v>#N/A</v>
      </c>
      <c r="AA677" t="e">
        <f>VLOOKUP($J677,'[1]Table S6'!$A:$AI,18,FALSE)</f>
        <v>#N/A</v>
      </c>
      <c r="AB677" t="e">
        <f>VLOOKUP($J677,'[1]Table S6'!$A:$AI,19,FALSE)</f>
        <v>#N/A</v>
      </c>
      <c r="AC677" t="e">
        <f>VLOOKUP($J677,'[1]Table S6'!$A:$AI,20,FALSE)</f>
        <v>#N/A</v>
      </c>
      <c r="AE677" t="e">
        <f>VLOOKUP($J677,'[1]Table S6'!$A:$AI,22,FALSE)</f>
        <v>#N/A</v>
      </c>
      <c r="AF677" t="e">
        <f>VLOOKUP($J677,'[1]Table S6'!$A:$AI,23,FALSE)</f>
        <v>#N/A</v>
      </c>
      <c r="AG677" t="e">
        <f>VLOOKUP($J677,'[1]Table S6'!$A:$AI,24,FALSE)</f>
        <v>#N/A</v>
      </c>
      <c r="AH677" t="e">
        <f>VLOOKUP($J677,'[1]Table S6'!$A:$AI,25,FALSE)</f>
        <v>#N/A</v>
      </c>
      <c r="AJ677" t="e">
        <f>VLOOKUP($J677,'[1]Table S6'!$A:$AI,27,FALSE)</f>
        <v>#N/A</v>
      </c>
      <c r="AK677" t="e">
        <f>VLOOKUP($J677,'[1]Table S6'!$A:$AI,28,FALSE)</f>
        <v>#N/A</v>
      </c>
      <c r="AL677" t="e">
        <f>VLOOKUP($J677,'[1]Table S6'!$A:$AI,29,FALSE)</f>
        <v>#N/A</v>
      </c>
      <c r="AM677" t="e">
        <f>VLOOKUP($J677,'[1]Table S6'!$A:$AI,30,FALSE)</f>
        <v>#N/A</v>
      </c>
      <c r="AO677" t="e">
        <f>VLOOKUP($J677,'[1]Table S6'!$A:$AI,32,FALSE)</f>
        <v>#N/A</v>
      </c>
      <c r="AP677" t="e">
        <f>VLOOKUP($J677,'[1]Table S6'!$A:$AI,33,FALSE)</f>
        <v>#N/A</v>
      </c>
      <c r="AQ677" t="e">
        <f>VLOOKUP($J677,'[1]Table S6'!$A:$AI,34,FALSE)</f>
        <v>#N/A</v>
      </c>
      <c r="AR677" t="e">
        <f>VLOOKUP($J677,'[1]Table S6'!$A:$AI,35,FALSE)</f>
        <v>#N/A</v>
      </c>
      <c r="AT677" t="e">
        <f>VLOOKUP($I677,'[2]Table S5'!$A:$K,8,FALSE)</f>
        <v>#N/A</v>
      </c>
      <c r="AU677" t="e">
        <f>VLOOKUP($I677,'[2]Table S5'!$A:$K,9,FALSE)</f>
        <v>#N/A</v>
      </c>
      <c r="AV677" t="e">
        <f>VLOOKUP($I677,'[2]Table S5'!$A:$K,10,FALSE)</f>
        <v>#N/A</v>
      </c>
      <c r="AW677" t="e">
        <f>VLOOKUP($I677,'[2]Table S5'!$A:$K,11,FALSE)</f>
        <v>#N/A</v>
      </c>
    </row>
    <row r="678" spans="1:49">
      <c r="A678" s="12" t="s">
        <v>4247</v>
      </c>
      <c r="B678" t="s">
        <v>4248</v>
      </c>
      <c r="C678" t="s">
        <v>4249</v>
      </c>
      <c r="D678" t="s">
        <v>17</v>
      </c>
      <c r="E678" t="s">
        <v>2335</v>
      </c>
      <c r="F678" s="12" t="s">
        <v>2336</v>
      </c>
      <c r="G678" t="s">
        <v>2337</v>
      </c>
      <c r="H678" t="s">
        <v>2338</v>
      </c>
      <c r="I678" t="s">
        <v>2324</v>
      </c>
      <c r="J678" t="s">
        <v>2324</v>
      </c>
      <c r="K678" t="e">
        <f>VLOOKUP($J678,'[1]Table S6'!$A:$AI,2,FALSE)</f>
        <v>#N/A</v>
      </c>
      <c r="L678" t="e">
        <f>VLOOKUP($J678,'[1]Table S6'!$A:$AI,3,FALSE)</f>
        <v>#N/A</v>
      </c>
      <c r="M678" t="e">
        <f>VLOOKUP($J678,'[1]Table S6'!$A:$AI,4,FALSE)</f>
        <v>#N/A</v>
      </c>
      <c r="N678" t="e">
        <f>VLOOKUP($J678,'[1]Table S6'!$A:$AI,5,FALSE)</f>
        <v>#N/A</v>
      </c>
      <c r="P678" t="e">
        <f>VLOOKUP($J678,'[1]Table S6'!$A:$AI,7,FALSE)</f>
        <v>#N/A</v>
      </c>
      <c r="Q678" t="e">
        <f>VLOOKUP($J678,'[1]Table S6'!$A:$AI,8,FALSE)</f>
        <v>#N/A</v>
      </c>
      <c r="R678" t="e">
        <f>VLOOKUP($J678,'[1]Table S6'!$A:$AI,9,FALSE)</f>
        <v>#N/A</v>
      </c>
      <c r="S678" t="e">
        <f>VLOOKUP($J678,'[1]Table S6'!$A:$AI,10,FALSE)</f>
        <v>#N/A</v>
      </c>
      <c r="U678" t="e">
        <f>VLOOKUP($J678,'[1]Table S6'!$A:$AI,12,FALSE)</f>
        <v>#N/A</v>
      </c>
      <c r="V678" t="e">
        <f>VLOOKUP($J678,'[1]Table S6'!$A:$AI,13,FALSE)</f>
        <v>#N/A</v>
      </c>
      <c r="W678" t="e">
        <f>VLOOKUP($J678,'[1]Table S6'!$A:$AI,14,FALSE)</f>
        <v>#N/A</v>
      </c>
      <c r="X678" t="e">
        <f>VLOOKUP($J678,'[1]Table S6'!$A:$AI,15,FALSE)</f>
        <v>#N/A</v>
      </c>
      <c r="Z678" t="e">
        <f>VLOOKUP($J678,'[1]Table S6'!$A:$AI,17,FALSE)</f>
        <v>#N/A</v>
      </c>
      <c r="AA678" t="e">
        <f>VLOOKUP($J678,'[1]Table S6'!$A:$AI,18,FALSE)</f>
        <v>#N/A</v>
      </c>
      <c r="AB678" t="e">
        <f>VLOOKUP($J678,'[1]Table S6'!$A:$AI,19,FALSE)</f>
        <v>#N/A</v>
      </c>
      <c r="AC678" t="e">
        <f>VLOOKUP($J678,'[1]Table S6'!$A:$AI,20,FALSE)</f>
        <v>#N/A</v>
      </c>
      <c r="AE678" t="e">
        <f>VLOOKUP($J678,'[1]Table S6'!$A:$AI,22,FALSE)</f>
        <v>#N/A</v>
      </c>
      <c r="AF678" t="e">
        <f>VLOOKUP($J678,'[1]Table S6'!$A:$AI,23,FALSE)</f>
        <v>#N/A</v>
      </c>
      <c r="AG678" t="e">
        <f>VLOOKUP($J678,'[1]Table S6'!$A:$AI,24,FALSE)</f>
        <v>#N/A</v>
      </c>
      <c r="AH678" t="e">
        <f>VLOOKUP($J678,'[1]Table S6'!$A:$AI,25,FALSE)</f>
        <v>#N/A</v>
      </c>
      <c r="AJ678" t="e">
        <f>VLOOKUP($J678,'[1]Table S6'!$A:$AI,27,FALSE)</f>
        <v>#N/A</v>
      </c>
      <c r="AK678" t="e">
        <f>VLOOKUP($J678,'[1]Table S6'!$A:$AI,28,FALSE)</f>
        <v>#N/A</v>
      </c>
      <c r="AL678" t="e">
        <f>VLOOKUP($J678,'[1]Table S6'!$A:$AI,29,FALSE)</f>
        <v>#N/A</v>
      </c>
      <c r="AM678" t="e">
        <f>VLOOKUP($J678,'[1]Table S6'!$A:$AI,30,FALSE)</f>
        <v>#N/A</v>
      </c>
      <c r="AO678" t="e">
        <f>VLOOKUP($J678,'[1]Table S6'!$A:$AI,32,FALSE)</f>
        <v>#N/A</v>
      </c>
      <c r="AP678" t="e">
        <f>VLOOKUP($J678,'[1]Table S6'!$A:$AI,33,FALSE)</f>
        <v>#N/A</v>
      </c>
      <c r="AQ678" t="e">
        <f>VLOOKUP($J678,'[1]Table S6'!$A:$AI,34,FALSE)</f>
        <v>#N/A</v>
      </c>
      <c r="AR678" t="e">
        <f>VLOOKUP($J678,'[1]Table S6'!$A:$AI,35,FALSE)</f>
        <v>#N/A</v>
      </c>
      <c r="AT678" t="e">
        <f>VLOOKUP($I678,'[2]Table S5'!$A:$K,8,FALSE)</f>
        <v>#N/A</v>
      </c>
      <c r="AU678" t="e">
        <f>VLOOKUP($I678,'[2]Table S5'!$A:$K,9,FALSE)</f>
        <v>#N/A</v>
      </c>
      <c r="AV678" t="e">
        <f>VLOOKUP($I678,'[2]Table S5'!$A:$K,10,FALSE)</f>
        <v>#N/A</v>
      </c>
      <c r="AW678" t="e">
        <f>VLOOKUP($I678,'[2]Table S5'!$A:$K,11,FALSE)</f>
        <v>#N/A</v>
      </c>
    </row>
    <row r="679" spans="1:49">
      <c r="A679" s="12" t="s">
        <v>4250</v>
      </c>
      <c r="B679" t="s">
        <v>4251</v>
      </c>
      <c r="C679" t="s">
        <v>4252</v>
      </c>
      <c r="D679" t="s">
        <v>17</v>
      </c>
      <c r="E679" t="s">
        <v>2350</v>
      </c>
      <c r="F679" s="12" t="s">
        <v>2351</v>
      </c>
      <c r="G679" t="s">
        <v>2352</v>
      </c>
      <c r="H679" t="s">
        <v>2353</v>
      </c>
      <c r="I679" t="s">
        <v>2346</v>
      </c>
      <c r="J679" t="s">
        <v>2346</v>
      </c>
      <c r="K679" t="e">
        <f>VLOOKUP($J679,'[1]Table S6'!$A:$AI,2,FALSE)</f>
        <v>#N/A</v>
      </c>
      <c r="L679" t="e">
        <f>VLOOKUP($J679,'[1]Table S6'!$A:$AI,3,FALSE)</f>
        <v>#N/A</v>
      </c>
      <c r="M679" t="e">
        <f>VLOOKUP($J679,'[1]Table S6'!$A:$AI,4,FALSE)</f>
        <v>#N/A</v>
      </c>
      <c r="N679" t="e">
        <f>VLOOKUP($J679,'[1]Table S6'!$A:$AI,5,FALSE)</f>
        <v>#N/A</v>
      </c>
      <c r="P679" t="e">
        <f>VLOOKUP($J679,'[1]Table S6'!$A:$AI,7,FALSE)</f>
        <v>#N/A</v>
      </c>
      <c r="Q679" t="e">
        <f>VLOOKUP($J679,'[1]Table S6'!$A:$AI,8,FALSE)</f>
        <v>#N/A</v>
      </c>
      <c r="R679" t="e">
        <f>VLOOKUP($J679,'[1]Table S6'!$A:$AI,9,FALSE)</f>
        <v>#N/A</v>
      </c>
      <c r="S679" t="e">
        <f>VLOOKUP($J679,'[1]Table S6'!$A:$AI,10,FALSE)</f>
        <v>#N/A</v>
      </c>
      <c r="U679" t="e">
        <f>VLOOKUP($J679,'[1]Table S6'!$A:$AI,12,FALSE)</f>
        <v>#N/A</v>
      </c>
      <c r="V679" t="e">
        <f>VLOOKUP($J679,'[1]Table S6'!$A:$AI,13,FALSE)</f>
        <v>#N/A</v>
      </c>
      <c r="W679" t="e">
        <f>VLOOKUP($J679,'[1]Table S6'!$A:$AI,14,FALSE)</f>
        <v>#N/A</v>
      </c>
      <c r="X679" t="e">
        <f>VLOOKUP($J679,'[1]Table S6'!$A:$AI,15,FALSE)</f>
        <v>#N/A</v>
      </c>
      <c r="Z679" t="e">
        <f>VLOOKUP($J679,'[1]Table S6'!$A:$AI,17,FALSE)</f>
        <v>#N/A</v>
      </c>
      <c r="AA679" t="e">
        <f>VLOOKUP($J679,'[1]Table S6'!$A:$AI,18,FALSE)</f>
        <v>#N/A</v>
      </c>
      <c r="AB679" t="e">
        <f>VLOOKUP($J679,'[1]Table S6'!$A:$AI,19,FALSE)</f>
        <v>#N/A</v>
      </c>
      <c r="AC679" t="e">
        <f>VLOOKUP($J679,'[1]Table S6'!$A:$AI,20,FALSE)</f>
        <v>#N/A</v>
      </c>
      <c r="AE679" t="e">
        <f>VLOOKUP($J679,'[1]Table S6'!$A:$AI,22,FALSE)</f>
        <v>#N/A</v>
      </c>
      <c r="AF679" t="e">
        <f>VLOOKUP($J679,'[1]Table S6'!$A:$AI,23,FALSE)</f>
        <v>#N/A</v>
      </c>
      <c r="AG679" t="e">
        <f>VLOOKUP($J679,'[1]Table S6'!$A:$AI,24,FALSE)</f>
        <v>#N/A</v>
      </c>
      <c r="AH679" t="e">
        <f>VLOOKUP($J679,'[1]Table S6'!$A:$AI,25,FALSE)</f>
        <v>#N/A</v>
      </c>
      <c r="AJ679" t="e">
        <f>VLOOKUP($J679,'[1]Table S6'!$A:$AI,27,FALSE)</f>
        <v>#N/A</v>
      </c>
      <c r="AK679" t="e">
        <f>VLOOKUP($J679,'[1]Table S6'!$A:$AI,28,FALSE)</f>
        <v>#N/A</v>
      </c>
      <c r="AL679" t="e">
        <f>VLOOKUP($J679,'[1]Table S6'!$A:$AI,29,FALSE)</f>
        <v>#N/A</v>
      </c>
      <c r="AM679" t="e">
        <f>VLOOKUP($J679,'[1]Table S6'!$A:$AI,30,FALSE)</f>
        <v>#N/A</v>
      </c>
      <c r="AO679" t="e">
        <f>VLOOKUP($J679,'[1]Table S6'!$A:$AI,32,FALSE)</f>
        <v>#N/A</v>
      </c>
      <c r="AP679" t="e">
        <f>VLOOKUP($J679,'[1]Table S6'!$A:$AI,33,FALSE)</f>
        <v>#N/A</v>
      </c>
      <c r="AQ679" t="e">
        <f>VLOOKUP($J679,'[1]Table S6'!$A:$AI,34,FALSE)</f>
        <v>#N/A</v>
      </c>
      <c r="AR679" t="e">
        <f>VLOOKUP($J679,'[1]Table S6'!$A:$AI,35,FALSE)</f>
        <v>#N/A</v>
      </c>
      <c r="AT679" t="e">
        <f>VLOOKUP($I679,'[2]Table S5'!$A:$K,8,FALSE)</f>
        <v>#N/A</v>
      </c>
      <c r="AU679" t="e">
        <f>VLOOKUP($I679,'[2]Table S5'!$A:$K,9,FALSE)</f>
        <v>#N/A</v>
      </c>
      <c r="AV679" t="e">
        <f>VLOOKUP($I679,'[2]Table S5'!$A:$K,10,FALSE)</f>
        <v>#N/A</v>
      </c>
      <c r="AW679" t="e">
        <f>VLOOKUP($I679,'[2]Table S5'!$A:$K,11,FALSE)</f>
        <v>#N/A</v>
      </c>
    </row>
    <row r="680" spans="1:49">
      <c r="A680" s="12" t="s">
        <v>4253</v>
      </c>
      <c r="B680" t="s">
        <v>4254</v>
      </c>
      <c r="C680" t="s">
        <v>4255</v>
      </c>
      <c r="D680" t="s">
        <v>17</v>
      </c>
      <c r="E680" t="s">
        <v>2357</v>
      </c>
      <c r="F680" s="12" t="s">
        <v>2358</v>
      </c>
      <c r="G680" t="s">
        <v>2359</v>
      </c>
      <c r="H680" t="s">
        <v>2360</v>
      </c>
      <c r="I680" t="s">
        <v>2346</v>
      </c>
      <c r="J680" t="s">
        <v>2346</v>
      </c>
      <c r="K680" t="e">
        <f>VLOOKUP($J680,'[1]Table S6'!$A:$AI,2,FALSE)</f>
        <v>#N/A</v>
      </c>
      <c r="L680" t="e">
        <f>VLOOKUP($J680,'[1]Table S6'!$A:$AI,3,FALSE)</f>
        <v>#N/A</v>
      </c>
      <c r="M680" t="e">
        <f>VLOOKUP($J680,'[1]Table S6'!$A:$AI,4,FALSE)</f>
        <v>#N/A</v>
      </c>
      <c r="N680" t="e">
        <f>VLOOKUP($J680,'[1]Table S6'!$A:$AI,5,FALSE)</f>
        <v>#N/A</v>
      </c>
      <c r="P680" t="e">
        <f>VLOOKUP($J680,'[1]Table S6'!$A:$AI,7,FALSE)</f>
        <v>#N/A</v>
      </c>
      <c r="Q680" t="e">
        <f>VLOOKUP($J680,'[1]Table S6'!$A:$AI,8,FALSE)</f>
        <v>#N/A</v>
      </c>
      <c r="R680" t="e">
        <f>VLOOKUP($J680,'[1]Table S6'!$A:$AI,9,FALSE)</f>
        <v>#N/A</v>
      </c>
      <c r="S680" t="e">
        <f>VLOOKUP($J680,'[1]Table S6'!$A:$AI,10,FALSE)</f>
        <v>#N/A</v>
      </c>
      <c r="U680" t="e">
        <f>VLOOKUP($J680,'[1]Table S6'!$A:$AI,12,FALSE)</f>
        <v>#N/A</v>
      </c>
      <c r="V680" t="e">
        <f>VLOOKUP($J680,'[1]Table S6'!$A:$AI,13,FALSE)</f>
        <v>#N/A</v>
      </c>
      <c r="W680" t="e">
        <f>VLOOKUP($J680,'[1]Table S6'!$A:$AI,14,FALSE)</f>
        <v>#N/A</v>
      </c>
      <c r="X680" t="e">
        <f>VLOOKUP($J680,'[1]Table S6'!$A:$AI,15,FALSE)</f>
        <v>#N/A</v>
      </c>
      <c r="Z680" t="e">
        <f>VLOOKUP($J680,'[1]Table S6'!$A:$AI,17,FALSE)</f>
        <v>#N/A</v>
      </c>
      <c r="AA680" t="e">
        <f>VLOOKUP($J680,'[1]Table S6'!$A:$AI,18,FALSE)</f>
        <v>#N/A</v>
      </c>
      <c r="AB680" t="e">
        <f>VLOOKUP($J680,'[1]Table S6'!$A:$AI,19,FALSE)</f>
        <v>#N/A</v>
      </c>
      <c r="AC680" t="e">
        <f>VLOOKUP($J680,'[1]Table S6'!$A:$AI,20,FALSE)</f>
        <v>#N/A</v>
      </c>
      <c r="AE680" t="e">
        <f>VLOOKUP($J680,'[1]Table S6'!$A:$AI,22,FALSE)</f>
        <v>#N/A</v>
      </c>
      <c r="AF680" t="e">
        <f>VLOOKUP($J680,'[1]Table S6'!$A:$AI,23,FALSE)</f>
        <v>#N/A</v>
      </c>
      <c r="AG680" t="e">
        <f>VLOOKUP($J680,'[1]Table S6'!$A:$AI,24,FALSE)</f>
        <v>#N/A</v>
      </c>
      <c r="AH680" t="e">
        <f>VLOOKUP($J680,'[1]Table S6'!$A:$AI,25,FALSE)</f>
        <v>#N/A</v>
      </c>
      <c r="AJ680" t="e">
        <f>VLOOKUP($J680,'[1]Table S6'!$A:$AI,27,FALSE)</f>
        <v>#N/A</v>
      </c>
      <c r="AK680" t="e">
        <f>VLOOKUP($J680,'[1]Table S6'!$A:$AI,28,FALSE)</f>
        <v>#N/A</v>
      </c>
      <c r="AL680" t="e">
        <f>VLOOKUP($J680,'[1]Table S6'!$A:$AI,29,FALSE)</f>
        <v>#N/A</v>
      </c>
      <c r="AM680" t="e">
        <f>VLOOKUP($J680,'[1]Table S6'!$A:$AI,30,FALSE)</f>
        <v>#N/A</v>
      </c>
      <c r="AO680" t="e">
        <f>VLOOKUP($J680,'[1]Table S6'!$A:$AI,32,FALSE)</f>
        <v>#N/A</v>
      </c>
      <c r="AP680" t="e">
        <f>VLOOKUP($J680,'[1]Table S6'!$A:$AI,33,FALSE)</f>
        <v>#N/A</v>
      </c>
      <c r="AQ680" t="e">
        <f>VLOOKUP($J680,'[1]Table S6'!$A:$AI,34,FALSE)</f>
        <v>#N/A</v>
      </c>
      <c r="AR680" t="e">
        <f>VLOOKUP($J680,'[1]Table S6'!$A:$AI,35,FALSE)</f>
        <v>#N/A</v>
      </c>
      <c r="AT680" t="e">
        <f>VLOOKUP($I680,'[2]Table S5'!$A:$K,8,FALSE)</f>
        <v>#N/A</v>
      </c>
      <c r="AU680" t="e">
        <f>VLOOKUP($I680,'[2]Table S5'!$A:$K,9,FALSE)</f>
        <v>#N/A</v>
      </c>
      <c r="AV680" t="e">
        <f>VLOOKUP($I680,'[2]Table S5'!$A:$K,10,FALSE)</f>
        <v>#N/A</v>
      </c>
      <c r="AW680" t="e">
        <f>VLOOKUP($I680,'[2]Table S5'!$A:$K,11,FALSE)</f>
        <v>#N/A</v>
      </c>
    </row>
    <row r="681" spans="1:49">
      <c r="A681" s="12" t="s">
        <v>4256</v>
      </c>
      <c r="B681" t="s">
        <v>4257</v>
      </c>
      <c r="C681" t="s">
        <v>4258</v>
      </c>
      <c r="D681" t="s">
        <v>17</v>
      </c>
      <c r="E681" t="s">
        <v>2364</v>
      </c>
      <c r="F681" s="12" t="s">
        <v>2365</v>
      </c>
      <c r="G681" t="s">
        <v>2366</v>
      </c>
      <c r="H681" t="s">
        <v>2367</v>
      </c>
      <c r="I681" t="s">
        <v>2346</v>
      </c>
      <c r="J681" t="s">
        <v>2346</v>
      </c>
      <c r="K681" t="e">
        <f>VLOOKUP($J681,'[1]Table S6'!$A:$AI,2,FALSE)</f>
        <v>#N/A</v>
      </c>
      <c r="L681" t="e">
        <f>VLOOKUP($J681,'[1]Table S6'!$A:$AI,3,FALSE)</f>
        <v>#N/A</v>
      </c>
      <c r="M681" t="e">
        <f>VLOOKUP($J681,'[1]Table S6'!$A:$AI,4,FALSE)</f>
        <v>#N/A</v>
      </c>
      <c r="N681" t="e">
        <f>VLOOKUP($J681,'[1]Table S6'!$A:$AI,5,FALSE)</f>
        <v>#N/A</v>
      </c>
      <c r="P681" t="e">
        <f>VLOOKUP($J681,'[1]Table S6'!$A:$AI,7,FALSE)</f>
        <v>#N/A</v>
      </c>
      <c r="Q681" t="e">
        <f>VLOOKUP($J681,'[1]Table S6'!$A:$AI,8,FALSE)</f>
        <v>#N/A</v>
      </c>
      <c r="R681" t="e">
        <f>VLOOKUP($J681,'[1]Table S6'!$A:$AI,9,FALSE)</f>
        <v>#N/A</v>
      </c>
      <c r="S681" t="e">
        <f>VLOOKUP($J681,'[1]Table S6'!$A:$AI,10,FALSE)</f>
        <v>#N/A</v>
      </c>
      <c r="U681" t="e">
        <f>VLOOKUP($J681,'[1]Table S6'!$A:$AI,12,FALSE)</f>
        <v>#N/A</v>
      </c>
      <c r="V681" t="e">
        <f>VLOOKUP($J681,'[1]Table S6'!$A:$AI,13,FALSE)</f>
        <v>#N/A</v>
      </c>
      <c r="W681" t="e">
        <f>VLOOKUP($J681,'[1]Table S6'!$A:$AI,14,FALSE)</f>
        <v>#N/A</v>
      </c>
      <c r="X681" t="e">
        <f>VLOOKUP($J681,'[1]Table S6'!$A:$AI,15,FALSE)</f>
        <v>#N/A</v>
      </c>
      <c r="Z681" t="e">
        <f>VLOOKUP($J681,'[1]Table S6'!$A:$AI,17,FALSE)</f>
        <v>#N/A</v>
      </c>
      <c r="AA681" t="e">
        <f>VLOOKUP($J681,'[1]Table S6'!$A:$AI,18,FALSE)</f>
        <v>#N/A</v>
      </c>
      <c r="AB681" t="e">
        <f>VLOOKUP($J681,'[1]Table S6'!$A:$AI,19,FALSE)</f>
        <v>#N/A</v>
      </c>
      <c r="AC681" t="e">
        <f>VLOOKUP($J681,'[1]Table S6'!$A:$AI,20,FALSE)</f>
        <v>#N/A</v>
      </c>
      <c r="AE681" t="e">
        <f>VLOOKUP($J681,'[1]Table S6'!$A:$AI,22,FALSE)</f>
        <v>#N/A</v>
      </c>
      <c r="AF681" t="e">
        <f>VLOOKUP($J681,'[1]Table S6'!$A:$AI,23,FALSE)</f>
        <v>#N/A</v>
      </c>
      <c r="AG681" t="e">
        <f>VLOOKUP($J681,'[1]Table S6'!$A:$AI,24,FALSE)</f>
        <v>#N/A</v>
      </c>
      <c r="AH681" t="e">
        <f>VLOOKUP($J681,'[1]Table S6'!$A:$AI,25,FALSE)</f>
        <v>#N/A</v>
      </c>
      <c r="AJ681" t="e">
        <f>VLOOKUP($J681,'[1]Table S6'!$A:$AI,27,FALSE)</f>
        <v>#N/A</v>
      </c>
      <c r="AK681" t="e">
        <f>VLOOKUP($J681,'[1]Table S6'!$A:$AI,28,FALSE)</f>
        <v>#N/A</v>
      </c>
      <c r="AL681" t="e">
        <f>VLOOKUP($J681,'[1]Table S6'!$A:$AI,29,FALSE)</f>
        <v>#N/A</v>
      </c>
      <c r="AM681" t="e">
        <f>VLOOKUP($J681,'[1]Table S6'!$A:$AI,30,FALSE)</f>
        <v>#N/A</v>
      </c>
      <c r="AO681" t="e">
        <f>VLOOKUP($J681,'[1]Table S6'!$A:$AI,32,FALSE)</f>
        <v>#N/A</v>
      </c>
      <c r="AP681" t="e">
        <f>VLOOKUP($J681,'[1]Table S6'!$A:$AI,33,FALSE)</f>
        <v>#N/A</v>
      </c>
      <c r="AQ681" t="e">
        <f>VLOOKUP($J681,'[1]Table S6'!$A:$AI,34,FALSE)</f>
        <v>#N/A</v>
      </c>
      <c r="AR681" t="e">
        <f>VLOOKUP($J681,'[1]Table S6'!$A:$AI,35,FALSE)</f>
        <v>#N/A</v>
      </c>
      <c r="AT681" t="e">
        <f>VLOOKUP($I681,'[2]Table S5'!$A:$K,8,FALSE)</f>
        <v>#N/A</v>
      </c>
      <c r="AU681" t="e">
        <f>VLOOKUP($I681,'[2]Table S5'!$A:$K,9,FALSE)</f>
        <v>#N/A</v>
      </c>
      <c r="AV681" t="e">
        <f>VLOOKUP($I681,'[2]Table S5'!$A:$K,10,FALSE)</f>
        <v>#N/A</v>
      </c>
      <c r="AW681" t="e">
        <f>VLOOKUP($I681,'[2]Table S5'!$A:$K,11,FALSE)</f>
        <v>#N/A</v>
      </c>
    </row>
    <row r="682" spans="1:49">
      <c r="A682" s="12" t="s">
        <v>4259</v>
      </c>
      <c r="B682" t="s">
        <v>4260</v>
      </c>
      <c r="C682" t="s">
        <v>4261</v>
      </c>
      <c r="D682" t="s">
        <v>17</v>
      </c>
      <c r="E682" t="s">
        <v>2379</v>
      </c>
      <c r="F682" s="12" t="s">
        <v>2380</v>
      </c>
      <c r="G682" t="s">
        <v>2381</v>
      </c>
      <c r="H682" t="s">
        <v>2382</v>
      </c>
      <c r="I682" t="s">
        <v>2375</v>
      </c>
      <c r="J682" t="s">
        <v>2375</v>
      </c>
      <c r="K682" t="e">
        <f>VLOOKUP($J682,'[1]Table S6'!$A:$AI,2,FALSE)</f>
        <v>#N/A</v>
      </c>
      <c r="L682" t="e">
        <f>VLOOKUP($J682,'[1]Table S6'!$A:$AI,3,FALSE)</f>
        <v>#N/A</v>
      </c>
      <c r="M682" t="e">
        <f>VLOOKUP($J682,'[1]Table S6'!$A:$AI,4,FALSE)</f>
        <v>#N/A</v>
      </c>
      <c r="N682" t="e">
        <f>VLOOKUP($J682,'[1]Table S6'!$A:$AI,5,FALSE)</f>
        <v>#N/A</v>
      </c>
      <c r="P682" t="e">
        <f>VLOOKUP($J682,'[1]Table S6'!$A:$AI,7,FALSE)</f>
        <v>#N/A</v>
      </c>
      <c r="Q682" t="e">
        <f>VLOOKUP($J682,'[1]Table S6'!$A:$AI,8,FALSE)</f>
        <v>#N/A</v>
      </c>
      <c r="R682" t="e">
        <f>VLOOKUP($J682,'[1]Table S6'!$A:$AI,9,FALSE)</f>
        <v>#N/A</v>
      </c>
      <c r="S682" t="e">
        <f>VLOOKUP($J682,'[1]Table S6'!$A:$AI,10,FALSE)</f>
        <v>#N/A</v>
      </c>
      <c r="U682" t="e">
        <f>VLOOKUP($J682,'[1]Table S6'!$A:$AI,12,FALSE)</f>
        <v>#N/A</v>
      </c>
      <c r="V682" t="e">
        <f>VLOOKUP($J682,'[1]Table S6'!$A:$AI,13,FALSE)</f>
        <v>#N/A</v>
      </c>
      <c r="W682" t="e">
        <f>VLOOKUP($J682,'[1]Table S6'!$A:$AI,14,FALSE)</f>
        <v>#N/A</v>
      </c>
      <c r="X682" t="e">
        <f>VLOOKUP($J682,'[1]Table S6'!$A:$AI,15,FALSE)</f>
        <v>#N/A</v>
      </c>
      <c r="Z682" t="e">
        <f>VLOOKUP($J682,'[1]Table S6'!$A:$AI,17,FALSE)</f>
        <v>#N/A</v>
      </c>
      <c r="AA682" t="e">
        <f>VLOOKUP($J682,'[1]Table S6'!$A:$AI,18,FALSE)</f>
        <v>#N/A</v>
      </c>
      <c r="AB682" t="e">
        <f>VLOOKUP($J682,'[1]Table S6'!$A:$AI,19,FALSE)</f>
        <v>#N/A</v>
      </c>
      <c r="AC682" t="e">
        <f>VLOOKUP($J682,'[1]Table S6'!$A:$AI,20,FALSE)</f>
        <v>#N/A</v>
      </c>
      <c r="AE682" t="e">
        <f>VLOOKUP($J682,'[1]Table S6'!$A:$AI,22,FALSE)</f>
        <v>#N/A</v>
      </c>
      <c r="AF682" t="e">
        <f>VLOOKUP($J682,'[1]Table S6'!$A:$AI,23,FALSE)</f>
        <v>#N/A</v>
      </c>
      <c r="AG682" t="e">
        <f>VLOOKUP($J682,'[1]Table S6'!$A:$AI,24,FALSE)</f>
        <v>#N/A</v>
      </c>
      <c r="AH682" t="e">
        <f>VLOOKUP($J682,'[1]Table S6'!$A:$AI,25,FALSE)</f>
        <v>#N/A</v>
      </c>
      <c r="AJ682" t="e">
        <f>VLOOKUP($J682,'[1]Table S6'!$A:$AI,27,FALSE)</f>
        <v>#N/A</v>
      </c>
      <c r="AK682" t="e">
        <f>VLOOKUP($J682,'[1]Table S6'!$A:$AI,28,FALSE)</f>
        <v>#N/A</v>
      </c>
      <c r="AL682" t="e">
        <f>VLOOKUP($J682,'[1]Table S6'!$A:$AI,29,FALSE)</f>
        <v>#N/A</v>
      </c>
      <c r="AM682" t="e">
        <f>VLOOKUP($J682,'[1]Table S6'!$A:$AI,30,FALSE)</f>
        <v>#N/A</v>
      </c>
      <c r="AO682" t="e">
        <f>VLOOKUP($J682,'[1]Table S6'!$A:$AI,32,FALSE)</f>
        <v>#N/A</v>
      </c>
      <c r="AP682" t="e">
        <f>VLOOKUP($J682,'[1]Table S6'!$A:$AI,33,FALSE)</f>
        <v>#N/A</v>
      </c>
      <c r="AQ682" t="e">
        <f>VLOOKUP($J682,'[1]Table S6'!$A:$AI,34,FALSE)</f>
        <v>#N/A</v>
      </c>
      <c r="AR682" t="e">
        <f>VLOOKUP($J682,'[1]Table S6'!$A:$AI,35,FALSE)</f>
        <v>#N/A</v>
      </c>
      <c r="AT682" t="e">
        <f>VLOOKUP($I682,'[2]Table S5'!$A:$K,8,FALSE)</f>
        <v>#N/A</v>
      </c>
      <c r="AU682" t="e">
        <f>VLOOKUP($I682,'[2]Table S5'!$A:$K,9,FALSE)</f>
        <v>#N/A</v>
      </c>
      <c r="AV682" t="e">
        <f>VLOOKUP($I682,'[2]Table S5'!$A:$K,10,FALSE)</f>
        <v>#N/A</v>
      </c>
      <c r="AW682" t="e">
        <f>VLOOKUP($I682,'[2]Table S5'!$A:$K,11,FALSE)</f>
        <v>#N/A</v>
      </c>
    </row>
    <row r="683" spans="1:49">
      <c r="A683" s="12" t="s">
        <v>4262</v>
      </c>
      <c r="B683" t="s">
        <v>4263</v>
      </c>
      <c r="C683" t="s">
        <v>4264</v>
      </c>
      <c r="D683" t="s">
        <v>17</v>
      </c>
      <c r="E683" t="s">
        <v>2386</v>
      </c>
      <c r="F683" s="12" t="s">
        <v>2387</v>
      </c>
      <c r="G683" t="s">
        <v>2388</v>
      </c>
      <c r="H683" t="s">
        <v>2389</v>
      </c>
      <c r="I683" t="s">
        <v>2375</v>
      </c>
      <c r="J683" t="s">
        <v>2375</v>
      </c>
      <c r="K683" t="e">
        <f>VLOOKUP($J683,'[1]Table S6'!$A:$AI,2,FALSE)</f>
        <v>#N/A</v>
      </c>
      <c r="L683" t="e">
        <f>VLOOKUP($J683,'[1]Table S6'!$A:$AI,3,FALSE)</f>
        <v>#N/A</v>
      </c>
      <c r="M683" t="e">
        <f>VLOOKUP($J683,'[1]Table S6'!$A:$AI,4,FALSE)</f>
        <v>#N/A</v>
      </c>
      <c r="N683" t="e">
        <f>VLOOKUP($J683,'[1]Table S6'!$A:$AI,5,FALSE)</f>
        <v>#N/A</v>
      </c>
      <c r="P683" t="e">
        <f>VLOOKUP($J683,'[1]Table S6'!$A:$AI,7,FALSE)</f>
        <v>#N/A</v>
      </c>
      <c r="Q683" t="e">
        <f>VLOOKUP($J683,'[1]Table S6'!$A:$AI,8,FALSE)</f>
        <v>#N/A</v>
      </c>
      <c r="R683" t="e">
        <f>VLOOKUP($J683,'[1]Table S6'!$A:$AI,9,FALSE)</f>
        <v>#N/A</v>
      </c>
      <c r="S683" t="e">
        <f>VLOOKUP($J683,'[1]Table S6'!$A:$AI,10,FALSE)</f>
        <v>#N/A</v>
      </c>
      <c r="U683" t="e">
        <f>VLOOKUP($J683,'[1]Table S6'!$A:$AI,12,FALSE)</f>
        <v>#N/A</v>
      </c>
      <c r="V683" t="e">
        <f>VLOOKUP($J683,'[1]Table S6'!$A:$AI,13,FALSE)</f>
        <v>#N/A</v>
      </c>
      <c r="W683" t="e">
        <f>VLOOKUP($J683,'[1]Table S6'!$A:$AI,14,FALSE)</f>
        <v>#N/A</v>
      </c>
      <c r="X683" t="e">
        <f>VLOOKUP($J683,'[1]Table S6'!$A:$AI,15,FALSE)</f>
        <v>#N/A</v>
      </c>
      <c r="Z683" t="e">
        <f>VLOOKUP($J683,'[1]Table S6'!$A:$AI,17,FALSE)</f>
        <v>#N/A</v>
      </c>
      <c r="AA683" t="e">
        <f>VLOOKUP($J683,'[1]Table S6'!$A:$AI,18,FALSE)</f>
        <v>#N/A</v>
      </c>
      <c r="AB683" t="e">
        <f>VLOOKUP($J683,'[1]Table S6'!$A:$AI,19,FALSE)</f>
        <v>#N/A</v>
      </c>
      <c r="AC683" t="e">
        <f>VLOOKUP($J683,'[1]Table S6'!$A:$AI,20,FALSE)</f>
        <v>#N/A</v>
      </c>
      <c r="AE683" t="e">
        <f>VLOOKUP($J683,'[1]Table S6'!$A:$AI,22,FALSE)</f>
        <v>#N/A</v>
      </c>
      <c r="AF683" t="e">
        <f>VLOOKUP($J683,'[1]Table S6'!$A:$AI,23,FALSE)</f>
        <v>#N/A</v>
      </c>
      <c r="AG683" t="e">
        <f>VLOOKUP($J683,'[1]Table S6'!$A:$AI,24,FALSE)</f>
        <v>#N/A</v>
      </c>
      <c r="AH683" t="e">
        <f>VLOOKUP($J683,'[1]Table S6'!$A:$AI,25,FALSE)</f>
        <v>#N/A</v>
      </c>
      <c r="AJ683" t="e">
        <f>VLOOKUP($J683,'[1]Table S6'!$A:$AI,27,FALSE)</f>
        <v>#N/A</v>
      </c>
      <c r="AK683" t="e">
        <f>VLOOKUP($J683,'[1]Table S6'!$A:$AI,28,FALSE)</f>
        <v>#N/A</v>
      </c>
      <c r="AL683" t="e">
        <f>VLOOKUP($J683,'[1]Table S6'!$A:$AI,29,FALSE)</f>
        <v>#N/A</v>
      </c>
      <c r="AM683" t="e">
        <f>VLOOKUP($J683,'[1]Table S6'!$A:$AI,30,FALSE)</f>
        <v>#N/A</v>
      </c>
      <c r="AO683" t="e">
        <f>VLOOKUP($J683,'[1]Table S6'!$A:$AI,32,FALSE)</f>
        <v>#N/A</v>
      </c>
      <c r="AP683" t="e">
        <f>VLOOKUP($J683,'[1]Table S6'!$A:$AI,33,FALSE)</f>
        <v>#N/A</v>
      </c>
      <c r="AQ683" t="e">
        <f>VLOOKUP($J683,'[1]Table S6'!$A:$AI,34,FALSE)</f>
        <v>#N/A</v>
      </c>
      <c r="AR683" t="e">
        <f>VLOOKUP($J683,'[1]Table S6'!$A:$AI,35,FALSE)</f>
        <v>#N/A</v>
      </c>
      <c r="AT683" t="e">
        <f>VLOOKUP($I683,'[2]Table S5'!$A:$K,8,FALSE)</f>
        <v>#N/A</v>
      </c>
      <c r="AU683" t="e">
        <f>VLOOKUP($I683,'[2]Table S5'!$A:$K,9,FALSE)</f>
        <v>#N/A</v>
      </c>
      <c r="AV683" t="e">
        <f>VLOOKUP($I683,'[2]Table S5'!$A:$K,10,FALSE)</f>
        <v>#N/A</v>
      </c>
      <c r="AW683" t="e">
        <f>VLOOKUP($I683,'[2]Table S5'!$A:$K,11,FALSE)</f>
        <v>#N/A</v>
      </c>
    </row>
    <row r="684" spans="1:49">
      <c r="A684" s="12" t="s">
        <v>4265</v>
      </c>
      <c r="B684" t="s">
        <v>4266</v>
      </c>
      <c r="C684" t="s">
        <v>4267</v>
      </c>
      <c r="D684" t="s">
        <v>17</v>
      </c>
      <c r="E684" t="s">
        <v>2393</v>
      </c>
      <c r="F684" s="12" t="s">
        <v>2394</v>
      </c>
      <c r="G684" t="s">
        <v>2395</v>
      </c>
      <c r="H684" t="s">
        <v>2396</v>
      </c>
      <c r="I684" t="s">
        <v>2375</v>
      </c>
      <c r="J684" t="s">
        <v>2375</v>
      </c>
      <c r="K684" t="e">
        <f>VLOOKUP($J684,'[1]Table S6'!$A:$AI,2,FALSE)</f>
        <v>#N/A</v>
      </c>
      <c r="L684" t="e">
        <f>VLOOKUP($J684,'[1]Table S6'!$A:$AI,3,FALSE)</f>
        <v>#N/A</v>
      </c>
      <c r="M684" t="e">
        <f>VLOOKUP($J684,'[1]Table S6'!$A:$AI,4,FALSE)</f>
        <v>#N/A</v>
      </c>
      <c r="N684" t="e">
        <f>VLOOKUP($J684,'[1]Table S6'!$A:$AI,5,FALSE)</f>
        <v>#N/A</v>
      </c>
      <c r="P684" t="e">
        <f>VLOOKUP($J684,'[1]Table S6'!$A:$AI,7,FALSE)</f>
        <v>#N/A</v>
      </c>
      <c r="Q684" t="e">
        <f>VLOOKUP($J684,'[1]Table S6'!$A:$AI,8,FALSE)</f>
        <v>#N/A</v>
      </c>
      <c r="R684" t="e">
        <f>VLOOKUP($J684,'[1]Table S6'!$A:$AI,9,FALSE)</f>
        <v>#N/A</v>
      </c>
      <c r="S684" t="e">
        <f>VLOOKUP($J684,'[1]Table S6'!$A:$AI,10,FALSE)</f>
        <v>#N/A</v>
      </c>
      <c r="U684" t="e">
        <f>VLOOKUP($J684,'[1]Table S6'!$A:$AI,12,FALSE)</f>
        <v>#N/A</v>
      </c>
      <c r="V684" t="e">
        <f>VLOOKUP($J684,'[1]Table S6'!$A:$AI,13,FALSE)</f>
        <v>#N/A</v>
      </c>
      <c r="W684" t="e">
        <f>VLOOKUP($J684,'[1]Table S6'!$A:$AI,14,FALSE)</f>
        <v>#N/A</v>
      </c>
      <c r="X684" t="e">
        <f>VLOOKUP($J684,'[1]Table S6'!$A:$AI,15,FALSE)</f>
        <v>#N/A</v>
      </c>
      <c r="Z684" t="e">
        <f>VLOOKUP($J684,'[1]Table S6'!$A:$AI,17,FALSE)</f>
        <v>#N/A</v>
      </c>
      <c r="AA684" t="e">
        <f>VLOOKUP($J684,'[1]Table S6'!$A:$AI,18,FALSE)</f>
        <v>#N/A</v>
      </c>
      <c r="AB684" t="e">
        <f>VLOOKUP($J684,'[1]Table S6'!$A:$AI,19,FALSE)</f>
        <v>#N/A</v>
      </c>
      <c r="AC684" t="e">
        <f>VLOOKUP($J684,'[1]Table S6'!$A:$AI,20,FALSE)</f>
        <v>#N/A</v>
      </c>
      <c r="AE684" t="e">
        <f>VLOOKUP($J684,'[1]Table S6'!$A:$AI,22,FALSE)</f>
        <v>#N/A</v>
      </c>
      <c r="AF684" t="e">
        <f>VLOOKUP($J684,'[1]Table S6'!$A:$AI,23,FALSE)</f>
        <v>#N/A</v>
      </c>
      <c r="AG684" t="e">
        <f>VLOOKUP($J684,'[1]Table S6'!$A:$AI,24,FALSE)</f>
        <v>#N/A</v>
      </c>
      <c r="AH684" t="e">
        <f>VLOOKUP($J684,'[1]Table S6'!$A:$AI,25,FALSE)</f>
        <v>#N/A</v>
      </c>
      <c r="AJ684" t="e">
        <f>VLOOKUP($J684,'[1]Table S6'!$A:$AI,27,FALSE)</f>
        <v>#N/A</v>
      </c>
      <c r="AK684" t="e">
        <f>VLOOKUP($J684,'[1]Table S6'!$A:$AI,28,FALSE)</f>
        <v>#N/A</v>
      </c>
      <c r="AL684" t="e">
        <f>VLOOKUP($J684,'[1]Table S6'!$A:$AI,29,FALSE)</f>
        <v>#N/A</v>
      </c>
      <c r="AM684" t="e">
        <f>VLOOKUP($J684,'[1]Table S6'!$A:$AI,30,FALSE)</f>
        <v>#N/A</v>
      </c>
      <c r="AO684" t="e">
        <f>VLOOKUP($J684,'[1]Table S6'!$A:$AI,32,FALSE)</f>
        <v>#N/A</v>
      </c>
      <c r="AP684" t="e">
        <f>VLOOKUP($J684,'[1]Table S6'!$A:$AI,33,FALSE)</f>
        <v>#N/A</v>
      </c>
      <c r="AQ684" t="e">
        <f>VLOOKUP($J684,'[1]Table S6'!$A:$AI,34,FALSE)</f>
        <v>#N/A</v>
      </c>
      <c r="AR684" t="e">
        <f>VLOOKUP($J684,'[1]Table S6'!$A:$AI,35,FALSE)</f>
        <v>#N/A</v>
      </c>
      <c r="AT684" t="e">
        <f>VLOOKUP($I684,'[2]Table S5'!$A:$K,8,FALSE)</f>
        <v>#N/A</v>
      </c>
      <c r="AU684" t="e">
        <f>VLOOKUP($I684,'[2]Table S5'!$A:$K,9,FALSE)</f>
        <v>#N/A</v>
      </c>
      <c r="AV684" t="e">
        <f>VLOOKUP($I684,'[2]Table S5'!$A:$K,10,FALSE)</f>
        <v>#N/A</v>
      </c>
      <c r="AW684" t="e">
        <f>VLOOKUP($I684,'[2]Table S5'!$A:$K,11,FALSE)</f>
        <v>#N/A</v>
      </c>
    </row>
    <row r="685" spans="1:49">
      <c r="A685" s="12" t="s">
        <v>4268</v>
      </c>
      <c r="B685" t="s">
        <v>4269</v>
      </c>
      <c r="C685" t="s">
        <v>4270</v>
      </c>
      <c r="D685" t="s">
        <v>17</v>
      </c>
      <c r="E685" t="s">
        <v>2400</v>
      </c>
      <c r="F685" s="12" t="s">
        <v>2401</v>
      </c>
      <c r="G685" t="s">
        <v>2402</v>
      </c>
      <c r="H685" t="s">
        <v>2403</v>
      </c>
      <c r="I685" t="s">
        <v>2404</v>
      </c>
      <c r="J685" t="s">
        <v>2404</v>
      </c>
      <c r="K685" t="e">
        <f>VLOOKUP($J685,'[1]Table S6'!$A:$AI,2,FALSE)</f>
        <v>#N/A</v>
      </c>
      <c r="L685" t="e">
        <f>VLOOKUP($J685,'[1]Table S6'!$A:$AI,3,FALSE)</f>
        <v>#N/A</v>
      </c>
      <c r="M685" t="e">
        <f>VLOOKUP($J685,'[1]Table S6'!$A:$AI,4,FALSE)</f>
        <v>#N/A</v>
      </c>
      <c r="N685" t="e">
        <f>VLOOKUP($J685,'[1]Table S6'!$A:$AI,5,FALSE)</f>
        <v>#N/A</v>
      </c>
      <c r="P685" t="e">
        <f>VLOOKUP($J685,'[1]Table S6'!$A:$AI,7,FALSE)</f>
        <v>#N/A</v>
      </c>
      <c r="Q685" t="e">
        <f>VLOOKUP($J685,'[1]Table S6'!$A:$AI,8,FALSE)</f>
        <v>#N/A</v>
      </c>
      <c r="R685" t="e">
        <f>VLOOKUP($J685,'[1]Table S6'!$A:$AI,9,FALSE)</f>
        <v>#N/A</v>
      </c>
      <c r="S685" t="e">
        <f>VLOOKUP($J685,'[1]Table S6'!$A:$AI,10,FALSE)</f>
        <v>#N/A</v>
      </c>
      <c r="U685" t="e">
        <f>VLOOKUP($J685,'[1]Table S6'!$A:$AI,12,FALSE)</f>
        <v>#N/A</v>
      </c>
      <c r="V685" t="e">
        <f>VLOOKUP($J685,'[1]Table S6'!$A:$AI,13,FALSE)</f>
        <v>#N/A</v>
      </c>
      <c r="W685" t="e">
        <f>VLOOKUP($J685,'[1]Table S6'!$A:$AI,14,FALSE)</f>
        <v>#N/A</v>
      </c>
      <c r="X685" t="e">
        <f>VLOOKUP($J685,'[1]Table S6'!$A:$AI,15,FALSE)</f>
        <v>#N/A</v>
      </c>
      <c r="Z685" t="e">
        <f>VLOOKUP($J685,'[1]Table S6'!$A:$AI,17,FALSE)</f>
        <v>#N/A</v>
      </c>
      <c r="AA685" t="e">
        <f>VLOOKUP($J685,'[1]Table S6'!$A:$AI,18,FALSE)</f>
        <v>#N/A</v>
      </c>
      <c r="AB685" t="e">
        <f>VLOOKUP($J685,'[1]Table S6'!$A:$AI,19,FALSE)</f>
        <v>#N/A</v>
      </c>
      <c r="AC685" t="e">
        <f>VLOOKUP($J685,'[1]Table S6'!$A:$AI,20,FALSE)</f>
        <v>#N/A</v>
      </c>
      <c r="AE685" t="e">
        <f>VLOOKUP($J685,'[1]Table S6'!$A:$AI,22,FALSE)</f>
        <v>#N/A</v>
      </c>
      <c r="AF685" t="e">
        <f>VLOOKUP($J685,'[1]Table S6'!$A:$AI,23,FALSE)</f>
        <v>#N/A</v>
      </c>
      <c r="AG685" t="e">
        <f>VLOOKUP($J685,'[1]Table S6'!$A:$AI,24,FALSE)</f>
        <v>#N/A</v>
      </c>
      <c r="AH685" t="e">
        <f>VLOOKUP($J685,'[1]Table S6'!$A:$AI,25,FALSE)</f>
        <v>#N/A</v>
      </c>
      <c r="AJ685" t="e">
        <f>VLOOKUP($J685,'[1]Table S6'!$A:$AI,27,FALSE)</f>
        <v>#N/A</v>
      </c>
      <c r="AK685" t="e">
        <f>VLOOKUP($J685,'[1]Table S6'!$A:$AI,28,FALSE)</f>
        <v>#N/A</v>
      </c>
      <c r="AL685" t="e">
        <f>VLOOKUP($J685,'[1]Table S6'!$A:$AI,29,FALSE)</f>
        <v>#N/A</v>
      </c>
      <c r="AM685" t="e">
        <f>VLOOKUP($J685,'[1]Table S6'!$A:$AI,30,FALSE)</f>
        <v>#N/A</v>
      </c>
      <c r="AO685" t="e">
        <f>VLOOKUP($J685,'[1]Table S6'!$A:$AI,32,FALSE)</f>
        <v>#N/A</v>
      </c>
      <c r="AP685" t="e">
        <f>VLOOKUP($J685,'[1]Table S6'!$A:$AI,33,FALSE)</f>
        <v>#N/A</v>
      </c>
      <c r="AQ685" t="e">
        <f>VLOOKUP($J685,'[1]Table S6'!$A:$AI,34,FALSE)</f>
        <v>#N/A</v>
      </c>
      <c r="AR685" t="e">
        <f>VLOOKUP($J685,'[1]Table S6'!$A:$AI,35,FALSE)</f>
        <v>#N/A</v>
      </c>
      <c r="AT685" t="e">
        <f>VLOOKUP($I685,'[2]Table S5'!$A:$K,8,FALSE)</f>
        <v>#N/A</v>
      </c>
      <c r="AU685" t="e">
        <f>VLOOKUP($I685,'[2]Table S5'!$A:$K,9,FALSE)</f>
        <v>#N/A</v>
      </c>
      <c r="AV685" t="e">
        <f>VLOOKUP($I685,'[2]Table S5'!$A:$K,10,FALSE)</f>
        <v>#N/A</v>
      </c>
      <c r="AW685" t="e">
        <f>VLOOKUP($I685,'[2]Table S5'!$A:$K,11,FALSE)</f>
        <v>#N/A</v>
      </c>
    </row>
    <row r="686" spans="1:49">
      <c r="A686" s="12" t="s">
        <v>4271</v>
      </c>
      <c r="B686" t="s">
        <v>4272</v>
      </c>
      <c r="C686" t="s">
        <v>4273</v>
      </c>
      <c r="D686" t="s">
        <v>17</v>
      </c>
      <c r="E686" t="s">
        <v>2415</v>
      </c>
      <c r="F686" s="12" t="s">
        <v>2416</v>
      </c>
      <c r="G686" t="s">
        <v>2417</v>
      </c>
      <c r="H686" t="s">
        <v>2418</v>
      </c>
      <c r="I686" t="s">
        <v>2419</v>
      </c>
      <c r="J686" t="s">
        <v>2419</v>
      </c>
      <c r="K686" t="e">
        <f>VLOOKUP($J686,'[1]Table S6'!$A:$AI,2,FALSE)</f>
        <v>#N/A</v>
      </c>
      <c r="L686" t="e">
        <f>VLOOKUP($J686,'[1]Table S6'!$A:$AI,3,FALSE)</f>
        <v>#N/A</v>
      </c>
      <c r="M686" t="e">
        <f>VLOOKUP($J686,'[1]Table S6'!$A:$AI,4,FALSE)</f>
        <v>#N/A</v>
      </c>
      <c r="N686" t="e">
        <f>VLOOKUP($J686,'[1]Table S6'!$A:$AI,5,FALSE)</f>
        <v>#N/A</v>
      </c>
      <c r="P686" t="e">
        <f>VLOOKUP($J686,'[1]Table S6'!$A:$AI,7,FALSE)</f>
        <v>#N/A</v>
      </c>
      <c r="Q686" t="e">
        <f>VLOOKUP($J686,'[1]Table S6'!$A:$AI,8,FALSE)</f>
        <v>#N/A</v>
      </c>
      <c r="R686" t="e">
        <f>VLOOKUP($J686,'[1]Table S6'!$A:$AI,9,FALSE)</f>
        <v>#N/A</v>
      </c>
      <c r="S686" t="e">
        <f>VLOOKUP($J686,'[1]Table S6'!$A:$AI,10,FALSE)</f>
        <v>#N/A</v>
      </c>
      <c r="U686" t="e">
        <f>VLOOKUP($J686,'[1]Table S6'!$A:$AI,12,FALSE)</f>
        <v>#N/A</v>
      </c>
      <c r="V686" t="e">
        <f>VLOOKUP($J686,'[1]Table S6'!$A:$AI,13,FALSE)</f>
        <v>#N/A</v>
      </c>
      <c r="W686" t="e">
        <f>VLOOKUP($J686,'[1]Table S6'!$A:$AI,14,FALSE)</f>
        <v>#N/A</v>
      </c>
      <c r="X686" t="e">
        <f>VLOOKUP($J686,'[1]Table S6'!$A:$AI,15,FALSE)</f>
        <v>#N/A</v>
      </c>
      <c r="Z686" t="e">
        <f>VLOOKUP($J686,'[1]Table S6'!$A:$AI,17,FALSE)</f>
        <v>#N/A</v>
      </c>
      <c r="AA686" t="e">
        <f>VLOOKUP($J686,'[1]Table S6'!$A:$AI,18,FALSE)</f>
        <v>#N/A</v>
      </c>
      <c r="AB686" t="e">
        <f>VLOOKUP($J686,'[1]Table S6'!$A:$AI,19,FALSE)</f>
        <v>#N/A</v>
      </c>
      <c r="AC686" t="e">
        <f>VLOOKUP($J686,'[1]Table S6'!$A:$AI,20,FALSE)</f>
        <v>#N/A</v>
      </c>
      <c r="AE686" t="e">
        <f>VLOOKUP($J686,'[1]Table S6'!$A:$AI,22,FALSE)</f>
        <v>#N/A</v>
      </c>
      <c r="AF686" t="e">
        <f>VLOOKUP($J686,'[1]Table S6'!$A:$AI,23,FALSE)</f>
        <v>#N/A</v>
      </c>
      <c r="AG686" t="e">
        <f>VLOOKUP($J686,'[1]Table S6'!$A:$AI,24,FALSE)</f>
        <v>#N/A</v>
      </c>
      <c r="AH686" t="e">
        <f>VLOOKUP($J686,'[1]Table S6'!$A:$AI,25,FALSE)</f>
        <v>#N/A</v>
      </c>
      <c r="AJ686" t="e">
        <f>VLOOKUP($J686,'[1]Table S6'!$A:$AI,27,FALSE)</f>
        <v>#N/A</v>
      </c>
      <c r="AK686" t="e">
        <f>VLOOKUP($J686,'[1]Table S6'!$A:$AI,28,FALSE)</f>
        <v>#N/A</v>
      </c>
      <c r="AL686" t="e">
        <f>VLOOKUP($J686,'[1]Table S6'!$A:$AI,29,FALSE)</f>
        <v>#N/A</v>
      </c>
      <c r="AM686" t="e">
        <f>VLOOKUP($J686,'[1]Table S6'!$A:$AI,30,FALSE)</f>
        <v>#N/A</v>
      </c>
      <c r="AO686" t="e">
        <f>VLOOKUP($J686,'[1]Table S6'!$A:$AI,32,FALSE)</f>
        <v>#N/A</v>
      </c>
      <c r="AP686" t="e">
        <f>VLOOKUP($J686,'[1]Table S6'!$A:$AI,33,FALSE)</f>
        <v>#N/A</v>
      </c>
      <c r="AQ686" t="e">
        <f>VLOOKUP($J686,'[1]Table S6'!$A:$AI,34,FALSE)</f>
        <v>#N/A</v>
      </c>
      <c r="AR686" t="e">
        <f>VLOOKUP($J686,'[1]Table S6'!$A:$AI,35,FALSE)</f>
        <v>#N/A</v>
      </c>
      <c r="AT686" t="e">
        <f>VLOOKUP($I686,'[2]Table S5'!$A:$K,8,FALSE)</f>
        <v>#N/A</v>
      </c>
      <c r="AU686" t="e">
        <f>VLOOKUP($I686,'[2]Table S5'!$A:$K,9,FALSE)</f>
        <v>#N/A</v>
      </c>
      <c r="AV686" t="e">
        <f>VLOOKUP($I686,'[2]Table S5'!$A:$K,10,FALSE)</f>
        <v>#N/A</v>
      </c>
      <c r="AW686" t="e">
        <f>VLOOKUP($I686,'[2]Table S5'!$A:$K,11,FALSE)</f>
        <v>#N/A</v>
      </c>
    </row>
    <row r="687" spans="1:49">
      <c r="A687" s="12" t="s">
        <v>4274</v>
      </c>
      <c r="B687" t="s">
        <v>4275</v>
      </c>
      <c r="C687" t="s">
        <v>4276</v>
      </c>
      <c r="D687" t="s">
        <v>17</v>
      </c>
      <c r="E687" t="s">
        <v>2430</v>
      </c>
      <c r="F687" s="12" t="s">
        <v>2431</v>
      </c>
      <c r="G687" t="s">
        <v>2432</v>
      </c>
      <c r="H687" t="s">
        <v>2433</v>
      </c>
      <c r="I687" t="s">
        <v>2434</v>
      </c>
      <c r="J687" t="s">
        <v>2434</v>
      </c>
      <c r="K687" t="e">
        <f>VLOOKUP($J687,'[1]Table S6'!$A:$AI,2,FALSE)</f>
        <v>#N/A</v>
      </c>
      <c r="L687" t="e">
        <f>VLOOKUP($J687,'[1]Table S6'!$A:$AI,3,FALSE)</f>
        <v>#N/A</v>
      </c>
      <c r="M687" t="e">
        <f>VLOOKUP($J687,'[1]Table S6'!$A:$AI,4,FALSE)</f>
        <v>#N/A</v>
      </c>
      <c r="N687" t="e">
        <f>VLOOKUP($J687,'[1]Table S6'!$A:$AI,5,FALSE)</f>
        <v>#N/A</v>
      </c>
      <c r="P687" t="e">
        <f>VLOOKUP($J687,'[1]Table S6'!$A:$AI,7,FALSE)</f>
        <v>#N/A</v>
      </c>
      <c r="Q687" t="e">
        <f>VLOOKUP($J687,'[1]Table S6'!$A:$AI,8,FALSE)</f>
        <v>#N/A</v>
      </c>
      <c r="R687" t="e">
        <f>VLOOKUP($J687,'[1]Table S6'!$A:$AI,9,FALSE)</f>
        <v>#N/A</v>
      </c>
      <c r="S687" t="e">
        <f>VLOOKUP($J687,'[1]Table S6'!$A:$AI,10,FALSE)</f>
        <v>#N/A</v>
      </c>
      <c r="U687" t="e">
        <f>VLOOKUP($J687,'[1]Table S6'!$A:$AI,12,FALSE)</f>
        <v>#N/A</v>
      </c>
      <c r="V687" t="e">
        <f>VLOOKUP($J687,'[1]Table S6'!$A:$AI,13,FALSE)</f>
        <v>#N/A</v>
      </c>
      <c r="W687" t="e">
        <f>VLOOKUP($J687,'[1]Table S6'!$A:$AI,14,FALSE)</f>
        <v>#N/A</v>
      </c>
      <c r="X687" t="e">
        <f>VLOOKUP($J687,'[1]Table S6'!$A:$AI,15,FALSE)</f>
        <v>#N/A</v>
      </c>
      <c r="Z687" t="e">
        <f>VLOOKUP($J687,'[1]Table S6'!$A:$AI,17,FALSE)</f>
        <v>#N/A</v>
      </c>
      <c r="AA687" t="e">
        <f>VLOOKUP($J687,'[1]Table S6'!$A:$AI,18,FALSE)</f>
        <v>#N/A</v>
      </c>
      <c r="AB687" t="e">
        <f>VLOOKUP($J687,'[1]Table S6'!$A:$AI,19,FALSE)</f>
        <v>#N/A</v>
      </c>
      <c r="AC687" t="e">
        <f>VLOOKUP($J687,'[1]Table S6'!$A:$AI,20,FALSE)</f>
        <v>#N/A</v>
      </c>
      <c r="AE687" t="e">
        <f>VLOOKUP($J687,'[1]Table S6'!$A:$AI,22,FALSE)</f>
        <v>#N/A</v>
      </c>
      <c r="AF687" t="e">
        <f>VLOOKUP($J687,'[1]Table S6'!$A:$AI,23,FALSE)</f>
        <v>#N/A</v>
      </c>
      <c r="AG687" t="e">
        <f>VLOOKUP($J687,'[1]Table S6'!$A:$AI,24,FALSE)</f>
        <v>#N/A</v>
      </c>
      <c r="AH687" t="e">
        <f>VLOOKUP($J687,'[1]Table S6'!$A:$AI,25,FALSE)</f>
        <v>#N/A</v>
      </c>
      <c r="AJ687" t="e">
        <f>VLOOKUP($J687,'[1]Table S6'!$A:$AI,27,FALSE)</f>
        <v>#N/A</v>
      </c>
      <c r="AK687" t="e">
        <f>VLOOKUP($J687,'[1]Table S6'!$A:$AI,28,FALSE)</f>
        <v>#N/A</v>
      </c>
      <c r="AL687" t="e">
        <f>VLOOKUP($J687,'[1]Table S6'!$A:$AI,29,FALSE)</f>
        <v>#N/A</v>
      </c>
      <c r="AM687" t="e">
        <f>VLOOKUP($J687,'[1]Table S6'!$A:$AI,30,FALSE)</f>
        <v>#N/A</v>
      </c>
      <c r="AO687" t="e">
        <f>VLOOKUP($J687,'[1]Table S6'!$A:$AI,32,FALSE)</f>
        <v>#N/A</v>
      </c>
      <c r="AP687" t="e">
        <f>VLOOKUP($J687,'[1]Table S6'!$A:$AI,33,FALSE)</f>
        <v>#N/A</v>
      </c>
      <c r="AQ687" t="e">
        <f>VLOOKUP($J687,'[1]Table S6'!$A:$AI,34,FALSE)</f>
        <v>#N/A</v>
      </c>
      <c r="AR687" t="e">
        <f>VLOOKUP($J687,'[1]Table S6'!$A:$AI,35,FALSE)</f>
        <v>#N/A</v>
      </c>
      <c r="AT687" t="e">
        <f>VLOOKUP($I687,'[2]Table S5'!$A:$K,8,FALSE)</f>
        <v>#N/A</v>
      </c>
      <c r="AU687" t="e">
        <f>VLOOKUP($I687,'[2]Table S5'!$A:$K,9,FALSE)</f>
        <v>#N/A</v>
      </c>
      <c r="AV687" t="e">
        <f>VLOOKUP($I687,'[2]Table S5'!$A:$K,10,FALSE)</f>
        <v>#N/A</v>
      </c>
      <c r="AW687" t="e">
        <f>VLOOKUP($I687,'[2]Table S5'!$A:$K,11,FALSE)</f>
        <v>#N/A</v>
      </c>
    </row>
    <row r="688" spans="1:49">
      <c r="A688" s="12" t="s">
        <v>4277</v>
      </c>
      <c r="B688" t="s">
        <v>4278</v>
      </c>
      <c r="C688" t="s">
        <v>4279</v>
      </c>
      <c r="D688" t="s">
        <v>17</v>
      </c>
      <c r="E688" t="s">
        <v>2453</v>
      </c>
      <c r="F688" s="12" t="s">
        <v>2454</v>
      </c>
      <c r="G688" t="s">
        <v>2455</v>
      </c>
      <c r="H688" t="s">
        <v>2456</v>
      </c>
      <c r="I688" t="s">
        <v>2449</v>
      </c>
      <c r="J688" t="s">
        <v>2449</v>
      </c>
      <c r="K688" t="e">
        <f>VLOOKUP($J688,'[1]Table S6'!$A:$AI,2,FALSE)</f>
        <v>#N/A</v>
      </c>
      <c r="L688" t="e">
        <f>VLOOKUP($J688,'[1]Table S6'!$A:$AI,3,FALSE)</f>
        <v>#N/A</v>
      </c>
      <c r="M688" t="e">
        <f>VLOOKUP($J688,'[1]Table S6'!$A:$AI,4,FALSE)</f>
        <v>#N/A</v>
      </c>
      <c r="N688" t="e">
        <f>VLOOKUP($J688,'[1]Table S6'!$A:$AI,5,FALSE)</f>
        <v>#N/A</v>
      </c>
      <c r="P688" t="e">
        <f>VLOOKUP($J688,'[1]Table S6'!$A:$AI,7,FALSE)</f>
        <v>#N/A</v>
      </c>
      <c r="Q688" t="e">
        <f>VLOOKUP($J688,'[1]Table S6'!$A:$AI,8,FALSE)</f>
        <v>#N/A</v>
      </c>
      <c r="R688" t="e">
        <f>VLOOKUP($J688,'[1]Table S6'!$A:$AI,9,FALSE)</f>
        <v>#N/A</v>
      </c>
      <c r="S688" t="e">
        <f>VLOOKUP($J688,'[1]Table S6'!$A:$AI,10,FALSE)</f>
        <v>#N/A</v>
      </c>
      <c r="U688" t="e">
        <f>VLOOKUP($J688,'[1]Table S6'!$A:$AI,12,FALSE)</f>
        <v>#N/A</v>
      </c>
      <c r="V688" t="e">
        <f>VLOOKUP($J688,'[1]Table S6'!$A:$AI,13,FALSE)</f>
        <v>#N/A</v>
      </c>
      <c r="W688" t="e">
        <f>VLOOKUP($J688,'[1]Table S6'!$A:$AI,14,FALSE)</f>
        <v>#N/A</v>
      </c>
      <c r="X688" t="e">
        <f>VLOOKUP($J688,'[1]Table S6'!$A:$AI,15,FALSE)</f>
        <v>#N/A</v>
      </c>
      <c r="Z688" t="e">
        <f>VLOOKUP($J688,'[1]Table S6'!$A:$AI,17,FALSE)</f>
        <v>#N/A</v>
      </c>
      <c r="AA688" t="e">
        <f>VLOOKUP($J688,'[1]Table S6'!$A:$AI,18,FALSE)</f>
        <v>#N/A</v>
      </c>
      <c r="AB688" t="e">
        <f>VLOOKUP($J688,'[1]Table S6'!$A:$AI,19,FALSE)</f>
        <v>#N/A</v>
      </c>
      <c r="AC688" t="e">
        <f>VLOOKUP($J688,'[1]Table S6'!$A:$AI,20,FALSE)</f>
        <v>#N/A</v>
      </c>
      <c r="AE688" t="e">
        <f>VLOOKUP($J688,'[1]Table S6'!$A:$AI,22,FALSE)</f>
        <v>#N/A</v>
      </c>
      <c r="AF688" t="e">
        <f>VLOOKUP($J688,'[1]Table S6'!$A:$AI,23,FALSE)</f>
        <v>#N/A</v>
      </c>
      <c r="AG688" t="e">
        <f>VLOOKUP($J688,'[1]Table S6'!$A:$AI,24,FALSE)</f>
        <v>#N/A</v>
      </c>
      <c r="AH688" t="e">
        <f>VLOOKUP($J688,'[1]Table S6'!$A:$AI,25,FALSE)</f>
        <v>#N/A</v>
      </c>
      <c r="AJ688" t="e">
        <f>VLOOKUP($J688,'[1]Table S6'!$A:$AI,27,FALSE)</f>
        <v>#N/A</v>
      </c>
      <c r="AK688" t="e">
        <f>VLOOKUP($J688,'[1]Table S6'!$A:$AI,28,FALSE)</f>
        <v>#N/A</v>
      </c>
      <c r="AL688" t="e">
        <f>VLOOKUP($J688,'[1]Table S6'!$A:$AI,29,FALSE)</f>
        <v>#N/A</v>
      </c>
      <c r="AM688" t="e">
        <f>VLOOKUP($J688,'[1]Table S6'!$A:$AI,30,FALSE)</f>
        <v>#N/A</v>
      </c>
      <c r="AO688" t="e">
        <f>VLOOKUP($J688,'[1]Table S6'!$A:$AI,32,FALSE)</f>
        <v>#N/A</v>
      </c>
      <c r="AP688" t="e">
        <f>VLOOKUP($J688,'[1]Table S6'!$A:$AI,33,FALSE)</f>
        <v>#N/A</v>
      </c>
      <c r="AQ688" t="e">
        <f>VLOOKUP($J688,'[1]Table S6'!$A:$AI,34,FALSE)</f>
        <v>#N/A</v>
      </c>
      <c r="AR688" t="e">
        <f>VLOOKUP($J688,'[1]Table S6'!$A:$AI,35,FALSE)</f>
        <v>#N/A</v>
      </c>
      <c r="AT688" t="e">
        <f>VLOOKUP($I688,'[2]Table S5'!$A:$K,8,FALSE)</f>
        <v>#N/A</v>
      </c>
      <c r="AU688" t="e">
        <f>VLOOKUP($I688,'[2]Table S5'!$A:$K,9,FALSE)</f>
        <v>#N/A</v>
      </c>
      <c r="AV688" t="e">
        <f>VLOOKUP($I688,'[2]Table S5'!$A:$K,10,FALSE)</f>
        <v>#N/A</v>
      </c>
      <c r="AW688" t="e">
        <f>VLOOKUP($I688,'[2]Table S5'!$A:$K,11,FALSE)</f>
        <v>#N/A</v>
      </c>
    </row>
    <row r="689" spans="1:49">
      <c r="A689" s="12" t="s">
        <v>4280</v>
      </c>
      <c r="B689" t="s">
        <v>4281</v>
      </c>
      <c r="C689" t="s">
        <v>4282</v>
      </c>
      <c r="D689" t="s">
        <v>17</v>
      </c>
      <c r="E689" t="s">
        <v>2460</v>
      </c>
      <c r="F689" s="12" t="s">
        <v>2461</v>
      </c>
      <c r="G689" t="s">
        <v>2462</v>
      </c>
      <c r="H689" t="s">
        <v>2463</v>
      </c>
      <c r="I689" t="s">
        <v>2464</v>
      </c>
      <c r="J689" t="s">
        <v>2464</v>
      </c>
      <c r="K689" t="e">
        <f>VLOOKUP($J689,'[1]Table S6'!$A:$AI,2,FALSE)</f>
        <v>#N/A</v>
      </c>
      <c r="L689" t="e">
        <f>VLOOKUP($J689,'[1]Table S6'!$A:$AI,3,FALSE)</f>
        <v>#N/A</v>
      </c>
      <c r="M689" t="e">
        <f>VLOOKUP($J689,'[1]Table S6'!$A:$AI,4,FALSE)</f>
        <v>#N/A</v>
      </c>
      <c r="N689" t="e">
        <f>VLOOKUP($J689,'[1]Table S6'!$A:$AI,5,FALSE)</f>
        <v>#N/A</v>
      </c>
      <c r="P689" t="e">
        <f>VLOOKUP($J689,'[1]Table S6'!$A:$AI,7,FALSE)</f>
        <v>#N/A</v>
      </c>
      <c r="Q689" t="e">
        <f>VLOOKUP($J689,'[1]Table S6'!$A:$AI,8,FALSE)</f>
        <v>#N/A</v>
      </c>
      <c r="R689" t="e">
        <f>VLOOKUP($J689,'[1]Table S6'!$A:$AI,9,FALSE)</f>
        <v>#N/A</v>
      </c>
      <c r="S689" t="e">
        <f>VLOOKUP($J689,'[1]Table S6'!$A:$AI,10,FALSE)</f>
        <v>#N/A</v>
      </c>
      <c r="U689" t="e">
        <f>VLOOKUP($J689,'[1]Table S6'!$A:$AI,12,FALSE)</f>
        <v>#N/A</v>
      </c>
      <c r="V689" t="e">
        <f>VLOOKUP($J689,'[1]Table S6'!$A:$AI,13,FALSE)</f>
        <v>#N/A</v>
      </c>
      <c r="W689" t="e">
        <f>VLOOKUP($J689,'[1]Table S6'!$A:$AI,14,FALSE)</f>
        <v>#N/A</v>
      </c>
      <c r="X689" t="e">
        <f>VLOOKUP($J689,'[1]Table S6'!$A:$AI,15,FALSE)</f>
        <v>#N/A</v>
      </c>
      <c r="Z689" t="e">
        <f>VLOOKUP($J689,'[1]Table S6'!$A:$AI,17,FALSE)</f>
        <v>#N/A</v>
      </c>
      <c r="AA689" t="e">
        <f>VLOOKUP($J689,'[1]Table S6'!$A:$AI,18,FALSE)</f>
        <v>#N/A</v>
      </c>
      <c r="AB689" t="e">
        <f>VLOOKUP($J689,'[1]Table S6'!$A:$AI,19,FALSE)</f>
        <v>#N/A</v>
      </c>
      <c r="AC689" t="e">
        <f>VLOOKUP($J689,'[1]Table S6'!$A:$AI,20,FALSE)</f>
        <v>#N/A</v>
      </c>
      <c r="AE689" t="e">
        <f>VLOOKUP($J689,'[1]Table S6'!$A:$AI,22,FALSE)</f>
        <v>#N/A</v>
      </c>
      <c r="AF689" t="e">
        <f>VLOOKUP($J689,'[1]Table S6'!$A:$AI,23,FALSE)</f>
        <v>#N/A</v>
      </c>
      <c r="AG689" t="e">
        <f>VLOOKUP($J689,'[1]Table S6'!$A:$AI,24,FALSE)</f>
        <v>#N/A</v>
      </c>
      <c r="AH689" t="e">
        <f>VLOOKUP($J689,'[1]Table S6'!$A:$AI,25,FALSE)</f>
        <v>#N/A</v>
      </c>
      <c r="AJ689" t="e">
        <f>VLOOKUP($J689,'[1]Table S6'!$A:$AI,27,FALSE)</f>
        <v>#N/A</v>
      </c>
      <c r="AK689" t="e">
        <f>VLOOKUP($J689,'[1]Table S6'!$A:$AI,28,FALSE)</f>
        <v>#N/A</v>
      </c>
      <c r="AL689" t="e">
        <f>VLOOKUP($J689,'[1]Table S6'!$A:$AI,29,FALSE)</f>
        <v>#N/A</v>
      </c>
      <c r="AM689" t="e">
        <f>VLOOKUP($J689,'[1]Table S6'!$A:$AI,30,FALSE)</f>
        <v>#N/A</v>
      </c>
      <c r="AO689" t="e">
        <f>VLOOKUP($J689,'[1]Table S6'!$A:$AI,32,FALSE)</f>
        <v>#N/A</v>
      </c>
      <c r="AP689" t="e">
        <f>VLOOKUP($J689,'[1]Table S6'!$A:$AI,33,FALSE)</f>
        <v>#N/A</v>
      </c>
      <c r="AQ689" t="e">
        <f>VLOOKUP($J689,'[1]Table S6'!$A:$AI,34,FALSE)</f>
        <v>#N/A</v>
      </c>
      <c r="AR689" t="e">
        <f>VLOOKUP($J689,'[1]Table S6'!$A:$AI,35,FALSE)</f>
        <v>#N/A</v>
      </c>
      <c r="AT689" t="e">
        <f>VLOOKUP($I689,'[2]Table S5'!$A:$K,8,FALSE)</f>
        <v>#N/A</v>
      </c>
      <c r="AU689" t="e">
        <f>VLOOKUP($I689,'[2]Table S5'!$A:$K,9,FALSE)</f>
        <v>#N/A</v>
      </c>
      <c r="AV689" t="e">
        <f>VLOOKUP($I689,'[2]Table S5'!$A:$K,10,FALSE)</f>
        <v>#N/A</v>
      </c>
      <c r="AW689" t="e">
        <f>VLOOKUP($I689,'[2]Table S5'!$A:$K,11,FALSE)</f>
        <v>#N/A</v>
      </c>
    </row>
    <row r="690" spans="1:49">
      <c r="A690" s="12" t="s">
        <v>4283</v>
      </c>
      <c r="B690" t="s">
        <v>4284</v>
      </c>
      <c r="C690" t="s">
        <v>4285</v>
      </c>
      <c r="D690" t="s">
        <v>17</v>
      </c>
      <c r="E690" t="s">
        <v>2468</v>
      </c>
      <c r="F690" s="12" t="s">
        <v>2469</v>
      </c>
      <c r="G690" t="s">
        <v>2470</v>
      </c>
      <c r="H690" t="s">
        <v>2471</v>
      </c>
      <c r="I690" t="s">
        <v>2472</v>
      </c>
      <c r="J690" t="s">
        <v>2472</v>
      </c>
      <c r="K690" t="e">
        <f>VLOOKUP($J690,'[1]Table S6'!$A:$AI,2,FALSE)</f>
        <v>#N/A</v>
      </c>
      <c r="L690" t="e">
        <f>VLOOKUP($J690,'[1]Table S6'!$A:$AI,3,FALSE)</f>
        <v>#N/A</v>
      </c>
      <c r="M690" t="e">
        <f>VLOOKUP($J690,'[1]Table S6'!$A:$AI,4,FALSE)</f>
        <v>#N/A</v>
      </c>
      <c r="N690" t="e">
        <f>VLOOKUP($J690,'[1]Table S6'!$A:$AI,5,FALSE)</f>
        <v>#N/A</v>
      </c>
      <c r="P690" t="e">
        <f>VLOOKUP($J690,'[1]Table S6'!$A:$AI,7,FALSE)</f>
        <v>#N/A</v>
      </c>
      <c r="Q690" t="e">
        <f>VLOOKUP($J690,'[1]Table S6'!$A:$AI,8,FALSE)</f>
        <v>#N/A</v>
      </c>
      <c r="R690" t="e">
        <f>VLOOKUP($J690,'[1]Table S6'!$A:$AI,9,FALSE)</f>
        <v>#N/A</v>
      </c>
      <c r="S690" t="e">
        <f>VLOOKUP($J690,'[1]Table S6'!$A:$AI,10,FALSE)</f>
        <v>#N/A</v>
      </c>
      <c r="U690" t="e">
        <f>VLOOKUP($J690,'[1]Table S6'!$A:$AI,12,FALSE)</f>
        <v>#N/A</v>
      </c>
      <c r="V690" t="e">
        <f>VLOOKUP($J690,'[1]Table S6'!$A:$AI,13,FALSE)</f>
        <v>#N/A</v>
      </c>
      <c r="W690" t="e">
        <f>VLOOKUP($J690,'[1]Table S6'!$A:$AI,14,FALSE)</f>
        <v>#N/A</v>
      </c>
      <c r="X690" t="e">
        <f>VLOOKUP($J690,'[1]Table S6'!$A:$AI,15,FALSE)</f>
        <v>#N/A</v>
      </c>
      <c r="Z690" t="e">
        <f>VLOOKUP($J690,'[1]Table S6'!$A:$AI,17,FALSE)</f>
        <v>#N/A</v>
      </c>
      <c r="AA690" t="e">
        <f>VLOOKUP($J690,'[1]Table S6'!$A:$AI,18,FALSE)</f>
        <v>#N/A</v>
      </c>
      <c r="AB690" t="e">
        <f>VLOOKUP($J690,'[1]Table S6'!$A:$AI,19,FALSE)</f>
        <v>#N/A</v>
      </c>
      <c r="AC690" t="e">
        <f>VLOOKUP($J690,'[1]Table S6'!$A:$AI,20,FALSE)</f>
        <v>#N/A</v>
      </c>
      <c r="AE690" t="e">
        <f>VLOOKUP($J690,'[1]Table S6'!$A:$AI,22,FALSE)</f>
        <v>#N/A</v>
      </c>
      <c r="AF690" t="e">
        <f>VLOOKUP($J690,'[1]Table S6'!$A:$AI,23,FALSE)</f>
        <v>#N/A</v>
      </c>
      <c r="AG690" t="e">
        <f>VLOOKUP($J690,'[1]Table S6'!$A:$AI,24,FALSE)</f>
        <v>#N/A</v>
      </c>
      <c r="AH690" t="e">
        <f>VLOOKUP($J690,'[1]Table S6'!$A:$AI,25,FALSE)</f>
        <v>#N/A</v>
      </c>
      <c r="AJ690" t="e">
        <f>VLOOKUP($J690,'[1]Table S6'!$A:$AI,27,FALSE)</f>
        <v>#N/A</v>
      </c>
      <c r="AK690" t="e">
        <f>VLOOKUP($J690,'[1]Table S6'!$A:$AI,28,FALSE)</f>
        <v>#N/A</v>
      </c>
      <c r="AL690" t="e">
        <f>VLOOKUP($J690,'[1]Table S6'!$A:$AI,29,FALSE)</f>
        <v>#N/A</v>
      </c>
      <c r="AM690" t="e">
        <f>VLOOKUP($J690,'[1]Table S6'!$A:$AI,30,FALSE)</f>
        <v>#N/A</v>
      </c>
      <c r="AO690" t="e">
        <f>VLOOKUP($J690,'[1]Table S6'!$A:$AI,32,FALSE)</f>
        <v>#N/A</v>
      </c>
      <c r="AP690" t="e">
        <f>VLOOKUP($J690,'[1]Table S6'!$A:$AI,33,FALSE)</f>
        <v>#N/A</v>
      </c>
      <c r="AQ690" t="e">
        <f>VLOOKUP($J690,'[1]Table S6'!$A:$AI,34,FALSE)</f>
        <v>#N/A</v>
      </c>
      <c r="AR690" t="e">
        <f>VLOOKUP($J690,'[1]Table S6'!$A:$AI,35,FALSE)</f>
        <v>#N/A</v>
      </c>
      <c r="AT690" t="e">
        <f>VLOOKUP($I690,'[2]Table S5'!$A:$K,8,FALSE)</f>
        <v>#N/A</v>
      </c>
      <c r="AU690" t="e">
        <f>VLOOKUP($I690,'[2]Table S5'!$A:$K,9,FALSE)</f>
        <v>#N/A</v>
      </c>
      <c r="AV690" t="e">
        <f>VLOOKUP($I690,'[2]Table S5'!$A:$K,10,FALSE)</f>
        <v>#N/A</v>
      </c>
      <c r="AW690" t="e">
        <f>VLOOKUP($I690,'[2]Table S5'!$A:$K,11,FALSE)</f>
        <v>#N/A</v>
      </c>
    </row>
    <row r="691" spans="1:49">
      <c r="A691" s="12" t="s">
        <v>4286</v>
      </c>
      <c r="B691" t="s">
        <v>4287</v>
      </c>
      <c r="C691" t="s">
        <v>4288</v>
      </c>
      <c r="D691" t="s">
        <v>17</v>
      </c>
      <c r="E691" t="s">
        <v>2476</v>
      </c>
      <c r="F691" s="12" t="s">
        <v>2477</v>
      </c>
      <c r="G691" t="s">
        <v>2478</v>
      </c>
      <c r="H691" t="s">
        <v>2479</v>
      </c>
      <c r="I691" t="s">
        <v>2480</v>
      </c>
      <c r="J691" t="s">
        <v>2480</v>
      </c>
      <c r="K691" t="e">
        <f>VLOOKUP($J691,'[1]Table S6'!$A:$AI,2,FALSE)</f>
        <v>#N/A</v>
      </c>
      <c r="L691" t="e">
        <f>VLOOKUP($J691,'[1]Table S6'!$A:$AI,3,FALSE)</f>
        <v>#N/A</v>
      </c>
      <c r="M691" t="e">
        <f>VLOOKUP($J691,'[1]Table S6'!$A:$AI,4,FALSE)</f>
        <v>#N/A</v>
      </c>
      <c r="N691" t="e">
        <f>VLOOKUP($J691,'[1]Table S6'!$A:$AI,5,FALSE)</f>
        <v>#N/A</v>
      </c>
      <c r="P691" t="e">
        <f>VLOOKUP($J691,'[1]Table S6'!$A:$AI,7,FALSE)</f>
        <v>#N/A</v>
      </c>
      <c r="Q691" t="e">
        <f>VLOOKUP($J691,'[1]Table S6'!$A:$AI,8,FALSE)</f>
        <v>#N/A</v>
      </c>
      <c r="R691" t="e">
        <f>VLOOKUP($J691,'[1]Table S6'!$A:$AI,9,FALSE)</f>
        <v>#N/A</v>
      </c>
      <c r="S691" t="e">
        <f>VLOOKUP($J691,'[1]Table S6'!$A:$AI,10,FALSE)</f>
        <v>#N/A</v>
      </c>
      <c r="U691" t="e">
        <f>VLOOKUP($J691,'[1]Table S6'!$A:$AI,12,FALSE)</f>
        <v>#N/A</v>
      </c>
      <c r="V691" t="e">
        <f>VLOOKUP($J691,'[1]Table S6'!$A:$AI,13,FALSE)</f>
        <v>#N/A</v>
      </c>
      <c r="W691" t="e">
        <f>VLOOKUP($J691,'[1]Table S6'!$A:$AI,14,FALSE)</f>
        <v>#N/A</v>
      </c>
      <c r="X691" t="e">
        <f>VLOOKUP($J691,'[1]Table S6'!$A:$AI,15,FALSE)</f>
        <v>#N/A</v>
      </c>
      <c r="Z691" t="e">
        <f>VLOOKUP($J691,'[1]Table S6'!$A:$AI,17,FALSE)</f>
        <v>#N/A</v>
      </c>
      <c r="AA691" t="e">
        <f>VLOOKUP($J691,'[1]Table S6'!$A:$AI,18,FALSE)</f>
        <v>#N/A</v>
      </c>
      <c r="AB691" t="e">
        <f>VLOOKUP($J691,'[1]Table S6'!$A:$AI,19,FALSE)</f>
        <v>#N/A</v>
      </c>
      <c r="AC691" t="e">
        <f>VLOOKUP($J691,'[1]Table S6'!$A:$AI,20,FALSE)</f>
        <v>#N/A</v>
      </c>
      <c r="AE691" t="e">
        <f>VLOOKUP($J691,'[1]Table S6'!$A:$AI,22,FALSE)</f>
        <v>#N/A</v>
      </c>
      <c r="AF691" t="e">
        <f>VLOOKUP($J691,'[1]Table S6'!$A:$AI,23,FALSE)</f>
        <v>#N/A</v>
      </c>
      <c r="AG691" t="e">
        <f>VLOOKUP($J691,'[1]Table S6'!$A:$AI,24,FALSE)</f>
        <v>#N/A</v>
      </c>
      <c r="AH691" t="e">
        <f>VLOOKUP($J691,'[1]Table S6'!$A:$AI,25,FALSE)</f>
        <v>#N/A</v>
      </c>
      <c r="AJ691" t="e">
        <f>VLOOKUP($J691,'[1]Table S6'!$A:$AI,27,FALSE)</f>
        <v>#N/A</v>
      </c>
      <c r="AK691" t="e">
        <f>VLOOKUP($J691,'[1]Table S6'!$A:$AI,28,FALSE)</f>
        <v>#N/A</v>
      </c>
      <c r="AL691" t="e">
        <f>VLOOKUP($J691,'[1]Table S6'!$A:$AI,29,FALSE)</f>
        <v>#N/A</v>
      </c>
      <c r="AM691" t="e">
        <f>VLOOKUP($J691,'[1]Table S6'!$A:$AI,30,FALSE)</f>
        <v>#N/A</v>
      </c>
      <c r="AO691" t="e">
        <f>VLOOKUP($J691,'[1]Table S6'!$A:$AI,32,FALSE)</f>
        <v>#N/A</v>
      </c>
      <c r="AP691" t="e">
        <f>VLOOKUP($J691,'[1]Table S6'!$A:$AI,33,FALSE)</f>
        <v>#N/A</v>
      </c>
      <c r="AQ691" t="e">
        <f>VLOOKUP($J691,'[1]Table S6'!$A:$AI,34,FALSE)</f>
        <v>#N/A</v>
      </c>
      <c r="AR691" t="e">
        <f>VLOOKUP($J691,'[1]Table S6'!$A:$AI,35,FALSE)</f>
        <v>#N/A</v>
      </c>
      <c r="AT691" t="e">
        <f>VLOOKUP($I691,'[2]Table S5'!$A:$K,8,FALSE)</f>
        <v>#N/A</v>
      </c>
      <c r="AU691" t="e">
        <f>VLOOKUP($I691,'[2]Table S5'!$A:$K,9,FALSE)</f>
        <v>#N/A</v>
      </c>
      <c r="AV691" t="e">
        <f>VLOOKUP($I691,'[2]Table S5'!$A:$K,10,FALSE)</f>
        <v>#N/A</v>
      </c>
      <c r="AW691" t="e">
        <f>VLOOKUP($I691,'[2]Table S5'!$A:$K,11,FALSE)</f>
        <v>#N/A</v>
      </c>
    </row>
    <row r="692" spans="1:49">
      <c r="A692" s="12" t="s">
        <v>4289</v>
      </c>
      <c r="B692" t="s">
        <v>4290</v>
      </c>
      <c r="C692" t="s">
        <v>4291</v>
      </c>
      <c r="D692" t="s">
        <v>17</v>
      </c>
      <c r="E692" t="s">
        <v>2484</v>
      </c>
      <c r="F692" s="12" t="s">
        <v>2485</v>
      </c>
      <c r="G692" t="s">
        <v>2486</v>
      </c>
      <c r="H692" t="s">
        <v>2487</v>
      </c>
      <c r="I692" t="s">
        <v>2488</v>
      </c>
      <c r="J692" t="s">
        <v>2488</v>
      </c>
      <c r="K692" t="e">
        <f>VLOOKUP($J692,'[1]Table S6'!$A:$AI,2,FALSE)</f>
        <v>#N/A</v>
      </c>
      <c r="L692" t="e">
        <f>VLOOKUP($J692,'[1]Table S6'!$A:$AI,3,FALSE)</f>
        <v>#N/A</v>
      </c>
      <c r="M692" t="e">
        <f>VLOOKUP($J692,'[1]Table S6'!$A:$AI,4,FALSE)</f>
        <v>#N/A</v>
      </c>
      <c r="N692" t="e">
        <f>VLOOKUP($J692,'[1]Table S6'!$A:$AI,5,FALSE)</f>
        <v>#N/A</v>
      </c>
      <c r="P692" t="e">
        <f>VLOOKUP($J692,'[1]Table S6'!$A:$AI,7,FALSE)</f>
        <v>#N/A</v>
      </c>
      <c r="Q692" t="e">
        <f>VLOOKUP($J692,'[1]Table S6'!$A:$AI,8,FALSE)</f>
        <v>#N/A</v>
      </c>
      <c r="R692" t="e">
        <f>VLOOKUP($J692,'[1]Table S6'!$A:$AI,9,FALSE)</f>
        <v>#N/A</v>
      </c>
      <c r="S692" t="e">
        <f>VLOOKUP($J692,'[1]Table S6'!$A:$AI,10,FALSE)</f>
        <v>#N/A</v>
      </c>
      <c r="U692" t="e">
        <f>VLOOKUP($J692,'[1]Table S6'!$A:$AI,12,FALSE)</f>
        <v>#N/A</v>
      </c>
      <c r="V692" t="e">
        <f>VLOOKUP($J692,'[1]Table S6'!$A:$AI,13,FALSE)</f>
        <v>#N/A</v>
      </c>
      <c r="W692" t="e">
        <f>VLOOKUP($J692,'[1]Table S6'!$A:$AI,14,FALSE)</f>
        <v>#N/A</v>
      </c>
      <c r="X692" t="e">
        <f>VLOOKUP($J692,'[1]Table S6'!$A:$AI,15,FALSE)</f>
        <v>#N/A</v>
      </c>
      <c r="Z692" t="e">
        <f>VLOOKUP($J692,'[1]Table S6'!$A:$AI,17,FALSE)</f>
        <v>#N/A</v>
      </c>
      <c r="AA692" t="e">
        <f>VLOOKUP($J692,'[1]Table S6'!$A:$AI,18,FALSE)</f>
        <v>#N/A</v>
      </c>
      <c r="AB692" t="e">
        <f>VLOOKUP($J692,'[1]Table S6'!$A:$AI,19,FALSE)</f>
        <v>#N/A</v>
      </c>
      <c r="AC692" t="e">
        <f>VLOOKUP($J692,'[1]Table S6'!$A:$AI,20,FALSE)</f>
        <v>#N/A</v>
      </c>
      <c r="AE692" t="e">
        <f>VLOOKUP($J692,'[1]Table S6'!$A:$AI,22,FALSE)</f>
        <v>#N/A</v>
      </c>
      <c r="AF692" t="e">
        <f>VLOOKUP($J692,'[1]Table S6'!$A:$AI,23,FALSE)</f>
        <v>#N/A</v>
      </c>
      <c r="AG692" t="e">
        <f>VLOOKUP($J692,'[1]Table S6'!$A:$AI,24,FALSE)</f>
        <v>#N/A</v>
      </c>
      <c r="AH692" t="e">
        <f>VLOOKUP($J692,'[1]Table S6'!$A:$AI,25,FALSE)</f>
        <v>#N/A</v>
      </c>
      <c r="AJ692" t="e">
        <f>VLOOKUP($J692,'[1]Table S6'!$A:$AI,27,FALSE)</f>
        <v>#N/A</v>
      </c>
      <c r="AK692" t="e">
        <f>VLOOKUP($J692,'[1]Table S6'!$A:$AI,28,FALSE)</f>
        <v>#N/A</v>
      </c>
      <c r="AL692" t="e">
        <f>VLOOKUP($J692,'[1]Table S6'!$A:$AI,29,FALSE)</f>
        <v>#N/A</v>
      </c>
      <c r="AM692" t="e">
        <f>VLOOKUP($J692,'[1]Table S6'!$A:$AI,30,FALSE)</f>
        <v>#N/A</v>
      </c>
      <c r="AO692" t="e">
        <f>VLOOKUP($J692,'[1]Table S6'!$A:$AI,32,FALSE)</f>
        <v>#N/A</v>
      </c>
      <c r="AP692" t="e">
        <f>VLOOKUP($J692,'[1]Table S6'!$A:$AI,33,FALSE)</f>
        <v>#N/A</v>
      </c>
      <c r="AQ692" t="e">
        <f>VLOOKUP($J692,'[1]Table S6'!$A:$AI,34,FALSE)</f>
        <v>#N/A</v>
      </c>
      <c r="AR692" t="e">
        <f>VLOOKUP($J692,'[1]Table S6'!$A:$AI,35,FALSE)</f>
        <v>#N/A</v>
      </c>
      <c r="AT692" t="e">
        <f>VLOOKUP($I692,'[2]Table S5'!$A:$K,8,FALSE)</f>
        <v>#N/A</v>
      </c>
      <c r="AU692" t="e">
        <f>VLOOKUP($I692,'[2]Table S5'!$A:$K,9,FALSE)</f>
        <v>#N/A</v>
      </c>
      <c r="AV692" t="e">
        <f>VLOOKUP($I692,'[2]Table S5'!$A:$K,10,FALSE)</f>
        <v>#N/A</v>
      </c>
      <c r="AW692" t="e">
        <f>VLOOKUP($I692,'[2]Table S5'!$A:$K,11,FALSE)</f>
        <v>#N/A</v>
      </c>
    </row>
    <row r="693" spans="1:49">
      <c r="A693" s="12" t="s">
        <v>4292</v>
      </c>
      <c r="B693" t="s">
        <v>4293</v>
      </c>
      <c r="C693" t="s">
        <v>4294</v>
      </c>
      <c r="D693" t="s">
        <v>17</v>
      </c>
      <c r="E693" t="s">
        <v>2499</v>
      </c>
      <c r="F693" s="12" t="s">
        <v>2500</v>
      </c>
      <c r="G693" t="s">
        <v>2501</v>
      </c>
      <c r="H693" t="s">
        <v>2502</v>
      </c>
      <c r="I693" t="s">
        <v>2503</v>
      </c>
      <c r="J693" t="s">
        <v>2503</v>
      </c>
      <c r="K693" t="e">
        <f>VLOOKUP($J693,'[1]Table S6'!$A:$AI,2,FALSE)</f>
        <v>#N/A</v>
      </c>
      <c r="L693" t="e">
        <f>VLOOKUP($J693,'[1]Table S6'!$A:$AI,3,FALSE)</f>
        <v>#N/A</v>
      </c>
      <c r="M693" t="e">
        <f>VLOOKUP($J693,'[1]Table S6'!$A:$AI,4,FALSE)</f>
        <v>#N/A</v>
      </c>
      <c r="N693" t="e">
        <f>VLOOKUP($J693,'[1]Table S6'!$A:$AI,5,FALSE)</f>
        <v>#N/A</v>
      </c>
      <c r="P693" t="e">
        <f>VLOOKUP($J693,'[1]Table S6'!$A:$AI,7,FALSE)</f>
        <v>#N/A</v>
      </c>
      <c r="Q693" t="e">
        <f>VLOOKUP($J693,'[1]Table S6'!$A:$AI,8,FALSE)</f>
        <v>#N/A</v>
      </c>
      <c r="R693" t="e">
        <f>VLOOKUP($J693,'[1]Table S6'!$A:$AI,9,FALSE)</f>
        <v>#N/A</v>
      </c>
      <c r="S693" t="e">
        <f>VLOOKUP($J693,'[1]Table S6'!$A:$AI,10,FALSE)</f>
        <v>#N/A</v>
      </c>
      <c r="U693" t="e">
        <f>VLOOKUP($J693,'[1]Table S6'!$A:$AI,12,FALSE)</f>
        <v>#N/A</v>
      </c>
      <c r="V693" t="e">
        <f>VLOOKUP($J693,'[1]Table S6'!$A:$AI,13,FALSE)</f>
        <v>#N/A</v>
      </c>
      <c r="W693" t="e">
        <f>VLOOKUP($J693,'[1]Table S6'!$A:$AI,14,FALSE)</f>
        <v>#N/A</v>
      </c>
      <c r="X693" t="e">
        <f>VLOOKUP($J693,'[1]Table S6'!$A:$AI,15,FALSE)</f>
        <v>#N/A</v>
      </c>
      <c r="Z693" t="e">
        <f>VLOOKUP($J693,'[1]Table S6'!$A:$AI,17,FALSE)</f>
        <v>#N/A</v>
      </c>
      <c r="AA693" t="e">
        <f>VLOOKUP($J693,'[1]Table S6'!$A:$AI,18,FALSE)</f>
        <v>#N/A</v>
      </c>
      <c r="AB693" t="e">
        <f>VLOOKUP($J693,'[1]Table S6'!$A:$AI,19,FALSE)</f>
        <v>#N/A</v>
      </c>
      <c r="AC693" t="e">
        <f>VLOOKUP($J693,'[1]Table S6'!$A:$AI,20,FALSE)</f>
        <v>#N/A</v>
      </c>
      <c r="AE693" t="e">
        <f>VLOOKUP($J693,'[1]Table S6'!$A:$AI,22,FALSE)</f>
        <v>#N/A</v>
      </c>
      <c r="AF693" t="e">
        <f>VLOOKUP($J693,'[1]Table S6'!$A:$AI,23,FALSE)</f>
        <v>#N/A</v>
      </c>
      <c r="AG693" t="e">
        <f>VLOOKUP($J693,'[1]Table S6'!$A:$AI,24,FALSE)</f>
        <v>#N/A</v>
      </c>
      <c r="AH693" t="e">
        <f>VLOOKUP($J693,'[1]Table S6'!$A:$AI,25,FALSE)</f>
        <v>#N/A</v>
      </c>
      <c r="AJ693" t="e">
        <f>VLOOKUP($J693,'[1]Table S6'!$A:$AI,27,FALSE)</f>
        <v>#N/A</v>
      </c>
      <c r="AK693" t="e">
        <f>VLOOKUP($J693,'[1]Table S6'!$A:$AI,28,FALSE)</f>
        <v>#N/A</v>
      </c>
      <c r="AL693" t="e">
        <f>VLOOKUP($J693,'[1]Table S6'!$A:$AI,29,FALSE)</f>
        <v>#N/A</v>
      </c>
      <c r="AM693" t="e">
        <f>VLOOKUP($J693,'[1]Table S6'!$A:$AI,30,FALSE)</f>
        <v>#N/A</v>
      </c>
      <c r="AO693" t="e">
        <f>VLOOKUP($J693,'[1]Table S6'!$A:$AI,32,FALSE)</f>
        <v>#N/A</v>
      </c>
      <c r="AP693" t="e">
        <f>VLOOKUP($J693,'[1]Table S6'!$A:$AI,33,FALSE)</f>
        <v>#N/A</v>
      </c>
      <c r="AQ693" t="e">
        <f>VLOOKUP($J693,'[1]Table S6'!$A:$AI,34,FALSE)</f>
        <v>#N/A</v>
      </c>
      <c r="AR693" t="e">
        <f>VLOOKUP($J693,'[1]Table S6'!$A:$AI,35,FALSE)</f>
        <v>#N/A</v>
      </c>
      <c r="AT693" t="e">
        <f>VLOOKUP($I693,'[2]Table S5'!$A:$K,8,FALSE)</f>
        <v>#N/A</v>
      </c>
      <c r="AU693" t="e">
        <f>VLOOKUP($I693,'[2]Table S5'!$A:$K,9,FALSE)</f>
        <v>#N/A</v>
      </c>
      <c r="AV693" t="e">
        <f>VLOOKUP($I693,'[2]Table S5'!$A:$K,10,FALSE)</f>
        <v>#N/A</v>
      </c>
      <c r="AW693" t="e">
        <f>VLOOKUP($I693,'[2]Table S5'!$A:$K,11,FALSE)</f>
        <v>#N/A</v>
      </c>
    </row>
    <row r="694" spans="1:49">
      <c r="A694" s="12" t="s">
        <v>4295</v>
      </c>
      <c r="B694" t="s">
        <v>4296</v>
      </c>
      <c r="C694" t="s">
        <v>4297</v>
      </c>
      <c r="D694" t="s">
        <v>17</v>
      </c>
      <c r="E694" t="s">
        <v>4298</v>
      </c>
      <c r="F694" s="12" t="s">
        <v>4299</v>
      </c>
      <c r="G694" t="s">
        <v>4300</v>
      </c>
      <c r="H694" t="s">
        <v>4301</v>
      </c>
      <c r="I694" t="s">
        <v>4302</v>
      </c>
      <c r="J694" t="s">
        <v>4302</v>
      </c>
      <c r="K694" t="e">
        <f>VLOOKUP($J694,'[1]Table S6'!$A:$AI,2,FALSE)</f>
        <v>#N/A</v>
      </c>
      <c r="L694" t="e">
        <f>VLOOKUP($J694,'[1]Table S6'!$A:$AI,3,FALSE)</f>
        <v>#N/A</v>
      </c>
      <c r="M694" t="e">
        <f>VLOOKUP($J694,'[1]Table S6'!$A:$AI,4,FALSE)</f>
        <v>#N/A</v>
      </c>
      <c r="N694" t="e">
        <f>VLOOKUP($J694,'[1]Table S6'!$A:$AI,5,FALSE)</f>
        <v>#N/A</v>
      </c>
      <c r="P694" t="e">
        <f>VLOOKUP($J694,'[1]Table S6'!$A:$AI,7,FALSE)</f>
        <v>#N/A</v>
      </c>
      <c r="Q694" t="e">
        <f>VLOOKUP($J694,'[1]Table S6'!$A:$AI,8,FALSE)</f>
        <v>#N/A</v>
      </c>
      <c r="R694" t="e">
        <f>VLOOKUP($J694,'[1]Table S6'!$A:$AI,9,FALSE)</f>
        <v>#N/A</v>
      </c>
      <c r="S694" t="e">
        <f>VLOOKUP($J694,'[1]Table S6'!$A:$AI,10,FALSE)</f>
        <v>#N/A</v>
      </c>
      <c r="U694" t="e">
        <f>VLOOKUP($J694,'[1]Table S6'!$A:$AI,12,FALSE)</f>
        <v>#N/A</v>
      </c>
      <c r="V694" t="e">
        <f>VLOOKUP($J694,'[1]Table S6'!$A:$AI,13,FALSE)</f>
        <v>#N/A</v>
      </c>
      <c r="W694" t="e">
        <f>VLOOKUP($J694,'[1]Table S6'!$A:$AI,14,FALSE)</f>
        <v>#N/A</v>
      </c>
      <c r="X694" t="e">
        <f>VLOOKUP($J694,'[1]Table S6'!$A:$AI,15,FALSE)</f>
        <v>#N/A</v>
      </c>
      <c r="Z694" t="e">
        <f>VLOOKUP($J694,'[1]Table S6'!$A:$AI,17,FALSE)</f>
        <v>#N/A</v>
      </c>
      <c r="AA694" t="e">
        <f>VLOOKUP($J694,'[1]Table S6'!$A:$AI,18,FALSE)</f>
        <v>#N/A</v>
      </c>
      <c r="AB694" t="e">
        <f>VLOOKUP($J694,'[1]Table S6'!$A:$AI,19,FALSE)</f>
        <v>#N/A</v>
      </c>
      <c r="AC694" t="e">
        <f>VLOOKUP($J694,'[1]Table S6'!$A:$AI,20,FALSE)</f>
        <v>#N/A</v>
      </c>
      <c r="AE694" t="e">
        <f>VLOOKUP($J694,'[1]Table S6'!$A:$AI,22,FALSE)</f>
        <v>#N/A</v>
      </c>
      <c r="AF694" t="e">
        <f>VLOOKUP($J694,'[1]Table S6'!$A:$AI,23,FALSE)</f>
        <v>#N/A</v>
      </c>
      <c r="AG694" t="e">
        <f>VLOOKUP($J694,'[1]Table S6'!$A:$AI,24,FALSE)</f>
        <v>#N/A</v>
      </c>
      <c r="AH694" t="e">
        <f>VLOOKUP($J694,'[1]Table S6'!$A:$AI,25,FALSE)</f>
        <v>#N/A</v>
      </c>
      <c r="AJ694" t="e">
        <f>VLOOKUP($J694,'[1]Table S6'!$A:$AI,27,FALSE)</f>
        <v>#N/A</v>
      </c>
      <c r="AK694" t="e">
        <f>VLOOKUP($J694,'[1]Table S6'!$A:$AI,28,FALSE)</f>
        <v>#N/A</v>
      </c>
      <c r="AL694" t="e">
        <f>VLOOKUP($J694,'[1]Table S6'!$A:$AI,29,FALSE)</f>
        <v>#N/A</v>
      </c>
      <c r="AM694" t="e">
        <f>VLOOKUP($J694,'[1]Table S6'!$A:$AI,30,FALSE)</f>
        <v>#N/A</v>
      </c>
      <c r="AO694" t="e">
        <f>VLOOKUP($J694,'[1]Table S6'!$A:$AI,32,FALSE)</f>
        <v>#N/A</v>
      </c>
      <c r="AP694" t="e">
        <f>VLOOKUP($J694,'[1]Table S6'!$A:$AI,33,FALSE)</f>
        <v>#N/A</v>
      </c>
      <c r="AQ694" t="e">
        <f>VLOOKUP($J694,'[1]Table S6'!$A:$AI,34,FALSE)</f>
        <v>#N/A</v>
      </c>
      <c r="AR694" t="e">
        <f>VLOOKUP($J694,'[1]Table S6'!$A:$AI,35,FALSE)</f>
        <v>#N/A</v>
      </c>
      <c r="AT694" t="e">
        <f>VLOOKUP($I694,'[2]Table S5'!$A:$K,8,FALSE)</f>
        <v>#N/A</v>
      </c>
      <c r="AU694" t="e">
        <f>VLOOKUP($I694,'[2]Table S5'!$A:$K,9,FALSE)</f>
        <v>#N/A</v>
      </c>
      <c r="AV694" t="e">
        <f>VLOOKUP($I694,'[2]Table S5'!$A:$K,10,FALSE)</f>
        <v>#N/A</v>
      </c>
      <c r="AW694" t="e">
        <f>VLOOKUP($I694,'[2]Table S5'!$A:$K,11,FALSE)</f>
        <v>#N/A</v>
      </c>
    </row>
    <row r="695" spans="1:49">
      <c r="A695" s="12" t="s">
        <v>4303</v>
      </c>
      <c r="B695" t="s">
        <v>4304</v>
      </c>
      <c r="C695" t="s">
        <v>4305</v>
      </c>
      <c r="D695" t="s">
        <v>17</v>
      </c>
      <c r="E695" t="s">
        <v>4306</v>
      </c>
      <c r="F695" s="12" t="s">
        <v>4307</v>
      </c>
      <c r="G695" t="s">
        <v>4308</v>
      </c>
      <c r="H695" t="s">
        <v>4309</v>
      </c>
      <c r="I695" t="s">
        <v>4310</v>
      </c>
      <c r="J695" t="s">
        <v>4310</v>
      </c>
      <c r="K695" t="e">
        <f>VLOOKUP($J695,'[1]Table S6'!$A:$AI,2,FALSE)</f>
        <v>#N/A</v>
      </c>
      <c r="L695" t="e">
        <f>VLOOKUP($J695,'[1]Table S6'!$A:$AI,3,FALSE)</f>
        <v>#N/A</v>
      </c>
      <c r="M695" t="e">
        <f>VLOOKUP($J695,'[1]Table S6'!$A:$AI,4,FALSE)</f>
        <v>#N/A</v>
      </c>
      <c r="N695" t="e">
        <f>VLOOKUP($J695,'[1]Table S6'!$A:$AI,5,FALSE)</f>
        <v>#N/A</v>
      </c>
      <c r="P695" t="e">
        <f>VLOOKUP($J695,'[1]Table S6'!$A:$AI,7,FALSE)</f>
        <v>#N/A</v>
      </c>
      <c r="Q695" t="e">
        <f>VLOOKUP($J695,'[1]Table S6'!$A:$AI,8,FALSE)</f>
        <v>#N/A</v>
      </c>
      <c r="R695" t="e">
        <f>VLOOKUP($J695,'[1]Table S6'!$A:$AI,9,FALSE)</f>
        <v>#N/A</v>
      </c>
      <c r="S695" t="e">
        <f>VLOOKUP($J695,'[1]Table S6'!$A:$AI,10,FALSE)</f>
        <v>#N/A</v>
      </c>
      <c r="U695" t="e">
        <f>VLOOKUP($J695,'[1]Table S6'!$A:$AI,12,FALSE)</f>
        <v>#N/A</v>
      </c>
      <c r="V695" t="e">
        <f>VLOOKUP($J695,'[1]Table S6'!$A:$AI,13,FALSE)</f>
        <v>#N/A</v>
      </c>
      <c r="W695" t="e">
        <f>VLOOKUP($J695,'[1]Table S6'!$A:$AI,14,FALSE)</f>
        <v>#N/A</v>
      </c>
      <c r="X695" t="e">
        <f>VLOOKUP($J695,'[1]Table S6'!$A:$AI,15,FALSE)</f>
        <v>#N/A</v>
      </c>
      <c r="Z695" t="e">
        <f>VLOOKUP($J695,'[1]Table S6'!$A:$AI,17,FALSE)</f>
        <v>#N/A</v>
      </c>
      <c r="AA695" t="e">
        <f>VLOOKUP($J695,'[1]Table S6'!$A:$AI,18,FALSE)</f>
        <v>#N/A</v>
      </c>
      <c r="AB695" t="e">
        <f>VLOOKUP($J695,'[1]Table S6'!$A:$AI,19,FALSE)</f>
        <v>#N/A</v>
      </c>
      <c r="AC695" t="e">
        <f>VLOOKUP($J695,'[1]Table S6'!$A:$AI,20,FALSE)</f>
        <v>#N/A</v>
      </c>
      <c r="AE695" t="e">
        <f>VLOOKUP($J695,'[1]Table S6'!$A:$AI,22,FALSE)</f>
        <v>#N/A</v>
      </c>
      <c r="AF695" t="e">
        <f>VLOOKUP($J695,'[1]Table S6'!$A:$AI,23,FALSE)</f>
        <v>#N/A</v>
      </c>
      <c r="AG695" t="e">
        <f>VLOOKUP($J695,'[1]Table S6'!$A:$AI,24,FALSE)</f>
        <v>#N/A</v>
      </c>
      <c r="AH695" t="e">
        <f>VLOOKUP($J695,'[1]Table S6'!$A:$AI,25,FALSE)</f>
        <v>#N/A</v>
      </c>
      <c r="AJ695" t="e">
        <f>VLOOKUP($J695,'[1]Table S6'!$A:$AI,27,FALSE)</f>
        <v>#N/A</v>
      </c>
      <c r="AK695" t="e">
        <f>VLOOKUP($J695,'[1]Table S6'!$A:$AI,28,FALSE)</f>
        <v>#N/A</v>
      </c>
      <c r="AL695" t="e">
        <f>VLOOKUP($J695,'[1]Table S6'!$A:$AI,29,FALSE)</f>
        <v>#N/A</v>
      </c>
      <c r="AM695" t="e">
        <f>VLOOKUP($J695,'[1]Table S6'!$A:$AI,30,FALSE)</f>
        <v>#N/A</v>
      </c>
      <c r="AO695" t="e">
        <f>VLOOKUP($J695,'[1]Table S6'!$A:$AI,32,FALSE)</f>
        <v>#N/A</v>
      </c>
      <c r="AP695" t="e">
        <f>VLOOKUP($J695,'[1]Table S6'!$A:$AI,33,FALSE)</f>
        <v>#N/A</v>
      </c>
      <c r="AQ695" t="e">
        <f>VLOOKUP($J695,'[1]Table S6'!$A:$AI,34,FALSE)</f>
        <v>#N/A</v>
      </c>
      <c r="AR695" t="e">
        <f>VLOOKUP($J695,'[1]Table S6'!$A:$AI,35,FALSE)</f>
        <v>#N/A</v>
      </c>
      <c r="AT695" t="e">
        <f>VLOOKUP($I695,'[2]Table S5'!$A:$K,8,FALSE)</f>
        <v>#N/A</v>
      </c>
      <c r="AU695" t="e">
        <f>VLOOKUP($I695,'[2]Table S5'!$A:$K,9,FALSE)</f>
        <v>#N/A</v>
      </c>
      <c r="AV695" t="e">
        <f>VLOOKUP($I695,'[2]Table S5'!$A:$K,10,FALSE)</f>
        <v>#N/A</v>
      </c>
      <c r="AW695" t="e">
        <f>VLOOKUP($I695,'[2]Table S5'!$A:$K,11,FALSE)</f>
        <v>#N/A</v>
      </c>
    </row>
    <row r="696" spans="1:49">
      <c r="A696" s="12" t="s">
        <v>4311</v>
      </c>
      <c r="B696" t="s">
        <v>4312</v>
      </c>
      <c r="C696" t="s">
        <v>4313</v>
      </c>
      <c r="D696" t="s">
        <v>17</v>
      </c>
      <c r="E696" t="s">
        <v>4314</v>
      </c>
      <c r="F696" s="12" t="s">
        <v>4315</v>
      </c>
      <c r="G696" t="s">
        <v>4316</v>
      </c>
      <c r="H696" t="s">
        <v>4317</v>
      </c>
      <c r="I696" t="s">
        <v>4318</v>
      </c>
      <c r="J696" t="s">
        <v>4318</v>
      </c>
      <c r="K696" t="e">
        <f>VLOOKUP($J696,'[1]Table S6'!$A:$AI,2,FALSE)</f>
        <v>#N/A</v>
      </c>
      <c r="L696" t="e">
        <f>VLOOKUP($J696,'[1]Table S6'!$A:$AI,3,FALSE)</f>
        <v>#N/A</v>
      </c>
      <c r="M696" t="e">
        <f>VLOOKUP($J696,'[1]Table S6'!$A:$AI,4,FALSE)</f>
        <v>#N/A</v>
      </c>
      <c r="N696" t="e">
        <f>VLOOKUP($J696,'[1]Table S6'!$A:$AI,5,FALSE)</f>
        <v>#N/A</v>
      </c>
      <c r="P696" t="e">
        <f>VLOOKUP($J696,'[1]Table S6'!$A:$AI,7,FALSE)</f>
        <v>#N/A</v>
      </c>
      <c r="Q696" t="e">
        <f>VLOOKUP($J696,'[1]Table S6'!$A:$AI,8,FALSE)</f>
        <v>#N/A</v>
      </c>
      <c r="R696" t="e">
        <f>VLOOKUP($J696,'[1]Table S6'!$A:$AI,9,FALSE)</f>
        <v>#N/A</v>
      </c>
      <c r="S696" t="e">
        <f>VLOOKUP($J696,'[1]Table S6'!$A:$AI,10,FALSE)</f>
        <v>#N/A</v>
      </c>
      <c r="U696" t="e">
        <f>VLOOKUP($J696,'[1]Table S6'!$A:$AI,12,FALSE)</f>
        <v>#N/A</v>
      </c>
      <c r="V696" t="e">
        <f>VLOOKUP($J696,'[1]Table S6'!$A:$AI,13,FALSE)</f>
        <v>#N/A</v>
      </c>
      <c r="W696" t="e">
        <f>VLOOKUP($J696,'[1]Table S6'!$A:$AI,14,FALSE)</f>
        <v>#N/A</v>
      </c>
      <c r="X696" t="e">
        <f>VLOOKUP($J696,'[1]Table S6'!$A:$AI,15,FALSE)</f>
        <v>#N/A</v>
      </c>
      <c r="Z696" t="e">
        <f>VLOOKUP($J696,'[1]Table S6'!$A:$AI,17,FALSE)</f>
        <v>#N/A</v>
      </c>
      <c r="AA696" t="e">
        <f>VLOOKUP($J696,'[1]Table S6'!$A:$AI,18,FALSE)</f>
        <v>#N/A</v>
      </c>
      <c r="AB696" t="e">
        <f>VLOOKUP($J696,'[1]Table S6'!$A:$AI,19,FALSE)</f>
        <v>#N/A</v>
      </c>
      <c r="AC696" t="e">
        <f>VLOOKUP($J696,'[1]Table S6'!$A:$AI,20,FALSE)</f>
        <v>#N/A</v>
      </c>
      <c r="AE696" t="e">
        <f>VLOOKUP($J696,'[1]Table S6'!$A:$AI,22,FALSE)</f>
        <v>#N/A</v>
      </c>
      <c r="AF696" t="e">
        <f>VLOOKUP($J696,'[1]Table S6'!$A:$AI,23,FALSE)</f>
        <v>#N/A</v>
      </c>
      <c r="AG696" t="e">
        <f>VLOOKUP($J696,'[1]Table S6'!$A:$AI,24,FALSE)</f>
        <v>#N/A</v>
      </c>
      <c r="AH696" t="e">
        <f>VLOOKUP($J696,'[1]Table S6'!$A:$AI,25,FALSE)</f>
        <v>#N/A</v>
      </c>
      <c r="AJ696" t="e">
        <f>VLOOKUP($J696,'[1]Table S6'!$A:$AI,27,FALSE)</f>
        <v>#N/A</v>
      </c>
      <c r="AK696" t="e">
        <f>VLOOKUP($J696,'[1]Table S6'!$A:$AI,28,FALSE)</f>
        <v>#N/A</v>
      </c>
      <c r="AL696" t="e">
        <f>VLOOKUP($J696,'[1]Table S6'!$A:$AI,29,FALSE)</f>
        <v>#N/A</v>
      </c>
      <c r="AM696" t="e">
        <f>VLOOKUP($J696,'[1]Table S6'!$A:$AI,30,FALSE)</f>
        <v>#N/A</v>
      </c>
      <c r="AO696" t="e">
        <f>VLOOKUP($J696,'[1]Table S6'!$A:$AI,32,FALSE)</f>
        <v>#N/A</v>
      </c>
      <c r="AP696" t="e">
        <f>VLOOKUP($J696,'[1]Table S6'!$A:$AI,33,FALSE)</f>
        <v>#N/A</v>
      </c>
      <c r="AQ696" t="e">
        <f>VLOOKUP($J696,'[1]Table S6'!$A:$AI,34,FALSE)</f>
        <v>#N/A</v>
      </c>
      <c r="AR696" t="e">
        <f>VLOOKUP($J696,'[1]Table S6'!$A:$AI,35,FALSE)</f>
        <v>#N/A</v>
      </c>
      <c r="AT696" t="e">
        <f>VLOOKUP($I696,'[2]Table S5'!$A:$K,8,FALSE)</f>
        <v>#N/A</v>
      </c>
      <c r="AU696" t="e">
        <f>VLOOKUP($I696,'[2]Table S5'!$A:$K,9,FALSE)</f>
        <v>#N/A</v>
      </c>
      <c r="AV696" t="e">
        <f>VLOOKUP($I696,'[2]Table S5'!$A:$K,10,FALSE)</f>
        <v>#N/A</v>
      </c>
      <c r="AW696" t="e">
        <f>VLOOKUP($I696,'[2]Table S5'!$A:$K,11,FALSE)</f>
        <v>#N/A</v>
      </c>
    </row>
    <row r="697" spans="1:49">
      <c r="A697" s="12" t="s">
        <v>4319</v>
      </c>
      <c r="B697" t="s">
        <v>4320</v>
      </c>
      <c r="C697" t="s">
        <v>4321</v>
      </c>
      <c r="D697" t="s">
        <v>17</v>
      </c>
      <c r="E697" t="s">
        <v>4322</v>
      </c>
      <c r="F697" s="12" t="s">
        <v>4323</v>
      </c>
      <c r="G697" t="s">
        <v>4324</v>
      </c>
      <c r="H697" t="s">
        <v>4325</v>
      </c>
      <c r="I697" t="s">
        <v>4318</v>
      </c>
      <c r="J697" t="s">
        <v>4318</v>
      </c>
      <c r="K697" t="e">
        <f>VLOOKUP($J697,'[1]Table S6'!$A:$AI,2,FALSE)</f>
        <v>#N/A</v>
      </c>
      <c r="L697" t="e">
        <f>VLOOKUP($J697,'[1]Table S6'!$A:$AI,3,FALSE)</f>
        <v>#N/A</v>
      </c>
      <c r="M697" t="e">
        <f>VLOOKUP($J697,'[1]Table S6'!$A:$AI,4,FALSE)</f>
        <v>#N/A</v>
      </c>
      <c r="N697" t="e">
        <f>VLOOKUP($J697,'[1]Table S6'!$A:$AI,5,FALSE)</f>
        <v>#N/A</v>
      </c>
      <c r="P697" t="e">
        <f>VLOOKUP($J697,'[1]Table S6'!$A:$AI,7,FALSE)</f>
        <v>#N/A</v>
      </c>
      <c r="Q697" t="e">
        <f>VLOOKUP($J697,'[1]Table S6'!$A:$AI,8,FALSE)</f>
        <v>#N/A</v>
      </c>
      <c r="R697" t="e">
        <f>VLOOKUP($J697,'[1]Table S6'!$A:$AI,9,FALSE)</f>
        <v>#N/A</v>
      </c>
      <c r="S697" t="e">
        <f>VLOOKUP($J697,'[1]Table S6'!$A:$AI,10,FALSE)</f>
        <v>#N/A</v>
      </c>
      <c r="U697" t="e">
        <f>VLOOKUP($J697,'[1]Table S6'!$A:$AI,12,FALSE)</f>
        <v>#N/A</v>
      </c>
      <c r="V697" t="e">
        <f>VLOOKUP($J697,'[1]Table S6'!$A:$AI,13,FALSE)</f>
        <v>#N/A</v>
      </c>
      <c r="W697" t="e">
        <f>VLOOKUP($J697,'[1]Table S6'!$A:$AI,14,FALSE)</f>
        <v>#N/A</v>
      </c>
      <c r="X697" t="e">
        <f>VLOOKUP($J697,'[1]Table S6'!$A:$AI,15,FALSE)</f>
        <v>#N/A</v>
      </c>
      <c r="Z697" t="e">
        <f>VLOOKUP($J697,'[1]Table S6'!$A:$AI,17,FALSE)</f>
        <v>#N/A</v>
      </c>
      <c r="AA697" t="e">
        <f>VLOOKUP($J697,'[1]Table S6'!$A:$AI,18,FALSE)</f>
        <v>#N/A</v>
      </c>
      <c r="AB697" t="e">
        <f>VLOOKUP($J697,'[1]Table S6'!$A:$AI,19,FALSE)</f>
        <v>#N/A</v>
      </c>
      <c r="AC697" t="e">
        <f>VLOOKUP($J697,'[1]Table S6'!$A:$AI,20,FALSE)</f>
        <v>#N/A</v>
      </c>
      <c r="AE697" t="e">
        <f>VLOOKUP($J697,'[1]Table S6'!$A:$AI,22,FALSE)</f>
        <v>#N/A</v>
      </c>
      <c r="AF697" t="e">
        <f>VLOOKUP($J697,'[1]Table S6'!$A:$AI,23,FALSE)</f>
        <v>#N/A</v>
      </c>
      <c r="AG697" t="e">
        <f>VLOOKUP($J697,'[1]Table S6'!$A:$AI,24,FALSE)</f>
        <v>#N/A</v>
      </c>
      <c r="AH697" t="e">
        <f>VLOOKUP($J697,'[1]Table S6'!$A:$AI,25,FALSE)</f>
        <v>#N/A</v>
      </c>
      <c r="AJ697" t="e">
        <f>VLOOKUP($J697,'[1]Table S6'!$A:$AI,27,FALSE)</f>
        <v>#N/A</v>
      </c>
      <c r="AK697" t="e">
        <f>VLOOKUP($J697,'[1]Table S6'!$A:$AI,28,FALSE)</f>
        <v>#N/A</v>
      </c>
      <c r="AL697" t="e">
        <f>VLOOKUP($J697,'[1]Table S6'!$A:$AI,29,FALSE)</f>
        <v>#N/A</v>
      </c>
      <c r="AM697" t="e">
        <f>VLOOKUP($J697,'[1]Table S6'!$A:$AI,30,FALSE)</f>
        <v>#N/A</v>
      </c>
      <c r="AO697" t="e">
        <f>VLOOKUP($J697,'[1]Table S6'!$A:$AI,32,FALSE)</f>
        <v>#N/A</v>
      </c>
      <c r="AP697" t="e">
        <f>VLOOKUP($J697,'[1]Table S6'!$A:$AI,33,FALSE)</f>
        <v>#N/A</v>
      </c>
      <c r="AQ697" t="e">
        <f>VLOOKUP($J697,'[1]Table S6'!$A:$AI,34,FALSE)</f>
        <v>#N/A</v>
      </c>
      <c r="AR697" t="e">
        <f>VLOOKUP($J697,'[1]Table S6'!$A:$AI,35,FALSE)</f>
        <v>#N/A</v>
      </c>
      <c r="AT697" t="e">
        <f>VLOOKUP($I697,'[2]Table S5'!$A:$K,8,FALSE)</f>
        <v>#N/A</v>
      </c>
      <c r="AU697" t="e">
        <f>VLOOKUP($I697,'[2]Table S5'!$A:$K,9,FALSE)</f>
        <v>#N/A</v>
      </c>
      <c r="AV697" t="e">
        <f>VLOOKUP($I697,'[2]Table S5'!$A:$K,10,FALSE)</f>
        <v>#N/A</v>
      </c>
      <c r="AW697" t="e">
        <f>VLOOKUP($I697,'[2]Table S5'!$A:$K,11,FALSE)</f>
        <v>#N/A</v>
      </c>
    </row>
    <row r="698" spans="1:49">
      <c r="A698" s="12" t="s">
        <v>4326</v>
      </c>
      <c r="B698" t="s">
        <v>4327</v>
      </c>
      <c r="C698" t="s">
        <v>4328</v>
      </c>
      <c r="D698" t="s">
        <v>17</v>
      </c>
      <c r="E698" t="s">
        <v>4329</v>
      </c>
      <c r="F698" s="12" t="s">
        <v>4330</v>
      </c>
      <c r="G698" t="s">
        <v>4331</v>
      </c>
      <c r="H698" t="s">
        <v>4332</v>
      </c>
      <c r="I698" t="s">
        <v>4333</v>
      </c>
      <c r="J698" t="s">
        <v>4333</v>
      </c>
      <c r="K698" t="e">
        <f>VLOOKUP($J698,'[1]Table S6'!$A:$AI,2,FALSE)</f>
        <v>#N/A</v>
      </c>
      <c r="L698" t="e">
        <f>VLOOKUP($J698,'[1]Table S6'!$A:$AI,3,FALSE)</f>
        <v>#N/A</v>
      </c>
      <c r="M698" t="e">
        <f>VLOOKUP($J698,'[1]Table S6'!$A:$AI,4,FALSE)</f>
        <v>#N/A</v>
      </c>
      <c r="N698" t="e">
        <f>VLOOKUP($J698,'[1]Table S6'!$A:$AI,5,FALSE)</f>
        <v>#N/A</v>
      </c>
      <c r="P698" t="e">
        <f>VLOOKUP($J698,'[1]Table S6'!$A:$AI,7,FALSE)</f>
        <v>#N/A</v>
      </c>
      <c r="Q698" t="e">
        <f>VLOOKUP($J698,'[1]Table S6'!$A:$AI,8,FALSE)</f>
        <v>#N/A</v>
      </c>
      <c r="R698" t="e">
        <f>VLOOKUP($J698,'[1]Table S6'!$A:$AI,9,FALSE)</f>
        <v>#N/A</v>
      </c>
      <c r="S698" t="e">
        <f>VLOOKUP($J698,'[1]Table S6'!$A:$AI,10,FALSE)</f>
        <v>#N/A</v>
      </c>
      <c r="U698" t="e">
        <f>VLOOKUP($J698,'[1]Table S6'!$A:$AI,12,FALSE)</f>
        <v>#N/A</v>
      </c>
      <c r="V698" t="e">
        <f>VLOOKUP($J698,'[1]Table S6'!$A:$AI,13,FALSE)</f>
        <v>#N/A</v>
      </c>
      <c r="W698" t="e">
        <f>VLOOKUP($J698,'[1]Table S6'!$A:$AI,14,FALSE)</f>
        <v>#N/A</v>
      </c>
      <c r="X698" t="e">
        <f>VLOOKUP($J698,'[1]Table S6'!$A:$AI,15,FALSE)</f>
        <v>#N/A</v>
      </c>
      <c r="Z698" t="e">
        <f>VLOOKUP($J698,'[1]Table S6'!$A:$AI,17,FALSE)</f>
        <v>#N/A</v>
      </c>
      <c r="AA698" t="e">
        <f>VLOOKUP($J698,'[1]Table S6'!$A:$AI,18,FALSE)</f>
        <v>#N/A</v>
      </c>
      <c r="AB698" t="e">
        <f>VLOOKUP($J698,'[1]Table S6'!$A:$AI,19,FALSE)</f>
        <v>#N/A</v>
      </c>
      <c r="AC698" t="e">
        <f>VLOOKUP($J698,'[1]Table S6'!$A:$AI,20,FALSE)</f>
        <v>#N/A</v>
      </c>
      <c r="AE698" t="e">
        <f>VLOOKUP($J698,'[1]Table S6'!$A:$AI,22,FALSE)</f>
        <v>#N/A</v>
      </c>
      <c r="AF698" t="e">
        <f>VLOOKUP($J698,'[1]Table S6'!$A:$AI,23,FALSE)</f>
        <v>#N/A</v>
      </c>
      <c r="AG698" t="e">
        <f>VLOOKUP($J698,'[1]Table S6'!$A:$AI,24,FALSE)</f>
        <v>#N/A</v>
      </c>
      <c r="AH698" t="e">
        <f>VLOOKUP($J698,'[1]Table S6'!$A:$AI,25,FALSE)</f>
        <v>#N/A</v>
      </c>
      <c r="AJ698" t="e">
        <f>VLOOKUP($J698,'[1]Table S6'!$A:$AI,27,FALSE)</f>
        <v>#N/A</v>
      </c>
      <c r="AK698" t="e">
        <f>VLOOKUP($J698,'[1]Table S6'!$A:$AI,28,FALSE)</f>
        <v>#N/A</v>
      </c>
      <c r="AL698" t="e">
        <f>VLOOKUP($J698,'[1]Table S6'!$A:$AI,29,FALSE)</f>
        <v>#N/A</v>
      </c>
      <c r="AM698" t="e">
        <f>VLOOKUP($J698,'[1]Table S6'!$A:$AI,30,FALSE)</f>
        <v>#N/A</v>
      </c>
      <c r="AO698" t="e">
        <f>VLOOKUP($J698,'[1]Table S6'!$A:$AI,32,FALSE)</f>
        <v>#N/A</v>
      </c>
      <c r="AP698" t="e">
        <f>VLOOKUP($J698,'[1]Table S6'!$A:$AI,33,FALSE)</f>
        <v>#N/A</v>
      </c>
      <c r="AQ698" t="e">
        <f>VLOOKUP($J698,'[1]Table S6'!$A:$AI,34,FALSE)</f>
        <v>#N/A</v>
      </c>
      <c r="AR698" t="e">
        <f>VLOOKUP($J698,'[1]Table S6'!$A:$AI,35,FALSE)</f>
        <v>#N/A</v>
      </c>
      <c r="AT698" t="e">
        <f>VLOOKUP($I698,'[2]Table S5'!$A:$K,8,FALSE)</f>
        <v>#N/A</v>
      </c>
      <c r="AU698" t="e">
        <f>VLOOKUP($I698,'[2]Table S5'!$A:$K,9,FALSE)</f>
        <v>#N/A</v>
      </c>
      <c r="AV698" t="e">
        <f>VLOOKUP($I698,'[2]Table S5'!$A:$K,10,FALSE)</f>
        <v>#N/A</v>
      </c>
      <c r="AW698" t="e">
        <f>VLOOKUP($I698,'[2]Table S5'!$A:$K,11,FALSE)</f>
        <v>#N/A</v>
      </c>
    </row>
    <row r="699" spans="1:49">
      <c r="A699" s="12" t="s">
        <v>4334</v>
      </c>
      <c r="B699" t="s">
        <v>4335</v>
      </c>
      <c r="C699" t="s">
        <v>4336</v>
      </c>
      <c r="D699" t="s">
        <v>17</v>
      </c>
      <c r="E699" t="s">
        <v>4337</v>
      </c>
      <c r="F699" s="12" t="s">
        <v>4338</v>
      </c>
      <c r="G699" t="s">
        <v>4339</v>
      </c>
      <c r="H699" t="s">
        <v>4340</v>
      </c>
      <c r="I699" t="s">
        <v>4333</v>
      </c>
      <c r="J699" t="s">
        <v>4333</v>
      </c>
      <c r="K699" t="e">
        <f>VLOOKUP($J699,'[1]Table S6'!$A:$AI,2,FALSE)</f>
        <v>#N/A</v>
      </c>
      <c r="L699" t="e">
        <f>VLOOKUP($J699,'[1]Table S6'!$A:$AI,3,FALSE)</f>
        <v>#N/A</v>
      </c>
      <c r="M699" t="e">
        <f>VLOOKUP($J699,'[1]Table S6'!$A:$AI,4,FALSE)</f>
        <v>#N/A</v>
      </c>
      <c r="N699" t="e">
        <f>VLOOKUP($J699,'[1]Table S6'!$A:$AI,5,FALSE)</f>
        <v>#N/A</v>
      </c>
      <c r="P699" t="e">
        <f>VLOOKUP($J699,'[1]Table S6'!$A:$AI,7,FALSE)</f>
        <v>#N/A</v>
      </c>
      <c r="Q699" t="e">
        <f>VLOOKUP($J699,'[1]Table S6'!$A:$AI,8,FALSE)</f>
        <v>#N/A</v>
      </c>
      <c r="R699" t="e">
        <f>VLOOKUP($J699,'[1]Table S6'!$A:$AI,9,FALSE)</f>
        <v>#N/A</v>
      </c>
      <c r="S699" t="e">
        <f>VLOOKUP($J699,'[1]Table S6'!$A:$AI,10,FALSE)</f>
        <v>#N/A</v>
      </c>
      <c r="U699" t="e">
        <f>VLOOKUP($J699,'[1]Table S6'!$A:$AI,12,FALSE)</f>
        <v>#N/A</v>
      </c>
      <c r="V699" t="e">
        <f>VLOOKUP($J699,'[1]Table S6'!$A:$AI,13,FALSE)</f>
        <v>#N/A</v>
      </c>
      <c r="W699" t="e">
        <f>VLOOKUP($J699,'[1]Table S6'!$A:$AI,14,FALSE)</f>
        <v>#N/A</v>
      </c>
      <c r="X699" t="e">
        <f>VLOOKUP($J699,'[1]Table S6'!$A:$AI,15,FALSE)</f>
        <v>#N/A</v>
      </c>
      <c r="Z699" t="e">
        <f>VLOOKUP($J699,'[1]Table S6'!$A:$AI,17,FALSE)</f>
        <v>#N/A</v>
      </c>
      <c r="AA699" t="e">
        <f>VLOOKUP($J699,'[1]Table S6'!$A:$AI,18,FALSE)</f>
        <v>#N/A</v>
      </c>
      <c r="AB699" t="e">
        <f>VLOOKUP($J699,'[1]Table S6'!$A:$AI,19,FALSE)</f>
        <v>#N/A</v>
      </c>
      <c r="AC699" t="e">
        <f>VLOOKUP($J699,'[1]Table S6'!$A:$AI,20,FALSE)</f>
        <v>#N/A</v>
      </c>
      <c r="AE699" t="e">
        <f>VLOOKUP($J699,'[1]Table S6'!$A:$AI,22,FALSE)</f>
        <v>#N/A</v>
      </c>
      <c r="AF699" t="e">
        <f>VLOOKUP($J699,'[1]Table S6'!$A:$AI,23,FALSE)</f>
        <v>#N/A</v>
      </c>
      <c r="AG699" t="e">
        <f>VLOOKUP($J699,'[1]Table S6'!$A:$AI,24,FALSE)</f>
        <v>#N/A</v>
      </c>
      <c r="AH699" t="e">
        <f>VLOOKUP($J699,'[1]Table S6'!$A:$AI,25,FALSE)</f>
        <v>#N/A</v>
      </c>
      <c r="AJ699" t="e">
        <f>VLOOKUP($J699,'[1]Table S6'!$A:$AI,27,FALSE)</f>
        <v>#N/A</v>
      </c>
      <c r="AK699" t="e">
        <f>VLOOKUP($J699,'[1]Table S6'!$A:$AI,28,FALSE)</f>
        <v>#N/A</v>
      </c>
      <c r="AL699" t="e">
        <f>VLOOKUP($J699,'[1]Table S6'!$A:$AI,29,FALSE)</f>
        <v>#N/A</v>
      </c>
      <c r="AM699" t="e">
        <f>VLOOKUP($J699,'[1]Table S6'!$A:$AI,30,FALSE)</f>
        <v>#N/A</v>
      </c>
      <c r="AO699" t="e">
        <f>VLOOKUP($J699,'[1]Table S6'!$A:$AI,32,FALSE)</f>
        <v>#N/A</v>
      </c>
      <c r="AP699" t="e">
        <f>VLOOKUP($J699,'[1]Table S6'!$A:$AI,33,FALSE)</f>
        <v>#N/A</v>
      </c>
      <c r="AQ699" t="e">
        <f>VLOOKUP($J699,'[1]Table S6'!$A:$AI,34,FALSE)</f>
        <v>#N/A</v>
      </c>
      <c r="AR699" t="e">
        <f>VLOOKUP($J699,'[1]Table S6'!$A:$AI,35,FALSE)</f>
        <v>#N/A</v>
      </c>
      <c r="AT699" t="e">
        <f>VLOOKUP($I699,'[2]Table S5'!$A:$K,8,FALSE)</f>
        <v>#N/A</v>
      </c>
      <c r="AU699" t="e">
        <f>VLOOKUP($I699,'[2]Table S5'!$A:$K,9,FALSE)</f>
        <v>#N/A</v>
      </c>
      <c r="AV699" t="e">
        <f>VLOOKUP($I699,'[2]Table S5'!$A:$K,10,FALSE)</f>
        <v>#N/A</v>
      </c>
      <c r="AW699" t="e">
        <f>VLOOKUP($I699,'[2]Table S5'!$A:$K,11,FALSE)</f>
        <v>#N/A</v>
      </c>
    </row>
    <row r="700" spans="1:49">
      <c r="A700" s="12" t="s">
        <v>4341</v>
      </c>
      <c r="B700" t="s">
        <v>4342</v>
      </c>
      <c r="C700" t="s">
        <v>4343</v>
      </c>
      <c r="D700" t="s">
        <v>17</v>
      </c>
      <c r="E700" t="s">
        <v>4344</v>
      </c>
      <c r="F700" s="12" t="s">
        <v>4345</v>
      </c>
      <c r="G700" t="s">
        <v>4346</v>
      </c>
      <c r="H700" t="s">
        <v>4347</v>
      </c>
      <c r="I700" t="s">
        <v>4348</v>
      </c>
      <c r="J700" t="s">
        <v>4348</v>
      </c>
      <c r="K700" t="e">
        <f>VLOOKUP($J700,'[1]Table S6'!$A:$AI,2,FALSE)</f>
        <v>#N/A</v>
      </c>
      <c r="L700" t="e">
        <f>VLOOKUP($J700,'[1]Table S6'!$A:$AI,3,FALSE)</f>
        <v>#N/A</v>
      </c>
      <c r="M700" t="e">
        <f>VLOOKUP($J700,'[1]Table S6'!$A:$AI,4,FALSE)</f>
        <v>#N/A</v>
      </c>
      <c r="N700" t="e">
        <f>VLOOKUP($J700,'[1]Table S6'!$A:$AI,5,FALSE)</f>
        <v>#N/A</v>
      </c>
      <c r="P700" t="e">
        <f>VLOOKUP($J700,'[1]Table S6'!$A:$AI,7,FALSE)</f>
        <v>#N/A</v>
      </c>
      <c r="Q700" t="e">
        <f>VLOOKUP($J700,'[1]Table S6'!$A:$AI,8,FALSE)</f>
        <v>#N/A</v>
      </c>
      <c r="R700" t="e">
        <f>VLOOKUP($J700,'[1]Table S6'!$A:$AI,9,FALSE)</f>
        <v>#N/A</v>
      </c>
      <c r="S700" t="e">
        <f>VLOOKUP($J700,'[1]Table S6'!$A:$AI,10,FALSE)</f>
        <v>#N/A</v>
      </c>
      <c r="U700" t="e">
        <f>VLOOKUP($J700,'[1]Table S6'!$A:$AI,12,FALSE)</f>
        <v>#N/A</v>
      </c>
      <c r="V700" t="e">
        <f>VLOOKUP($J700,'[1]Table S6'!$A:$AI,13,FALSE)</f>
        <v>#N/A</v>
      </c>
      <c r="W700" t="e">
        <f>VLOOKUP($J700,'[1]Table S6'!$A:$AI,14,FALSE)</f>
        <v>#N/A</v>
      </c>
      <c r="X700" t="e">
        <f>VLOOKUP($J700,'[1]Table S6'!$A:$AI,15,FALSE)</f>
        <v>#N/A</v>
      </c>
      <c r="Z700" t="e">
        <f>VLOOKUP($J700,'[1]Table S6'!$A:$AI,17,FALSE)</f>
        <v>#N/A</v>
      </c>
      <c r="AA700" t="e">
        <f>VLOOKUP($J700,'[1]Table S6'!$A:$AI,18,FALSE)</f>
        <v>#N/A</v>
      </c>
      <c r="AB700" t="e">
        <f>VLOOKUP($J700,'[1]Table S6'!$A:$AI,19,FALSE)</f>
        <v>#N/A</v>
      </c>
      <c r="AC700" t="e">
        <f>VLOOKUP($J700,'[1]Table S6'!$A:$AI,20,FALSE)</f>
        <v>#N/A</v>
      </c>
      <c r="AE700" t="e">
        <f>VLOOKUP($J700,'[1]Table S6'!$A:$AI,22,FALSE)</f>
        <v>#N/A</v>
      </c>
      <c r="AF700" t="e">
        <f>VLOOKUP($J700,'[1]Table S6'!$A:$AI,23,FALSE)</f>
        <v>#N/A</v>
      </c>
      <c r="AG700" t="e">
        <f>VLOOKUP($J700,'[1]Table S6'!$A:$AI,24,FALSE)</f>
        <v>#N/A</v>
      </c>
      <c r="AH700" t="e">
        <f>VLOOKUP($J700,'[1]Table S6'!$A:$AI,25,FALSE)</f>
        <v>#N/A</v>
      </c>
      <c r="AJ700" t="e">
        <f>VLOOKUP($J700,'[1]Table S6'!$A:$AI,27,FALSE)</f>
        <v>#N/A</v>
      </c>
      <c r="AK700" t="e">
        <f>VLOOKUP($J700,'[1]Table S6'!$A:$AI,28,FALSE)</f>
        <v>#N/A</v>
      </c>
      <c r="AL700" t="e">
        <f>VLOOKUP($J700,'[1]Table S6'!$A:$AI,29,FALSE)</f>
        <v>#N/A</v>
      </c>
      <c r="AM700" t="e">
        <f>VLOOKUP($J700,'[1]Table S6'!$A:$AI,30,FALSE)</f>
        <v>#N/A</v>
      </c>
      <c r="AO700" t="e">
        <f>VLOOKUP($J700,'[1]Table S6'!$A:$AI,32,FALSE)</f>
        <v>#N/A</v>
      </c>
      <c r="AP700" t="e">
        <f>VLOOKUP($J700,'[1]Table S6'!$A:$AI,33,FALSE)</f>
        <v>#N/A</v>
      </c>
      <c r="AQ700" t="e">
        <f>VLOOKUP($J700,'[1]Table S6'!$A:$AI,34,FALSE)</f>
        <v>#N/A</v>
      </c>
      <c r="AR700" t="e">
        <f>VLOOKUP($J700,'[1]Table S6'!$A:$AI,35,FALSE)</f>
        <v>#N/A</v>
      </c>
      <c r="AT700" t="e">
        <f>VLOOKUP($I700,'[2]Table S5'!$A:$K,8,FALSE)</f>
        <v>#N/A</v>
      </c>
      <c r="AU700" t="e">
        <f>VLOOKUP($I700,'[2]Table S5'!$A:$K,9,FALSE)</f>
        <v>#N/A</v>
      </c>
      <c r="AV700" t="e">
        <f>VLOOKUP($I700,'[2]Table S5'!$A:$K,10,FALSE)</f>
        <v>#N/A</v>
      </c>
      <c r="AW700" t="e">
        <f>VLOOKUP($I700,'[2]Table S5'!$A:$K,11,FALSE)</f>
        <v>#N/A</v>
      </c>
    </row>
    <row r="701" spans="1:49">
      <c r="A701" s="12" t="s">
        <v>4349</v>
      </c>
      <c r="B701" t="s">
        <v>4350</v>
      </c>
      <c r="C701" t="s">
        <v>4351</v>
      </c>
      <c r="D701" t="s">
        <v>17</v>
      </c>
      <c r="E701" t="s">
        <v>4352</v>
      </c>
      <c r="F701" s="12" t="s">
        <v>4353</v>
      </c>
      <c r="G701" t="s">
        <v>4354</v>
      </c>
      <c r="H701" t="s">
        <v>4355</v>
      </c>
      <c r="I701" t="s">
        <v>4348</v>
      </c>
      <c r="J701" t="s">
        <v>4348</v>
      </c>
      <c r="K701" t="e">
        <f>VLOOKUP($J701,'[1]Table S6'!$A:$AI,2,FALSE)</f>
        <v>#N/A</v>
      </c>
      <c r="L701" t="e">
        <f>VLOOKUP($J701,'[1]Table S6'!$A:$AI,3,FALSE)</f>
        <v>#N/A</v>
      </c>
      <c r="M701" t="e">
        <f>VLOOKUP($J701,'[1]Table S6'!$A:$AI,4,FALSE)</f>
        <v>#N/A</v>
      </c>
      <c r="N701" t="e">
        <f>VLOOKUP($J701,'[1]Table S6'!$A:$AI,5,FALSE)</f>
        <v>#N/A</v>
      </c>
      <c r="P701" t="e">
        <f>VLOOKUP($J701,'[1]Table S6'!$A:$AI,7,FALSE)</f>
        <v>#N/A</v>
      </c>
      <c r="Q701" t="e">
        <f>VLOOKUP($J701,'[1]Table S6'!$A:$AI,8,FALSE)</f>
        <v>#N/A</v>
      </c>
      <c r="R701" t="e">
        <f>VLOOKUP($J701,'[1]Table S6'!$A:$AI,9,FALSE)</f>
        <v>#N/A</v>
      </c>
      <c r="S701" t="e">
        <f>VLOOKUP($J701,'[1]Table S6'!$A:$AI,10,FALSE)</f>
        <v>#N/A</v>
      </c>
      <c r="U701" t="e">
        <f>VLOOKUP($J701,'[1]Table S6'!$A:$AI,12,FALSE)</f>
        <v>#N/A</v>
      </c>
      <c r="V701" t="e">
        <f>VLOOKUP($J701,'[1]Table S6'!$A:$AI,13,FALSE)</f>
        <v>#N/A</v>
      </c>
      <c r="W701" t="e">
        <f>VLOOKUP($J701,'[1]Table S6'!$A:$AI,14,FALSE)</f>
        <v>#N/A</v>
      </c>
      <c r="X701" t="e">
        <f>VLOOKUP($J701,'[1]Table S6'!$A:$AI,15,FALSE)</f>
        <v>#N/A</v>
      </c>
      <c r="Z701" t="e">
        <f>VLOOKUP($J701,'[1]Table S6'!$A:$AI,17,FALSE)</f>
        <v>#N/A</v>
      </c>
      <c r="AA701" t="e">
        <f>VLOOKUP($J701,'[1]Table S6'!$A:$AI,18,FALSE)</f>
        <v>#N/A</v>
      </c>
      <c r="AB701" t="e">
        <f>VLOOKUP($J701,'[1]Table S6'!$A:$AI,19,FALSE)</f>
        <v>#N/A</v>
      </c>
      <c r="AC701" t="e">
        <f>VLOOKUP($J701,'[1]Table S6'!$A:$AI,20,FALSE)</f>
        <v>#N/A</v>
      </c>
      <c r="AE701" t="e">
        <f>VLOOKUP($J701,'[1]Table S6'!$A:$AI,22,FALSE)</f>
        <v>#N/A</v>
      </c>
      <c r="AF701" t="e">
        <f>VLOOKUP($J701,'[1]Table S6'!$A:$AI,23,FALSE)</f>
        <v>#N/A</v>
      </c>
      <c r="AG701" t="e">
        <f>VLOOKUP($J701,'[1]Table S6'!$A:$AI,24,FALSE)</f>
        <v>#N/A</v>
      </c>
      <c r="AH701" t="e">
        <f>VLOOKUP($J701,'[1]Table S6'!$A:$AI,25,FALSE)</f>
        <v>#N/A</v>
      </c>
      <c r="AJ701" t="e">
        <f>VLOOKUP($J701,'[1]Table S6'!$A:$AI,27,FALSE)</f>
        <v>#N/A</v>
      </c>
      <c r="AK701" t="e">
        <f>VLOOKUP($J701,'[1]Table S6'!$A:$AI,28,FALSE)</f>
        <v>#N/A</v>
      </c>
      <c r="AL701" t="e">
        <f>VLOOKUP($J701,'[1]Table S6'!$A:$AI,29,FALSE)</f>
        <v>#N/A</v>
      </c>
      <c r="AM701" t="e">
        <f>VLOOKUP($J701,'[1]Table S6'!$A:$AI,30,FALSE)</f>
        <v>#N/A</v>
      </c>
      <c r="AO701" t="e">
        <f>VLOOKUP($J701,'[1]Table S6'!$A:$AI,32,FALSE)</f>
        <v>#N/A</v>
      </c>
      <c r="AP701" t="e">
        <f>VLOOKUP($J701,'[1]Table S6'!$A:$AI,33,FALSE)</f>
        <v>#N/A</v>
      </c>
      <c r="AQ701" t="e">
        <f>VLOOKUP($J701,'[1]Table S6'!$A:$AI,34,FALSE)</f>
        <v>#N/A</v>
      </c>
      <c r="AR701" t="e">
        <f>VLOOKUP($J701,'[1]Table S6'!$A:$AI,35,FALSE)</f>
        <v>#N/A</v>
      </c>
      <c r="AT701" t="e">
        <f>VLOOKUP($I701,'[2]Table S5'!$A:$K,8,FALSE)</f>
        <v>#N/A</v>
      </c>
      <c r="AU701" t="e">
        <f>VLOOKUP($I701,'[2]Table S5'!$A:$K,9,FALSE)</f>
        <v>#N/A</v>
      </c>
      <c r="AV701" t="e">
        <f>VLOOKUP($I701,'[2]Table S5'!$A:$K,10,FALSE)</f>
        <v>#N/A</v>
      </c>
      <c r="AW701" t="e">
        <f>VLOOKUP($I701,'[2]Table S5'!$A:$K,11,FALSE)</f>
        <v>#N/A</v>
      </c>
    </row>
    <row r="702" spans="1:49">
      <c r="A702" s="12" t="s">
        <v>4356</v>
      </c>
      <c r="B702" t="s">
        <v>4357</v>
      </c>
      <c r="C702" t="s">
        <v>4358</v>
      </c>
      <c r="D702" t="s">
        <v>17</v>
      </c>
      <c r="E702" t="s">
        <v>4359</v>
      </c>
      <c r="F702" s="12" t="s">
        <v>4360</v>
      </c>
      <c r="G702" t="s">
        <v>4361</v>
      </c>
      <c r="H702" t="s">
        <v>4362</v>
      </c>
      <c r="I702" t="s">
        <v>4363</v>
      </c>
      <c r="J702" t="s">
        <v>4363</v>
      </c>
      <c r="K702" t="e">
        <f>VLOOKUP($J702,'[1]Table S6'!$A:$AI,2,FALSE)</f>
        <v>#N/A</v>
      </c>
      <c r="L702" t="e">
        <f>VLOOKUP($J702,'[1]Table S6'!$A:$AI,3,FALSE)</f>
        <v>#N/A</v>
      </c>
      <c r="M702" t="e">
        <f>VLOOKUP($J702,'[1]Table S6'!$A:$AI,4,FALSE)</f>
        <v>#N/A</v>
      </c>
      <c r="N702" t="e">
        <f>VLOOKUP($J702,'[1]Table S6'!$A:$AI,5,FALSE)</f>
        <v>#N/A</v>
      </c>
      <c r="P702" t="e">
        <f>VLOOKUP($J702,'[1]Table S6'!$A:$AI,7,FALSE)</f>
        <v>#N/A</v>
      </c>
      <c r="Q702" t="e">
        <f>VLOOKUP($J702,'[1]Table S6'!$A:$AI,8,FALSE)</f>
        <v>#N/A</v>
      </c>
      <c r="R702" t="e">
        <f>VLOOKUP($J702,'[1]Table S6'!$A:$AI,9,FALSE)</f>
        <v>#N/A</v>
      </c>
      <c r="S702" t="e">
        <f>VLOOKUP($J702,'[1]Table S6'!$A:$AI,10,FALSE)</f>
        <v>#N/A</v>
      </c>
      <c r="U702" t="e">
        <f>VLOOKUP($J702,'[1]Table S6'!$A:$AI,12,FALSE)</f>
        <v>#N/A</v>
      </c>
      <c r="V702" t="e">
        <f>VLOOKUP($J702,'[1]Table S6'!$A:$AI,13,FALSE)</f>
        <v>#N/A</v>
      </c>
      <c r="W702" t="e">
        <f>VLOOKUP($J702,'[1]Table S6'!$A:$AI,14,FALSE)</f>
        <v>#N/A</v>
      </c>
      <c r="X702" t="e">
        <f>VLOOKUP($J702,'[1]Table S6'!$A:$AI,15,FALSE)</f>
        <v>#N/A</v>
      </c>
      <c r="Z702" t="e">
        <f>VLOOKUP($J702,'[1]Table S6'!$A:$AI,17,FALSE)</f>
        <v>#N/A</v>
      </c>
      <c r="AA702" t="e">
        <f>VLOOKUP($J702,'[1]Table S6'!$A:$AI,18,FALSE)</f>
        <v>#N/A</v>
      </c>
      <c r="AB702" t="e">
        <f>VLOOKUP($J702,'[1]Table S6'!$A:$AI,19,FALSE)</f>
        <v>#N/A</v>
      </c>
      <c r="AC702" t="e">
        <f>VLOOKUP($J702,'[1]Table S6'!$A:$AI,20,FALSE)</f>
        <v>#N/A</v>
      </c>
      <c r="AE702" t="e">
        <f>VLOOKUP($J702,'[1]Table S6'!$A:$AI,22,FALSE)</f>
        <v>#N/A</v>
      </c>
      <c r="AF702" t="e">
        <f>VLOOKUP($J702,'[1]Table S6'!$A:$AI,23,FALSE)</f>
        <v>#N/A</v>
      </c>
      <c r="AG702" t="e">
        <f>VLOOKUP($J702,'[1]Table S6'!$A:$AI,24,FALSE)</f>
        <v>#N/A</v>
      </c>
      <c r="AH702" t="e">
        <f>VLOOKUP($J702,'[1]Table S6'!$A:$AI,25,FALSE)</f>
        <v>#N/A</v>
      </c>
      <c r="AJ702" t="e">
        <f>VLOOKUP($J702,'[1]Table S6'!$A:$AI,27,FALSE)</f>
        <v>#N/A</v>
      </c>
      <c r="AK702" t="e">
        <f>VLOOKUP($J702,'[1]Table S6'!$A:$AI,28,FALSE)</f>
        <v>#N/A</v>
      </c>
      <c r="AL702" t="e">
        <f>VLOOKUP($J702,'[1]Table S6'!$A:$AI,29,FALSE)</f>
        <v>#N/A</v>
      </c>
      <c r="AM702" t="e">
        <f>VLOOKUP($J702,'[1]Table S6'!$A:$AI,30,FALSE)</f>
        <v>#N/A</v>
      </c>
      <c r="AO702" t="e">
        <f>VLOOKUP($J702,'[1]Table S6'!$A:$AI,32,FALSE)</f>
        <v>#N/A</v>
      </c>
      <c r="AP702" t="e">
        <f>VLOOKUP($J702,'[1]Table S6'!$A:$AI,33,FALSE)</f>
        <v>#N/A</v>
      </c>
      <c r="AQ702" t="e">
        <f>VLOOKUP($J702,'[1]Table S6'!$A:$AI,34,FALSE)</f>
        <v>#N/A</v>
      </c>
      <c r="AR702" t="e">
        <f>VLOOKUP($J702,'[1]Table S6'!$A:$AI,35,FALSE)</f>
        <v>#N/A</v>
      </c>
      <c r="AT702" t="e">
        <f>VLOOKUP($I702,'[2]Table S5'!$A:$K,8,FALSE)</f>
        <v>#N/A</v>
      </c>
      <c r="AU702" t="e">
        <f>VLOOKUP($I702,'[2]Table S5'!$A:$K,9,FALSE)</f>
        <v>#N/A</v>
      </c>
      <c r="AV702" t="e">
        <f>VLOOKUP($I702,'[2]Table S5'!$A:$K,10,FALSE)</f>
        <v>#N/A</v>
      </c>
      <c r="AW702" t="e">
        <f>VLOOKUP($I702,'[2]Table S5'!$A:$K,11,FALSE)</f>
        <v>#N/A</v>
      </c>
    </row>
    <row r="703" spans="1:49">
      <c r="A703" s="12" t="s">
        <v>4364</v>
      </c>
      <c r="B703" t="s">
        <v>4365</v>
      </c>
      <c r="C703" t="s">
        <v>4366</v>
      </c>
      <c r="D703" t="s">
        <v>17</v>
      </c>
      <c r="E703" t="s">
        <v>4367</v>
      </c>
      <c r="F703" s="12" t="s">
        <v>4368</v>
      </c>
      <c r="G703" t="s">
        <v>4369</v>
      </c>
      <c r="H703" t="s">
        <v>4370</v>
      </c>
      <c r="I703" t="s">
        <v>4363</v>
      </c>
      <c r="J703" t="s">
        <v>4363</v>
      </c>
      <c r="K703" t="e">
        <f>VLOOKUP($J703,'[1]Table S6'!$A:$AI,2,FALSE)</f>
        <v>#N/A</v>
      </c>
      <c r="L703" t="e">
        <f>VLOOKUP($J703,'[1]Table S6'!$A:$AI,3,FALSE)</f>
        <v>#N/A</v>
      </c>
      <c r="M703" t="e">
        <f>VLOOKUP($J703,'[1]Table S6'!$A:$AI,4,FALSE)</f>
        <v>#N/A</v>
      </c>
      <c r="N703" t="e">
        <f>VLOOKUP($J703,'[1]Table S6'!$A:$AI,5,FALSE)</f>
        <v>#N/A</v>
      </c>
      <c r="P703" t="e">
        <f>VLOOKUP($J703,'[1]Table S6'!$A:$AI,7,FALSE)</f>
        <v>#N/A</v>
      </c>
      <c r="Q703" t="e">
        <f>VLOOKUP($J703,'[1]Table S6'!$A:$AI,8,FALSE)</f>
        <v>#N/A</v>
      </c>
      <c r="R703" t="e">
        <f>VLOOKUP($J703,'[1]Table S6'!$A:$AI,9,FALSE)</f>
        <v>#N/A</v>
      </c>
      <c r="S703" t="e">
        <f>VLOOKUP($J703,'[1]Table S6'!$A:$AI,10,FALSE)</f>
        <v>#N/A</v>
      </c>
      <c r="U703" t="e">
        <f>VLOOKUP($J703,'[1]Table S6'!$A:$AI,12,FALSE)</f>
        <v>#N/A</v>
      </c>
      <c r="V703" t="e">
        <f>VLOOKUP($J703,'[1]Table S6'!$A:$AI,13,FALSE)</f>
        <v>#N/A</v>
      </c>
      <c r="W703" t="e">
        <f>VLOOKUP($J703,'[1]Table S6'!$A:$AI,14,FALSE)</f>
        <v>#N/A</v>
      </c>
      <c r="X703" t="e">
        <f>VLOOKUP($J703,'[1]Table S6'!$A:$AI,15,FALSE)</f>
        <v>#N/A</v>
      </c>
      <c r="Z703" t="e">
        <f>VLOOKUP($J703,'[1]Table S6'!$A:$AI,17,FALSE)</f>
        <v>#N/A</v>
      </c>
      <c r="AA703" t="e">
        <f>VLOOKUP($J703,'[1]Table S6'!$A:$AI,18,FALSE)</f>
        <v>#N/A</v>
      </c>
      <c r="AB703" t="e">
        <f>VLOOKUP($J703,'[1]Table S6'!$A:$AI,19,FALSE)</f>
        <v>#N/A</v>
      </c>
      <c r="AC703" t="e">
        <f>VLOOKUP($J703,'[1]Table S6'!$A:$AI,20,FALSE)</f>
        <v>#N/A</v>
      </c>
      <c r="AE703" t="e">
        <f>VLOOKUP($J703,'[1]Table S6'!$A:$AI,22,FALSE)</f>
        <v>#N/A</v>
      </c>
      <c r="AF703" t="e">
        <f>VLOOKUP($J703,'[1]Table S6'!$A:$AI,23,FALSE)</f>
        <v>#N/A</v>
      </c>
      <c r="AG703" t="e">
        <f>VLOOKUP($J703,'[1]Table S6'!$A:$AI,24,FALSE)</f>
        <v>#N/A</v>
      </c>
      <c r="AH703" t="e">
        <f>VLOOKUP($J703,'[1]Table S6'!$A:$AI,25,FALSE)</f>
        <v>#N/A</v>
      </c>
      <c r="AJ703" t="e">
        <f>VLOOKUP($J703,'[1]Table S6'!$A:$AI,27,FALSE)</f>
        <v>#N/A</v>
      </c>
      <c r="AK703" t="e">
        <f>VLOOKUP($J703,'[1]Table S6'!$A:$AI,28,FALSE)</f>
        <v>#N/A</v>
      </c>
      <c r="AL703" t="e">
        <f>VLOOKUP($J703,'[1]Table S6'!$A:$AI,29,FALSE)</f>
        <v>#N/A</v>
      </c>
      <c r="AM703" t="e">
        <f>VLOOKUP($J703,'[1]Table S6'!$A:$AI,30,FALSE)</f>
        <v>#N/A</v>
      </c>
      <c r="AO703" t="e">
        <f>VLOOKUP($J703,'[1]Table S6'!$A:$AI,32,FALSE)</f>
        <v>#N/A</v>
      </c>
      <c r="AP703" t="e">
        <f>VLOOKUP($J703,'[1]Table S6'!$A:$AI,33,FALSE)</f>
        <v>#N/A</v>
      </c>
      <c r="AQ703" t="e">
        <f>VLOOKUP($J703,'[1]Table S6'!$A:$AI,34,FALSE)</f>
        <v>#N/A</v>
      </c>
      <c r="AR703" t="e">
        <f>VLOOKUP($J703,'[1]Table S6'!$A:$AI,35,FALSE)</f>
        <v>#N/A</v>
      </c>
      <c r="AT703" t="e">
        <f>VLOOKUP($I703,'[2]Table S5'!$A:$K,8,FALSE)</f>
        <v>#N/A</v>
      </c>
      <c r="AU703" t="e">
        <f>VLOOKUP($I703,'[2]Table S5'!$A:$K,9,FALSE)</f>
        <v>#N/A</v>
      </c>
      <c r="AV703" t="e">
        <f>VLOOKUP($I703,'[2]Table S5'!$A:$K,10,FALSE)</f>
        <v>#N/A</v>
      </c>
      <c r="AW703" t="e">
        <f>VLOOKUP($I703,'[2]Table S5'!$A:$K,11,FALSE)</f>
        <v>#N/A</v>
      </c>
    </row>
    <row r="704" spans="1:49">
      <c r="A704" s="12" t="s">
        <v>4371</v>
      </c>
      <c r="B704" t="s">
        <v>4372</v>
      </c>
      <c r="C704" t="s">
        <v>4373</v>
      </c>
      <c r="D704" t="s">
        <v>17</v>
      </c>
      <c r="E704" t="s">
        <v>4374</v>
      </c>
      <c r="F704" s="12" t="s">
        <v>4375</v>
      </c>
      <c r="G704" t="s">
        <v>4376</v>
      </c>
      <c r="H704" t="s">
        <v>4377</v>
      </c>
      <c r="I704" t="s">
        <v>4378</v>
      </c>
      <c r="J704" t="s">
        <v>4378</v>
      </c>
      <c r="K704" t="e">
        <f>VLOOKUP($J704,'[1]Table S6'!$A:$AI,2,FALSE)</f>
        <v>#N/A</v>
      </c>
      <c r="L704" t="e">
        <f>VLOOKUP($J704,'[1]Table S6'!$A:$AI,3,FALSE)</f>
        <v>#N/A</v>
      </c>
      <c r="M704" t="e">
        <f>VLOOKUP($J704,'[1]Table S6'!$A:$AI,4,FALSE)</f>
        <v>#N/A</v>
      </c>
      <c r="N704" t="e">
        <f>VLOOKUP($J704,'[1]Table S6'!$A:$AI,5,FALSE)</f>
        <v>#N/A</v>
      </c>
      <c r="P704" t="e">
        <f>VLOOKUP($J704,'[1]Table S6'!$A:$AI,7,FALSE)</f>
        <v>#N/A</v>
      </c>
      <c r="Q704" t="e">
        <f>VLOOKUP($J704,'[1]Table S6'!$A:$AI,8,FALSE)</f>
        <v>#N/A</v>
      </c>
      <c r="R704" t="e">
        <f>VLOOKUP($J704,'[1]Table S6'!$A:$AI,9,FALSE)</f>
        <v>#N/A</v>
      </c>
      <c r="S704" t="e">
        <f>VLOOKUP($J704,'[1]Table S6'!$A:$AI,10,FALSE)</f>
        <v>#N/A</v>
      </c>
      <c r="U704" t="e">
        <f>VLOOKUP($J704,'[1]Table S6'!$A:$AI,12,FALSE)</f>
        <v>#N/A</v>
      </c>
      <c r="V704" t="e">
        <f>VLOOKUP($J704,'[1]Table S6'!$A:$AI,13,FALSE)</f>
        <v>#N/A</v>
      </c>
      <c r="W704" t="e">
        <f>VLOOKUP($J704,'[1]Table S6'!$A:$AI,14,FALSE)</f>
        <v>#N/A</v>
      </c>
      <c r="X704" t="e">
        <f>VLOOKUP($J704,'[1]Table S6'!$A:$AI,15,FALSE)</f>
        <v>#N/A</v>
      </c>
      <c r="Z704" t="e">
        <f>VLOOKUP($J704,'[1]Table S6'!$A:$AI,17,FALSE)</f>
        <v>#N/A</v>
      </c>
      <c r="AA704" t="e">
        <f>VLOOKUP($J704,'[1]Table S6'!$A:$AI,18,FALSE)</f>
        <v>#N/A</v>
      </c>
      <c r="AB704" t="e">
        <f>VLOOKUP($J704,'[1]Table S6'!$A:$AI,19,FALSE)</f>
        <v>#N/A</v>
      </c>
      <c r="AC704" t="e">
        <f>VLOOKUP($J704,'[1]Table S6'!$A:$AI,20,FALSE)</f>
        <v>#N/A</v>
      </c>
      <c r="AE704" t="e">
        <f>VLOOKUP($J704,'[1]Table S6'!$A:$AI,22,FALSE)</f>
        <v>#N/A</v>
      </c>
      <c r="AF704" t="e">
        <f>VLOOKUP($J704,'[1]Table S6'!$A:$AI,23,FALSE)</f>
        <v>#N/A</v>
      </c>
      <c r="AG704" t="e">
        <f>VLOOKUP($J704,'[1]Table S6'!$A:$AI,24,FALSE)</f>
        <v>#N/A</v>
      </c>
      <c r="AH704" t="e">
        <f>VLOOKUP($J704,'[1]Table S6'!$A:$AI,25,FALSE)</f>
        <v>#N/A</v>
      </c>
      <c r="AJ704" t="e">
        <f>VLOOKUP($J704,'[1]Table S6'!$A:$AI,27,FALSE)</f>
        <v>#N/A</v>
      </c>
      <c r="AK704" t="e">
        <f>VLOOKUP($J704,'[1]Table S6'!$A:$AI,28,FALSE)</f>
        <v>#N/A</v>
      </c>
      <c r="AL704" t="e">
        <f>VLOOKUP($J704,'[1]Table S6'!$A:$AI,29,FALSE)</f>
        <v>#N/A</v>
      </c>
      <c r="AM704" t="e">
        <f>VLOOKUP($J704,'[1]Table S6'!$A:$AI,30,FALSE)</f>
        <v>#N/A</v>
      </c>
      <c r="AO704" t="e">
        <f>VLOOKUP($J704,'[1]Table S6'!$A:$AI,32,FALSE)</f>
        <v>#N/A</v>
      </c>
      <c r="AP704" t="e">
        <f>VLOOKUP($J704,'[1]Table S6'!$A:$AI,33,FALSE)</f>
        <v>#N/A</v>
      </c>
      <c r="AQ704" t="e">
        <f>VLOOKUP($J704,'[1]Table S6'!$A:$AI,34,FALSE)</f>
        <v>#N/A</v>
      </c>
      <c r="AR704" t="e">
        <f>VLOOKUP($J704,'[1]Table S6'!$A:$AI,35,FALSE)</f>
        <v>#N/A</v>
      </c>
      <c r="AT704" t="e">
        <f>VLOOKUP($I704,'[2]Table S5'!$A:$K,8,FALSE)</f>
        <v>#N/A</v>
      </c>
      <c r="AU704" t="e">
        <f>VLOOKUP($I704,'[2]Table S5'!$A:$K,9,FALSE)</f>
        <v>#N/A</v>
      </c>
      <c r="AV704" t="e">
        <f>VLOOKUP($I704,'[2]Table S5'!$A:$K,10,FALSE)</f>
        <v>#N/A</v>
      </c>
      <c r="AW704" t="e">
        <f>VLOOKUP($I704,'[2]Table S5'!$A:$K,11,FALSE)</f>
        <v>#N/A</v>
      </c>
    </row>
    <row r="705" spans="1:49">
      <c r="A705" s="12" t="s">
        <v>4379</v>
      </c>
      <c r="B705" t="s">
        <v>4380</v>
      </c>
      <c r="C705" t="s">
        <v>4381</v>
      </c>
      <c r="D705" t="s">
        <v>17</v>
      </c>
      <c r="E705" t="s">
        <v>4382</v>
      </c>
      <c r="F705" s="12" t="s">
        <v>4383</v>
      </c>
      <c r="G705" t="s">
        <v>4384</v>
      </c>
      <c r="H705" t="s">
        <v>4385</v>
      </c>
      <c r="I705" t="s">
        <v>4378</v>
      </c>
      <c r="J705" t="s">
        <v>4378</v>
      </c>
      <c r="K705" t="e">
        <f>VLOOKUP($J705,'[1]Table S6'!$A:$AI,2,FALSE)</f>
        <v>#N/A</v>
      </c>
      <c r="L705" t="e">
        <f>VLOOKUP($J705,'[1]Table S6'!$A:$AI,3,FALSE)</f>
        <v>#N/A</v>
      </c>
      <c r="M705" t="e">
        <f>VLOOKUP($J705,'[1]Table S6'!$A:$AI,4,FALSE)</f>
        <v>#N/A</v>
      </c>
      <c r="N705" t="e">
        <f>VLOOKUP($J705,'[1]Table S6'!$A:$AI,5,FALSE)</f>
        <v>#N/A</v>
      </c>
      <c r="P705" t="e">
        <f>VLOOKUP($J705,'[1]Table S6'!$A:$AI,7,FALSE)</f>
        <v>#N/A</v>
      </c>
      <c r="Q705" t="e">
        <f>VLOOKUP($J705,'[1]Table S6'!$A:$AI,8,FALSE)</f>
        <v>#N/A</v>
      </c>
      <c r="R705" t="e">
        <f>VLOOKUP($J705,'[1]Table S6'!$A:$AI,9,FALSE)</f>
        <v>#N/A</v>
      </c>
      <c r="S705" t="e">
        <f>VLOOKUP($J705,'[1]Table S6'!$A:$AI,10,FALSE)</f>
        <v>#N/A</v>
      </c>
      <c r="U705" t="e">
        <f>VLOOKUP($J705,'[1]Table S6'!$A:$AI,12,FALSE)</f>
        <v>#N/A</v>
      </c>
      <c r="V705" t="e">
        <f>VLOOKUP($J705,'[1]Table S6'!$A:$AI,13,FALSE)</f>
        <v>#N/A</v>
      </c>
      <c r="W705" t="e">
        <f>VLOOKUP($J705,'[1]Table S6'!$A:$AI,14,FALSE)</f>
        <v>#N/A</v>
      </c>
      <c r="X705" t="e">
        <f>VLOOKUP($J705,'[1]Table S6'!$A:$AI,15,FALSE)</f>
        <v>#N/A</v>
      </c>
      <c r="Z705" t="e">
        <f>VLOOKUP($J705,'[1]Table S6'!$A:$AI,17,FALSE)</f>
        <v>#N/A</v>
      </c>
      <c r="AA705" t="e">
        <f>VLOOKUP($J705,'[1]Table S6'!$A:$AI,18,FALSE)</f>
        <v>#N/A</v>
      </c>
      <c r="AB705" t="e">
        <f>VLOOKUP($J705,'[1]Table S6'!$A:$AI,19,FALSE)</f>
        <v>#N/A</v>
      </c>
      <c r="AC705" t="e">
        <f>VLOOKUP($J705,'[1]Table S6'!$A:$AI,20,FALSE)</f>
        <v>#N/A</v>
      </c>
      <c r="AE705" t="e">
        <f>VLOOKUP($J705,'[1]Table S6'!$A:$AI,22,FALSE)</f>
        <v>#N/A</v>
      </c>
      <c r="AF705" t="e">
        <f>VLOOKUP($J705,'[1]Table S6'!$A:$AI,23,FALSE)</f>
        <v>#N/A</v>
      </c>
      <c r="AG705" t="e">
        <f>VLOOKUP($J705,'[1]Table S6'!$A:$AI,24,FALSE)</f>
        <v>#N/A</v>
      </c>
      <c r="AH705" t="e">
        <f>VLOOKUP($J705,'[1]Table S6'!$A:$AI,25,FALSE)</f>
        <v>#N/A</v>
      </c>
      <c r="AJ705" t="e">
        <f>VLOOKUP($J705,'[1]Table S6'!$A:$AI,27,FALSE)</f>
        <v>#N/A</v>
      </c>
      <c r="AK705" t="e">
        <f>VLOOKUP($J705,'[1]Table S6'!$A:$AI,28,FALSE)</f>
        <v>#N/A</v>
      </c>
      <c r="AL705" t="e">
        <f>VLOOKUP($J705,'[1]Table S6'!$A:$AI,29,FALSE)</f>
        <v>#N/A</v>
      </c>
      <c r="AM705" t="e">
        <f>VLOOKUP($J705,'[1]Table S6'!$A:$AI,30,FALSE)</f>
        <v>#N/A</v>
      </c>
      <c r="AO705" t="e">
        <f>VLOOKUP($J705,'[1]Table S6'!$A:$AI,32,FALSE)</f>
        <v>#N/A</v>
      </c>
      <c r="AP705" t="e">
        <f>VLOOKUP($J705,'[1]Table S6'!$A:$AI,33,FALSE)</f>
        <v>#N/A</v>
      </c>
      <c r="AQ705" t="e">
        <f>VLOOKUP($J705,'[1]Table S6'!$A:$AI,34,FALSE)</f>
        <v>#N/A</v>
      </c>
      <c r="AR705" t="e">
        <f>VLOOKUP($J705,'[1]Table S6'!$A:$AI,35,FALSE)</f>
        <v>#N/A</v>
      </c>
      <c r="AT705" t="e">
        <f>VLOOKUP($I705,'[2]Table S5'!$A:$K,8,FALSE)</f>
        <v>#N/A</v>
      </c>
      <c r="AU705" t="e">
        <f>VLOOKUP($I705,'[2]Table S5'!$A:$K,9,FALSE)</f>
        <v>#N/A</v>
      </c>
      <c r="AV705" t="e">
        <f>VLOOKUP($I705,'[2]Table S5'!$A:$K,10,FALSE)</f>
        <v>#N/A</v>
      </c>
      <c r="AW705" t="e">
        <f>VLOOKUP($I705,'[2]Table S5'!$A:$K,11,FALSE)</f>
        <v>#N/A</v>
      </c>
    </row>
    <row r="706" spans="1:49">
      <c r="A706" s="12" t="s">
        <v>4386</v>
      </c>
      <c r="B706" t="s">
        <v>4387</v>
      </c>
      <c r="C706" t="s">
        <v>4388</v>
      </c>
      <c r="D706" t="s">
        <v>17</v>
      </c>
      <c r="E706" t="s">
        <v>4389</v>
      </c>
      <c r="F706" s="12" t="s">
        <v>4390</v>
      </c>
      <c r="G706" t="s">
        <v>4391</v>
      </c>
      <c r="H706" t="s">
        <v>4392</v>
      </c>
      <c r="I706" t="s">
        <v>4393</v>
      </c>
      <c r="J706" t="s">
        <v>4393</v>
      </c>
      <c r="K706" t="e">
        <f>VLOOKUP($J706,'[1]Table S6'!$A:$AI,2,FALSE)</f>
        <v>#N/A</v>
      </c>
      <c r="L706" t="e">
        <f>VLOOKUP($J706,'[1]Table S6'!$A:$AI,3,FALSE)</f>
        <v>#N/A</v>
      </c>
      <c r="M706" t="e">
        <f>VLOOKUP($J706,'[1]Table S6'!$A:$AI,4,FALSE)</f>
        <v>#N/A</v>
      </c>
      <c r="N706" t="e">
        <f>VLOOKUP($J706,'[1]Table S6'!$A:$AI,5,FALSE)</f>
        <v>#N/A</v>
      </c>
      <c r="P706" t="e">
        <f>VLOOKUP($J706,'[1]Table S6'!$A:$AI,7,FALSE)</f>
        <v>#N/A</v>
      </c>
      <c r="Q706" t="e">
        <f>VLOOKUP($J706,'[1]Table S6'!$A:$AI,8,FALSE)</f>
        <v>#N/A</v>
      </c>
      <c r="R706" t="e">
        <f>VLOOKUP($J706,'[1]Table S6'!$A:$AI,9,FALSE)</f>
        <v>#N/A</v>
      </c>
      <c r="S706" t="e">
        <f>VLOOKUP($J706,'[1]Table S6'!$A:$AI,10,FALSE)</f>
        <v>#N/A</v>
      </c>
      <c r="U706" t="e">
        <f>VLOOKUP($J706,'[1]Table S6'!$A:$AI,12,FALSE)</f>
        <v>#N/A</v>
      </c>
      <c r="V706" t="e">
        <f>VLOOKUP($J706,'[1]Table S6'!$A:$AI,13,FALSE)</f>
        <v>#N/A</v>
      </c>
      <c r="W706" t="e">
        <f>VLOOKUP($J706,'[1]Table S6'!$A:$AI,14,FALSE)</f>
        <v>#N/A</v>
      </c>
      <c r="X706" t="e">
        <f>VLOOKUP($J706,'[1]Table S6'!$A:$AI,15,FALSE)</f>
        <v>#N/A</v>
      </c>
      <c r="Z706" t="e">
        <f>VLOOKUP($J706,'[1]Table S6'!$A:$AI,17,FALSE)</f>
        <v>#N/A</v>
      </c>
      <c r="AA706" t="e">
        <f>VLOOKUP($J706,'[1]Table S6'!$A:$AI,18,FALSE)</f>
        <v>#N/A</v>
      </c>
      <c r="AB706" t="e">
        <f>VLOOKUP($J706,'[1]Table S6'!$A:$AI,19,FALSE)</f>
        <v>#N/A</v>
      </c>
      <c r="AC706" t="e">
        <f>VLOOKUP($J706,'[1]Table S6'!$A:$AI,20,FALSE)</f>
        <v>#N/A</v>
      </c>
      <c r="AE706" t="e">
        <f>VLOOKUP($J706,'[1]Table S6'!$A:$AI,22,FALSE)</f>
        <v>#N/A</v>
      </c>
      <c r="AF706" t="e">
        <f>VLOOKUP($J706,'[1]Table S6'!$A:$AI,23,FALSE)</f>
        <v>#N/A</v>
      </c>
      <c r="AG706" t="e">
        <f>VLOOKUP($J706,'[1]Table S6'!$A:$AI,24,FALSE)</f>
        <v>#N/A</v>
      </c>
      <c r="AH706" t="e">
        <f>VLOOKUP($J706,'[1]Table S6'!$A:$AI,25,FALSE)</f>
        <v>#N/A</v>
      </c>
      <c r="AJ706" t="e">
        <f>VLOOKUP($J706,'[1]Table S6'!$A:$AI,27,FALSE)</f>
        <v>#N/A</v>
      </c>
      <c r="AK706" t="e">
        <f>VLOOKUP($J706,'[1]Table S6'!$A:$AI,28,FALSE)</f>
        <v>#N/A</v>
      </c>
      <c r="AL706" t="e">
        <f>VLOOKUP($J706,'[1]Table S6'!$A:$AI,29,FALSE)</f>
        <v>#N/A</v>
      </c>
      <c r="AM706" t="e">
        <f>VLOOKUP($J706,'[1]Table S6'!$A:$AI,30,FALSE)</f>
        <v>#N/A</v>
      </c>
      <c r="AO706" t="e">
        <f>VLOOKUP($J706,'[1]Table S6'!$A:$AI,32,FALSE)</f>
        <v>#N/A</v>
      </c>
      <c r="AP706" t="e">
        <f>VLOOKUP($J706,'[1]Table S6'!$A:$AI,33,FALSE)</f>
        <v>#N/A</v>
      </c>
      <c r="AQ706" t="e">
        <f>VLOOKUP($J706,'[1]Table S6'!$A:$AI,34,FALSE)</f>
        <v>#N/A</v>
      </c>
      <c r="AR706" t="e">
        <f>VLOOKUP($J706,'[1]Table S6'!$A:$AI,35,FALSE)</f>
        <v>#N/A</v>
      </c>
      <c r="AT706" t="e">
        <f>VLOOKUP($I706,'[2]Table S5'!$A:$K,8,FALSE)</f>
        <v>#N/A</v>
      </c>
      <c r="AU706" t="e">
        <f>VLOOKUP($I706,'[2]Table S5'!$A:$K,9,FALSE)</f>
        <v>#N/A</v>
      </c>
      <c r="AV706" t="e">
        <f>VLOOKUP($I706,'[2]Table S5'!$A:$K,10,FALSE)</f>
        <v>#N/A</v>
      </c>
      <c r="AW706" t="e">
        <f>VLOOKUP($I706,'[2]Table S5'!$A:$K,11,FALSE)</f>
        <v>#N/A</v>
      </c>
    </row>
    <row r="707" spans="1:49">
      <c r="A707" s="12" t="s">
        <v>4394</v>
      </c>
      <c r="B707" t="s">
        <v>4395</v>
      </c>
      <c r="C707" t="s">
        <v>4396</v>
      </c>
      <c r="D707" t="s">
        <v>17</v>
      </c>
      <c r="E707" t="s">
        <v>4397</v>
      </c>
      <c r="F707" s="12" t="s">
        <v>4398</v>
      </c>
      <c r="G707" t="s">
        <v>4399</v>
      </c>
      <c r="H707" t="s">
        <v>4400</v>
      </c>
      <c r="I707" t="s">
        <v>4393</v>
      </c>
      <c r="J707" t="s">
        <v>4393</v>
      </c>
      <c r="K707" t="e">
        <f>VLOOKUP($J707,'[1]Table S6'!$A:$AI,2,FALSE)</f>
        <v>#N/A</v>
      </c>
      <c r="L707" t="e">
        <f>VLOOKUP($J707,'[1]Table S6'!$A:$AI,3,FALSE)</f>
        <v>#N/A</v>
      </c>
      <c r="M707" t="e">
        <f>VLOOKUP($J707,'[1]Table S6'!$A:$AI,4,FALSE)</f>
        <v>#N/A</v>
      </c>
      <c r="N707" t="e">
        <f>VLOOKUP($J707,'[1]Table S6'!$A:$AI,5,FALSE)</f>
        <v>#N/A</v>
      </c>
      <c r="P707" t="e">
        <f>VLOOKUP($J707,'[1]Table S6'!$A:$AI,7,FALSE)</f>
        <v>#N/A</v>
      </c>
      <c r="Q707" t="e">
        <f>VLOOKUP($J707,'[1]Table S6'!$A:$AI,8,FALSE)</f>
        <v>#N/A</v>
      </c>
      <c r="R707" t="e">
        <f>VLOOKUP($J707,'[1]Table S6'!$A:$AI,9,FALSE)</f>
        <v>#N/A</v>
      </c>
      <c r="S707" t="e">
        <f>VLOOKUP($J707,'[1]Table S6'!$A:$AI,10,FALSE)</f>
        <v>#N/A</v>
      </c>
      <c r="U707" t="e">
        <f>VLOOKUP($J707,'[1]Table S6'!$A:$AI,12,FALSE)</f>
        <v>#N/A</v>
      </c>
      <c r="V707" t="e">
        <f>VLOOKUP($J707,'[1]Table S6'!$A:$AI,13,FALSE)</f>
        <v>#N/A</v>
      </c>
      <c r="W707" t="e">
        <f>VLOOKUP($J707,'[1]Table S6'!$A:$AI,14,FALSE)</f>
        <v>#N/A</v>
      </c>
      <c r="X707" t="e">
        <f>VLOOKUP($J707,'[1]Table S6'!$A:$AI,15,FALSE)</f>
        <v>#N/A</v>
      </c>
      <c r="Z707" t="e">
        <f>VLOOKUP($J707,'[1]Table S6'!$A:$AI,17,FALSE)</f>
        <v>#N/A</v>
      </c>
      <c r="AA707" t="e">
        <f>VLOOKUP($J707,'[1]Table S6'!$A:$AI,18,FALSE)</f>
        <v>#N/A</v>
      </c>
      <c r="AB707" t="e">
        <f>VLOOKUP($J707,'[1]Table S6'!$A:$AI,19,FALSE)</f>
        <v>#N/A</v>
      </c>
      <c r="AC707" t="e">
        <f>VLOOKUP($J707,'[1]Table S6'!$A:$AI,20,FALSE)</f>
        <v>#N/A</v>
      </c>
      <c r="AE707" t="e">
        <f>VLOOKUP($J707,'[1]Table S6'!$A:$AI,22,FALSE)</f>
        <v>#N/A</v>
      </c>
      <c r="AF707" t="e">
        <f>VLOOKUP($J707,'[1]Table S6'!$A:$AI,23,FALSE)</f>
        <v>#N/A</v>
      </c>
      <c r="AG707" t="e">
        <f>VLOOKUP($J707,'[1]Table S6'!$A:$AI,24,FALSE)</f>
        <v>#N/A</v>
      </c>
      <c r="AH707" t="e">
        <f>VLOOKUP($J707,'[1]Table S6'!$A:$AI,25,FALSE)</f>
        <v>#N/A</v>
      </c>
      <c r="AJ707" t="e">
        <f>VLOOKUP($J707,'[1]Table S6'!$A:$AI,27,FALSE)</f>
        <v>#N/A</v>
      </c>
      <c r="AK707" t="e">
        <f>VLOOKUP($J707,'[1]Table S6'!$A:$AI,28,FALSE)</f>
        <v>#N/A</v>
      </c>
      <c r="AL707" t="e">
        <f>VLOOKUP($J707,'[1]Table S6'!$A:$AI,29,FALSE)</f>
        <v>#N/A</v>
      </c>
      <c r="AM707" t="e">
        <f>VLOOKUP($J707,'[1]Table S6'!$A:$AI,30,FALSE)</f>
        <v>#N/A</v>
      </c>
      <c r="AO707" t="e">
        <f>VLOOKUP($J707,'[1]Table S6'!$A:$AI,32,FALSE)</f>
        <v>#N/A</v>
      </c>
      <c r="AP707" t="e">
        <f>VLOOKUP($J707,'[1]Table S6'!$A:$AI,33,FALSE)</f>
        <v>#N/A</v>
      </c>
      <c r="AQ707" t="e">
        <f>VLOOKUP($J707,'[1]Table S6'!$A:$AI,34,FALSE)</f>
        <v>#N/A</v>
      </c>
      <c r="AR707" t="e">
        <f>VLOOKUP($J707,'[1]Table S6'!$A:$AI,35,FALSE)</f>
        <v>#N/A</v>
      </c>
      <c r="AT707" t="e">
        <f>VLOOKUP($I707,'[2]Table S5'!$A:$K,8,FALSE)</f>
        <v>#N/A</v>
      </c>
      <c r="AU707" t="e">
        <f>VLOOKUP($I707,'[2]Table S5'!$A:$K,9,FALSE)</f>
        <v>#N/A</v>
      </c>
      <c r="AV707" t="e">
        <f>VLOOKUP($I707,'[2]Table S5'!$A:$K,10,FALSE)</f>
        <v>#N/A</v>
      </c>
      <c r="AW707" t="e">
        <f>VLOOKUP($I707,'[2]Table S5'!$A:$K,11,FALSE)</f>
        <v>#N/A</v>
      </c>
    </row>
    <row r="708" spans="1:49">
      <c r="A708" s="12" t="s">
        <v>4401</v>
      </c>
      <c r="B708" t="s">
        <v>4402</v>
      </c>
      <c r="C708" t="s">
        <v>4403</v>
      </c>
      <c r="D708" t="s">
        <v>17</v>
      </c>
      <c r="E708" t="s">
        <v>4404</v>
      </c>
      <c r="F708" s="12" t="s">
        <v>4405</v>
      </c>
      <c r="G708" t="s">
        <v>4406</v>
      </c>
      <c r="H708" t="s">
        <v>4407</v>
      </c>
      <c r="I708" t="s">
        <v>4408</v>
      </c>
      <c r="J708" t="s">
        <v>4408</v>
      </c>
      <c r="K708" t="e">
        <f>VLOOKUP($J708,'[1]Table S6'!$A:$AI,2,FALSE)</f>
        <v>#N/A</v>
      </c>
      <c r="L708" t="e">
        <f>VLOOKUP($J708,'[1]Table S6'!$A:$AI,3,FALSE)</f>
        <v>#N/A</v>
      </c>
      <c r="M708" t="e">
        <f>VLOOKUP($J708,'[1]Table S6'!$A:$AI,4,FALSE)</f>
        <v>#N/A</v>
      </c>
      <c r="N708" t="e">
        <f>VLOOKUP($J708,'[1]Table S6'!$A:$AI,5,FALSE)</f>
        <v>#N/A</v>
      </c>
      <c r="P708" t="e">
        <f>VLOOKUP($J708,'[1]Table S6'!$A:$AI,7,FALSE)</f>
        <v>#N/A</v>
      </c>
      <c r="Q708" t="e">
        <f>VLOOKUP($J708,'[1]Table S6'!$A:$AI,8,FALSE)</f>
        <v>#N/A</v>
      </c>
      <c r="R708" t="e">
        <f>VLOOKUP($J708,'[1]Table S6'!$A:$AI,9,FALSE)</f>
        <v>#N/A</v>
      </c>
      <c r="S708" t="e">
        <f>VLOOKUP($J708,'[1]Table S6'!$A:$AI,10,FALSE)</f>
        <v>#N/A</v>
      </c>
      <c r="U708" t="e">
        <f>VLOOKUP($J708,'[1]Table S6'!$A:$AI,12,FALSE)</f>
        <v>#N/A</v>
      </c>
      <c r="V708" t="e">
        <f>VLOOKUP($J708,'[1]Table S6'!$A:$AI,13,FALSE)</f>
        <v>#N/A</v>
      </c>
      <c r="W708" t="e">
        <f>VLOOKUP($J708,'[1]Table S6'!$A:$AI,14,FALSE)</f>
        <v>#N/A</v>
      </c>
      <c r="X708" t="e">
        <f>VLOOKUP($J708,'[1]Table S6'!$A:$AI,15,FALSE)</f>
        <v>#N/A</v>
      </c>
      <c r="Z708" t="e">
        <f>VLOOKUP($J708,'[1]Table S6'!$A:$AI,17,FALSE)</f>
        <v>#N/A</v>
      </c>
      <c r="AA708" t="e">
        <f>VLOOKUP($J708,'[1]Table S6'!$A:$AI,18,FALSE)</f>
        <v>#N/A</v>
      </c>
      <c r="AB708" t="e">
        <f>VLOOKUP($J708,'[1]Table S6'!$A:$AI,19,FALSE)</f>
        <v>#N/A</v>
      </c>
      <c r="AC708" t="e">
        <f>VLOOKUP($J708,'[1]Table S6'!$A:$AI,20,FALSE)</f>
        <v>#N/A</v>
      </c>
      <c r="AE708" t="e">
        <f>VLOOKUP($J708,'[1]Table S6'!$A:$AI,22,FALSE)</f>
        <v>#N/A</v>
      </c>
      <c r="AF708" t="e">
        <f>VLOOKUP($J708,'[1]Table S6'!$A:$AI,23,FALSE)</f>
        <v>#N/A</v>
      </c>
      <c r="AG708" t="e">
        <f>VLOOKUP($J708,'[1]Table S6'!$A:$AI,24,FALSE)</f>
        <v>#N/A</v>
      </c>
      <c r="AH708" t="e">
        <f>VLOOKUP($J708,'[1]Table S6'!$A:$AI,25,FALSE)</f>
        <v>#N/A</v>
      </c>
      <c r="AJ708" t="e">
        <f>VLOOKUP($J708,'[1]Table S6'!$A:$AI,27,FALSE)</f>
        <v>#N/A</v>
      </c>
      <c r="AK708" t="e">
        <f>VLOOKUP($J708,'[1]Table S6'!$A:$AI,28,FALSE)</f>
        <v>#N/A</v>
      </c>
      <c r="AL708" t="e">
        <f>VLOOKUP($J708,'[1]Table S6'!$A:$AI,29,FALSE)</f>
        <v>#N/A</v>
      </c>
      <c r="AM708" t="e">
        <f>VLOOKUP($J708,'[1]Table S6'!$A:$AI,30,FALSE)</f>
        <v>#N/A</v>
      </c>
      <c r="AO708" t="e">
        <f>VLOOKUP($J708,'[1]Table S6'!$A:$AI,32,FALSE)</f>
        <v>#N/A</v>
      </c>
      <c r="AP708" t="e">
        <f>VLOOKUP($J708,'[1]Table S6'!$A:$AI,33,FALSE)</f>
        <v>#N/A</v>
      </c>
      <c r="AQ708" t="e">
        <f>VLOOKUP($J708,'[1]Table S6'!$A:$AI,34,FALSE)</f>
        <v>#N/A</v>
      </c>
      <c r="AR708" t="e">
        <f>VLOOKUP($J708,'[1]Table S6'!$A:$AI,35,FALSE)</f>
        <v>#N/A</v>
      </c>
      <c r="AT708" t="e">
        <f>VLOOKUP($I708,'[2]Table S5'!$A:$K,8,FALSE)</f>
        <v>#N/A</v>
      </c>
      <c r="AU708" t="e">
        <f>VLOOKUP($I708,'[2]Table S5'!$A:$K,9,FALSE)</f>
        <v>#N/A</v>
      </c>
      <c r="AV708" t="e">
        <f>VLOOKUP($I708,'[2]Table S5'!$A:$K,10,FALSE)</f>
        <v>#N/A</v>
      </c>
      <c r="AW708" t="e">
        <f>VLOOKUP($I708,'[2]Table S5'!$A:$K,11,FALSE)</f>
        <v>#N/A</v>
      </c>
    </row>
    <row r="709" spans="1:49">
      <c r="A709" s="12" t="s">
        <v>4409</v>
      </c>
      <c r="B709" t="s">
        <v>4410</v>
      </c>
      <c r="C709" t="s">
        <v>4411</v>
      </c>
      <c r="D709" t="s">
        <v>17</v>
      </c>
      <c r="E709" t="s">
        <v>4412</v>
      </c>
      <c r="F709" s="12" t="s">
        <v>4413</v>
      </c>
      <c r="G709" t="s">
        <v>4414</v>
      </c>
      <c r="H709" t="s">
        <v>4415</v>
      </c>
      <c r="I709" t="s">
        <v>4408</v>
      </c>
      <c r="J709" t="s">
        <v>4408</v>
      </c>
      <c r="K709" t="e">
        <f>VLOOKUP($J709,'[1]Table S6'!$A:$AI,2,FALSE)</f>
        <v>#N/A</v>
      </c>
      <c r="L709" t="e">
        <f>VLOOKUP($J709,'[1]Table S6'!$A:$AI,3,FALSE)</f>
        <v>#N/A</v>
      </c>
      <c r="M709" t="e">
        <f>VLOOKUP($J709,'[1]Table S6'!$A:$AI,4,FALSE)</f>
        <v>#N/A</v>
      </c>
      <c r="N709" t="e">
        <f>VLOOKUP($J709,'[1]Table S6'!$A:$AI,5,FALSE)</f>
        <v>#N/A</v>
      </c>
      <c r="P709" t="e">
        <f>VLOOKUP($J709,'[1]Table S6'!$A:$AI,7,FALSE)</f>
        <v>#N/A</v>
      </c>
      <c r="Q709" t="e">
        <f>VLOOKUP($J709,'[1]Table S6'!$A:$AI,8,FALSE)</f>
        <v>#N/A</v>
      </c>
      <c r="R709" t="e">
        <f>VLOOKUP($J709,'[1]Table S6'!$A:$AI,9,FALSE)</f>
        <v>#N/A</v>
      </c>
      <c r="S709" t="e">
        <f>VLOOKUP($J709,'[1]Table S6'!$A:$AI,10,FALSE)</f>
        <v>#N/A</v>
      </c>
      <c r="U709" t="e">
        <f>VLOOKUP($J709,'[1]Table S6'!$A:$AI,12,FALSE)</f>
        <v>#N/A</v>
      </c>
      <c r="V709" t="e">
        <f>VLOOKUP($J709,'[1]Table S6'!$A:$AI,13,FALSE)</f>
        <v>#N/A</v>
      </c>
      <c r="W709" t="e">
        <f>VLOOKUP($J709,'[1]Table S6'!$A:$AI,14,FALSE)</f>
        <v>#N/A</v>
      </c>
      <c r="X709" t="e">
        <f>VLOOKUP($J709,'[1]Table S6'!$A:$AI,15,FALSE)</f>
        <v>#N/A</v>
      </c>
      <c r="Z709" t="e">
        <f>VLOOKUP($J709,'[1]Table S6'!$A:$AI,17,FALSE)</f>
        <v>#N/A</v>
      </c>
      <c r="AA709" t="e">
        <f>VLOOKUP($J709,'[1]Table S6'!$A:$AI,18,FALSE)</f>
        <v>#N/A</v>
      </c>
      <c r="AB709" t="e">
        <f>VLOOKUP($J709,'[1]Table S6'!$A:$AI,19,FALSE)</f>
        <v>#N/A</v>
      </c>
      <c r="AC709" t="e">
        <f>VLOOKUP($J709,'[1]Table S6'!$A:$AI,20,FALSE)</f>
        <v>#N/A</v>
      </c>
      <c r="AE709" t="e">
        <f>VLOOKUP($J709,'[1]Table S6'!$A:$AI,22,FALSE)</f>
        <v>#N/A</v>
      </c>
      <c r="AF709" t="e">
        <f>VLOOKUP($J709,'[1]Table S6'!$A:$AI,23,FALSE)</f>
        <v>#N/A</v>
      </c>
      <c r="AG709" t="e">
        <f>VLOOKUP($J709,'[1]Table S6'!$A:$AI,24,FALSE)</f>
        <v>#N/A</v>
      </c>
      <c r="AH709" t="e">
        <f>VLOOKUP($J709,'[1]Table S6'!$A:$AI,25,FALSE)</f>
        <v>#N/A</v>
      </c>
      <c r="AJ709" t="e">
        <f>VLOOKUP($J709,'[1]Table S6'!$A:$AI,27,FALSE)</f>
        <v>#N/A</v>
      </c>
      <c r="AK709" t="e">
        <f>VLOOKUP($J709,'[1]Table S6'!$A:$AI,28,FALSE)</f>
        <v>#N/A</v>
      </c>
      <c r="AL709" t="e">
        <f>VLOOKUP($J709,'[1]Table S6'!$A:$AI,29,FALSE)</f>
        <v>#N/A</v>
      </c>
      <c r="AM709" t="e">
        <f>VLOOKUP($J709,'[1]Table S6'!$A:$AI,30,FALSE)</f>
        <v>#N/A</v>
      </c>
      <c r="AO709" t="e">
        <f>VLOOKUP($J709,'[1]Table S6'!$A:$AI,32,FALSE)</f>
        <v>#N/A</v>
      </c>
      <c r="AP709" t="e">
        <f>VLOOKUP($J709,'[1]Table S6'!$A:$AI,33,FALSE)</f>
        <v>#N/A</v>
      </c>
      <c r="AQ709" t="e">
        <f>VLOOKUP($J709,'[1]Table S6'!$A:$AI,34,FALSE)</f>
        <v>#N/A</v>
      </c>
      <c r="AR709" t="e">
        <f>VLOOKUP($J709,'[1]Table S6'!$A:$AI,35,FALSE)</f>
        <v>#N/A</v>
      </c>
      <c r="AT709" t="e">
        <f>VLOOKUP($I709,'[2]Table S5'!$A:$K,8,FALSE)</f>
        <v>#N/A</v>
      </c>
      <c r="AU709" t="e">
        <f>VLOOKUP($I709,'[2]Table S5'!$A:$K,9,FALSE)</f>
        <v>#N/A</v>
      </c>
      <c r="AV709" t="e">
        <f>VLOOKUP($I709,'[2]Table S5'!$A:$K,10,FALSE)</f>
        <v>#N/A</v>
      </c>
      <c r="AW709" t="e">
        <f>VLOOKUP($I709,'[2]Table S5'!$A:$K,11,FALSE)</f>
        <v>#N/A</v>
      </c>
    </row>
    <row r="710" spans="1:49">
      <c r="A710" s="12" t="s">
        <v>4416</v>
      </c>
      <c r="B710" t="s">
        <v>4417</v>
      </c>
      <c r="C710" t="s">
        <v>4418</v>
      </c>
      <c r="D710" t="s">
        <v>17</v>
      </c>
      <c r="E710" t="s">
        <v>4419</v>
      </c>
      <c r="F710" s="12" t="s">
        <v>4420</v>
      </c>
      <c r="G710" t="s">
        <v>4421</v>
      </c>
      <c r="H710" t="s">
        <v>4422</v>
      </c>
      <c r="I710" t="s">
        <v>4423</v>
      </c>
      <c r="J710" t="s">
        <v>4423</v>
      </c>
      <c r="K710" t="e">
        <f>VLOOKUP($J710,'[1]Table S6'!$A:$AI,2,FALSE)</f>
        <v>#N/A</v>
      </c>
      <c r="L710" t="e">
        <f>VLOOKUP($J710,'[1]Table S6'!$A:$AI,3,FALSE)</f>
        <v>#N/A</v>
      </c>
      <c r="M710" t="e">
        <f>VLOOKUP($J710,'[1]Table S6'!$A:$AI,4,FALSE)</f>
        <v>#N/A</v>
      </c>
      <c r="N710" t="e">
        <f>VLOOKUP($J710,'[1]Table S6'!$A:$AI,5,FALSE)</f>
        <v>#N/A</v>
      </c>
      <c r="P710" t="e">
        <f>VLOOKUP($J710,'[1]Table S6'!$A:$AI,7,FALSE)</f>
        <v>#N/A</v>
      </c>
      <c r="Q710" t="e">
        <f>VLOOKUP($J710,'[1]Table S6'!$A:$AI,8,FALSE)</f>
        <v>#N/A</v>
      </c>
      <c r="R710" t="e">
        <f>VLOOKUP($J710,'[1]Table S6'!$A:$AI,9,FALSE)</f>
        <v>#N/A</v>
      </c>
      <c r="S710" t="e">
        <f>VLOOKUP($J710,'[1]Table S6'!$A:$AI,10,FALSE)</f>
        <v>#N/A</v>
      </c>
      <c r="U710" t="e">
        <f>VLOOKUP($J710,'[1]Table S6'!$A:$AI,12,FALSE)</f>
        <v>#N/A</v>
      </c>
      <c r="V710" t="e">
        <f>VLOOKUP($J710,'[1]Table S6'!$A:$AI,13,FALSE)</f>
        <v>#N/A</v>
      </c>
      <c r="W710" t="e">
        <f>VLOOKUP($J710,'[1]Table S6'!$A:$AI,14,FALSE)</f>
        <v>#N/A</v>
      </c>
      <c r="X710" t="e">
        <f>VLOOKUP($J710,'[1]Table S6'!$A:$AI,15,FALSE)</f>
        <v>#N/A</v>
      </c>
      <c r="Z710" t="e">
        <f>VLOOKUP($J710,'[1]Table S6'!$A:$AI,17,FALSE)</f>
        <v>#N/A</v>
      </c>
      <c r="AA710" t="e">
        <f>VLOOKUP($J710,'[1]Table S6'!$A:$AI,18,FALSE)</f>
        <v>#N/A</v>
      </c>
      <c r="AB710" t="e">
        <f>VLOOKUP($J710,'[1]Table S6'!$A:$AI,19,FALSE)</f>
        <v>#N/A</v>
      </c>
      <c r="AC710" t="e">
        <f>VLOOKUP($J710,'[1]Table S6'!$A:$AI,20,FALSE)</f>
        <v>#N/A</v>
      </c>
      <c r="AE710" t="e">
        <f>VLOOKUP($J710,'[1]Table S6'!$A:$AI,22,FALSE)</f>
        <v>#N/A</v>
      </c>
      <c r="AF710" t="e">
        <f>VLOOKUP($J710,'[1]Table S6'!$A:$AI,23,FALSE)</f>
        <v>#N/A</v>
      </c>
      <c r="AG710" t="e">
        <f>VLOOKUP($J710,'[1]Table S6'!$A:$AI,24,FALSE)</f>
        <v>#N/A</v>
      </c>
      <c r="AH710" t="e">
        <f>VLOOKUP($J710,'[1]Table S6'!$A:$AI,25,FALSE)</f>
        <v>#N/A</v>
      </c>
      <c r="AJ710" t="e">
        <f>VLOOKUP($J710,'[1]Table S6'!$A:$AI,27,FALSE)</f>
        <v>#N/A</v>
      </c>
      <c r="AK710" t="e">
        <f>VLOOKUP($J710,'[1]Table S6'!$A:$AI,28,FALSE)</f>
        <v>#N/A</v>
      </c>
      <c r="AL710" t="e">
        <f>VLOOKUP($J710,'[1]Table S6'!$A:$AI,29,FALSE)</f>
        <v>#N/A</v>
      </c>
      <c r="AM710" t="e">
        <f>VLOOKUP($J710,'[1]Table S6'!$A:$AI,30,FALSE)</f>
        <v>#N/A</v>
      </c>
      <c r="AO710" t="e">
        <f>VLOOKUP($J710,'[1]Table S6'!$A:$AI,32,FALSE)</f>
        <v>#N/A</v>
      </c>
      <c r="AP710" t="e">
        <f>VLOOKUP($J710,'[1]Table S6'!$A:$AI,33,FALSE)</f>
        <v>#N/A</v>
      </c>
      <c r="AQ710" t="e">
        <f>VLOOKUP($J710,'[1]Table S6'!$A:$AI,34,FALSE)</f>
        <v>#N/A</v>
      </c>
      <c r="AR710" t="e">
        <f>VLOOKUP($J710,'[1]Table S6'!$A:$AI,35,FALSE)</f>
        <v>#N/A</v>
      </c>
      <c r="AT710" t="e">
        <f>VLOOKUP($I710,'[2]Table S5'!$A:$K,8,FALSE)</f>
        <v>#N/A</v>
      </c>
      <c r="AU710" t="e">
        <f>VLOOKUP($I710,'[2]Table S5'!$A:$K,9,FALSE)</f>
        <v>#N/A</v>
      </c>
      <c r="AV710" t="e">
        <f>VLOOKUP($I710,'[2]Table S5'!$A:$K,10,FALSE)</f>
        <v>#N/A</v>
      </c>
      <c r="AW710" t="e">
        <f>VLOOKUP($I710,'[2]Table S5'!$A:$K,11,FALSE)</f>
        <v>#N/A</v>
      </c>
    </row>
    <row r="711" spans="1:49">
      <c r="A711" s="12" t="s">
        <v>4424</v>
      </c>
      <c r="B711" t="s">
        <v>4425</v>
      </c>
      <c r="C711" t="s">
        <v>4426</v>
      </c>
      <c r="D711" t="s">
        <v>17</v>
      </c>
      <c r="E711" t="s">
        <v>4427</v>
      </c>
      <c r="F711" s="12" t="s">
        <v>4428</v>
      </c>
      <c r="G711" t="s">
        <v>4429</v>
      </c>
      <c r="H711" t="s">
        <v>4430</v>
      </c>
      <c r="I711" t="s">
        <v>4423</v>
      </c>
      <c r="J711" t="s">
        <v>4423</v>
      </c>
      <c r="K711" t="e">
        <f>VLOOKUP($J711,'[1]Table S6'!$A:$AI,2,FALSE)</f>
        <v>#N/A</v>
      </c>
      <c r="L711" t="e">
        <f>VLOOKUP($J711,'[1]Table S6'!$A:$AI,3,FALSE)</f>
        <v>#N/A</v>
      </c>
      <c r="M711" t="e">
        <f>VLOOKUP($J711,'[1]Table S6'!$A:$AI,4,FALSE)</f>
        <v>#N/A</v>
      </c>
      <c r="N711" t="e">
        <f>VLOOKUP($J711,'[1]Table S6'!$A:$AI,5,FALSE)</f>
        <v>#N/A</v>
      </c>
      <c r="P711" t="e">
        <f>VLOOKUP($J711,'[1]Table S6'!$A:$AI,7,FALSE)</f>
        <v>#N/A</v>
      </c>
      <c r="Q711" t="e">
        <f>VLOOKUP($J711,'[1]Table S6'!$A:$AI,8,FALSE)</f>
        <v>#N/A</v>
      </c>
      <c r="R711" t="e">
        <f>VLOOKUP($J711,'[1]Table S6'!$A:$AI,9,FALSE)</f>
        <v>#N/A</v>
      </c>
      <c r="S711" t="e">
        <f>VLOOKUP($J711,'[1]Table S6'!$A:$AI,10,FALSE)</f>
        <v>#N/A</v>
      </c>
      <c r="U711" t="e">
        <f>VLOOKUP($J711,'[1]Table S6'!$A:$AI,12,FALSE)</f>
        <v>#N/A</v>
      </c>
      <c r="V711" t="e">
        <f>VLOOKUP($J711,'[1]Table S6'!$A:$AI,13,FALSE)</f>
        <v>#N/A</v>
      </c>
      <c r="W711" t="e">
        <f>VLOOKUP($J711,'[1]Table S6'!$A:$AI,14,FALSE)</f>
        <v>#N/A</v>
      </c>
      <c r="X711" t="e">
        <f>VLOOKUP($J711,'[1]Table S6'!$A:$AI,15,FALSE)</f>
        <v>#N/A</v>
      </c>
      <c r="Z711" t="e">
        <f>VLOOKUP($J711,'[1]Table S6'!$A:$AI,17,FALSE)</f>
        <v>#N/A</v>
      </c>
      <c r="AA711" t="e">
        <f>VLOOKUP($J711,'[1]Table S6'!$A:$AI,18,FALSE)</f>
        <v>#N/A</v>
      </c>
      <c r="AB711" t="e">
        <f>VLOOKUP($J711,'[1]Table S6'!$A:$AI,19,FALSE)</f>
        <v>#N/A</v>
      </c>
      <c r="AC711" t="e">
        <f>VLOOKUP($J711,'[1]Table S6'!$A:$AI,20,FALSE)</f>
        <v>#N/A</v>
      </c>
      <c r="AE711" t="e">
        <f>VLOOKUP($J711,'[1]Table S6'!$A:$AI,22,FALSE)</f>
        <v>#N/A</v>
      </c>
      <c r="AF711" t="e">
        <f>VLOOKUP($J711,'[1]Table S6'!$A:$AI,23,FALSE)</f>
        <v>#N/A</v>
      </c>
      <c r="AG711" t="e">
        <f>VLOOKUP($J711,'[1]Table S6'!$A:$AI,24,FALSE)</f>
        <v>#N/A</v>
      </c>
      <c r="AH711" t="e">
        <f>VLOOKUP($J711,'[1]Table S6'!$A:$AI,25,FALSE)</f>
        <v>#N/A</v>
      </c>
      <c r="AJ711" t="e">
        <f>VLOOKUP($J711,'[1]Table S6'!$A:$AI,27,FALSE)</f>
        <v>#N/A</v>
      </c>
      <c r="AK711" t="e">
        <f>VLOOKUP($J711,'[1]Table S6'!$A:$AI,28,FALSE)</f>
        <v>#N/A</v>
      </c>
      <c r="AL711" t="e">
        <f>VLOOKUP($J711,'[1]Table S6'!$A:$AI,29,FALSE)</f>
        <v>#N/A</v>
      </c>
      <c r="AM711" t="e">
        <f>VLOOKUP($J711,'[1]Table S6'!$A:$AI,30,FALSE)</f>
        <v>#N/A</v>
      </c>
      <c r="AO711" t="e">
        <f>VLOOKUP($J711,'[1]Table S6'!$A:$AI,32,FALSE)</f>
        <v>#N/A</v>
      </c>
      <c r="AP711" t="e">
        <f>VLOOKUP($J711,'[1]Table S6'!$A:$AI,33,FALSE)</f>
        <v>#N/A</v>
      </c>
      <c r="AQ711" t="e">
        <f>VLOOKUP($J711,'[1]Table S6'!$A:$AI,34,FALSE)</f>
        <v>#N/A</v>
      </c>
      <c r="AR711" t="e">
        <f>VLOOKUP($J711,'[1]Table S6'!$A:$AI,35,FALSE)</f>
        <v>#N/A</v>
      </c>
      <c r="AT711" t="e">
        <f>VLOOKUP($I711,'[2]Table S5'!$A:$K,8,FALSE)</f>
        <v>#N/A</v>
      </c>
      <c r="AU711" t="e">
        <f>VLOOKUP($I711,'[2]Table S5'!$A:$K,9,FALSE)</f>
        <v>#N/A</v>
      </c>
      <c r="AV711" t="e">
        <f>VLOOKUP($I711,'[2]Table S5'!$A:$K,10,FALSE)</f>
        <v>#N/A</v>
      </c>
      <c r="AW711" t="e">
        <f>VLOOKUP($I711,'[2]Table S5'!$A:$K,11,FALSE)</f>
        <v>#N/A</v>
      </c>
    </row>
    <row r="712" spans="1:49">
      <c r="A712" s="12" t="s">
        <v>4431</v>
      </c>
      <c r="B712" t="s">
        <v>4432</v>
      </c>
      <c r="C712" t="s">
        <v>4433</v>
      </c>
      <c r="D712" t="s">
        <v>17</v>
      </c>
      <c r="E712" t="s">
        <v>4434</v>
      </c>
      <c r="F712" s="12" t="s">
        <v>4435</v>
      </c>
      <c r="G712" t="s">
        <v>4436</v>
      </c>
      <c r="H712" t="s">
        <v>4437</v>
      </c>
      <c r="I712" t="s">
        <v>4438</v>
      </c>
      <c r="J712" t="s">
        <v>4438</v>
      </c>
      <c r="K712" t="e">
        <f>VLOOKUP($J712,'[1]Table S6'!$A:$AI,2,FALSE)</f>
        <v>#N/A</v>
      </c>
      <c r="L712" t="e">
        <f>VLOOKUP($J712,'[1]Table S6'!$A:$AI,3,FALSE)</f>
        <v>#N/A</v>
      </c>
      <c r="M712" t="e">
        <f>VLOOKUP($J712,'[1]Table S6'!$A:$AI,4,FALSE)</f>
        <v>#N/A</v>
      </c>
      <c r="N712" t="e">
        <f>VLOOKUP($J712,'[1]Table S6'!$A:$AI,5,FALSE)</f>
        <v>#N/A</v>
      </c>
      <c r="P712" t="e">
        <f>VLOOKUP($J712,'[1]Table S6'!$A:$AI,7,FALSE)</f>
        <v>#N/A</v>
      </c>
      <c r="Q712" t="e">
        <f>VLOOKUP($J712,'[1]Table S6'!$A:$AI,8,FALSE)</f>
        <v>#N/A</v>
      </c>
      <c r="R712" t="e">
        <f>VLOOKUP($J712,'[1]Table S6'!$A:$AI,9,FALSE)</f>
        <v>#N/A</v>
      </c>
      <c r="S712" t="e">
        <f>VLOOKUP($J712,'[1]Table S6'!$A:$AI,10,FALSE)</f>
        <v>#N/A</v>
      </c>
      <c r="U712" t="e">
        <f>VLOOKUP($J712,'[1]Table S6'!$A:$AI,12,FALSE)</f>
        <v>#N/A</v>
      </c>
      <c r="V712" t="e">
        <f>VLOOKUP($J712,'[1]Table S6'!$A:$AI,13,FALSE)</f>
        <v>#N/A</v>
      </c>
      <c r="W712" t="e">
        <f>VLOOKUP($J712,'[1]Table S6'!$A:$AI,14,FALSE)</f>
        <v>#N/A</v>
      </c>
      <c r="X712" t="e">
        <f>VLOOKUP($J712,'[1]Table S6'!$A:$AI,15,FALSE)</f>
        <v>#N/A</v>
      </c>
      <c r="Z712" t="e">
        <f>VLOOKUP($J712,'[1]Table S6'!$A:$AI,17,FALSE)</f>
        <v>#N/A</v>
      </c>
      <c r="AA712" t="e">
        <f>VLOOKUP($J712,'[1]Table S6'!$A:$AI,18,FALSE)</f>
        <v>#N/A</v>
      </c>
      <c r="AB712" t="e">
        <f>VLOOKUP($J712,'[1]Table S6'!$A:$AI,19,FALSE)</f>
        <v>#N/A</v>
      </c>
      <c r="AC712" t="e">
        <f>VLOOKUP($J712,'[1]Table S6'!$A:$AI,20,FALSE)</f>
        <v>#N/A</v>
      </c>
      <c r="AE712" t="e">
        <f>VLOOKUP($J712,'[1]Table S6'!$A:$AI,22,FALSE)</f>
        <v>#N/A</v>
      </c>
      <c r="AF712" t="e">
        <f>VLOOKUP($J712,'[1]Table S6'!$A:$AI,23,FALSE)</f>
        <v>#N/A</v>
      </c>
      <c r="AG712" t="e">
        <f>VLOOKUP($J712,'[1]Table S6'!$A:$AI,24,FALSE)</f>
        <v>#N/A</v>
      </c>
      <c r="AH712" t="e">
        <f>VLOOKUP($J712,'[1]Table S6'!$A:$AI,25,FALSE)</f>
        <v>#N/A</v>
      </c>
      <c r="AJ712" t="e">
        <f>VLOOKUP($J712,'[1]Table S6'!$A:$AI,27,FALSE)</f>
        <v>#N/A</v>
      </c>
      <c r="AK712" t="e">
        <f>VLOOKUP($J712,'[1]Table S6'!$A:$AI,28,FALSE)</f>
        <v>#N/A</v>
      </c>
      <c r="AL712" t="e">
        <f>VLOOKUP($J712,'[1]Table S6'!$A:$AI,29,FALSE)</f>
        <v>#N/A</v>
      </c>
      <c r="AM712" t="e">
        <f>VLOOKUP($J712,'[1]Table S6'!$A:$AI,30,FALSE)</f>
        <v>#N/A</v>
      </c>
      <c r="AO712" t="e">
        <f>VLOOKUP($J712,'[1]Table S6'!$A:$AI,32,FALSE)</f>
        <v>#N/A</v>
      </c>
      <c r="AP712" t="e">
        <f>VLOOKUP($J712,'[1]Table S6'!$A:$AI,33,FALSE)</f>
        <v>#N/A</v>
      </c>
      <c r="AQ712" t="e">
        <f>VLOOKUP($J712,'[1]Table S6'!$A:$AI,34,FALSE)</f>
        <v>#N/A</v>
      </c>
      <c r="AR712" t="e">
        <f>VLOOKUP($J712,'[1]Table S6'!$A:$AI,35,FALSE)</f>
        <v>#N/A</v>
      </c>
      <c r="AT712" t="e">
        <f>VLOOKUP($I712,'[2]Table S5'!$A:$K,8,FALSE)</f>
        <v>#N/A</v>
      </c>
      <c r="AU712" t="e">
        <f>VLOOKUP($I712,'[2]Table S5'!$A:$K,9,FALSE)</f>
        <v>#N/A</v>
      </c>
      <c r="AV712" t="e">
        <f>VLOOKUP($I712,'[2]Table S5'!$A:$K,10,FALSE)</f>
        <v>#N/A</v>
      </c>
      <c r="AW712" t="e">
        <f>VLOOKUP($I712,'[2]Table S5'!$A:$K,11,FALSE)</f>
        <v>#N/A</v>
      </c>
    </row>
    <row r="713" spans="1:49">
      <c r="A713" s="12" t="s">
        <v>4439</v>
      </c>
      <c r="B713" t="s">
        <v>4440</v>
      </c>
      <c r="C713" t="s">
        <v>4441</v>
      </c>
      <c r="D713" t="s">
        <v>17</v>
      </c>
      <c r="E713" t="s">
        <v>4442</v>
      </c>
      <c r="F713" s="12" t="s">
        <v>4443</v>
      </c>
      <c r="G713" t="s">
        <v>4444</v>
      </c>
      <c r="H713" t="s">
        <v>4445</v>
      </c>
      <c r="I713" t="s">
        <v>4438</v>
      </c>
      <c r="J713" t="s">
        <v>4438</v>
      </c>
      <c r="K713" t="e">
        <f>VLOOKUP($J713,'[1]Table S6'!$A:$AI,2,FALSE)</f>
        <v>#N/A</v>
      </c>
      <c r="L713" t="e">
        <f>VLOOKUP($J713,'[1]Table S6'!$A:$AI,3,FALSE)</f>
        <v>#N/A</v>
      </c>
      <c r="M713" t="e">
        <f>VLOOKUP($J713,'[1]Table S6'!$A:$AI,4,FALSE)</f>
        <v>#N/A</v>
      </c>
      <c r="N713" t="e">
        <f>VLOOKUP($J713,'[1]Table S6'!$A:$AI,5,FALSE)</f>
        <v>#N/A</v>
      </c>
      <c r="P713" t="e">
        <f>VLOOKUP($J713,'[1]Table S6'!$A:$AI,7,FALSE)</f>
        <v>#N/A</v>
      </c>
      <c r="Q713" t="e">
        <f>VLOOKUP($J713,'[1]Table S6'!$A:$AI,8,FALSE)</f>
        <v>#N/A</v>
      </c>
      <c r="R713" t="e">
        <f>VLOOKUP($J713,'[1]Table S6'!$A:$AI,9,FALSE)</f>
        <v>#N/A</v>
      </c>
      <c r="S713" t="e">
        <f>VLOOKUP($J713,'[1]Table S6'!$A:$AI,10,FALSE)</f>
        <v>#N/A</v>
      </c>
      <c r="U713" t="e">
        <f>VLOOKUP($J713,'[1]Table S6'!$A:$AI,12,FALSE)</f>
        <v>#N/A</v>
      </c>
      <c r="V713" t="e">
        <f>VLOOKUP($J713,'[1]Table S6'!$A:$AI,13,FALSE)</f>
        <v>#N/A</v>
      </c>
      <c r="W713" t="e">
        <f>VLOOKUP($J713,'[1]Table S6'!$A:$AI,14,FALSE)</f>
        <v>#N/A</v>
      </c>
      <c r="X713" t="e">
        <f>VLOOKUP($J713,'[1]Table S6'!$A:$AI,15,FALSE)</f>
        <v>#N/A</v>
      </c>
      <c r="Z713" t="e">
        <f>VLOOKUP($J713,'[1]Table S6'!$A:$AI,17,FALSE)</f>
        <v>#N/A</v>
      </c>
      <c r="AA713" t="e">
        <f>VLOOKUP($J713,'[1]Table S6'!$A:$AI,18,FALSE)</f>
        <v>#N/A</v>
      </c>
      <c r="AB713" t="e">
        <f>VLOOKUP($J713,'[1]Table S6'!$A:$AI,19,FALSE)</f>
        <v>#N/A</v>
      </c>
      <c r="AC713" t="e">
        <f>VLOOKUP($J713,'[1]Table S6'!$A:$AI,20,FALSE)</f>
        <v>#N/A</v>
      </c>
      <c r="AE713" t="e">
        <f>VLOOKUP($J713,'[1]Table S6'!$A:$AI,22,FALSE)</f>
        <v>#N/A</v>
      </c>
      <c r="AF713" t="e">
        <f>VLOOKUP($J713,'[1]Table S6'!$A:$AI,23,FALSE)</f>
        <v>#N/A</v>
      </c>
      <c r="AG713" t="e">
        <f>VLOOKUP($J713,'[1]Table S6'!$A:$AI,24,FALSE)</f>
        <v>#N/A</v>
      </c>
      <c r="AH713" t="e">
        <f>VLOOKUP($J713,'[1]Table S6'!$A:$AI,25,FALSE)</f>
        <v>#N/A</v>
      </c>
      <c r="AJ713" t="e">
        <f>VLOOKUP($J713,'[1]Table S6'!$A:$AI,27,FALSE)</f>
        <v>#N/A</v>
      </c>
      <c r="AK713" t="e">
        <f>VLOOKUP($J713,'[1]Table S6'!$A:$AI,28,FALSE)</f>
        <v>#N/A</v>
      </c>
      <c r="AL713" t="e">
        <f>VLOOKUP($J713,'[1]Table S6'!$A:$AI,29,FALSE)</f>
        <v>#N/A</v>
      </c>
      <c r="AM713" t="e">
        <f>VLOOKUP($J713,'[1]Table S6'!$A:$AI,30,FALSE)</f>
        <v>#N/A</v>
      </c>
      <c r="AO713" t="e">
        <f>VLOOKUP($J713,'[1]Table S6'!$A:$AI,32,FALSE)</f>
        <v>#N/A</v>
      </c>
      <c r="AP713" t="e">
        <f>VLOOKUP($J713,'[1]Table S6'!$A:$AI,33,FALSE)</f>
        <v>#N/A</v>
      </c>
      <c r="AQ713" t="e">
        <f>VLOOKUP($J713,'[1]Table S6'!$A:$AI,34,FALSE)</f>
        <v>#N/A</v>
      </c>
      <c r="AR713" t="e">
        <f>VLOOKUP($J713,'[1]Table S6'!$A:$AI,35,FALSE)</f>
        <v>#N/A</v>
      </c>
      <c r="AT713" t="e">
        <f>VLOOKUP($I713,'[2]Table S5'!$A:$K,8,FALSE)</f>
        <v>#N/A</v>
      </c>
      <c r="AU713" t="e">
        <f>VLOOKUP($I713,'[2]Table S5'!$A:$K,9,FALSE)</f>
        <v>#N/A</v>
      </c>
      <c r="AV713" t="e">
        <f>VLOOKUP($I713,'[2]Table S5'!$A:$K,10,FALSE)</f>
        <v>#N/A</v>
      </c>
      <c r="AW713" t="e">
        <f>VLOOKUP($I713,'[2]Table S5'!$A:$K,11,FALSE)</f>
        <v>#N/A</v>
      </c>
    </row>
    <row r="714" spans="1:49">
      <c r="A714" s="12" t="s">
        <v>4446</v>
      </c>
      <c r="B714" t="s">
        <v>4447</v>
      </c>
      <c r="C714" t="s">
        <v>4448</v>
      </c>
      <c r="D714" t="s">
        <v>17</v>
      </c>
      <c r="E714" t="s">
        <v>4449</v>
      </c>
      <c r="F714" s="12" t="s">
        <v>4450</v>
      </c>
      <c r="G714" t="s">
        <v>4451</v>
      </c>
      <c r="H714" t="s">
        <v>4452</v>
      </c>
      <c r="I714" t="s">
        <v>4453</v>
      </c>
      <c r="J714" t="s">
        <v>4453</v>
      </c>
      <c r="K714" t="e">
        <f>VLOOKUP($J714,'[1]Table S6'!$A:$AI,2,FALSE)</f>
        <v>#N/A</v>
      </c>
      <c r="L714" t="e">
        <f>VLOOKUP($J714,'[1]Table S6'!$A:$AI,3,FALSE)</f>
        <v>#N/A</v>
      </c>
      <c r="M714" t="e">
        <f>VLOOKUP($J714,'[1]Table S6'!$A:$AI,4,FALSE)</f>
        <v>#N/A</v>
      </c>
      <c r="N714" t="e">
        <f>VLOOKUP($J714,'[1]Table S6'!$A:$AI,5,FALSE)</f>
        <v>#N/A</v>
      </c>
      <c r="P714" t="e">
        <f>VLOOKUP($J714,'[1]Table S6'!$A:$AI,7,FALSE)</f>
        <v>#N/A</v>
      </c>
      <c r="Q714" t="e">
        <f>VLOOKUP($J714,'[1]Table S6'!$A:$AI,8,FALSE)</f>
        <v>#N/A</v>
      </c>
      <c r="R714" t="e">
        <f>VLOOKUP($J714,'[1]Table S6'!$A:$AI,9,FALSE)</f>
        <v>#N/A</v>
      </c>
      <c r="S714" t="e">
        <f>VLOOKUP($J714,'[1]Table S6'!$A:$AI,10,FALSE)</f>
        <v>#N/A</v>
      </c>
      <c r="U714" t="e">
        <f>VLOOKUP($J714,'[1]Table S6'!$A:$AI,12,FALSE)</f>
        <v>#N/A</v>
      </c>
      <c r="V714" t="e">
        <f>VLOOKUP($J714,'[1]Table S6'!$A:$AI,13,FALSE)</f>
        <v>#N/A</v>
      </c>
      <c r="W714" t="e">
        <f>VLOOKUP($J714,'[1]Table S6'!$A:$AI,14,FALSE)</f>
        <v>#N/A</v>
      </c>
      <c r="X714" t="e">
        <f>VLOOKUP($J714,'[1]Table S6'!$A:$AI,15,FALSE)</f>
        <v>#N/A</v>
      </c>
      <c r="Z714" t="e">
        <f>VLOOKUP($J714,'[1]Table S6'!$A:$AI,17,FALSE)</f>
        <v>#N/A</v>
      </c>
      <c r="AA714" t="e">
        <f>VLOOKUP($J714,'[1]Table S6'!$A:$AI,18,FALSE)</f>
        <v>#N/A</v>
      </c>
      <c r="AB714" t="e">
        <f>VLOOKUP($J714,'[1]Table S6'!$A:$AI,19,FALSE)</f>
        <v>#N/A</v>
      </c>
      <c r="AC714" t="e">
        <f>VLOOKUP($J714,'[1]Table S6'!$A:$AI,20,FALSE)</f>
        <v>#N/A</v>
      </c>
      <c r="AE714" t="e">
        <f>VLOOKUP($J714,'[1]Table S6'!$A:$AI,22,FALSE)</f>
        <v>#N/A</v>
      </c>
      <c r="AF714" t="e">
        <f>VLOOKUP($J714,'[1]Table S6'!$A:$AI,23,FALSE)</f>
        <v>#N/A</v>
      </c>
      <c r="AG714" t="e">
        <f>VLOOKUP($J714,'[1]Table S6'!$A:$AI,24,FALSE)</f>
        <v>#N/A</v>
      </c>
      <c r="AH714" t="e">
        <f>VLOOKUP($J714,'[1]Table S6'!$A:$AI,25,FALSE)</f>
        <v>#N/A</v>
      </c>
      <c r="AJ714" t="e">
        <f>VLOOKUP($J714,'[1]Table S6'!$A:$AI,27,FALSE)</f>
        <v>#N/A</v>
      </c>
      <c r="AK714" t="e">
        <f>VLOOKUP($J714,'[1]Table S6'!$A:$AI,28,FALSE)</f>
        <v>#N/A</v>
      </c>
      <c r="AL714" t="e">
        <f>VLOOKUP($J714,'[1]Table S6'!$A:$AI,29,FALSE)</f>
        <v>#N/A</v>
      </c>
      <c r="AM714" t="e">
        <f>VLOOKUP($J714,'[1]Table S6'!$A:$AI,30,FALSE)</f>
        <v>#N/A</v>
      </c>
      <c r="AO714" t="e">
        <f>VLOOKUP($J714,'[1]Table S6'!$A:$AI,32,FALSE)</f>
        <v>#N/A</v>
      </c>
      <c r="AP714" t="e">
        <f>VLOOKUP($J714,'[1]Table S6'!$A:$AI,33,FALSE)</f>
        <v>#N/A</v>
      </c>
      <c r="AQ714" t="e">
        <f>VLOOKUP($J714,'[1]Table S6'!$A:$AI,34,FALSE)</f>
        <v>#N/A</v>
      </c>
      <c r="AR714" t="e">
        <f>VLOOKUP($J714,'[1]Table S6'!$A:$AI,35,FALSE)</f>
        <v>#N/A</v>
      </c>
      <c r="AT714" t="e">
        <f>VLOOKUP($I714,'[2]Table S5'!$A:$K,8,FALSE)</f>
        <v>#N/A</v>
      </c>
      <c r="AU714" t="e">
        <f>VLOOKUP($I714,'[2]Table S5'!$A:$K,9,FALSE)</f>
        <v>#N/A</v>
      </c>
      <c r="AV714" t="e">
        <f>VLOOKUP($I714,'[2]Table S5'!$A:$K,10,FALSE)</f>
        <v>#N/A</v>
      </c>
      <c r="AW714" t="e">
        <f>VLOOKUP($I714,'[2]Table S5'!$A:$K,11,FALSE)</f>
        <v>#N/A</v>
      </c>
    </row>
    <row r="715" spans="1:49">
      <c r="A715" s="12" t="s">
        <v>4454</v>
      </c>
      <c r="B715" t="s">
        <v>4455</v>
      </c>
      <c r="C715" t="s">
        <v>4456</v>
      </c>
      <c r="D715" t="s">
        <v>17</v>
      </c>
      <c r="E715" t="s">
        <v>4457</v>
      </c>
      <c r="F715" s="12" t="s">
        <v>4458</v>
      </c>
      <c r="G715" t="s">
        <v>4459</v>
      </c>
      <c r="H715" t="s">
        <v>4460</v>
      </c>
      <c r="I715" t="s">
        <v>4453</v>
      </c>
      <c r="J715" t="s">
        <v>4453</v>
      </c>
      <c r="K715" t="e">
        <f>VLOOKUP($J715,'[1]Table S6'!$A:$AI,2,FALSE)</f>
        <v>#N/A</v>
      </c>
      <c r="L715" t="e">
        <f>VLOOKUP($J715,'[1]Table S6'!$A:$AI,3,FALSE)</f>
        <v>#N/A</v>
      </c>
      <c r="M715" t="e">
        <f>VLOOKUP($J715,'[1]Table S6'!$A:$AI,4,FALSE)</f>
        <v>#N/A</v>
      </c>
      <c r="N715" t="e">
        <f>VLOOKUP($J715,'[1]Table S6'!$A:$AI,5,FALSE)</f>
        <v>#N/A</v>
      </c>
      <c r="P715" t="e">
        <f>VLOOKUP($J715,'[1]Table S6'!$A:$AI,7,FALSE)</f>
        <v>#N/A</v>
      </c>
      <c r="Q715" t="e">
        <f>VLOOKUP($J715,'[1]Table S6'!$A:$AI,8,FALSE)</f>
        <v>#N/A</v>
      </c>
      <c r="R715" t="e">
        <f>VLOOKUP($J715,'[1]Table S6'!$A:$AI,9,FALSE)</f>
        <v>#N/A</v>
      </c>
      <c r="S715" t="e">
        <f>VLOOKUP($J715,'[1]Table S6'!$A:$AI,10,FALSE)</f>
        <v>#N/A</v>
      </c>
      <c r="U715" t="e">
        <f>VLOOKUP($J715,'[1]Table S6'!$A:$AI,12,FALSE)</f>
        <v>#N/A</v>
      </c>
      <c r="V715" t="e">
        <f>VLOOKUP($J715,'[1]Table S6'!$A:$AI,13,FALSE)</f>
        <v>#N/A</v>
      </c>
      <c r="W715" t="e">
        <f>VLOOKUP($J715,'[1]Table S6'!$A:$AI,14,FALSE)</f>
        <v>#N/A</v>
      </c>
      <c r="X715" t="e">
        <f>VLOOKUP($J715,'[1]Table S6'!$A:$AI,15,FALSE)</f>
        <v>#N/A</v>
      </c>
      <c r="Z715" t="e">
        <f>VLOOKUP($J715,'[1]Table S6'!$A:$AI,17,FALSE)</f>
        <v>#N/A</v>
      </c>
      <c r="AA715" t="e">
        <f>VLOOKUP($J715,'[1]Table S6'!$A:$AI,18,FALSE)</f>
        <v>#N/A</v>
      </c>
      <c r="AB715" t="e">
        <f>VLOOKUP($J715,'[1]Table S6'!$A:$AI,19,FALSE)</f>
        <v>#N/A</v>
      </c>
      <c r="AC715" t="e">
        <f>VLOOKUP($J715,'[1]Table S6'!$A:$AI,20,FALSE)</f>
        <v>#N/A</v>
      </c>
      <c r="AE715" t="e">
        <f>VLOOKUP($J715,'[1]Table S6'!$A:$AI,22,FALSE)</f>
        <v>#N/A</v>
      </c>
      <c r="AF715" t="e">
        <f>VLOOKUP($J715,'[1]Table S6'!$A:$AI,23,FALSE)</f>
        <v>#N/A</v>
      </c>
      <c r="AG715" t="e">
        <f>VLOOKUP($J715,'[1]Table S6'!$A:$AI,24,FALSE)</f>
        <v>#N/A</v>
      </c>
      <c r="AH715" t="e">
        <f>VLOOKUP($J715,'[1]Table S6'!$A:$AI,25,FALSE)</f>
        <v>#N/A</v>
      </c>
      <c r="AJ715" t="e">
        <f>VLOOKUP($J715,'[1]Table S6'!$A:$AI,27,FALSE)</f>
        <v>#N/A</v>
      </c>
      <c r="AK715" t="e">
        <f>VLOOKUP($J715,'[1]Table S6'!$A:$AI,28,FALSE)</f>
        <v>#N/A</v>
      </c>
      <c r="AL715" t="e">
        <f>VLOOKUP($J715,'[1]Table S6'!$A:$AI,29,FALSE)</f>
        <v>#N/A</v>
      </c>
      <c r="AM715" t="e">
        <f>VLOOKUP($J715,'[1]Table S6'!$A:$AI,30,FALSE)</f>
        <v>#N/A</v>
      </c>
      <c r="AO715" t="e">
        <f>VLOOKUP($J715,'[1]Table S6'!$A:$AI,32,FALSE)</f>
        <v>#N/A</v>
      </c>
      <c r="AP715" t="e">
        <f>VLOOKUP($J715,'[1]Table S6'!$A:$AI,33,FALSE)</f>
        <v>#N/A</v>
      </c>
      <c r="AQ715" t="e">
        <f>VLOOKUP($J715,'[1]Table S6'!$A:$AI,34,FALSE)</f>
        <v>#N/A</v>
      </c>
      <c r="AR715" t="e">
        <f>VLOOKUP($J715,'[1]Table S6'!$A:$AI,35,FALSE)</f>
        <v>#N/A</v>
      </c>
      <c r="AT715" t="e">
        <f>VLOOKUP($I715,'[2]Table S5'!$A:$K,8,FALSE)</f>
        <v>#N/A</v>
      </c>
      <c r="AU715" t="e">
        <f>VLOOKUP($I715,'[2]Table S5'!$A:$K,9,FALSE)</f>
        <v>#N/A</v>
      </c>
      <c r="AV715" t="e">
        <f>VLOOKUP($I715,'[2]Table S5'!$A:$K,10,FALSE)</f>
        <v>#N/A</v>
      </c>
      <c r="AW715" t="e">
        <f>VLOOKUP($I715,'[2]Table S5'!$A:$K,11,FALSE)</f>
        <v>#N/A</v>
      </c>
    </row>
    <row r="716" spans="1:49">
      <c r="A716" s="12" t="s">
        <v>4461</v>
      </c>
      <c r="B716" t="s">
        <v>4462</v>
      </c>
      <c r="C716" t="s">
        <v>4463</v>
      </c>
      <c r="D716" t="s">
        <v>17</v>
      </c>
      <c r="E716" t="s">
        <v>4464</v>
      </c>
      <c r="F716" s="12" t="s">
        <v>4465</v>
      </c>
      <c r="G716" t="s">
        <v>4466</v>
      </c>
      <c r="H716" t="s">
        <v>4467</v>
      </c>
      <c r="I716" t="s">
        <v>4468</v>
      </c>
      <c r="J716" t="s">
        <v>4468</v>
      </c>
      <c r="K716" t="e">
        <f>VLOOKUP($J716,'[1]Table S6'!$A:$AI,2,FALSE)</f>
        <v>#N/A</v>
      </c>
      <c r="L716" t="e">
        <f>VLOOKUP($J716,'[1]Table S6'!$A:$AI,3,FALSE)</f>
        <v>#N/A</v>
      </c>
      <c r="M716" t="e">
        <f>VLOOKUP($J716,'[1]Table S6'!$A:$AI,4,FALSE)</f>
        <v>#N/A</v>
      </c>
      <c r="N716" t="e">
        <f>VLOOKUP($J716,'[1]Table S6'!$A:$AI,5,FALSE)</f>
        <v>#N/A</v>
      </c>
      <c r="P716" t="e">
        <f>VLOOKUP($J716,'[1]Table S6'!$A:$AI,7,FALSE)</f>
        <v>#N/A</v>
      </c>
      <c r="Q716" t="e">
        <f>VLOOKUP($J716,'[1]Table S6'!$A:$AI,8,FALSE)</f>
        <v>#N/A</v>
      </c>
      <c r="R716" t="e">
        <f>VLOOKUP($J716,'[1]Table S6'!$A:$AI,9,FALSE)</f>
        <v>#N/A</v>
      </c>
      <c r="S716" t="e">
        <f>VLOOKUP($J716,'[1]Table S6'!$A:$AI,10,FALSE)</f>
        <v>#N/A</v>
      </c>
      <c r="U716" t="e">
        <f>VLOOKUP($J716,'[1]Table S6'!$A:$AI,12,FALSE)</f>
        <v>#N/A</v>
      </c>
      <c r="V716" t="e">
        <f>VLOOKUP($J716,'[1]Table S6'!$A:$AI,13,FALSE)</f>
        <v>#N/A</v>
      </c>
      <c r="W716" t="e">
        <f>VLOOKUP($J716,'[1]Table S6'!$A:$AI,14,FALSE)</f>
        <v>#N/A</v>
      </c>
      <c r="X716" t="e">
        <f>VLOOKUP($J716,'[1]Table S6'!$A:$AI,15,FALSE)</f>
        <v>#N/A</v>
      </c>
      <c r="Z716" t="e">
        <f>VLOOKUP($J716,'[1]Table S6'!$A:$AI,17,FALSE)</f>
        <v>#N/A</v>
      </c>
      <c r="AA716" t="e">
        <f>VLOOKUP($J716,'[1]Table S6'!$A:$AI,18,FALSE)</f>
        <v>#N/A</v>
      </c>
      <c r="AB716" t="e">
        <f>VLOOKUP($J716,'[1]Table S6'!$A:$AI,19,FALSE)</f>
        <v>#N/A</v>
      </c>
      <c r="AC716" t="e">
        <f>VLOOKUP($J716,'[1]Table S6'!$A:$AI,20,FALSE)</f>
        <v>#N/A</v>
      </c>
      <c r="AE716" t="e">
        <f>VLOOKUP($J716,'[1]Table S6'!$A:$AI,22,FALSE)</f>
        <v>#N/A</v>
      </c>
      <c r="AF716" t="e">
        <f>VLOOKUP($J716,'[1]Table S6'!$A:$AI,23,FALSE)</f>
        <v>#N/A</v>
      </c>
      <c r="AG716" t="e">
        <f>VLOOKUP($J716,'[1]Table S6'!$A:$AI,24,FALSE)</f>
        <v>#N/A</v>
      </c>
      <c r="AH716" t="e">
        <f>VLOOKUP($J716,'[1]Table S6'!$A:$AI,25,FALSE)</f>
        <v>#N/A</v>
      </c>
      <c r="AJ716" t="e">
        <f>VLOOKUP($J716,'[1]Table S6'!$A:$AI,27,FALSE)</f>
        <v>#N/A</v>
      </c>
      <c r="AK716" t="e">
        <f>VLOOKUP($J716,'[1]Table S6'!$A:$AI,28,FALSE)</f>
        <v>#N/A</v>
      </c>
      <c r="AL716" t="e">
        <f>VLOOKUP($J716,'[1]Table S6'!$A:$AI,29,FALSE)</f>
        <v>#N/A</v>
      </c>
      <c r="AM716" t="e">
        <f>VLOOKUP($J716,'[1]Table S6'!$A:$AI,30,FALSE)</f>
        <v>#N/A</v>
      </c>
      <c r="AO716" t="e">
        <f>VLOOKUP($J716,'[1]Table S6'!$A:$AI,32,FALSE)</f>
        <v>#N/A</v>
      </c>
      <c r="AP716" t="e">
        <f>VLOOKUP($J716,'[1]Table S6'!$A:$AI,33,FALSE)</f>
        <v>#N/A</v>
      </c>
      <c r="AQ716" t="e">
        <f>VLOOKUP($J716,'[1]Table S6'!$A:$AI,34,FALSE)</f>
        <v>#N/A</v>
      </c>
      <c r="AR716" t="e">
        <f>VLOOKUP($J716,'[1]Table S6'!$A:$AI,35,FALSE)</f>
        <v>#N/A</v>
      </c>
      <c r="AT716" t="e">
        <f>VLOOKUP($I716,'[2]Table S5'!$A:$K,8,FALSE)</f>
        <v>#N/A</v>
      </c>
      <c r="AU716" t="e">
        <f>VLOOKUP($I716,'[2]Table S5'!$A:$K,9,FALSE)</f>
        <v>#N/A</v>
      </c>
      <c r="AV716" t="e">
        <f>VLOOKUP($I716,'[2]Table S5'!$A:$K,10,FALSE)</f>
        <v>#N/A</v>
      </c>
      <c r="AW716" t="e">
        <f>VLOOKUP($I716,'[2]Table S5'!$A:$K,11,FALSE)</f>
        <v>#N/A</v>
      </c>
    </row>
    <row r="717" spans="1:49">
      <c r="A717" s="12" t="s">
        <v>4469</v>
      </c>
      <c r="B717" t="s">
        <v>4470</v>
      </c>
      <c r="C717" t="s">
        <v>4471</v>
      </c>
      <c r="D717" t="s">
        <v>17</v>
      </c>
      <c r="E717" t="s">
        <v>4472</v>
      </c>
      <c r="F717" s="12" t="s">
        <v>4473</v>
      </c>
      <c r="G717" t="s">
        <v>4474</v>
      </c>
      <c r="H717" t="s">
        <v>4475</v>
      </c>
      <c r="I717" t="s">
        <v>4468</v>
      </c>
      <c r="J717" t="s">
        <v>4468</v>
      </c>
      <c r="K717" t="e">
        <f>VLOOKUP($J717,'[1]Table S6'!$A:$AI,2,FALSE)</f>
        <v>#N/A</v>
      </c>
      <c r="L717" t="e">
        <f>VLOOKUP($J717,'[1]Table S6'!$A:$AI,3,FALSE)</f>
        <v>#N/A</v>
      </c>
      <c r="M717" t="e">
        <f>VLOOKUP($J717,'[1]Table S6'!$A:$AI,4,FALSE)</f>
        <v>#N/A</v>
      </c>
      <c r="N717" t="e">
        <f>VLOOKUP($J717,'[1]Table S6'!$A:$AI,5,FALSE)</f>
        <v>#N/A</v>
      </c>
      <c r="P717" t="e">
        <f>VLOOKUP($J717,'[1]Table S6'!$A:$AI,7,FALSE)</f>
        <v>#N/A</v>
      </c>
      <c r="Q717" t="e">
        <f>VLOOKUP($J717,'[1]Table S6'!$A:$AI,8,FALSE)</f>
        <v>#N/A</v>
      </c>
      <c r="R717" t="e">
        <f>VLOOKUP($J717,'[1]Table S6'!$A:$AI,9,FALSE)</f>
        <v>#N/A</v>
      </c>
      <c r="S717" t="e">
        <f>VLOOKUP($J717,'[1]Table S6'!$A:$AI,10,FALSE)</f>
        <v>#N/A</v>
      </c>
      <c r="U717" t="e">
        <f>VLOOKUP($J717,'[1]Table S6'!$A:$AI,12,FALSE)</f>
        <v>#N/A</v>
      </c>
      <c r="V717" t="e">
        <f>VLOOKUP($J717,'[1]Table S6'!$A:$AI,13,FALSE)</f>
        <v>#N/A</v>
      </c>
      <c r="W717" t="e">
        <f>VLOOKUP($J717,'[1]Table S6'!$A:$AI,14,FALSE)</f>
        <v>#N/A</v>
      </c>
      <c r="X717" t="e">
        <f>VLOOKUP($J717,'[1]Table S6'!$A:$AI,15,FALSE)</f>
        <v>#N/A</v>
      </c>
      <c r="Z717" t="e">
        <f>VLOOKUP($J717,'[1]Table S6'!$A:$AI,17,FALSE)</f>
        <v>#N/A</v>
      </c>
      <c r="AA717" t="e">
        <f>VLOOKUP($J717,'[1]Table S6'!$A:$AI,18,FALSE)</f>
        <v>#N/A</v>
      </c>
      <c r="AB717" t="e">
        <f>VLOOKUP($J717,'[1]Table S6'!$A:$AI,19,FALSE)</f>
        <v>#N/A</v>
      </c>
      <c r="AC717" t="e">
        <f>VLOOKUP($J717,'[1]Table S6'!$A:$AI,20,FALSE)</f>
        <v>#N/A</v>
      </c>
      <c r="AE717" t="e">
        <f>VLOOKUP($J717,'[1]Table S6'!$A:$AI,22,FALSE)</f>
        <v>#N/A</v>
      </c>
      <c r="AF717" t="e">
        <f>VLOOKUP($J717,'[1]Table S6'!$A:$AI,23,FALSE)</f>
        <v>#N/A</v>
      </c>
      <c r="AG717" t="e">
        <f>VLOOKUP($J717,'[1]Table S6'!$A:$AI,24,FALSE)</f>
        <v>#N/A</v>
      </c>
      <c r="AH717" t="e">
        <f>VLOOKUP($J717,'[1]Table S6'!$A:$AI,25,FALSE)</f>
        <v>#N/A</v>
      </c>
      <c r="AJ717" t="e">
        <f>VLOOKUP($J717,'[1]Table S6'!$A:$AI,27,FALSE)</f>
        <v>#N/A</v>
      </c>
      <c r="AK717" t="e">
        <f>VLOOKUP($J717,'[1]Table S6'!$A:$AI,28,FALSE)</f>
        <v>#N/A</v>
      </c>
      <c r="AL717" t="e">
        <f>VLOOKUP($J717,'[1]Table S6'!$A:$AI,29,FALSE)</f>
        <v>#N/A</v>
      </c>
      <c r="AM717" t="e">
        <f>VLOOKUP($J717,'[1]Table S6'!$A:$AI,30,FALSE)</f>
        <v>#N/A</v>
      </c>
      <c r="AO717" t="e">
        <f>VLOOKUP($J717,'[1]Table S6'!$A:$AI,32,FALSE)</f>
        <v>#N/A</v>
      </c>
      <c r="AP717" t="e">
        <f>VLOOKUP($J717,'[1]Table S6'!$A:$AI,33,FALSE)</f>
        <v>#N/A</v>
      </c>
      <c r="AQ717" t="e">
        <f>VLOOKUP($J717,'[1]Table S6'!$A:$AI,34,FALSE)</f>
        <v>#N/A</v>
      </c>
      <c r="AR717" t="e">
        <f>VLOOKUP($J717,'[1]Table S6'!$A:$AI,35,FALSE)</f>
        <v>#N/A</v>
      </c>
      <c r="AT717" t="e">
        <f>VLOOKUP($I717,'[2]Table S5'!$A:$K,8,FALSE)</f>
        <v>#N/A</v>
      </c>
      <c r="AU717" t="e">
        <f>VLOOKUP($I717,'[2]Table S5'!$A:$K,9,FALSE)</f>
        <v>#N/A</v>
      </c>
      <c r="AV717" t="e">
        <f>VLOOKUP($I717,'[2]Table S5'!$A:$K,10,FALSE)</f>
        <v>#N/A</v>
      </c>
      <c r="AW717" t="e">
        <f>VLOOKUP($I717,'[2]Table S5'!$A:$K,11,FALSE)</f>
        <v>#N/A</v>
      </c>
    </row>
    <row r="718" spans="1:49">
      <c r="A718" s="12" t="s">
        <v>4476</v>
      </c>
      <c r="B718" t="s">
        <v>4477</v>
      </c>
      <c r="C718" t="s">
        <v>4478</v>
      </c>
      <c r="D718" t="s">
        <v>17</v>
      </c>
      <c r="E718" t="s">
        <v>4479</v>
      </c>
      <c r="F718" s="12" t="s">
        <v>4480</v>
      </c>
      <c r="G718" t="s">
        <v>4481</v>
      </c>
      <c r="H718" t="s">
        <v>4482</v>
      </c>
      <c r="I718" t="s">
        <v>4483</v>
      </c>
      <c r="J718" t="s">
        <v>4483</v>
      </c>
      <c r="K718" t="e">
        <f>VLOOKUP($J718,'[1]Table S6'!$A:$AI,2,FALSE)</f>
        <v>#N/A</v>
      </c>
      <c r="L718" t="e">
        <f>VLOOKUP($J718,'[1]Table S6'!$A:$AI,3,FALSE)</f>
        <v>#N/A</v>
      </c>
      <c r="M718" t="e">
        <f>VLOOKUP($J718,'[1]Table S6'!$A:$AI,4,FALSE)</f>
        <v>#N/A</v>
      </c>
      <c r="N718" t="e">
        <f>VLOOKUP($J718,'[1]Table S6'!$A:$AI,5,FALSE)</f>
        <v>#N/A</v>
      </c>
      <c r="P718" t="e">
        <f>VLOOKUP($J718,'[1]Table S6'!$A:$AI,7,FALSE)</f>
        <v>#N/A</v>
      </c>
      <c r="Q718" t="e">
        <f>VLOOKUP($J718,'[1]Table S6'!$A:$AI,8,FALSE)</f>
        <v>#N/A</v>
      </c>
      <c r="R718" t="e">
        <f>VLOOKUP($J718,'[1]Table S6'!$A:$AI,9,FALSE)</f>
        <v>#N/A</v>
      </c>
      <c r="S718" t="e">
        <f>VLOOKUP($J718,'[1]Table S6'!$A:$AI,10,FALSE)</f>
        <v>#N/A</v>
      </c>
      <c r="U718" t="e">
        <f>VLOOKUP($J718,'[1]Table S6'!$A:$AI,12,FALSE)</f>
        <v>#N/A</v>
      </c>
      <c r="V718" t="e">
        <f>VLOOKUP($J718,'[1]Table S6'!$A:$AI,13,FALSE)</f>
        <v>#N/A</v>
      </c>
      <c r="W718" t="e">
        <f>VLOOKUP($J718,'[1]Table S6'!$A:$AI,14,FALSE)</f>
        <v>#N/A</v>
      </c>
      <c r="X718" t="e">
        <f>VLOOKUP($J718,'[1]Table S6'!$A:$AI,15,FALSE)</f>
        <v>#N/A</v>
      </c>
      <c r="Z718" t="e">
        <f>VLOOKUP($J718,'[1]Table S6'!$A:$AI,17,FALSE)</f>
        <v>#N/A</v>
      </c>
      <c r="AA718" t="e">
        <f>VLOOKUP($J718,'[1]Table S6'!$A:$AI,18,FALSE)</f>
        <v>#N/A</v>
      </c>
      <c r="AB718" t="e">
        <f>VLOOKUP($J718,'[1]Table S6'!$A:$AI,19,FALSE)</f>
        <v>#N/A</v>
      </c>
      <c r="AC718" t="e">
        <f>VLOOKUP($J718,'[1]Table S6'!$A:$AI,20,FALSE)</f>
        <v>#N/A</v>
      </c>
      <c r="AE718" t="e">
        <f>VLOOKUP($J718,'[1]Table S6'!$A:$AI,22,FALSE)</f>
        <v>#N/A</v>
      </c>
      <c r="AF718" t="e">
        <f>VLOOKUP($J718,'[1]Table S6'!$A:$AI,23,FALSE)</f>
        <v>#N/A</v>
      </c>
      <c r="AG718" t="e">
        <f>VLOOKUP($J718,'[1]Table S6'!$A:$AI,24,FALSE)</f>
        <v>#N/A</v>
      </c>
      <c r="AH718" t="e">
        <f>VLOOKUP($J718,'[1]Table S6'!$A:$AI,25,FALSE)</f>
        <v>#N/A</v>
      </c>
      <c r="AJ718" t="e">
        <f>VLOOKUP($J718,'[1]Table S6'!$A:$AI,27,FALSE)</f>
        <v>#N/A</v>
      </c>
      <c r="AK718" t="e">
        <f>VLOOKUP($J718,'[1]Table S6'!$A:$AI,28,FALSE)</f>
        <v>#N/A</v>
      </c>
      <c r="AL718" t="e">
        <f>VLOOKUP($J718,'[1]Table S6'!$A:$AI,29,FALSE)</f>
        <v>#N/A</v>
      </c>
      <c r="AM718" t="e">
        <f>VLOOKUP($J718,'[1]Table S6'!$A:$AI,30,FALSE)</f>
        <v>#N/A</v>
      </c>
      <c r="AO718" t="e">
        <f>VLOOKUP($J718,'[1]Table S6'!$A:$AI,32,FALSE)</f>
        <v>#N/A</v>
      </c>
      <c r="AP718" t="e">
        <f>VLOOKUP($J718,'[1]Table S6'!$A:$AI,33,FALSE)</f>
        <v>#N/A</v>
      </c>
      <c r="AQ718" t="e">
        <f>VLOOKUP($J718,'[1]Table S6'!$A:$AI,34,FALSE)</f>
        <v>#N/A</v>
      </c>
      <c r="AR718" t="e">
        <f>VLOOKUP($J718,'[1]Table S6'!$A:$AI,35,FALSE)</f>
        <v>#N/A</v>
      </c>
      <c r="AT718" t="e">
        <f>VLOOKUP($I718,'[2]Table S5'!$A:$K,8,FALSE)</f>
        <v>#N/A</v>
      </c>
      <c r="AU718" t="e">
        <f>VLOOKUP($I718,'[2]Table S5'!$A:$K,9,FALSE)</f>
        <v>#N/A</v>
      </c>
      <c r="AV718" t="e">
        <f>VLOOKUP($I718,'[2]Table S5'!$A:$K,10,FALSE)</f>
        <v>#N/A</v>
      </c>
      <c r="AW718" t="e">
        <f>VLOOKUP($I718,'[2]Table S5'!$A:$K,11,FALSE)</f>
        <v>#N/A</v>
      </c>
    </row>
    <row r="719" spans="1:49">
      <c r="A719" s="12" t="s">
        <v>4484</v>
      </c>
      <c r="B719" t="s">
        <v>4485</v>
      </c>
      <c r="C719" t="s">
        <v>4486</v>
      </c>
      <c r="D719" t="s">
        <v>17</v>
      </c>
      <c r="E719" t="s">
        <v>4487</v>
      </c>
      <c r="F719" s="12" t="s">
        <v>4488</v>
      </c>
      <c r="G719" t="s">
        <v>4489</v>
      </c>
      <c r="H719" t="s">
        <v>4490</v>
      </c>
      <c r="I719" t="s">
        <v>4483</v>
      </c>
      <c r="J719" t="s">
        <v>4483</v>
      </c>
      <c r="K719" t="e">
        <f>VLOOKUP($J719,'[1]Table S6'!$A:$AI,2,FALSE)</f>
        <v>#N/A</v>
      </c>
      <c r="L719" t="e">
        <f>VLOOKUP($J719,'[1]Table S6'!$A:$AI,3,FALSE)</f>
        <v>#N/A</v>
      </c>
      <c r="M719" t="e">
        <f>VLOOKUP($J719,'[1]Table S6'!$A:$AI,4,FALSE)</f>
        <v>#N/A</v>
      </c>
      <c r="N719" t="e">
        <f>VLOOKUP($J719,'[1]Table S6'!$A:$AI,5,FALSE)</f>
        <v>#N/A</v>
      </c>
      <c r="P719" t="e">
        <f>VLOOKUP($J719,'[1]Table S6'!$A:$AI,7,FALSE)</f>
        <v>#N/A</v>
      </c>
      <c r="Q719" t="e">
        <f>VLOOKUP($J719,'[1]Table S6'!$A:$AI,8,FALSE)</f>
        <v>#N/A</v>
      </c>
      <c r="R719" t="e">
        <f>VLOOKUP($J719,'[1]Table S6'!$A:$AI,9,FALSE)</f>
        <v>#N/A</v>
      </c>
      <c r="S719" t="e">
        <f>VLOOKUP($J719,'[1]Table S6'!$A:$AI,10,FALSE)</f>
        <v>#N/A</v>
      </c>
      <c r="U719" t="e">
        <f>VLOOKUP($J719,'[1]Table S6'!$A:$AI,12,FALSE)</f>
        <v>#N/A</v>
      </c>
      <c r="V719" t="e">
        <f>VLOOKUP($J719,'[1]Table S6'!$A:$AI,13,FALSE)</f>
        <v>#N/A</v>
      </c>
      <c r="W719" t="e">
        <f>VLOOKUP($J719,'[1]Table S6'!$A:$AI,14,FALSE)</f>
        <v>#N/A</v>
      </c>
      <c r="X719" t="e">
        <f>VLOOKUP($J719,'[1]Table S6'!$A:$AI,15,FALSE)</f>
        <v>#N/A</v>
      </c>
      <c r="Z719" t="e">
        <f>VLOOKUP($J719,'[1]Table S6'!$A:$AI,17,FALSE)</f>
        <v>#N/A</v>
      </c>
      <c r="AA719" t="e">
        <f>VLOOKUP($J719,'[1]Table S6'!$A:$AI,18,FALSE)</f>
        <v>#N/A</v>
      </c>
      <c r="AB719" t="e">
        <f>VLOOKUP($J719,'[1]Table S6'!$A:$AI,19,FALSE)</f>
        <v>#N/A</v>
      </c>
      <c r="AC719" t="e">
        <f>VLOOKUP($J719,'[1]Table S6'!$A:$AI,20,FALSE)</f>
        <v>#N/A</v>
      </c>
      <c r="AE719" t="e">
        <f>VLOOKUP($J719,'[1]Table S6'!$A:$AI,22,FALSE)</f>
        <v>#N/A</v>
      </c>
      <c r="AF719" t="e">
        <f>VLOOKUP($J719,'[1]Table S6'!$A:$AI,23,FALSE)</f>
        <v>#N/A</v>
      </c>
      <c r="AG719" t="e">
        <f>VLOOKUP($J719,'[1]Table S6'!$A:$AI,24,FALSE)</f>
        <v>#N/A</v>
      </c>
      <c r="AH719" t="e">
        <f>VLOOKUP($J719,'[1]Table S6'!$A:$AI,25,FALSE)</f>
        <v>#N/A</v>
      </c>
      <c r="AJ719" t="e">
        <f>VLOOKUP($J719,'[1]Table S6'!$A:$AI,27,FALSE)</f>
        <v>#N/A</v>
      </c>
      <c r="AK719" t="e">
        <f>VLOOKUP($J719,'[1]Table S6'!$A:$AI,28,FALSE)</f>
        <v>#N/A</v>
      </c>
      <c r="AL719" t="e">
        <f>VLOOKUP($J719,'[1]Table S6'!$A:$AI,29,FALSE)</f>
        <v>#N/A</v>
      </c>
      <c r="AM719" t="e">
        <f>VLOOKUP($J719,'[1]Table S6'!$A:$AI,30,FALSE)</f>
        <v>#N/A</v>
      </c>
      <c r="AO719" t="e">
        <f>VLOOKUP($J719,'[1]Table S6'!$A:$AI,32,FALSE)</f>
        <v>#N/A</v>
      </c>
      <c r="AP719" t="e">
        <f>VLOOKUP($J719,'[1]Table S6'!$A:$AI,33,FALSE)</f>
        <v>#N/A</v>
      </c>
      <c r="AQ719" t="e">
        <f>VLOOKUP($J719,'[1]Table S6'!$A:$AI,34,FALSE)</f>
        <v>#N/A</v>
      </c>
      <c r="AR719" t="e">
        <f>VLOOKUP($J719,'[1]Table S6'!$A:$AI,35,FALSE)</f>
        <v>#N/A</v>
      </c>
      <c r="AT719" t="e">
        <f>VLOOKUP($I719,'[2]Table S5'!$A:$K,8,FALSE)</f>
        <v>#N/A</v>
      </c>
      <c r="AU719" t="e">
        <f>VLOOKUP($I719,'[2]Table S5'!$A:$K,9,FALSE)</f>
        <v>#N/A</v>
      </c>
      <c r="AV719" t="e">
        <f>VLOOKUP($I719,'[2]Table S5'!$A:$K,10,FALSE)</f>
        <v>#N/A</v>
      </c>
      <c r="AW719" t="e">
        <f>VLOOKUP($I719,'[2]Table S5'!$A:$K,11,FALSE)</f>
        <v>#N/A</v>
      </c>
    </row>
    <row r="720" spans="1:49">
      <c r="A720" s="12" t="s">
        <v>4491</v>
      </c>
      <c r="B720" t="s">
        <v>4492</v>
      </c>
      <c r="C720" t="s">
        <v>4493</v>
      </c>
      <c r="D720" t="s">
        <v>17</v>
      </c>
      <c r="E720" t="s">
        <v>2507</v>
      </c>
      <c r="F720" s="12" t="s">
        <v>2508</v>
      </c>
      <c r="G720" t="s">
        <v>2509</v>
      </c>
      <c r="H720" t="s">
        <v>2510</v>
      </c>
      <c r="I720" t="s">
        <v>2511</v>
      </c>
      <c r="J720" t="s">
        <v>2511</v>
      </c>
      <c r="K720" t="e">
        <f>VLOOKUP($J720,'[1]Table S6'!$A:$AI,2,FALSE)</f>
        <v>#N/A</v>
      </c>
      <c r="L720" t="e">
        <f>VLOOKUP($J720,'[1]Table S6'!$A:$AI,3,FALSE)</f>
        <v>#N/A</v>
      </c>
      <c r="M720" t="e">
        <f>VLOOKUP($J720,'[1]Table S6'!$A:$AI,4,FALSE)</f>
        <v>#N/A</v>
      </c>
      <c r="N720" t="e">
        <f>VLOOKUP($J720,'[1]Table S6'!$A:$AI,5,FALSE)</f>
        <v>#N/A</v>
      </c>
      <c r="P720" t="e">
        <f>VLOOKUP($J720,'[1]Table S6'!$A:$AI,7,FALSE)</f>
        <v>#N/A</v>
      </c>
      <c r="Q720" t="e">
        <f>VLOOKUP($J720,'[1]Table S6'!$A:$AI,8,FALSE)</f>
        <v>#N/A</v>
      </c>
      <c r="R720" t="e">
        <f>VLOOKUP($J720,'[1]Table S6'!$A:$AI,9,FALSE)</f>
        <v>#N/A</v>
      </c>
      <c r="S720" t="e">
        <f>VLOOKUP($J720,'[1]Table S6'!$A:$AI,10,FALSE)</f>
        <v>#N/A</v>
      </c>
      <c r="U720" t="e">
        <f>VLOOKUP($J720,'[1]Table S6'!$A:$AI,12,FALSE)</f>
        <v>#N/A</v>
      </c>
      <c r="V720" t="e">
        <f>VLOOKUP($J720,'[1]Table S6'!$A:$AI,13,FALSE)</f>
        <v>#N/A</v>
      </c>
      <c r="W720" t="e">
        <f>VLOOKUP($J720,'[1]Table S6'!$A:$AI,14,FALSE)</f>
        <v>#N/A</v>
      </c>
      <c r="X720" t="e">
        <f>VLOOKUP($J720,'[1]Table S6'!$A:$AI,15,FALSE)</f>
        <v>#N/A</v>
      </c>
      <c r="Z720" t="e">
        <f>VLOOKUP($J720,'[1]Table S6'!$A:$AI,17,FALSE)</f>
        <v>#N/A</v>
      </c>
      <c r="AA720" t="e">
        <f>VLOOKUP($J720,'[1]Table S6'!$A:$AI,18,FALSE)</f>
        <v>#N/A</v>
      </c>
      <c r="AB720" t="e">
        <f>VLOOKUP($J720,'[1]Table S6'!$A:$AI,19,FALSE)</f>
        <v>#N/A</v>
      </c>
      <c r="AC720" t="e">
        <f>VLOOKUP($J720,'[1]Table S6'!$A:$AI,20,FALSE)</f>
        <v>#N/A</v>
      </c>
      <c r="AE720" t="e">
        <f>VLOOKUP($J720,'[1]Table S6'!$A:$AI,22,FALSE)</f>
        <v>#N/A</v>
      </c>
      <c r="AF720" t="e">
        <f>VLOOKUP($J720,'[1]Table S6'!$A:$AI,23,FALSE)</f>
        <v>#N/A</v>
      </c>
      <c r="AG720" t="e">
        <f>VLOOKUP($J720,'[1]Table S6'!$A:$AI,24,FALSE)</f>
        <v>#N/A</v>
      </c>
      <c r="AH720" t="e">
        <f>VLOOKUP($J720,'[1]Table S6'!$A:$AI,25,FALSE)</f>
        <v>#N/A</v>
      </c>
      <c r="AJ720" t="e">
        <f>VLOOKUP($J720,'[1]Table S6'!$A:$AI,27,FALSE)</f>
        <v>#N/A</v>
      </c>
      <c r="AK720" t="e">
        <f>VLOOKUP($J720,'[1]Table S6'!$A:$AI,28,FALSE)</f>
        <v>#N/A</v>
      </c>
      <c r="AL720" t="e">
        <f>VLOOKUP($J720,'[1]Table S6'!$A:$AI,29,FALSE)</f>
        <v>#N/A</v>
      </c>
      <c r="AM720" t="e">
        <f>VLOOKUP($J720,'[1]Table S6'!$A:$AI,30,FALSE)</f>
        <v>#N/A</v>
      </c>
      <c r="AO720" t="e">
        <f>VLOOKUP($J720,'[1]Table S6'!$A:$AI,32,FALSE)</f>
        <v>#N/A</v>
      </c>
      <c r="AP720" t="e">
        <f>VLOOKUP($J720,'[1]Table S6'!$A:$AI,33,FALSE)</f>
        <v>#N/A</v>
      </c>
      <c r="AQ720" t="e">
        <f>VLOOKUP($J720,'[1]Table S6'!$A:$AI,34,FALSE)</f>
        <v>#N/A</v>
      </c>
      <c r="AR720" t="e">
        <f>VLOOKUP($J720,'[1]Table S6'!$A:$AI,35,FALSE)</f>
        <v>#N/A</v>
      </c>
      <c r="AT720" t="e">
        <f>VLOOKUP($I720,'[2]Table S5'!$A:$K,8,FALSE)</f>
        <v>#N/A</v>
      </c>
      <c r="AU720" t="e">
        <f>VLOOKUP($I720,'[2]Table S5'!$A:$K,9,FALSE)</f>
        <v>#N/A</v>
      </c>
      <c r="AV720" t="e">
        <f>VLOOKUP($I720,'[2]Table S5'!$A:$K,10,FALSE)</f>
        <v>#N/A</v>
      </c>
      <c r="AW720" t="e">
        <f>VLOOKUP($I720,'[2]Table S5'!$A:$K,11,FALSE)</f>
        <v>#N/A</v>
      </c>
    </row>
    <row r="721" spans="1:49">
      <c r="A721" s="12" t="s">
        <v>4494</v>
      </c>
      <c r="B721" t="s">
        <v>4495</v>
      </c>
      <c r="C721" t="s">
        <v>4496</v>
      </c>
      <c r="D721" t="s">
        <v>17</v>
      </c>
      <c r="E721" t="s">
        <v>4497</v>
      </c>
      <c r="F721" s="12" t="s">
        <v>4498</v>
      </c>
      <c r="G721" t="s">
        <v>4499</v>
      </c>
      <c r="H721" t="s">
        <v>4500</v>
      </c>
      <c r="I721" t="s">
        <v>2511</v>
      </c>
      <c r="J721" t="s">
        <v>2511</v>
      </c>
      <c r="K721" t="e">
        <f>VLOOKUP($J721,'[1]Table S6'!$A:$AI,2,FALSE)</f>
        <v>#N/A</v>
      </c>
      <c r="L721" t="e">
        <f>VLOOKUP($J721,'[1]Table S6'!$A:$AI,3,FALSE)</f>
        <v>#N/A</v>
      </c>
      <c r="M721" t="e">
        <f>VLOOKUP($J721,'[1]Table S6'!$A:$AI,4,FALSE)</f>
        <v>#N/A</v>
      </c>
      <c r="N721" t="e">
        <f>VLOOKUP($J721,'[1]Table S6'!$A:$AI,5,FALSE)</f>
        <v>#N/A</v>
      </c>
      <c r="P721" t="e">
        <f>VLOOKUP($J721,'[1]Table S6'!$A:$AI,7,FALSE)</f>
        <v>#N/A</v>
      </c>
      <c r="Q721" t="e">
        <f>VLOOKUP($J721,'[1]Table S6'!$A:$AI,8,FALSE)</f>
        <v>#N/A</v>
      </c>
      <c r="R721" t="e">
        <f>VLOOKUP($J721,'[1]Table S6'!$A:$AI,9,FALSE)</f>
        <v>#N/A</v>
      </c>
      <c r="S721" t="e">
        <f>VLOOKUP($J721,'[1]Table S6'!$A:$AI,10,FALSE)</f>
        <v>#N/A</v>
      </c>
      <c r="U721" t="e">
        <f>VLOOKUP($J721,'[1]Table S6'!$A:$AI,12,FALSE)</f>
        <v>#N/A</v>
      </c>
      <c r="V721" t="e">
        <f>VLOOKUP($J721,'[1]Table S6'!$A:$AI,13,FALSE)</f>
        <v>#N/A</v>
      </c>
      <c r="W721" t="e">
        <f>VLOOKUP($J721,'[1]Table S6'!$A:$AI,14,FALSE)</f>
        <v>#N/A</v>
      </c>
      <c r="X721" t="e">
        <f>VLOOKUP($J721,'[1]Table S6'!$A:$AI,15,FALSE)</f>
        <v>#N/A</v>
      </c>
      <c r="Z721" t="e">
        <f>VLOOKUP($J721,'[1]Table S6'!$A:$AI,17,FALSE)</f>
        <v>#N/A</v>
      </c>
      <c r="AA721" t="e">
        <f>VLOOKUP($J721,'[1]Table S6'!$A:$AI,18,FALSE)</f>
        <v>#N/A</v>
      </c>
      <c r="AB721" t="e">
        <f>VLOOKUP($J721,'[1]Table S6'!$A:$AI,19,FALSE)</f>
        <v>#N/A</v>
      </c>
      <c r="AC721" t="e">
        <f>VLOOKUP($J721,'[1]Table S6'!$A:$AI,20,FALSE)</f>
        <v>#N/A</v>
      </c>
      <c r="AE721" t="e">
        <f>VLOOKUP($J721,'[1]Table S6'!$A:$AI,22,FALSE)</f>
        <v>#N/A</v>
      </c>
      <c r="AF721" t="e">
        <f>VLOOKUP($J721,'[1]Table S6'!$A:$AI,23,FALSE)</f>
        <v>#N/A</v>
      </c>
      <c r="AG721" t="e">
        <f>VLOOKUP($J721,'[1]Table S6'!$A:$AI,24,FALSE)</f>
        <v>#N/A</v>
      </c>
      <c r="AH721" t="e">
        <f>VLOOKUP($J721,'[1]Table S6'!$A:$AI,25,FALSE)</f>
        <v>#N/A</v>
      </c>
      <c r="AJ721" t="e">
        <f>VLOOKUP($J721,'[1]Table S6'!$A:$AI,27,FALSE)</f>
        <v>#N/A</v>
      </c>
      <c r="AK721" t="e">
        <f>VLOOKUP($J721,'[1]Table S6'!$A:$AI,28,FALSE)</f>
        <v>#N/A</v>
      </c>
      <c r="AL721" t="e">
        <f>VLOOKUP($J721,'[1]Table S6'!$A:$AI,29,FALSE)</f>
        <v>#N/A</v>
      </c>
      <c r="AM721" t="e">
        <f>VLOOKUP($J721,'[1]Table S6'!$A:$AI,30,FALSE)</f>
        <v>#N/A</v>
      </c>
      <c r="AO721" t="e">
        <f>VLOOKUP($J721,'[1]Table S6'!$A:$AI,32,FALSE)</f>
        <v>#N/A</v>
      </c>
      <c r="AP721" t="e">
        <f>VLOOKUP($J721,'[1]Table S6'!$A:$AI,33,FALSE)</f>
        <v>#N/A</v>
      </c>
      <c r="AQ721" t="e">
        <f>VLOOKUP($J721,'[1]Table S6'!$A:$AI,34,FALSE)</f>
        <v>#N/A</v>
      </c>
      <c r="AR721" t="e">
        <f>VLOOKUP($J721,'[1]Table S6'!$A:$AI,35,FALSE)</f>
        <v>#N/A</v>
      </c>
      <c r="AT721" t="e">
        <f>VLOOKUP($I721,'[2]Table S5'!$A:$K,8,FALSE)</f>
        <v>#N/A</v>
      </c>
      <c r="AU721" t="e">
        <f>VLOOKUP($I721,'[2]Table S5'!$A:$K,9,FALSE)</f>
        <v>#N/A</v>
      </c>
      <c r="AV721" t="e">
        <f>VLOOKUP($I721,'[2]Table S5'!$A:$K,10,FALSE)</f>
        <v>#N/A</v>
      </c>
      <c r="AW721" t="e">
        <f>VLOOKUP($I721,'[2]Table S5'!$A:$K,11,FALSE)</f>
        <v>#N/A</v>
      </c>
    </row>
    <row r="722" spans="1:49">
      <c r="A722" s="12" t="s">
        <v>4501</v>
      </c>
      <c r="B722" t="s">
        <v>4502</v>
      </c>
      <c r="C722" t="s">
        <v>4503</v>
      </c>
      <c r="D722" t="s">
        <v>17</v>
      </c>
      <c r="E722" t="s">
        <v>4504</v>
      </c>
      <c r="F722" s="12" t="s">
        <v>4505</v>
      </c>
      <c r="G722" t="s">
        <v>4506</v>
      </c>
      <c r="H722" t="s">
        <v>4507</v>
      </c>
      <c r="I722" t="s">
        <v>2533</v>
      </c>
      <c r="J722" t="s">
        <v>2533</v>
      </c>
      <c r="K722" t="e">
        <f>VLOOKUP($J722,'[1]Table S6'!$A:$AI,2,FALSE)</f>
        <v>#N/A</v>
      </c>
      <c r="L722" t="e">
        <f>VLOOKUP($J722,'[1]Table S6'!$A:$AI,3,FALSE)</f>
        <v>#N/A</v>
      </c>
      <c r="M722" t="e">
        <f>VLOOKUP($J722,'[1]Table S6'!$A:$AI,4,FALSE)</f>
        <v>#N/A</v>
      </c>
      <c r="N722" t="e">
        <f>VLOOKUP($J722,'[1]Table S6'!$A:$AI,5,FALSE)</f>
        <v>#N/A</v>
      </c>
      <c r="P722" t="e">
        <f>VLOOKUP($J722,'[1]Table S6'!$A:$AI,7,FALSE)</f>
        <v>#N/A</v>
      </c>
      <c r="Q722" t="e">
        <f>VLOOKUP($J722,'[1]Table S6'!$A:$AI,8,FALSE)</f>
        <v>#N/A</v>
      </c>
      <c r="R722" t="e">
        <f>VLOOKUP($J722,'[1]Table S6'!$A:$AI,9,FALSE)</f>
        <v>#N/A</v>
      </c>
      <c r="S722" t="e">
        <f>VLOOKUP($J722,'[1]Table S6'!$A:$AI,10,FALSE)</f>
        <v>#N/A</v>
      </c>
      <c r="U722" t="e">
        <f>VLOOKUP($J722,'[1]Table S6'!$A:$AI,12,FALSE)</f>
        <v>#N/A</v>
      </c>
      <c r="V722" t="e">
        <f>VLOOKUP($J722,'[1]Table S6'!$A:$AI,13,FALSE)</f>
        <v>#N/A</v>
      </c>
      <c r="W722" t="e">
        <f>VLOOKUP($J722,'[1]Table S6'!$A:$AI,14,FALSE)</f>
        <v>#N/A</v>
      </c>
      <c r="X722" t="e">
        <f>VLOOKUP($J722,'[1]Table S6'!$A:$AI,15,FALSE)</f>
        <v>#N/A</v>
      </c>
      <c r="Z722" t="e">
        <f>VLOOKUP($J722,'[1]Table S6'!$A:$AI,17,FALSE)</f>
        <v>#N/A</v>
      </c>
      <c r="AA722" t="e">
        <f>VLOOKUP($J722,'[1]Table S6'!$A:$AI,18,FALSE)</f>
        <v>#N/A</v>
      </c>
      <c r="AB722" t="e">
        <f>VLOOKUP($J722,'[1]Table S6'!$A:$AI,19,FALSE)</f>
        <v>#N/A</v>
      </c>
      <c r="AC722" t="e">
        <f>VLOOKUP($J722,'[1]Table S6'!$A:$AI,20,FALSE)</f>
        <v>#N/A</v>
      </c>
      <c r="AE722" t="e">
        <f>VLOOKUP($J722,'[1]Table S6'!$A:$AI,22,FALSE)</f>
        <v>#N/A</v>
      </c>
      <c r="AF722" t="e">
        <f>VLOOKUP($J722,'[1]Table S6'!$A:$AI,23,FALSE)</f>
        <v>#N/A</v>
      </c>
      <c r="AG722" t="e">
        <f>VLOOKUP($J722,'[1]Table S6'!$A:$AI,24,FALSE)</f>
        <v>#N/A</v>
      </c>
      <c r="AH722" t="e">
        <f>VLOOKUP($J722,'[1]Table S6'!$A:$AI,25,FALSE)</f>
        <v>#N/A</v>
      </c>
      <c r="AJ722" t="e">
        <f>VLOOKUP($J722,'[1]Table S6'!$A:$AI,27,FALSE)</f>
        <v>#N/A</v>
      </c>
      <c r="AK722" t="e">
        <f>VLOOKUP($J722,'[1]Table S6'!$A:$AI,28,FALSE)</f>
        <v>#N/A</v>
      </c>
      <c r="AL722" t="e">
        <f>VLOOKUP($J722,'[1]Table S6'!$A:$AI,29,FALSE)</f>
        <v>#N/A</v>
      </c>
      <c r="AM722" t="e">
        <f>VLOOKUP($J722,'[1]Table S6'!$A:$AI,30,FALSE)</f>
        <v>#N/A</v>
      </c>
      <c r="AO722" t="e">
        <f>VLOOKUP($J722,'[1]Table S6'!$A:$AI,32,FALSE)</f>
        <v>#N/A</v>
      </c>
      <c r="AP722" t="e">
        <f>VLOOKUP($J722,'[1]Table S6'!$A:$AI,33,FALSE)</f>
        <v>#N/A</v>
      </c>
      <c r="AQ722" t="e">
        <f>VLOOKUP($J722,'[1]Table S6'!$A:$AI,34,FALSE)</f>
        <v>#N/A</v>
      </c>
      <c r="AR722" t="e">
        <f>VLOOKUP($J722,'[1]Table S6'!$A:$AI,35,FALSE)</f>
        <v>#N/A</v>
      </c>
      <c r="AT722" t="e">
        <f>VLOOKUP($I722,'[2]Table S5'!$A:$K,8,FALSE)</f>
        <v>#N/A</v>
      </c>
      <c r="AU722" t="e">
        <f>VLOOKUP($I722,'[2]Table S5'!$A:$K,9,FALSE)</f>
        <v>#N/A</v>
      </c>
      <c r="AV722" t="e">
        <f>VLOOKUP($I722,'[2]Table S5'!$A:$K,10,FALSE)</f>
        <v>#N/A</v>
      </c>
      <c r="AW722" t="e">
        <f>VLOOKUP($I722,'[2]Table S5'!$A:$K,11,FALSE)</f>
        <v>#N/A</v>
      </c>
    </row>
    <row r="723" spans="1:49">
      <c r="A723" s="12" t="s">
        <v>4508</v>
      </c>
      <c r="B723" t="s">
        <v>4509</v>
      </c>
      <c r="C723" t="s">
        <v>4510</v>
      </c>
      <c r="D723" t="s">
        <v>17</v>
      </c>
      <c r="E723" t="s">
        <v>2529</v>
      </c>
      <c r="F723" s="12" t="s">
        <v>2530</v>
      </c>
      <c r="G723" t="s">
        <v>2531</v>
      </c>
      <c r="H723" t="s">
        <v>2532</v>
      </c>
      <c r="I723" t="s">
        <v>2533</v>
      </c>
      <c r="J723" t="s">
        <v>2533</v>
      </c>
      <c r="K723" t="e">
        <f>VLOOKUP($J723,'[1]Table S6'!$A:$AI,2,FALSE)</f>
        <v>#N/A</v>
      </c>
      <c r="L723" t="e">
        <f>VLOOKUP($J723,'[1]Table S6'!$A:$AI,3,FALSE)</f>
        <v>#N/A</v>
      </c>
      <c r="M723" t="e">
        <f>VLOOKUP($J723,'[1]Table S6'!$A:$AI,4,FALSE)</f>
        <v>#N/A</v>
      </c>
      <c r="N723" t="e">
        <f>VLOOKUP($J723,'[1]Table S6'!$A:$AI,5,FALSE)</f>
        <v>#N/A</v>
      </c>
      <c r="P723" t="e">
        <f>VLOOKUP($J723,'[1]Table S6'!$A:$AI,7,FALSE)</f>
        <v>#N/A</v>
      </c>
      <c r="Q723" t="e">
        <f>VLOOKUP($J723,'[1]Table S6'!$A:$AI,8,FALSE)</f>
        <v>#N/A</v>
      </c>
      <c r="R723" t="e">
        <f>VLOOKUP($J723,'[1]Table S6'!$A:$AI,9,FALSE)</f>
        <v>#N/A</v>
      </c>
      <c r="S723" t="e">
        <f>VLOOKUP($J723,'[1]Table S6'!$A:$AI,10,FALSE)</f>
        <v>#N/A</v>
      </c>
      <c r="U723" t="e">
        <f>VLOOKUP($J723,'[1]Table S6'!$A:$AI,12,FALSE)</f>
        <v>#N/A</v>
      </c>
      <c r="V723" t="e">
        <f>VLOOKUP($J723,'[1]Table S6'!$A:$AI,13,FALSE)</f>
        <v>#N/A</v>
      </c>
      <c r="W723" t="e">
        <f>VLOOKUP($J723,'[1]Table S6'!$A:$AI,14,FALSE)</f>
        <v>#N/A</v>
      </c>
      <c r="X723" t="e">
        <f>VLOOKUP($J723,'[1]Table S6'!$A:$AI,15,FALSE)</f>
        <v>#N/A</v>
      </c>
      <c r="Z723" t="e">
        <f>VLOOKUP($J723,'[1]Table S6'!$A:$AI,17,FALSE)</f>
        <v>#N/A</v>
      </c>
      <c r="AA723" t="e">
        <f>VLOOKUP($J723,'[1]Table S6'!$A:$AI,18,FALSE)</f>
        <v>#N/A</v>
      </c>
      <c r="AB723" t="e">
        <f>VLOOKUP($J723,'[1]Table S6'!$A:$AI,19,FALSE)</f>
        <v>#N/A</v>
      </c>
      <c r="AC723" t="e">
        <f>VLOOKUP($J723,'[1]Table S6'!$A:$AI,20,FALSE)</f>
        <v>#N/A</v>
      </c>
      <c r="AE723" t="e">
        <f>VLOOKUP($J723,'[1]Table S6'!$A:$AI,22,FALSE)</f>
        <v>#N/A</v>
      </c>
      <c r="AF723" t="e">
        <f>VLOOKUP($J723,'[1]Table S6'!$A:$AI,23,FALSE)</f>
        <v>#N/A</v>
      </c>
      <c r="AG723" t="e">
        <f>VLOOKUP($J723,'[1]Table S6'!$A:$AI,24,FALSE)</f>
        <v>#N/A</v>
      </c>
      <c r="AH723" t="e">
        <f>VLOOKUP($J723,'[1]Table S6'!$A:$AI,25,FALSE)</f>
        <v>#N/A</v>
      </c>
      <c r="AJ723" t="e">
        <f>VLOOKUP($J723,'[1]Table S6'!$A:$AI,27,FALSE)</f>
        <v>#N/A</v>
      </c>
      <c r="AK723" t="e">
        <f>VLOOKUP($J723,'[1]Table S6'!$A:$AI,28,FALSE)</f>
        <v>#N/A</v>
      </c>
      <c r="AL723" t="e">
        <f>VLOOKUP($J723,'[1]Table S6'!$A:$AI,29,FALSE)</f>
        <v>#N/A</v>
      </c>
      <c r="AM723" t="e">
        <f>VLOOKUP($J723,'[1]Table S6'!$A:$AI,30,FALSE)</f>
        <v>#N/A</v>
      </c>
      <c r="AO723" t="e">
        <f>VLOOKUP($J723,'[1]Table S6'!$A:$AI,32,FALSE)</f>
        <v>#N/A</v>
      </c>
      <c r="AP723" t="e">
        <f>VLOOKUP($J723,'[1]Table S6'!$A:$AI,33,FALSE)</f>
        <v>#N/A</v>
      </c>
      <c r="AQ723" t="e">
        <f>VLOOKUP($J723,'[1]Table S6'!$A:$AI,34,FALSE)</f>
        <v>#N/A</v>
      </c>
      <c r="AR723" t="e">
        <f>VLOOKUP($J723,'[1]Table S6'!$A:$AI,35,FALSE)</f>
        <v>#N/A</v>
      </c>
      <c r="AT723" t="e">
        <f>VLOOKUP($I723,'[2]Table S5'!$A:$K,8,FALSE)</f>
        <v>#N/A</v>
      </c>
      <c r="AU723" t="e">
        <f>VLOOKUP($I723,'[2]Table S5'!$A:$K,9,FALSE)</f>
        <v>#N/A</v>
      </c>
      <c r="AV723" t="e">
        <f>VLOOKUP($I723,'[2]Table S5'!$A:$K,10,FALSE)</f>
        <v>#N/A</v>
      </c>
      <c r="AW723" t="e">
        <f>VLOOKUP($I723,'[2]Table S5'!$A:$K,11,FALSE)</f>
        <v>#N/A</v>
      </c>
    </row>
    <row r="724" spans="1:49">
      <c r="A724" s="12" t="s">
        <v>4511</v>
      </c>
      <c r="B724" t="s">
        <v>4512</v>
      </c>
      <c r="C724" t="s">
        <v>4513</v>
      </c>
      <c r="D724" t="s">
        <v>17</v>
      </c>
      <c r="E724" t="s">
        <v>2551</v>
      </c>
      <c r="F724" s="12" t="s">
        <v>2552</v>
      </c>
      <c r="G724" t="s">
        <v>2553</v>
      </c>
      <c r="H724" t="s">
        <v>2554</v>
      </c>
      <c r="I724" t="s">
        <v>2555</v>
      </c>
      <c r="J724" t="s">
        <v>2556</v>
      </c>
      <c r="K724" t="e">
        <f>VLOOKUP($J724,'[1]Table S6'!$A:$AI,2,FALSE)</f>
        <v>#N/A</v>
      </c>
      <c r="L724" t="e">
        <f>VLOOKUP($J724,'[1]Table S6'!$A:$AI,3,FALSE)</f>
        <v>#N/A</v>
      </c>
      <c r="M724" t="e">
        <f>VLOOKUP($J724,'[1]Table S6'!$A:$AI,4,FALSE)</f>
        <v>#N/A</v>
      </c>
      <c r="N724" t="e">
        <f>VLOOKUP($J724,'[1]Table S6'!$A:$AI,5,FALSE)</f>
        <v>#N/A</v>
      </c>
      <c r="P724" t="e">
        <f>VLOOKUP($J724,'[1]Table S6'!$A:$AI,7,FALSE)</f>
        <v>#N/A</v>
      </c>
      <c r="Q724" t="e">
        <f>VLOOKUP($J724,'[1]Table S6'!$A:$AI,8,FALSE)</f>
        <v>#N/A</v>
      </c>
      <c r="R724" t="e">
        <f>VLOOKUP($J724,'[1]Table S6'!$A:$AI,9,FALSE)</f>
        <v>#N/A</v>
      </c>
      <c r="S724" t="e">
        <f>VLOOKUP($J724,'[1]Table S6'!$A:$AI,10,FALSE)</f>
        <v>#N/A</v>
      </c>
      <c r="U724" t="e">
        <f>VLOOKUP($J724,'[1]Table S6'!$A:$AI,12,FALSE)</f>
        <v>#N/A</v>
      </c>
      <c r="V724" t="e">
        <f>VLOOKUP($J724,'[1]Table S6'!$A:$AI,13,FALSE)</f>
        <v>#N/A</v>
      </c>
      <c r="W724" t="e">
        <f>VLOOKUP($J724,'[1]Table S6'!$A:$AI,14,FALSE)</f>
        <v>#N/A</v>
      </c>
      <c r="X724" t="e">
        <f>VLOOKUP($J724,'[1]Table S6'!$A:$AI,15,FALSE)</f>
        <v>#N/A</v>
      </c>
      <c r="Z724" t="e">
        <f>VLOOKUP($J724,'[1]Table S6'!$A:$AI,17,FALSE)</f>
        <v>#N/A</v>
      </c>
      <c r="AA724" t="e">
        <f>VLOOKUP($J724,'[1]Table S6'!$A:$AI,18,FALSE)</f>
        <v>#N/A</v>
      </c>
      <c r="AB724" t="e">
        <f>VLOOKUP($J724,'[1]Table S6'!$A:$AI,19,FALSE)</f>
        <v>#N/A</v>
      </c>
      <c r="AC724" t="e">
        <f>VLOOKUP($J724,'[1]Table S6'!$A:$AI,20,FALSE)</f>
        <v>#N/A</v>
      </c>
      <c r="AE724" t="e">
        <f>VLOOKUP($J724,'[1]Table S6'!$A:$AI,22,FALSE)</f>
        <v>#N/A</v>
      </c>
      <c r="AF724" t="e">
        <f>VLOOKUP($J724,'[1]Table S6'!$A:$AI,23,FALSE)</f>
        <v>#N/A</v>
      </c>
      <c r="AG724" t="e">
        <f>VLOOKUP($J724,'[1]Table S6'!$A:$AI,24,FALSE)</f>
        <v>#N/A</v>
      </c>
      <c r="AH724" t="e">
        <f>VLOOKUP($J724,'[1]Table S6'!$A:$AI,25,FALSE)</f>
        <v>#N/A</v>
      </c>
      <c r="AJ724" t="e">
        <f>VLOOKUP($J724,'[1]Table S6'!$A:$AI,27,FALSE)</f>
        <v>#N/A</v>
      </c>
      <c r="AK724" t="e">
        <f>VLOOKUP($J724,'[1]Table S6'!$A:$AI,28,FALSE)</f>
        <v>#N/A</v>
      </c>
      <c r="AL724" t="e">
        <f>VLOOKUP($J724,'[1]Table S6'!$A:$AI,29,FALSE)</f>
        <v>#N/A</v>
      </c>
      <c r="AM724" t="e">
        <f>VLOOKUP($J724,'[1]Table S6'!$A:$AI,30,FALSE)</f>
        <v>#N/A</v>
      </c>
      <c r="AO724" t="e">
        <f>VLOOKUP($J724,'[1]Table S6'!$A:$AI,32,FALSE)</f>
        <v>#N/A</v>
      </c>
      <c r="AP724" t="e">
        <f>VLOOKUP($J724,'[1]Table S6'!$A:$AI,33,FALSE)</f>
        <v>#N/A</v>
      </c>
      <c r="AQ724" t="e">
        <f>VLOOKUP($J724,'[1]Table S6'!$A:$AI,34,FALSE)</f>
        <v>#N/A</v>
      </c>
      <c r="AR724" t="e">
        <f>VLOOKUP($J724,'[1]Table S6'!$A:$AI,35,FALSE)</f>
        <v>#N/A</v>
      </c>
      <c r="AT724" t="e">
        <f>VLOOKUP($I724,'[2]Table S5'!$A:$K,8,FALSE)</f>
        <v>#N/A</v>
      </c>
      <c r="AU724" t="e">
        <f>VLOOKUP($I724,'[2]Table S5'!$A:$K,9,FALSE)</f>
        <v>#N/A</v>
      </c>
      <c r="AV724" t="e">
        <f>VLOOKUP($I724,'[2]Table S5'!$A:$K,10,FALSE)</f>
        <v>#N/A</v>
      </c>
      <c r="AW724" t="e">
        <f>VLOOKUP($I724,'[2]Table S5'!$A:$K,11,FALSE)</f>
        <v>#N/A</v>
      </c>
    </row>
    <row r="725" spans="1:49">
      <c r="A725" s="12" t="s">
        <v>4514</v>
      </c>
      <c r="B725" t="s">
        <v>4515</v>
      </c>
      <c r="C725" t="s">
        <v>4516</v>
      </c>
      <c r="D725" t="s">
        <v>17</v>
      </c>
      <c r="E725" t="s">
        <v>4517</v>
      </c>
      <c r="F725" s="12" t="s">
        <v>4518</v>
      </c>
      <c r="G725" t="s">
        <v>4519</v>
      </c>
      <c r="H725" t="s">
        <v>4520</v>
      </c>
      <c r="I725" t="s">
        <v>2555</v>
      </c>
      <c r="J725" t="s">
        <v>4521</v>
      </c>
      <c r="K725" t="e">
        <f>VLOOKUP($J725,'[1]Table S6'!$A:$AI,2,FALSE)</f>
        <v>#N/A</v>
      </c>
      <c r="L725" t="e">
        <f>VLOOKUP($J725,'[1]Table S6'!$A:$AI,3,FALSE)</f>
        <v>#N/A</v>
      </c>
      <c r="M725" t="e">
        <f>VLOOKUP($J725,'[1]Table S6'!$A:$AI,4,FALSE)</f>
        <v>#N/A</v>
      </c>
      <c r="N725" t="e">
        <f>VLOOKUP($J725,'[1]Table S6'!$A:$AI,5,FALSE)</f>
        <v>#N/A</v>
      </c>
      <c r="P725" t="e">
        <f>VLOOKUP($J725,'[1]Table S6'!$A:$AI,7,FALSE)</f>
        <v>#N/A</v>
      </c>
      <c r="Q725" t="e">
        <f>VLOOKUP($J725,'[1]Table S6'!$A:$AI,8,FALSE)</f>
        <v>#N/A</v>
      </c>
      <c r="R725" t="e">
        <f>VLOOKUP($J725,'[1]Table S6'!$A:$AI,9,FALSE)</f>
        <v>#N/A</v>
      </c>
      <c r="S725" t="e">
        <f>VLOOKUP($J725,'[1]Table S6'!$A:$AI,10,FALSE)</f>
        <v>#N/A</v>
      </c>
      <c r="U725" t="e">
        <f>VLOOKUP($J725,'[1]Table S6'!$A:$AI,12,FALSE)</f>
        <v>#N/A</v>
      </c>
      <c r="V725" t="e">
        <f>VLOOKUP($J725,'[1]Table S6'!$A:$AI,13,FALSE)</f>
        <v>#N/A</v>
      </c>
      <c r="W725" t="e">
        <f>VLOOKUP($J725,'[1]Table S6'!$A:$AI,14,FALSE)</f>
        <v>#N/A</v>
      </c>
      <c r="X725" t="e">
        <f>VLOOKUP($J725,'[1]Table S6'!$A:$AI,15,FALSE)</f>
        <v>#N/A</v>
      </c>
      <c r="Z725" t="e">
        <f>VLOOKUP($J725,'[1]Table S6'!$A:$AI,17,FALSE)</f>
        <v>#N/A</v>
      </c>
      <c r="AA725" t="e">
        <f>VLOOKUP($J725,'[1]Table S6'!$A:$AI,18,FALSE)</f>
        <v>#N/A</v>
      </c>
      <c r="AB725" t="e">
        <f>VLOOKUP($J725,'[1]Table S6'!$A:$AI,19,FALSE)</f>
        <v>#N/A</v>
      </c>
      <c r="AC725" t="e">
        <f>VLOOKUP($J725,'[1]Table S6'!$A:$AI,20,FALSE)</f>
        <v>#N/A</v>
      </c>
      <c r="AE725" t="e">
        <f>VLOOKUP($J725,'[1]Table S6'!$A:$AI,22,FALSE)</f>
        <v>#N/A</v>
      </c>
      <c r="AF725" t="e">
        <f>VLOOKUP($J725,'[1]Table S6'!$A:$AI,23,FALSE)</f>
        <v>#N/A</v>
      </c>
      <c r="AG725" t="e">
        <f>VLOOKUP($J725,'[1]Table S6'!$A:$AI,24,FALSE)</f>
        <v>#N/A</v>
      </c>
      <c r="AH725" t="e">
        <f>VLOOKUP($J725,'[1]Table S6'!$A:$AI,25,FALSE)</f>
        <v>#N/A</v>
      </c>
      <c r="AJ725" t="e">
        <f>VLOOKUP($J725,'[1]Table S6'!$A:$AI,27,FALSE)</f>
        <v>#N/A</v>
      </c>
      <c r="AK725" t="e">
        <f>VLOOKUP($J725,'[1]Table S6'!$A:$AI,28,FALSE)</f>
        <v>#N/A</v>
      </c>
      <c r="AL725" t="e">
        <f>VLOOKUP($J725,'[1]Table S6'!$A:$AI,29,FALSE)</f>
        <v>#N/A</v>
      </c>
      <c r="AM725" t="e">
        <f>VLOOKUP($J725,'[1]Table S6'!$A:$AI,30,FALSE)</f>
        <v>#N/A</v>
      </c>
      <c r="AO725" t="e">
        <f>VLOOKUP($J725,'[1]Table S6'!$A:$AI,32,FALSE)</f>
        <v>#N/A</v>
      </c>
      <c r="AP725" t="e">
        <f>VLOOKUP($J725,'[1]Table S6'!$A:$AI,33,FALSE)</f>
        <v>#N/A</v>
      </c>
      <c r="AQ725" t="e">
        <f>VLOOKUP($J725,'[1]Table S6'!$A:$AI,34,FALSE)</f>
        <v>#N/A</v>
      </c>
      <c r="AR725" t="e">
        <f>VLOOKUP($J725,'[1]Table S6'!$A:$AI,35,FALSE)</f>
        <v>#N/A</v>
      </c>
      <c r="AT725" t="e">
        <f>VLOOKUP($I725,'[2]Table S5'!$A:$K,8,FALSE)</f>
        <v>#N/A</v>
      </c>
      <c r="AU725" t="e">
        <f>VLOOKUP($I725,'[2]Table S5'!$A:$K,9,FALSE)</f>
        <v>#N/A</v>
      </c>
      <c r="AV725" t="e">
        <f>VLOOKUP($I725,'[2]Table S5'!$A:$K,10,FALSE)</f>
        <v>#N/A</v>
      </c>
      <c r="AW725" t="e">
        <f>VLOOKUP($I725,'[2]Table S5'!$A:$K,11,FALSE)</f>
        <v>#N/A</v>
      </c>
    </row>
    <row r="726" spans="1:49">
      <c r="A726" s="12" t="s">
        <v>4522</v>
      </c>
      <c r="B726" t="s">
        <v>4523</v>
      </c>
      <c r="C726" t="s">
        <v>4524</v>
      </c>
      <c r="D726" t="s">
        <v>17</v>
      </c>
      <c r="E726" t="s">
        <v>2560</v>
      </c>
      <c r="F726" s="12" t="s">
        <v>2561</v>
      </c>
      <c r="G726" t="s">
        <v>2562</v>
      </c>
      <c r="H726" t="s">
        <v>2563</v>
      </c>
      <c r="I726" t="s">
        <v>2555</v>
      </c>
      <c r="J726" t="s">
        <v>2564</v>
      </c>
      <c r="K726" t="e">
        <f>VLOOKUP($J726,'[1]Table S6'!$A:$AI,2,FALSE)</f>
        <v>#N/A</v>
      </c>
      <c r="L726" t="e">
        <f>VLOOKUP($J726,'[1]Table S6'!$A:$AI,3,FALSE)</f>
        <v>#N/A</v>
      </c>
      <c r="M726" t="e">
        <f>VLOOKUP($J726,'[1]Table S6'!$A:$AI,4,FALSE)</f>
        <v>#N/A</v>
      </c>
      <c r="N726" t="e">
        <f>VLOOKUP($J726,'[1]Table S6'!$A:$AI,5,FALSE)</f>
        <v>#N/A</v>
      </c>
      <c r="P726" t="e">
        <f>VLOOKUP($J726,'[1]Table S6'!$A:$AI,7,FALSE)</f>
        <v>#N/A</v>
      </c>
      <c r="Q726" t="e">
        <f>VLOOKUP($J726,'[1]Table S6'!$A:$AI,8,FALSE)</f>
        <v>#N/A</v>
      </c>
      <c r="R726" t="e">
        <f>VLOOKUP($J726,'[1]Table S6'!$A:$AI,9,FALSE)</f>
        <v>#N/A</v>
      </c>
      <c r="S726" t="e">
        <f>VLOOKUP($J726,'[1]Table S6'!$A:$AI,10,FALSE)</f>
        <v>#N/A</v>
      </c>
      <c r="U726" t="e">
        <f>VLOOKUP($J726,'[1]Table S6'!$A:$AI,12,FALSE)</f>
        <v>#N/A</v>
      </c>
      <c r="V726" t="e">
        <f>VLOOKUP($J726,'[1]Table S6'!$A:$AI,13,FALSE)</f>
        <v>#N/A</v>
      </c>
      <c r="W726" t="e">
        <f>VLOOKUP($J726,'[1]Table S6'!$A:$AI,14,FALSE)</f>
        <v>#N/A</v>
      </c>
      <c r="X726" t="e">
        <f>VLOOKUP($J726,'[1]Table S6'!$A:$AI,15,FALSE)</f>
        <v>#N/A</v>
      </c>
      <c r="Z726" t="e">
        <f>VLOOKUP($J726,'[1]Table S6'!$A:$AI,17,FALSE)</f>
        <v>#N/A</v>
      </c>
      <c r="AA726" t="e">
        <f>VLOOKUP($J726,'[1]Table S6'!$A:$AI,18,FALSE)</f>
        <v>#N/A</v>
      </c>
      <c r="AB726" t="e">
        <f>VLOOKUP($J726,'[1]Table S6'!$A:$AI,19,FALSE)</f>
        <v>#N/A</v>
      </c>
      <c r="AC726" t="e">
        <f>VLOOKUP($J726,'[1]Table S6'!$A:$AI,20,FALSE)</f>
        <v>#N/A</v>
      </c>
      <c r="AE726" t="e">
        <f>VLOOKUP($J726,'[1]Table S6'!$A:$AI,22,FALSE)</f>
        <v>#N/A</v>
      </c>
      <c r="AF726" t="e">
        <f>VLOOKUP($J726,'[1]Table S6'!$A:$AI,23,FALSE)</f>
        <v>#N/A</v>
      </c>
      <c r="AG726" t="e">
        <f>VLOOKUP($J726,'[1]Table S6'!$A:$AI,24,FALSE)</f>
        <v>#N/A</v>
      </c>
      <c r="AH726" t="e">
        <f>VLOOKUP($J726,'[1]Table S6'!$A:$AI,25,FALSE)</f>
        <v>#N/A</v>
      </c>
      <c r="AJ726" t="e">
        <f>VLOOKUP($J726,'[1]Table S6'!$A:$AI,27,FALSE)</f>
        <v>#N/A</v>
      </c>
      <c r="AK726" t="e">
        <f>VLOOKUP($J726,'[1]Table S6'!$A:$AI,28,FALSE)</f>
        <v>#N/A</v>
      </c>
      <c r="AL726" t="e">
        <f>VLOOKUP($J726,'[1]Table S6'!$A:$AI,29,FALSE)</f>
        <v>#N/A</v>
      </c>
      <c r="AM726" t="e">
        <f>VLOOKUP($J726,'[1]Table S6'!$A:$AI,30,FALSE)</f>
        <v>#N/A</v>
      </c>
      <c r="AO726" t="e">
        <f>VLOOKUP($J726,'[1]Table S6'!$A:$AI,32,FALSE)</f>
        <v>#N/A</v>
      </c>
      <c r="AP726" t="e">
        <f>VLOOKUP($J726,'[1]Table S6'!$A:$AI,33,FALSE)</f>
        <v>#N/A</v>
      </c>
      <c r="AQ726" t="e">
        <f>VLOOKUP($J726,'[1]Table S6'!$A:$AI,34,FALSE)</f>
        <v>#N/A</v>
      </c>
      <c r="AR726" t="e">
        <f>VLOOKUP($J726,'[1]Table S6'!$A:$AI,35,FALSE)</f>
        <v>#N/A</v>
      </c>
      <c r="AT726" t="e">
        <f>VLOOKUP($I726,'[2]Table S5'!$A:$K,8,FALSE)</f>
        <v>#N/A</v>
      </c>
      <c r="AU726" t="e">
        <f>VLOOKUP($I726,'[2]Table S5'!$A:$K,9,FALSE)</f>
        <v>#N/A</v>
      </c>
      <c r="AV726" t="e">
        <f>VLOOKUP($I726,'[2]Table S5'!$A:$K,10,FALSE)</f>
        <v>#N/A</v>
      </c>
      <c r="AW726" t="e">
        <f>VLOOKUP($I726,'[2]Table S5'!$A:$K,11,FALSE)</f>
        <v>#N/A</v>
      </c>
    </row>
    <row r="727" spans="1:49">
      <c r="A727" s="12" t="s">
        <v>4525</v>
      </c>
      <c r="B727" t="s">
        <v>4526</v>
      </c>
      <c r="C727" t="s">
        <v>4527</v>
      </c>
      <c r="D727" t="s">
        <v>17</v>
      </c>
      <c r="E727" t="s">
        <v>4528</v>
      </c>
      <c r="F727" s="12" t="s">
        <v>4529</v>
      </c>
      <c r="G727" t="s">
        <v>4530</v>
      </c>
      <c r="H727" t="s">
        <v>4531</v>
      </c>
      <c r="I727" t="s">
        <v>2555</v>
      </c>
      <c r="J727" t="s">
        <v>2556</v>
      </c>
      <c r="K727" t="e">
        <f>VLOOKUP($J727,'[1]Table S6'!$A:$AI,2,FALSE)</f>
        <v>#N/A</v>
      </c>
      <c r="L727" t="e">
        <f>VLOOKUP($J727,'[1]Table S6'!$A:$AI,3,FALSE)</f>
        <v>#N/A</v>
      </c>
      <c r="M727" t="e">
        <f>VLOOKUP($J727,'[1]Table S6'!$A:$AI,4,FALSE)</f>
        <v>#N/A</v>
      </c>
      <c r="N727" t="e">
        <f>VLOOKUP($J727,'[1]Table S6'!$A:$AI,5,FALSE)</f>
        <v>#N/A</v>
      </c>
      <c r="P727" t="e">
        <f>VLOOKUP($J727,'[1]Table S6'!$A:$AI,7,FALSE)</f>
        <v>#N/A</v>
      </c>
      <c r="Q727" t="e">
        <f>VLOOKUP($J727,'[1]Table S6'!$A:$AI,8,FALSE)</f>
        <v>#N/A</v>
      </c>
      <c r="R727" t="e">
        <f>VLOOKUP($J727,'[1]Table S6'!$A:$AI,9,FALSE)</f>
        <v>#N/A</v>
      </c>
      <c r="S727" t="e">
        <f>VLOOKUP($J727,'[1]Table S6'!$A:$AI,10,FALSE)</f>
        <v>#N/A</v>
      </c>
      <c r="U727" t="e">
        <f>VLOOKUP($J727,'[1]Table S6'!$A:$AI,12,FALSE)</f>
        <v>#N/A</v>
      </c>
      <c r="V727" t="e">
        <f>VLOOKUP($J727,'[1]Table S6'!$A:$AI,13,FALSE)</f>
        <v>#N/A</v>
      </c>
      <c r="W727" t="e">
        <f>VLOOKUP($J727,'[1]Table S6'!$A:$AI,14,FALSE)</f>
        <v>#N/A</v>
      </c>
      <c r="X727" t="e">
        <f>VLOOKUP($J727,'[1]Table S6'!$A:$AI,15,FALSE)</f>
        <v>#N/A</v>
      </c>
      <c r="Z727" t="e">
        <f>VLOOKUP($J727,'[1]Table S6'!$A:$AI,17,FALSE)</f>
        <v>#N/A</v>
      </c>
      <c r="AA727" t="e">
        <f>VLOOKUP($J727,'[1]Table S6'!$A:$AI,18,FALSE)</f>
        <v>#N/A</v>
      </c>
      <c r="AB727" t="e">
        <f>VLOOKUP($J727,'[1]Table S6'!$A:$AI,19,FALSE)</f>
        <v>#N/A</v>
      </c>
      <c r="AC727" t="e">
        <f>VLOOKUP($J727,'[1]Table S6'!$A:$AI,20,FALSE)</f>
        <v>#N/A</v>
      </c>
      <c r="AE727" t="e">
        <f>VLOOKUP($J727,'[1]Table S6'!$A:$AI,22,FALSE)</f>
        <v>#N/A</v>
      </c>
      <c r="AF727" t="e">
        <f>VLOOKUP($J727,'[1]Table S6'!$A:$AI,23,FALSE)</f>
        <v>#N/A</v>
      </c>
      <c r="AG727" t="e">
        <f>VLOOKUP($J727,'[1]Table S6'!$A:$AI,24,FALSE)</f>
        <v>#N/A</v>
      </c>
      <c r="AH727" t="e">
        <f>VLOOKUP($J727,'[1]Table S6'!$A:$AI,25,FALSE)</f>
        <v>#N/A</v>
      </c>
      <c r="AJ727" t="e">
        <f>VLOOKUP($J727,'[1]Table S6'!$A:$AI,27,FALSE)</f>
        <v>#N/A</v>
      </c>
      <c r="AK727" t="e">
        <f>VLOOKUP($J727,'[1]Table S6'!$A:$AI,28,FALSE)</f>
        <v>#N/A</v>
      </c>
      <c r="AL727" t="e">
        <f>VLOOKUP($J727,'[1]Table S6'!$A:$AI,29,FALSE)</f>
        <v>#N/A</v>
      </c>
      <c r="AM727" t="e">
        <f>VLOOKUP($J727,'[1]Table S6'!$A:$AI,30,FALSE)</f>
        <v>#N/A</v>
      </c>
      <c r="AO727" t="e">
        <f>VLOOKUP($J727,'[1]Table S6'!$A:$AI,32,FALSE)</f>
        <v>#N/A</v>
      </c>
      <c r="AP727" t="e">
        <f>VLOOKUP($J727,'[1]Table S6'!$A:$AI,33,FALSE)</f>
        <v>#N/A</v>
      </c>
      <c r="AQ727" t="e">
        <f>VLOOKUP($J727,'[1]Table S6'!$A:$AI,34,FALSE)</f>
        <v>#N/A</v>
      </c>
      <c r="AR727" t="e">
        <f>VLOOKUP($J727,'[1]Table S6'!$A:$AI,35,FALSE)</f>
        <v>#N/A</v>
      </c>
      <c r="AT727" t="e">
        <f>VLOOKUP($I727,'[2]Table S5'!$A:$K,8,FALSE)</f>
        <v>#N/A</v>
      </c>
      <c r="AU727" t="e">
        <f>VLOOKUP($I727,'[2]Table S5'!$A:$K,9,FALSE)</f>
        <v>#N/A</v>
      </c>
      <c r="AV727" t="e">
        <f>VLOOKUP($I727,'[2]Table S5'!$A:$K,10,FALSE)</f>
        <v>#N/A</v>
      </c>
      <c r="AW727" t="e">
        <f>VLOOKUP($I727,'[2]Table S5'!$A:$K,11,FALSE)</f>
        <v>#N/A</v>
      </c>
    </row>
    <row r="728" spans="1:49">
      <c r="A728" s="12" t="s">
        <v>4532</v>
      </c>
      <c r="B728" t="s">
        <v>4533</v>
      </c>
      <c r="C728" t="s">
        <v>4534</v>
      </c>
      <c r="D728" t="s">
        <v>17</v>
      </c>
      <c r="E728" t="s">
        <v>4535</v>
      </c>
      <c r="F728" s="12" t="s">
        <v>4536</v>
      </c>
      <c r="G728" t="s">
        <v>4537</v>
      </c>
      <c r="H728" t="s">
        <v>4538</v>
      </c>
      <c r="I728" t="s">
        <v>2572</v>
      </c>
      <c r="J728" t="s">
        <v>2572</v>
      </c>
      <c r="K728" t="e">
        <f>VLOOKUP($J728,'[1]Table S6'!$A:$AI,2,FALSE)</f>
        <v>#N/A</v>
      </c>
      <c r="L728" t="e">
        <f>VLOOKUP($J728,'[1]Table S6'!$A:$AI,3,FALSE)</f>
        <v>#N/A</v>
      </c>
      <c r="M728" t="e">
        <f>VLOOKUP($J728,'[1]Table S6'!$A:$AI,4,FALSE)</f>
        <v>#N/A</v>
      </c>
      <c r="N728" t="e">
        <f>VLOOKUP($J728,'[1]Table S6'!$A:$AI,5,FALSE)</f>
        <v>#N/A</v>
      </c>
      <c r="P728" t="e">
        <f>VLOOKUP($J728,'[1]Table S6'!$A:$AI,7,FALSE)</f>
        <v>#N/A</v>
      </c>
      <c r="Q728" t="e">
        <f>VLOOKUP($J728,'[1]Table S6'!$A:$AI,8,FALSE)</f>
        <v>#N/A</v>
      </c>
      <c r="R728" t="e">
        <f>VLOOKUP($J728,'[1]Table S6'!$A:$AI,9,FALSE)</f>
        <v>#N/A</v>
      </c>
      <c r="S728" t="e">
        <f>VLOOKUP($J728,'[1]Table S6'!$A:$AI,10,FALSE)</f>
        <v>#N/A</v>
      </c>
      <c r="U728" t="e">
        <f>VLOOKUP($J728,'[1]Table S6'!$A:$AI,12,FALSE)</f>
        <v>#N/A</v>
      </c>
      <c r="V728" t="e">
        <f>VLOOKUP($J728,'[1]Table S6'!$A:$AI,13,FALSE)</f>
        <v>#N/A</v>
      </c>
      <c r="W728" t="e">
        <f>VLOOKUP($J728,'[1]Table S6'!$A:$AI,14,FALSE)</f>
        <v>#N/A</v>
      </c>
      <c r="X728" t="e">
        <f>VLOOKUP($J728,'[1]Table S6'!$A:$AI,15,FALSE)</f>
        <v>#N/A</v>
      </c>
      <c r="Z728" t="e">
        <f>VLOOKUP($J728,'[1]Table S6'!$A:$AI,17,FALSE)</f>
        <v>#N/A</v>
      </c>
      <c r="AA728" t="e">
        <f>VLOOKUP($J728,'[1]Table S6'!$A:$AI,18,FALSE)</f>
        <v>#N/A</v>
      </c>
      <c r="AB728" t="e">
        <f>VLOOKUP($J728,'[1]Table S6'!$A:$AI,19,FALSE)</f>
        <v>#N/A</v>
      </c>
      <c r="AC728" t="e">
        <f>VLOOKUP($J728,'[1]Table S6'!$A:$AI,20,FALSE)</f>
        <v>#N/A</v>
      </c>
      <c r="AE728" t="e">
        <f>VLOOKUP($J728,'[1]Table S6'!$A:$AI,22,FALSE)</f>
        <v>#N/A</v>
      </c>
      <c r="AF728" t="e">
        <f>VLOOKUP($J728,'[1]Table S6'!$A:$AI,23,FALSE)</f>
        <v>#N/A</v>
      </c>
      <c r="AG728" t="e">
        <f>VLOOKUP($J728,'[1]Table S6'!$A:$AI,24,FALSE)</f>
        <v>#N/A</v>
      </c>
      <c r="AH728" t="e">
        <f>VLOOKUP($J728,'[1]Table S6'!$A:$AI,25,FALSE)</f>
        <v>#N/A</v>
      </c>
      <c r="AJ728" t="e">
        <f>VLOOKUP($J728,'[1]Table S6'!$A:$AI,27,FALSE)</f>
        <v>#N/A</v>
      </c>
      <c r="AK728" t="e">
        <f>VLOOKUP($J728,'[1]Table S6'!$A:$AI,28,FALSE)</f>
        <v>#N/A</v>
      </c>
      <c r="AL728" t="e">
        <f>VLOOKUP($J728,'[1]Table S6'!$A:$AI,29,FALSE)</f>
        <v>#N/A</v>
      </c>
      <c r="AM728" t="e">
        <f>VLOOKUP($J728,'[1]Table S6'!$A:$AI,30,FALSE)</f>
        <v>#N/A</v>
      </c>
      <c r="AO728" t="e">
        <f>VLOOKUP($J728,'[1]Table S6'!$A:$AI,32,FALSE)</f>
        <v>#N/A</v>
      </c>
      <c r="AP728" t="e">
        <f>VLOOKUP($J728,'[1]Table S6'!$A:$AI,33,FALSE)</f>
        <v>#N/A</v>
      </c>
      <c r="AQ728" t="e">
        <f>VLOOKUP($J728,'[1]Table S6'!$A:$AI,34,FALSE)</f>
        <v>#N/A</v>
      </c>
      <c r="AR728" t="e">
        <f>VLOOKUP($J728,'[1]Table S6'!$A:$AI,35,FALSE)</f>
        <v>#N/A</v>
      </c>
      <c r="AT728" t="e">
        <f>VLOOKUP($I728,'[2]Table S5'!$A:$K,8,FALSE)</f>
        <v>#N/A</v>
      </c>
      <c r="AU728" t="e">
        <f>VLOOKUP($I728,'[2]Table S5'!$A:$K,9,FALSE)</f>
        <v>#N/A</v>
      </c>
      <c r="AV728" t="e">
        <f>VLOOKUP($I728,'[2]Table S5'!$A:$K,10,FALSE)</f>
        <v>#N/A</v>
      </c>
      <c r="AW728" t="e">
        <f>VLOOKUP($I728,'[2]Table S5'!$A:$K,11,FALSE)</f>
        <v>#N/A</v>
      </c>
    </row>
    <row r="729" spans="1:49">
      <c r="A729" s="12" t="s">
        <v>4546</v>
      </c>
      <c r="B729" t="s">
        <v>4539</v>
      </c>
      <c r="C729" t="s">
        <v>4540</v>
      </c>
      <c r="D729" t="s">
        <v>17</v>
      </c>
      <c r="E729" t="s">
        <v>4541</v>
      </c>
      <c r="F729" s="12" t="s">
        <v>4542</v>
      </c>
      <c r="G729" t="s">
        <v>4543</v>
      </c>
      <c r="H729" t="s">
        <v>4544</v>
      </c>
      <c r="I729" t="s">
        <v>2588</v>
      </c>
      <c r="J729" t="s">
        <v>4545</v>
      </c>
      <c r="K729">
        <f>VLOOKUP($J729,'[1]Table S6'!$A:$AI,2,FALSE)</f>
        <v>341.7</v>
      </c>
      <c r="L729">
        <f>VLOOKUP($J729,'[1]Table S6'!$A:$AI,3,FALSE)</f>
        <v>0.72717599489253004</v>
      </c>
      <c r="M729">
        <f>VLOOKUP($J729,'[1]Table S6'!$A:$AI,4,FALSE)</f>
        <v>5.5570000000000004</v>
      </c>
      <c r="N729" t="str">
        <f>VLOOKUP($J729,'[1]Table S6'!$A:$AI,5,FALSE)</f>
        <v>No</v>
      </c>
      <c r="P729">
        <f>VLOOKUP($J729,'[1]Table S6'!$A:$AI,7,FALSE)</f>
        <v>381.9</v>
      </c>
      <c r="Q729">
        <f>VLOOKUP($J729,'[1]Table S6'!$A:$AI,8,FALSE)</f>
        <v>0.81272611193871003</v>
      </c>
      <c r="R729">
        <f>VLOOKUP($J729,'[1]Table S6'!$A:$AI,9,FALSE)</f>
        <v>9.4979999999999993</v>
      </c>
      <c r="S729" t="str">
        <f>VLOOKUP($J729,'[1]Table S6'!$A:$AI,10,FALSE)</f>
        <v>No</v>
      </c>
      <c r="U729">
        <f>VLOOKUP($J729,'[1]Table S6'!$A:$AI,12,FALSE)</f>
        <v>365</v>
      </c>
      <c r="V729">
        <f>VLOOKUP($J729,'[1]Table S6'!$A:$AI,13,FALSE)</f>
        <v>0.77676101298148503</v>
      </c>
      <c r="W729">
        <f>VLOOKUP($J729,'[1]Table S6'!$A:$AI,14,FALSE)</f>
        <v>20.82</v>
      </c>
      <c r="X729" t="str">
        <f>VLOOKUP($J729,'[1]Table S6'!$A:$AI,15,FALSE)</f>
        <v>No</v>
      </c>
      <c r="Z729">
        <f>VLOOKUP($J729,'[1]Table S6'!$A:$AI,17,FALSE)</f>
        <v>387.8</v>
      </c>
      <c r="AA729">
        <f>VLOOKUP($J729,'[1]Table S6'!$A:$AI,18,FALSE)</f>
        <v>0.82528197488827404</v>
      </c>
      <c r="AB729">
        <f>VLOOKUP($J729,'[1]Table S6'!$A:$AI,19,FALSE)</f>
        <v>15.89</v>
      </c>
      <c r="AC729" t="str">
        <f>VLOOKUP($J729,'[1]Table S6'!$A:$AI,20,FALSE)</f>
        <v>No</v>
      </c>
      <c r="AE729">
        <f>VLOOKUP($J729,'[1]Table S6'!$A:$AI,22,FALSE)</f>
        <v>350.6</v>
      </c>
      <c r="AF729">
        <f>VLOOKUP($J729,'[1]Table S6'!$A:$AI,23,FALSE)</f>
        <v>0.74611619493509296</v>
      </c>
      <c r="AG729">
        <f>VLOOKUP($J729,'[1]Table S6'!$A:$AI,24,FALSE)</f>
        <v>9.4969999999999999</v>
      </c>
      <c r="AH729" t="str">
        <f>VLOOKUP($J729,'[1]Table S6'!$A:$AI,25,FALSE)</f>
        <v>No</v>
      </c>
      <c r="AJ729">
        <f>VLOOKUP($J729,'[1]Table S6'!$A:$AI,27,FALSE)</f>
        <v>421.3</v>
      </c>
      <c r="AK729">
        <f>VLOOKUP($J729,'[1]Table S6'!$A:$AI,28,FALSE)</f>
        <v>0.89657373909342397</v>
      </c>
      <c r="AL729">
        <f>VLOOKUP($J729,'[1]Table S6'!$A:$AI,29,FALSE)</f>
        <v>101.5</v>
      </c>
      <c r="AM729" t="str">
        <f>VLOOKUP($J729,'[1]Table S6'!$A:$AI,30,FALSE)</f>
        <v>No</v>
      </c>
      <c r="AO729">
        <f>VLOOKUP($J729,'[1]Table S6'!$A:$AI,32,FALSE)</f>
        <v>381.3</v>
      </c>
      <c r="AP729">
        <f>VLOOKUP($J729,'[1]Table S6'!$A:$AI,33,FALSE)</f>
        <v>0.81144924452011102</v>
      </c>
      <c r="AQ729">
        <f>VLOOKUP($J729,'[1]Table S6'!$A:$AI,34,FALSE)</f>
        <v>35.18</v>
      </c>
      <c r="AR729" t="str">
        <f>VLOOKUP($J729,'[1]Table S6'!$A:$AI,35,FALSE)</f>
        <v>No</v>
      </c>
      <c r="AT729" t="str">
        <f>VLOOKUP($I729,'[2]Table S5'!$A:$K,8,FALSE)</f>
        <v>Resistant</v>
      </c>
      <c r="AU729" t="str">
        <f>VLOOKUP($I729,'[2]Table S5'!$A:$K,9,FALSE)</f>
        <v>Resistant</v>
      </c>
      <c r="AV729" t="str">
        <f>VLOOKUP($I729,'[2]Table S5'!$A:$K,10,FALSE)</f>
        <v>Resistant</v>
      </c>
      <c r="AW729" t="str">
        <f>VLOOKUP($I729,'[2]Table S5'!$A:$K,11,FALSE)</f>
        <v>Resistant</v>
      </c>
    </row>
    <row r="730" spans="1:49">
      <c r="A730" s="12" t="s">
        <v>4553</v>
      </c>
      <c r="B730" t="s">
        <v>4547</v>
      </c>
      <c r="C730" t="s">
        <v>4548</v>
      </c>
      <c r="D730" t="s">
        <v>17</v>
      </c>
      <c r="E730" t="s">
        <v>4549</v>
      </c>
      <c r="F730" s="12" t="s">
        <v>4550</v>
      </c>
      <c r="G730" t="s">
        <v>4551</v>
      </c>
      <c r="H730" t="s">
        <v>4552</v>
      </c>
      <c r="I730" t="s">
        <v>2588</v>
      </c>
      <c r="J730" t="s">
        <v>2588</v>
      </c>
      <c r="K730" t="e">
        <f>VLOOKUP($J730,'[1]Table S6'!$A:$AI,2,FALSE)</f>
        <v>#N/A</v>
      </c>
      <c r="L730" t="e">
        <f>VLOOKUP($J730,'[1]Table S6'!$A:$AI,3,FALSE)</f>
        <v>#N/A</v>
      </c>
      <c r="M730" t="e">
        <f>VLOOKUP($J730,'[1]Table S6'!$A:$AI,4,FALSE)</f>
        <v>#N/A</v>
      </c>
      <c r="N730" t="e">
        <f>VLOOKUP($J730,'[1]Table S6'!$A:$AI,5,FALSE)</f>
        <v>#N/A</v>
      </c>
      <c r="P730" t="e">
        <f>VLOOKUP($J730,'[1]Table S6'!$A:$AI,7,FALSE)</f>
        <v>#N/A</v>
      </c>
      <c r="Q730" t="e">
        <f>VLOOKUP($J730,'[1]Table S6'!$A:$AI,8,FALSE)</f>
        <v>#N/A</v>
      </c>
      <c r="R730" t="e">
        <f>VLOOKUP($J730,'[1]Table S6'!$A:$AI,9,FALSE)</f>
        <v>#N/A</v>
      </c>
      <c r="S730" t="e">
        <f>VLOOKUP($J730,'[1]Table S6'!$A:$AI,10,FALSE)</f>
        <v>#N/A</v>
      </c>
      <c r="U730" t="e">
        <f>VLOOKUP($J730,'[1]Table S6'!$A:$AI,12,FALSE)</f>
        <v>#N/A</v>
      </c>
      <c r="V730" t="e">
        <f>VLOOKUP($J730,'[1]Table S6'!$A:$AI,13,FALSE)</f>
        <v>#N/A</v>
      </c>
      <c r="W730" t="e">
        <f>VLOOKUP($J730,'[1]Table S6'!$A:$AI,14,FALSE)</f>
        <v>#N/A</v>
      </c>
      <c r="X730" t="e">
        <f>VLOOKUP($J730,'[1]Table S6'!$A:$AI,15,FALSE)</f>
        <v>#N/A</v>
      </c>
      <c r="Z730" t="e">
        <f>VLOOKUP($J730,'[1]Table S6'!$A:$AI,17,FALSE)</f>
        <v>#N/A</v>
      </c>
      <c r="AA730" t="e">
        <f>VLOOKUP($J730,'[1]Table S6'!$A:$AI,18,FALSE)</f>
        <v>#N/A</v>
      </c>
      <c r="AB730" t="e">
        <f>VLOOKUP($J730,'[1]Table S6'!$A:$AI,19,FALSE)</f>
        <v>#N/A</v>
      </c>
      <c r="AC730" t="e">
        <f>VLOOKUP($J730,'[1]Table S6'!$A:$AI,20,FALSE)</f>
        <v>#N/A</v>
      </c>
      <c r="AE730" t="e">
        <f>VLOOKUP($J730,'[1]Table S6'!$A:$AI,22,FALSE)</f>
        <v>#N/A</v>
      </c>
      <c r="AF730" t="e">
        <f>VLOOKUP($J730,'[1]Table S6'!$A:$AI,23,FALSE)</f>
        <v>#N/A</v>
      </c>
      <c r="AG730" t="e">
        <f>VLOOKUP($J730,'[1]Table S6'!$A:$AI,24,FALSE)</f>
        <v>#N/A</v>
      </c>
      <c r="AH730" t="e">
        <f>VLOOKUP($J730,'[1]Table S6'!$A:$AI,25,FALSE)</f>
        <v>#N/A</v>
      </c>
      <c r="AJ730" t="e">
        <f>VLOOKUP($J730,'[1]Table S6'!$A:$AI,27,FALSE)</f>
        <v>#N/A</v>
      </c>
      <c r="AK730" t="e">
        <f>VLOOKUP($J730,'[1]Table S6'!$A:$AI,28,FALSE)</f>
        <v>#N/A</v>
      </c>
      <c r="AL730" t="e">
        <f>VLOOKUP($J730,'[1]Table S6'!$A:$AI,29,FALSE)</f>
        <v>#N/A</v>
      </c>
      <c r="AM730" t="e">
        <f>VLOOKUP($J730,'[1]Table S6'!$A:$AI,30,FALSE)</f>
        <v>#N/A</v>
      </c>
      <c r="AO730" t="e">
        <f>VLOOKUP($J730,'[1]Table S6'!$A:$AI,32,FALSE)</f>
        <v>#N/A</v>
      </c>
      <c r="AP730" t="e">
        <f>VLOOKUP($J730,'[1]Table S6'!$A:$AI,33,FALSE)</f>
        <v>#N/A</v>
      </c>
      <c r="AQ730" t="e">
        <f>VLOOKUP($J730,'[1]Table S6'!$A:$AI,34,FALSE)</f>
        <v>#N/A</v>
      </c>
      <c r="AR730" t="e">
        <f>VLOOKUP($J730,'[1]Table S6'!$A:$AI,35,FALSE)</f>
        <v>#N/A</v>
      </c>
      <c r="AT730" t="str">
        <f>VLOOKUP($I730,'[2]Table S5'!$A:$K,8,FALSE)</f>
        <v>Resistant</v>
      </c>
      <c r="AU730" t="str">
        <f>VLOOKUP($I730,'[2]Table S5'!$A:$K,9,FALSE)</f>
        <v>Resistant</v>
      </c>
      <c r="AV730" t="str">
        <f>VLOOKUP($I730,'[2]Table S5'!$A:$K,10,FALSE)</f>
        <v>Resistant</v>
      </c>
      <c r="AW730" t="str">
        <f>VLOOKUP($I730,'[2]Table S5'!$A:$K,11,FALSE)</f>
        <v>Resistant</v>
      </c>
    </row>
    <row r="731" spans="1:49">
      <c r="A731" s="12" t="s">
        <v>4561</v>
      </c>
      <c r="B731" t="s">
        <v>4554</v>
      </c>
      <c r="C731" t="s">
        <v>4555</v>
      </c>
      <c r="D731" t="s">
        <v>17</v>
      </c>
      <c r="E731" t="s">
        <v>4556</v>
      </c>
      <c r="F731" s="12" t="s">
        <v>4557</v>
      </c>
      <c r="G731" t="s">
        <v>4558</v>
      </c>
      <c r="H731" t="s">
        <v>4559</v>
      </c>
      <c r="I731" t="s">
        <v>2588</v>
      </c>
      <c r="J731" t="s">
        <v>4560</v>
      </c>
      <c r="K731">
        <f>VLOOKUP($J731,'[1]Table S6'!$A:$AI,2,FALSE)</f>
        <v>360</v>
      </c>
      <c r="L731">
        <f>VLOOKUP($J731,'[1]Table S6'!$A:$AI,3,FALSE)</f>
        <v>0.76612045115982097</v>
      </c>
      <c r="M731">
        <f>VLOOKUP($J731,'[1]Table S6'!$A:$AI,4,FALSE)</f>
        <v>8.0489999999999995</v>
      </c>
      <c r="N731" t="str">
        <f>VLOOKUP($J731,'[1]Table S6'!$A:$AI,5,FALSE)</f>
        <v>No</v>
      </c>
      <c r="P731">
        <f>VLOOKUP($J731,'[1]Table S6'!$A:$AI,7,FALSE)</f>
        <v>372.4</v>
      </c>
      <c r="Q731">
        <f>VLOOKUP($J731,'[1]Table S6'!$A:$AI,8,FALSE)</f>
        <v>0.792509044477548</v>
      </c>
      <c r="R731">
        <f>VLOOKUP($J731,'[1]Table S6'!$A:$AI,9,FALSE)</f>
        <v>7.6829999999999998</v>
      </c>
      <c r="S731" t="str">
        <f>VLOOKUP($J731,'[1]Table S6'!$A:$AI,10,FALSE)</f>
        <v>No</v>
      </c>
      <c r="U731">
        <f>VLOOKUP($J731,'[1]Table S6'!$A:$AI,12,FALSE)</f>
        <v>362.9</v>
      </c>
      <c r="V731">
        <f>VLOOKUP($J731,'[1]Table S6'!$A:$AI,13,FALSE)</f>
        <v>0.77229197701638597</v>
      </c>
      <c r="W731">
        <f>VLOOKUP($J731,'[1]Table S6'!$A:$AI,14,FALSE)</f>
        <v>15.36</v>
      </c>
      <c r="X731" t="str">
        <f>VLOOKUP($J731,'[1]Table S6'!$A:$AI,15,FALSE)</f>
        <v>No</v>
      </c>
      <c r="Z731">
        <f>VLOOKUP($J731,'[1]Table S6'!$A:$AI,17,FALSE)</f>
        <v>385.8</v>
      </c>
      <c r="AA731">
        <f>VLOOKUP($J731,'[1]Table S6'!$A:$AI,18,FALSE)</f>
        <v>0.82102575015960799</v>
      </c>
      <c r="AB731">
        <f>VLOOKUP($J731,'[1]Table S6'!$A:$AI,19,FALSE)</f>
        <v>14.88</v>
      </c>
      <c r="AC731" t="str">
        <f>VLOOKUP($J731,'[1]Table S6'!$A:$AI,20,FALSE)</f>
        <v>No</v>
      </c>
      <c r="AE731">
        <f>VLOOKUP($J731,'[1]Table S6'!$A:$AI,22,FALSE)</f>
        <v>381</v>
      </c>
      <c r="AF731">
        <f>VLOOKUP($J731,'[1]Table S6'!$A:$AI,23,FALSE)</f>
        <v>0.81081081081081097</v>
      </c>
      <c r="AG731">
        <f>VLOOKUP($J731,'[1]Table S6'!$A:$AI,24,FALSE)</f>
        <v>20.53</v>
      </c>
      <c r="AH731" t="str">
        <f>VLOOKUP($J731,'[1]Table S6'!$A:$AI,25,FALSE)</f>
        <v>No</v>
      </c>
      <c r="AJ731">
        <f>VLOOKUP($J731,'[1]Table S6'!$A:$AI,27,FALSE)</f>
        <v>397.2</v>
      </c>
      <c r="AK731">
        <f>VLOOKUP($J731,'[1]Table S6'!$A:$AI,28,FALSE)</f>
        <v>0.84528623111300305</v>
      </c>
      <c r="AL731">
        <f>VLOOKUP($J731,'[1]Table S6'!$A:$AI,29,FALSE)</f>
        <v>77.680000000000007</v>
      </c>
      <c r="AM731" t="str">
        <f>VLOOKUP($J731,'[1]Table S6'!$A:$AI,30,FALSE)</f>
        <v>No</v>
      </c>
      <c r="AO731">
        <f>VLOOKUP($J731,'[1]Table S6'!$A:$AI,32,FALSE)</f>
        <v>391.8</v>
      </c>
      <c r="AP731">
        <f>VLOOKUP($J731,'[1]Table S6'!$A:$AI,33,FALSE)</f>
        <v>0.83379442434560502</v>
      </c>
      <c r="AQ731">
        <f>VLOOKUP($J731,'[1]Table S6'!$A:$AI,34,FALSE)</f>
        <v>45.85</v>
      </c>
      <c r="AR731" t="str">
        <f>VLOOKUP($J731,'[1]Table S6'!$A:$AI,35,FALSE)</f>
        <v>No</v>
      </c>
      <c r="AT731" t="str">
        <f>VLOOKUP($I731,'[2]Table S5'!$A:$K,8,FALSE)</f>
        <v>Resistant</v>
      </c>
      <c r="AU731" t="str">
        <f>VLOOKUP($I731,'[2]Table S5'!$A:$K,9,FALSE)</f>
        <v>Resistant</v>
      </c>
      <c r="AV731" t="str">
        <f>VLOOKUP($I731,'[2]Table S5'!$A:$K,10,FALSE)</f>
        <v>Resistant</v>
      </c>
      <c r="AW731" t="str">
        <f>VLOOKUP($I731,'[2]Table S5'!$A:$K,11,FALSE)</f>
        <v>Resistant</v>
      </c>
    </row>
    <row r="732" spans="1:49">
      <c r="A732" s="12" t="s">
        <v>4568</v>
      </c>
      <c r="B732" t="s">
        <v>4562</v>
      </c>
      <c r="C732" t="s">
        <v>4563</v>
      </c>
      <c r="D732" t="s">
        <v>17</v>
      </c>
      <c r="E732" t="s">
        <v>4564</v>
      </c>
      <c r="F732" s="12" t="s">
        <v>4565</v>
      </c>
      <c r="G732" t="s">
        <v>4566</v>
      </c>
      <c r="H732" t="s">
        <v>4567</v>
      </c>
      <c r="I732" t="s">
        <v>2588</v>
      </c>
      <c r="J732" t="s">
        <v>4545</v>
      </c>
      <c r="K732">
        <f>VLOOKUP($J732,'[1]Table S6'!$A:$AI,2,FALSE)</f>
        <v>341.7</v>
      </c>
      <c r="L732">
        <f>VLOOKUP($J732,'[1]Table S6'!$A:$AI,3,FALSE)</f>
        <v>0.72717599489253004</v>
      </c>
      <c r="M732">
        <f>VLOOKUP($J732,'[1]Table S6'!$A:$AI,4,FALSE)</f>
        <v>5.5570000000000004</v>
      </c>
      <c r="N732" t="str">
        <f>VLOOKUP($J732,'[1]Table S6'!$A:$AI,5,FALSE)</f>
        <v>No</v>
      </c>
      <c r="P732">
        <f>VLOOKUP($J732,'[1]Table S6'!$A:$AI,7,FALSE)</f>
        <v>381.9</v>
      </c>
      <c r="Q732">
        <f>VLOOKUP($J732,'[1]Table S6'!$A:$AI,8,FALSE)</f>
        <v>0.81272611193871003</v>
      </c>
      <c r="R732">
        <f>VLOOKUP($J732,'[1]Table S6'!$A:$AI,9,FALSE)</f>
        <v>9.4979999999999993</v>
      </c>
      <c r="S732" t="str">
        <f>VLOOKUP($J732,'[1]Table S6'!$A:$AI,10,FALSE)</f>
        <v>No</v>
      </c>
      <c r="U732">
        <f>VLOOKUP($J732,'[1]Table S6'!$A:$AI,12,FALSE)</f>
        <v>365</v>
      </c>
      <c r="V732">
        <f>VLOOKUP($J732,'[1]Table S6'!$A:$AI,13,FALSE)</f>
        <v>0.77676101298148503</v>
      </c>
      <c r="W732">
        <f>VLOOKUP($J732,'[1]Table S6'!$A:$AI,14,FALSE)</f>
        <v>20.82</v>
      </c>
      <c r="X732" t="str">
        <f>VLOOKUP($J732,'[1]Table S6'!$A:$AI,15,FALSE)</f>
        <v>No</v>
      </c>
      <c r="Z732">
        <f>VLOOKUP($J732,'[1]Table S6'!$A:$AI,17,FALSE)</f>
        <v>387.8</v>
      </c>
      <c r="AA732">
        <f>VLOOKUP($J732,'[1]Table S6'!$A:$AI,18,FALSE)</f>
        <v>0.82528197488827404</v>
      </c>
      <c r="AB732">
        <f>VLOOKUP($J732,'[1]Table S6'!$A:$AI,19,FALSE)</f>
        <v>15.89</v>
      </c>
      <c r="AC732" t="str">
        <f>VLOOKUP($J732,'[1]Table S6'!$A:$AI,20,FALSE)</f>
        <v>No</v>
      </c>
      <c r="AE732">
        <f>VLOOKUP($J732,'[1]Table S6'!$A:$AI,22,FALSE)</f>
        <v>350.6</v>
      </c>
      <c r="AF732">
        <f>VLOOKUP($J732,'[1]Table S6'!$A:$AI,23,FALSE)</f>
        <v>0.74611619493509296</v>
      </c>
      <c r="AG732">
        <f>VLOOKUP($J732,'[1]Table S6'!$A:$AI,24,FALSE)</f>
        <v>9.4969999999999999</v>
      </c>
      <c r="AH732" t="str">
        <f>VLOOKUP($J732,'[1]Table S6'!$A:$AI,25,FALSE)</f>
        <v>No</v>
      </c>
      <c r="AJ732">
        <f>VLOOKUP($J732,'[1]Table S6'!$A:$AI,27,FALSE)</f>
        <v>421.3</v>
      </c>
      <c r="AK732">
        <f>VLOOKUP($J732,'[1]Table S6'!$A:$AI,28,FALSE)</f>
        <v>0.89657373909342397</v>
      </c>
      <c r="AL732">
        <f>VLOOKUP($J732,'[1]Table S6'!$A:$AI,29,FALSE)</f>
        <v>101.5</v>
      </c>
      <c r="AM732" t="str">
        <f>VLOOKUP($J732,'[1]Table S6'!$A:$AI,30,FALSE)</f>
        <v>No</v>
      </c>
      <c r="AO732">
        <f>VLOOKUP($J732,'[1]Table S6'!$A:$AI,32,FALSE)</f>
        <v>381.3</v>
      </c>
      <c r="AP732">
        <f>VLOOKUP($J732,'[1]Table S6'!$A:$AI,33,FALSE)</f>
        <v>0.81144924452011102</v>
      </c>
      <c r="AQ732">
        <f>VLOOKUP($J732,'[1]Table S6'!$A:$AI,34,FALSE)</f>
        <v>35.18</v>
      </c>
      <c r="AR732" t="str">
        <f>VLOOKUP($J732,'[1]Table S6'!$A:$AI,35,FALSE)</f>
        <v>No</v>
      </c>
      <c r="AT732" t="str">
        <f>VLOOKUP($I732,'[2]Table S5'!$A:$K,8,FALSE)</f>
        <v>Resistant</v>
      </c>
      <c r="AU732" t="str">
        <f>VLOOKUP($I732,'[2]Table S5'!$A:$K,9,FALSE)</f>
        <v>Resistant</v>
      </c>
      <c r="AV732" t="str">
        <f>VLOOKUP($I732,'[2]Table S5'!$A:$K,10,FALSE)</f>
        <v>Resistant</v>
      </c>
      <c r="AW732" t="str">
        <f>VLOOKUP($I732,'[2]Table S5'!$A:$K,11,FALSE)</f>
        <v>Resistant</v>
      </c>
    </row>
    <row r="733" spans="1:49">
      <c r="A733" s="12" t="s">
        <v>4576</v>
      </c>
      <c r="B733" t="s">
        <v>4569</v>
      </c>
      <c r="C733" t="s">
        <v>4570</v>
      </c>
      <c r="D733" t="s">
        <v>17</v>
      </c>
      <c r="E733" t="s">
        <v>4571</v>
      </c>
      <c r="F733" s="12" t="s">
        <v>4572</v>
      </c>
      <c r="G733" t="s">
        <v>4573</v>
      </c>
      <c r="H733" t="s">
        <v>4574</v>
      </c>
      <c r="I733" t="s">
        <v>2588</v>
      </c>
      <c r="J733" t="s">
        <v>4575</v>
      </c>
      <c r="K733">
        <f>VLOOKUP($J733,'[1]Table S6'!$A:$AI,2,FALSE)</f>
        <v>332.7</v>
      </c>
      <c r="L733">
        <f>VLOOKUP($J733,'[1]Table S6'!$A:$AI,3,FALSE)</f>
        <v>0.708022983613535</v>
      </c>
      <c r="M733">
        <f>VLOOKUP($J733,'[1]Table S6'!$A:$AI,4,FALSE)</f>
        <v>4.37</v>
      </c>
      <c r="N733" t="str">
        <f>VLOOKUP($J733,'[1]Table S6'!$A:$AI,5,FALSE)</f>
        <v>No</v>
      </c>
      <c r="P733">
        <f>VLOOKUP($J733,'[1]Table S6'!$A:$AI,7,FALSE)</f>
        <v>327.7</v>
      </c>
      <c r="Q733">
        <f>VLOOKUP($J733,'[1]Table S6'!$A:$AI,8,FALSE)</f>
        <v>0.69738242179187104</v>
      </c>
      <c r="R733">
        <f>VLOOKUP($J733,'[1]Table S6'!$A:$AI,9,FALSE)</f>
        <v>2.6459999999999999</v>
      </c>
      <c r="S733" t="str">
        <f>VLOOKUP($J733,'[1]Table S6'!$A:$AI,10,FALSE)</f>
        <v>Yes</v>
      </c>
      <c r="U733">
        <f>VLOOKUP($J733,'[1]Table S6'!$A:$AI,12,FALSE)</f>
        <v>326.7</v>
      </c>
      <c r="V733">
        <f>VLOOKUP($J733,'[1]Table S6'!$A:$AI,13,FALSE)</f>
        <v>0.69525430942753796</v>
      </c>
      <c r="W733">
        <f>VLOOKUP($J733,'[1]Table S6'!$A:$AI,14,FALSE)</f>
        <v>2.56</v>
      </c>
      <c r="X733" t="str">
        <f>VLOOKUP($J733,'[1]Table S6'!$A:$AI,15,FALSE)</f>
        <v>Yes</v>
      </c>
      <c r="Z733">
        <f>VLOOKUP($J733,'[1]Table S6'!$A:$AI,17,FALSE)</f>
        <v>363.1</v>
      </c>
      <c r="AA733">
        <f>VLOOKUP($J733,'[1]Table S6'!$A:$AI,18,FALSE)</f>
        <v>0.772717599489253</v>
      </c>
      <c r="AB733">
        <f>VLOOKUP($J733,'[1]Table S6'!$A:$AI,19,FALSE)</f>
        <v>7.5679999999999996</v>
      </c>
      <c r="AC733" t="str">
        <f>VLOOKUP($J733,'[1]Table S6'!$A:$AI,20,FALSE)</f>
        <v>No</v>
      </c>
      <c r="AE733">
        <f>VLOOKUP($J733,'[1]Table S6'!$A:$AI,22,FALSE)</f>
        <v>392.3</v>
      </c>
      <c r="AF733">
        <f>VLOOKUP($J733,'[1]Table S6'!$A:$AI,23,FALSE)</f>
        <v>0.83485848052777201</v>
      </c>
      <c r="AG733">
        <f>VLOOKUP($J733,'[1]Table S6'!$A:$AI,24,FALSE)</f>
        <v>27.27</v>
      </c>
      <c r="AH733" t="str">
        <f>VLOOKUP($J733,'[1]Table S6'!$A:$AI,25,FALSE)</f>
        <v>No</v>
      </c>
      <c r="AJ733">
        <f>VLOOKUP($J733,'[1]Table S6'!$A:$AI,27,FALSE)</f>
        <v>417.6</v>
      </c>
      <c r="AK733">
        <f>VLOOKUP($J733,'[1]Table S6'!$A:$AI,28,FALSE)</f>
        <v>0.88869972334539304</v>
      </c>
      <c r="AL733">
        <f>VLOOKUP($J733,'[1]Table S6'!$A:$AI,29,FALSE)</f>
        <v>89.58</v>
      </c>
      <c r="AM733" t="str">
        <f>VLOOKUP($J733,'[1]Table S6'!$A:$AI,30,FALSE)</f>
        <v>No</v>
      </c>
      <c r="AO733">
        <f>VLOOKUP($J733,'[1]Table S6'!$A:$AI,32,FALSE)</f>
        <v>418.9</v>
      </c>
      <c r="AP733">
        <f>VLOOKUP($J733,'[1]Table S6'!$A:$AI,33,FALSE)</f>
        <v>0.89146626941902496</v>
      </c>
      <c r="AQ733">
        <f>VLOOKUP($J733,'[1]Table S6'!$A:$AI,34,FALSE)</f>
        <v>63.05</v>
      </c>
      <c r="AR733" t="str">
        <f>VLOOKUP($J733,'[1]Table S6'!$A:$AI,35,FALSE)</f>
        <v>No</v>
      </c>
      <c r="AT733" t="str">
        <f>VLOOKUP($I733,'[2]Table S5'!$A:$K,8,FALSE)</f>
        <v>Resistant</v>
      </c>
      <c r="AU733" t="str">
        <f>VLOOKUP($I733,'[2]Table S5'!$A:$K,9,FALSE)</f>
        <v>Resistant</v>
      </c>
      <c r="AV733" t="str">
        <f>VLOOKUP($I733,'[2]Table S5'!$A:$K,10,FALSE)</f>
        <v>Resistant</v>
      </c>
      <c r="AW733" t="str">
        <f>VLOOKUP($I733,'[2]Table S5'!$A:$K,11,FALSE)</f>
        <v>Resistant</v>
      </c>
    </row>
    <row r="734" spans="1:49">
      <c r="A734" s="12" t="s">
        <v>4583</v>
      </c>
      <c r="B734" t="s">
        <v>4577</v>
      </c>
      <c r="C734" t="s">
        <v>4578</v>
      </c>
      <c r="D734" t="s">
        <v>17</v>
      </c>
      <c r="E734" t="s">
        <v>4579</v>
      </c>
      <c r="F734" s="12" t="s">
        <v>4580</v>
      </c>
      <c r="G734" t="s">
        <v>4581</v>
      </c>
      <c r="H734" t="s">
        <v>4582</v>
      </c>
      <c r="I734" t="s">
        <v>2588</v>
      </c>
      <c r="J734" t="s">
        <v>4560</v>
      </c>
      <c r="K734">
        <f>VLOOKUP($J734,'[1]Table S6'!$A:$AI,2,FALSE)</f>
        <v>360</v>
      </c>
      <c r="L734">
        <f>VLOOKUP($J734,'[1]Table S6'!$A:$AI,3,FALSE)</f>
        <v>0.76612045115982097</v>
      </c>
      <c r="M734">
        <f>VLOOKUP($J734,'[1]Table S6'!$A:$AI,4,FALSE)</f>
        <v>8.0489999999999995</v>
      </c>
      <c r="N734" t="str">
        <f>VLOOKUP($J734,'[1]Table S6'!$A:$AI,5,FALSE)</f>
        <v>No</v>
      </c>
      <c r="P734">
        <f>VLOOKUP($J734,'[1]Table S6'!$A:$AI,7,FALSE)</f>
        <v>372.4</v>
      </c>
      <c r="Q734">
        <f>VLOOKUP($J734,'[1]Table S6'!$A:$AI,8,FALSE)</f>
        <v>0.792509044477548</v>
      </c>
      <c r="R734">
        <f>VLOOKUP($J734,'[1]Table S6'!$A:$AI,9,FALSE)</f>
        <v>7.6829999999999998</v>
      </c>
      <c r="S734" t="str">
        <f>VLOOKUP($J734,'[1]Table S6'!$A:$AI,10,FALSE)</f>
        <v>No</v>
      </c>
      <c r="U734">
        <f>VLOOKUP($J734,'[1]Table S6'!$A:$AI,12,FALSE)</f>
        <v>362.9</v>
      </c>
      <c r="V734">
        <f>VLOOKUP($J734,'[1]Table S6'!$A:$AI,13,FALSE)</f>
        <v>0.77229197701638597</v>
      </c>
      <c r="W734">
        <f>VLOOKUP($J734,'[1]Table S6'!$A:$AI,14,FALSE)</f>
        <v>15.36</v>
      </c>
      <c r="X734" t="str">
        <f>VLOOKUP($J734,'[1]Table S6'!$A:$AI,15,FALSE)</f>
        <v>No</v>
      </c>
      <c r="Z734">
        <f>VLOOKUP($J734,'[1]Table S6'!$A:$AI,17,FALSE)</f>
        <v>385.8</v>
      </c>
      <c r="AA734">
        <f>VLOOKUP($J734,'[1]Table S6'!$A:$AI,18,FALSE)</f>
        <v>0.82102575015960799</v>
      </c>
      <c r="AB734">
        <f>VLOOKUP($J734,'[1]Table S6'!$A:$AI,19,FALSE)</f>
        <v>14.88</v>
      </c>
      <c r="AC734" t="str">
        <f>VLOOKUP($J734,'[1]Table S6'!$A:$AI,20,FALSE)</f>
        <v>No</v>
      </c>
      <c r="AE734">
        <f>VLOOKUP($J734,'[1]Table S6'!$A:$AI,22,FALSE)</f>
        <v>381</v>
      </c>
      <c r="AF734">
        <f>VLOOKUP($J734,'[1]Table S6'!$A:$AI,23,FALSE)</f>
        <v>0.81081081081081097</v>
      </c>
      <c r="AG734">
        <f>VLOOKUP($J734,'[1]Table S6'!$A:$AI,24,FALSE)</f>
        <v>20.53</v>
      </c>
      <c r="AH734" t="str">
        <f>VLOOKUP($J734,'[1]Table S6'!$A:$AI,25,FALSE)</f>
        <v>No</v>
      </c>
      <c r="AJ734">
        <f>VLOOKUP($J734,'[1]Table S6'!$A:$AI,27,FALSE)</f>
        <v>397.2</v>
      </c>
      <c r="AK734">
        <f>VLOOKUP($J734,'[1]Table S6'!$A:$AI,28,FALSE)</f>
        <v>0.84528623111300305</v>
      </c>
      <c r="AL734">
        <f>VLOOKUP($J734,'[1]Table S6'!$A:$AI,29,FALSE)</f>
        <v>77.680000000000007</v>
      </c>
      <c r="AM734" t="str">
        <f>VLOOKUP($J734,'[1]Table S6'!$A:$AI,30,FALSE)</f>
        <v>No</v>
      </c>
      <c r="AO734">
        <f>VLOOKUP($J734,'[1]Table S6'!$A:$AI,32,FALSE)</f>
        <v>391.8</v>
      </c>
      <c r="AP734">
        <f>VLOOKUP($J734,'[1]Table S6'!$A:$AI,33,FALSE)</f>
        <v>0.83379442434560502</v>
      </c>
      <c r="AQ734">
        <f>VLOOKUP($J734,'[1]Table S6'!$A:$AI,34,FALSE)</f>
        <v>45.85</v>
      </c>
      <c r="AR734" t="str">
        <f>VLOOKUP($J734,'[1]Table S6'!$A:$AI,35,FALSE)</f>
        <v>No</v>
      </c>
      <c r="AT734" t="str">
        <f>VLOOKUP($I734,'[2]Table S5'!$A:$K,8,FALSE)</f>
        <v>Resistant</v>
      </c>
      <c r="AU734" t="str">
        <f>VLOOKUP($I734,'[2]Table S5'!$A:$K,9,FALSE)</f>
        <v>Resistant</v>
      </c>
      <c r="AV734" t="str">
        <f>VLOOKUP($I734,'[2]Table S5'!$A:$K,10,FALSE)</f>
        <v>Resistant</v>
      </c>
      <c r="AW734" t="str">
        <f>VLOOKUP($I734,'[2]Table S5'!$A:$K,11,FALSE)</f>
        <v>Resistant</v>
      </c>
    </row>
    <row r="735" spans="1:49">
      <c r="A735" s="12" t="s">
        <v>4590</v>
      </c>
      <c r="B735" t="s">
        <v>4584</v>
      </c>
      <c r="C735" t="s">
        <v>4585</v>
      </c>
      <c r="D735" t="s">
        <v>17</v>
      </c>
      <c r="E735" t="s">
        <v>4586</v>
      </c>
      <c r="F735" s="12" t="s">
        <v>4587</v>
      </c>
      <c r="G735" t="s">
        <v>4588</v>
      </c>
      <c r="H735" t="s">
        <v>4589</v>
      </c>
      <c r="I735" t="s">
        <v>2588</v>
      </c>
      <c r="J735" t="s">
        <v>4575</v>
      </c>
      <c r="K735">
        <f>VLOOKUP($J735,'[1]Table S6'!$A:$AI,2,FALSE)</f>
        <v>332.7</v>
      </c>
      <c r="L735">
        <f>VLOOKUP($J735,'[1]Table S6'!$A:$AI,3,FALSE)</f>
        <v>0.708022983613535</v>
      </c>
      <c r="M735">
        <f>VLOOKUP($J735,'[1]Table S6'!$A:$AI,4,FALSE)</f>
        <v>4.37</v>
      </c>
      <c r="N735" t="str">
        <f>VLOOKUP($J735,'[1]Table S6'!$A:$AI,5,FALSE)</f>
        <v>No</v>
      </c>
      <c r="P735">
        <f>VLOOKUP($J735,'[1]Table S6'!$A:$AI,7,FALSE)</f>
        <v>327.7</v>
      </c>
      <c r="Q735">
        <f>VLOOKUP($J735,'[1]Table S6'!$A:$AI,8,FALSE)</f>
        <v>0.69738242179187104</v>
      </c>
      <c r="R735">
        <f>VLOOKUP($J735,'[1]Table S6'!$A:$AI,9,FALSE)</f>
        <v>2.6459999999999999</v>
      </c>
      <c r="S735" t="str">
        <f>VLOOKUP($J735,'[1]Table S6'!$A:$AI,10,FALSE)</f>
        <v>Yes</v>
      </c>
      <c r="U735">
        <f>VLOOKUP($J735,'[1]Table S6'!$A:$AI,12,FALSE)</f>
        <v>326.7</v>
      </c>
      <c r="V735">
        <f>VLOOKUP($J735,'[1]Table S6'!$A:$AI,13,FALSE)</f>
        <v>0.69525430942753796</v>
      </c>
      <c r="W735">
        <f>VLOOKUP($J735,'[1]Table S6'!$A:$AI,14,FALSE)</f>
        <v>2.56</v>
      </c>
      <c r="X735" t="str">
        <f>VLOOKUP($J735,'[1]Table S6'!$A:$AI,15,FALSE)</f>
        <v>Yes</v>
      </c>
      <c r="Z735">
        <f>VLOOKUP($J735,'[1]Table S6'!$A:$AI,17,FALSE)</f>
        <v>363.1</v>
      </c>
      <c r="AA735">
        <f>VLOOKUP($J735,'[1]Table S6'!$A:$AI,18,FALSE)</f>
        <v>0.772717599489253</v>
      </c>
      <c r="AB735">
        <f>VLOOKUP($J735,'[1]Table S6'!$A:$AI,19,FALSE)</f>
        <v>7.5679999999999996</v>
      </c>
      <c r="AC735" t="str">
        <f>VLOOKUP($J735,'[1]Table S6'!$A:$AI,20,FALSE)</f>
        <v>No</v>
      </c>
      <c r="AE735">
        <f>VLOOKUP($J735,'[1]Table S6'!$A:$AI,22,FALSE)</f>
        <v>392.3</v>
      </c>
      <c r="AF735">
        <f>VLOOKUP($J735,'[1]Table S6'!$A:$AI,23,FALSE)</f>
        <v>0.83485848052777201</v>
      </c>
      <c r="AG735">
        <f>VLOOKUP($J735,'[1]Table S6'!$A:$AI,24,FALSE)</f>
        <v>27.27</v>
      </c>
      <c r="AH735" t="str">
        <f>VLOOKUP($J735,'[1]Table S6'!$A:$AI,25,FALSE)</f>
        <v>No</v>
      </c>
      <c r="AJ735">
        <f>VLOOKUP($J735,'[1]Table S6'!$A:$AI,27,FALSE)</f>
        <v>417.6</v>
      </c>
      <c r="AK735">
        <f>VLOOKUP($J735,'[1]Table S6'!$A:$AI,28,FALSE)</f>
        <v>0.88869972334539304</v>
      </c>
      <c r="AL735">
        <f>VLOOKUP($J735,'[1]Table S6'!$A:$AI,29,FALSE)</f>
        <v>89.58</v>
      </c>
      <c r="AM735" t="str">
        <f>VLOOKUP($J735,'[1]Table S6'!$A:$AI,30,FALSE)</f>
        <v>No</v>
      </c>
      <c r="AO735">
        <f>VLOOKUP($J735,'[1]Table S6'!$A:$AI,32,FALSE)</f>
        <v>418.9</v>
      </c>
      <c r="AP735">
        <f>VLOOKUP($J735,'[1]Table S6'!$A:$AI,33,FALSE)</f>
        <v>0.89146626941902496</v>
      </c>
      <c r="AQ735">
        <f>VLOOKUP($J735,'[1]Table S6'!$A:$AI,34,FALSE)</f>
        <v>63.05</v>
      </c>
      <c r="AR735" t="str">
        <f>VLOOKUP($J735,'[1]Table S6'!$A:$AI,35,FALSE)</f>
        <v>No</v>
      </c>
      <c r="AT735" t="str">
        <f>VLOOKUP($I735,'[2]Table S5'!$A:$K,8,FALSE)</f>
        <v>Resistant</v>
      </c>
      <c r="AU735" t="str">
        <f>VLOOKUP($I735,'[2]Table S5'!$A:$K,9,FALSE)</f>
        <v>Resistant</v>
      </c>
      <c r="AV735" t="str">
        <f>VLOOKUP($I735,'[2]Table S5'!$A:$K,10,FALSE)</f>
        <v>Resistant</v>
      </c>
      <c r="AW735" t="str">
        <f>VLOOKUP($I735,'[2]Table S5'!$A:$K,11,FALSE)</f>
        <v>Resistant</v>
      </c>
    </row>
    <row r="736" spans="1:49">
      <c r="A736" s="12" t="s">
        <v>4593</v>
      </c>
      <c r="B736" t="s">
        <v>4591</v>
      </c>
      <c r="C736" t="s">
        <v>4592</v>
      </c>
      <c r="D736" t="s">
        <v>17</v>
      </c>
      <c r="E736" t="s">
        <v>2600</v>
      </c>
      <c r="F736" s="12" t="s">
        <v>2601</v>
      </c>
      <c r="G736" t="s">
        <v>2602</v>
      </c>
      <c r="H736" t="s">
        <v>2603</v>
      </c>
      <c r="I736" t="s">
        <v>2604</v>
      </c>
      <c r="J736" t="s">
        <v>2605</v>
      </c>
      <c r="K736">
        <f>VLOOKUP($J736,'[1]Table S6'!$A:$AI,2,FALSE)</f>
        <v>395.6</v>
      </c>
      <c r="L736">
        <f>VLOOKUP($J736,'[1]Table S6'!$A:$AI,3,FALSE)</f>
        <v>0.84188125133006997</v>
      </c>
      <c r="M736">
        <f>VLOOKUP($J736,'[1]Table S6'!$A:$AI,4,FALSE)</f>
        <v>121.7</v>
      </c>
      <c r="N736" t="str">
        <f>VLOOKUP($J736,'[1]Table S6'!$A:$AI,5,FALSE)</f>
        <v>No</v>
      </c>
      <c r="P736">
        <f>VLOOKUP($J736,'[1]Table S6'!$A:$AI,7,FALSE)</f>
        <v>368.4</v>
      </c>
      <c r="Q736">
        <f>VLOOKUP($J736,'[1]Table S6'!$A:$AI,8,FALSE)</f>
        <v>0.78399659502021701</v>
      </c>
      <c r="R736">
        <f>VLOOKUP($J736,'[1]Table S6'!$A:$AI,9,FALSE)</f>
        <v>9.2349999999999994</v>
      </c>
      <c r="S736" t="str">
        <f>VLOOKUP($J736,'[1]Table S6'!$A:$AI,10,FALSE)</f>
        <v>No</v>
      </c>
      <c r="U736">
        <f>VLOOKUP($J736,'[1]Table S6'!$A:$AI,12,FALSE)</f>
        <v>413.2</v>
      </c>
      <c r="V736">
        <f>VLOOKUP($J736,'[1]Table S6'!$A:$AI,13,FALSE)</f>
        <v>0.87933602894232799</v>
      </c>
      <c r="W736">
        <f>VLOOKUP($J736,'[1]Table S6'!$A:$AI,14,FALSE)</f>
        <v>34.369999999999997</v>
      </c>
      <c r="X736" t="str">
        <f>VLOOKUP($J736,'[1]Table S6'!$A:$AI,15,FALSE)</f>
        <v>No</v>
      </c>
      <c r="Z736">
        <f>VLOOKUP($J736,'[1]Table S6'!$A:$AI,17,FALSE)</f>
        <v>349.1</v>
      </c>
      <c r="AA736">
        <f>VLOOKUP($J736,'[1]Table S6'!$A:$AI,18,FALSE)</f>
        <v>0.74292402638859301</v>
      </c>
      <c r="AB736">
        <f>VLOOKUP($J736,'[1]Table S6'!$A:$AI,19,FALSE)</f>
        <v>9.0220000000000002</v>
      </c>
      <c r="AC736" t="str">
        <f>VLOOKUP($J736,'[1]Table S6'!$A:$AI,20,FALSE)</f>
        <v>No</v>
      </c>
      <c r="AE736">
        <f>VLOOKUP($J736,'[1]Table S6'!$A:$AI,22,FALSE)</f>
        <v>392</v>
      </c>
      <c r="AF736">
        <f>VLOOKUP($J736,'[1]Table S6'!$A:$AI,23,FALSE)</f>
        <v>0.83422004681847195</v>
      </c>
      <c r="AG736">
        <f>VLOOKUP($J736,'[1]Table S6'!$A:$AI,24,FALSE)</f>
        <v>20.86</v>
      </c>
      <c r="AH736" t="str">
        <f>VLOOKUP($J736,'[1]Table S6'!$A:$AI,25,FALSE)</f>
        <v>No</v>
      </c>
      <c r="AJ736">
        <f>VLOOKUP($J736,'[1]Table S6'!$A:$AI,27,FALSE)</f>
        <v>390.6</v>
      </c>
      <c r="AK736">
        <f>VLOOKUP($J736,'[1]Table S6'!$A:$AI,28,FALSE)</f>
        <v>0.83124068950840602</v>
      </c>
      <c r="AL736">
        <f>VLOOKUP($J736,'[1]Table S6'!$A:$AI,29,FALSE)</f>
        <v>77.680000000000007</v>
      </c>
      <c r="AM736" t="str">
        <f>VLOOKUP($J736,'[1]Table S6'!$A:$AI,30,FALSE)</f>
        <v>No</v>
      </c>
      <c r="AO736">
        <f>VLOOKUP($J736,'[1]Table S6'!$A:$AI,32,FALSE)</f>
        <v>384.3</v>
      </c>
      <c r="AP736">
        <f>VLOOKUP($J736,'[1]Table S6'!$A:$AI,33,FALSE)</f>
        <v>0.81783358161310904</v>
      </c>
      <c r="AQ736">
        <f>VLOOKUP($J736,'[1]Table S6'!$A:$AI,34,FALSE)</f>
        <v>44.76</v>
      </c>
      <c r="AR736" t="str">
        <f>VLOOKUP($J736,'[1]Table S6'!$A:$AI,35,FALSE)</f>
        <v>No</v>
      </c>
      <c r="AT736" t="str">
        <f>VLOOKUP($I736,'[2]Table S5'!$A:$K,8,FALSE)</f>
        <v>Resistant</v>
      </c>
      <c r="AU736" t="str">
        <f>VLOOKUP($I736,'[2]Table S5'!$A:$K,9,FALSE)</f>
        <v>Resistant</v>
      </c>
      <c r="AV736" t="str">
        <f>VLOOKUP($I736,'[2]Table S5'!$A:$K,10,FALSE)</f>
        <v>Resistant</v>
      </c>
      <c r="AW736" t="str">
        <f>VLOOKUP($I736,'[2]Table S5'!$A:$K,11,FALSE)</f>
        <v>Resistant</v>
      </c>
    </row>
    <row r="737" spans="1:49">
      <c r="A737" s="12" t="s">
        <v>4596</v>
      </c>
      <c r="B737" t="s">
        <v>4594</v>
      </c>
      <c r="C737" t="s">
        <v>4595</v>
      </c>
      <c r="D737" t="s">
        <v>17</v>
      </c>
      <c r="E737" t="s">
        <v>2609</v>
      </c>
      <c r="F737" s="12" t="s">
        <v>2610</v>
      </c>
      <c r="G737" t="s">
        <v>2611</v>
      </c>
      <c r="H737" t="s">
        <v>2612</v>
      </c>
      <c r="I737" t="s">
        <v>2604</v>
      </c>
      <c r="J737" t="s">
        <v>2613</v>
      </c>
      <c r="K737">
        <f>VLOOKUP($J737,'[1]Table S6'!$A:$AI,2,FALSE)</f>
        <v>398.2</v>
      </c>
      <c r="L737">
        <f>VLOOKUP($J737,'[1]Table S6'!$A:$AI,3,FALSE)</f>
        <v>0.84741434347733602</v>
      </c>
      <c r="M737">
        <f>VLOOKUP($J737,'[1]Table S6'!$A:$AI,4,FALSE)</f>
        <v>38.25</v>
      </c>
      <c r="N737" t="str">
        <f>VLOOKUP($J737,'[1]Table S6'!$A:$AI,5,FALSE)</f>
        <v>No</v>
      </c>
      <c r="P737">
        <f>VLOOKUP($J737,'[1]Table S6'!$A:$AI,7,FALSE)</f>
        <v>349.5</v>
      </c>
      <c r="Q737">
        <f>VLOOKUP($J737,'[1]Table S6'!$A:$AI,8,FALSE)</f>
        <v>0.74377527133432697</v>
      </c>
      <c r="R737">
        <f>VLOOKUP($J737,'[1]Table S6'!$A:$AI,9,FALSE)</f>
        <v>4.6710000000000003</v>
      </c>
      <c r="S737" t="str">
        <f>VLOOKUP($J737,'[1]Table S6'!$A:$AI,10,FALSE)</f>
        <v>No</v>
      </c>
      <c r="U737">
        <f>VLOOKUP($J737,'[1]Table S6'!$A:$AI,12,FALSE)</f>
        <v>325.39999999999998</v>
      </c>
      <c r="V737">
        <f>VLOOKUP($J737,'[1]Table S6'!$A:$AI,13,FALSE)</f>
        <v>0.69248776335390505</v>
      </c>
      <c r="W737">
        <f>VLOOKUP($J737,'[1]Table S6'!$A:$AI,14,FALSE)</f>
        <v>2.1970000000000001</v>
      </c>
      <c r="X737" t="str">
        <f>VLOOKUP($J737,'[1]Table S6'!$A:$AI,15,FALSE)</f>
        <v>Yes</v>
      </c>
      <c r="Z737">
        <f>VLOOKUP($J737,'[1]Table S6'!$A:$AI,17,FALSE)</f>
        <v>322.7</v>
      </c>
      <c r="AA737">
        <f>VLOOKUP($J737,'[1]Table S6'!$A:$AI,18,FALSE)</f>
        <v>0.68674185997020598</v>
      </c>
      <c r="AB737">
        <f>VLOOKUP($J737,'[1]Table S6'!$A:$AI,19,FALSE)</f>
        <v>1.841</v>
      </c>
      <c r="AC737" t="str">
        <f>VLOOKUP($J737,'[1]Table S6'!$A:$AI,20,FALSE)</f>
        <v>Yes</v>
      </c>
      <c r="AE737">
        <f>VLOOKUP($J737,'[1]Table S6'!$A:$AI,22,FALSE)</f>
        <v>365.2</v>
      </c>
      <c r="AF737">
        <f>VLOOKUP($J737,'[1]Table S6'!$A:$AI,23,FALSE)</f>
        <v>0.77718663545435196</v>
      </c>
      <c r="AG737">
        <f>VLOOKUP($J737,'[1]Table S6'!$A:$AI,24,FALSE)</f>
        <v>11.57</v>
      </c>
      <c r="AH737" t="str">
        <f>VLOOKUP($J737,'[1]Table S6'!$A:$AI,25,FALSE)</f>
        <v>No</v>
      </c>
      <c r="AJ737">
        <f>VLOOKUP($J737,'[1]Table S6'!$A:$AI,27,FALSE)</f>
        <v>409.9</v>
      </c>
      <c r="AK737">
        <f>VLOOKUP($J737,'[1]Table S6'!$A:$AI,28,FALSE)</f>
        <v>0.87231325814003002</v>
      </c>
      <c r="AL737">
        <f>VLOOKUP($J737,'[1]Table S6'!$A:$AI,29,FALSE)</f>
        <v>85.21</v>
      </c>
      <c r="AM737" t="str">
        <f>VLOOKUP($J737,'[1]Table S6'!$A:$AI,30,FALSE)</f>
        <v>No</v>
      </c>
      <c r="AO737">
        <f>VLOOKUP($J737,'[1]Table S6'!$A:$AI,32,FALSE)</f>
        <v>407.2</v>
      </c>
      <c r="AP737">
        <f>VLOOKUP($J737,'[1]Table S6'!$A:$AI,33,FALSE)</f>
        <v>0.86656735475633095</v>
      </c>
      <c r="AQ737">
        <f>VLOOKUP($J737,'[1]Table S6'!$A:$AI,34,FALSE)</f>
        <v>110</v>
      </c>
      <c r="AR737" t="str">
        <f>VLOOKUP($J737,'[1]Table S6'!$A:$AI,35,FALSE)</f>
        <v>No</v>
      </c>
      <c r="AT737" t="str">
        <f>VLOOKUP($I737,'[2]Table S5'!$A:$K,8,FALSE)</f>
        <v>Resistant</v>
      </c>
      <c r="AU737" t="str">
        <f>VLOOKUP($I737,'[2]Table S5'!$A:$K,9,FALSE)</f>
        <v>Resistant</v>
      </c>
      <c r="AV737" t="str">
        <f>VLOOKUP($I737,'[2]Table S5'!$A:$K,10,FALSE)</f>
        <v>Resistant</v>
      </c>
      <c r="AW737" t="str">
        <f>VLOOKUP($I737,'[2]Table S5'!$A:$K,11,FALSE)</f>
        <v>Resistant</v>
      </c>
    </row>
    <row r="738" spans="1:49">
      <c r="A738" s="12" t="s">
        <v>4599</v>
      </c>
      <c r="B738" t="s">
        <v>4597</v>
      </c>
      <c r="C738" t="s">
        <v>4598</v>
      </c>
      <c r="D738" t="s">
        <v>17</v>
      </c>
      <c r="E738" t="s">
        <v>2617</v>
      </c>
      <c r="F738" s="12" t="s">
        <v>2618</v>
      </c>
      <c r="G738" t="s">
        <v>2619</v>
      </c>
      <c r="H738" t="s">
        <v>2620</v>
      </c>
      <c r="I738" t="s">
        <v>2604</v>
      </c>
      <c r="J738" t="s">
        <v>2621</v>
      </c>
      <c r="K738">
        <f>VLOOKUP($J738,'[1]Table S6'!$A:$AI,2,FALSE)</f>
        <v>411.1</v>
      </c>
      <c r="L738">
        <f>VLOOKUP($J738,'[1]Table S6'!$A:$AI,3,FALSE)</f>
        <v>0.87486699297722903</v>
      </c>
      <c r="M738">
        <f>VLOOKUP($J738,'[1]Table S6'!$A:$AI,4,FALSE)</f>
        <v>31.31</v>
      </c>
      <c r="N738" t="str">
        <f>VLOOKUP($J738,'[1]Table S6'!$A:$AI,5,FALSE)</f>
        <v>No</v>
      </c>
      <c r="P738">
        <f>VLOOKUP($J738,'[1]Table S6'!$A:$AI,7,FALSE)</f>
        <v>324.7</v>
      </c>
      <c r="Q738">
        <f>VLOOKUP($J738,'[1]Table S6'!$A:$AI,8,FALSE)</f>
        <v>0.69099808469887203</v>
      </c>
      <c r="R738">
        <f>VLOOKUP($J738,'[1]Table S6'!$A:$AI,9,FALSE)</f>
        <v>2.1800000000000002</v>
      </c>
      <c r="S738" t="str">
        <f>VLOOKUP($J738,'[1]Table S6'!$A:$AI,10,FALSE)</f>
        <v>Yes</v>
      </c>
      <c r="U738">
        <f>VLOOKUP($J738,'[1]Table S6'!$A:$AI,12,FALSE)</f>
        <v>361.2</v>
      </c>
      <c r="V738">
        <f>VLOOKUP($J738,'[1]Table S6'!$A:$AI,13,FALSE)</f>
        <v>0.76867418599702098</v>
      </c>
      <c r="W738">
        <f>VLOOKUP($J738,'[1]Table S6'!$A:$AI,14,FALSE)</f>
        <v>4.1059999999999999</v>
      </c>
      <c r="X738" t="str">
        <f>VLOOKUP($J738,'[1]Table S6'!$A:$AI,15,FALSE)</f>
        <v>No</v>
      </c>
      <c r="Z738">
        <f>VLOOKUP($J738,'[1]Table S6'!$A:$AI,17,FALSE)</f>
        <v>321.8</v>
      </c>
      <c r="AA738">
        <f>VLOOKUP($J738,'[1]Table S6'!$A:$AI,18,FALSE)</f>
        <v>0.68482655884230703</v>
      </c>
      <c r="AB738">
        <f>VLOOKUP($J738,'[1]Table S6'!$A:$AI,19,FALSE)</f>
        <v>2.1989999999999998</v>
      </c>
      <c r="AC738" t="str">
        <f>VLOOKUP($J738,'[1]Table S6'!$A:$AI,20,FALSE)</f>
        <v>Yes</v>
      </c>
      <c r="AE738">
        <f>VLOOKUP($J738,'[1]Table S6'!$A:$AI,22,FALSE)</f>
        <v>434.7</v>
      </c>
      <c r="AF738">
        <f>VLOOKUP($J738,'[1]Table S6'!$A:$AI,23,FALSE)</f>
        <v>0.92509044477548397</v>
      </c>
      <c r="AG738">
        <f>VLOOKUP($J738,'[1]Table S6'!$A:$AI,24,FALSE)</f>
        <v>66.05</v>
      </c>
      <c r="AH738" t="str">
        <f>VLOOKUP($J738,'[1]Table S6'!$A:$AI,25,FALSE)</f>
        <v>No</v>
      </c>
      <c r="AJ738">
        <f>VLOOKUP($J738,'[1]Table S6'!$A:$AI,27,FALSE)</f>
        <v>453.6</v>
      </c>
      <c r="AK738">
        <f>VLOOKUP($J738,'[1]Table S6'!$A:$AI,28,FALSE)</f>
        <v>0.96531176846137501</v>
      </c>
      <c r="AL738">
        <f>VLOOKUP($J738,'[1]Table S6'!$A:$AI,29,FALSE)</f>
        <v>172.5</v>
      </c>
      <c r="AM738" t="str">
        <f>VLOOKUP($J738,'[1]Table S6'!$A:$AI,30,FALSE)</f>
        <v>No</v>
      </c>
      <c r="AO738">
        <f>VLOOKUP($J738,'[1]Table S6'!$A:$AI,32,FALSE)</f>
        <v>438</v>
      </c>
      <c r="AP738">
        <f>VLOOKUP($J738,'[1]Table S6'!$A:$AI,33,FALSE)</f>
        <v>0.93211321557778304</v>
      </c>
      <c r="AQ738">
        <f>VLOOKUP($J738,'[1]Table S6'!$A:$AI,34,FALSE)</f>
        <v>59.73</v>
      </c>
      <c r="AR738" t="str">
        <f>VLOOKUP($J738,'[1]Table S6'!$A:$AI,35,FALSE)</f>
        <v>No</v>
      </c>
      <c r="AT738" t="str">
        <f>VLOOKUP($I738,'[2]Table S5'!$A:$K,8,FALSE)</f>
        <v>Resistant</v>
      </c>
      <c r="AU738" t="str">
        <f>VLOOKUP($I738,'[2]Table S5'!$A:$K,9,FALSE)</f>
        <v>Resistant</v>
      </c>
      <c r="AV738" t="str">
        <f>VLOOKUP($I738,'[2]Table S5'!$A:$K,10,FALSE)</f>
        <v>Resistant</v>
      </c>
      <c r="AW738" t="str">
        <f>VLOOKUP($I738,'[2]Table S5'!$A:$K,11,FALSE)</f>
        <v>Resistant</v>
      </c>
    </row>
    <row r="739" spans="1:49">
      <c r="A739" s="12" t="s">
        <v>4602</v>
      </c>
      <c r="B739" t="s">
        <v>4600</v>
      </c>
      <c r="C739" t="s">
        <v>4601</v>
      </c>
      <c r="D739" t="s">
        <v>17</v>
      </c>
      <c r="E739" t="s">
        <v>2625</v>
      </c>
      <c r="F739" s="12" t="s">
        <v>2626</v>
      </c>
      <c r="G739" t="s">
        <v>2627</v>
      </c>
      <c r="H739" t="s">
        <v>2628</v>
      </c>
      <c r="I739" t="s">
        <v>2604</v>
      </c>
      <c r="J739" t="s">
        <v>2605</v>
      </c>
      <c r="K739">
        <f>VLOOKUP($J739,'[1]Table S6'!$A:$AI,2,FALSE)</f>
        <v>395.6</v>
      </c>
      <c r="L739">
        <f>VLOOKUP($J739,'[1]Table S6'!$A:$AI,3,FALSE)</f>
        <v>0.84188125133006997</v>
      </c>
      <c r="M739">
        <f>VLOOKUP($J739,'[1]Table S6'!$A:$AI,4,FALSE)</f>
        <v>121.7</v>
      </c>
      <c r="N739" t="str">
        <f>VLOOKUP($J739,'[1]Table S6'!$A:$AI,5,FALSE)</f>
        <v>No</v>
      </c>
      <c r="P739">
        <f>VLOOKUP($J739,'[1]Table S6'!$A:$AI,7,FALSE)</f>
        <v>368.4</v>
      </c>
      <c r="Q739">
        <f>VLOOKUP($J739,'[1]Table S6'!$A:$AI,8,FALSE)</f>
        <v>0.78399659502021701</v>
      </c>
      <c r="R739">
        <f>VLOOKUP($J739,'[1]Table S6'!$A:$AI,9,FALSE)</f>
        <v>9.2349999999999994</v>
      </c>
      <c r="S739" t="str">
        <f>VLOOKUP($J739,'[1]Table S6'!$A:$AI,10,FALSE)</f>
        <v>No</v>
      </c>
      <c r="U739">
        <f>VLOOKUP($J739,'[1]Table S6'!$A:$AI,12,FALSE)</f>
        <v>413.2</v>
      </c>
      <c r="V739">
        <f>VLOOKUP($J739,'[1]Table S6'!$A:$AI,13,FALSE)</f>
        <v>0.87933602894232799</v>
      </c>
      <c r="W739">
        <f>VLOOKUP($J739,'[1]Table S6'!$A:$AI,14,FALSE)</f>
        <v>34.369999999999997</v>
      </c>
      <c r="X739" t="str">
        <f>VLOOKUP($J739,'[1]Table S6'!$A:$AI,15,FALSE)</f>
        <v>No</v>
      </c>
      <c r="Z739">
        <f>VLOOKUP($J739,'[1]Table S6'!$A:$AI,17,FALSE)</f>
        <v>349.1</v>
      </c>
      <c r="AA739">
        <f>VLOOKUP($J739,'[1]Table S6'!$A:$AI,18,FALSE)</f>
        <v>0.74292402638859301</v>
      </c>
      <c r="AB739">
        <f>VLOOKUP($J739,'[1]Table S6'!$A:$AI,19,FALSE)</f>
        <v>9.0220000000000002</v>
      </c>
      <c r="AC739" t="str">
        <f>VLOOKUP($J739,'[1]Table S6'!$A:$AI,20,FALSE)</f>
        <v>No</v>
      </c>
      <c r="AE739">
        <f>VLOOKUP($J739,'[1]Table S6'!$A:$AI,22,FALSE)</f>
        <v>392</v>
      </c>
      <c r="AF739">
        <f>VLOOKUP($J739,'[1]Table S6'!$A:$AI,23,FALSE)</f>
        <v>0.83422004681847195</v>
      </c>
      <c r="AG739">
        <f>VLOOKUP($J739,'[1]Table S6'!$A:$AI,24,FALSE)</f>
        <v>20.86</v>
      </c>
      <c r="AH739" t="str">
        <f>VLOOKUP($J739,'[1]Table S6'!$A:$AI,25,FALSE)</f>
        <v>No</v>
      </c>
      <c r="AJ739">
        <f>VLOOKUP($J739,'[1]Table S6'!$A:$AI,27,FALSE)</f>
        <v>390.6</v>
      </c>
      <c r="AK739">
        <f>VLOOKUP($J739,'[1]Table S6'!$A:$AI,28,FALSE)</f>
        <v>0.83124068950840602</v>
      </c>
      <c r="AL739">
        <f>VLOOKUP($J739,'[1]Table S6'!$A:$AI,29,FALSE)</f>
        <v>77.680000000000007</v>
      </c>
      <c r="AM739" t="str">
        <f>VLOOKUP($J739,'[1]Table S6'!$A:$AI,30,FALSE)</f>
        <v>No</v>
      </c>
      <c r="AO739">
        <f>VLOOKUP($J739,'[1]Table S6'!$A:$AI,32,FALSE)</f>
        <v>384.3</v>
      </c>
      <c r="AP739">
        <f>VLOOKUP($J739,'[1]Table S6'!$A:$AI,33,FALSE)</f>
        <v>0.81783358161310904</v>
      </c>
      <c r="AQ739">
        <f>VLOOKUP($J739,'[1]Table S6'!$A:$AI,34,FALSE)</f>
        <v>44.76</v>
      </c>
      <c r="AR739" t="str">
        <f>VLOOKUP($J739,'[1]Table S6'!$A:$AI,35,FALSE)</f>
        <v>No</v>
      </c>
      <c r="AT739" t="str">
        <f>VLOOKUP($I739,'[2]Table S5'!$A:$K,8,FALSE)</f>
        <v>Resistant</v>
      </c>
      <c r="AU739" t="str">
        <f>VLOOKUP($I739,'[2]Table S5'!$A:$K,9,FALSE)</f>
        <v>Resistant</v>
      </c>
      <c r="AV739" t="str">
        <f>VLOOKUP($I739,'[2]Table S5'!$A:$K,10,FALSE)</f>
        <v>Resistant</v>
      </c>
      <c r="AW739" t="str">
        <f>VLOOKUP($I739,'[2]Table S5'!$A:$K,11,FALSE)</f>
        <v>Resistant</v>
      </c>
    </row>
    <row r="740" spans="1:49">
      <c r="A740" s="12" t="s">
        <v>4605</v>
      </c>
      <c r="B740" t="s">
        <v>4603</v>
      </c>
      <c r="C740" t="s">
        <v>4604</v>
      </c>
      <c r="D740" t="s">
        <v>17</v>
      </c>
      <c r="E740" t="s">
        <v>2632</v>
      </c>
      <c r="F740" s="12" t="s">
        <v>2633</v>
      </c>
      <c r="G740" t="s">
        <v>2634</v>
      </c>
      <c r="H740" t="s">
        <v>2635</v>
      </c>
      <c r="I740" t="s">
        <v>2604</v>
      </c>
      <c r="J740" t="s">
        <v>2613</v>
      </c>
      <c r="K740">
        <f>VLOOKUP($J740,'[1]Table S6'!$A:$AI,2,FALSE)</f>
        <v>398.2</v>
      </c>
      <c r="L740">
        <f>VLOOKUP($J740,'[1]Table S6'!$A:$AI,3,FALSE)</f>
        <v>0.84741434347733602</v>
      </c>
      <c r="M740">
        <f>VLOOKUP($J740,'[1]Table S6'!$A:$AI,4,FALSE)</f>
        <v>38.25</v>
      </c>
      <c r="N740" t="str">
        <f>VLOOKUP($J740,'[1]Table S6'!$A:$AI,5,FALSE)</f>
        <v>No</v>
      </c>
      <c r="P740">
        <f>VLOOKUP($J740,'[1]Table S6'!$A:$AI,7,FALSE)</f>
        <v>349.5</v>
      </c>
      <c r="Q740">
        <f>VLOOKUP($J740,'[1]Table S6'!$A:$AI,8,FALSE)</f>
        <v>0.74377527133432697</v>
      </c>
      <c r="R740">
        <f>VLOOKUP($J740,'[1]Table S6'!$A:$AI,9,FALSE)</f>
        <v>4.6710000000000003</v>
      </c>
      <c r="S740" t="str">
        <f>VLOOKUP($J740,'[1]Table S6'!$A:$AI,10,FALSE)</f>
        <v>No</v>
      </c>
      <c r="U740">
        <f>VLOOKUP($J740,'[1]Table S6'!$A:$AI,12,FALSE)</f>
        <v>325.39999999999998</v>
      </c>
      <c r="V740">
        <f>VLOOKUP($J740,'[1]Table S6'!$A:$AI,13,FALSE)</f>
        <v>0.69248776335390505</v>
      </c>
      <c r="W740">
        <f>VLOOKUP($J740,'[1]Table S6'!$A:$AI,14,FALSE)</f>
        <v>2.1970000000000001</v>
      </c>
      <c r="X740" t="str">
        <f>VLOOKUP($J740,'[1]Table S6'!$A:$AI,15,FALSE)</f>
        <v>Yes</v>
      </c>
      <c r="Z740">
        <f>VLOOKUP($J740,'[1]Table S6'!$A:$AI,17,FALSE)</f>
        <v>322.7</v>
      </c>
      <c r="AA740">
        <f>VLOOKUP($J740,'[1]Table S6'!$A:$AI,18,FALSE)</f>
        <v>0.68674185997020598</v>
      </c>
      <c r="AB740">
        <f>VLOOKUP($J740,'[1]Table S6'!$A:$AI,19,FALSE)</f>
        <v>1.841</v>
      </c>
      <c r="AC740" t="str">
        <f>VLOOKUP($J740,'[1]Table S6'!$A:$AI,20,FALSE)</f>
        <v>Yes</v>
      </c>
      <c r="AE740">
        <f>VLOOKUP($J740,'[1]Table S6'!$A:$AI,22,FALSE)</f>
        <v>365.2</v>
      </c>
      <c r="AF740">
        <f>VLOOKUP($J740,'[1]Table S6'!$A:$AI,23,FALSE)</f>
        <v>0.77718663545435196</v>
      </c>
      <c r="AG740">
        <f>VLOOKUP($J740,'[1]Table S6'!$A:$AI,24,FALSE)</f>
        <v>11.57</v>
      </c>
      <c r="AH740" t="str">
        <f>VLOOKUP($J740,'[1]Table S6'!$A:$AI,25,FALSE)</f>
        <v>No</v>
      </c>
      <c r="AJ740">
        <f>VLOOKUP($J740,'[1]Table S6'!$A:$AI,27,FALSE)</f>
        <v>409.9</v>
      </c>
      <c r="AK740">
        <f>VLOOKUP($J740,'[1]Table S6'!$A:$AI,28,FALSE)</f>
        <v>0.87231325814003002</v>
      </c>
      <c r="AL740">
        <f>VLOOKUP($J740,'[1]Table S6'!$A:$AI,29,FALSE)</f>
        <v>85.21</v>
      </c>
      <c r="AM740" t="str">
        <f>VLOOKUP($J740,'[1]Table S6'!$A:$AI,30,FALSE)</f>
        <v>No</v>
      </c>
      <c r="AO740">
        <f>VLOOKUP($J740,'[1]Table S6'!$A:$AI,32,FALSE)</f>
        <v>407.2</v>
      </c>
      <c r="AP740">
        <f>VLOOKUP($J740,'[1]Table S6'!$A:$AI,33,FALSE)</f>
        <v>0.86656735475633095</v>
      </c>
      <c r="AQ740">
        <f>VLOOKUP($J740,'[1]Table S6'!$A:$AI,34,FALSE)</f>
        <v>110</v>
      </c>
      <c r="AR740" t="str">
        <f>VLOOKUP($J740,'[1]Table S6'!$A:$AI,35,FALSE)</f>
        <v>No</v>
      </c>
      <c r="AT740" t="str">
        <f>VLOOKUP($I740,'[2]Table S5'!$A:$K,8,FALSE)</f>
        <v>Resistant</v>
      </c>
      <c r="AU740" t="str">
        <f>VLOOKUP($I740,'[2]Table S5'!$A:$K,9,FALSE)</f>
        <v>Resistant</v>
      </c>
      <c r="AV740" t="str">
        <f>VLOOKUP($I740,'[2]Table S5'!$A:$K,10,FALSE)</f>
        <v>Resistant</v>
      </c>
      <c r="AW740" t="str">
        <f>VLOOKUP($I740,'[2]Table S5'!$A:$K,11,FALSE)</f>
        <v>Resistant</v>
      </c>
    </row>
    <row r="741" spans="1:49">
      <c r="A741" s="12" t="s">
        <v>4608</v>
      </c>
      <c r="B741" t="s">
        <v>4606</v>
      </c>
      <c r="C741" t="s">
        <v>4607</v>
      </c>
      <c r="D741" t="s">
        <v>17</v>
      </c>
      <c r="E741" t="s">
        <v>2639</v>
      </c>
      <c r="F741" s="12" t="s">
        <v>2640</v>
      </c>
      <c r="G741" t="s">
        <v>2641</v>
      </c>
      <c r="H741" t="s">
        <v>2642</v>
      </c>
      <c r="I741" t="s">
        <v>2604</v>
      </c>
      <c r="J741" t="s">
        <v>2621</v>
      </c>
      <c r="K741">
        <f>VLOOKUP($J741,'[1]Table S6'!$A:$AI,2,FALSE)</f>
        <v>411.1</v>
      </c>
      <c r="L741">
        <f>VLOOKUP($J741,'[1]Table S6'!$A:$AI,3,FALSE)</f>
        <v>0.87486699297722903</v>
      </c>
      <c r="M741">
        <f>VLOOKUP($J741,'[1]Table S6'!$A:$AI,4,FALSE)</f>
        <v>31.31</v>
      </c>
      <c r="N741" t="str">
        <f>VLOOKUP($J741,'[1]Table S6'!$A:$AI,5,FALSE)</f>
        <v>No</v>
      </c>
      <c r="P741">
        <f>VLOOKUP($J741,'[1]Table S6'!$A:$AI,7,FALSE)</f>
        <v>324.7</v>
      </c>
      <c r="Q741">
        <f>VLOOKUP($J741,'[1]Table S6'!$A:$AI,8,FALSE)</f>
        <v>0.69099808469887203</v>
      </c>
      <c r="R741">
        <f>VLOOKUP($J741,'[1]Table S6'!$A:$AI,9,FALSE)</f>
        <v>2.1800000000000002</v>
      </c>
      <c r="S741" t="str">
        <f>VLOOKUP($J741,'[1]Table S6'!$A:$AI,10,FALSE)</f>
        <v>Yes</v>
      </c>
      <c r="U741">
        <f>VLOOKUP($J741,'[1]Table S6'!$A:$AI,12,FALSE)</f>
        <v>361.2</v>
      </c>
      <c r="V741">
        <f>VLOOKUP($J741,'[1]Table S6'!$A:$AI,13,FALSE)</f>
        <v>0.76867418599702098</v>
      </c>
      <c r="W741">
        <f>VLOOKUP($J741,'[1]Table S6'!$A:$AI,14,FALSE)</f>
        <v>4.1059999999999999</v>
      </c>
      <c r="X741" t="str">
        <f>VLOOKUP($J741,'[1]Table S6'!$A:$AI,15,FALSE)</f>
        <v>No</v>
      </c>
      <c r="Z741">
        <f>VLOOKUP($J741,'[1]Table S6'!$A:$AI,17,FALSE)</f>
        <v>321.8</v>
      </c>
      <c r="AA741">
        <f>VLOOKUP($J741,'[1]Table S6'!$A:$AI,18,FALSE)</f>
        <v>0.68482655884230703</v>
      </c>
      <c r="AB741">
        <f>VLOOKUP($J741,'[1]Table S6'!$A:$AI,19,FALSE)</f>
        <v>2.1989999999999998</v>
      </c>
      <c r="AC741" t="str">
        <f>VLOOKUP($J741,'[1]Table S6'!$A:$AI,20,FALSE)</f>
        <v>Yes</v>
      </c>
      <c r="AE741">
        <f>VLOOKUP($J741,'[1]Table S6'!$A:$AI,22,FALSE)</f>
        <v>434.7</v>
      </c>
      <c r="AF741">
        <f>VLOOKUP($J741,'[1]Table S6'!$A:$AI,23,FALSE)</f>
        <v>0.92509044477548397</v>
      </c>
      <c r="AG741">
        <f>VLOOKUP($J741,'[1]Table S6'!$A:$AI,24,FALSE)</f>
        <v>66.05</v>
      </c>
      <c r="AH741" t="str">
        <f>VLOOKUP($J741,'[1]Table S6'!$A:$AI,25,FALSE)</f>
        <v>No</v>
      </c>
      <c r="AJ741">
        <f>VLOOKUP($J741,'[1]Table S6'!$A:$AI,27,FALSE)</f>
        <v>453.6</v>
      </c>
      <c r="AK741">
        <f>VLOOKUP($J741,'[1]Table S6'!$A:$AI,28,FALSE)</f>
        <v>0.96531176846137501</v>
      </c>
      <c r="AL741">
        <f>VLOOKUP($J741,'[1]Table S6'!$A:$AI,29,FALSE)</f>
        <v>172.5</v>
      </c>
      <c r="AM741" t="str">
        <f>VLOOKUP($J741,'[1]Table S6'!$A:$AI,30,FALSE)</f>
        <v>No</v>
      </c>
      <c r="AO741">
        <f>VLOOKUP($J741,'[1]Table S6'!$A:$AI,32,FALSE)</f>
        <v>438</v>
      </c>
      <c r="AP741">
        <f>VLOOKUP($J741,'[1]Table S6'!$A:$AI,33,FALSE)</f>
        <v>0.93211321557778304</v>
      </c>
      <c r="AQ741">
        <f>VLOOKUP($J741,'[1]Table S6'!$A:$AI,34,FALSE)</f>
        <v>59.73</v>
      </c>
      <c r="AR741" t="str">
        <f>VLOOKUP($J741,'[1]Table S6'!$A:$AI,35,FALSE)</f>
        <v>No</v>
      </c>
      <c r="AT741" t="str">
        <f>VLOOKUP($I741,'[2]Table S5'!$A:$K,8,FALSE)</f>
        <v>Resistant</v>
      </c>
      <c r="AU741" t="str">
        <f>VLOOKUP($I741,'[2]Table S5'!$A:$K,9,FALSE)</f>
        <v>Resistant</v>
      </c>
      <c r="AV741" t="str">
        <f>VLOOKUP($I741,'[2]Table S5'!$A:$K,10,FALSE)</f>
        <v>Resistant</v>
      </c>
      <c r="AW741" t="str">
        <f>VLOOKUP($I741,'[2]Table S5'!$A:$K,11,FALSE)</f>
        <v>Resistant</v>
      </c>
    </row>
    <row r="742" spans="1:49">
      <c r="A742" s="12" t="s">
        <v>4611</v>
      </c>
      <c r="B742" t="s">
        <v>4609</v>
      </c>
      <c r="C742" t="s">
        <v>4610</v>
      </c>
      <c r="D742" t="s">
        <v>17</v>
      </c>
      <c r="E742" t="s">
        <v>2671</v>
      </c>
      <c r="F742" s="12" t="s">
        <v>2672</v>
      </c>
      <c r="G742" t="s">
        <v>2673</v>
      </c>
      <c r="H742" t="s">
        <v>2674</v>
      </c>
      <c r="I742" t="s">
        <v>2650</v>
      </c>
      <c r="J742" t="s">
        <v>2675</v>
      </c>
      <c r="K742">
        <f>VLOOKUP($J742,'[1]Table S6'!$A:$AI,2,FALSE)</f>
        <v>362.2</v>
      </c>
      <c r="L742">
        <f>VLOOKUP($J742,'[1]Table S6'!$A:$AI,3,FALSE)</f>
        <v>0.77080229836135306</v>
      </c>
      <c r="M742">
        <f>VLOOKUP($J742,'[1]Table S6'!$A:$AI,4,FALSE)</f>
        <v>6.577</v>
      </c>
      <c r="N742" t="str">
        <f>VLOOKUP($J742,'[1]Table S6'!$A:$AI,5,FALSE)</f>
        <v>No</v>
      </c>
      <c r="P742">
        <f>VLOOKUP($J742,'[1]Table S6'!$A:$AI,7,FALSE)</f>
        <v>348.1</v>
      </c>
      <c r="Q742">
        <f>VLOOKUP($J742,'[1]Table S6'!$A:$AI,8,FALSE)</f>
        <v>0.74079591402426104</v>
      </c>
      <c r="R742">
        <f>VLOOKUP($J742,'[1]Table S6'!$A:$AI,9,FALSE)</f>
        <v>3.1789999999999998</v>
      </c>
      <c r="S742" t="str">
        <f>VLOOKUP($J742,'[1]Table S6'!$A:$AI,10,FALSE)</f>
        <v>No</v>
      </c>
      <c r="U742">
        <f>VLOOKUP($J742,'[1]Table S6'!$A:$AI,12,FALSE)</f>
        <v>332</v>
      </c>
      <c r="V742">
        <f>VLOOKUP($J742,'[1]Table S6'!$A:$AI,13,FALSE)</f>
        <v>0.70653330495850197</v>
      </c>
      <c r="W742">
        <f>VLOOKUP($J742,'[1]Table S6'!$A:$AI,14,FALSE)</f>
        <v>2.2690000000000001</v>
      </c>
      <c r="X742" t="str">
        <f>VLOOKUP($J742,'[1]Table S6'!$A:$AI,15,FALSE)</f>
        <v>No</v>
      </c>
      <c r="Z742">
        <f>VLOOKUP($J742,'[1]Table S6'!$A:$AI,17,FALSE)</f>
        <v>404.4</v>
      </c>
      <c r="AA742">
        <f>VLOOKUP($J742,'[1]Table S6'!$A:$AI,18,FALSE)</f>
        <v>0.86060864013619898</v>
      </c>
      <c r="AB742">
        <f>VLOOKUP($J742,'[1]Table S6'!$A:$AI,19,FALSE)</f>
        <v>21.1</v>
      </c>
      <c r="AC742" t="str">
        <f>VLOOKUP($J742,'[1]Table S6'!$A:$AI,20,FALSE)</f>
        <v>No</v>
      </c>
      <c r="AE742">
        <f>VLOOKUP($J742,'[1]Table S6'!$A:$AI,22,FALSE)</f>
        <v>454.7</v>
      </c>
      <c r="AF742">
        <f>VLOOKUP($J742,'[1]Table S6'!$A:$AI,23,FALSE)</f>
        <v>0.967652692062141</v>
      </c>
      <c r="AG742">
        <f>VLOOKUP($J742,'[1]Table S6'!$A:$AI,24,FALSE)</f>
        <v>570</v>
      </c>
      <c r="AH742" t="str">
        <f>VLOOKUP($J742,'[1]Table S6'!$A:$AI,25,FALSE)</f>
        <v>No</v>
      </c>
      <c r="AJ742">
        <f>VLOOKUP($J742,'[1]Table S6'!$A:$AI,27,FALSE)</f>
        <v>332.3</v>
      </c>
      <c r="AK742">
        <f>VLOOKUP($J742,'[1]Table S6'!$A:$AI,28,FALSE)</f>
        <v>0.70717173866780203</v>
      </c>
      <c r="AL742">
        <f>VLOOKUP($J742,'[1]Table S6'!$A:$AI,29,FALSE)</f>
        <v>2.516</v>
      </c>
      <c r="AM742" t="str">
        <f>VLOOKUP($J742,'[1]Table S6'!$A:$AI,30,FALSE)</f>
        <v>No</v>
      </c>
      <c r="AO742">
        <f>VLOOKUP($J742,'[1]Table S6'!$A:$AI,32,FALSE)</f>
        <v>443.4</v>
      </c>
      <c r="AP742">
        <f>VLOOKUP($J742,'[1]Table S6'!$A:$AI,33,FALSE)</f>
        <v>0.94360502234517996</v>
      </c>
      <c r="AQ742">
        <f>VLOOKUP($J742,'[1]Table S6'!$A:$AI,34,FALSE)</f>
        <v>62.8</v>
      </c>
      <c r="AR742" t="str">
        <f>VLOOKUP($J742,'[1]Table S6'!$A:$AI,35,FALSE)</f>
        <v>No</v>
      </c>
      <c r="AT742" t="str">
        <f>VLOOKUP($I742,'[2]Table S5'!$A:$K,8,FALSE)</f>
        <v>Resistant</v>
      </c>
      <c r="AU742" t="str">
        <f>VLOOKUP($I742,'[2]Table S5'!$A:$K,9,FALSE)</f>
        <v>Resistant</v>
      </c>
      <c r="AV742" t="str">
        <f>VLOOKUP($I742,'[2]Table S5'!$A:$K,10,FALSE)</f>
        <v>Sensitive</v>
      </c>
      <c r="AW742" t="str">
        <f>VLOOKUP($I742,'[2]Table S5'!$A:$K,11,FALSE)</f>
        <v>Resistant</v>
      </c>
    </row>
    <row r="743" spans="1:49">
      <c r="A743" s="12" t="s">
        <v>4614</v>
      </c>
      <c r="B743" t="s">
        <v>4612</v>
      </c>
      <c r="C743" t="s">
        <v>4613</v>
      </c>
      <c r="D743" t="s">
        <v>17</v>
      </c>
      <c r="E743" t="s">
        <v>2679</v>
      </c>
      <c r="F743" s="12" t="s">
        <v>2680</v>
      </c>
      <c r="G743" t="s">
        <v>2681</v>
      </c>
      <c r="H743" t="s">
        <v>2682</v>
      </c>
      <c r="I743" t="s">
        <v>2650</v>
      </c>
      <c r="J743" t="s">
        <v>2683</v>
      </c>
      <c r="K743">
        <f>VLOOKUP($J743,'[1]Table S6'!$A:$AI,2,FALSE)</f>
        <v>380.7</v>
      </c>
      <c r="L743">
        <f>VLOOKUP($J743,'[1]Table S6'!$A:$AI,3,FALSE)</f>
        <v>0.81017237710151102</v>
      </c>
      <c r="M743">
        <f>VLOOKUP($J743,'[1]Table S6'!$A:$AI,4,FALSE)</f>
        <v>13.49</v>
      </c>
      <c r="N743" t="str">
        <f>VLOOKUP($J743,'[1]Table S6'!$A:$AI,5,FALSE)</f>
        <v>No</v>
      </c>
      <c r="P743">
        <f>VLOOKUP($J743,'[1]Table S6'!$A:$AI,7,FALSE)</f>
        <v>338.3</v>
      </c>
      <c r="Q743">
        <f>VLOOKUP($J743,'[1]Table S6'!$A:$AI,8,FALSE)</f>
        <v>0.71994041285379895</v>
      </c>
      <c r="R743">
        <f>VLOOKUP($J743,'[1]Table S6'!$A:$AI,9,FALSE)</f>
        <v>2.4849999999999999</v>
      </c>
      <c r="S743" t="str">
        <f>VLOOKUP($J743,'[1]Table S6'!$A:$AI,10,FALSE)</f>
        <v>No</v>
      </c>
      <c r="U743">
        <f>VLOOKUP($J743,'[1]Table S6'!$A:$AI,12,FALSE)</f>
        <v>327.9</v>
      </c>
      <c r="V743">
        <f>VLOOKUP($J743,'[1]Table S6'!$A:$AI,13,FALSE)</f>
        <v>0.69780804426473697</v>
      </c>
      <c r="W743">
        <f>VLOOKUP($J743,'[1]Table S6'!$A:$AI,14,FALSE)</f>
        <v>2.411</v>
      </c>
      <c r="X743" t="str">
        <f>VLOOKUP($J743,'[1]Table S6'!$A:$AI,15,FALSE)</f>
        <v>Yes</v>
      </c>
      <c r="Z743">
        <f>VLOOKUP($J743,'[1]Table S6'!$A:$AI,17,FALSE)</f>
        <v>390.3</v>
      </c>
      <c r="AA743">
        <f>VLOOKUP($J743,'[1]Table S6'!$A:$AI,18,FALSE)</f>
        <v>0.83060225579910596</v>
      </c>
      <c r="AB743">
        <f>VLOOKUP($J743,'[1]Table S6'!$A:$AI,19,FALSE)</f>
        <v>19.63</v>
      </c>
      <c r="AC743" t="str">
        <f>VLOOKUP($J743,'[1]Table S6'!$A:$AI,20,FALSE)</f>
        <v>No</v>
      </c>
      <c r="AE743">
        <f>VLOOKUP($J743,'[1]Table S6'!$A:$AI,22,FALSE)</f>
        <v>433.9</v>
      </c>
      <c r="AF743">
        <f>VLOOKUP($J743,'[1]Table S6'!$A:$AI,23,FALSE)</f>
        <v>0.92338795488401804</v>
      </c>
      <c r="AG743">
        <f>VLOOKUP($J743,'[1]Table S6'!$A:$AI,24,FALSE)</f>
        <v>111.3</v>
      </c>
      <c r="AH743" t="str">
        <f>VLOOKUP($J743,'[1]Table S6'!$A:$AI,25,FALSE)</f>
        <v>No</v>
      </c>
      <c r="AJ743">
        <f>VLOOKUP($J743,'[1]Table S6'!$A:$AI,27,FALSE)</f>
        <v>416.7</v>
      </c>
      <c r="AK743">
        <f>VLOOKUP($J743,'[1]Table S6'!$A:$AI,28,FALSE)</f>
        <v>0.88678442221749298</v>
      </c>
      <c r="AL743">
        <f>VLOOKUP($J743,'[1]Table S6'!$A:$AI,29,FALSE)</f>
        <v>45.54</v>
      </c>
      <c r="AM743" t="str">
        <f>VLOOKUP($J743,'[1]Table S6'!$A:$AI,30,FALSE)</f>
        <v>No</v>
      </c>
      <c r="AO743">
        <f>VLOOKUP($J743,'[1]Table S6'!$A:$AI,32,FALSE)</f>
        <v>423.6</v>
      </c>
      <c r="AP743">
        <f>VLOOKUP($J743,'[1]Table S6'!$A:$AI,33,FALSE)</f>
        <v>0.90146839753138996</v>
      </c>
      <c r="AQ743">
        <f>VLOOKUP($J743,'[1]Table S6'!$A:$AI,34,FALSE)</f>
        <v>50.89</v>
      </c>
      <c r="AR743" t="str">
        <f>VLOOKUP($J743,'[1]Table S6'!$A:$AI,35,FALSE)</f>
        <v>No</v>
      </c>
      <c r="AT743" t="str">
        <f>VLOOKUP($I743,'[2]Table S5'!$A:$K,8,FALSE)</f>
        <v>Resistant</v>
      </c>
      <c r="AU743" t="str">
        <f>VLOOKUP($I743,'[2]Table S5'!$A:$K,9,FALSE)</f>
        <v>Resistant</v>
      </c>
      <c r="AV743" t="str">
        <f>VLOOKUP($I743,'[2]Table S5'!$A:$K,10,FALSE)</f>
        <v>Sensitive</v>
      </c>
      <c r="AW743" t="str">
        <f>VLOOKUP($I743,'[2]Table S5'!$A:$K,11,FALSE)</f>
        <v>Resistant</v>
      </c>
    </row>
    <row r="744" spans="1:49">
      <c r="A744" s="12" t="s">
        <v>4617</v>
      </c>
      <c r="B744" t="s">
        <v>4615</v>
      </c>
      <c r="C744" t="s">
        <v>4616</v>
      </c>
      <c r="D744" t="s">
        <v>17</v>
      </c>
      <c r="E744" t="s">
        <v>2655</v>
      </c>
      <c r="F744" s="12" t="s">
        <v>2656</v>
      </c>
      <c r="G744" t="s">
        <v>2657</v>
      </c>
      <c r="H744" t="s">
        <v>2658</v>
      </c>
      <c r="I744" t="s">
        <v>2650</v>
      </c>
      <c r="J744" t="s">
        <v>2659</v>
      </c>
      <c r="K744">
        <f>VLOOKUP($J744,'[1]Table S6'!$A:$AI,2,FALSE)</f>
        <v>409.2</v>
      </c>
      <c r="L744">
        <f>VLOOKUP($J744,'[1]Table S6'!$A:$AI,3,FALSE)</f>
        <v>0.870823579484997</v>
      </c>
      <c r="M744">
        <f>VLOOKUP($J744,'[1]Table S6'!$A:$AI,4,FALSE)</f>
        <v>22.67</v>
      </c>
      <c r="N744" t="str">
        <f>VLOOKUP($J744,'[1]Table S6'!$A:$AI,5,FALSE)</f>
        <v>No</v>
      </c>
      <c r="P744">
        <f>VLOOKUP($J744,'[1]Table S6'!$A:$AI,7,FALSE)</f>
        <v>331.7</v>
      </c>
      <c r="Q744">
        <f>VLOOKUP($J744,'[1]Table S6'!$A:$AI,8,FALSE)</f>
        <v>0.70589487124920203</v>
      </c>
      <c r="R744">
        <f>VLOOKUP($J744,'[1]Table S6'!$A:$AI,9,FALSE)</f>
        <v>2.5099999999999998</v>
      </c>
      <c r="S744" t="str">
        <f>VLOOKUP($J744,'[1]Table S6'!$A:$AI,10,FALSE)</f>
        <v>No</v>
      </c>
      <c r="U744">
        <f>VLOOKUP($J744,'[1]Table S6'!$A:$AI,12,FALSE)</f>
        <v>318</v>
      </c>
      <c r="V744">
        <f>VLOOKUP($J744,'[1]Table S6'!$A:$AI,13,FALSE)</f>
        <v>0.67673973185784198</v>
      </c>
      <c r="W744">
        <f>VLOOKUP($J744,'[1]Table S6'!$A:$AI,14,FALSE)</f>
        <v>1.6180000000000001</v>
      </c>
      <c r="X744" t="str">
        <f>VLOOKUP($J744,'[1]Table S6'!$A:$AI,15,FALSE)</f>
        <v>Yes</v>
      </c>
      <c r="Z744">
        <f>VLOOKUP($J744,'[1]Table S6'!$A:$AI,17,FALSE)</f>
        <v>384.8</v>
      </c>
      <c r="AA744">
        <f>VLOOKUP($J744,'[1]Table S6'!$A:$AI,18,FALSE)</f>
        <v>0.81889763779527602</v>
      </c>
      <c r="AB744">
        <f>VLOOKUP($J744,'[1]Table S6'!$A:$AI,19,FALSE)</f>
        <v>17.600000000000001</v>
      </c>
      <c r="AC744" t="str">
        <f>VLOOKUP($J744,'[1]Table S6'!$A:$AI,20,FALSE)</f>
        <v>No</v>
      </c>
      <c r="AE744">
        <f>VLOOKUP($J744,'[1]Table S6'!$A:$AI,22,FALSE)</f>
        <v>391.4</v>
      </c>
      <c r="AF744">
        <f>VLOOKUP($J744,'[1]Table S6'!$A:$AI,23,FALSE)</f>
        <v>0.83294317939987195</v>
      </c>
      <c r="AG744">
        <f>VLOOKUP($J744,'[1]Table S6'!$A:$AI,24,FALSE)</f>
        <v>20.57</v>
      </c>
      <c r="AH744" t="str">
        <f>VLOOKUP($J744,'[1]Table S6'!$A:$AI,25,FALSE)</f>
        <v>No</v>
      </c>
      <c r="AJ744">
        <f>VLOOKUP($J744,'[1]Table S6'!$A:$AI,27,FALSE)</f>
        <v>418.9</v>
      </c>
      <c r="AK744">
        <f>VLOOKUP($J744,'[1]Table S6'!$A:$AI,28,FALSE)</f>
        <v>0.89146626941902496</v>
      </c>
      <c r="AL744">
        <f>VLOOKUP($J744,'[1]Table S6'!$A:$AI,29,FALSE)</f>
        <v>41.6</v>
      </c>
      <c r="AM744" t="str">
        <f>VLOOKUP($J744,'[1]Table S6'!$A:$AI,30,FALSE)</f>
        <v>No</v>
      </c>
      <c r="AO744">
        <f>VLOOKUP($J744,'[1]Table S6'!$A:$AI,32,FALSE)</f>
        <v>425.9</v>
      </c>
      <c r="AP744">
        <f>VLOOKUP($J744,'[1]Table S6'!$A:$AI,33,FALSE)</f>
        <v>0.90636305596935496</v>
      </c>
      <c r="AQ744">
        <f>VLOOKUP($J744,'[1]Table S6'!$A:$AI,34,FALSE)</f>
        <v>62.21</v>
      </c>
      <c r="AR744" t="str">
        <f>VLOOKUP($J744,'[1]Table S6'!$A:$AI,35,FALSE)</f>
        <v>No</v>
      </c>
      <c r="AT744" t="str">
        <f>VLOOKUP($I744,'[2]Table S5'!$A:$K,8,FALSE)</f>
        <v>Resistant</v>
      </c>
      <c r="AU744" t="str">
        <f>VLOOKUP($I744,'[2]Table S5'!$A:$K,9,FALSE)</f>
        <v>Resistant</v>
      </c>
      <c r="AV744" t="str">
        <f>VLOOKUP($I744,'[2]Table S5'!$A:$K,10,FALSE)</f>
        <v>Sensitive</v>
      </c>
      <c r="AW744" t="str">
        <f>VLOOKUP($I744,'[2]Table S5'!$A:$K,11,FALSE)</f>
        <v>Resistant</v>
      </c>
    </row>
    <row r="745" spans="1:49">
      <c r="A745" s="12" t="s">
        <v>4620</v>
      </c>
      <c r="B745" t="s">
        <v>4618</v>
      </c>
      <c r="C745" t="s">
        <v>4619</v>
      </c>
      <c r="D745" t="s">
        <v>17</v>
      </c>
      <c r="E745" t="s">
        <v>2646</v>
      </c>
      <c r="F745" s="12" t="s">
        <v>2647</v>
      </c>
      <c r="G745" t="s">
        <v>2648</v>
      </c>
      <c r="H745" t="s">
        <v>2649</v>
      </c>
      <c r="I745" t="s">
        <v>2650</v>
      </c>
      <c r="J745" t="s">
        <v>2651</v>
      </c>
      <c r="K745">
        <f>VLOOKUP($J745,'[1]Table S6'!$A:$AI,2,FALSE)</f>
        <v>345.2</v>
      </c>
      <c r="L745">
        <f>VLOOKUP($J745,'[1]Table S6'!$A:$AI,3,FALSE)</f>
        <v>0.73462438816769504</v>
      </c>
      <c r="M745">
        <f>VLOOKUP($J745,'[1]Table S6'!$A:$AI,4,FALSE)</f>
        <v>7.0449999999999999</v>
      </c>
      <c r="N745" t="str">
        <f>VLOOKUP($J745,'[1]Table S6'!$A:$AI,5,FALSE)</f>
        <v>No</v>
      </c>
      <c r="P745">
        <f>VLOOKUP($J745,'[1]Table S6'!$A:$AI,7,FALSE)</f>
        <v>311.10000000000002</v>
      </c>
      <c r="Q745">
        <f>VLOOKUP($J745,'[1]Table S6'!$A:$AI,8,FALSE)</f>
        <v>0.66205575654394599</v>
      </c>
      <c r="R745">
        <f>VLOOKUP($J745,'[1]Table S6'!$A:$AI,9,FALSE)</f>
        <v>1.681</v>
      </c>
      <c r="S745" t="str">
        <f>VLOOKUP($J745,'[1]Table S6'!$A:$AI,10,FALSE)</f>
        <v>Yes</v>
      </c>
      <c r="U745">
        <f>VLOOKUP($J745,'[1]Table S6'!$A:$AI,12,FALSE)</f>
        <v>307.3</v>
      </c>
      <c r="V745">
        <f>VLOOKUP($J745,'[1]Table S6'!$A:$AI,13,FALSE)</f>
        <v>0.65396892955948105</v>
      </c>
      <c r="W745">
        <f>VLOOKUP($J745,'[1]Table S6'!$A:$AI,14,FALSE)</f>
        <v>1.3919999999999999</v>
      </c>
      <c r="X745" t="str">
        <f>VLOOKUP($J745,'[1]Table S6'!$A:$AI,15,FALSE)</f>
        <v>Yes</v>
      </c>
      <c r="Z745">
        <f>VLOOKUP($J745,'[1]Table S6'!$A:$AI,17,FALSE)</f>
        <v>361.8</v>
      </c>
      <c r="AA745">
        <f>VLOOKUP($J745,'[1]Table S6'!$A:$AI,18,FALSE)</f>
        <v>0.76995105341561998</v>
      </c>
      <c r="AB745">
        <f>VLOOKUP($J745,'[1]Table S6'!$A:$AI,19,FALSE)</f>
        <v>8.1280000000000001</v>
      </c>
      <c r="AC745" t="str">
        <f>VLOOKUP($J745,'[1]Table S6'!$A:$AI,20,FALSE)</f>
        <v>No</v>
      </c>
      <c r="AE745">
        <f>VLOOKUP($J745,'[1]Table S6'!$A:$AI,22,FALSE)</f>
        <v>396.9</v>
      </c>
      <c r="AF745">
        <f>VLOOKUP($J745,'[1]Table S6'!$A:$AI,23,FALSE)</f>
        <v>0.84464779740370299</v>
      </c>
      <c r="AG745">
        <f>VLOOKUP($J745,'[1]Table S6'!$A:$AI,24,FALSE)</f>
        <v>42.4</v>
      </c>
      <c r="AH745" t="str">
        <f>VLOOKUP($J745,'[1]Table S6'!$A:$AI,25,FALSE)</f>
        <v>No</v>
      </c>
      <c r="AJ745">
        <f>VLOOKUP($J745,'[1]Table S6'!$A:$AI,27,FALSE)</f>
        <v>388.8</v>
      </c>
      <c r="AK745">
        <f>VLOOKUP($J745,'[1]Table S6'!$A:$AI,28,FALSE)</f>
        <v>0.82741008725260701</v>
      </c>
      <c r="AL745">
        <f>VLOOKUP($J745,'[1]Table S6'!$A:$AI,29,FALSE)</f>
        <v>33.54</v>
      </c>
      <c r="AM745" t="str">
        <f>VLOOKUP($J745,'[1]Table S6'!$A:$AI,30,FALSE)</f>
        <v>No</v>
      </c>
      <c r="AO745">
        <f>VLOOKUP($J745,'[1]Table S6'!$A:$AI,32,FALSE)</f>
        <v>358.1</v>
      </c>
      <c r="AP745">
        <f>VLOOKUP($J745,'[1]Table S6'!$A:$AI,33,FALSE)</f>
        <v>0.76207703766758905</v>
      </c>
      <c r="AQ745">
        <f>VLOOKUP($J745,'[1]Table S6'!$A:$AI,34,FALSE)</f>
        <v>10.34</v>
      </c>
      <c r="AR745" t="str">
        <f>VLOOKUP($J745,'[1]Table S6'!$A:$AI,35,FALSE)</f>
        <v>No</v>
      </c>
      <c r="AT745" t="str">
        <f>VLOOKUP($I745,'[2]Table S5'!$A:$K,8,FALSE)</f>
        <v>Resistant</v>
      </c>
      <c r="AU745" t="str">
        <f>VLOOKUP($I745,'[2]Table S5'!$A:$K,9,FALSE)</f>
        <v>Resistant</v>
      </c>
      <c r="AV745" t="str">
        <f>VLOOKUP($I745,'[2]Table S5'!$A:$K,10,FALSE)</f>
        <v>Sensitive</v>
      </c>
      <c r="AW745" t="str">
        <f>VLOOKUP($I745,'[2]Table S5'!$A:$K,11,FALSE)</f>
        <v>Resistant</v>
      </c>
    </row>
    <row r="746" spans="1:49">
      <c r="A746" s="12" t="s">
        <v>4623</v>
      </c>
      <c r="B746" t="s">
        <v>4621</v>
      </c>
      <c r="C746" t="s">
        <v>4622</v>
      </c>
      <c r="D746" t="s">
        <v>17</v>
      </c>
      <c r="E746" t="s">
        <v>2694</v>
      </c>
      <c r="F746" s="12" t="s">
        <v>2695</v>
      </c>
      <c r="G746" t="s">
        <v>2696</v>
      </c>
      <c r="H746" t="s">
        <v>2697</v>
      </c>
      <c r="I746" t="s">
        <v>2650</v>
      </c>
      <c r="J746" t="s">
        <v>2683</v>
      </c>
      <c r="K746">
        <f>VLOOKUP($J746,'[1]Table S6'!$A:$AI,2,FALSE)</f>
        <v>380.7</v>
      </c>
      <c r="L746">
        <f>VLOOKUP($J746,'[1]Table S6'!$A:$AI,3,FALSE)</f>
        <v>0.81017237710151102</v>
      </c>
      <c r="M746">
        <f>VLOOKUP($J746,'[1]Table S6'!$A:$AI,4,FALSE)</f>
        <v>13.49</v>
      </c>
      <c r="N746" t="str">
        <f>VLOOKUP($J746,'[1]Table S6'!$A:$AI,5,FALSE)</f>
        <v>No</v>
      </c>
      <c r="P746">
        <f>VLOOKUP($J746,'[1]Table S6'!$A:$AI,7,FALSE)</f>
        <v>338.3</v>
      </c>
      <c r="Q746">
        <f>VLOOKUP($J746,'[1]Table S6'!$A:$AI,8,FALSE)</f>
        <v>0.71994041285379895</v>
      </c>
      <c r="R746">
        <f>VLOOKUP($J746,'[1]Table S6'!$A:$AI,9,FALSE)</f>
        <v>2.4849999999999999</v>
      </c>
      <c r="S746" t="str">
        <f>VLOOKUP($J746,'[1]Table S6'!$A:$AI,10,FALSE)</f>
        <v>No</v>
      </c>
      <c r="U746">
        <f>VLOOKUP($J746,'[1]Table S6'!$A:$AI,12,FALSE)</f>
        <v>327.9</v>
      </c>
      <c r="V746">
        <f>VLOOKUP($J746,'[1]Table S6'!$A:$AI,13,FALSE)</f>
        <v>0.69780804426473697</v>
      </c>
      <c r="W746">
        <f>VLOOKUP($J746,'[1]Table S6'!$A:$AI,14,FALSE)</f>
        <v>2.411</v>
      </c>
      <c r="X746" t="str">
        <f>VLOOKUP($J746,'[1]Table S6'!$A:$AI,15,FALSE)</f>
        <v>Yes</v>
      </c>
      <c r="Z746">
        <f>VLOOKUP($J746,'[1]Table S6'!$A:$AI,17,FALSE)</f>
        <v>390.3</v>
      </c>
      <c r="AA746">
        <f>VLOOKUP($J746,'[1]Table S6'!$A:$AI,18,FALSE)</f>
        <v>0.83060225579910596</v>
      </c>
      <c r="AB746">
        <f>VLOOKUP($J746,'[1]Table S6'!$A:$AI,19,FALSE)</f>
        <v>19.63</v>
      </c>
      <c r="AC746" t="str">
        <f>VLOOKUP($J746,'[1]Table S6'!$A:$AI,20,FALSE)</f>
        <v>No</v>
      </c>
      <c r="AE746">
        <f>VLOOKUP($J746,'[1]Table S6'!$A:$AI,22,FALSE)</f>
        <v>433.9</v>
      </c>
      <c r="AF746">
        <f>VLOOKUP($J746,'[1]Table S6'!$A:$AI,23,FALSE)</f>
        <v>0.92338795488401804</v>
      </c>
      <c r="AG746">
        <f>VLOOKUP($J746,'[1]Table S6'!$A:$AI,24,FALSE)</f>
        <v>111.3</v>
      </c>
      <c r="AH746" t="str">
        <f>VLOOKUP($J746,'[1]Table S6'!$A:$AI,25,FALSE)</f>
        <v>No</v>
      </c>
      <c r="AJ746">
        <f>VLOOKUP($J746,'[1]Table S6'!$A:$AI,27,FALSE)</f>
        <v>416.7</v>
      </c>
      <c r="AK746">
        <f>VLOOKUP($J746,'[1]Table S6'!$A:$AI,28,FALSE)</f>
        <v>0.88678442221749298</v>
      </c>
      <c r="AL746">
        <f>VLOOKUP($J746,'[1]Table S6'!$A:$AI,29,FALSE)</f>
        <v>45.54</v>
      </c>
      <c r="AM746" t="str">
        <f>VLOOKUP($J746,'[1]Table S6'!$A:$AI,30,FALSE)</f>
        <v>No</v>
      </c>
      <c r="AO746">
        <f>VLOOKUP($J746,'[1]Table S6'!$A:$AI,32,FALSE)</f>
        <v>423.6</v>
      </c>
      <c r="AP746">
        <f>VLOOKUP($J746,'[1]Table S6'!$A:$AI,33,FALSE)</f>
        <v>0.90146839753138996</v>
      </c>
      <c r="AQ746">
        <f>VLOOKUP($J746,'[1]Table S6'!$A:$AI,34,FALSE)</f>
        <v>50.89</v>
      </c>
      <c r="AR746" t="str">
        <f>VLOOKUP($J746,'[1]Table S6'!$A:$AI,35,FALSE)</f>
        <v>No</v>
      </c>
      <c r="AT746" t="str">
        <f>VLOOKUP($I746,'[2]Table S5'!$A:$K,8,FALSE)</f>
        <v>Resistant</v>
      </c>
      <c r="AU746" t="str">
        <f>VLOOKUP($I746,'[2]Table S5'!$A:$K,9,FALSE)</f>
        <v>Resistant</v>
      </c>
      <c r="AV746" t="str">
        <f>VLOOKUP($I746,'[2]Table S5'!$A:$K,10,FALSE)</f>
        <v>Sensitive</v>
      </c>
      <c r="AW746" t="str">
        <f>VLOOKUP($I746,'[2]Table S5'!$A:$K,11,FALSE)</f>
        <v>Resistant</v>
      </c>
    </row>
    <row r="747" spans="1:49">
      <c r="A747" s="12" t="s">
        <v>4630</v>
      </c>
      <c r="B747" t="s">
        <v>4624</v>
      </c>
      <c r="C747" t="s">
        <v>4625</v>
      </c>
      <c r="D747" t="s">
        <v>17</v>
      </c>
      <c r="E747" t="s">
        <v>4626</v>
      </c>
      <c r="F747" s="12" t="s">
        <v>4627</v>
      </c>
      <c r="G747" t="s">
        <v>4628</v>
      </c>
      <c r="H747" t="s">
        <v>4629</v>
      </c>
      <c r="I747" t="s">
        <v>2650</v>
      </c>
      <c r="J747" t="s">
        <v>2659</v>
      </c>
      <c r="K747">
        <f>VLOOKUP($J747,'[1]Table S6'!$A:$AI,2,FALSE)</f>
        <v>409.2</v>
      </c>
      <c r="L747">
        <f>VLOOKUP($J747,'[1]Table S6'!$A:$AI,3,FALSE)</f>
        <v>0.870823579484997</v>
      </c>
      <c r="M747">
        <f>VLOOKUP($J747,'[1]Table S6'!$A:$AI,4,FALSE)</f>
        <v>22.67</v>
      </c>
      <c r="N747" t="str">
        <f>VLOOKUP($J747,'[1]Table S6'!$A:$AI,5,FALSE)</f>
        <v>No</v>
      </c>
      <c r="P747">
        <f>VLOOKUP($J747,'[1]Table S6'!$A:$AI,7,FALSE)</f>
        <v>331.7</v>
      </c>
      <c r="Q747">
        <f>VLOOKUP($J747,'[1]Table S6'!$A:$AI,8,FALSE)</f>
        <v>0.70589487124920203</v>
      </c>
      <c r="R747">
        <f>VLOOKUP($J747,'[1]Table S6'!$A:$AI,9,FALSE)</f>
        <v>2.5099999999999998</v>
      </c>
      <c r="S747" t="str">
        <f>VLOOKUP($J747,'[1]Table S6'!$A:$AI,10,FALSE)</f>
        <v>No</v>
      </c>
      <c r="U747">
        <f>VLOOKUP($J747,'[1]Table S6'!$A:$AI,12,FALSE)</f>
        <v>318</v>
      </c>
      <c r="V747">
        <f>VLOOKUP($J747,'[1]Table S6'!$A:$AI,13,FALSE)</f>
        <v>0.67673973185784198</v>
      </c>
      <c r="W747">
        <f>VLOOKUP($J747,'[1]Table S6'!$A:$AI,14,FALSE)</f>
        <v>1.6180000000000001</v>
      </c>
      <c r="X747" t="str">
        <f>VLOOKUP($J747,'[1]Table S6'!$A:$AI,15,FALSE)</f>
        <v>Yes</v>
      </c>
      <c r="Z747">
        <f>VLOOKUP($J747,'[1]Table S6'!$A:$AI,17,FALSE)</f>
        <v>384.8</v>
      </c>
      <c r="AA747">
        <f>VLOOKUP($J747,'[1]Table S6'!$A:$AI,18,FALSE)</f>
        <v>0.81889763779527602</v>
      </c>
      <c r="AB747">
        <f>VLOOKUP($J747,'[1]Table S6'!$A:$AI,19,FALSE)</f>
        <v>17.600000000000001</v>
      </c>
      <c r="AC747" t="str">
        <f>VLOOKUP($J747,'[1]Table S6'!$A:$AI,20,FALSE)</f>
        <v>No</v>
      </c>
      <c r="AE747">
        <f>VLOOKUP($J747,'[1]Table S6'!$A:$AI,22,FALSE)</f>
        <v>391.4</v>
      </c>
      <c r="AF747">
        <f>VLOOKUP($J747,'[1]Table S6'!$A:$AI,23,FALSE)</f>
        <v>0.83294317939987195</v>
      </c>
      <c r="AG747">
        <f>VLOOKUP($J747,'[1]Table S6'!$A:$AI,24,FALSE)</f>
        <v>20.57</v>
      </c>
      <c r="AH747" t="str">
        <f>VLOOKUP($J747,'[1]Table S6'!$A:$AI,25,FALSE)</f>
        <v>No</v>
      </c>
      <c r="AJ747">
        <f>VLOOKUP($J747,'[1]Table S6'!$A:$AI,27,FALSE)</f>
        <v>418.9</v>
      </c>
      <c r="AK747">
        <f>VLOOKUP($J747,'[1]Table S6'!$A:$AI,28,FALSE)</f>
        <v>0.89146626941902496</v>
      </c>
      <c r="AL747">
        <f>VLOOKUP($J747,'[1]Table S6'!$A:$AI,29,FALSE)</f>
        <v>41.6</v>
      </c>
      <c r="AM747" t="str">
        <f>VLOOKUP($J747,'[1]Table S6'!$A:$AI,30,FALSE)</f>
        <v>No</v>
      </c>
      <c r="AO747">
        <f>VLOOKUP($J747,'[1]Table S6'!$A:$AI,32,FALSE)</f>
        <v>425.9</v>
      </c>
      <c r="AP747">
        <f>VLOOKUP($J747,'[1]Table S6'!$A:$AI,33,FALSE)</f>
        <v>0.90636305596935496</v>
      </c>
      <c r="AQ747">
        <f>VLOOKUP($J747,'[1]Table S6'!$A:$AI,34,FALSE)</f>
        <v>62.21</v>
      </c>
      <c r="AR747" t="str">
        <f>VLOOKUP($J747,'[1]Table S6'!$A:$AI,35,FALSE)</f>
        <v>No</v>
      </c>
      <c r="AT747" t="str">
        <f>VLOOKUP($I747,'[2]Table S5'!$A:$K,8,FALSE)</f>
        <v>Resistant</v>
      </c>
      <c r="AU747" t="str">
        <f>VLOOKUP($I747,'[2]Table S5'!$A:$K,9,FALSE)</f>
        <v>Resistant</v>
      </c>
      <c r="AV747" t="str">
        <f>VLOOKUP($I747,'[2]Table S5'!$A:$K,10,FALSE)</f>
        <v>Sensitive</v>
      </c>
      <c r="AW747" t="str">
        <f>VLOOKUP($I747,'[2]Table S5'!$A:$K,11,FALSE)</f>
        <v>Resistant</v>
      </c>
    </row>
    <row r="748" spans="1:49">
      <c r="A748" s="12" t="s">
        <v>4637</v>
      </c>
      <c r="B748" t="s">
        <v>4631</v>
      </c>
      <c r="C748" t="s">
        <v>4632</v>
      </c>
      <c r="D748" t="s">
        <v>17</v>
      </c>
      <c r="E748" t="s">
        <v>4633</v>
      </c>
      <c r="F748" s="12" t="s">
        <v>4634</v>
      </c>
      <c r="G748" t="s">
        <v>4635</v>
      </c>
      <c r="H748" t="s">
        <v>4636</v>
      </c>
      <c r="I748" t="s">
        <v>2650</v>
      </c>
      <c r="J748" t="s">
        <v>2651</v>
      </c>
      <c r="K748">
        <f>VLOOKUP($J748,'[1]Table S6'!$A:$AI,2,FALSE)</f>
        <v>345.2</v>
      </c>
      <c r="L748">
        <f>VLOOKUP($J748,'[1]Table S6'!$A:$AI,3,FALSE)</f>
        <v>0.73462438816769504</v>
      </c>
      <c r="M748">
        <f>VLOOKUP($J748,'[1]Table S6'!$A:$AI,4,FALSE)</f>
        <v>7.0449999999999999</v>
      </c>
      <c r="N748" t="str">
        <f>VLOOKUP($J748,'[1]Table S6'!$A:$AI,5,FALSE)</f>
        <v>No</v>
      </c>
      <c r="P748">
        <f>VLOOKUP($J748,'[1]Table S6'!$A:$AI,7,FALSE)</f>
        <v>311.10000000000002</v>
      </c>
      <c r="Q748">
        <f>VLOOKUP($J748,'[1]Table S6'!$A:$AI,8,FALSE)</f>
        <v>0.66205575654394599</v>
      </c>
      <c r="R748">
        <f>VLOOKUP($J748,'[1]Table S6'!$A:$AI,9,FALSE)</f>
        <v>1.681</v>
      </c>
      <c r="S748" t="str">
        <f>VLOOKUP($J748,'[1]Table S6'!$A:$AI,10,FALSE)</f>
        <v>Yes</v>
      </c>
      <c r="U748">
        <f>VLOOKUP($J748,'[1]Table S6'!$A:$AI,12,FALSE)</f>
        <v>307.3</v>
      </c>
      <c r="V748">
        <f>VLOOKUP($J748,'[1]Table S6'!$A:$AI,13,FALSE)</f>
        <v>0.65396892955948105</v>
      </c>
      <c r="W748">
        <f>VLOOKUP($J748,'[1]Table S6'!$A:$AI,14,FALSE)</f>
        <v>1.3919999999999999</v>
      </c>
      <c r="X748" t="str">
        <f>VLOOKUP($J748,'[1]Table S6'!$A:$AI,15,FALSE)</f>
        <v>Yes</v>
      </c>
      <c r="Z748">
        <f>VLOOKUP($J748,'[1]Table S6'!$A:$AI,17,FALSE)</f>
        <v>361.8</v>
      </c>
      <c r="AA748">
        <f>VLOOKUP($J748,'[1]Table S6'!$A:$AI,18,FALSE)</f>
        <v>0.76995105341561998</v>
      </c>
      <c r="AB748">
        <f>VLOOKUP($J748,'[1]Table S6'!$A:$AI,19,FALSE)</f>
        <v>8.1280000000000001</v>
      </c>
      <c r="AC748" t="str">
        <f>VLOOKUP($J748,'[1]Table S6'!$A:$AI,20,FALSE)</f>
        <v>No</v>
      </c>
      <c r="AE748">
        <f>VLOOKUP($J748,'[1]Table S6'!$A:$AI,22,FALSE)</f>
        <v>396.9</v>
      </c>
      <c r="AF748">
        <f>VLOOKUP($J748,'[1]Table S6'!$A:$AI,23,FALSE)</f>
        <v>0.84464779740370299</v>
      </c>
      <c r="AG748">
        <f>VLOOKUP($J748,'[1]Table S6'!$A:$AI,24,FALSE)</f>
        <v>42.4</v>
      </c>
      <c r="AH748" t="str">
        <f>VLOOKUP($J748,'[1]Table S6'!$A:$AI,25,FALSE)</f>
        <v>No</v>
      </c>
      <c r="AJ748">
        <f>VLOOKUP($J748,'[1]Table S6'!$A:$AI,27,FALSE)</f>
        <v>388.8</v>
      </c>
      <c r="AK748">
        <f>VLOOKUP($J748,'[1]Table S6'!$A:$AI,28,FALSE)</f>
        <v>0.82741008725260701</v>
      </c>
      <c r="AL748">
        <f>VLOOKUP($J748,'[1]Table S6'!$A:$AI,29,FALSE)</f>
        <v>33.54</v>
      </c>
      <c r="AM748" t="str">
        <f>VLOOKUP($J748,'[1]Table S6'!$A:$AI,30,FALSE)</f>
        <v>No</v>
      </c>
      <c r="AO748">
        <f>VLOOKUP($J748,'[1]Table S6'!$A:$AI,32,FALSE)</f>
        <v>358.1</v>
      </c>
      <c r="AP748">
        <f>VLOOKUP($J748,'[1]Table S6'!$A:$AI,33,FALSE)</f>
        <v>0.76207703766758905</v>
      </c>
      <c r="AQ748">
        <f>VLOOKUP($J748,'[1]Table S6'!$A:$AI,34,FALSE)</f>
        <v>10.34</v>
      </c>
      <c r="AR748" t="str">
        <f>VLOOKUP($J748,'[1]Table S6'!$A:$AI,35,FALSE)</f>
        <v>No</v>
      </c>
      <c r="AT748" t="str">
        <f>VLOOKUP($I748,'[2]Table S5'!$A:$K,8,FALSE)</f>
        <v>Resistant</v>
      </c>
      <c r="AU748" t="str">
        <f>VLOOKUP($I748,'[2]Table S5'!$A:$K,9,FALSE)</f>
        <v>Resistant</v>
      </c>
      <c r="AV748" t="str">
        <f>VLOOKUP($I748,'[2]Table S5'!$A:$K,10,FALSE)</f>
        <v>Sensitive</v>
      </c>
      <c r="AW748" t="str">
        <f>VLOOKUP($I748,'[2]Table S5'!$A:$K,11,FALSE)</f>
        <v>Resistant</v>
      </c>
    </row>
    <row r="749" spans="1:49">
      <c r="A749" s="12" t="s">
        <v>4644</v>
      </c>
      <c r="B749" t="s">
        <v>4638</v>
      </c>
      <c r="C749" t="s">
        <v>4639</v>
      </c>
      <c r="D749" t="s">
        <v>17</v>
      </c>
      <c r="E749" t="s">
        <v>4640</v>
      </c>
      <c r="F749" s="12" t="s">
        <v>4641</v>
      </c>
      <c r="G749" t="s">
        <v>4642</v>
      </c>
      <c r="H749" t="s">
        <v>4643</v>
      </c>
      <c r="I749" t="s">
        <v>2650</v>
      </c>
      <c r="J749" t="s">
        <v>2650</v>
      </c>
      <c r="K749" t="e">
        <f>VLOOKUP($J749,'[1]Table S6'!$A:$AI,2,FALSE)</f>
        <v>#N/A</v>
      </c>
      <c r="L749" t="e">
        <f>VLOOKUP($J749,'[1]Table S6'!$A:$AI,3,FALSE)</f>
        <v>#N/A</v>
      </c>
      <c r="M749" t="e">
        <f>VLOOKUP($J749,'[1]Table S6'!$A:$AI,4,FALSE)</f>
        <v>#N/A</v>
      </c>
      <c r="N749" t="e">
        <f>VLOOKUP($J749,'[1]Table S6'!$A:$AI,5,FALSE)</f>
        <v>#N/A</v>
      </c>
      <c r="P749" t="e">
        <f>VLOOKUP($J749,'[1]Table S6'!$A:$AI,7,FALSE)</f>
        <v>#N/A</v>
      </c>
      <c r="Q749" t="e">
        <f>VLOOKUP($J749,'[1]Table S6'!$A:$AI,8,FALSE)</f>
        <v>#N/A</v>
      </c>
      <c r="R749" t="e">
        <f>VLOOKUP($J749,'[1]Table S6'!$A:$AI,9,FALSE)</f>
        <v>#N/A</v>
      </c>
      <c r="S749" t="e">
        <f>VLOOKUP($J749,'[1]Table S6'!$A:$AI,10,FALSE)</f>
        <v>#N/A</v>
      </c>
      <c r="U749" t="e">
        <f>VLOOKUP($J749,'[1]Table S6'!$A:$AI,12,FALSE)</f>
        <v>#N/A</v>
      </c>
      <c r="V749" t="e">
        <f>VLOOKUP($J749,'[1]Table S6'!$A:$AI,13,FALSE)</f>
        <v>#N/A</v>
      </c>
      <c r="W749" t="e">
        <f>VLOOKUP($J749,'[1]Table S6'!$A:$AI,14,FALSE)</f>
        <v>#N/A</v>
      </c>
      <c r="X749" t="e">
        <f>VLOOKUP($J749,'[1]Table S6'!$A:$AI,15,FALSE)</f>
        <v>#N/A</v>
      </c>
      <c r="Z749" t="e">
        <f>VLOOKUP($J749,'[1]Table S6'!$A:$AI,17,FALSE)</f>
        <v>#N/A</v>
      </c>
      <c r="AA749" t="e">
        <f>VLOOKUP($J749,'[1]Table S6'!$A:$AI,18,FALSE)</f>
        <v>#N/A</v>
      </c>
      <c r="AB749" t="e">
        <f>VLOOKUP($J749,'[1]Table S6'!$A:$AI,19,FALSE)</f>
        <v>#N/A</v>
      </c>
      <c r="AC749" t="e">
        <f>VLOOKUP($J749,'[1]Table S6'!$A:$AI,20,FALSE)</f>
        <v>#N/A</v>
      </c>
      <c r="AE749" t="e">
        <f>VLOOKUP($J749,'[1]Table S6'!$A:$AI,22,FALSE)</f>
        <v>#N/A</v>
      </c>
      <c r="AF749" t="e">
        <f>VLOOKUP($J749,'[1]Table S6'!$A:$AI,23,FALSE)</f>
        <v>#N/A</v>
      </c>
      <c r="AG749" t="e">
        <f>VLOOKUP($J749,'[1]Table S6'!$A:$AI,24,FALSE)</f>
        <v>#N/A</v>
      </c>
      <c r="AH749" t="e">
        <f>VLOOKUP($J749,'[1]Table S6'!$A:$AI,25,FALSE)</f>
        <v>#N/A</v>
      </c>
      <c r="AJ749" t="e">
        <f>VLOOKUP($J749,'[1]Table S6'!$A:$AI,27,FALSE)</f>
        <v>#N/A</v>
      </c>
      <c r="AK749" t="e">
        <f>VLOOKUP($J749,'[1]Table S6'!$A:$AI,28,FALSE)</f>
        <v>#N/A</v>
      </c>
      <c r="AL749" t="e">
        <f>VLOOKUP($J749,'[1]Table S6'!$A:$AI,29,FALSE)</f>
        <v>#N/A</v>
      </c>
      <c r="AM749" t="e">
        <f>VLOOKUP($J749,'[1]Table S6'!$A:$AI,30,FALSE)</f>
        <v>#N/A</v>
      </c>
      <c r="AO749" t="e">
        <f>VLOOKUP($J749,'[1]Table S6'!$A:$AI,32,FALSE)</f>
        <v>#N/A</v>
      </c>
      <c r="AP749" t="e">
        <f>VLOOKUP($J749,'[1]Table S6'!$A:$AI,33,FALSE)</f>
        <v>#N/A</v>
      </c>
      <c r="AQ749" t="e">
        <f>VLOOKUP($J749,'[1]Table S6'!$A:$AI,34,FALSE)</f>
        <v>#N/A</v>
      </c>
      <c r="AR749" t="e">
        <f>VLOOKUP($J749,'[1]Table S6'!$A:$AI,35,FALSE)</f>
        <v>#N/A</v>
      </c>
      <c r="AT749" t="str">
        <f>VLOOKUP($I749,'[2]Table S5'!$A:$K,8,FALSE)</f>
        <v>Resistant</v>
      </c>
      <c r="AU749" t="str">
        <f>VLOOKUP($I749,'[2]Table S5'!$A:$K,9,FALSE)</f>
        <v>Resistant</v>
      </c>
      <c r="AV749" t="str">
        <f>VLOOKUP($I749,'[2]Table S5'!$A:$K,10,FALSE)</f>
        <v>Sensitive</v>
      </c>
      <c r="AW749" t="str">
        <f>VLOOKUP($I749,'[2]Table S5'!$A:$K,11,FALSE)</f>
        <v>Resistant</v>
      </c>
    </row>
    <row r="750" spans="1:49">
      <c r="A750" s="12" t="s">
        <v>4653</v>
      </c>
      <c r="B750" t="s">
        <v>4645</v>
      </c>
      <c r="C750" t="s">
        <v>4646</v>
      </c>
      <c r="D750" t="s">
        <v>17</v>
      </c>
      <c r="E750" t="s">
        <v>4647</v>
      </c>
      <c r="F750" s="12" t="s">
        <v>4648</v>
      </c>
      <c r="G750" t="s">
        <v>4649</v>
      </c>
      <c r="H750" t="s">
        <v>4650</v>
      </c>
      <c r="I750" t="s">
        <v>4651</v>
      </c>
      <c r="J750" t="s">
        <v>4652</v>
      </c>
      <c r="K750">
        <f>VLOOKUP($J750,'[1]Table S6'!$A:$AI,2,FALSE)</f>
        <v>368.6</v>
      </c>
      <c r="L750">
        <f>VLOOKUP($J750,'[1]Table S6'!$A:$AI,3,FALSE)</f>
        <v>0.78442221749308405</v>
      </c>
      <c r="M750">
        <f>VLOOKUP($J750,'[1]Table S6'!$A:$AI,4,FALSE)</f>
        <v>8.9689999999999994</v>
      </c>
      <c r="N750" t="str">
        <f>VLOOKUP($J750,'[1]Table S6'!$A:$AI,5,FALSE)</f>
        <v>No</v>
      </c>
      <c r="P750">
        <f>VLOOKUP($J750,'[1]Table S6'!$A:$AI,7,FALSE)</f>
        <v>328.8</v>
      </c>
      <c r="Q750">
        <f>VLOOKUP($J750,'[1]Table S6'!$A:$AI,8,FALSE)</f>
        <v>0.69972334539263703</v>
      </c>
      <c r="R750">
        <f>VLOOKUP($J750,'[1]Table S6'!$A:$AI,9,FALSE)</f>
        <v>2.3620000000000001</v>
      </c>
      <c r="S750" t="str">
        <f>VLOOKUP($J750,'[1]Table S6'!$A:$AI,10,FALSE)</f>
        <v>No</v>
      </c>
      <c r="U750">
        <f>VLOOKUP($J750,'[1]Table S6'!$A:$AI,12,FALSE)</f>
        <v>289.3</v>
      </c>
      <c r="V750">
        <f>VLOOKUP($J750,'[1]Table S6'!$A:$AI,13,FALSE)</f>
        <v>0.61566290700148996</v>
      </c>
      <c r="W750">
        <f>VLOOKUP($J750,'[1]Table S6'!$A:$AI,14,FALSE)</f>
        <v>0.83140000000000003</v>
      </c>
      <c r="X750" t="str">
        <f>VLOOKUP($J750,'[1]Table S6'!$A:$AI,15,FALSE)</f>
        <v>Yes</v>
      </c>
      <c r="Z750">
        <f>VLOOKUP($J750,'[1]Table S6'!$A:$AI,17,FALSE)</f>
        <v>406.2</v>
      </c>
      <c r="AA750">
        <f>VLOOKUP($J750,'[1]Table S6'!$A:$AI,18,FALSE)</f>
        <v>0.86443924239199799</v>
      </c>
      <c r="AB750">
        <f>VLOOKUP($J750,'[1]Table S6'!$A:$AI,19,FALSE)</f>
        <v>30.68</v>
      </c>
      <c r="AC750" t="str">
        <f>VLOOKUP($J750,'[1]Table S6'!$A:$AI,20,FALSE)</f>
        <v>No</v>
      </c>
      <c r="AE750">
        <f>VLOOKUP($J750,'[1]Table S6'!$A:$AI,22,FALSE)</f>
        <v>371.6</v>
      </c>
      <c r="AF750">
        <f>VLOOKUP($J750,'[1]Table S6'!$A:$AI,23,FALSE)</f>
        <v>0.79080655458608196</v>
      </c>
      <c r="AG750">
        <f>VLOOKUP($J750,'[1]Table S6'!$A:$AI,24,FALSE)</f>
        <v>14.38</v>
      </c>
      <c r="AH750" t="str">
        <f>VLOOKUP($J750,'[1]Table S6'!$A:$AI,25,FALSE)</f>
        <v>No</v>
      </c>
      <c r="AJ750">
        <f>VLOOKUP($J750,'[1]Table S6'!$A:$AI,27,FALSE)</f>
        <v>385.5</v>
      </c>
      <c r="AK750">
        <f>VLOOKUP($J750,'[1]Table S6'!$A:$AI,28,FALSE)</f>
        <v>0.82038731645030905</v>
      </c>
      <c r="AL750">
        <f>VLOOKUP($J750,'[1]Table S6'!$A:$AI,29,FALSE)</f>
        <v>33.21</v>
      </c>
      <c r="AM750" t="str">
        <f>VLOOKUP($J750,'[1]Table S6'!$A:$AI,30,FALSE)</f>
        <v>No</v>
      </c>
      <c r="AO750">
        <f>VLOOKUP($J750,'[1]Table S6'!$A:$AI,32,FALSE)</f>
        <v>396.5</v>
      </c>
      <c r="AP750">
        <f>VLOOKUP($J750,'[1]Table S6'!$A:$AI,33,FALSE)</f>
        <v>0.84379655245797003</v>
      </c>
      <c r="AQ750">
        <f>VLOOKUP($J750,'[1]Table S6'!$A:$AI,34,FALSE)</f>
        <v>22.96</v>
      </c>
      <c r="AR750" t="str">
        <f>VLOOKUP($J750,'[1]Table S6'!$A:$AI,35,FALSE)</f>
        <v>No</v>
      </c>
      <c r="AT750" t="str">
        <f>VLOOKUP($I750,'[2]Table S5'!$A:$K,8,FALSE)</f>
        <v>Resistant</v>
      </c>
      <c r="AU750" t="str">
        <f>VLOOKUP($I750,'[2]Table S5'!$A:$K,9,FALSE)</f>
        <v>Resistant</v>
      </c>
      <c r="AV750" t="str">
        <f>VLOOKUP($I750,'[2]Table S5'!$A:$K,10,FALSE)</f>
        <v>Resistant</v>
      </c>
      <c r="AW750" t="str">
        <f>VLOOKUP($I750,'[2]Table S5'!$A:$K,11,FALSE)</f>
        <v>Resistant</v>
      </c>
    </row>
    <row r="751" spans="1:49">
      <c r="A751" s="12" t="s">
        <v>4661</v>
      </c>
      <c r="B751" t="s">
        <v>4654</v>
      </c>
      <c r="C751" t="s">
        <v>4655</v>
      </c>
      <c r="D751" t="s">
        <v>17</v>
      </c>
      <c r="E751" t="s">
        <v>4656</v>
      </c>
      <c r="F751" s="12" t="s">
        <v>4657</v>
      </c>
      <c r="G751" t="s">
        <v>4658</v>
      </c>
      <c r="H751" t="s">
        <v>4659</v>
      </c>
      <c r="I751" t="s">
        <v>4651</v>
      </c>
      <c r="J751" t="s">
        <v>4660</v>
      </c>
      <c r="K751">
        <f>VLOOKUP($J751,'[1]Table S6'!$A:$AI,2,FALSE)</f>
        <v>347.1</v>
      </c>
      <c r="L751">
        <f>VLOOKUP($J751,'[1]Table S6'!$A:$AI,3,FALSE)</f>
        <v>0.73866780165992796</v>
      </c>
      <c r="M751">
        <f>VLOOKUP($J751,'[1]Table S6'!$A:$AI,4,FALSE)</f>
        <v>6.8659999999999997</v>
      </c>
      <c r="N751" t="str">
        <f>VLOOKUP($J751,'[1]Table S6'!$A:$AI,5,FALSE)</f>
        <v>No</v>
      </c>
      <c r="P751">
        <f>VLOOKUP($J751,'[1]Table S6'!$A:$AI,7,FALSE)</f>
        <v>306.7</v>
      </c>
      <c r="Q751">
        <f>VLOOKUP($J751,'[1]Table S6'!$A:$AI,8,FALSE)</f>
        <v>0.65269206214088105</v>
      </c>
      <c r="R751">
        <f>VLOOKUP($J751,'[1]Table S6'!$A:$AI,9,FALSE)</f>
        <v>1.53</v>
      </c>
      <c r="S751" t="str">
        <f>VLOOKUP($J751,'[1]Table S6'!$A:$AI,10,FALSE)</f>
        <v>Yes</v>
      </c>
      <c r="U751">
        <f>VLOOKUP($J751,'[1]Table S6'!$A:$AI,12,FALSE)</f>
        <v>309.39999999999998</v>
      </c>
      <c r="V751">
        <f>VLOOKUP($J751,'[1]Table S6'!$A:$AI,13,FALSE)</f>
        <v>0.65843796552458</v>
      </c>
      <c r="W751">
        <f>VLOOKUP($J751,'[1]Table S6'!$A:$AI,14,FALSE)</f>
        <v>1.5649999999999999</v>
      </c>
      <c r="X751" t="str">
        <f>VLOOKUP($J751,'[1]Table S6'!$A:$AI,15,FALSE)</f>
        <v>Yes</v>
      </c>
      <c r="Z751">
        <f>VLOOKUP($J751,'[1]Table S6'!$A:$AI,17,FALSE)</f>
        <v>341.2</v>
      </c>
      <c r="AA751">
        <f>VLOOKUP($J751,'[1]Table S6'!$A:$AI,18,FALSE)</f>
        <v>0.72611193871036395</v>
      </c>
      <c r="AB751">
        <f>VLOOKUP($J751,'[1]Table S6'!$A:$AI,19,FALSE)</f>
        <v>3.9830000000000001</v>
      </c>
      <c r="AC751" t="str">
        <f>VLOOKUP($J751,'[1]Table S6'!$A:$AI,20,FALSE)</f>
        <v>No</v>
      </c>
      <c r="AE751">
        <f>VLOOKUP($J751,'[1]Table S6'!$A:$AI,22,FALSE)</f>
        <v>354.9</v>
      </c>
      <c r="AF751">
        <f>VLOOKUP($J751,'[1]Table S6'!$A:$AI,23,FALSE)</f>
        <v>0.755267078101724</v>
      </c>
      <c r="AG751">
        <f>VLOOKUP($J751,'[1]Table S6'!$A:$AI,24,FALSE)</f>
        <v>6.383</v>
      </c>
      <c r="AH751" t="str">
        <f>VLOOKUP($J751,'[1]Table S6'!$A:$AI,25,FALSE)</f>
        <v>No</v>
      </c>
      <c r="AJ751">
        <f>VLOOKUP($J751,'[1]Table S6'!$A:$AI,27,FALSE)</f>
        <v>399.3</v>
      </c>
      <c r="AK751">
        <f>VLOOKUP($J751,'[1]Table S6'!$A:$AI,28,FALSE)</f>
        <v>0.84975526707810201</v>
      </c>
      <c r="AL751">
        <f>VLOOKUP($J751,'[1]Table S6'!$A:$AI,29,FALSE)</f>
        <v>53.54</v>
      </c>
      <c r="AM751" t="str">
        <f>VLOOKUP($J751,'[1]Table S6'!$A:$AI,30,FALSE)</f>
        <v>No</v>
      </c>
      <c r="AO751">
        <f>VLOOKUP($J751,'[1]Table S6'!$A:$AI,32,FALSE)</f>
        <v>387.4</v>
      </c>
      <c r="AP751">
        <f>VLOOKUP($J751,'[1]Table S6'!$A:$AI,33,FALSE)</f>
        <v>0.82443072994254096</v>
      </c>
      <c r="AQ751">
        <f>VLOOKUP($J751,'[1]Table S6'!$A:$AI,34,FALSE)</f>
        <v>24.5</v>
      </c>
      <c r="AR751" t="str">
        <f>VLOOKUP($J751,'[1]Table S6'!$A:$AI,35,FALSE)</f>
        <v>No</v>
      </c>
      <c r="AT751" t="str">
        <f>VLOOKUP($I751,'[2]Table S5'!$A:$K,8,FALSE)</f>
        <v>Resistant</v>
      </c>
      <c r="AU751" t="str">
        <f>VLOOKUP($I751,'[2]Table S5'!$A:$K,9,FALSE)</f>
        <v>Resistant</v>
      </c>
      <c r="AV751" t="str">
        <f>VLOOKUP($I751,'[2]Table S5'!$A:$K,10,FALSE)</f>
        <v>Resistant</v>
      </c>
      <c r="AW751" t="str">
        <f>VLOOKUP($I751,'[2]Table S5'!$A:$K,11,FALSE)</f>
        <v>Resistant</v>
      </c>
    </row>
    <row r="752" spans="1:49">
      <c r="A752" s="12" t="s">
        <v>4669</v>
      </c>
      <c r="B752" t="s">
        <v>4662</v>
      </c>
      <c r="C752" t="s">
        <v>4663</v>
      </c>
      <c r="D752" t="s">
        <v>17</v>
      </c>
      <c r="E752" t="s">
        <v>4664</v>
      </c>
      <c r="F752" s="12" t="s">
        <v>4665</v>
      </c>
      <c r="G752" t="s">
        <v>4666</v>
      </c>
      <c r="H752" t="s">
        <v>4667</v>
      </c>
      <c r="I752" t="s">
        <v>4651</v>
      </c>
      <c r="J752" t="s">
        <v>4668</v>
      </c>
      <c r="K752">
        <f>VLOOKUP($J752,'[1]Table S6'!$A:$AI,2,FALSE)</f>
        <v>358.8</v>
      </c>
      <c r="L752">
        <f>VLOOKUP($J752,'[1]Table S6'!$A:$AI,3,FALSE)</f>
        <v>0.76356671632262196</v>
      </c>
      <c r="M752">
        <f>VLOOKUP($J752,'[1]Table S6'!$A:$AI,4,FALSE)</f>
        <v>6.1429999999999998</v>
      </c>
      <c r="N752" t="str">
        <f>VLOOKUP($J752,'[1]Table S6'!$A:$AI,5,FALSE)</f>
        <v>No</v>
      </c>
      <c r="P752">
        <f>VLOOKUP($J752,'[1]Table S6'!$A:$AI,7,FALSE)</f>
        <v>347.8</v>
      </c>
      <c r="Q752">
        <f>VLOOKUP($J752,'[1]Table S6'!$A:$AI,8,FALSE)</f>
        <v>0.74015748031496098</v>
      </c>
      <c r="R752">
        <f>VLOOKUP($J752,'[1]Table S6'!$A:$AI,9,FALSE)</f>
        <v>3.4409999999999998</v>
      </c>
      <c r="S752" t="str">
        <f>VLOOKUP($J752,'[1]Table S6'!$A:$AI,10,FALSE)</f>
        <v>No</v>
      </c>
      <c r="U752">
        <f>VLOOKUP($J752,'[1]Table S6'!$A:$AI,12,FALSE)</f>
        <v>338.3</v>
      </c>
      <c r="V752">
        <f>VLOOKUP($J752,'[1]Table S6'!$A:$AI,13,FALSE)</f>
        <v>0.71994041285379895</v>
      </c>
      <c r="W752">
        <f>VLOOKUP($J752,'[1]Table S6'!$A:$AI,14,FALSE)</f>
        <v>2.79</v>
      </c>
      <c r="X752" t="str">
        <f>VLOOKUP($J752,'[1]Table S6'!$A:$AI,15,FALSE)</f>
        <v>No</v>
      </c>
      <c r="Z752">
        <f>VLOOKUP($J752,'[1]Table S6'!$A:$AI,17,FALSE)</f>
        <v>391.9</v>
      </c>
      <c r="AA752">
        <f>VLOOKUP($J752,'[1]Table S6'!$A:$AI,18,FALSE)</f>
        <v>0.83400723558203904</v>
      </c>
      <c r="AB752">
        <f>VLOOKUP($J752,'[1]Table S6'!$A:$AI,19,FALSE)</f>
        <v>12.16</v>
      </c>
      <c r="AC752" t="str">
        <f>VLOOKUP($J752,'[1]Table S6'!$A:$AI,20,FALSE)</f>
        <v>No</v>
      </c>
      <c r="AE752">
        <f>VLOOKUP($J752,'[1]Table S6'!$A:$AI,22,FALSE)</f>
        <v>355.6</v>
      </c>
      <c r="AF752">
        <f>VLOOKUP($J752,'[1]Table S6'!$A:$AI,23,FALSE)</f>
        <v>0.75675675675675702</v>
      </c>
      <c r="AG752">
        <f>VLOOKUP($J752,'[1]Table S6'!$A:$AI,24,FALSE)</f>
        <v>6.4160000000000004</v>
      </c>
      <c r="AH752" t="str">
        <f>VLOOKUP($J752,'[1]Table S6'!$A:$AI,25,FALSE)</f>
        <v>No</v>
      </c>
      <c r="AJ752">
        <f>VLOOKUP($J752,'[1]Table S6'!$A:$AI,27,FALSE)</f>
        <v>433.7</v>
      </c>
      <c r="AK752">
        <f>VLOOKUP($J752,'[1]Table S6'!$A:$AI,28,FALSE)</f>
        <v>0.922962332411151</v>
      </c>
      <c r="AL752">
        <f>VLOOKUP($J752,'[1]Table S6'!$A:$AI,29,FALSE)</f>
        <v>96.14</v>
      </c>
      <c r="AM752" t="str">
        <f>VLOOKUP($J752,'[1]Table S6'!$A:$AI,30,FALSE)</f>
        <v>No</v>
      </c>
      <c r="AO752">
        <f>VLOOKUP($J752,'[1]Table S6'!$A:$AI,32,FALSE)</f>
        <v>420</v>
      </c>
      <c r="AP752">
        <f>VLOOKUP($J752,'[1]Table S6'!$A:$AI,33,FALSE)</f>
        <v>0.89380719301979195</v>
      </c>
      <c r="AQ752">
        <f>VLOOKUP($J752,'[1]Table S6'!$A:$AI,34,FALSE)</f>
        <v>35.81</v>
      </c>
      <c r="AR752" t="str">
        <f>VLOOKUP($J752,'[1]Table S6'!$A:$AI,35,FALSE)</f>
        <v>No</v>
      </c>
      <c r="AT752" t="str">
        <f>VLOOKUP($I752,'[2]Table S5'!$A:$K,8,FALSE)</f>
        <v>Resistant</v>
      </c>
      <c r="AU752" t="str">
        <f>VLOOKUP($I752,'[2]Table S5'!$A:$K,9,FALSE)</f>
        <v>Resistant</v>
      </c>
      <c r="AV752" t="str">
        <f>VLOOKUP($I752,'[2]Table S5'!$A:$K,10,FALSE)</f>
        <v>Resistant</v>
      </c>
      <c r="AW752" t="str">
        <f>VLOOKUP($I752,'[2]Table S5'!$A:$K,11,FALSE)</f>
        <v>Resistant</v>
      </c>
    </row>
    <row r="753" spans="1:49">
      <c r="A753" s="12" t="s">
        <v>4676</v>
      </c>
      <c r="B753" t="s">
        <v>4670</v>
      </c>
      <c r="C753" t="s">
        <v>4671</v>
      </c>
      <c r="D753" t="s">
        <v>17</v>
      </c>
      <c r="E753" t="s">
        <v>4672</v>
      </c>
      <c r="F753" s="12" t="s">
        <v>4673</v>
      </c>
      <c r="G753" t="s">
        <v>4674</v>
      </c>
      <c r="H753" t="s">
        <v>4675</v>
      </c>
      <c r="I753" t="s">
        <v>4651</v>
      </c>
      <c r="J753" t="s">
        <v>4652</v>
      </c>
      <c r="K753">
        <f>VLOOKUP($J753,'[1]Table S6'!$A:$AI,2,FALSE)</f>
        <v>368.6</v>
      </c>
      <c r="L753">
        <f>VLOOKUP($J753,'[1]Table S6'!$A:$AI,3,FALSE)</f>
        <v>0.78442221749308405</v>
      </c>
      <c r="M753">
        <f>VLOOKUP($J753,'[1]Table S6'!$A:$AI,4,FALSE)</f>
        <v>8.9689999999999994</v>
      </c>
      <c r="N753" t="str">
        <f>VLOOKUP($J753,'[1]Table S6'!$A:$AI,5,FALSE)</f>
        <v>No</v>
      </c>
      <c r="P753">
        <f>VLOOKUP($J753,'[1]Table S6'!$A:$AI,7,FALSE)</f>
        <v>328.8</v>
      </c>
      <c r="Q753">
        <f>VLOOKUP($J753,'[1]Table S6'!$A:$AI,8,FALSE)</f>
        <v>0.69972334539263703</v>
      </c>
      <c r="R753">
        <f>VLOOKUP($J753,'[1]Table S6'!$A:$AI,9,FALSE)</f>
        <v>2.3620000000000001</v>
      </c>
      <c r="S753" t="str">
        <f>VLOOKUP($J753,'[1]Table S6'!$A:$AI,10,FALSE)</f>
        <v>No</v>
      </c>
      <c r="U753">
        <f>VLOOKUP($J753,'[1]Table S6'!$A:$AI,12,FALSE)</f>
        <v>289.3</v>
      </c>
      <c r="V753">
        <f>VLOOKUP($J753,'[1]Table S6'!$A:$AI,13,FALSE)</f>
        <v>0.61566290700148996</v>
      </c>
      <c r="W753">
        <f>VLOOKUP($J753,'[1]Table S6'!$A:$AI,14,FALSE)</f>
        <v>0.83140000000000003</v>
      </c>
      <c r="X753" t="str">
        <f>VLOOKUP($J753,'[1]Table S6'!$A:$AI,15,FALSE)</f>
        <v>Yes</v>
      </c>
      <c r="Z753">
        <f>VLOOKUP($J753,'[1]Table S6'!$A:$AI,17,FALSE)</f>
        <v>406.2</v>
      </c>
      <c r="AA753">
        <f>VLOOKUP($J753,'[1]Table S6'!$A:$AI,18,FALSE)</f>
        <v>0.86443924239199799</v>
      </c>
      <c r="AB753">
        <f>VLOOKUP($J753,'[1]Table S6'!$A:$AI,19,FALSE)</f>
        <v>30.68</v>
      </c>
      <c r="AC753" t="str">
        <f>VLOOKUP($J753,'[1]Table S6'!$A:$AI,20,FALSE)</f>
        <v>No</v>
      </c>
      <c r="AE753">
        <f>VLOOKUP($J753,'[1]Table S6'!$A:$AI,22,FALSE)</f>
        <v>371.6</v>
      </c>
      <c r="AF753">
        <f>VLOOKUP($J753,'[1]Table S6'!$A:$AI,23,FALSE)</f>
        <v>0.79080655458608196</v>
      </c>
      <c r="AG753">
        <f>VLOOKUP($J753,'[1]Table S6'!$A:$AI,24,FALSE)</f>
        <v>14.38</v>
      </c>
      <c r="AH753" t="str">
        <f>VLOOKUP($J753,'[1]Table S6'!$A:$AI,25,FALSE)</f>
        <v>No</v>
      </c>
      <c r="AJ753">
        <f>VLOOKUP($J753,'[1]Table S6'!$A:$AI,27,FALSE)</f>
        <v>385.5</v>
      </c>
      <c r="AK753">
        <f>VLOOKUP($J753,'[1]Table S6'!$A:$AI,28,FALSE)</f>
        <v>0.82038731645030905</v>
      </c>
      <c r="AL753">
        <f>VLOOKUP($J753,'[1]Table S6'!$A:$AI,29,FALSE)</f>
        <v>33.21</v>
      </c>
      <c r="AM753" t="str">
        <f>VLOOKUP($J753,'[1]Table S6'!$A:$AI,30,FALSE)</f>
        <v>No</v>
      </c>
      <c r="AO753">
        <f>VLOOKUP($J753,'[1]Table S6'!$A:$AI,32,FALSE)</f>
        <v>396.5</v>
      </c>
      <c r="AP753">
        <f>VLOOKUP($J753,'[1]Table S6'!$A:$AI,33,FALSE)</f>
        <v>0.84379655245797003</v>
      </c>
      <c r="AQ753">
        <f>VLOOKUP($J753,'[1]Table S6'!$A:$AI,34,FALSE)</f>
        <v>22.96</v>
      </c>
      <c r="AR753" t="str">
        <f>VLOOKUP($J753,'[1]Table S6'!$A:$AI,35,FALSE)</f>
        <v>No</v>
      </c>
      <c r="AT753" t="str">
        <f>VLOOKUP($I753,'[2]Table S5'!$A:$K,8,FALSE)</f>
        <v>Resistant</v>
      </c>
      <c r="AU753" t="str">
        <f>VLOOKUP($I753,'[2]Table S5'!$A:$K,9,FALSE)</f>
        <v>Resistant</v>
      </c>
      <c r="AV753" t="str">
        <f>VLOOKUP($I753,'[2]Table S5'!$A:$K,10,FALSE)</f>
        <v>Resistant</v>
      </c>
      <c r="AW753" t="str">
        <f>VLOOKUP($I753,'[2]Table S5'!$A:$K,11,FALSE)</f>
        <v>Resistant</v>
      </c>
    </row>
    <row r="754" spans="1:49">
      <c r="A754" s="12" t="s">
        <v>4683</v>
      </c>
      <c r="B754" t="s">
        <v>4677</v>
      </c>
      <c r="C754" t="s">
        <v>4678</v>
      </c>
      <c r="D754" t="s">
        <v>17</v>
      </c>
      <c r="E754" t="s">
        <v>4679</v>
      </c>
      <c r="F754" s="12" t="s">
        <v>4680</v>
      </c>
      <c r="G754" t="s">
        <v>4681</v>
      </c>
      <c r="H754" t="s">
        <v>4682</v>
      </c>
      <c r="I754" t="s">
        <v>4651</v>
      </c>
      <c r="J754" t="s">
        <v>4660</v>
      </c>
      <c r="K754">
        <f>VLOOKUP($J754,'[1]Table S6'!$A:$AI,2,FALSE)</f>
        <v>347.1</v>
      </c>
      <c r="L754">
        <f>VLOOKUP($J754,'[1]Table S6'!$A:$AI,3,FALSE)</f>
        <v>0.73866780165992796</v>
      </c>
      <c r="M754">
        <f>VLOOKUP($J754,'[1]Table S6'!$A:$AI,4,FALSE)</f>
        <v>6.8659999999999997</v>
      </c>
      <c r="N754" t="str">
        <f>VLOOKUP($J754,'[1]Table S6'!$A:$AI,5,FALSE)</f>
        <v>No</v>
      </c>
      <c r="P754">
        <f>VLOOKUP($J754,'[1]Table S6'!$A:$AI,7,FALSE)</f>
        <v>306.7</v>
      </c>
      <c r="Q754">
        <f>VLOOKUP($J754,'[1]Table S6'!$A:$AI,8,FALSE)</f>
        <v>0.65269206214088105</v>
      </c>
      <c r="R754">
        <f>VLOOKUP($J754,'[1]Table S6'!$A:$AI,9,FALSE)</f>
        <v>1.53</v>
      </c>
      <c r="S754" t="str">
        <f>VLOOKUP($J754,'[1]Table S6'!$A:$AI,10,FALSE)</f>
        <v>Yes</v>
      </c>
      <c r="U754">
        <f>VLOOKUP($J754,'[1]Table S6'!$A:$AI,12,FALSE)</f>
        <v>309.39999999999998</v>
      </c>
      <c r="V754">
        <f>VLOOKUP($J754,'[1]Table S6'!$A:$AI,13,FALSE)</f>
        <v>0.65843796552458</v>
      </c>
      <c r="W754">
        <f>VLOOKUP($J754,'[1]Table S6'!$A:$AI,14,FALSE)</f>
        <v>1.5649999999999999</v>
      </c>
      <c r="X754" t="str">
        <f>VLOOKUP($J754,'[1]Table S6'!$A:$AI,15,FALSE)</f>
        <v>Yes</v>
      </c>
      <c r="Z754">
        <f>VLOOKUP($J754,'[1]Table S6'!$A:$AI,17,FALSE)</f>
        <v>341.2</v>
      </c>
      <c r="AA754">
        <f>VLOOKUP($J754,'[1]Table S6'!$A:$AI,18,FALSE)</f>
        <v>0.72611193871036395</v>
      </c>
      <c r="AB754">
        <f>VLOOKUP($J754,'[1]Table S6'!$A:$AI,19,FALSE)</f>
        <v>3.9830000000000001</v>
      </c>
      <c r="AC754" t="str">
        <f>VLOOKUP($J754,'[1]Table S6'!$A:$AI,20,FALSE)</f>
        <v>No</v>
      </c>
      <c r="AE754">
        <f>VLOOKUP($J754,'[1]Table S6'!$A:$AI,22,FALSE)</f>
        <v>354.9</v>
      </c>
      <c r="AF754">
        <f>VLOOKUP($J754,'[1]Table S6'!$A:$AI,23,FALSE)</f>
        <v>0.755267078101724</v>
      </c>
      <c r="AG754">
        <f>VLOOKUP($J754,'[1]Table S6'!$A:$AI,24,FALSE)</f>
        <v>6.383</v>
      </c>
      <c r="AH754" t="str">
        <f>VLOOKUP($J754,'[1]Table S6'!$A:$AI,25,FALSE)</f>
        <v>No</v>
      </c>
      <c r="AJ754">
        <f>VLOOKUP($J754,'[1]Table S6'!$A:$AI,27,FALSE)</f>
        <v>399.3</v>
      </c>
      <c r="AK754">
        <f>VLOOKUP($J754,'[1]Table S6'!$A:$AI,28,FALSE)</f>
        <v>0.84975526707810201</v>
      </c>
      <c r="AL754">
        <f>VLOOKUP($J754,'[1]Table S6'!$A:$AI,29,FALSE)</f>
        <v>53.54</v>
      </c>
      <c r="AM754" t="str">
        <f>VLOOKUP($J754,'[1]Table S6'!$A:$AI,30,FALSE)</f>
        <v>No</v>
      </c>
      <c r="AO754">
        <f>VLOOKUP($J754,'[1]Table S6'!$A:$AI,32,FALSE)</f>
        <v>387.4</v>
      </c>
      <c r="AP754">
        <f>VLOOKUP($J754,'[1]Table S6'!$A:$AI,33,FALSE)</f>
        <v>0.82443072994254096</v>
      </c>
      <c r="AQ754">
        <f>VLOOKUP($J754,'[1]Table S6'!$A:$AI,34,FALSE)</f>
        <v>24.5</v>
      </c>
      <c r="AR754" t="str">
        <f>VLOOKUP($J754,'[1]Table S6'!$A:$AI,35,FALSE)</f>
        <v>No</v>
      </c>
      <c r="AT754" t="str">
        <f>VLOOKUP($I754,'[2]Table S5'!$A:$K,8,FALSE)</f>
        <v>Resistant</v>
      </c>
      <c r="AU754" t="str">
        <f>VLOOKUP($I754,'[2]Table S5'!$A:$K,9,FALSE)</f>
        <v>Resistant</v>
      </c>
      <c r="AV754" t="str">
        <f>VLOOKUP($I754,'[2]Table S5'!$A:$K,10,FALSE)</f>
        <v>Resistant</v>
      </c>
      <c r="AW754" t="str">
        <f>VLOOKUP($I754,'[2]Table S5'!$A:$K,11,FALSE)</f>
        <v>Resistant</v>
      </c>
    </row>
    <row r="755" spans="1:49">
      <c r="A755" s="12" t="s">
        <v>4690</v>
      </c>
      <c r="B755" t="s">
        <v>4684</v>
      </c>
      <c r="C755" t="s">
        <v>4685</v>
      </c>
      <c r="D755" t="s">
        <v>17</v>
      </c>
      <c r="E755" t="s">
        <v>4686</v>
      </c>
      <c r="F755" s="12" t="s">
        <v>4687</v>
      </c>
      <c r="G755" t="s">
        <v>4688</v>
      </c>
      <c r="H755" t="s">
        <v>4689</v>
      </c>
      <c r="I755" t="s">
        <v>4651</v>
      </c>
      <c r="J755" t="s">
        <v>4668</v>
      </c>
      <c r="K755">
        <f>VLOOKUP($J755,'[1]Table S6'!$A:$AI,2,FALSE)</f>
        <v>358.8</v>
      </c>
      <c r="L755">
        <f>VLOOKUP($J755,'[1]Table S6'!$A:$AI,3,FALSE)</f>
        <v>0.76356671632262196</v>
      </c>
      <c r="M755">
        <f>VLOOKUP($J755,'[1]Table S6'!$A:$AI,4,FALSE)</f>
        <v>6.1429999999999998</v>
      </c>
      <c r="N755" t="str">
        <f>VLOOKUP($J755,'[1]Table S6'!$A:$AI,5,FALSE)</f>
        <v>No</v>
      </c>
      <c r="P755">
        <f>VLOOKUP($J755,'[1]Table S6'!$A:$AI,7,FALSE)</f>
        <v>347.8</v>
      </c>
      <c r="Q755">
        <f>VLOOKUP($J755,'[1]Table S6'!$A:$AI,8,FALSE)</f>
        <v>0.74015748031496098</v>
      </c>
      <c r="R755">
        <f>VLOOKUP($J755,'[1]Table S6'!$A:$AI,9,FALSE)</f>
        <v>3.4409999999999998</v>
      </c>
      <c r="S755" t="str">
        <f>VLOOKUP($J755,'[1]Table S6'!$A:$AI,10,FALSE)</f>
        <v>No</v>
      </c>
      <c r="U755">
        <f>VLOOKUP($J755,'[1]Table S6'!$A:$AI,12,FALSE)</f>
        <v>338.3</v>
      </c>
      <c r="V755">
        <f>VLOOKUP($J755,'[1]Table S6'!$A:$AI,13,FALSE)</f>
        <v>0.71994041285379895</v>
      </c>
      <c r="W755">
        <f>VLOOKUP($J755,'[1]Table S6'!$A:$AI,14,FALSE)</f>
        <v>2.79</v>
      </c>
      <c r="X755" t="str">
        <f>VLOOKUP($J755,'[1]Table S6'!$A:$AI,15,FALSE)</f>
        <v>No</v>
      </c>
      <c r="Z755">
        <f>VLOOKUP($J755,'[1]Table S6'!$A:$AI,17,FALSE)</f>
        <v>391.9</v>
      </c>
      <c r="AA755">
        <f>VLOOKUP($J755,'[1]Table S6'!$A:$AI,18,FALSE)</f>
        <v>0.83400723558203904</v>
      </c>
      <c r="AB755">
        <f>VLOOKUP($J755,'[1]Table S6'!$A:$AI,19,FALSE)</f>
        <v>12.16</v>
      </c>
      <c r="AC755" t="str">
        <f>VLOOKUP($J755,'[1]Table S6'!$A:$AI,20,FALSE)</f>
        <v>No</v>
      </c>
      <c r="AE755">
        <f>VLOOKUP($J755,'[1]Table S6'!$A:$AI,22,FALSE)</f>
        <v>355.6</v>
      </c>
      <c r="AF755">
        <f>VLOOKUP($J755,'[1]Table S6'!$A:$AI,23,FALSE)</f>
        <v>0.75675675675675702</v>
      </c>
      <c r="AG755">
        <f>VLOOKUP($J755,'[1]Table S6'!$A:$AI,24,FALSE)</f>
        <v>6.4160000000000004</v>
      </c>
      <c r="AH755" t="str">
        <f>VLOOKUP($J755,'[1]Table S6'!$A:$AI,25,FALSE)</f>
        <v>No</v>
      </c>
      <c r="AJ755">
        <f>VLOOKUP($J755,'[1]Table S6'!$A:$AI,27,FALSE)</f>
        <v>433.7</v>
      </c>
      <c r="AK755">
        <f>VLOOKUP($J755,'[1]Table S6'!$A:$AI,28,FALSE)</f>
        <v>0.922962332411151</v>
      </c>
      <c r="AL755">
        <f>VLOOKUP($J755,'[1]Table S6'!$A:$AI,29,FALSE)</f>
        <v>96.14</v>
      </c>
      <c r="AM755" t="str">
        <f>VLOOKUP($J755,'[1]Table S6'!$A:$AI,30,FALSE)</f>
        <v>No</v>
      </c>
      <c r="AO755">
        <f>VLOOKUP($J755,'[1]Table S6'!$A:$AI,32,FALSE)</f>
        <v>420</v>
      </c>
      <c r="AP755">
        <f>VLOOKUP($J755,'[1]Table S6'!$A:$AI,33,FALSE)</f>
        <v>0.89380719301979195</v>
      </c>
      <c r="AQ755">
        <f>VLOOKUP($J755,'[1]Table S6'!$A:$AI,34,FALSE)</f>
        <v>35.81</v>
      </c>
      <c r="AR755" t="str">
        <f>VLOOKUP($J755,'[1]Table S6'!$A:$AI,35,FALSE)</f>
        <v>No</v>
      </c>
      <c r="AT755" t="str">
        <f>VLOOKUP($I755,'[2]Table S5'!$A:$K,8,FALSE)</f>
        <v>Resistant</v>
      </c>
      <c r="AU755" t="str">
        <f>VLOOKUP($I755,'[2]Table S5'!$A:$K,9,FALSE)</f>
        <v>Resistant</v>
      </c>
      <c r="AV755" t="str">
        <f>VLOOKUP($I755,'[2]Table S5'!$A:$K,10,FALSE)</f>
        <v>Resistant</v>
      </c>
      <c r="AW755" t="str">
        <f>VLOOKUP($I755,'[2]Table S5'!$A:$K,11,FALSE)</f>
        <v>Resistant</v>
      </c>
    </row>
    <row r="756" spans="1:49">
      <c r="A756" s="12" t="s">
        <v>4697</v>
      </c>
      <c r="B756" t="s">
        <v>4691</v>
      </c>
      <c r="C756" t="s">
        <v>4692</v>
      </c>
      <c r="D756" t="s">
        <v>17</v>
      </c>
      <c r="E756" t="s">
        <v>4693</v>
      </c>
      <c r="F756" s="12" t="s">
        <v>4694</v>
      </c>
      <c r="G756" t="s">
        <v>4695</v>
      </c>
      <c r="H756" t="s">
        <v>4696</v>
      </c>
      <c r="I756" t="s">
        <v>4651</v>
      </c>
      <c r="J756" t="s">
        <v>4651</v>
      </c>
      <c r="K756" t="e">
        <f>VLOOKUP($J756,'[1]Table S6'!$A:$AI,2,FALSE)</f>
        <v>#N/A</v>
      </c>
      <c r="L756" t="e">
        <f>VLOOKUP($J756,'[1]Table S6'!$A:$AI,3,FALSE)</f>
        <v>#N/A</v>
      </c>
      <c r="M756" t="e">
        <f>VLOOKUP($J756,'[1]Table S6'!$A:$AI,4,FALSE)</f>
        <v>#N/A</v>
      </c>
      <c r="N756" t="e">
        <f>VLOOKUP($J756,'[1]Table S6'!$A:$AI,5,FALSE)</f>
        <v>#N/A</v>
      </c>
      <c r="P756" t="e">
        <f>VLOOKUP($J756,'[1]Table S6'!$A:$AI,7,FALSE)</f>
        <v>#N/A</v>
      </c>
      <c r="Q756" t="e">
        <f>VLOOKUP($J756,'[1]Table S6'!$A:$AI,8,FALSE)</f>
        <v>#N/A</v>
      </c>
      <c r="R756" t="e">
        <f>VLOOKUP($J756,'[1]Table S6'!$A:$AI,9,FALSE)</f>
        <v>#N/A</v>
      </c>
      <c r="S756" t="e">
        <f>VLOOKUP($J756,'[1]Table S6'!$A:$AI,10,FALSE)</f>
        <v>#N/A</v>
      </c>
      <c r="U756" t="e">
        <f>VLOOKUP($J756,'[1]Table S6'!$A:$AI,12,FALSE)</f>
        <v>#N/A</v>
      </c>
      <c r="V756" t="e">
        <f>VLOOKUP($J756,'[1]Table S6'!$A:$AI,13,FALSE)</f>
        <v>#N/A</v>
      </c>
      <c r="W756" t="e">
        <f>VLOOKUP($J756,'[1]Table S6'!$A:$AI,14,FALSE)</f>
        <v>#N/A</v>
      </c>
      <c r="X756" t="e">
        <f>VLOOKUP($J756,'[1]Table S6'!$A:$AI,15,FALSE)</f>
        <v>#N/A</v>
      </c>
      <c r="Z756" t="e">
        <f>VLOOKUP($J756,'[1]Table S6'!$A:$AI,17,FALSE)</f>
        <v>#N/A</v>
      </c>
      <c r="AA756" t="e">
        <f>VLOOKUP($J756,'[1]Table S6'!$A:$AI,18,FALSE)</f>
        <v>#N/A</v>
      </c>
      <c r="AB756" t="e">
        <f>VLOOKUP($J756,'[1]Table S6'!$A:$AI,19,FALSE)</f>
        <v>#N/A</v>
      </c>
      <c r="AC756" t="e">
        <f>VLOOKUP($J756,'[1]Table S6'!$A:$AI,20,FALSE)</f>
        <v>#N/A</v>
      </c>
      <c r="AE756" t="e">
        <f>VLOOKUP($J756,'[1]Table S6'!$A:$AI,22,FALSE)</f>
        <v>#N/A</v>
      </c>
      <c r="AF756" t="e">
        <f>VLOOKUP($J756,'[1]Table S6'!$A:$AI,23,FALSE)</f>
        <v>#N/A</v>
      </c>
      <c r="AG756" t="e">
        <f>VLOOKUP($J756,'[1]Table S6'!$A:$AI,24,FALSE)</f>
        <v>#N/A</v>
      </c>
      <c r="AH756" t="e">
        <f>VLOOKUP($J756,'[1]Table S6'!$A:$AI,25,FALSE)</f>
        <v>#N/A</v>
      </c>
      <c r="AJ756" t="e">
        <f>VLOOKUP($J756,'[1]Table S6'!$A:$AI,27,FALSE)</f>
        <v>#N/A</v>
      </c>
      <c r="AK756" t="e">
        <f>VLOOKUP($J756,'[1]Table S6'!$A:$AI,28,FALSE)</f>
        <v>#N/A</v>
      </c>
      <c r="AL756" t="e">
        <f>VLOOKUP($J756,'[1]Table S6'!$A:$AI,29,FALSE)</f>
        <v>#N/A</v>
      </c>
      <c r="AM756" t="e">
        <f>VLOOKUP($J756,'[1]Table S6'!$A:$AI,30,FALSE)</f>
        <v>#N/A</v>
      </c>
      <c r="AO756" t="e">
        <f>VLOOKUP($J756,'[1]Table S6'!$A:$AI,32,FALSE)</f>
        <v>#N/A</v>
      </c>
      <c r="AP756" t="e">
        <f>VLOOKUP($J756,'[1]Table S6'!$A:$AI,33,FALSE)</f>
        <v>#N/A</v>
      </c>
      <c r="AQ756" t="e">
        <f>VLOOKUP($J756,'[1]Table S6'!$A:$AI,34,FALSE)</f>
        <v>#N/A</v>
      </c>
      <c r="AR756" t="e">
        <f>VLOOKUP($J756,'[1]Table S6'!$A:$AI,35,FALSE)</f>
        <v>#N/A</v>
      </c>
      <c r="AT756" t="str">
        <f>VLOOKUP($I756,'[2]Table S5'!$A:$K,8,FALSE)</f>
        <v>Resistant</v>
      </c>
      <c r="AU756" t="str">
        <f>VLOOKUP($I756,'[2]Table S5'!$A:$K,9,FALSE)</f>
        <v>Resistant</v>
      </c>
      <c r="AV756" t="str">
        <f>VLOOKUP($I756,'[2]Table S5'!$A:$K,10,FALSE)</f>
        <v>Resistant</v>
      </c>
      <c r="AW756" t="str">
        <f>VLOOKUP($I756,'[2]Table S5'!$A:$K,11,FALSE)</f>
        <v>Resistant</v>
      </c>
    </row>
    <row r="757" spans="1:49">
      <c r="A757" s="12" t="s">
        <v>4704</v>
      </c>
      <c r="B757" t="s">
        <v>4698</v>
      </c>
      <c r="C757" t="s">
        <v>4699</v>
      </c>
      <c r="D757" t="s">
        <v>17</v>
      </c>
      <c r="E757" t="s">
        <v>4700</v>
      </c>
      <c r="F757" s="12" t="s">
        <v>4701</v>
      </c>
      <c r="G757" t="s">
        <v>4702</v>
      </c>
      <c r="H757" t="s">
        <v>4703</v>
      </c>
      <c r="I757" t="s">
        <v>2705</v>
      </c>
      <c r="J757" t="s">
        <v>2705</v>
      </c>
      <c r="K757" t="e">
        <f>VLOOKUP($J757,'[1]Table S6'!$A:$AI,2,FALSE)</f>
        <v>#N/A</v>
      </c>
      <c r="L757" t="e">
        <f>VLOOKUP($J757,'[1]Table S6'!$A:$AI,3,FALSE)</f>
        <v>#N/A</v>
      </c>
      <c r="M757" t="e">
        <f>VLOOKUP($J757,'[1]Table S6'!$A:$AI,4,FALSE)</f>
        <v>#N/A</v>
      </c>
      <c r="N757" t="e">
        <f>VLOOKUP($J757,'[1]Table S6'!$A:$AI,5,FALSE)</f>
        <v>#N/A</v>
      </c>
      <c r="P757" t="e">
        <f>VLOOKUP($J757,'[1]Table S6'!$A:$AI,7,FALSE)</f>
        <v>#N/A</v>
      </c>
      <c r="Q757" t="e">
        <f>VLOOKUP($J757,'[1]Table S6'!$A:$AI,8,FALSE)</f>
        <v>#N/A</v>
      </c>
      <c r="R757" t="e">
        <f>VLOOKUP($J757,'[1]Table S6'!$A:$AI,9,FALSE)</f>
        <v>#N/A</v>
      </c>
      <c r="S757" t="e">
        <f>VLOOKUP($J757,'[1]Table S6'!$A:$AI,10,FALSE)</f>
        <v>#N/A</v>
      </c>
      <c r="U757" t="e">
        <f>VLOOKUP($J757,'[1]Table S6'!$A:$AI,12,FALSE)</f>
        <v>#N/A</v>
      </c>
      <c r="V757" t="e">
        <f>VLOOKUP($J757,'[1]Table S6'!$A:$AI,13,FALSE)</f>
        <v>#N/A</v>
      </c>
      <c r="W757" t="e">
        <f>VLOOKUP($J757,'[1]Table S6'!$A:$AI,14,FALSE)</f>
        <v>#N/A</v>
      </c>
      <c r="X757" t="e">
        <f>VLOOKUP($J757,'[1]Table S6'!$A:$AI,15,FALSE)</f>
        <v>#N/A</v>
      </c>
      <c r="Z757" t="e">
        <f>VLOOKUP($J757,'[1]Table S6'!$A:$AI,17,FALSE)</f>
        <v>#N/A</v>
      </c>
      <c r="AA757" t="e">
        <f>VLOOKUP($J757,'[1]Table S6'!$A:$AI,18,FALSE)</f>
        <v>#N/A</v>
      </c>
      <c r="AB757" t="e">
        <f>VLOOKUP($J757,'[1]Table S6'!$A:$AI,19,FALSE)</f>
        <v>#N/A</v>
      </c>
      <c r="AC757" t="e">
        <f>VLOOKUP($J757,'[1]Table S6'!$A:$AI,20,FALSE)</f>
        <v>#N/A</v>
      </c>
      <c r="AE757" t="e">
        <f>VLOOKUP($J757,'[1]Table S6'!$A:$AI,22,FALSE)</f>
        <v>#N/A</v>
      </c>
      <c r="AF757" t="e">
        <f>VLOOKUP($J757,'[1]Table S6'!$A:$AI,23,FALSE)</f>
        <v>#N/A</v>
      </c>
      <c r="AG757" t="e">
        <f>VLOOKUP($J757,'[1]Table S6'!$A:$AI,24,FALSE)</f>
        <v>#N/A</v>
      </c>
      <c r="AH757" t="e">
        <f>VLOOKUP($J757,'[1]Table S6'!$A:$AI,25,FALSE)</f>
        <v>#N/A</v>
      </c>
      <c r="AJ757" t="e">
        <f>VLOOKUP($J757,'[1]Table S6'!$A:$AI,27,FALSE)</f>
        <v>#N/A</v>
      </c>
      <c r="AK757" t="e">
        <f>VLOOKUP($J757,'[1]Table S6'!$A:$AI,28,FALSE)</f>
        <v>#N/A</v>
      </c>
      <c r="AL757" t="e">
        <f>VLOOKUP($J757,'[1]Table S6'!$A:$AI,29,FALSE)</f>
        <v>#N/A</v>
      </c>
      <c r="AM757" t="e">
        <f>VLOOKUP($J757,'[1]Table S6'!$A:$AI,30,FALSE)</f>
        <v>#N/A</v>
      </c>
      <c r="AO757" t="e">
        <f>VLOOKUP($J757,'[1]Table S6'!$A:$AI,32,FALSE)</f>
        <v>#N/A</v>
      </c>
      <c r="AP757" t="e">
        <f>VLOOKUP($J757,'[1]Table S6'!$A:$AI,33,FALSE)</f>
        <v>#N/A</v>
      </c>
      <c r="AQ757" t="e">
        <f>VLOOKUP($J757,'[1]Table S6'!$A:$AI,34,FALSE)</f>
        <v>#N/A</v>
      </c>
      <c r="AR757" t="e">
        <f>VLOOKUP($J757,'[1]Table S6'!$A:$AI,35,FALSE)</f>
        <v>#N/A</v>
      </c>
      <c r="AT757" t="str">
        <f>VLOOKUP($I757,'[2]Table S5'!$A:$K,8,FALSE)</f>
        <v>Sensitive</v>
      </c>
      <c r="AU757" t="str">
        <f>VLOOKUP($I757,'[2]Table S5'!$A:$K,9,FALSE)</f>
        <v>Resistant</v>
      </c>
      <c r="AV757" t="str">
        <f>VLOOKUP($I757,'[2]Table S5'!$A:$K,10,FALSE)</f>
        <v>Resistant</v>
      </c>
      <c r="AW757" t="str">
        <f>VLOOKUP($I757,'[2]Table S5'!$A:$K,11,FALSE)</f>
        <v>Sensitive</v>
      </c>
    </row>
    <row r="758" spans="1:49">
      <c r="A758" s="12" t="s">
        <v>4707</v>
      </c>
      <c r="B758" t="s">
        <v>4705</v>
      </c>
      <c r="C758" t="s">
        <v>4706</v>
      </c>
      <c r="D758" t="s">
        <v>17</v>
      </c>
      <c r="E758" t="s">
        <v>2701</v>
      </c>
      <c r="F758" s="12" t="s">
        <v>2702</v>
      </c>
      <c r="G758" t="s">
        <v>2703</v>
      </c>
      <c r="H758" t="s">
        <v>2704</v>
      </c>
      <c r="I758" t="s">
        <v>2705</v>
      </c>
      <c r="J758" t="s">
        <v>2706</v>
      </c>
      <c r="K758">
        <f>VLOOKUP($J758,'[1]Table S6'!$A:$AI,2,FALSE)</f>
        <v>305.39999999999998</v>
      </c>
      <c r="L758">
        <f>VLOOKUP($J758,'[1]Table S6'!$A:$AI,3,FALSE)</f>
        <v>0.64992551606724802</v>
      </c>
      <c r="M758">
        <f>VLOOKUP($J758,'[1]Table S6'!$A:$AI,4,FALSE)</f>
        <v>1.5920000000000001</v>
      </c>
      <c r="N758" t="str">
        <f>VLOOKUP($J758,'[1]Table S6'!$A:$AI,5,FALSE)</f>
        <v>Yes</v>
      </c>
      <c r="P758">
        <f>VLOOKUP($J758,'[1]Table S6'!$A:$AI,7,FALSE)</f>
        <v>315.10000000000002</v>
      </c>
      <c r="Q758">
        <f>VLOOKUP($J758,'[1]Table S6'!$A:$AI,8,FALSE)</f>
        <v>0.67056820600127698</v>
      </c>
      <c r="R758">
        <f>VLOOKUP($J758,'[1]Table S6'!$A:$AI,9,FALSE)</f>
        <v>1.5880000000000001</v>
      </c>
      <c r="S758" t="str">
        <f>VLOOKUP($J758,'[1]Table S6'!$A:$AI,10,FALSE)</f>
        <v>Yes</v>
      </c>
      <c r="U758">
        <f>VLOOKUP($J758,'[1]Table S6'!$A:$AI,12,FALSE)</f>
        <v>320</v>
      </c>
      <c r="V758">
        <f>VLOOKUP($J758,'[1]Table S6'!$A:$AI,13,FALSE)</f>
        <v>0.68099595658650802</v>
      </c>
      <c r="W758">
        <f>VLOOKUP($J758,'[1]Table S6'!$A:$AI,14,FALSE)</f>
        <v>1.9019999999999999</v>
      </c>
      <c r="X758" t="str">
        <f>VLOOKUP($J758,'[1]Table S6'!$A:$AI,15,FALSE)</f>
        <v>Yes</v>
      </c>
      <c r="Z758">
        <f>VLOOKUP($J758,'[1]Table S6'!$A:$AI,17,FALSE)</f>
        <v>295.2</v>
      </c>
      <c r="AA758">
        <f>VLOOKUP($J758,'[1]Table S6'!$A:$AI,18,FALSE)</f>
        <v>0.62821876995105297</v>
      </c>
      <c r="AB758">
        <f>VLOOKUP($J758,'[1]Table S6'!$A:$AI,19,FALSE)</f>
        <v>1.028</v>
      </c>
      <c r="AC758" t="str">
        <f>VLOOKUP($J758,'[1]Table S6'!$A:$AI,20,FALSE)</f>
        <v>Yes</v>
      </c>
      <c r="AE758">
        <f>VLOOKUP($J758,'[1]Table S6'!$A:$AI,22,FALSE)</f>
        <v>370.2</v>
      </c>
      <c r="AF758">
        <f>VLOOKUP($J758,'[1]Table S6'!$A:$AI,23,FALSE)</f>
        <v>0.78782719727601602</v>
      </c>
      <c r="AG758">
        <f>VLOOKUP($J758,'[1]Table S6'!$A:$AI,24,FALSE)</f>
        <v>18.95</v>
      </c>
      <c r="AH758" t="str">
        <f>VLOOKUP($J758,'[1]Table S6'!$A:$AI,25,FALSE)</f>
        <v>No</v>
      </c>
      <c r="AJ758">
        <f>VLOOKUP($J758,'[1]Table S6'!$A:$AI,27,FALSE)</f>
        <v>472.5</v>
      </c>
      <c r="AK758">
        <f>VLOOKUP($J758,'[1]Table S6'!$A:$AI,28,FALSE)</f>
        <v>1.00553309214727</v>
      </c>
      <c r="AL758">
        <f>VLOOKUP($J758,'[1]Table S6'!$A:$AI,29,FALSE)</f>
        <v>641.9</v>
      </c>
      <c r="AM758" t="str">
        <f>VLOOKUP($J758,'[1]Table S6'!$A:$AI,30,FALSE)</f>
        <v>No</v>
      </c>
      <c r="AO758">
        <f>VLOOKUP($J758,'[1]Table S6'!$A:$AI,32,FALSE)</f>
        <v>436.7</v>
      </c>
      <c r="AP758">
        <f>VLOOKUP($J758,'[1]Table S6'!$A:$AI,33,FALSE)</f>
        <v>0.92934666950415001</v>
      </c>
      <c r="AQ758">
        <f>VLOOKUP($J758,'[1]Table S6'!$A:$AI,34,FALSE)</f>
        <v>427.6</v>
      </c>
      <c r="AR758" t="str">
        <f>VLOOKUP($J758,'[1]Table S6'!$A:$AI,35,FALSE)</f>
        <v>No</v>
      </c>
      <c r="AT758" t="str">
        <f>VLOOKUP($I758,'[2]Table S5'!$A:$K,8,FALSE)</f>
        <v>Sensitive</v>
      </c>
      <c r="AU758" t="str">
        <f>VLOOKUP($I758,'[2]Table S5'!$A:$K,9,FALSE)</f>
        <v>Resistant</v>
      </c>
      <c r="AV758" t="str">
        <f>VLOOKUP($I758,'[2]Table S5'!$A:$K,10,FALSE)</f>
        <v>Resistant</v>
      </c>
      <c r="AW758" t="str">
        <f>VLOOKUP($I758,'[2]Table S5'!$A:$K,11,FALSE)</f>
        <v>Sensitive</v>
      </c>
    </row>
    <row r="759" spans="1:49">
      <c r="A759" s="12" t="s">
        <v>4710</v>
      </c>
      <c r="B759" t="s">
        <v>4708</v>
      </c>
      <c r="C759" t="s">
        <v>4709</v>
      </c>
      <c r="D759" t="s">
        <v>17</v>
      </c>
      <c r="E759" t="s">
        <v>2717</v>
      </c>
      <c r="F759" s="12" t="s">
        <v>2718</v>
      </c>
      <c r="G759" t="s">
        <v>2719</v>
      </c>
      <c r="H759" t="s">
        <v>2720</v>
      </c>
      <c r="I759" t="s">
        <v>2705</v>
      </c>
      <c r="J759" t="s">
        <v>2721</v>
      </c>
      <c r="K759">
        <f>VLOOKUP($J759,'[1]Table S6'!$A:$AI,2,FALSE)</f>
        <v>250.1</v>
      </c>
      <c r="L759">
        <f>VLOOKUP($J759,'[1]Table S6'!$A:$AI,3,FALSE)</f>
        <v>0.53224090231964205</v>
      </c>
      <c r="M759">
        <f>VLOOKUP($J759,'[1]Table S6'!$A:$AI,4,FALSE)</f>
        <v>0.39900000000000002</v>
      </c>
      <c r="N759" t="str">
        <f>VLOOKUP($J759,'[1]Table S6'!$A:$AI,5,FALSE)</f>
        <v>Yes</v>
      </c>
      <c r="P759">
        <f>VLOOKUP($J759,'[1]Table S6'!$A:$AI,7,FALSE)</f>
        <v>321.3</v>
      </c>
      <c r="Q759">
        <f>VLOOKUP($J759,'[1]Table S6'!$A:$AI,8,FALSE)</f>
        <v>0.68376250266014005</v>
      </c>
      <c r="R759">
        <f>VLOOKUP($J759,'[1]Table S6'!$A:$AI,9,FALSE)</f>
        <v>2.1520000000000001</v>
      </c>
      <c r="S759" t="str">
        <f>VLOOKUP($J759,'[1]Table S6'!$A:$AI,10,FALSE)</f>
        <v>Yes</v>
      </c>
      <c r="U759">
        <f>VLOOKUP($J759,'[1]Table S6'!$A:$AI,12,FALSE)</f>
        <v>347.8</v>
      </c>
      <c r="V759">
        <f>VLOOKUP($J759,'[1]Table S6'!$A:$AI,13,FALSE)</f>
        <v>0.74015748031496098</v>
      </c>
      <c r="W759">
        <f>VLOOKUP($J759,'[1]Table S6'!$A:$AI,14,FALSE)</f>
        <v>5.4029999999999996</v>
      </c>
      <c r="X759" t="str">
        <f>VLOOKUP($J759,'[1]Table S6'!$A:$AI,15,FALSE)</f>
        <v>No</v>
      </c>
      <c r="Z759">
        <f>VLOOKUP($J759,'[1]Table S6'!$A:$AI,17,FALSE)</f>
        <v>311.89999999999998</v>
      </c>
      <c r="AA759">
        <f>VLOOKUP($J759,'[1]Table S6'!$A:$AI,18,FALSE)</f>
        <v>0.66375824643541204</v>
      </c>
      <c r="AB759">
        <f>VLOOKUP($J759,'[1]Table S6'!$A:$AI,19,FALSE)</f>
        <v>1.6140000000000001</v>
      </c>
      <c r="AC759" t="str">
        <f>VLOOKUP($J759,'[1]Table S6'!$A:$AI,20,FALSE)</f>
        <v>Yes</v>
      </c>
      <c r="AE759">
        <f>VLOOKUP($J759,'[1]Table S6'!$A:$AI,22,FALSE)</f>
        <v>360.5</v>
      </c>
      <c r="AF759">
        <f>VLOOKUP($J759,'[1]Table S6'!$A:$AI,23,FALSE)</f>
        <v>0.76718450734198795</v>
      </c>
      <c r="AG759">
        <f>VLOOKUP($J759,'[1]Table S6'!$A:$AI,24,FALSE)</f>
        <v>13.73</v>
      </c>
      <c r="AH759" t="str">
        <f>VLOOKUP($J759,'[1]Table S6'!$A:$AI,25,FALSE)</f>
        <v>No</v>
      </c>
      <c r="AJ759">
        <f>VLOOKUP($J759,'[1]Table S6'!$A:$AI,27,FALSE)</f>
        <v>442.6</v>
      </c>
      <c r="AK759">
        <f>VLOOKUP($J759,'[1]Table S6'!$A:$AI,28,FALSE)</f>
        <v>0.94190253245371403</v>
      </c>
      <c r="AL759">
        <f>VLOOKUP($J759,'[1]Table S6'!$A:$AI,29,FALSE)</f>
        <v>193.1</v>
      </c>
      <c r="AM759" t="str">
        <f>VLOOKUP($J759,'[1]Table S6'!$A:$AI,30,FALSE)</f>
        <v>No</v>
      </c>
      <c r="AO759">
        <f>VLOOKUP($J759,'[1]Table S6'!$A:$AI,32,FALSE)</f>
        <v>400.2</v>
      </c>
      <c r="AP759">
        <f>VLOOKUP($J759,'[1]Table S6'!$A:$AI,33,FALSE)</f>
        <v>0.85167056820600096</v>
      </c>
      <c r="AQ759">
        <f>VLOOKUP($J759,'[1]Table S6'!$A:$AI,34,FALSE)</f>
        <v>181.2</v>
      </c>
      <c r="AR759" t="str">
        <f>VLOOKUP($J759,'[1]Table S6'!$A:$AI,35,FALSE)</f>
        <v>No</v>
      </c>
      <c r="AT759" t="str">
        <f>VLOOKUP($I759,'[2]Table S5'!$A:$K,8,FALSE)</f>
        <v>Sensitive</v>
      </c>
      <c r="AU759" t="str">
        <f>VLOOKUP($I759,'[2]Table S5'!$A:$K,9,FALSE)</f>
        <v>Resistant</v>
      </c>
      <c r="AV759" t="str">
        <f>VLOOKUP($I759,'[2]Table S5'!$A:$K,10,FALSE)</f>
        <v>Resistant</v>
      </c>
      <c r="AW759" t="str">
        <f>VLOOKUP($I759,'[2]Table S5'!$A:$K,11,FALSE)</f>
        <v>Sensitive</v>
      </c>
    </row>
    <row r="760" spans="1:49">
      <c r="A760" s="12" t="s">
        <v>4718</v>
      </c>
      <c r="B760" t="s">
        <v>4711</v>
      </c>
      <c r="C760" t="s">
        <v>4712</v>
      </c>
      <c r="D760" t="s">
        <v>17</v>
      </c>
      <c r="E760" t="s">
        <v>4713</v>
      </c>
      <c r="F760" s="12" t="s">
        <v>4714</v>
      </c>
      <c r="G760" t="s">
        <v>4715</v>
      </c>
      <c r="H760" t="s">
        <v>4716</v>
      </c>
      <c r="I760" t="s">
        <v>2705</v>
      </c>
      <c r="J760" t="s">
        <v>4717</v>
      </c>
      <c r="K760">
        <f>VLOOKUP($J760,'[1]Table S6'!$A:$AI,2,FALSE)</f>
        <v>304.5</v>
      </c>
      <c r="L760">
        <f>VLOOKUP($J760,'[1]Table S6'!$A:$AI,3,FALSE)</f>
        <v>0.64801021493934896</v>
      </c>
      <c r="M760">
        <f>VLOOKUP($J760,'[1]Table S6'!$A:$AI,4,FALSE)</f>
        <v>1.1459999999999999</v>
      </c>
      <c r="N760" t="str">
        <f>VLOOKUP($J760,'[1]Table S6'!$A:$AI,5,FALSE)</f>
        <v>Yes</v>
      </c>
      <c r="P760">
        <f>VLOOKUP($J760,'[1]Table S6'!$A:$AI,7,FALSE)</f>
        <v>333.1</v>
      </c>
      <c r="Q760">
        <f>VLOOKUP($J760,'[1]Table S6'!$A:$AI,8,FALSE)</f>
        <v>0.70887422855926796</v>
      </c>
      <c r="R760">
        <f>VLOOKUP($J760,'[1]Table S6'!$A:$AI,9,FALSE)</f>
        <v>3.056</v>
      </c>
      <c r="S760" t="str">
        <f>VLOOKUP($J760,'[1]Table S6'!$A:$AI,10,FALSE)</f>
        <v>No</v>
      </c>
      <c r="U760">
        <f>VLOOKUP($J760,'[1]Table S6'!$A:$AI,12,FALSE)</f>
        <v>357.3</v>
      </c>
      <c r="V760">
        <f>VLOOKUP($J760,'[1]Table S6'!$A:$AI,13,FALSE)</f>
        <v>0.76037454777612301</v>
      </c>
      <c r="W760">
        <f>VLOOKUP($J760,'[1]Table S6'!$A:$AI,14,FALSE)</f>
        <v>6.98</v>
      </c>
      <c r="X760" t="str">
        <f>VLOOKUP($J760,'[1]Table S6'!$A:$AI,15,FALSE)</f>
        <v>No</v>
      </c>
      <c r="Z760">
        <f>VLOOKUP($J760,'[1]Table S6'!$A:$AI,17,FALSE)</f>
        <v>291.3</v>
      </c>
      <c r="AA760">
        <f>VLOOKUP($J760,'[1]Table S6'!$A:$AI,18,FALSE)</f>
        <v>0.619919131730155</v>
      </c>
      <c r="AB760">
        <f>VLOOKUP($J760,'[1]Table S6'!$A:$AI,19,FALSE)</f>
        <v>1.099</v>
      </c>
      <c r="AC760" t="str">
        <f>VLOOKUP($J760,'[1]Table S6'!$A:$AI,20,FALSE)</f>
        <v>Yes</v>
      </c>
      <c r="AE760">
        <f>VLOOKUP($J760,'[1]Table S6'!$A:$AI,22,FALSE)</f>
        <v>380.8</v>
      </c>
      <c r="AF760">
        <f>VLOOKUP($J760,'[1]Table S6'!$A:$AI,23,FALSE)</f>
        <v>0.81038518833794404</v>
      </c>
      <c r="AG760">
        <f>VLOOKUP($J760,'[1]Table S6'!$A:$AI,24,FALSE)</f>
        <v>25.26</v>
      </c>
      <c r="AH760" t="str">
        <f>VLOOKUP($J760,'[1]Table S6'!$A:$AI,25,FALSE)</f>
        <v>No</v>
      </c>
      <c r="AJ760">
        <f>VLOOKUP($J760,'[1]Table S6'!$A:$AI,27,FALSE)</f>
        <v>430.8</v>
      </c>
      <c r="AK760">
        <f>VLOOKUP($J760,'[1]Table S6'!$A:$AI,28,FALSE)</f>
        <v>0.916790806554586</v>
      </c>
      <c r="AL760">
        <f>VLOOKUP($J760,'[1]Table S6'!$A:$AI,29,FALSE)</f>
        <v>173.7</v>
      </c>
      <c r="AM760" t="str">
        <f>VLOOKUP($J760,'[1]Table S6'!$A:$AI,30,FALSE)</f>
        <v>No</v>
      </c>
      <c r="AO760">
        <f>VLOOKUP($J760,'[1]Table S6'!$A:$AI,32,FALSE)</f>
        <v>452.2</v>
      </c>
      <c r="AP760">
        <f>VLOOKUP($J760,'[1]Table S6'!$A:$AI,33,FALSE)</f>
        <v>0.96233241115130896</v>
      </c>
      <c r="AQ760">
        <f>VLOOKUP($J760,'[1]Table S6'!$A:$AI,34,FALSE)</f>
        <v>285.5</v>
      </c>
      <c r="AR760" t="str">
        <f>VLOOKUP($J760,'[1]Table S6'!$A:$AI,35,FALSE)</f>
        <v>No</v>
      </c>
      <c r="AT760" t="str">
        <f>VLOOKUP($I760,'[2]Table S5'!$A:$K,8,FALSE)</f>
        <v>Sensitive</v>
      </c>
      <c r="AU760" t="str">
        <f>VLOOKUP($I760,'[2]Table S5'!$A:$K,9,FALSE)</f>
        <v>Resistant</v>
      </c>
      <c r="AV760" t="str">
        <f>VLOOKUP($I760,'[2]Table S5'!$A:$K,10,FALSE)</f>
        <v>Resistant</v>
      </c>
      <c r="AW760" t="str">
        <f>VLOOKUP($I760,'[2]Table S5'!$A:$K,11,FALSE)</f>
        <v>Sensitive</v>
      </c>
    </row>
    <row r="761" spans="1:49">
      <c r="A761" s="12" t="s">
        <v>4721</v>
      </c>
      <c r="B761" t="s">
        <v>4719</v>
      </c>
      <c r="C761" t="s">
        <v>4720</v>
      </c>
      <c r="D761" t="s">
        <v>17</v>
      </c>
      <c r="E761" t="s">
        <v>2710</v>
      </c>
      <c r="F761" s="12" t="s">
        <v>2711</v>
      </c>
      <c r="G761" t="s">
        <v>2712</v>
      </c>
      <c r="H761" t="s">
        <v>2713</v>
      </c>
      <c r="I761" t="s">
        <v>2705</v>
      </c>
      <c r="J761" t="s">
        <v>2706</v>
      </c>
      <c r="K761">
        <f>VLOOKUP($J761,'[1]Table S6'!$A:$AI,2,FALSE)</f>
        <v>305.39999999999998</v>
      </c>
      <c r="L761">
        <f>VLOOKUP($J761,'[1]Table S6'!$A:$AI,3,FALSE)</f>
        <v>0.64992551606724802</v>
      </c>
      <c r="M761">
        <f>VLOOKUP($J761,'[1]Table S6'!$A:$AI,4,FALSE)</f>
        <v>1.5920000000000001</v>
      </c>
      <c r="N761" t="str">
        <f>VLOOKUP($J761,'[1]Table S6'!$A:$AI,5,FALSE)</f>
        <v>Yes</v>
      </c>
      <c r="P761">
        <f>VLOOKUP($J761,'[1]Table S6'!$A:$AI,7,FALSE)</f>
        <v>315.10000000000002</v>
      </c>
      <c r="Q761">
        <f>VLOOKUP($J761,'[1]Table S6'!$A:$AI,8,FALSE)</f>
        <v>0.67056820600127698</v>
      </c>
      <c r="R761">
        <f>VLOOKUP($J761,'[1]Table S6'!$A:$AI,9,FALSE)</f>
        <v>1.5880000000000001</v>
      </c>
      <c r="S761" t="str">
        <f>VLOOKUP($J761,'[1]Table S6'!$A:$AI,10,FALSE)</f>
        <v>Yes</v>
      </c>
      <c r="U761">
        <f>VLOOKUP($J761,'[1]Table S6'!$A:$AI,12,FALSE)</f>
        <v>320</v>
      </c>
      <c r="V761">
        <f>VLOOKUP($J761,'[1]Table S6'!$A:$AI,13,FALSE)</f>
        <v>0.68099595658650802</v>
      </c>
      <c r="W761">
        <f>VLOOKUP($J761,'[1]Table S6'!$A:$AI,14,FALSE)</f>
        <v>1.9019999999999999</v>
      </c>
      <c r="X761" t="str">
        <f>VLOOKUP($J761,'[1]Table S6'!$A:$AI,15,FALSE)</f>
        <v>Yes</v>
      </c>
      <c r="Z761">
        <f>VLOOKUP($J761,'[1]Table S6'!$A:$AI,17,FALSE)</f>
        <v>295.2</v>
      </c>
      <c r="AA761">
        <f>VLOOKUP($J761,'[1]Table S6'!$A:$AI,18,FALSE)</f>
        <v>0.62821876995105297</v>
      </c>
      <c r="AB761">
        <f>VLOOKUP($J761,'[1]Table S6'!$A:$AI,19,FALSE)</f>
        <v>1.028</v>
      </c>
      <c r="AC761" t="str">
        <f>VLOOKUP($J761,'[1]Table S6'!$A:$AI,20,FALSE)</f>
        <v>Yes</v>
      </c>
      <c r="AE761">
        <f>VLOOKUP($J761,'[1]Table S6'!$A:$AI,22,FALSE)</f>
        <v>370.2</v>
      </c>
      <c r="AF761">
        <f>VLOOKUP($J761,'[1]Table S6'!$A:$AI,23,FALSE)</f>
        <v>0.78782719727601602</v>
      </c>
      <c r="AG761">
        <f>VLOOKUP($J761,'[1]Table S6'!$A:$AI,24,FALSE)</f>
        <v>18.95</v>
      </c>
      <c r="AH761" t="str">
        <f>VLOOKUP($J761,'[1]Table S6'!$A:$AI,25,FALSE)</f>
        <v>No</v>
      </c>
      <c r="AJ761">
        <f>VLOOKUP($J761,'[1]Table S6'!$A:$AI,27,FALSE)</f>
        <v>472.5</v>
      </c>
      <c r="AK761">
        <f>VLOOKUP($J761,'[1]Table S6'!$A:$AI,28,FALSE)</f>
        <v>1.00553309214727</v>
      </c>
      <c r="AL761">
        <f>VLOOKUP($J761,'[1]Table S6'!$A:$AI,29,FALSE)</f>
        <v>641.9</v>
      </c>
      <c r="AM761" t="str">
        <f>VLOOKUP($J761,'[1]Table S6'!$A:$AI,30,FALSE)</f>
        <v>No</v>
      </c>
      <c r="AO761">
        <f>VLOOKUP($J761,'[1]Table S6'!$A:$AI,32,FALSE)</f>
        <v>436.7</v>
      </c>
      <c r="AP761">
        <f>VLOOKUP($J761,'[1]Table S6'!$A:$AI,33,FALSE)</f>
        <v>0.92934666950415001</v>
      </c>
      <c r="AQ761">
        <f>VLOOKUP($J761,'[1]Table S6'!$A:$AI,34,FALSE)</f>
        <v>427.6</v>
      </c>
      <c r="AR761" t="str">
        <f>VLOOKUP($J761,'[1]Table S6'!$A:$AI,35,FALSE)</f>
        <v>No</v>
      </c>
      <c r="AT761" t="str">
        <f>VLOOKUP($I761,'[2]Table S5'!$A:$K,8,FALSE)</f>
        <v>Sensitive</v>
      </c>
      <c r="AU761" t="str">
        <f>VLOOKUP($I761,'[2]Table S5'!$A:$K,9,FALSE)</f>
        <v>Resistant</v>
      </c>
      <c r="AV761" t="str">
        <f>VLOOKUP($I761,'[2]Table S5'!$A:$K,10,FALSE)</f>
        <v>Resistant</v>
      </c>
      <c r="AW761" t="str">
        <f>VLOOKUP($I761,'[2]Table S5'!$A:$K,11,FALSE)</f>
        <v>Sensitive</v>
      </c>
    </row>
    <row r="762" spans="1:49">
      <c r="A762" s="12" t="s">
        <v>4724</v>
      </c>
      <c r="B762" t="s">
        <v>4722</v>
      </c>
      <c r="C762" t="s">
        <v>4723</v>
      </c>
      <c r="D762" t="s">
        <v>17</v>
      </c>
      <c r="E762" t="s">
        <v>2725</v>
      </c>
      <c r="F762" s="12" t="s">
        <v>2726</v>
      </c>
      <c r="G762" t="s">
        <v>2727</v>
      </c>
      <c r="H762" t="s">
        <v>2728</v>
      </c>
      <c r="I762" t="s">
        <v>2705</v>
      </c>
      <c r="J762" t="s">
        <v>2721</v>
      </c>
      <c r="K762">
        <f>VLOOKUP($J762,'[1]Table S6'!$A:$AI,2,FALSE)</f>
        <v>250.1</v>
      </c>
      <c r="L762">
        <f>VLOOKUP($J762,'[1]Table S6'!$A:$AI,3,FALSE)</f>
        <v>0.53224090231964205</v>
      </c>
      <c r="M762">
        <f>VLOOKUP($J762,'[1]Table S6'!$A:$AI,4,FALSE)</f>
        <v>0.39900000000000002</v>
      </c>
      <c r="N762" t="str">
        <f>VLOOKUP($J762,'[1]Table S6'!$A:$AI,5,FALSE)</f>
        <v>Yes</v>
      </c>
      <c r="P762">
        <f>VLOOKUP($J762,'[1]Table S6'!$A:$AI,7,FALSE)</f>
        <v>321.3</v>
      </c>
      <c r="Q762">
        <f>VLOOKUP($J762,'[1]Table S6'!$A:$AI,8,FALSE)</f>
        <v>0.68376250266014005</v>
      </c>
      <c r="R762">
        <f>VLOOKUP($J762,'[1]Table S6'!$A:$AI,9,FALSE)</f>
        <v>2.1520000000000001</v>
      </c>
      <c r="S762" t="str">
        <f>VLOOKUP($J762,'[1]Table S6'!$A:$AI,10,FALSE)</f>
        <v>Yes</v>
      </c>
      <c r="U762">
        <f>VLOOKUP($J762,'[1]Table S6'!$A:$AI,12,FALSE)</f>
        <v>347.8</v>
      </c>
      <c r="V762">
        <f>VLOOKUP($J762,'[1]Table S6'!$A:$AI,13,FALSE)</f>
        <v>0.74015748031496098</v>
      </c>
      <c r="W762">
        <f>VLOOKUP($J762,'[1]Table S6'!$A:$AI,14,FALSE)</f>
        <v>5.4029999999999996</v>
      </c>
      <c r="X762" t="str">
        <f>VLOOKUP($J762,'[1]Table S6'!$A:$AI,15,FALSE)</f>
        <v>No</v>
      </c>
      <c r="Z762">
        <f>VLOOKUP($J762,'[1]Table S6'!$A:$AI,17,FALSE)</f>
        <v>311.89999999999998</v>
      </c>
      <c r="AA762">
        <f>VLOOKUP($J762,'[1]Table S6'!$A:$AI,18,FALSE)</f>
        <v>0.66375824643541204</v>
      </c>
      <c r="AB762">
        <f>VLOOKUP($J762,'[1]Table S6'!$A:$AI,19,FALSE)</f>
        <v>1.6140000000000001</v>
      </c>
      <c r="AC762" t="str">
        <f>VLOOKUP($J762,'[1]Table S6'!$A:$AI,20,FALSE)</f>
        <v>Yes</v>
      </c>
      <c r="AE762">
        <f>VLOOKUP($J762,'[1]Table S6'!$A:$AI,22,FALSE)</f>
        <v>360.5</v>
      </c>
      <c r="AF762">
        <f>VLOOKUP($J762,'[1]Table S6'!$A:$AI,23,FALSE)</f>
        <v>0.76718450734198795</v>
      </c>
      <c r="AG762">
        <f>VLOOKUP($J762,'[1]Table S6'!$A:$AI,24,FALSE)</f>
        <v>13.73</v>
      </c>
      <c r="AH762" t="str">
        <f>VLOOKUP($J762,'[1]Table S6'!$A:$AI,25,FALSE)</f>
        <v>No</v>
      </c>
      <c r="AJ762">
        <f>VLOOKUP($J762,'[1]Table S6'!$A:$AI,27,FALSE)</f>
        <v>442.6</v>
      </c>
      <c r="AK762">
        <f>VLOOKUP($J762,'[1]Table S6'!$A:$AI,28,FALSE)</f>
        <v>0.94190253245371403</v>
      </c>
      <c r="AL762">
        <f>VLOOKUP($J762,'[1]Table S6'!$A:$AI,29,FALSE)</f>
        <v>193.1</v>
      </c>
      <c r="AM762" t="str">
        <f>VLOOKUP($J762,'[1]Table S6'!$A:$AI,30,FALSE)</f>
        <v>No</v>
      </c>
      <c r="AO762">
        <f>VLOOKUP($J762,'[1]Table S6'!$A:$AI,32,FALSE)</f>
        <v>400.2</v>
      </c>
      <c r="AP762">
        <f>VLOOKUP($J762,'[1]Table S6'!$A:$AI,33,FALSE)</f>
        <v>0.85167056820600096</v>
      </c>
      <c r="AQ762">
        <f>VLOOKUP($J762,'[1]Table S6'!$A:$AI,34,FALSE)</f>
        <v>181.2</v>
      </c>
      <c r="AR762" t="str">
        <f>VLOOKUP($J762,'[1]Table S6'!$A:$AI,35,FALSE)</f>
        <v>No</v>
      </c>
      <c r="AT762" t="str">
        <f>VLOOKUP($I762,'[2]Table S5'!$A:$K,8,FALSE)</f>
        <v>Sensitive</v>
      </c>
      <c r="AU762" t="str">
        <f>VLOOKUP($I762,'[2]Table S5'!$A:$K,9,FALSE)</f>
        <v>Resistant</v>
      </c>
      <c r="AV762" t="str">
        <f>VLOOKUP($I762,'[2]Table S5'!$A:$K,10,FALSE)</f>
        <v>Resistant</v>
      </c>
      <c r="AW762" t="str">
        <f>VLOOKUP($I762,'[2]Table S5'!$A:$K,11,FALSE)</f>
        <v>Sensitive</v>
      </c>
    </row>
    <row r="763" spans="1:49">
      <c r="A763" s="12" t="s">
        <v>4731</v>
      </c>
      <c r="B763" t="s">
        <v>4725</v>
      </c>
      <c r="C763" t="s">
        <v>4726</v>
      </c>
      <c r="D763" t="s">
        <v>17</v>
      </c>
      <c r="E763" t="s">
        <v>4727</v>
      </c>
      <c r="F763" s="12" t="s">
        <v>4728</v>
      </c>
      <c r="G763" t="s">
        <v>4729</v>
      </c>
      <c r="H763" t="s">
        <v>4730</v>
      </c>
      <c r="I763" t="s">
        <v>2705</v>
      </c>
      <c r="J763" t="s">
        <v>4717</v>
      </c>
      <c r="K763">
        <f>VLOOKUP($J763,'[1]Table S6'!$A:$AI,2,FALSE)</f>
        <v>304.5</v>
      </c>
      <c r="L763">
        <f>VLOOKUP($J763,'[1]Table S6'!$A:$AI,3,FALSE)</f>
        <v>0.64801021493934896</v>
      </c>
      <c r="M763">
        <f>VLOOKUP($J763,'[1]Table S6'!$A:$AI,4,FALSE)</f>
        <v>1.1459999999999999</v>
      </c>
      <c r="N763" t="str">
        <f>VLOOKUP($J763,'[1]Table S6'!$A:$AI,5,FALSE)</f>
        <v>Yes</v>
      </c>
      <c r="P763">
        <f>VLOOKUP($J763,'[1]Table S6'!$A:$AI,7,FALSE)</f>
        <v>333.1</v>
      </c>
      <c r="Q763">
        <f>VLOOKUP($J763,'[1]Table S6'!$A:$AI,8,FALSE)</f>
        <v>0.70887422855926796</v>
      </c>
      <c r="R763">
        <f>VLOOKUP($J763,'[1]Table S6'!$A:$AI,9,FALSE)</f>
        <v>3.056</v>
      </c>
      <c r="S763" t="str">
        <f>VLOOKUP($J763,'[1]Table S6'!$A:$AI,10,FALSE)</f>
        <v>No</v>
      </c>
      <c r="U763">
        <f>VLOOKUP($J763,'[1]Table S6'!$A:$AI,12,FALSE)</f>
        <v>357.3</v>
      </c>
      <c r="V763">
        <f>VLOOKUP($J763,'[1]Table S6'!$A:$AI,13,FALSE)</f>
        <v>0.76037454777612301</v>
      </c>
      <c r="W763">
        <f>VLOOKUP($J763,'[1]Table S6'!$A:$AI,14,FALSE)</f>
        <v>6.98</v>
      </c>
      <c r="X763" t="str">
        <f>VLOOKUP($J763,'[1]Table S6'!$A:$AI,15,FALSE)</f>
        <v>No</v>
      </c>
      <c r="Z763">
        <f>VLOOKUP($J763,'[1]Table S6'!$A:$AI,17,FALSE)</f>
        <v>291.3</v>
      </c>
      <c r="AA763">
        <f>VLOOKUP($J763,'[1]Table S6'!$A:$AI,18,FALSE)</f>
        <v>0.619919131730155</v>
      </c>
      <c r="AB763">
        <f>VLOOKUP($J763,'[1]Table S6'!$A:$AI,19,FALSE)</f>
        <v>1.099</v>
      </c>
      <c r="AC763" t="str">
        <f>VLOOKUP($J763,'[1]Table S6'!$A:$AI,20,FALSE)</f>
        <v>Yes</v>
      </c>
      <c r="AE763">
        <f>VLOOKUP($J763,'[1]Table S6'!$A:$AI,22,FALSE)</f>
        <v>380.8</v>
      </c>
      <c r="AF763">
        <f>VLOOKUP($J763,'[1]Table S6'!$A:$AI,23,FALSE)</f>
        <v>0.81038518833794404</v>
      </c>
      <c r="AG763">
        <f>VLOOKUP($J763,'[1]Table S6'!$A:$AI,24,FALSE)</f>
        <v>25.26</v>
      </c>
      <c r="AH763" t="str">
        <f>VLOOKUP($J763,'[1]Table S6'!$A:$AI,25,FALSE)</f>
        <v>No</v>
      </c>
      <c r="AJ763">
        <f>VLOOKUP($J763,'[1]Table S6'!$A:$AI,27,FALSE)</f>
        <v>430.8</v>
      </c>
      <c r="AK763">
        <f>VLOOKUP($J763,'[1]Table S6'!$A:$AI,28,FALSE)</f>
        <v>0.916790806554586</v>
      </c>
      <c r="AL763">
        <f>VLOOKUP($J763,'[1]Table S6'!$A:$AI,29,FALSE)</f>
        <v>173.7</v>
      </c>
      <c r="AM763" t="str">
        <f>VLOOKUP($J763,'[1]Table S6'!$A:$AI,30,FALSE)</f>
        <v>No</v>
      </c>
      <c r="AO763">
        <f>VLOOKUP($J763,'[1]Table S6'!$A:$AI,32,FALSE)</f>
        <v>452.2</v>
      </c>
      <c r="AP763">
        <f>VLOOKUP($J763,'[1]Table S6'!$A:$AI,33,FALSE)</f>
        <v>0.96233241115130896</v>
      </c>
      <c r="AQ763">
        <f>VLOOKUP($J763,'[1]Table S6'!$A:$AI,34,FALSE)</f>
        <v>285.5</v>
      </c>
      <c r="AR763" t="str">
        <f>VLOOKUP($J763,'[1]Table S6'!$A:$AI,35,FALSE)</f>
        <v>No</v>
      </c>
      <c r="AT763" t="str">
        <f>VLOOKUP($I763,'[2]Table S5'!$A:$K,8,FALSE)</f>
        <v>Sensitive</v>
      </c>
      <c r="AU763" t="str">
        <f>VLOOKUP($I763,'[2]Table S5'!$A:$K,9,FALSE)</f>
        <v>Resistant</v>
      </c>
      <c r="AV763" t="str">
        <f>VLOOKUP($I763,'[2]Table S5'!$A:$K,10,FALSE)</f>
        <v>Resistant</v>
      </c>
      <c r="AW763" t="str">
        <f>VLOOKUP($I763,'[2]Table S5'!$A:$K,11,FALSE)</f>
        <v>Sensitive</v>
      </c>
    </row>
    <row r="764" spans="1:49">
      <c r="A764" s="12" t="s">
        <v>4734</v>
      </c>
      <c r="B764" t="s">
        <v>4732</v>
      </c>
      <c r="C764" t="s">
        <v>4733</v>
      </c>
      <c r="D764" t="s">
        <v>17</v>
      </c>
      <c r="E764" t="s">
        <v>2753</v>
      </c>
      <c r="F764" s="12" t="s">
        <v>2754</v>
      </c>
      <c r="G764" t="s">
        <v>2755</v>
      </c>
      <c r="H764" t="s">
        <v>2756</v>
      </c>
      <c r="I764" t="s">
        <v>22</v>
      </c>
      <c r="J764" t="s">
        <v>39</v>
      </c>
      <c r="K764">
        <f>VLOOKUP($J764,'[1]Table S6'!$A:$AI,2,FALSE)</f>
        <v>306.10000000000002</v>
      </c>
      <c r="L764">
        <f>VLOOKUP($J764,'[1]Table S6'!$A:$AI,3,FALSE)</f>
        <v>0.65141519472228104</v>
      </c>
      <c r="M764">
        <f>VLOOKUP($J764,'[1]Table S6'!$A:$AI,4,FALSE)</f>
        <v>1.179</v>
      </c>
      <c r="N764" t="str">
        <f>VLOOKUP($J764,'[1]Table S6'!$A:$AI,5,FALSE)</f>
        <v>Yes</v>
      </c>
      <c r="P764">
        <f>VLOOKUP($J764,'[1]Table S6'!$A:$AI,7,FALSE)</f>
        <v>393.6</v>
      </c>
      <c r="Q764">
        <f>VLOOKUP($J764,'[1]Table S6'!$A:$AI,8,FALSE)</f>
        <v>0.83762502660140503</v>
      </c>
      <c r="R764">
        <f>VLOOKUP($J764,'[1]Table S6'!$A:$AI,9,FALSE)</f>
        <v>20.23</v>
      </c>
      <c r="S764" t="str">
        <f>VLOOKUP($J764,'[1]Table S6'!$A:$AI,10,FALSE)</f>
        <v>No</v>
      </c>
      <c r="U764">
        <f>VLOOKUP($J764,'[1]Table S6'!$A:$AI,12,FALSE)</f>
        <v>265</v>
      </c>
      <c r="V764">
        <f>VLOOKUP($J764,'[1]Table S6'!$A:$AI,13,FALSE)</f>
        <v>0.563949776548202</v>
      </c>
      <c r="W764">
        <f>VLOOKUP($J764,'[1]Table S6'!$A:$AI,14,FALSE)</f>
        <v>0.38069999999999998</v>
      </c>
      <c r="X764" t="str">
        <f>VLOOKUP($J764,'[1]Table S6'!$A:$AI,15,FALSE)</f>
        <v>Yes</v>
      </c>
      <c r="Z764">
        <f>VLOOKUP($J764,'[1]Table S6'!$A:$AI,17,FALSE)</f>
        <v>331.9</v>
      </c>
      <c r="AA764">
        <f>VLOOKUP($J764,'[1]Table S6'!$A:$AI,18,FALSE)</f>
        <v>0.70632049372206895</v>
      </c>
      <c r="AB764">
        <f>VLOOKUP($J764,'[1]Table S6'!$A:$AI,19,FALSE)</f>
        <v>2.403</v>
      </c>
      <c r="AC764" t="str">
        <f>VLOOKUP($J764,'[1]Table S6'!$A:$AI,20,FALSE)</f>
        <v>No</v>
      </c>
      <c r="AE764">
        <f>VLOOKUP($J764,'[1]Table S6'!$A:$AI,22,FALSE)</f>
        <v>376.5</v>
      </c>
      <c r="AF764">
        <f>VLOOKUP($J764,'[1]Table S6'!$A:$AI,23,FALSE)</f>
        <v>0.801234305171313</v>
      </c>
      <c r="AG764">
        <f>VLOOKUP($J764,'[1]Table S6'!$A:$AI,24,FALSE)</f>
        <v>8.6720000000000006</v>
      </c>
      <c r="AH764" t="str">
        <f>VLOOKUP($J764,'[1]Table S6'!$A:$AI,25,FALSE)</f>
        <v>No</v>
      </c>
      <c r="AJ764">
        <f>VLOOKUP($J764,'[1]Table S6'!$A:$AI,27,FALSE)</f>
        <v>377.3</v>
      </c>
      <c r="AK764">
        <f>VLOOKUP($J764,'[1]Table S6'!$A:$AI,28,FALSE)</f>
        <v>0.80293679506277904</v>
      </c>
      <c r="AL764">
        <f>VLOOKUP($J764,'[1]Table S6'!$A:$AI,29,FALSE)</f>
        <v>32.5</v>
      </c>
      <c r="AM764" t="str">
        <f>VLOOKUP($J764,'[1]Table S6'!$A:$AI,30,FALSE)</f>
        <v>No</v>
      </c>
      <c r="AO764">
        <f>VLOOKUP($J764,'[1]Table S6'!$A:$AI,32,FALSE)</f>
        <v>416.5</v>
      </c>
      <c r="AP764">
        <f>VLOOKUP($J764,'[1]Table S6'!$A:$AI,33,FALSE)</f>
        <v>0.88635879974462695</v>
      </c>
      <c r="AQ764">
        <f>VLOOKUP($J764,'[1]Table S6'!$A:$AI,34,FALSE)</f>
        <v>43.31</v>
      </c>
      <c r="AR764" t="str">
        <f>VLOOKUP($J764,'[1]Table S6'!$A:$AI,35,FALSE)</f>
        <v>No</v>
      </c>
      <c r="AT764" t="str">
        <f>VLOOKUP($I764,'[2]Table S5'!$A:$K,8,FALSE)</f>
        <v>Resistant</v>
      </c>
      <c r="AU764" t="str">
        <f>VLOOKUP($I764,'[2]Table S5'!$A:$K,9,FALSE)</f>
        <v>Resistant</v>
      </c>
      <c r="AV764" t="str">
        <f>VLOOKUP($I764,'[2]Table S5'!$A:$K,10,FALSE)</f>
        <v>Resistant</v>
      </c>
      <c r="AW764" t="str">
        <f>VLOOKUP($I764,'[2]Table S5'!$A:$K,11,FALSE)</f>
        <v>Resistant</v>
      </c>
    </row>
    <row r="765" spans="1:49">
      <c r="A765" s="12" t="s">
        <v>4737</v>
      </c>
      <c r="B765" t="s">
        <v>4735</v>
      </c>
      <c r="C765" t="s">
        <v>4736</v>
      </c>
      <c r="D765" t="s">
        <v>17</v>
      </c>
      <c r="E765" t="s">
        <v>2760</v>
      </c>
      <c r="F765" s="12" t="s">
        <v>2761</v>
      </c>
      <c r="G765" t="s">
        <v>2762</v>
      </c>
      <c r="H765" t="s">
        <v>2763</v>
      </c>
      <c r="I765" t="s">
        <v>22</v>
      </c>
      <c r="J765" t="s">
        <v>47</v>
      </c>
      <c r="K765">
        <f>VLOOKUP($J765,'[1]Table S6'!$A:$AI,2,FALSE)</f>
        <v>291.89999999999998</v>
      </c>
      <c r="L765">
        <f>VLOOKUP($J765,'[1]Table S6'!$A:$AI,3,FALSE)</f>
        <v>0.62119599914875501</v>
      </c>
      <c r="M765">
        <f>VLOOKUP($J765,'[1]Table S6'!$A:$AI,4,FALSE)</f>
        <v>0.78280000000000005</v>
      </c>
      <c r="N765" t="str">
        <f>VLOOKUP($J765,'[1]Table S6'!$A:$AI,5,FALSE)</f>
        <v>Yes</v>
      </c>
      <c r="P765">
        <f>VLOOKUP($J765,'[1]Table S6'!$A:$AI,7,FALSE)</f>
        <v>365.9</v>
      </c>
      <c r="Q765">
        <f>VLOOKUP($J765,'[1]Table S6'!$A:$AI,8,FALSE)</f>
        <v>0.77867631410938498</v>
      </c>
      <c r="R765">
        <f>VLOOKUP($J765,'[1]Table S6'!$A:$AI,9,FALSE)</f>
        <v>8.5079999999999991</v>
      </c>
      <c r="S765" t="str">
        <f>VLOOKUP($J765,'[1]Table S6'!$A:$AI,10,FALSE)</f>
        <v>No</v>
      </c>
      <c r="U765">
        <f>VLOOKUP($J765,'[1]Table S6'!$A:$AI,12,FALSE)</f>
        <v>318.60000000000002</v>
      </c>
      <c r="V765">
        <f>VLOOKUP($J765,'[1]Table S6'!$A:$AI,13,FALSE)</f>
        <v>0.67801659927644198</v>
      </c>
      <c r="W765">
        <f>VLOOKUP($J765,'[1]Table S6'!$A:$AI,14,FALSE)</f>
        <v>1.6679999999999999</v>
      </c>
      <c r="X765" t="str">
        <f>VLOOKUP($J765,'[1]Table S6'!$A:$AI,15,FALSE)</f>
        <v>Yes</v>
      </c>
      <c r="Z765">
        <f>VLOOKUP($J765,'[1]Table S6'!$A:$AI,17,FALSE)</f>
        <v>353.8</v>
      </c>
      <c r="AA765">
        <f>VLOOKUP($J765,'[1]Table S6'!$A:$AI,18,FALSE)</f>
        <v>0.75292615450095801</v>
      </c>
      <c r="AB765">
        <f>VLOOKUP($J765,'[1]Table S6'!$A:$AI,19,FALSE)</f>
        <v>6.09</v>
      </c>
      <c r="AC765" t="str">
        <f>VLOOKUP($J765,'[1]Table S6'!$A:$AI,20,FALSE)</f>
        <v>No</v>
      </c>
      <c r="AE765">
        <f>VLOOKUP($J765,'[1]Table S6'!$A:$AI,22,FALSE)</f>
        <v>396.9</v>
      </c>
      <c r="AF765">
        <f>VLOOKUP($J765,'[1]Table S6'!$A:$AI,23,FALSE)</f>
        <v>0.84464779740370299</v>
      </c>
      <c r="AG765">
        <f>VLOOKUP($J765,'[1]Table S6'!$A:$AI,24,FALSE)</f>
        <v>11.4</v>
      </c>
      <c r="AH765" t="str">
        <f>VLOOKUP($J765,'[1]Table S6'!$A:$AI,25,FALSE)</f>
        <v>No</v>
      </c>
      <c r="AJ765">
        <f>VLOOKUP($J765,'[1]Table S6'!$A:$AI,27,FALSE)</f>
        <v>417.8</v>
      </c>
      <c r="AK765">
        <f>VLOOKUP($J765,'[1]Table S6'!$A:$AI,28,FALSE)</f>
        <v>0.88912534581825897</v>
      </c>
      <c r="AL765">
        <f>VLOOKUP($J765,'[1]Table S6'!$A:$AI,29,FALSE)</f>
        <v>60.77</v>
      </c>
      <c r="AM765" t="str">
        <f>VLOOKUP($J765,'[1]Table S6'!$A:$AI,30,FALSE)</f>
        <v>No</v>
      </c>
      <c r="AO765">
        <f>VLOOKUP($J765,'[1]Table S6'!$A:$AI,32,FALSE)</f>
        <v>401.9</v>
      </c>
      <c r="AP765">
        <f>VLOOKUP($J765,'[1]Table S6'!$A:$AI,33,FALSE)</f>
        <v>0.85528835922536695</v>
      </c>
      <c r="AQ765">
        <f>VLOOKUP($J765,'[1]Table S6'!$A:$AI,34,FALSE)</f>
        <v>30.71</v>
      </c>
      <c r="AR765" t="str">
        <f>VLOOKUP($J765,'[1]Table S6'!$A:$AI,35,FALSE)</f>
        <v>No</v>
      </c>
      <c r="AT765" t="str">
        <f>VLOOKUP($I765,'[2]Table S5'!$A:$K,8,FALSE)</f>
        <v>Resistant</v>
      </c>
      <c r="AU765" t="str">
        <f>VLOOKUP($I765,'[2]Table S5'!$A:$K,9,FALSE)</f>
        <v>Resistant</v>
      </c>
      <c r="AV765" t="str">
        <f>VLOOKUP($I765,'[2]Table S5'!$A:$K,10,FALSE)</f>
        <v>Resistant</v>
      </c>
      <c r="AW765" t="str">
        <f>VLOOKUP($I765,'[2]Table S5'!$A:$K,11,FALSE)</f>
        <v>Resistant</v>
      </c>
    </row>
  </sheetData>
  <mergeCells count="7">
    <mergeCell ref="AJ1:AM1"/>
    <mergeCell ref="AO1:AR1"/>
    <mergeCell ref="K1:N1"/>
    <mergeCell ref="P1:S1"/>
    <mergeCell ref="U1:X1"/>
    <mergeCell ref="Z1:AC1"/>
    <mergeCell ref="AE1:AH1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113BF-FDB5-E943-B9E4-CA822B46E0F1}">
  <dimension ref="A1:AV378"/>
  <sheetViews>
    <sheetView topLeftCell="A354" workbookViewId="0">
      <selection activeCell="A378" sqref="A378:XFD378"/>
    </sheetView>
  </sheetViews>
  <sheetFormatPr baseColWidth="10" defaultColWidth="9" defaultRowHeight="14"/>
  <cols>
    <col min="1" max="1" width="13" customWidth="1"/>
    <col min="2" max="2" width="14" customWidth="1"/>
    <col min="3" max="3" width="24" customWidth="1"/>
    <col min="4" max="4" width="12.33203125" customWidth="1"/>
    <col min="6" max="7" width="25.5" customWidth="1"/>
    <col min="9" max="9" width="9.6640625" customWidth="1"/>
    <col min="45" max="45" width="17" customWidth="1"/>
    <col min="46" max="46" width="15.1640625" customWidth="1"/>
    <col min="47" max="47" width="14.1640625" customWidth="1"/>
    <col min="48" max="48" width="14.83203125" customWidth="1"/>
  </cols>
  <sheetData>
    <row r="1" spans="1:48" ht="15">
      <c r="A1" s="1">
        <v>1</v>
      </c>
      <c r="B1" s="1">
        <v>2</v>
      </c>
      <c r="C1" s="1">
        <v>3</v>
      </c>
      <c r="D1" s="1">
        <v>5</v>
      </c>
      <c r="E1" s="1">
        <v>6</v>
      </c>
      <c r="F1" s="1">
        <v>7</v>
      </c>
      <c r="G1" s="1"/>
      <c r="H1" s="1">
        <v>8</v>
      </c>
      <c r="I1" s="1">
        <v>7</v>
      </c>
      <c r="J1" s="7" t="s">
        <v>0</v>
      </c>
      <c r="K1" s="7"/>
      <c r="L1" s="7"/>
      <c r="M1" s="7"/>
      <c r="N1" s="3"/>
      <c r="O1" s="7" t="s">
        <v>1</v>
      </c>
      <c r="P1" s="7"/>
      <c r="Q1" s="7"/>
      <c r="R1" s="7"/>
      <c r="S1" s="3"/>
      <c r="T1" s="7" t="s">
        <v>2</v>
      </c>
      <c r="U1" s="7"/>
      <c r="V1" s="7"/>
      <c r="W1" s="7"/>
      <c r="X1" s="3"/>
      <c r="Y1" s="7" t="s">
        <v>3</v>
      </c>
      <c r="Z1" s="7"/>
      <c r="AA1" s="7"/>
      <c r="AB1" s="7"/>
      <c r="AC1" s="3"/>
      <c r="AD1" s="7" t="s">
        <v>4</v>
      </c>
      <c r="AE1" s="7"/>
      <c r="AF1" s="7"/>
      <c r="AG1" s="7"/>
      <c r="AH1" s="3"/>
      <c r="AI1" s="7" t="s">
        <v>5</v>
      </c>
      <c r="AJ1" s="7"/>
      <c r="AK1" s="7"/>
      <c r="AL1" s="7"/>
      <c r="AM1" s="3"/>
      <c r="AN1" s="7" t="s">
        <v>6</v>
      </c>
      <c r="AO1" s="7"/>
      <c r="AP1" s="7"/>
      <c r="AQ1" s="7"/>
      <c r="AS1" s="8" t="s">
        <v>4749</v>
      </c>
      <c r="AT1" s="9"/>
      <c r="AU1" s="9"/>
      <c r="AV1" s="9"/>
    </row>
    <row r="2" spans="1:48" ht="15">
      <c r="A2" s="2" t="s">
        <v>4742</v>
      </c>
      <c r="B2" s="2" t="s">
        <v>4743</v>
      </c>
      <c r="C2" s="2" t="s">
        <v>4744</v>
      </c>
      <c r="D2" s="2" t="s">
        <v>4745</v>
      </c>
      <c r="E2" s="2" t="s">
        <v>4746</v>
      </c>
      <c r="F2" s="2" t="s">
        <v>4747</v>
      </c>
      <c r="G2" s="2" t="s">
        <v>4756</v>
      </c>
      <c r="H2" s="2" t="s">
        <v>4748</v>
      </c>
      <c r="I2" s="2" t="s">
        <v>4745</v>
      </c>
      <c r="J2" s="4" t="s">
        <v>7</v>
      </c>
      <c r="K2" s="4" t="s">
        <v>8</v>
      </c>
      <c r="L2" s="4" t="s">
        <v>9</v>
      </c>
      <c r="M2" s="4" t="s">
        <v>10</v>
      </c>
      <c r="N2" s="5"/>
      <c r="O2" s="4" t="s">
        <v>7</v>
      </c>
      <c r="P2" s="4" t="s">
        <v>11</v>
      </c>
      <c r="Q2" s="4" t="s">
        <v>9</v>
      </c>
      <c r="R2" s="4" t="s">
        <v>10</v>
      </c>
      <c r="S2" s="5"/>
      <c r="T2" s="4" t="s">
        <v>12</v>
      </c>
      <c r="U2" s="4" t="s">
        <v>8</v>
      </c>
      <c r="V2" s="4" t="s">
        <v>9</v>
      </c>
      <c r="W2" s="4" t="s">
        <v>10</v>
      </c>
      <c r="X2" s="5"/>
      <c r="Y2" s="4" t="s">
        <v>12</v>
      </c>
      <c r="Z2" s="4" t="s">
        <v>11</v>
      </c>
      <c r="AA2" s="4" t="s">
        <v>9</v>
      </c>
      <c r="AB2" s="4" t="s">
        <v>10</v>
      </c>
      <c r="AC2" s="5"/>
      <c r="AD2" s="4" t="s">
        <v>7</v>
      </c>
      <c r="AE2" s="4" t="s">
        <v>11</v>
      </c>
      <c r="AF2" s="4" t="s">
        <v>9</v>
      </c>
      <c r="AG2" s="4" t="s">
        <v>10</v>
      </c>
      <c r="AH2" s="5"/>
      <c r="AI2" s="4" t="s">
        <v>12</v>
      </c>
      <c r="AJ2" s="4" t="s">
        <v>11</v>
      </c>
      <c r="AK2" s="4" t="s">
        <v>9</v>
      </c>
      <c r="AL2" s="4" t="s">
        <v>10</v>
      </c>
      <c r="AM2" s="5"/>
      <c r="AN2" s="4" t="s">
        <v>12</v>
      </c>
      <c r="AO2" s="4" t="s">
        <v>11</v>
      </c>
      <c r="AP2" s="4" t="s">
        <v>9</v>
      </c>
      <c r="AQ2" s="4" t="s">
        <v>10</v>
      </c>
      <c r="AS2" s="6" t="s">
        <v>0</v>
      </c>
      <c r="AT2" s="6" t="s">
        <v>1</v>
      </c>
      <c r="AU2" s="6" t="s">
        <v>2</v>
      </c>
      <c r="AV2" s="6" t="s">
        <v>13</v>
      </c>
    </row>
    <row r="3" spans="1:48">
      <c r="A3" t="s">
        <v>15</v>
      </c>
      <c r="B3" t="s">
        <v>16</v>
      </c>
      <c r="C3" t="s">
        <v>17</v>
      </c>
      <c r="D3" t="s">
        <v>19</v>
      </c>
      <c r="E3" t="s">
        <v>20</v>
      </c>
      <c r="F3" t="s">
        <v>21</v>
      </c>
      <c r="G3" t="s">
        <v>4750</v>
      </c>
      <c r="H3" t="s">
        <v>22</v>
      </c>
      <c r="I3" t="s">
        <v>23</v>
      </c>
      <c r="J3">
        <f>VLOOKUP($I3,'[1]Table S6'!$A:$AI,2,FALSE)</f>
        <v>306.5</v>
      </c>
      <c r="K3">
        <f>VLOOKUP($I3,'[1]Table S6'!$A:$AI,3,FALSE)</f>
        <v>0.65226643966801401</v>
      </c>
      <c r="L3">
        <f>VLOOKUP($I3,'[1]Table S6'!$A:$AI,4,FALSE)</f>
        <v>1.093</v>
      </c>
      <c r="M3" t="str">
        <f>VLOOKUP($I3,'[1]Table S6'!$A:$AI,5,FALSE)</f>
        <v>Yes</v>
      </c>
      <c r="O3">
        <f>VLOOKUP($I3,'[1]Table S6'!$A:$AI,7,FALSE)</f>
        <v>316.89999999999998</v>
      </c>
      <c r="P3">
        <f>VLOOKUP($I3,'[1]Table S6'!$A:$AI,8,FALSE)</f>
        <v>0.67439880825707599</v>
      </c>
      <c r="Q3">
        <f>VLOOKUP($I3,'[1]Table S6'!$A:$AI,9,FALSE)</f>
        <v>1.17</v>
      </c>
      <c r="R3" t="str">
        <f>VLOOKUP($I3,'[1]Table S6'!$A:$AI,10,FALSE)</f>
        <v>Yes</v>
      </c>
      <c r="T3">
        <f>VLOOKUP($I3,'[1]Table S6'!$A:$AI,12,FALSE)</f>
        <v>359.1</v>
      </c>
      <c r="U3">
        <f>VLOOKUP($I3,'[1]Table S6'!$A:$AI,13,FALSE)</f>
        <v>0.76420515003192202</v>
      </c>
      <c r="V3">
        <f>VLOOKUP($I3,'[1]Table S6'!$A:$AI,14,FALSE)</f>
        <v>6.6349999999999998</v>
      </c>
      <c r="W3" t="str">
        <f>VLOOKUP($I3,'[1]Table S6'!$A:$AI,15,FALSE)</f>
        <v>No</v>
      </c>
      <c r="Y3">
        <f>VLOOKUP($I3,'[1]Table S6'!$A:$AI,17,FALSE)</f>
        <v>388.3</v>
      </c>
      <c r="Z3">
        <f>VLOOKUP($I3,'[1]Table S6'!$A:$AI,18,FALSE)</f>
        <v>0.82634603107044102</v>
      </c>
      <c r="AA3">
        <f>VLOOKUP($I3,'[1]Table S6'!$A:$AI,19,FALSE)</f>
        <v>11.69</v>
      </c>
      <c r="AB3" t="str">
        <f>VLOOKUP($I3,'[1]Table S6'!$A:$AI,20,FALSE)</f>
        <v>No</v>
      </c>
      <c r="AD3">
        <f>VLOOKUP($I3,'[1]Table S6'!$A:$AI,22,FALSE)</f>
        <v>378.1</v>
      </c>
      <c r="AE3">
        <f>VLOOKUP($I3,'[1]Table S6'!$A:$AI,23,FALSE)</f>
        <v>0.80463928495424597</v>
      </c>
      <c r="AF3">
        <f>VLOOKUP($I3,'[1]Table S6'!$A:$AI,24,FALSE)</f>
        <v>8.8510000000000009</v>
      </c>
      <c r="AG3" t="str">
        <f>VLOOKUP($I3,'[1]Table S6'!$A:$AI,25,FALSE)</f>
        <v>No</v>
      </c>
      <c r="AI3">
        <f>VLOOKUP($I3,'[1]Table S6'!$A:$AI,27,FALSE)</f>
        <v>424.4</v>
      </c>
      <c r="AJ3">
        <f>VLOOKUP($I3,'[1]Table S6'!$A:$AI,28,FALSE)</f>
        <v>0.90317088742285601</v>
      </c>
      <c r="AK3">
        <f>VLOOKUP($I3,'[1]Table S6'!$A:$AI,29,FALSE)</f>
        <v>84.01</v>
      </c>
      <c r="AL3" t="str">
        <f>VLOOKUP($I3,'[1]Table S6'!$A:$AI,30,FALSE)</f>
        <v>No</v>
      </c>
      <c r="AN3">
        <f>VLOOKUP($I3,'[1]Table S6'!$A:$AI,32,FALSE)</f>
        <v>408</v>
      </c>
      <c r="AO3">
        <f>VLOOKUP($I3,'[1]Table S6'!$A:$AI,33,FALSE)</f>
        <v>0.868269844647797</v>
      </c>
      <c r="AP3">
        <f>VLOOKUP($I3,'[1]Table S6'!$A:$AI,34,FALSE)</f>
        <v>33.61</v>
      </c>
      <c r="AQ3" t="str">
        <f>VLOOKUP($I3,'[1]Table S6'!$A:$AI,35,FALSE)</f>
        <v>No</v>
      </c>
      <c r="AS3" t="str">
        <f>VLOOKUP($H3,'[2]Table S5'!$A:$K,8,FALSE)</f>
        <v>Resistant</v>
      </c>
      <c r="AT3" t="str">
        <f>VLOOKUP($H3,'[2]Table S5'!$A:$K,9,FALSE)</f>
        <v>Resistant</v>
      </c>
      <c r="AU3" t="str">
        <f>VLOOKUP($H3,'[2]Table S5'!$A:$K,10,FALSE)</f>
        <v>Resistant</v>
      </c>
      <c r="AV3" t="str">
        <f>VLOOKUP($H3,'[2]Table S5'!$A:$K,11,FALSE)</f>
        <v>Resistant</v>
      </c>
    </row>
    <row r="4" spans="1:48">
      <c r="A4" t="s">
        <v>25</v>
      </c>
      <c r="B4" t="s">
        <v>26</v>
      </c>
      <c r="C4" t="s">
        <v>17</v>
      </c>
      <c r="D4" t="s">
        <v>28</v>
      </c>
      <c r="E4" t="s">
        <v>29</v>
      </c>
      <c r="F4" t="s">
        <v>30</v>
      </c>
      <c r="G4" t="s">
        <v>4750</v>
      </c>
      <c r="H4" t="s">
        <v>22</v>
      </c>
      <c r="I4" t="s">
        <v>31</v>
      </c>
      <c r="J4">
        <f>VLOOKUP($I4,'[1]Table S6'!$A:$AI,2,FALSE)</f>
        <v>245.9</v>
      </c>
      <c r="K4">
        <f>VLOOKUP($I4,'[1]Table S6'!$A:$AI,3,FALSE)</f>
        <v>0.52330283038944503</v>
      </c>
      <c r="L4">
        <f>VLOOKUP($I4,'[1]Table S6'!$A:$AI,4,FALSE)</f>
        <v>0.31319999999999998</v>
      </c>
      <c r="M4" t="str">
        <f>VLOOKUP($I4,'[1]Table S6'!$A:$AI,5,FALSE)</f>
        <v>Yes</v>
      </c>
      <c r="O4">
        <f>VLOOKUP($I4,'[1]Table S6'!$A:$AI,7,FALSE)</f>
        <v>282.3</v>
      </c>
      <c r="P4">
        <f>VLOOKUP($I4,'[1]Table S6'!$A:$AI,8,FALSE)</f>
        <v>0.60076612045115996</v>
      </c>
      <c r="Q4">
        <f>VLOOKUP($I4,'[1]Table S6'!$A:$AI,9,FALSE)</f>
        <v>0.61819999999999997</v>
      </c>
      <c r="R4" t="str">
        <f>VLOOKUP($I4,'[1]Table S6'!$A:$AI,10,FALSE)</f>
        <v>Yes</v>
      </c>
      <c r="T4">
        <f>VLOOKUP($I4,'[1]Table S6'!$A:$AI,12,FALSE)</f>
        <v>304.89999999999998</v>
      </c>
      <c r="U4">
        <f>VLOOKUP($I4,'[1]Table S6'!$A:$AI,13,FALSE)</f>
        <v>0.64886145988508204</v>
      </c>
      <c r="V4">
        <f>VLOOKUP($I4,'[1]Table S6'!$A:$AI,14,FALSE)</f>
        <v>1.4930000000000001</v>
      </c>
      <c r="W4" t="str">
        <f>VLOOKUP($I4,'[1]Table S6'!$A:$AI,15,FALSE)</f>
        <v>Yes</v>
      </c>
      <c r="Y4">
        <f>VLOOKUP($I4,'[1]Table S6'!$A:$AI,17,FALSE)</f>
        <v>359.8</v>
      </c>
      <c r="Z4">
        <f>VLOOKUP($I4,'[1]Table S6'!$A:$AI,18,FALSE)</f>
        <v>0.76569482868695504</v>
      </c>
      <c r="AA4">
        <f>VLOOKUP($I4,'[1]Table S6'!$A:$AI,19,FALSE)</f>
        <v>6.5410000000000004</v>
      </c>
      <c r="AB4" t="str">
        <f>VLOOKUP($I4,'[1]Table S6'!$A:$AI,20,FALSE)</f>
        <v>No</v>
      </c>
      <c r="AD4">
        <f>VLOOKUP($I4,'[1]Table S6'!$A:$AI,22,FALSE)</f>
        <v>380.8</v>
      </c>
      <c r="AE4">
        <f>VLOOKUP($I4,'[1]Table S6'!$A:$AI,23,FALSE)</f>
        <v>0.81038518833794404</v>
      </c>
      <c r="AF4">
        <f>VLOOKUP($I4,'[1]Table S6'!$A:$AI,24,FALSE)</f>
        <v>11.32</v>
      </c>
      <c r="AG4" t="str">
        <f>VLOOKUP($I4,'[1]Table S6'!$A:$AI,25,FALSE)</f>
        <v>No</v>
      </c>
      <c r="AI4">
        <f>VLOOKUP($I4,'[1]Table S6'!$A:$AI,27,FALSE)</f>
        <v>411.5</v>
      </c>
      <c r="AJ4">
        <f>VLOOKUP($I4,'[1]Table S6'!$A:$AI,28,FALSE)</f>
        <v>0.875718237922962</v>
      </c>
      <c r="AK4">
        <f>VLOOKUP($I4,'[1]Table S6'!$A:$AI,29,FALSE)</f>
        <v>49.03</v>
      </c>
      <c r="AL4" t="str">
        <f>VLOOKUP($I4,'[1]Table S6'!$A:$AI,30,FALSE)</f>
        <v>No</v>
      </c>
      <c r="AN4">
        <f>VLOOKUP($I4,'[1]Table S6'!$A:$AI,32,FALSE)</f>
        <v>403.4</v>
      </c>
      <c r="AO4">
        <f>VLOOKUP($I4,'[1]Table S6'!$A:$AI,33,FALSE)</f>
        <v>0.85848052777186601</v>
      </c>
      <c r="AP4">
        <f>VLOOKUP($I4,'[1]Table S6'!$A:$AI,34,FALSE)</f>
        <v>26.97</v>
      </c>
      <c r="AQ4" t="str">
        <f>VLOOKUP($I4,'[1]Table S6'!$A:$AI,35,FALSE)</f>
        <v>No</v>
      </c>
      <c r="AS4" t="str">
        <f>VLOOKUP($H4,'[2]Table S5'!$A:$K,8,FALSE)</f>
        <v>Resistant</v>
      </c>
      <c r="AT4" t="str">
        <f>VLOOKUP($H4,'[2]Table S5'!$A:$K,9,FALSE)</f>
        <v>Resistant</v>
      </c>
      <c r="AU4" t="str">
        <f>VLOOKUP($H4,'[2]Table S5'!$A:$K,10,FALSE)</f>
        <v>Resistant</v>
      </c>
      <c r="AV4" t="str">
        <f>VLOOKUP($H4,'[2]Table S5'!$A:$K,11,FALSE)</f>
        <v>Resistant</v>
      </c>
    </row>
    <row r="5" spans="1:48">
      <c r="A5" t="s">
        <v>33</v>
      </c>
      <c r="B5" t="s">
        <v>34</v>
      </c>
      <c r="C5" t="s">
        <v>17</v>
      </c>
      <c r="D5" t="s">
        <v>36</v>
      </c>
      <c r="E5" t="s">
        <v>37</v>
      </c>
      <c r="F5" t="s">
        <v>38</v>
      </c>
      <c r="G5" t="s">
        <v>4751</v>
      </c>
      <c r="H5" t="s">
        <v>22</v>
      </c>
      <c r="I5" t="s">
        <v>39</v>
      </c>
      <c r="J5">
        <f>VLOOKUP($I5,'[1]Table S6'!$A:$AI,2,FALSE)</f>
        <v>306.10000000000002</v>
      </c>
      <c r="K5">
        <f>VLOOKUP($I5,'[1]Table S6'!$A:$AI,3,FALSE)</f>
        <v>0.65141519472228104</v>
      </c>
      <c r="L5">
        <f>VLOOKUP($I5,'[1]Table S6'!$A:$AI,4,FALSE)</f>
        <v>1.179</v>
      </c>
      <c r="M5" t="str">
        <f>VLOOKUP($I5,'[1]Table S6'!$A:$AI,5,FALSE)</f>
        <v>Yes</v>
      </c>
      <c r="O5">
        <f>VLOOKUP($I5,'[1]Table S6'!$A:$AI,7,FALSE)</f>
        <v>393.6</v>
      </c>
      <c r="P5">
        <f>VLOOKUP($I5,'[1]Table S6'!$A:$AI,8,FALSE)</f>
        <v>0.83762502660140503</v>
      </c>
      <c r="Q5">
        <f>VLOOKUP($I5,'[1]Table S6'!$A:$AI,9,FALSE)</f>
        <v>20.23</v>
      </c>
      <c r="R5" t="str">
        <f>VLOOKUP($I5,'[1]Table S6'!$A:$AI,10,FALSE)</f>
        <v>No</v>
      </c>
      <c r="T5">
        <f>VLOOKUP($I5,'[1]Table S6'!$A:$AI,12,FALSE)</f>
        <v>265</v>
      </c>
      <c r="U5">
        <f>VLOOKUP($I5,'[1]Table S6'!$A:$AI,13,FALSE)</f>
        <v>0.563949776548202</v>
      </c>
      <c r="V5">
        <f>VLOOKUP($I5,'[1]Table S6'!$A:$AI,14,FALSE)</f>
        <v>0.38069999999999998</v>
      </c>
      <c r="W5" t="str">
        <f>VLOOKUP($I5,'[1]Table S6'!$A:$AI,15,FALSE)</f>
        <v>Yes</v>
      </c>
      <c r="Y5">
        <f>VLOOKUP($I5,'[1]Table S6'!$A:$AI,17,FALSE)</f>
        <v>331.9</v>
      </c>
      <c r="Z5">
        <f>VLOOKUP($I5,'[1]Table S6'!$A:$AI,18,FALSE)</f>
        <v>0.70632049372206895</v>
      </c>
      <c r="AA5">
        <f>VLOOKUP($I5,'[1]Table S6'!$A:$AI,19,FALSE)</f>
        <v>2.403</v>
      </c>
      <c r="AB5" t="str">
        <f>VLOOKUP($I5,'[1]Table S6'!$A:$AI,20,FALSE)</f>
        <v>No</v>
      </c>
      <c r="AD5">
        <f>VLOOKUP($I5,'[1]Table S6'!$A:$AI,22,FALSE)</f>
        <v>376.5</v>
      </c>
      <c r="AE5">
        <f>VLOOKUP($I5,'[1]Table S6'!$A:$AI,23,FALSE)</f>
        <v>0.801234305171313</v>
      </c>
      <c r="AF5">
        <f>VLOOKUP($I5,'[1]Table S6'!$A:$AI,24,FALSE)</f>
        <v>8.6720000000000006</v>
      </c>
      <c r="AG5" t="str">
        <f>VLOOKUP($I5,'[1]Table S6'!$A:$AI,25,FALSE)</f>
        <v>No</v>
      </c>
      <c r="AI5">
        <f>VLOOKUP($I5,'[1]Table S6'!$A:$AI,27,FALSE)</f>
        <v>377.3</v>
      </c>
      <c r="AJ5">
        <f>VLOOKUP($I5,'[1]Table S6'!$A:$AI,28,FALSE)</f>
        <v>0.80293679506277904</v>
      </c>
      <c r="AK5">
        <f>VLOOKUP($I5,'[1]Table S6'!$A:$AI,29,FALSE)</f>
        <v>32.5</v>
      </c>
      <c r="AL5" t="str">
        <f>VLOOKUP($I5,'[1]Table S6'!$A:$AI,30,FALSE)</f>
        <v>No</v>
      </c>
      <c r="AN5">
        <f>VLOOKUP($I5,'[1]Table S6'!$A:$AI,32,FALSE)</f>
        <v>416.5</v>
      </c>
      <c r="AO5">
        <f>VLOOKUP($I5,'[1]Table S6'!$A:$AI,33,FALSE)</f>
        <v>0.88635879974462695</v>
      </c>
      <c r="AP5">
        <f>VLOOKUP($I5,'[1]Table S6'!$A:$AI,34,FALSE)</f>
        <v>43.31</v>
      </c>
      <c r="AQ5" t="str">
        <f>VLOOKUP($I5,'[1]Table S6'!$A:$AI,35,FALSE)</f>
        <v>No</v>
      </c>
      <c r="AS5" t="str">
        <f>VLOOKUP($H5,'[2]Table S5'!$A:$K,8,FALSE)</f>
        <v>Resistant</v>
      </c>
      <c r="AT5" t="str">
        <f>VLOOKUP($H5,'[2]Table S5'!$A:$K,9,FALSE)</f>
        <v>Resistant</v>
      </c>
      <c r="AU5" t="str">
        <f>VLOOKUP($H5,'[2]Table S5'!$A:$K,10,FALSE)</f>
        <v>Resistant</v>
      </c>
      <c r="AV5" t="str">
        <f>VLOOKUP($H5,'[2]Table S5'!$A:$K,11,FALSE)</f>
        <v>Resistant</v>
      </c>
    </row>
    <row r="6" spans="1:48">
      <c r="A6" t="s">
        <v>41</v>
      </c>
      <c r="B6" t="s">
        <v>42</v>
      </c>
      <c r="C6" t="s">
        <v>17</v>
      </c>
      <c r="D6" t="s">
        <v>44</v>
      </c>
      <c r="E6" t="s">
        <v>45</v>
      </c>
      <c r="F6" t="s">
        <v>46</v>
      </c>
      <c r="G6" t="s">
        <v>4751</v>
      </c>
      <c r="H6" t="s">
        <v>22</v>
      </c>
      <c r="I6" t="s">
        <v>47</v>
      </c>
      <c r="J6">
        <f>VLOOKUP($I6,'[1]Table S6'!$A:$AI,2,FALSE)</f>
        <v>291.89999999999998</v>
      </c>
      <c r="K6">
        <f>VLOOKUP($I6,'[1]Table S6'!$A:$AI,3,FALSE)</f>
        <v>0.62119599914875501</v>
      </c>
      <c r="L6">
        <f>VLOOKUP($I6,'[1]Table S6'!$A:$AI,4,FALSE)</f>
        <v>0.78280000000000005</v>
      </c>
      <c r="M6" t="str">
        <f>VLOOKUP($I6,'[1]Table S6'!$A:$AI,5,FALSE)</f>
        <v>Yes</v>
      </c>
      <c r="O6">
        <f>VLOOKUP($I6,'[1]Table S6'!$A:$AI,7,FALSE)</f>
        <v>365.9</v>
      </c>
      <c r="P6">
        <f>VLOOKUP($I6,'[1]Table S6'!$A:$AI,8,FALSE)</f>
        <v>0.77867631410938498</v>
      </c>
      <c r="Q6">
        <f>VLOOKUP($I6,'[1]Table S6'!$A:$AI,9,FALSE)</f>
        <v>8.5079999999999991</v>
      </c>
      <c r="R6" t="str">
        <f>VLOOKUP($I6,'[1]Table S6'!$A:$AI,10,FALSE)</f>
        <v>No</v>
      </c>
      <c r="T6">
        <f>VLOOKUP($I6,'[1]Table S6'!$A:$AI,12,FALSE)</f>
        <v>318.60000000000002</v>
      </c>
      <c r="U6">
        <f>VLOOKUP($I6,'[1]Table S6'!$A:$AI,13,FALSE)</f>
        <v>0.67801659927644198</v>
      </c>
      <c r="V6">
        <f>VLOOKUP($I6,'[1]Table S6'!$A:$AI,14,FALSE)</f>
        <v>1.6679999999999999</v>
      </c>
      <c r="W6" t="str">
        <f>VLOOKUP($I6,'[1]Table S6'!$A:$AI,15,FALSE)</f>
        <v>Yes</v>
      </c>
      <c r="Y6">
        <f>VLOOKUP($I6,'[1]Table S6'!$A:$AI,17,FALSE)</f>
        <v>353.8</v>
      </c>
      <c r="Z6">
        <f>VLOOKUP($I6,'[1]Table S6'!$A:$AI,18,FALSE)</f>
        <v>0.75292615450095801</v>
      </c>
      <c r="AA6">
        <f>VLOOKUP($I6,'[1]Table S6'!$A:$AI,19,FALSE)</f>
        <v>6.09</v>
      </c>
      <c r="AB6" t="str">
        <f>VLOOKUP($I6,'[1]Table S6'!$A:$AI,20,FALSE)</f>
        <v>No</v>
      </c>
      <c r="AD6">
        <f>VLOOKUP($I6,'[1]Table S6'!$A:$AI,22,FALSE)</f>
        <v>396.9</v>
      </c>
      <c r="AE6">
        <f>VLOOKUP($I6,'[1]Table S6'!$A:$AI,23,FALSE)</f>
        <v>0.84464779740370299</v>
      </c>
      <c r="AF6">
        <f>VLOOKUP($I6,'[1]Table S6'!$A:$AI,24,FALSE)</f>
        <v>11.4</v>
      </c>
      <c r="AG6" t="str">
        <f>VLOOKUP($I6,'[1]Table S6'!$A:$AI,25,FALSE)</f>
        <v>No</v>
      </c>
      <c r="AI6">
        <f>VLOOKUP($I6,'[1]Table S6'!$A:$AI,27,FALSE)</f>
        <v>417.8</v>
      </c>
      <c r="AJ6">
        <f>VLOOKUP($I6,'[1]Table S6'!$A:$AI,28,FALSE)</f>
        <v>0.88912534581825897</v>
      </c>
      <c r="AK6">
        <f>VLOOKUP($I6,'[1]Table S6'!$A:$AI,29,FALSE)</f>
        <v>60.77</v>
      </c>
      <c r="AL6" t="str">
        <f>VLOOKUP($I6,'[1]Table S6'!$A:$AI,30,FALSE)</f>
        <v>No</v>
      </c>
      <c r="AN6">
        <f>VLOOKUP($I6,'[1]Table S6'!$A:$AI,32,FALSE)</f>
        <v>401.9</v>
      </c>
      <c r="AO6">
        <f>VLOOKUP($I6,'[1]Table S6'!$A:$AI,33,FALSE)</f>
        <v>0.85528835922536695</v>
      </c>
      <c r="AP6">
        <f>VLOOKUP($I6,'[1]Table S6'!$A:$AI,34,FALSE)</f>
        <v>30.71</v>
      </c>
      <c r="AQ6" t="str">
        <f>VLOOKUP($I6,'[1]Table S6'!$A:$AI,35,FALSE)</f>
        <v>No</v>
      </c>
      <c r="AS6" t="str">
        <f>VLOOKUP($H6,'[2]Table S5'!$A:$K,8,FALSE)</f>
        <v>Resistant</v>
      </c>
      <c r="AT6" t="str">
        <f>VLOOKUP($H6,'[2]Table S5'!$A:$K,9,FALSE)</f>
        <v>Resistant</v>
      </c>
      <c r="AU6" t="str">
        <f>VLOOKUP($H6,'[2]Table S5'!$A:$K,10,FALSE)</f>
        <v>Resistant</v>
      </c>
      <c r="AV6" t="str">
        <f>VLOOKUP($H6,'[2]Table S5'!$A:$K,11,FALSE)</f>
        <v>Resistant</v>
      </c>
    </row>
    <row r="7" spans="1:48">
      <c r="A7" t="s">
        <v>49</v>
      </c>
      <c r="B7" t="s">
        <v>50</v>
      </c>
      <c r="C7" t="s">
        <v>17</v>
      </c>
      <c r="D7" t="s">
        <v>52</v>
      </c>
      <c r="E7" t="s">
        <v>53</v>
      </c>
      <c r="F7" t="s">
        <v>54</v>
      </c>
      <c r="G7" t="s">
        <v>4751</v>
      </c>
      <c r="H7" t="s">
        <v>22</v>
      </c>
      <c r="I7" t="s">
        <v>23</v>
      </c>
      <c r="J7">
        <f>VLOOKUP($I7,'[1]Table S6'!$A:$AI,2,FALSE)</f>
        <v>306.5</v>
      </c>
      <c r="K7">
        <f>VLOOKUP($I7,'[1]Table S6'!$A:$AI,3,FALSE)</f>
        <v>0.65226643966801401</v>
      </c>
      <c r="L7">
        <f>VLOOKUP($I7,'[1]Table S6'!$A:$AI,4,FALSE)</f>
        <v>1.093</v>
      </c>
      <c r="M7" t="str">
        <f>VLOOKUP($I7,'[1]Table S6'!$A:$AI,5,FALSE)</f>
        <v>Yes</v>
      </c>
      <c r="O7">
        <f>VLOOKUP($I7,'[1]Table S6'!$A:$AI,7,FALSE)</f>
        <v>316.89999999999998</v>
      </c>
      <c r="P7">
        <f>VLOOKUP($I7,'[1]Table S6'!$A:$AI,8,FALSE)</f>
        <v>0.67439880825707599</v>
      </c>
      <c r="Q7">
        <f>VLOOKUP($I7,'[1]Table S6'!$A:$AI,9,FALSE)</f>
        <v>1.17</v>
      </c>
      <c r="R7" t="str">
        <f>VLOOKUP($I7,'[1]Table S6'!$A:$AI,10,FALSE)</f>
        <v>Yes</v>
      </c>
      <c r="T7">
        <f>VLOOKUP($I7,'[1]Table S6'!$A:$AI,12,FALSE)</f>
        <v>359.1</v>
      </c>
      <c r="U7">
        <f>VLOOKUP($I7,'[1]Table S6'!$A:$AI,13,FALSE)</f>
        <v>0.76420515003192202</v>
      </c>
      <c r="V7">
        <f>VLOOKUP($I7,'[1]Table S6'!$A:$AI,14,FALSE)</f>
        <v>6.6349999999999998</v>
      </c>
      <c r="W7" t="str">
        <f>VLOOKUP($I7,'[1]Table S6'!$A:$AI,15,FALSE)</f>
        <v>No</v>
      </c>
      <c r="Y7">
        <f>VLOOKUP($I7,'[1]Table S6'!$A:$AI,17,FALSE)</f>
        <v>388.3</v>
      </c>
      <c r="Z7">
        <f>VLOOKUP($I7,'[1]Table S6'!$A:$AI,18,FALSE)</f>
        <v>0.82634603107044102</v>
      </c>
      <c r="AA7">
        <f>VLOOKUP($I7,'[1]Table S6'!$A:$AI,19,FALSE)</f>
        <v>11.69</v>
      </c>
      <c r="AB7" t="str">
        <f>VLOOKUP($I7,'[1]Table S6'!$A:$AI,20,FALSE)</f>
        <v>No</v>
      </c>
      <c r="AD7">
        <f>VLOOKUP($I7,'[1]Table S6'!$A:$AI,22,FALSE)</f>
        <v>378.1</v>
      </c>
      <c r="AE7">
        <f>VLOOKUP($I7,'[1]Table S6'!$A:$AI,23,FALSE)</f>
        <v>0.80463928495424597</v>
      </c>
      <c r="AF7">
        <f>VLOOKUP($I7,'[1]Table S6'!$A:$AI,24,FALSE)</f>
        <v>8.8510000000000009</v>
      </c>
      <c r="AG7" t="str">
        <f>VLOOKUP($I7,'[1]Table S6'!$A:$AI,25,FALSE)</f>
        <v>No</v>
      </c>
      <c r="AI7">
        <f>VLOOKUP($I7,'[1]Table S6'!$A:$AI,27,FALSE)</f>
        <v>424.4</v>
      </c>
      <c r="AJ7">
        <f>VLOOKUP($I7,'[1]Table S6'!$A:$AI,28,FALSE)</f>
        <v>0.90317088742285601</v>
      </c>
      <c r="AK7">
        <f>VLOOKUP($I7,'[1]Table S6'!$A:$AI,29,FALSE)</f>
        <v>84.01</v>
      </c>
      <c r="AL7" t="str">
        <f>VLOOKUP($I7,'[1]Table S6'!$A:$AI,30,FALSE)</f>
        <v>No</v>
      </c>
      <c r="AN7">
        <f>VLOOKUP($I7,'[1]Table S6'!$A:$AI,32,FALSE)</f>
        <v>408</v>
      </c>
      <c r="AO7">
        <f>VLOOKUP($I7,'[1]Table S6'!$A:$AI,33,FALSE)</f>
        <v>0.868269844647797</v>
      </c>
      <c r="AP7">
        <f>VLOOKUP($I7,'[1]Table S6'!$A:$AI,34,FALSE)</f>
        <v>33.61</v>
      </c>
      <c r="AQ7" t="str">
        <f>VLOOKUP($I7,'[1]Table S6'!$A:$AI,35,FALSE)</f>
        <v>No</v>
      </c>
      <c r="AS7" t="str">
        <f>VLOOKUP($H7,'[2]Table S5'!$A:$K,8,FALSE)</f>
        <v>Resistant</v>
      </c>
      <c r="AT7" t="str">
        <f>VLOOKUP($H7,'[2]Table S5'!$A:$K,9,FALSE)</f>
        <v>Resistant</v>
      </c>
      <c r="AU7" t="str">
        <f>VLOOKUP($H7,'[2]Table S5'!$A:$K,10,FALSE)</f>
        <v>Resistant</v>
      </c>
      <c r="AV7" t="str">
        <f>VLOOKUP($H7,'[2]Table S5'!$A:$K,11,FALSE)</f>
        <v>Resistant</v>
      </c>
    </row>
    <row r="8" spans="1:48">
      <c r="A8" t="s">
        <v>56</v>
      </c>
      <c r="B8" t="s">
        <v>57</v>
      </c>
      <c r="C8" t="s">
        <v>17</v>
      </c>
      <c r="D8" t="s">
        <v>59</v>
      </c>
      <c r="E8" t="s">
        <v>60</v>
      </c>
      <c r="F8" t="s">
        <v>61</v>
      </c>
      <c r="G8" t="s">
        <v>4751</v>
      </c>
      <c r="H8" t="s">
        <v>22</v>
      </c>
      <c r="I8" t="s">
        <v>31</v>
      </c>
      <c r="J8">
        <f>VLOOKUP($I8,'[1]Table S6'!$A:$AI,2,FALSE)</f>
        <v>245.9</v>
      </c>
      <c r="K8">
        <f>VLOOKUP($I8,'[1]Table S6'!$A:$AI,3,FALSE)</f>
        <v>0.52330283038944503</v>
      </c>
      <c r="L8">
        <f>VLOOKUP($I8,'[1]Table S6'!$A:$AI,4,FALSE)</f>
        <v>0.31319999999999998</v>
      </c>
      <c r="M8" t="str">
        <f>VLOOKUP($I8,'[1]Table S6'!$A:$AI,5,FALSE)</f>
        <v>Yes</v>
      </c>
      <c r="O8">
        <f>VLOOKUP($I8,'[1]Table S6'!$A:$AI,7,FALSE)</f>
        <v>282.3</v>
      </c>
      <c r="P8">
        <f>VLOOKUP($I8,'[1]Table S6'!$A:$AI,8,FALSE)</f>
        <v>0.60076612045115996</v>
      </c>
      <c r="Q8">
        <f>VLOOKUP($I8,'[1]Table S6'!$A:$AI,9,FALSE)</f>
        <v>0.61819999999999997</v>
      </c>
      <c r="R8" t="str">
        <f>VLOOKUP($I8,'[1]Table S6'!$A:$AI,10,FALSE)</f>
        <v>Yes</v>
      </c>
      <c r="T8">
        <f>VLOOKUP($I8,'[1]Table S6'!$A:$AI,12,FALSE)</f>
        <v>304.89999999999998</v>
      </c>
      <c r="U8">
        <f>VLOOKUP($I8,'[1]Table S6'!$A:$AI,13,FALSE)</f>
        <v>0.64886145988508204</v>
      </c>
      <c r="V8">
        <f>VLOOKUP($I8,'[1]Table S6'!$A:$AI,14,FALSE)</f>
        <v>1.4930000000000001</v>
      </c>
      <c r="W8" t="str">
        <f>VLOOKUP($I8,'[1]Table S6'!$A:$AI,15,FALSE)</f>
        <v>Yes</v>
      </c>
      <c r="Y8">
        <f>VLOOKUP($I8,'[1]Table S6'!$A:$AI,17,FALSE)</f>
        <v>359.8</v>
      </c>
      <c r="Z8">
        <f>VLOOKUP($I8,'[1]Table S6'!$A:$AI,18,FALSE)</f>
        <v>0.76569482868695504</v>
      </c>
      <c r="AA8">
        <f>VLOOKUP($I8,'[1]Table S6'!$A:$AI,19,FALSE)</f>
        <v>6.5410000000000004</v>
      </c>
      <c r="AB8" t="str">
        <f>VLOOKUP($I8,'[1]Table S6'!$A:$AI,20,FALSE)</f>
        <v>No</v>
      </c>
      <c r="AD8">
        <f>VLOOKUP($I8,'[1]Table S6'!$A:$AI,22,FALSE)</f>
        <v>380.8</v>
      </c>
      <c r="AE8">
        <f>VLOOKUP($I8,'[1]Table S6'!$A:$AI,23,FALSE)</f>
        <v>0.81038518833794404</v>
      </c>
      <c r="AF8">
        <f>VLOOKUP($I8,'[1]Table S6'!$A:$AI,24,FALSE)</f>
        <v>11.32</v>
      </c>
      <c r="AG8" t="str">
        <f>VLOOKUP($I8,'[1]Table S6'!$A:$AI,25,FALSE)</f>
        <v>No</v>
      </c>
      <c r="AI8">
        <f>VLOOKUP($I8,'[1]Table S6'!$A:$AI,27,FALSE)</f>
        <v>411.5</v>
      </c>
      <c r="AJ8">
        <f>VLOOKUP($I8,'[1]Table S6'!$A:$AI,28,FALSE)</f>
        <v>0.875718237922962</v>
      </c>
      <c r="AK8">
        <f>VLOOKUP($I8,'[1]Table S6'!$A:$AI,29,FALSE)</f>
        <v>49.03</v>
      </c>
      <c r="AL8" t="str">
        <f>VLOOKUP($I8,'[1]Table S6'!$A:$AI,30,FALSE)</f>
        <v>No</v>
      </c>
      <c r="AN8">
        <f>VLOOKUP($I8,'[1]Table S6'!$A:$AI,32,FALSE)</f>
        <v>403.4</v>
      </c>
      <c r="AO8">
        <f>VLOOKUP($I8,'[1]Table S6'!$A:$AI,33,FALSE)</f>
        <v>0.85848052777186601</v>
      </c>
      <c r="AP8">
        <f>VLOOKUP($I8,'[1]Table S6'!$A:$AI,34,FALSE)</f>
        <v>26.97</v>
      </c>
      <c r="AQ8" t="str">
        <f>VLOOKUP($I8,'[1]Table S6'!$A:$AI,35,FALSE)</f>
        <v>No</v>
      </c>
      <c r="AS8" t="str">
        <f>VLOOKUP($H8,'[2]Table S5'!$A:$K,8,FALSE)</f>
        <v>Resistant</v>
      </c>
      <c r="AT8" t="str">
        <f>VLOOKUP($H8,'[2]Table S5'!$A:$K,9,FALSE)</f>
        <v>Resistant</v>
      </c>
      <c r="AU8" t="str">
        <f>VLOOKUP($H8,'[2]Table S5'!$A:$K,10,FALSE)</f>
        <v>Resistant</v>
      </c>
      <c r="AV8" t="str">
        <f>VLOOKUP($H8,'[2]Table S5'!$A:$K,11,FALSE)</f>
        <v>Resistant</v>
      </c>
    </row>
    <row r="9" spans="1:48">
      <c r="A9" t="s">
        <v>63</v>
      </c>
      <c r="B9" t="s">
        <v>64</v>
      </c>
      <c r="C9" t="s">
        <v>17</v>
      </c>
      <c r="D9" t="s">
        <v>66</v>
      </c>
      <c r="E9" t="s">
        <v>67</v>
      </c>
      <c r="F9" t="s">
        <v>68</v>
      </c>
      <c r="G9" t="s">
        <v>4757</v>
      </c>
      <c r="H9" t="s">
        <v>22</v>
      </c>
      <c r="I9" t="s">
        <v>22</v>
      </c>
      <c r="J9" t="e">
        <f>VLOOKUP($I9,'[1]Table S6'!$A:$AI,2,FALSE)</f>
        <v>#N/A</v>
      </c>
      <c r="K9" t="e">
        <f>VLOOKUP($I9,'[1]Table S6'!$A:$AI,3,FALSE)</f>
        <v>#N/A</v>
      </c>
      <c r="L9" t="e">
        <f>VLOOKUP($I9,'[1]Table S6'!$A:$AI,4,FALSE)</f>
        <v>#N/A</v>
      </c>
      <c r="M9" t="e">
        <f>VLOOKUP($I9,'[1]Table S6'!$A:$AI,5,FALSE)</f>
        <v>#N/A</v>
      </c>
      <c r="O9" t="e">
        <f>VLOOKUP($I9,'[1]Table S6'!$A:$AI,7,FALSE)</f>
        <v>#N/A</v>
      </c>
      <c r="P9" t="e">
        <f>VLOOKUP($I9,'[1]Table S6'!$A:$AI,8,FALSE)</f>
        <v>#N/A</v>
      </c>
      <c r="Q9" t="e">
        <f>VLOOKUP($I9,'[1]Table S6'!$A:$AI,9,FALSE)</f>
        <v>#N/A</v>
      </c>
      <c r="R9" t="e">
        <f>VLOOKUP($I9,'[1]Table S6'!$A:$AI,10,FALSE)</f>
        <v>#N/A</v>
      </c>
      <c r="T9" t="e">
        <f>VLOOKUP($I9,'[1]Table S6'!$A:$AI,12,FALSE)</f>
        <v>#N/A</v>
      </c>
      <c r="U9" t="e">
        <f>VLOOKUP($I9,'[1]Table S6'!$A:$AI,13,FALSE)</f>
        <v>#N/A</v>
      </c>
      <c r="V9" t="e">
        <f>VLOOKUP($I9,'[1]Table S6'!$A:$AI,14,FALSE)</f>
        <v>#N/A</v>
      </c>
      <c r="W9" t="e">
        <f>VLOOKUP($I9,'[1]Table S6'!$A:$AI,15,FALSE)</f>
        <v>#N/A</v>
      </c>
      <c r="Y9" t="e">
        <f>VLOOKUP($I9,'[1]Table S6'!$A:$AI,17,FALSE)</f>
        <v>#N/A</v>
      </c>
      <c r="Z9" t="e">
        <f>VLOOKUP($I9,'[1]Table S6'!$A:$AI,18,FALSE)</f>
        <v>#N/A</v>
      </c>
      <c r="AA9" t="e">
        <f>VLOOKUP($I9,'[1]Table S6'!$A:$AI,19,FALSE)</f>
        <v>#N/A</v>
      </c>
      <c r="AB9" t="e">
        <f>VLOOKUP($I9,'[1]Table S6'!$A:$AI,20,FALSE)</f>
        <v>#N/A</v>
      </c>
      <c r="AD9" t="e">
        <f>VLOOKUP($I9,'[1]Table S6'!$A:$AI,22,FALSE)</f>
        <v>#N/A</v>
      </c>
      <c r="AE9" t="e">
        <f>VLOOKUP($I9,'[1]Table S6'!$A:$AI,23,FALSE)</f>
        <v>#N/A</v>
      </c>
      <c r="AF9" t="e">
        <f>VLOOKUP($I9,'[1]Table S6'!$A:$AI,24,FALSE)</f>
        <v>#N/A</v>
      </c>
      <c r="AG9" t="e">
        <f>VLOOKUP($I9,'[1]Table S6'!$A:$AI,25,FALSE)</f>
        <v>#N/A</v>
      </c>
      <c r="AI9" t="e">
        <f>VLOOKUP($I9,'[1]Table S6'!$A:$AI,27,FALSE)</f>
        <v>#N/A</v>
      </c>
      <c r="AJ9" t="e">
        <f>VLOOKUP($I9,'[1]Table S6'!$A:$AI,28,FALSE)</f>
        <v>#N/A</v>
      </c>
      <c r="AK9" t="e">
        <f>VLOOKUP($I9,'[1]Table S6'!$A:$AI,29,FALSE)</f>
        <v>#N/A</v>
      </c>
      <c r="AL9" t="e">
        <f>VLOOKUP($I9,'[1]Table S6'!$A:$AI,30,FALSE)</f>
        <v>#N/A</v>
      </c>
      <c r="AN9" t="e">
        <f>VLOOKUP($I9,'[1]Table S6'!$A:$AI,32,FALSE)</f>
        <v>#N/A</v>
      </c>
      <c r="AO9" t="e">
        <f>VLOOKUP($I9,'[1]Table S6'!$A:$AI,33,FALSE)</f>
        <v>#N/A</v>
      </c>
      <c r="AP9" t="e">
        <f>VLOOKUP($I9,'[1]Table S6'!$A:$AI,34,FALSE)</f>
        <v>#N/A</v>
      </c>
      <c r="AQ9" t="e">
        <f>VLOOKUP($I9,'[1]Table S6'!$A:$AI,35,FALSE)</f>
        <v>#N/A</v>
      </c>
      <c r="AS9" t="str">
        <f>VLOOKUP($H9,'[2]Table S5'!$A:$K,8,FALSE)</f>
        <v>Resistant</v>
      </c>
      <c r="AT9" t="str">
        <f>VLOOKUP($H9,'[2]Table S5'!$A:$K,9,FALSE)</f>
        <v>Resistant</v>
      </c>
      <c r="AU9" t="str">
        <f>VLOOKUP($H9,'[2]Table S5'!$A:$K,10,FALSE)</f>
        <v>Resistant</v>
      </c>
      <c r="AV9" t="str">
        <f>VLOOKUP($H9,'[2]Table S5'!$A:$K,11,FALSE)</f>
        <v>Resistant</v>
      </c>
    </row>
    <row r="10" spans="1:48">
      <c r="A10" t="s">
        <v>70</v>
      </c>
      <c r="B10" t="s">
        <v>71</v>
      </c>
      <c r="C10" t="s">
        <v>17</v>
      </c>
      <c r="D10" t="s">
        <v>73</v>
      </c>
      <c r="E10" t="s">
        <v>74</v>
      </c>
      <c r="F10" t="s">
        <v>75</v>
      </c>
      <c r="G10" t="s">
        <v>4750</v>
      </c>
      <c r="H10" t="s">
        <v>76</v>
      </c>
      <c r="I10" t="s">
        <v>77</v>
      </c>
      <c r="J10">
        <f>VLOOKUP($I10,'[1]Table S6'!$A:$AI,2,FALSE)</f>
        <v>294.7</v>
      </c>
      <c r="K10">
        <f>VLOOKUP($I10,'[1]Table S6'!$A:$AI,3,FALSE)</f>
        <v>0.62715471376888698</v>
      </c>
      <c r="L10">
        <f>VLOOKUP($I10,'[1]Table S6'!$A:$AI,4,FALSE)</f>
        <v>0.83079999999999998</v>
      </c>
      <c r="M10" t="str">
        <f>VLOOKUP($I10,'[1]Table S6'!$A:$AI,5,FALSE)</f>
        <v>Yes</v>
      </c>
      <c r="O10">
        <f>VLOOKUP($I10,'[1]Table S6'!$A:$AI,7,FALSE)</f>
        <v>350.3</v>
      </c>
      <c r="P10">
        <f>VLOOKUP($I10,'[1]Table S6'!$A:$AI,8,FALSE)</f>
        <v>0.74547776122579301</v>
      </c>
      <c r="Q10">
        <f>VLOOKUP($I10,'[1]Table S6'!$A:$AI,9,FALSE)</f>
        <v>5.3730000000000002</v>
      </c>
      <c r="R10" t="str">
        <f>VLOOKUP($I10,'[1]Table S6'!$A:$AI,10,FALSE)</f>
        <v>No</v>
      </c>
      <c r="T10">
        <f>VLOOKUP($I10,'[1]Table S6'!$A:$AI,12,FALSE)</f>
        <v>357.6</v>
      </c>
      <c r="U10">
        <f>VLOOKUP($I10,'[1]Table S6'!$A:$AI,13,FALSE)</f>
        <v>0.76101298148542296</v>
      </c>
      <c r="V10">
        <f>VLOOKUP($I10,'[1]Table S6'!$A:$AI,14,FALSE)</f>
        <v>6.41</v>
      </c>
      <c r="W10" t="str">
        <f>VLOOKUP($I10,'[1]Table S6'!$A:$AI,15,FALSE)</f>
        <v>No</v>
      </c>
      <c r="Y10">
        <f>VLOOKUP($I10,'[1]Table S6'!$A:$AI,17,FALSE)</f>
        <v>364</v>
      </c>
      <c r="Z10">
        <f>VLOOKUP($I10,'[1]Table S6'!$A:$AI,18,FALSE)</f>
        <v>0.77463290061715295</v>
      </c>
      <c r="AA10">
        <f>VLOOKUP($I10,'[1]Table S6'!$A:$AI,19,FALSE)</f>
        <v>8.0939999999999994</v>
      </c>
      <c r="AB10" t="str">
        <f>VLOOKUP($I10,'[1]Table S6'!$A:$AI,20,FALSE)</f>
        <v>No</v>
      </c>
      <c r="AD10">
        <f>VLOOKUP($I10,'[1]Table S6'!$A:$AI,22,FALSE)</f>
        <v>338.8</v>
      </c>
      <c r="AE10">
        <f>VLOOKUP($I10,'[1]Table S6'!$A:$AI,23,FALSE)</f>
        <v>0.72100446903596505</v>
      </c>
      <c r="AF10">
        <f>VLOOKUP($I10,'[1]Table S6'!$A:$AI,24,FALSE)</f>
        <v>3.073</v>
      </c>
      <c r="AG10" t="str">
        <f>VLOOKUP($I10,'[1]Table S6'!$A:$AI,25,FALSE)</f>
        <v>No</v>
      </c>
      <c r="AI10">
        <f>VLOOKUP($I10,'[1]Table S6'!$A:$AI,27,FALSE)</f>
        <v>390.5</v>
      </c>
      <c r="AJ10">
        <f>VLOOKUP($I10,'[1]Table S6'!$A:$AI,28,FALSE)</f>
        <v>0.831027878271973</v>
      </c>
      <c r="AK10">
        <f>VLOOKUP($I10,'[1]Table S6'!$A:$AI,29,FALSE)</f>
        <v>43.24</v>
      </c>
      <c r="AL10" t="str">
        <f>VLOOKUP($I10,'[1]Table S6'!$A:$AI,30,FALSE)</f>
        <v>No</v>
      </c>
      <c r="AN10">
        <f>VLOOKUP($I10,'[1]Table S6'!$A:$AI,32,FALSE)</f>
        <v>370.9</v>
      </c>
      <c r="AO10">
        <f>VLOOKUP($I10,'[1]Table S6'!$A:$AI,33,FALSE)</f>
        <v>0.78931687593104904</v>
      </c>
      <c r="AP10">
        <f>VLOOKUP($I10,'[1]Table S6'!$A:$AI,34,FALSE)</f>
        <v>15.84</v>
      </c>
      <c r="AQ10" t="str">
        <f>VLOOKUP($I10,'[1]Table S6'!$A:$AI,35,FALSE)</f>
        <v>No</v>
      </c>
      <c r="AS10" t="e">
        <f>VLOOKUP($H10,'[2]Table S5'!$A:$K,8,FALSE)</f>
        <v>#N/A</v>
      </c>
      <c r="AT10" t="e">
        <f>VLOOKUP($H10,'[2]Table S5'!$A:$K,9,FALSE)</f>
        <v>#N/A</v>
      </c>
      <c r="AU10" t="e">
        <f>VLOOKUP($H10,'[2]Table S5'!$A:$K,10,FALSE)</f>
        <v>#N/A</v>
      </c>
      <c r="AV10" t="e">
        <f>VLOOKUP($H10,'[2]Table S5'!$A:$K,11,FALSE)</f>
        <v>#N/A</v>
      </c>
    </row>
    <row r="11" spans="1:48">
      <c r="A11" t="s">
        <v>79</v>
      </c>
      <c r="B11" t="s">
        <v>80</v>
      </c>
      <c r="C11" t="s">
        <v>17</v>
      </c>
      <c r="D11" t="s">
        <v>82</v>
      </c>
      <c r="E11" t="s">
        <v>83</v>
      </c>
      <c r="F11" t="s">
        <v>84</v>
      </c>
      <c r="G11" t="s">
        <v>4751</v>
      </c>
      <c r="H11" t="s">
        <v>76</v>
      </c>
      <c r="I11" t="s">
        <v>77</v>
      </c>
      <c r="J11">
        <f>VLOOKUP($I11,'[1]Table S6'!$A:$AI,2,FALSE)</f>
        <v>294.7</v>
      </c>
      <c r="K11">
        <f>VLOOKUP($I11,'[1]Table S6'!$A:$AI,3,FALSE)</f>
        <v>0.62715471376888698</v>
      </c>
      <c r="L11">
        <f>VLOOKUP($I11,'[1]Table S6'!$A:$AI,4,FALSE)</f>
        <v>0.83079999999999998</v>
      </c>
      <c r="M11" t="str">
        <f>VLOOKUP($I11,'[1]Table S6'!$A:$AI,5,FALSE)</f>
        <v>Yes</v>
      </c>
      <c r="O11">
        <f>VLOOKUP($I11,'[1]Table S6'!$A:$AI,7,FALSE)</f>
        <v>350.3</v>
      </c>
      <c r="P11">
        <f>VLOOKUP($I11,'[1]Table S6'!$A:$AI,8,FALSE)</f>
        <v>0.74547776122579301</v>
      </c>
      <c r="Q11">
        <f>VLOOKUP($I11,'[1]Table S6'!$A:$AI,9,FALSE)</f>
        <v>5.3730000000000002</v>
      </c>
      <c r="R11" t="str">
        <f>VLOOKUP($I11,'[1]Table S6'!$A:$AI,10,FALSE)</f>
        <v>No</v>
      </c>
      <c r="T11">
        <f>VLOOKUP($I11,'[1]Table S6'!$A:$AI,12,FALSE)</f>
        <v>357.6</v>
      </c>
      <c r="U11">
        <f>VLOOKUP($I11,'[1]Table S6'!$A:$AI,13,FALSE)</f>
        <v>0.76101298148542296</v>
      </c>
      <c r="V11">
        <f>VLOOKUP($I11,'[1]Table S6'!$A:$AI,14,FALSE)</f>
        <v>6.41</v>
      </c>
      <c r="W11" t="str">
        <f>VLOOKUP($I11,'[1]Table S6'!$A:$AI,15,FALSE)</f>
        <v>No</v>
      </c>
      <c r="Y11">
        <f>VLOOKUP($I11,'[1]Table S6'!$A:$AI,17,FALSE)</f>
        <v>364</v>
      </c>
      <c r="Z11">
        <f>VLOOKUP($I11,'[1]Table S6'!$A:$AI,18,FALSE)</f>
        <v>0.77463290061715295</v>
      </c>
      <c r="AA11">
        <f>VLOOKUP($I11,'[1]Table S6'!$A:$AI,19,FALSE)</f>
        <v>8.0939999999999994</v>
      </c>
      <c r="AB11" t="str">
        <f>VLOOKUP($I11,'[1]Table S6'!$A:$AI,20,FALSE)</f>
        <v>No</v>
      </c>
      <c r="AD11">
        <f>VLOOKUP($I11,'[1]Table S6'!$A:$AI,22,FALSE)</f>
        <v>338.8</v>
      </c>
      <c r="AE11">
        <f>VLOOKUP($I11,'[1]Table S6'!$A:$AI,23,FALSE)</f>
        <v>0.72100446903596505</v>
      </c>
      <c r="AF11">
        <f>VLOOKUP($I11,'[1]Table S6'!$A:$AI,24,FALSE)</f>
        <v>3.073</v>
      </c>
      <c r="AG11" t="str">
        <f>VLOOKUP($I11,'[1]Table S6'!$A:$AI,25,FALSE)</f>
        <v>No</v>
      </c>
      <c r="AI11">
        <f>VLOOKUP($I11,'[1]Table S6'!$A:$AI,27,FALSE)</f>
        <v>390.5</v>
      </c>
      <c r="AJ11">
        <f>VLOOKUP($I11,'[1]Table S6'!$A:$AI,28,FALSE)</f>
        <v>0.831027878271973</v>
      </c>
      <c r="AK11">
        <f>VLOOKUP($I11,'[1]Table S6'!$A:$AI,29,FALSE)</f>
        <v>43.24</v>
      </c>
      <c r="AL11" t="str">
        <f>VLOOKUP($I11,'[1]Table S6'!$A:$AI,30,FALSE)</f>
        <v>No</v>
      </c>
      <c r="AN11">
        <f>VLOOKUP($I11,'[1]Table S6'!$A:$AI,32,FALSE)</f>
        <v>370.9</v>
      </c>
      <c r="AO11">
        <f>VLOOKUP($I11,'[1]Table S6'!$A:$AI,33,FALSE)</f>
        <v>0.78931687593104904</v>
      </c>
      <c r="AP11">
        <f>VLOOKUP($I11,'[1]Table S6'!$A:$AI,34,FALSE)</f>
        <v>15.84</v>
      </c>
      <c r="AQ11" t="str">
        <f>VLOOKUP($I11,'[1]Table S6'!$A:$AI,35,FALSE)</f>
        <v>No</v>
      </c>
      <c r="AS11" t="e">
        <f>VLOOKUP($H11,'[2]Table S5'!$A:$K,8,FALSE)</f>
        <v>#N/A</v>
      </c>
      <c r="AT11" t="e">
        <f>VLOOKUP($H11,'[2]Table S5'!$A:$K,9,FALSE)</f>
        <v>#N/A</v>
      </c>
      <c r="AU11" t="e">
        <f>VLOOKUP($H11,'[2]Table S5'!$A:$K,10,FALSE)</f>
        <v>#N/A</v>
      </c>
      <c r="AV11" t="e">
        <f>VLOOKUP($H11,'[2]Table S5'!$A:$K,11,FALSE)</f>
        <v>#N/A</v>
      </c>
    </row>
    <row r="12" spans="1:48">
      <c r="A12" t="s">
        <v>86</v>
      </c>
      <c r="B12" t="s">
        <v>87</v>
      </c>
      <c r="C12" t="s">
        <v>17</v>
      </c>
      <c r="D12" t="s">
        <v>89</v>
      </c>
      <c r="E12" t="s">
        <v>90</v>
      </c>
      <c r="F12" t="s">
        <v>91</v>
      </c>
      <c r="G12" t="s">
        <v>4757</v>
      </c>
      <c r="H12" t="s">
        <v>76</v>
      </c>
      <c r="I12" t="s">
        <v>76</v>
      </c>
      <c r="J12" t="e">
        <f>VLOOKUP($I12,'[1]Table S6'!$A:$AI,2,FALSE)</f>
        <v>#N/A</v>
      </c>
      <c r="K12" t="e">
        <f>VLOOKUP($I12,'[1]Table S6'!$A:$AI,3,FALSE)</f>
        <v>#N/A</v>
      </c>
      <c r="L12" t="e">
        <f>VLOOKUP($I12,'[1]Table S6'!$A:$AI,4,FALSE)</f>
        <v>#N/A</v>
      </c>
      <c r="M12" t="e">
        <f>VLOOKUP($I12,'[1]Table S6'!$A:$AI,5,FALSE)</f>
        <v>#N/A</v>
      </c>
      <c r="O12" t="e">
        <f>VLOOKUP($I12,'[1]Table S6'!$A:$AI,7,FALSE)</f>
        <v>#N/A</v>
      </c>
      <c r="P12" t="e">
        <f>VLOOKUP($I12,'[1]Table S6'!$A:$AI,8,FALSE)</f>
        <v>#N/A</v>
      </c>
      <c r="Q12" t="e">
        <f>VLOOKUP($I12,'[1]Table S6'!$A:$AI,9,FALSE)</f>
        <v>#N/A</v>
      </c>
      <c r="R12" t="e">
        <f>VLOOKUP($I12,'[1]Table S6'!$A:$AI,10,FALSE)</f>
        <v>#N/A</v>
      </c>
      <c r="T12" t="e">
        <f>VLOOKUP($I12,'[1]Table S6'!$A:$AI,12,FALSE)</f>
        <v>#N/A</v>
      </c>
      <c r="U12" t="e">
        <f>VLOOKUP($I12,'[1]Table S6'!$A:$AI,13,FALSE)</f>
        <v>#N/A</v>
      </c>
      <c r="V12" t="e">
        <f>VLOOKUP($I12,'[1]Table S6'!$A:$AI,14,FALSE)</f>
        <v>#N/A</v>
      </c>
      <c r="W12" t="e">
        <f>VLOOKUP($I12,'[1]Table S6'!$A:$AI,15,FALSE)</f>
        <v>#N/A</v>
      </c>
      <c r="Y12" t="e">
        <f>VLOOKUP($I12,'[1]Table S6'!$A:$AI,17,FALSE)</f>
        <v>#N/A</v>
      </c>
      <c r="Z12" t="e">
        <f>VLOOKUP($I12,'[1]Table S6'!$A:$AI,18,FALSE)</f>
        <v>#N/A</v>
      </c>
      <c r="AA12" t="e">
        <f>VLOOKUP($I12,'[1]Table S6'!$A:$AI,19,FALSE)</f>
        <v>#N/A</v>
      </c>
      <c r="AB12" t="e">
        <f>VLOOKUP($I12,'[1]Table S6'!$A:$AI,20,FALSE)</f>
        <v>#N/A</v>
      </c>
      <c r="AD12" t="e">
        <f>VLOOKUP($I12,'[1]Table S6'!$A:$AI,22,FALSE)</f>
        <v>#N/A</v>
      </c>
      <c r="AE12" t="e">
        <f>VLOOKUP($I12,'[1]Table S6'!$A:$AI,23,FALSE)</f>
        <v>#N/A</v>
      </c>
      <c r="AF12" t="e">
        <f>VLOOKUP($I12,'[1]Table S6'!$A:$AI,24,FALSE)</f>
        <v>#N/A</v>
      </c>
      <c r="AG12" t="e">
        <f>VLOOKUP($I12,'[1]Table S6'!$A:$AI,25,FALSE)</f>
        <v>#N/A</v>
      </c>
      <c r="AI12" t="e">
        <f>VLOOKUP($I12,'[1]Table S6'!$A:$AI,27,FALSE)</f>
        <v>#N/A</v>
      </c>
      <c r="AJ12" t="e">
        <f>VLOOKUP($I12,'[1]Table S6'!$A:$AI,28,FALSE)</f>
        <v>#N/A</v>
      </c>
      <c r="AK12" t="e">
        <f>VLOOKUP($I12,'[1]Table S6'!$A:$AI,29,FALSE)</f>
        <v>#N/A</v>
      </c>
      <c r="AL12" t="e">
        <f>VLOOKUP($I12,'[1]Table S6'!$A:$AI,30,FALSE)</f>
        <v>#N/A</v>
      </c>
      <c r="AN12" t="e">
        <f>VLOOKUP($I12,'[1]Table S6'!$A:$AI,32,FALSE)</f>
        <v>#N/A</v>
      </c>
      <c r="AO12" t="e">
        <f>VLOOKUP($I12,'[1]Table S6'!$A:$AI,33,FALSE)</f>
        <v>#N/A</v>
      </c>
      <c r="AP12" t="e">
        <f>VLOOKUP($I12,'[1]Table S6'!$A:$AI,34,FALSE)</f>
        <v>#N/A</v>
      </c>
      <c r="AQ12" t="e">
        <f>VLOOKUP($I12,'[1]Table S6'!$A:$AI,35,FALSE)</f>
        <v>#N/A</v>
      </c>
      <c r="AS12" t="e">
        <f>VLOOKUP($H12,'[2]Table S5'!$A:$K,8,FALSE)</f>
        <v>#N/A</v>
      </c>
      <c r="AT12" t="e">
        <f>VLOOKUP($H12,'[2]Table S5'!$A:$K,9,FALSE)</f>
        <v>#N/A</v>
      </c>
      <c r="AU12" t="e">
        <f>VLOOKUP($H12,'[2]Table S5'!$A:$K,10,FALSE)</f>
        <v>#N/A</v>
      </c>
      <c r="AV12" t="e">
        <f>VLOOKUP($H12,'[2]Table S5'!$A:$K,11,FALSE)</f>
        <v>#N/A</v>
      </c>
    </row>
    <row r="13" spans="1:48">
      <c r="A13" t="s">
        <v>93</v>
      </c>
      <c r="B13" t="s">
        <v>94</v>
      </c>
      <c r="C13" t="s">
        <v>17</v>
      </c>
      <c r="D13" t="s">
        <v>96</v>
      </c>
      <c r="E13" t="s">
        <v>97</v>
      </c>
      <c r="F13" t="s">
        <v>98</v>
      </c>
      <c r="G13" t="s">
        <v>4757</v>
      </c>
      <c r="H13" t="s">
        <v>99</v>
      </c>
      <c r="I13" t="s">
        <v>99</v>
      </c>
      <c r="J13" t="e">
        <f>VLOOKUP($I13,'[1]Table S6'!$A:$AI,2,FALSE)</f>
        <v>#N/A</v>
      </c>
      <c r="K13" t="e">
        <f>VLOOKUP($I13,'[1]Table S6'!$A:$AI,3,FALSE)</f>
        <v>#N/A</v>
      </c>
      <c r="L13" t="e">
        <f>VLOOKUP($I13,'[1]Table S6'!$A:$AI,4,FALSE)</f>
        <v>#N/A</v>
      </c>
      <c r="M13" t="e">
        <f>VLOOKUP($I13,'[1]Table S6'!$A:$AI,5,FALSE)</f>
        <v>#N/A</v>
      </c>
      <c r="O13" t="e">
        <f>VLOOKUP($I13,'[1]Table S6'!$A:$AI,7,FALSE)</f>
        <v>#N/A</v>
      </c>
      <c r="P13" t="e">
        <f>VLOOKUP($I13,'[1]Table S6'!$A:$AI,8,FALSE)</f>
        <v>#N/A</v>
      </c>
      <c r="Q13" t="e">
        <f>VLOOKUP($I13,'[1]Table S6'!$A:$AI,9,FALSE)</f>
        <v>#N/A</v>
      </c>
      <c r="R13" t="e">
        <f>VLOOKUP($I13,'[1]Table S6'!$A:$AI,10,FALSE)</f>
        <v>#N/A</v>
      </c>
      <c r="T13" t="e">
        <f>VLOOKUP($I13,'[1]Table S6'!$A:$AI,12,FALSE)</f>
        <v>#N/A</v>
      </c>
      <c r="U13" t="e">
        <f>VLOOKUP($I13,'[1]Table S6'!$A:$AI,13,FALSE)</f>
        <v>#N/A</v>
      </c>
      <c r="V13" t="e">
        <f>VLOOKUP($I13,'[1]Table S6'!$A:$AI,14,FALSE)</f>
        <v>#N/A</v>
      </c>
      <c r="W13" t="e">
        <f>VLOOKUP($I13,'[1]Table S6'!$A:$AI,15,FALSE)</f>
        <v>#N/A</v>
      </c>
      <c r="Y13" t="e">
        <f>VLOOKUP($I13,'[1]Table S6'!$A:$AI,17,FALSE)</f>
        <v>#N/A</v>
      </c>
      <c r="Z13" t="e">
        <f>VLOOKUP($I13,'[1]Table S6'!$A:$AI,18,FALSE)</f>
        <v>#N/A</v>
      </c>
      <c r="AA13" t="e">
        <f>VLOOKUP($I13,'[1]Table S6'!$A:$AI,19,FALSE)</f>
        <v>#N/A</v>
      </c>
      <c r="AB13" t="e">
        <f>VLOOKUP($I13,'[1]Table S6'!$A:$AI,20,FALSE)</f>
        <v>#N/A</v>
      </c>
      <c r="AD13" t="e">
        <f>VLOOKUP($I13,'[1]Table S6'!$A:$AI,22,FALSE)</f>
        <v>#N/A</v>
      </c>
      <c r="AE13" t="e">
        <f>VLOOKUP($I13,'[1]Table S6'!$A:$AI,23,FALSE)</f>
        <v>#N/A</v>
      </c>
      <c r="AF13" t="e">
        <f>VLOOKUP($I13,'[1]Table S6'!$A:$AI,24,FALSE)</f>
        <v>#N/A</v>
      </c>
      <c r="AG13" t="e">
        <f>VLOOKUP($I13,'[1]Table S6'!$A:$AI,25,FALSE)</f>
        <v>#N/A</v>
      </c>
      <c r="AI13" t="e">
        <f>VLOOKUP($I13,'[1]Table S6'!$A:$AI,27,FALSE)</f>
        <v>#N/A</v>
      </c>
      <c r="AJ13" t="e">
        <f>VLOOKUP($I13,'[1]Table S6'!$A:$AI,28,FALSE)</f>
        <v>#N/A</v>
      </c>
      <c r="AK13" t="e">
        <f>VLOOKUP($I13,'[1]Table S6'!$A:$AI,29,FALSE)</f>
        <v>#N/A</v>
      </c>
      <c r="AL13" t="e">
        <f>VLOOKUP($I13,'[1]Table S6'!$A:$AI,30,FALSE)</f>
        <v>#N/A</v>
      </c>
      <c r="AN13" t="e">
        <f>VLOOKUP($I13,'[1]Table S6'!$A:$AI,32,FALSE)</f>
        <v>#N/A</v>
      </c>
      <c r="AO13" t="e">
        <f>VLOOKUP($I13,'[1]Table S6'!$A:$AI,33,FALSE)</f>
        <v>#N/A</v>
      </c>
      <c r="AP13" t="e">
        <f>VLOOKUP($I13,'[1]Table S6'!$A:$AI,34,FALSE)</f>
        <v>#N/A</v>
      </c>
      <c r="AQ13" t="e">
        <f>VLOOKUP($I13,'[1]Table S6'!$A:$AI,35,FALSE)</f>
        <v>#N/A</v>
      </c>
      <c r="AS13" t="str">
        <f>VLOOKUP($H13,'[2]Table S5'!$A:$K,8,FALSE)</f>
        <v>Resistant</v>
      </c>
      <c r="AT13" t="str">
        <f>VLOOKUP($H13,'[2]Table S5'!$A:$K,9,FALSE)</f>
        <v>Resistant</v>
      </c>
      <c r="AU13" t="str">
        <f>VLOOKUP($H13,'[2]Table S5'!$A:$K,10,FALSE)</f>
        <v>Resistant</v>
      </c>
      <c r="AV13" t="str">
        <f>VLOOKUP($H13,'[2]Table S5'!$A:$K,11,FALSE)</f>
        <v>Resistant</v>
      </c>
    </row>
    <row r="14" spans="1:48">
      <c r="A14" t="s">
        <v>101</v>
      </c>
      <c r="B14" t="s">
        <v>102</v>
      </c>
      <c r="C14" t="s">
        <v>17</v>
      </c>
      <c r="D14" t="s">
        <v>104</v>
      </c>
      <c r="E14" t="s">
        <v>105</v>
      </c>
      <c r="F14" t="s">
        <v>106</v>
      </c>
      <c r="G14" t="s">
        <v>4750</v>
      </c>
      <c r="H14" t="s">
        <v>99</v>
      </c>
      <c r="I14" t="s">
        <v>107</v>
      </c>
      <c r="J14">
        <f>VLOOKUP($I14,'[1]Table S6'!$A:$AI,2,FALSE)</f>
        <v>372.5</v>
      </c>
      <c r="K14">
        <f>VLOOKUP($I14,'[1]Table S6'!$A:$AI,3,FALSE)</f>
        <v>0.79272185571398202</v>
      </c>
      <c r="L14">
        <f>VLOOKUP($I14,'[1]Table S6'!$A:$AI,4,FALSE)</f>
        <v>9.5470000000000006</v>
      </c>
      <c r="M14" t="str">
        <f>VLOOKUP($I14,'[1]Table S6'!$A:$AI,5,FALSE)</f>
        <v>No</v>
      </c>
      <c r="O14">
        <f>VLOOKUP($I14,'[1]Table S6'!$A:$AI,7,FALSE)</f>
        <v>381.7</v>
      </c>
      <c r="P14">
        <f>VLOOKUP($I14,'[1]Table S6'!$A:$AI,8,FALSE)</f>
        <v>0.81230048946584399</v>
      </c>
      <c r="Q14">
        <f>VLOOKUP($I14,'[1]Table S6'!$A:$AI,9,FALSE)</f>
        <v>8.1859999999999999</v>
      </c>
      <c r="R14" t="str">
        <f>VLOOKUP($I14,'[1]Table S6'!$A:$AI,10,FALSE)</f>
        <v>No</v>
      </c>
      <c r="T14">
        <f>VLOOKUP($I14,'[1]Table S6'!$A:$AI,12,FALSE)</f>
        <v>337.7</v>
      </c>
      <c r="U14">
        <f>VLOOKUP($I14,'[1]Table S6'!$A:$AI,13,FALSE)</f>
        <v>0.71866354543519895</v>
      </c>
      <c r="V14">
        <f>VLOOKUP($I14,'[1]Table S6'!$A:$AI,14,FALSE)</f>
        <v>2.891</v>
      </c>
      <c r="W14" t="str">
        <f>VLOOKUP($I14,'[1]Table S6'!$A:$AI,15,FALSE)</f>
        <v>No</v>
      </c>
      <c r="Y14">
        <f>VLOOKUP($I14,'[1]Table S6'!$A:$AI,17,FALSE)</f>
        <v>376.5</v>
      </c>
      <c r="Z14">
        <f>VLOOKUP($I14,'[1]Table S6'!$A:$AI,18,FALSE)</f>
        <v>0.801234305171313</v>
      </c>
      <c r="AA14">
        <f>VLOOKUP($I14,'[1]Table S6'!$A:$AI,19,FALSE)</f>
        <v>16.23</v>
      </c>
      <c r="AB14" t="str">
        <f>VLOOKUP($I14,'[1]Table S6'!$A:$AI,20,FALSE)</f>
        <v>No</v>
      </c>
      <c r="AD14">
        <f>VLOOKUP($I14,'[1]Table S6'!$A:$AI,22,FALSE)</f>
        <v>391.4</v>
      </c>
      <c r="AE14">
        <f>VLOOKUP($I14,'[1]Table S6'!$A:$AI,23,FALSE)</f>
        <v>0.83294317939987195</v>
      </c>
      <c r="AF14">
        <f>VLOOKUP($I14,'[1]Table S6'!$A:$AI,24,FALSE)</f>
        <v>27.57</v>
      </c>
      <c r="AG14" t="str">
        <f>VLOOKUP($I14,'[1]Table S6'!$A:$AI,25,FALSE)</f>
        <v>No</v>
      </c>
      <c r="AI14">
        <f>VLOOKUP($I14,'[1]Table S6'!$A:$AI,27,FALSE)</f>
        <v>379.9</v>
      </c>
      <c r="AJ14">
        <f>VLOOKUP($I14,'[1]Table S6'!$A:$AI,28,FALSE)</f>
        <v>0.80846988721004498</v>
      </c>
      <c r="AK14">
        <f>VLOOKUP($I14,'[1]Table S6'!$A:$AI,29,FALSE)</f>
        <v>13.57</v>
      </c>
      <c r="AL14" t="str">
        <f>VLOOKUP($I14,'[1]Table S6'!$A:$AI,30,FALSE)</f>
        <v>No</v>
      </c>
      <c r="AN14">
        <f>VLOOKUP($I14,'[1]Table S6'!$A:$AI,32,FALSE)</f>
        <v>356.7</v>
      </c>
      <c r="AO14">
        <f>VLOOKUP($I14,'[1]Table S6'!$A:$AI,33,FALSE)</f>
        <v>0.75909768035752301</v>
      </c>
      <c r="AP14">
        <f>VLOOKUP($I14,'[1]Table S6'!$A:$AI,34,FALSE)</f>
        <v>8.0890000000000004</v>
      </c>
      <c r="AQ14" t="str">
        <f>VLOOKUP($I14,'[1]Table S6'!$A:$AI,35,FALSE)</f>
        <v>No</v>
      </c>
      <c r="AS14" t="str">
        <f>VLOOKUP($H14,'[2]Table S5'!$A:$K,8,FALSE)</f>
        <v>Resistant</v>
      </c>
      <c r="AT14" t="str">
        <f>VLOOKUP($H14,'[2]Table S5'!$A:$K,9,FALSE)</f>
        <v>Resistant</v>
      </c>
      <c r="AU14" t="str">
        <f>VLOOKUP($H14,'[2]Table S5'!$A:$K,10,FALSE)</f>
        <v>Resistant</v>
      </c>
      <c r="AV14" t="str">
        <f>VLOOKUP($H14,'[2]Table S5'!$A:$K,11,FALSE)</f>
        <v>Resistant</v>
      </c>
    </row>
    <row r="15" spans="1:48">
      <c r="A15" t="s">
        <v>109</v>
      </c>
      <c r="B15" t="s">
        <v>110</v>
      </c>
      <c r="C15" t="s">
        <v>17</v>
      </c>
      <c r="D15" t="s">
        <v>112</v>
      </c>
      <c r="E15" t="s">
        <v>113</v>
      </c>
      <c r="F15" t="s">
        <v>114</v>
      </c>
      <c r="G15" t="s">
        <v>4750</v>
      </c>
      <c r="H15" t="s">
        <v>99</v>
      </c>
      <c r="I15" t="s">
        <v>115</v>
      </c>
      <c r="J15">
        <f>VLOOKUP($I15,'[1]Table S6'!$A:$AI,2,FALSE)</f>
        <v>291.60000000000002</v>
      </c>
      <c r="K15">
        <f>VLOOKUP($I15,'[1]Table S6'!$A:$AI,3,FALSE)</f>
        <v>0.62055756543945495</v>
      </c>
      <c r="L15">
        <f>VLOOKUP($I15,'[1]Table S6'!$A:$AI,4,FALSE)</f>
        <v>0.90900000000000003</v>
      </c>
      <c r="M15" t="str">
        <f>VLOOKUP($I15,'[1]Table S6'!$A:$AI,5,FALSE)</f>
        <v>Yes</v>
      </c>
      <c r="O15">
        <f>VLOOKUP($I15,'[1]Table S6'!$A:$AI,7,FALSE)</f>
        <v>286.89999999999998</v>
      </c>
      <c r="P15">
        <f>VLOOKUP($I15,'[1]Table S6'!$A:$AI,8,FALSE)</f>
        <v>0.61055543732709106</v>
      </c>
      <c r="Q15">
        <f>VLOOKUP($I15,'[1]Table S6'!$A:$AI,9,FALSE)</f>
        <v>0.75409999999999999</v>
      </c>
      <c r="R15" t="str">
        <f>VLOOKUP($I15,'[1]Table S6'!$A:$AI,10,FALSE)</f>
        <v>Yes</v>
      </c>
      <c r="T15">
        <f>VLOOKUP($I15,'[1]Table S6'!$A:$AI,12,FALSE)</f>
        <v>290.7</v>
      </c>
      <c r="U15">
        <f>VLOOKUP($I15,'[1]Table S6'!$A:$AI,13,FALSE)</f>
        <v>0.618642264311556</v>
      </c>
      <c r="V15">
        <f>VLOOKUP($I15,'[1]Table S6'!$A:$AI,14,FALSE)</f>
        <v>0.76890000000000003</v>
      </c>
      <c r="W15" t="str">
        <f>VLOOKUP($I15,'[1]Table S6'!$A:$AI,15,FALSE)</f>
        <v>Yes</v>
      </c>
      <c r="Y15">
        <f>VLOOKUP($I15,'[1]Table S6'!$A:$AI,17,FALSE)</f>
        <v>339.9</v>
      </c>
      <c r="Z15">
        <f>VLOOKUP($I15,'[1]Table S6'!$A:$AI,18,FALSE)</f>
        <v>0.72334539263673103</v>
      </c>
      <c r="AA15">
        <f>VLOOKUP($I15,'[1]Table S6'!$A:$AI,19,FALSE)</f>
        <v>4.1159999999999997</v>
      </c>
      <c r="AB15" t="str">
        <f>VLOOKUP($I15,'[1]Table S6'!$A:$AI,20,FALSE)</f>
        <v>No</v>
      </c>
      <c r="AD15">
        <f>VLOOKUP($I15,'[1]Table S6'!$A:$AI,22,FALSE)</f>
        <v>427.1</v>
      </c>
      <c r="AE15">
        <f>VLOOKUP($I15,'[1]Table S6'!$A:$AI,23,FALSE)</f>
        <v>0.90891679080655496</v>
      </c>
      <c r="AF15">
        <f>VLOOKUP($I15,'[1]Table S6'!$A:$AI,24,FALSE)</f>
        <v>64.2</v>
      </c>
      <c r="AG15" t="str">
        <f>VLOOKUP($I15,'[1]Table S6'!$A:$AI,25,FALSE)</f>
        <v>No</v>
      </c>
      <c r="AI15">
        <f>VLOOKUP($I15,'[1]Table S6'!$A:$AI,27,FALSE)</f>
        <v>395.7</v>
      </c>
      <c r="AJ15">
        <f>VLOOKUP($I15,'[1]Table S6'!$A:$AI,28,FALSE)</f>
        <v>0.84209406256650399</v>
      </c>
      <c r="AK15">
        <f>VLOOKUP($I15,'[1]Table S6'!$A:$AI,29,FALSE)</f>
        <v>21.99</v>
      </c>
      <c r="AL15" t="str">
        <f>VLOOKUP($I15,'[1]Table S6'!$A:$AI,30,FALSE)</f>
        <v>No</v>
      </c>
      <c r="AN15">
        <f>VLOOKUP($I15,'[1]Table S6'!$A:$AI,32,FALSE)</f>
        <v>416.8</v>
      </c>
      <c r="AO15">
        <f>VLOOKUP($I15,'[1]Table S6'!$A:$AI,33,FALSE)</f>
        <v>0.886997233453926</v>
      </c>
      <c r="AP15">
        <f>VLOOKUP($I15,'[1]Table S6'!$A:$AI,34,FALSE)</f>
        <v>34.96</v>
      </c>
      <c r="AQ15" t="str">
        <f>VLOOKUP($I15,'[1]Table S6'!$A:$AI,35,FALSE)</f>
        <v>No</v>
      </c>
      <c r="AS15" t="str">
        <f>VLOOKUP($H15,'[2]Table S5'!$A:$K,8,FALSE)</f>
        <v>Resistant</v>
      </c>
      <c r="AT15" t="str">
        <f>VLOOKUP($H15,'[2]Table S5'!$A:$K,9,FALSE)</f>
        <v>Resistant</v>
      </c>
      <c r="AU15" t="str">
        <f>VLOOKUP($H15,'[2]Table S5'!$A:$K,10,FALSE)</f>
        <v>Resistant</v>
      </c>
      <c r="AV15" t="str">
        <f>VLOOKUP($H15,'[2]Table S5'!$A:$K,11,FALSE)</f>
        <v>Resistant</v>
      </c>
    </row>
    <row r="16" spans="1:48">
      <c r="A16" t="s">
        <v>117</v>
      </c>
      <c r="B16" t="s">
        <v>118</v>
      </c>
      <c r="C16" t="s">
        <v>17</v>
      </c>
      <c r="D16" t="s">
        <v>120</v>
      </c>
      <c r="E16" t="s">
        <v>121</v>
      </c>
      <c r="F16" t="s">
        <v>122</v>
      </c>
      <c r="G16" t="s">
        <v>4750</v>
      </c>
      <c r="H16" t="s">
        <v>99</v>
      </c>
      <c r="I16" t="s">
        <v>123</v>
      </c>
      <c r="J16">
        <f>VLOOKUP($I16,'[1]Table S6'!$A:$AI,2,FALSE)</f>
        <v>351.4</v>
      </c>
      <c r="K16">
        <f>VLOOKUP($I16,'[1]Table S6'!$A:$AI,3,FALSE)</f>
        <v>0.747818684826559</v>
      </c>
      <c r="L16">
        <f>VLOOKUP($I16,'[1]Table S6'!$A:$AI,4,FALSE)</f>
        <v>4.8949999999999996</v>
      </c>
      <c r="M16" t="str">
        <f>VLOOKUP($I16,'[1]Table S6'!$A:$AI,5,FALSE)</f>
        <v>No</v>
      </c>
      <c r="O16">
        <f>VLOOKUP($I16,'[1]Table S6'!$A:$AI,7,FALSE)</f>
        <v>309</v>
      </c>
      <c r="P16">
        <f>VLOOKUP($I16,'[1]Table S6'!$A:$AI,8,FALSE)</f>
        <v>0.65758672057884704</v>
      </c>
      <c r="Q16">
        <f>VLOOKUP($I16,'[1]Table S6'!$A:$AI,9,FALSE)</f>
        <v>1.0409999999999999</v>
      </c>
      <c r="R16" t="str">
        <f>VLOOKUP($I16,'[1]Table S6'!$A:$AI,10,FALSE)</f>
        <v>Yes</v>
      </c>
      <c r="T16">
        <f>VLOOKUP($I16,'[1]Table S6'!$A:$AI,12,FALSE)</f>
        <v>354.6</v>
      </c>
      <c r="U16">
        <f>VLOOKUP($I16,'[1]Table S6'!$A:$AI,13,FALSE)</f>
        <v>0.75462864439242405</v>
      </c>
      <c r="V16">
        <f>VLOOKUP($I16,'[1]Table S6'!$A:$AI,14,FALSE)</f>
        <v>6.532</v>
      </c>
      <c r="W16" t="str">
        <f>VLOOKUP($I16,'[1]Table S6'!$A:$AI,15,FALSE)</f>
        <v>No</v>
      </c>
      <c r="Y16">
        <f>VLOOKUP($I16,'[1]Table S6'!$A:$AI,17,FALSE)</f>
        <v>334</v>
      </c>
      <c r="Z16">
        <f>VLOOKUP($I16,'[1]Table S6'!$A:$AI,18,FALSE)</f>
        <v>0.71078952968716702</v>
      </c>
      <c r="AA16">
        <f>VLOOKUP($I16,'[1]Table S6'!$A:$AI,19,FALSE)</f>
        <v>3.4180000000000001</v>
      </c>
      <c r="AB16" t="str">
        <f>VLOOKUP($I16,'[1]Table S6'!$A:$AI,20,FALSE)</f>
        <v>No</v>
      </c>
      <c r="AD16">
        <f>VLOOKUP($I16,'[1]Table S6'!$A:$AI,22,FALSE)</f>
        <v>409.3</v>
      </c>
      <c r="AE16">
        <f>VLOOKUP($I16,'[1]Table S6'!$A:$AI,23,FALSE)</f>
        <v>0.87103639072143002</v>
      </c>
      <c r="AF16">
        <f>VLOOKUP($I16,'[1]Table S6'!$A:$AI,24,FALSE)</f>
        <v>55.06</v>
      </c>
      <c r="AG16" t="str">
        <f>VLOOKUP($I16,'[1]Table S6'!$A:$AI,25,FALSE)</f>
        <v>No</v>
      </c>
      <c r="AI16">
        <f>VLOOKUP($I16,'[1]Table S6'!$A:$AI,27,FALSE)</f>
        <v>404.3</v>
      </c>
      <c r="AJ16">
        <f>VLOOKUP($I16,'[1]Table S6'!$A:$AI,28,FALSE)</f>
        <v>0.86039582889976596</v>
      </c>
      <c r="AK16">
        <f>VLOOKUP($I16,'[1]Table S6'!$A:$AI,29,FALSE)</f>
        <v>44.13</v>
      </c>
      <c r="AL16" t="str">
        <f>VLOOKUP($I16,'[1]Table S6'!$A:$AI,30,FALSE)</f>
        <v>No</v>
      </c>
      <c r="AN16">
        <f>VLOOKUP($I16,'[1]Table S6'!$A:$AI,32,FALSE)</f>
        <v>415</v>
      </c>
      <c r="AO16">
        <f>VLOOKUP($I16,'[1]Table S6'!$A:$AI,33,FALSE)</f>
        <v>0.88316663119812699</v>
      </c>
      <c r="AP16">
        <f>VLOOKUP($I16,'[1]Table S6'!$A:$AI,34,FALSE)</f>
        <v>61.82</v>
      </c>
      <c r="AQ16" t="str">
        <f>VLOOKUP($I16,'[1]Table S6'!$A:$AI,35,FALSE)</f>
        <v>No</v>
      </c>
      <c r="AS16" t="str">
        <f>VLOOKUP($H16,'[2]Table S5'!$A:$K,8,FALSE)</f>
        <v>Resistant</v>
      </c>
      <c r="AT16" t="str">
        <f>VLOOKUP($H16,'[2]Table S5'!$A:$K,9,FALSE)</f>
        <v>Resistant</v>
      </c>
      <c r="AU16" t="str">
        <f>VLOOKUP($H16,'[2]Table S5'!$A:$K,10,FALSE)</f>
        <v>Resistant</v>
      </c>
      <c r="AV16" t="str">
        <f>VLOOKUP($H16,'[2]Table S5'!$A:$K,11,FALSE)</f>
        <v>Resistant</v>
      </c>
    </row>
    <row r="17" spans="1:48">
      <c r="A17" t="s">
        <v>125</v>
      </c>
      <c r="B17" t="s">
        <v>126</v>
      </c>
      <c r="C17" t="s">
        <v>17</v>
      </c>
      <c r="D17" t="s">
        <v>128</v>
      </c>
      <c r="E17" t="s">
        <v>129</v>
      </c>
      <c r="F17" t="s">
        <v>130</v>
      </c>
      <c r="G17" t="s">
        <v>4751</v>
      </c>
      <c r="H17" t="s">
        <v>99</v>
      </c>
      <c r="I17" t="s">
        <v>107</v>
      </c>
      <c r="J17">
        <f>VLOOKUP($I17,'[1]Table S6'!$A:$AI,2,FALSE)</f>
        <v>372.5</v>
      </c>
      <c r="K17">
        <f>VLOOKUP($I17,'[1]Table S6'!$A:$AI,3,FALSE)</f>
        <v>0.79272185571398202</v>
      </c>
      <c r="L17">
        <f>VLOOKUP($I17,'[1]Table S6'!$A:$AI,4,FALSE)</f>
        <v>9.5470000000000006</v>
      </c>
      <c r="M17" t="str">
        <f>VLOOKUP($I17,'[1]Table S6'!$A:$AI,5,FALSE)</f>
        <v>No</v>
      </c>
      <c r="O17">
        <f>VLOOKUP($I17,'[1]Table S6'!$A:$AI,7,FALSE)</f>
        <v>381.7</v>
      </c>
      <c r="P17">
        <f>VLOOKUP($I17,'[1]Table S6'!$A:$AI,8,FALSE)</f>
        <v>0.81230048946584399</v>
      </c>
      <c r="Q17">
        <f>VLOOKUP($I17,'[1]Table S6'!$A:$AI,9,FALSE)</f>
        <v>8.1859999999999999</v>
      </c>
      <c r="R17" t="str">
        <f>VLOOKUP($I17,'[1]Table S6'!$A:$AI,10,FALSE)</f>
        <v>No</v>
      </c>
      <c r="T17">
        <f>VLOOKUP($I17,'[1]Table S6'!$A:$AI,12,FALSE)</f>
        <v>337.7</v>
      </c>
      <c r="U17">
        <f>VLOOKUP($I17,'[1]Table S6'!$A:$AI,13,FALSE)</f>
        <v>0.71866354543519895</v>
      </c>
      <c r="V17">
        <f>VLOOKUP($I17,'[1]Table S6'!$A:$AI,14,FALSE)</f>
        <v>2.891</v>
      </c>
      <c r="W17" t="str">
        <f>VLOOKUP($I17,'[1]Table S6'!$A:$AI,15,FALSE)</f>
        <v>No</v>
      </c>
      <c r="Y17">
        <f>VLOOKUP($I17,'[1]Table S6'!$A:$AI,17,FALSE)</f>
        <v>376.5</v>
      </c>
      <c r="Z17">
        <f>VLOOKUP($I17,'[1]Table S6'!$A:$AI,18,FALSE)</f>
        <v>0.801234305171313</v>
      </c>
      <c r="AA17">
        <f>VLOOKUP($I17,'[1]Table S6'!$A:$AI,19,FALSE)</f>
        <v>16.23</v>
      </c>
      <c r="AB17" t="str">
        <f>VLOOKUP($I17,'[1]Table S6'!$A:$AI,20,FALSE)</f>
        <v>No</v>
      </c>
      <c r="AD17">
        <f>VLOOKUP($I17,'[1]Table S6'!$A:$AI,22,FALSE)</f>
        <v>391.4</v>
      </c>
      <c r="AE17">
        <f>VLOOKUP($I17,'[1]Table S6'!$A:$AI,23,FALSE)</f>
        <v>0.83294317939987195</v>
      </c>
      <c r="AF17">
        <f>VLOOKUP($I17,'[1]Table S6'!$A:$AI,24,FALSE)</f>
        <v>27.57</v>
      </c>
      <c r="AG17" t="str">
        <f>VLOOKUP($I17,'[1]Table S6'!$A:$AI,25,FALSE)</f>
        <v>No</v>
      </c>
      <c r="AI17">
        <f>VLOOKUP($I17,'[1]Table S6'!$A:$AI,27,FALSE)</f>
        <v>379.9</v>
      </c>
      <c r="AJ17">
        <f>VLOOKUP($I17,'[1]Table S6'!$A:$AI,28,FALSE)</f>
        <v>0.80846988721004498</v>
      </c>
      <c r="AK17">
        <f>VLOOKUP($I17,'[1]Table S6'!$A:$AI,29,FALSE)</f>
        <v>13.57</v>
      </c>
      <c r="AL17" t="str">
        <f>VLOOKUP($I17,'[1]Table S6'!$A:$AI,30,FALSE)</f>
        <v>No</v>
      </c>
      <c r="AN17">
        <f>VLOOKUP($I17,'[1]Table S6'!$A:$AI,32,FALSE)</f>
        <v>356.7</v>
      </c>
      <c r="AO17">
        <f>VLOOKUP($I17,'[1]Table S6'!$A:$AI,33,FALSE)</f>
        <v>0.75909768035752301</v>
      </c>
      <c r="AP17">
        <f>VLOOKUP($I17,'[1]Table S6'!$A:$AI,34,FALSE)</f>
        <v>8.0890000000000004</v>
      </c>
      <c r="AQ17" t="str">
        <f>VLOOKUP($I17,'[1]Table S6'!$A:$AI,35,FALSE)</f>
        <v>No</v>
      </c>
      <c r="AS17" t="str">
        <f>VLOOKUP($H17,'[2]Table S5'!$A:$K,8,FALSE)</f>
        <v>Resistant</v>
      </c>
      <c r="AT17" t="str">
        <f>VLOOKUP($H17,'[2]Table S5'!$A:$K,9,FALSE)</f>
        <v>Resistant</v>
      </c>
      <c r="AU17" t="str">
        <f>VLOOKUP($H17,'[2]Table S5'!$A:$K,10,FALSE)</f>
        <v>Resistant</v>
      </c>
      <c r="AV17" t="str">
        <f>VLOOKUP($H17,'[2]Table S5'!$A:$K,11,FALSE)</f>
        <v>Resistant</v>
      </c>
    </row>
    <row r="18" spans="1:48">
      <c r="A18" t="s">
        <v>132</v>
      </c>
      <c r="B18" t="s">
        <v>133</v>
      </c>
      <c r="C18" t="s">
        <v>17</v>
      </c>
      <c r="D18" t="s">
        <v>135</v>
      </c>
      <c r="E18" t="s">
        <v>136</v>
      </c>
      <c r="F18" t="s">
        <v>137</v>
      </c>
      <c r="G18" t="s">
        <v>4751</v>
      </c>
      <c r="H18" t="s">
        <v>99</v>
      </c>
      <c r="I18" t="s">
        <v>115</v>
      </c>
      <c r="J18">
        <f>VLOOKUP($I18,'[1]Table S6'!$A:$AI,2,FALSE)</f>
        <v>291.60000000000002</v>
      </c>
      <c r="K18">
        <f>VLOOKUP($I18,'[1]Table S6'!$A:$AI,3,FALSE)</f>
        <v>0.62055756543945495</v>
      </c>
      <c r="L18">
        <f>VLOOKUP($I18,'[1]Table S6'!$A:$AI,4,FALSE)</f>
        <v>0.90900000000000003</v>
      </c>
      <c r="M18" t="str">
        <f>VLOOKUP($I18,'[1]Table S6'!$A:$AI,5,FALSE)</f>
        <v>Yes</v>
      </c>
      <c r="O18">
        <f>VLOOKUP($I18,'[1]Table S6'!$A:$AI,7,FALSE)</f>
        <v>286.89999999999998</v>
      </c>
      <c r="P18">
        <f>VLOOKUP($I18,'[1]Table S6'!$A:$AI,8,FALSE)</f>
        <v>0.61055543732709106</v>
      </c>
      <c r="Q18">
        <f>VLOOKUP($I18,'[1]Table S6'!$A:$AI,9,FALSE)</f>
        <v>0.75409999999999999</v>
      </c>
      <c r="R18" t="str">
        <f>VLOOKUP($I18,'[1]Table S6'!$A:$AI,10,FALSE)</f>
        <v>Yes</v>
      </c>
      <c r="T18">
        <f>VLOOKUP($I18,'[1]Table S6'!$A:$AI,12,FALSE)</f>
        <v>290.7</v>
      </c>
      <c r="U18">
        <f>VLOOKUP($I18,'[1]Table S6'!$A:$AI,13,FALSE)</f>
        <v>0.618642264311556</v>
      </c>
      <c r="V18">
        <f>VLOOKUP($I18,'[1]Table S6'!$A:$AI,14,FALSE)</f>
        <v>0.76890000000000003</v>
      </c>
      <c r="W18" t="str">
        <f>VLOOKUP($I18,'[1]Table S6'!$A:$AI,15,FALSE)</f>
        <v>Yes</v>
      </c>
      <c r="Y18">
        <f>VLOOKUP($I18,'[1]Table S6'!$A:$AI,17,FALSE)</f>
        <v>339.9</v>
      </c>
      <c r="Z18">
        <f>VLOOKUP($I18,'[1]Table S6'!$A:$AI,18,FALSE)</f>
        <v>0.72334539263673103</v>
      </c>
      <c r="AA18">
        <f>VLOOKUP($I18,'[1]Table S6'!$A:$AI,19,FALSE)</f>
        <v>4.1159999999999997</v>
      </c>
      <c r="AB18" t="str">
        <f>VLOOKUP($I18,'[1]Table S6'!$A:$AI,20,FALSE)</f>
        <v>No</v>
      </c>
      <c r="AD18">
        <f>VLOOKUP($I18,'[1]Table S6'!$A:$AI,22,FALSE)</f>
        <v>427.1</v>
      </c>
      <c r="AE18">
        <f>VLOOKUP($I18,'[1]Table S6'!$A:$AI,23,FALSE)</f>
        <v>0.90891679080655496</v>
      </c>
      <c r="AF18">
        <f>VLOOKUP($I18,'[1]Table S6'!$A:$AI,24,FALSE)</f>
        <v>64.2</v>
      </c>
      <c r="AG18" t="str">
        <f>VLOOKUP($I18,'[1]Table S6'!$A:$AI,25,FALSE)</f>
        <v>No</v>
      </c>
      <c r="AI18">
        <f>VLOOKUP($I18,'[1]Table S6'!$A:$AI,27,FALSE)</f>
        <v>395.7</v>
      </c>
      <c r="AJ18">
        <f>VLOOKUP($I18,'[1]Table S6'!$A:$AI,28,FALSE)</f>
        <v>0.84209406256650399</v>
      </c>
      <c r="AK18">
        <f>VLOOKUP($I18,'[1]Table S6'!$A:$AI,29,FALSE)</f>
        <v>21.99</v>
      </c>
      <c r="AL18" t="str">
        <f>VLOOKUP($I18,'[1]Table S6'!$A:$AI,30,FALSE)</f>
        <v>No</v>
      </c>
      <c r="AN18">
        <f>VLOOKUP($I18,'[1]Table S6'!$A:$AI,32,FALSE)</f>
        <v>416.8</v>
      </c>
      <c r="AO18">
        <f>VLOOKUP($I18,'[1]Table S6'!$A:$AI,33,FALSE)</f>
        <v>0.886997233453926</v>
      </c>
      <c r="AP18">
        <f>VLOOKUP($I18,'[1]Table S6'!$A:$AI,34,FALSE)</f>
        <v>34.96</v>
      </c>
      <c r="AQ18" t="str">
        <f>VLOOKUP($I18,'[1]Table S6'!$A:$AI,35,FALSE)</f>
        <v>No</v>
      </c>
      <c r="AS18" t="str">
        <f>VLOOKUP($H18,'[2]Table S5'!$A:$K,8,FALSE)</f>
        <v>Resistant</v>
      </c>
      <c r="AT18" t="str">
        <f>VLOOKUP($H18,'[2]Table S5'!$A:$K,9,FALSE)</f>
        <v>Resistant</v>
      </c>
      <c r="AU18" t="str">
        <f>VLOOKUP($H18,'[2]Table S5'!$A:$K,10,FALSE)</f>
        <v>Resistant</v>
      </c>
      <c r="AV18" t="str">
        <f>VLOOKUP($H18,'[2]Table S5'!$A:$K,11,FALSE)</f>
        <v>Resistant</v>
      </c>
    </row>
    <row r="19" spans="1:48">
      <c r="A19" t="s">
        <v>139</v>
      </c>
      <c r="B19" t="s">
        <v>140</v>
      </c>
      <c r="C19" t="s">
        <v>17</v>
      </c>
      <c r="D19" t="s">
        <v>142</v>
      </c>
      <c r="E19" t="s">
        <v>143</v>
      </c>
      <c r="F19" t="s">
        <v>144</v>
      </c>
      <c r="G19" t="s">
        <v>4751</v>
      </c>
      <c r="H19" t="s">
        <v>99</v>
      </c>
      <c r="I19" t="s">
        <v>123</v>
      </c>
      <c r="J19">
        <f>VLOOKUP($I19,'[1]Table S6'!$A:$AI,2,FALSE)</f>
        <v>351.4</v>
      </c>
      <c r="K19">
        <f>VLOOKUP($I19,'[1]Table S6'!$A:$AI,3,FALSE)</f>
        <v>0.747818684826559</v>
      </c>
      <c r="L19">
        <f>VLOOKUP($I19,'[1]Table S6'!$A:$AI,4,FALSE)</f>
        <v>4.8949999999999996</v>
      </c>
      <c r="M19" t="str">
        <f>VLOOKUP($I19,'[1]Table S6'!$A:$AI,5,FALSE)</f>
        <v>No</v>
      </c>
      <c r="O19">
        <f>VLOOKUP($I19,'[1]Table S6'!$A:$AI,7,FALSE)</f>
        <v>309</v>
      </c>
      <c r="P19">
        <f>VLOOKUP($I19,'[1]Table S6'!$A:$AI,8,FALSE)</f>
        <v>0.65758672057884704</v>
      </c>
      <c r="Q19">
        <f>VLOOKUP($I19,'[1]Table S6'!$A:$AI,9,FALSE)</f>
        <v>1.0409999999999999</v>
      </c>
      <c r="R19" t="str">
        <f>VLOOKUP($I19,'[1]Table S6'!$A:$AI,10,FALSE)</f>
        <v>Yes</v>
      </c>
      <c r="T19">
        <f>VLOOKUP($I19,'[1]Table S6'!$A:$AI,12,FALSE)</f>
        <v>354.6</v>
      </c>
      <c r="U19">
        <f>VLOOKUP($I19,'[1]Table S6'!$A:$AI,13,FALSE)</f>
        <v>0.75462864439242405</v>
      </c>
      <c r="V19">
        <f>VLOOKUP($I19,'[1]Table S6'!$A:$AI,14,FALSE)</f>
        <v>6.532</v>
      </c>
      <c r="W19" t="str">
        <f>VLOOKUP($I19,'[1]Table S6'!$A:$AI,15,FALSE)</f>
        <v>No</v>
      </c>
      <c r="Y19">
        <f>VLOOKUP($I19,'[1]Table S6'!$A:$AI,17,FALSE)</f>
        <v>334</v>
      </c>
      <c r="Z19">
        <f>VLOOKUP($I19,'[1]Table S6'!$A:$AI,18,FALSE)</f>
        <v>0.71078952968716702</v>
      </c>
      <c r="AA19">
        <f>VLOOKUP($I19,'[1]Table S6'!$A:$AI,19,FALSE)</f>
        <v>3.4180000000000001</v>
      </c>
      <c r="AB19" t="str">
        <f>VLOOKUP($I19,'[1]Table S6'!$A:$AI,20,FALSE)</f>
        <v>No</v>
      </c>
      <c r="AD19">
        <f>VLOOKUP($I19,'[1]Table S6'!$A:$AI,22,FALSE)</f>
        <v>409.3</v>
      </c>
      <c r="AE19">
        <f>VLOOKUP($I19,'[1]Table S6'!$A:$AI,23,FALSE)</f>
        <v>0.87103639072143002</v>
      </c>
      <c r="AF19">
        <f>VLOOKUP($I19,'[1]Table S6'!$A:$AI,24,FALSE)</f>
        <v>55.06</v>
      </c>
      <c r="AG19" t="str">
        <f>VLOOKUP($I19,'[1]Table S6'!$A:$AI,25,FALSE)</f>
        <v>No</v>
      </c>
      <c r="AI19">
        <f>VLOOKUP($I19,'[1]Table S6'!$A:$AI,27,FALSE)</f>
        <v>404.3</v>
      </c>
      <c r="AJ19">
        <f>VLOOKUP($I19,'[1]Table S6'!$A:$AI,28,FALSE)</f>
        <v>0.86039582889976596</v>
      </c>
      <c r="AK19">
        <f>VLOOKUP($I19,'[1]Table S6'!$A:$AI,29,FALSE)</f>
        <v>44.13</v>
      </c>
      <c r="AL19" t="str">
        <f>VLOOKUP($I19,'[1]Table S6'!$A:$AI,30,FALSE)</f>
        <v>No</v>
      </c>
      <c r="AN19">
        <f>VLOOKUP($I19,'[1]Table S6'!$A:$AI,32,FALSE)</f>
        <v>415</v>
      </c>
      <c r="AO19">
        <f>VLOOKUP($I19,'[1]Table S6'!$A:$AI,33,FALSE)</f>
        <v>0.88316663119812699</v>
      </c>
      <c r="AP19">
        <f>VLOOKUP($I19,'[1]Table S6'!$A:$AI,34,FALSE)</f>
        <v>61.82</v>
      </c>
      <c r="AQ19" t="str">
        <f>VLOOKUP($I19,'[1]Table S6'!$A:$AI,35,FALSE)</f>
        <v>No</v>
      </c>
      <c r="AS19" t="str">
        <f>VLOOKUP($H19,'[2]Table S5'!$A:$K,8,FALSE)</f>
        <v>Resistant</v>
      </c>
      <c r="AT19" t="str">
        <f>VLOOKUP($H19,'[2]Table S5'!$A:$K,9,FALSE)</f>
        <v>Resistant</v>
      </c>
      <c r="AU19" t="str">
        <f>VLOOKUP($H19,'[2]Table S5'!$A:$K,10,FALSE)</f>
        <v>Resistant</v>
      </c>
      <c r="AV19" t="str">
        <f>VLOOKUP($H19,'[2]Table S5'!$A:$K,11,FALSE)</f>
        <v>Resistant</v>
      </c>
    </row>
    <row r="20" spans="1:48">
      <c r="A20" t="s">
        <v>146</v>
      </c>
      <c r="B20" t="s">
        <v>147</v>
      </c>
      <c r="C20" t="s">
        <v>17</v>
      </c>
      <c r="D20" t="s">
        <v>149</v>
      </c>
      <c r="E20" t="s">
        <v>150</v>
      </c>
      <c r="F20" t="s">
        <v>151</v>
      </c>
      <c r="G20" t="s">
        <v>4750</v>
      </c>
      <c r="H20" t="s">
        <v>152</v>
      </c>
      <c r="I20" t="s">
        <v>153</v>
      </c>
      <c r="J20">
        <f>VLOOKUP($I20,'[1]Table S6'!$A:$AI,2,FALSE)</f>
        <v>357.9</v>
      </c>
      <c r="K20">
        <f>VLOOKUP($I20,'[1]Table S6'!$A:$AI,3,FALSE)</f>
        <v>0.76165141519472201</v>
      </c>
      <c r="L20">
        <f>VLOOKUP($I20,'[1]Table S6'!$A:$AI,4,FALSE)</f>
        <v>9.0809999999999995</v>
      </c>
      <c r="M20" t="str">
        <f>VLOOKUP($I20,'[1]Table S6'!$A:$AI,5,FALSE)</f>
        <v>No</v>
      </c>
      <c r="O20">
        <f>VLOOKUP($I20,'[1]Table S6'!$A:$AI,7,FALSE)</f>
        <v>317.3</v>
      </c>
      <c r="P20">
        <f>VLOOKUP($I20,'[1]Table S6'!$A:$AI,8,FALSE)</f>
        <v>0.67525005320280895</v>
      </c>
      <c r="Q20">
        <f>VLOOKUP($I20,'[1]Table S6'!$A:$AI,9,FALSE)</f>
        <v>1.5469999999999999</v>
      </c>
      <c r="R20" t="str">
        <f>VLOOKUP($I20,'[1]Table S6'!$A:$AI,10,FALSE)</f>
        <v>Yes</v>
      </c>
      <c r="T20">
        <f>VLOOKUP($I20,'[1]Table S6'!$A:$AI,12,FALSE)</f>
        <v>339.2</v>
      </c>
      <c r="U20">
        <f>VLOOKUP($I20,'[1]Table S6'!$A:$AI,13,FALSE)</f>
        <v>0.72185571398169801</v>
      </c>
      <c r="V20">
        <f>VLOOKUP($I20,'[1]Table S6'!$A:$AI,14,FALSE)</f>
        <v>4.9660000000000002</v>
      </c>
      <c r="W20" t="str">
        <f>VLOOKUP($I20,'[1]Table S6'!$A:$AI,15,FALSE)</f>
        <v>No</v>
      </c>
      <c r="Y20">
        <f>VLOOKUP($I20,'[1]Table S6'!$A:$AI,17,FALSE)</f>
        <v>331.9</v>
      </c>
      <c r="Z20">
        <f>VLOOKUP($I20,'[1]Table S6'!$A:$AI,18,FALSE)</f>
        <v>0.70632049372206895</v>
      </c>
      <c r="AA20">
        <f>VLOOKUP($I20,'[1]Table S6'!$A:$AI,19,FALSE)</f>
        <v>3.2690000000000001</v>
      </c>
      <c r="AB20" t="str">
        <f>VLOOKUP($I20,'[1]Table S6'!$A:$AI,20,FALSE)</f>
        <v>No</v>
      </c>
      <c r="AD20">
        <f>VLOOKUP($I20,'[1]Table S6'!$A:$AI,22,FALSE)</f>
        <v>348.8</v>
      </c>
      <c r="AE20">
        <f>VLOOKUP($I20,'[1]Table S6'!$A:$AI,23,FALSE)</f>
        <v>0.74228559267929395</v>
      </c>
      <c r="AF20">
        <f>VLOOKUP($I20,'[1]Table S6'!$A:$AI,24,FALSE)</f>
        <v>5.93</v>
      </c>
      <c r="AG20" t="str">
        <f>VLOOKUP($I20,'[1]Table S6'!$A:$AI,25,FALSE)</f>
        <v>No</v>
      </c>
      <c r="AI20">
        <f>VLOOKUP($I20,'[1]Table S6'!$A:$AI,27,FALSE)</f>
        <v>379.3</v>
      </c>
      <c r="AJ20">
        <f>VLOOKUP($I20,'[1]Table S6'!$A:$AI,28,FALSE)</f>
        <v>0.80719301979144498</v>
      </c>
      <c r="AK20">
        <f>VLOOKUP($I20,'[1]Table S6'!$A:$AI,29,FALSE)</f>
        <v>10.199999999999999</v>
      </c>
      <c r="AL20" t="str">
        <f>VLOOKUP($I20,'[1]Table S6'!$A:$AI,30,FALSE)</f>
        <v>No</v>
      </c>
      <c r="AN20">
        <f>VLOOKUP($I20,'[1]Table S6'!$A:$AI,32,FALSE)</f>
        <v>351.4</v>
      </c>
      <c r="AO20">
        <f>VLOOKUP($I20,'[1]Table S6'!$A:$AI,33,FALSE)</f>
        <v>0.747818684826559</v>
      </c>
      <c r="AP20">
        <f>VLOOKUP($I20,'[1]Table S6'!$A:$AI,34,FALSE)</f>
        <v>5.8410000000000002</v>
      </c>
      <c r="AQ20" t="str">
        <f>VLOOKUP($I20,'[1]Table S6'!$A:$AI,35,FALSE)</f>
        <v>No</v>
      </c>
      <c r="AS20" t="str">
        <f>VLOOKUP($H20,'[2]Table S5'!$A:$K,8,FALSE)</f>
        <v>Resistant</v>
      </c>
      <c r="AT20" t="str">
        <f>VLOOKUP($H20,'[2]Table S5'!$A:$K,9,FALSE)</f>
        <v>Sensitive</v>
      </c>
      <c r="AU20" t="str">
        <f>VLOOKUP($H20,'[2]Table S5'!$A:$K,10,FALSE)</f>
        <v>Resistant</v>
      </c>
      <c r="AV20" t="str">
        <f>VLOOKUP($H20,'[2]Table S5'!$A:$K,11,FALSE)</f>
        <v>Resistant</v>
      </c>
    </row>
    <row r="21" spans="1:48">
      <c r="A21" t="s">
        <v>155</v>
      </c>
      <c r="B21" t="s">
        <v>156</v>
      </c>
      <c r="C21" t="s">
        <v>17</v>
      </c>
      <c r="D21" t="s">
        <v>158</v>
      </c>
      <c r="E21" t="s">
        <v>159</v>
      </c>
      <c r="F21" t="s">
        <v>160</v>
      </c>
      <c r="G21" t="s">
        <v>4750</v>
      </c>
      <c r="H21" t="s">
        <v>152</v>
      </c>
      <c r="I21" t="s">
        <v>161</v>
      </c>
      <c r="J21">
        <f>VLOOKUP($I21,'[1]Table S6'!$A:$AI,2,FALSE)</f>
        <v>296.7</v>
      </c>
      <c r="K21">
        <f>VLOOKUP($I21,'[1]Table S6'!$A:$AI,3,FALSE)</f>
        <v>0.63141093849755303</v>
      </c>
      <c r="L21">
        <f>VLOOKUP($I21,'[1]Table S6'!$A:$AI,4,FALSE)</f>
        <v>0.85029999999999994</v>
      </c>
      <c r="M21" t="str">
        <f>VLOOKUP($I21,'[1]Table S6'!$A:$AI,5,FALSE)</f>
        <v>Yes</v>
      </c>
      <c r="O21">
        <f>VLOOKUP($I21,'[1]Table S6'!$A:$AI,7,FALSE)</f>
        <v>292</v>
      </c>
      <c r="P21">
        <f>VLOOKUP($I21,'[1]Table S6'!$A:$AI,8,FALSE)</f>
        <v>0.62140881038518803</v>
      </c>
      <c r="Q21">
        <f>VLOOKUP($I21,'[1]Table S6'!$A:$AI,9,FALSE)</f>
        <v>0.92649999999999999</v>
      </c>
      <c r="R21" t="str">
        <f>VLOOKUP($I21,'[1]Table S6'!$A:$AI,10,FALSE)</f>
        <v>Yes</v>
      </c>
      <c r="T21">
        <f>VLOOKUP($I21,'[1]Table S6'!$A:$AI,12,FALSE)</f>
        <v>366</v>
      </c>
      <c r="U21">
        <f>VLOOKUP($I21,'[1]Table S6'!$A:$AI,13,FALSE)</f>
        <v>0.778889125345818</v>
      </c>
      <c r="V21">
        <f>VLOOKUP($I21,'[1]Table S6'!$A:$AI,14,FALSE)</f>
        <v>9.6910000000000007</v>
      </c>
      <c r="W21" t="str">
        <f>VLOOKUP($I21,'[1]Table S6'!$A:$AI,15,FALSE)</f>
        <v>No</v>
      </c>
      <c r="Y21">
        <f>VLOOKUP($I21,'[1]Table S6'!$A:$AI,17,FALSE)</f>
        <v>305.5</v>
      </c>
      <c r="Z21">
        <f>VLOOKUP($I21,'[1]Table S6'!$A:$AI,18,FALSE)</f>
        <v>0.65013832730368204</v>
      </c>
      <c r="AA21">
        <f>VLOOKUP($I21,'[1]Table S6'!$A:$AI,19,FALSE)</f>
        <v>1.444</v>
      </c>
      <c r="AB21" t="str">
        <f>VLOOKUP($I21,'[1]Table S6'!$A:$AI,20,FALSE)</f>
        <v>Yes</v>
      </c>
      <c r="AD21">
        <f>VLOOKUP($I21,'[1]Table S6'!$A:$AI,22,FALSE)</f>
        <v>337.3</v>
      </c>
      <c r="AE21">
        <f>VLOOKUP($I21,'[1]Table S6'!$A:$AI,23,FALSE)</f>
        <v>0.71781230048946598</v>
      </c>
      <c r="AF21">
        <f>VLOOKUP($I21,'[1]Table S6'!$A:$AI,24,FALSE)</f>
        <v>2.395</v>
      </c>
      <c r="AG21" t="str">
        <f>VLOOKUP($I21,'[1]Table S6'!$A:$AI,25,FALSE)</f>
        <v>No</v>
      </c>
      <c r="AI21">
        <f>VLOOKUP($I21,'[1]Table S6'!$A:$AI,27,FALSE)</f>
        <v>452</v>
      </c>
      <c r="AJ21">
        <f>VLOOKUP($I21,'[1]Table S6'!$A:$AI,28,FALSE)</f>
        <v>0.96190678867844204</v>
      </c>
      <c r="AK21">
        <f>VLOOKUP($I21,'[1]Table S6'!$A:$AI,29,FALSE)</f>
        <v>150.80000000000001</v>
      </c>
      <c r="AL21" t="str">
        <f>VLOOKUP($I21,'[1]Table S6'!$A:$AI,30,FALSE)</f>
        <v>No</v>
      </c>
      <c r="AN21">
        <f>VLOOKUP($I21,'[1]Table S6'!$A:$AI,32,FALSE)</f>
        <v>364.1</v>
      </c>
      <c r="AO21">
        <f>VLOOKUP($I21,'[1]Table S6'!$A:$AI,33,FALSE)</f>
        <v>0.77484571185358597</v>
      </c>
      <c r="AP21">
        <f>VLOOKUP($I21,'[1]Table S6'!$A:$AI,34,FALSE)</f>
        <v>7.8339999999999996</v>
      </c>
      <c r="AQ21" t="str">
        <f>VLOOKUP($I21,'[1]Table S6'!$A:$AI,35,FALSE)</f>
        <v>No</v>
      </c>
      <c r="AS21" t="str">
        <f>VLOOKUP($H21,'[2]Table S5'!$A:$K,8,FALSE)</f>
        <v>Resistant</v>
      </c>
      <c r="AT21" t="str">
        <f>VLOOKUP($H21,'[2]Table S5'!$A:$K,9,FALSE)</f>
        <v>Sensitive</v>
      </c>
      <c r="AU21" t="str">
        <f>VLOOKUP($H21,'[2]Table S5'!$A:$K,10,FALSE)</f>
        <v>Resistant</v>
      </c>
      <c r="AV21" t="str">
        <f>VLOOKUP($H21,'[2]Table S5'!$A:$K,11,FALSE)</f>
        <v>Resistant</v>
      </c>
    </row>
    <row r="22" spans="1:48">
      <c r="A22" t="s">
        <v>163</v>
      </c>
      <c r="B22" t="s">
        <v>164</v>
      </c>
      <c r="C22" t="s">
        <v>17</v>
      </c>
      <c r="D22" t="s">
        <v>166</v>
      </c>
      <c r="E22" t="s">
        <v>167</v>
      </c>
      <c r="F22" t="s">
        <v>168</v>
      </c>
      <c r="G22" t="s">
        <v>4751</v>
      </c>
      <c r="H22" t="s">
        <v>152</v>
      </c>
      <c r="I22" t="s">
        <v>153</v>
      </c>
      <c r="J22">
        <f>VLOOKUP($I22,'[1]Table S6'!$A:$AI,2,FALSE)</f>
        <v>357.9</v>
      </c>
      <c r="K22">
        <f>VLOOKUP($I22,'[1]Table S6'!$A:$AI,3,FALSE)</f>
        <v>0.76165141519472201</v>
      </c>
      <c r="L22">
        <f>VLOOKUP($I22,'[1]Table S6'!$A:$AI,4,FALSE)</f>
        <v>9.0809999999999995</v>
      </c>
      <c r="M22" t="str">
        <f>VLOOKUP($I22,'[1]Table S6'!$A:$AI,5,FALSE)</f>
        <v>No</v>
      </c>
      <c r="O22">
        <f>VLOOKUP($I22,'[1]Table S6'!$A:$AI,7,FALSE)</f>
        <v>317.3</v>
      </c>
      <c r="P22">
        <f>VLOOKUP($I22,'[1]Table S6'!$A:$AI,8,FALSE)</f>
        <v>0.67525005320280895</v>
      </c>
      <c r="Q22">
        <f>VLOOKUP($I22,'[1]Table S6'!$A:$AI,9,FALSE)</f>
        <v>1.5469999999999999</v>
      </c>
      <c r="R22" t="str">
        <f>VLOOKUP($I22,'[1]Table S6'!$A:$AI,10,FALSE)</f>
        <v>Yes</v>
      </c>
      <c r="T22">
        <f>VLOOKUP($I22,'[1]Table S6'!$A:$AI,12,FALSE)</f>
        <v>339.2</v>
      </c>
      <c r="U22">
        <f>VLOOKUP($I22,'[1]Table S6'!$A:$AI,13,FALSE)</f>
        <v>0.72185571398169801</v>
      </c>
      <c r="V22">
        <f>VLOOKUP($I22,'[1]Table S6'!$A:$AI,14,FALSE)</f>
        <v>4.9660000000000002</v>
      </c>
      <c r="W22" t="str">
        <f>VLOOKUP($I22,'[1]Table S6'!$A:$AI,15,FALSE)</f>
        <v>No</v>
      </c>
      <c r="Y22">
        <f>VLOOKUP($I22,'[1]Table S6'!$A:$AI,17,FALSE)</f>
        <v>331.9</v>
      </c>
      <c r="Z22">
        <f>VLOOKUP($I22,'[1]Table S6'!$A:$AI,18,FALSE)</f>
        <v>0.70632049372206895</v>
      </c>
      <c r="AA22">
        <f>VLOOKUP($I22,'[1]Table S6'!$A:$AI,19,FALSE)</f>
        <v>3.2690000000000001</v>
      </c>
      <c r="AB22" t="str">
        <f>VLOOKUP($I22,'[1]Table S6'!$A:$AI,20,FALSE)</f>
        <v>No</v>
      </c>
      <c r="AD22">
        <f>VLOOKUP($I22,'[1]Table S6'!$A:$AI,22,FALSE)</f>
        <v>348.8</v>
      </c>
      <c r="AE22">
        <f>VLOOKUP($I22,'[1]Table S6'!$A:$AI,23,FALSE)</f>
        <v>0.74228559267929395</v>
      </c>
      <c r="AF22">
        <f>VLOOKUP($I22,'[1]Table S6'!$A:$AI,24,FALSE)</f>
        <v>5.93</v>
      </c>
      <c r="AG22" t="str">
        <f>VLOOKUP($I22,'[1]Table S6'!$A:$AI,25,FALSE)</f>
        <v>No</v>
      </c>
      <c r="AI22">
        <f>VLOOKUP($I22,'[1]Table S6'!$A:$AI,27,FALSE)</f>
        <v>379.3</v>
      </c>
      <c r="AJ22">
        <f>VLOOKUP($I22,'[1]Table S6'!$A:$AI,28,FALSE)</f>
        <v>0.80719301979144498</v>
      </c>
      <c r="AK22">
        <f>VLOOKUP($I22,'[1]Table S6'!$A:$AI,29,FALSE)</f>
        <v>10.199999999999999</v>
      </c>
      <c r="AL22" t="str">
        <f>VLOOKUP($I22,'[1]Table S6'!$A:$AI,30,FALSE)</f>
        <v>No</v>
      </c>
      <c r="AN22">
        <f>VLOOKUP($I22,'[1]Table S6'!$A:$AI,32,FALSE)</f>
        <v>351.4</v>
      </c>
      <c r="AO22">
        <f>VLOOKUP($I22,'[1]Table S6'!$A:$AI,33,FALSE)</f>
        <v>0.747818684826559</v>
      </c>
      <c r="AP22">
        <f>VLOOKUP($I22,'[1]Table S6'!$A:$AI,34,FALSE)</f>
        <v>5.8410000000000002</v>
      </c>
      <c r="AQ22" t="str">
        <f>VLOOKUP($I22,'[1]Table S6'!$A:$AI,35,FALSE)</f>
        <v>No</v>
      </c>
      <c r="AS22" t="str">
        <f>VLOOKUP($H22,'[2]Table S5'!$A:$K,8,FALSE)</f>
        <v>Resistant</v>
      </c>
      <c r="AT22" t="str">
        <f>VLOOKUP($H22,'[2]Table S5'!$A:$K,9,FALSE)</f>
        <v>Sensitive</v>
      </c>
      <c r="AU22" t="str">
        <f>VLOOKUP($H22,'[2]Table S5'!$A:$K,10,FALSE)</f>
        <v>Resistant</v>
      </c>
      <c r="AV22" t="str">
        <f>VLOOKUP($H22,'[2]Table S5'!$A:$K,11,FALSE)</f>
        <v>Resistant</v>
      </c>
    </row>
    <row r="23" spans="1:48">
      <c r="A23" t="s">
        <v>170</v>
      </c>
      <c r="B23" t="s">
        <v>171</v>
      </c>
      <c r="C23" t="s">
        <v>17</v>
      </c>
      <c r="D23" t="s">
        <v>173</v>
      </c>
      <c r="E23" t="s">
        <v>174</v>
      </c>
      <c r="F23" t="s">
        <v>175</v>
      </c>
      <c r="G23" t="s">
        <v>4751</v>
      </c>
      <c r="H23" t="s">
        <v>152</v>
      </c>
      <c r="I23" t="s">
        <v>161</v>
      </c>
      <c r="J23">
        <f>VLOOKUP($I23,'[1]Table S6'!$A:$AI,2,FALSE)</f>
        <v>296.7</v>
      </c>
      <c r="K23">
        <f>VLOOKUP($I23,'[1]Table S6'!$A:$AI,3,FALSE)</f>
        <v>0.63141093849755303</v>
      </c>
      <c r="L23">
        <f>VLOOKUP($I23,'[1]Table S6'!$A:$AI,4,FALSE)</f>
        <v>0.85029999999999994</v>
      </c>
      <c r="M23" t="str">
        <f>VLOOKUP($I23,'[1]Table S6'!$A:$AI,5,FALSE)</f>
        <v>Yes</v>
      </c>
      <c r="O23">
        <f>VLOOKUP($I23,'[1]Table S6'!$A:$AI,7,FALSE)</f>
        <v>292</v>
      </c>
      <c r="P23">
        <f>VLOOKUP($I23,'[1]Table S6'!$A:$AI,8,FALSE)</f>
        <v>0.62140881038518803</v>
      </c>
      <c r="Q23">
        <f>VLOOKUP($I23,'[1]Table S6'!$A:$AI,9,FALSE)</f>
        <v>0.92649999999999999</v>
      </c>
      <c r="R23" t="str">
        <f>VLOOKUP($I23,'[1]Table S6'!$A:$AI,10,FALSE)</f>
        <v>Yes</v>
      </c>
      <c r="T23">
        <f>VLOOKUP($I23,'[1]Table S6'!$A:$AI,12,FALSE)</f>
        <v>366</v>
      </c>
      <c r="U23">
        <f>VLOOKUP($I23,'[1]Table S6'!$A:$AI,13,FALSE)</f>
        <v>0.778889125345818</v>
      </c>
      <c r="V23">
        <f>VLOOKUP($I23,'[1]Table S6'!$A:$AI,14,FALSE)</f>
        <v>9.6910000000000007</v>
      </c>
      <c r="W23" t="str">
        <f>VLOOKUP($I23,'[1]Table S6'!$A:$AI,15,FALSE)</f>
        <v>No</v>
      </c>
      <c r="Y23">
        <f>VLOOKUP($I23,'[1]Table S6'!$A:$AI,17,FALSE)</f>
        <v>305.5</v>
      </c>
      <c r="Z23">
        <f>VLOOKUP($I23,'[1]Table S6'!$A:$AI,18,FALSE)</f>
        <v>0.65013832730368204</v>
      </c>
      <c r="AA23">
        <f>VLOOKUP($I23,'[1]Table S6'!$A:$AI,19,FALSE)</f>
        <v>1.444</v>
      </c>
      <c r="AB23" t="str">
        <f>VLOOKUP($I23,'[1]Table S6'!$A:$AI,20,FALSE)</f>
        <v>Yes</v>
      </c>
      <c r="AD23">
        <f>VLOOKUP($I23,'[1]Table S6'!$A:$AI,22,FALSE)</f>
        <v>337.3</v>
      </c>
      <c r="AE23">
        <f>VLOOKUP($I23,'[1]Table S6'!$A:$AI,23,FALSE)</f>
        <v>0.71781230048946598</v>
      </c>
      <c r="AF23">
        <f>VLOOKUP($I23,'[1]Table S6'!$A:$AI,24,FALSE)</f>
        <v>2.395</v>
      </c>
      <c r="AG23" t="str">
        <f>VLOOKUP($I23,'[1]Table S6'!$A:$AI,25,FALSE)</f>
        <v>No</v>
      </c>
      <c r="AI23">
        <f>VLOOKUP($I23,'[1]Table S6'!$A:$AI,27,FALSE)</f>
        <v>452</v>
      </c>
      <c r="AJ23">
        <f>VLOOKUP($I23,'[1]Table S6'!$A:$AI,28,FALSE)</f>
        <v>0.96190678867844204</v>
      </c>
      <c r="AK23">
        <f>VLOOKUP($I23,'[1]Table S6'!$A:$AI,29,FALSE)</f>
        <v>150.80000000000001</v>
      </c>
      <c r="AL23" t="str">
        <f>VLOOKUP($I23,'[1]Table S6'!$A:$AI,30,FALSE)</f>
        <v>No</v>
      </c>
      <c r="AN23">
        <f>VLOOKUP($I23,'[1]Table S6'!$A:$AI,32,FALSE)</f>
        <v>364.1</v>
      </c>
      <c r="AO23">
        <f>VLOOKUP($I23,'[1]Table S6'!$A:$AI,33,FALSE)</f>
        <v>0.77484571185358597</v>
      </c>
      <c r="AP23">
        <f>VLOOKUP($I23,'[1]Table S6'!$A:$AI,34,FALSE)</f>
        <v>7.8339999999999996</v>
      </c>
      <c r="AQ23" t="str">
        <f>VLOOKUP($I23,'[1]Table S6'!$A:$AI,35,FALSE)</f>
        <v>No</v>
      </c>
      <c r="AS23" t="str">
        <f>VLOOKUP($H23,'[2]Table S5'!$A:$K,8,FALSE)</f>
        <v>Resistant</v>
      </c>
      <c r="AT23" t="str">
        <f>VLOOKUP($H23,'[2]Table S5'!$A:$K,9,FALSE)</f>
        <v>Sensitive</v>
      </c>
      <c r="AU23" t="str">
        <f>VLOOKUP($H23,'[2]Table S5'!$A:$K,10,FALSE)</f>
        <v>Resistant</v>
      </c>
      <c r="AV23" t="str">
        <f>VLOOKUP($H23,'[2]Table S5'!$A:$K,11,FALSE)</f>
        <v>Resistant</v>
      </c>
    </row>
    <row r="24" spans="1:48">
      <c r="A24" t="s">
        <v>177</v>
      </c>
      <c r="B24" t="s">
        <v>178</v>
      </c>
      <c r="C24" t="s">
        <v>17</v>
      </c>
      <c r="D24" t="s">
        <v>180</v>
      </c>
      <c r="E24" t="s">
        <v>181</v>
      </c>
      <c r="F24" t="s">
        <v>182</v>
      </c>
      <c r="G24" t="s">
        <v>4757</v>
      </c>
      <c r="H24" t="s">
        <v>152</v>
      </c>
      <c r="I24" t="s">
        <v>152</v>
      </c>
      <c r="J24" t="e">
        <f>VLOOKUP($I24,'[1]Table S6'!$A:$AI,2,FALSE)</f>
        <v>#N/A</v>
      </c>
      <c r="K24" t="e">
        <f>VLOOKUP($I24,'[1]Table S6'!$A:$AI,3,FALSE)</f>
        <v>#N/A</v>
      </c>
      <c r="L24" t="e">
        <f>VLOOKUP($I24,'[1]Table S6'!$A:$AI,4,FALSE)</f>
        <v>#N/A</v>
      </c>
      <c r="M24" t="e">
        <f>VLOOKUP($I24,'[1]Table S6'!$A:$AI,5,FALSE)</f>
        <v>#N/A</v>
      </c>
      <c r="O24" t="e">
        <f>VLOOKUP($I24,'[1]Table S6'!$A:$AI,7,FALSE)</f>
        <v>#N/A</v>
      </c>
      <c r="P24" t="e">
        <f>VLOOKUP($I24,'[1]Table S6'!$A:$AI,8,FALSE)</f>
        <v>#N/A</v>
      </c>
      <c r="Q24" t="e">
        <f>VLOOKUP($I24,'[1]Table S6'!$A:$AI,9,FALSE)</f>
        <v>#N/A</v>
      </c>
      <c r="R24" t="e">
        <f>VLOOKUP($I24,'[1]Table S6'!$A:$AI,10,FALSE)</f>
        <v>#N/A</v>
      </c>
      <c r="T24" t="e">
        <f>VLOOKUP($I24,'[1]Table S6'!$A:$AI,12,FALSE)</f>
        <v>#N/A</v>
      </c>
      <c r="U24" t="e">
        <f>VLOOKUP($I24,'[1]Table S6'!$A:$AI,13,FALSE)</f>
        <v>#N/A</v>
      </c>
      <c r="V24" t="e">
        <f>VLOOKUP($I24,'[1]Table S6'!$A:$AI,14,FALSE)</f>
        <v>#N/A</v>
      </c>
      <c r="W24" t="e">
        <f>VLOOKUP($I24,'[1]Table S6'!$A:$AI,15,FALSE)</f>
        <v>#N/A</v>
      </c>
      <c r="Y24" t="e">
        <f>VLOOKUP($I24,'[1]Table S6'!$A:$AI,17,FALSE)</f>
        <v>#N/A</v>
      </c>
      <c r="Z24" t="e">
        <f>VLOOKUP($I24,'[1]Table S6'!$A:$AI,18,FALSE)</f>
        <v>#N/A</v>
      </c>
      <c r="AA24" t="e">
        <f>VLOOKUP($I24,'[1]Table S6'!$A:$AI,19,FALSE)</f>
        <v>#N/A</v>
      </c>
      <c r="AB24" t="e">
        <f>VLOOKUP($I24,'[1]Table S6'!$A:$AI,20,FALSE)</f>
        <v>#N/A</v>
      </c>
      <c r="AD24" t="e">
        <f>VLOOKUP($I24,'[1]Table S6'!$A:$AI,22,FALSE)</f>
        <v>#N/A</v>
      </c>
      <c r="AE24" t="e">
        <f>VLOOKUP($I24,'[1]Table S6'!$A:$AI,23,FALSE)</f>
        <v>#N/A</v>
      </c>
      <c r="AF24" t="e">
        <f>VLOOKUP($I24,'[1]Table S6'!$A:$AI,24,FALSE)</f>
        <v>#N/A</v>
      </c>
      <c r="AG24" t="e">
        <f>VLOOKUP($I24,'[1]Table S6'!$A:$AI,25,FALSE)</f>
        <v>#N/A</v>
      </c>
      <c r="AI24" t="e">
        <f>VLOOKUP($I24,'[1]Table S6'!$A:$AI,27,FALSE)</f>
        <v>#N/A</v>
      </c>
      <c r="AJ24" t="e">
        <f>VLOOKUP($I24,'[1]Table S6'!$A:$AI,28,FALSE)</f>
        <v>#N/A</v>
      </c>
      <c r="AK24" t="e">
        <f>VLOOKUP($I24,'[1]Table S6'!$A:$AI,29,FALSE)</f>
        <v>#N/A</v>
      </c>
      <c r="AL24" t="e">
        <f>VLOOKUP($I24,'[1]Table S6'!$A:$AI,30,FALSE)</f>
        <v>#N/A</v>
      </c>
      <c r="AN24" t="e">
        <f>VLOOKUP($I24,'[1]Table S6'!$A:$AI,32,FALSE)</f>
        <v>#N/A</v>
      </c>
      <c r="AO24" t="e">
        <f>VLOOKUP($I24,'[1]Table S6'!$A:$AI,33,FALSE)</f>
        <v>#N/A</v>
      </c>
      <c r="AP24" t="e">
        <f>VLOOKUP($I24,'[1]Table S6'!$A:$AI,34,FALSE)</f>
        <v>#N/A</v>
      </c>
      <c r="AQ24" t="e">
        <f>VLOOKUP($I24,'[1]Table S6'!$A:$AI,35,FALSE)</f>
        <v>#N/A</v>
      </c>
      <c r="AS24" t="str">
        <f>VLOOKUP($H24,'[2]Table S5'!$A:$K,8,FALSE)</f>
        <v>Resistant</v>
      </c>
      <c r="AT24" t="str">
        <f>VLOOKUP($H24,'[2]Table S5'!$A:$K,9,FALSE)</f>
        <v>Sensitive</v>
      </c>
      <c r="AU24" t="str">
        <f>VLOOKUP($H24,'[2]Table S5'!$A:$K,10,FALSE)</f>
        <v>Resistant</v>
      </c>
      <c r="AV24" t="str">
        <f>VLOOKUP($H24,'[2]Table S5'!$A:$K,11,FALSE)</f>
        <v>Resistant</v>
      </c>
    </row>
    <row r="25" spans="1:48">
      <c r="A25" t="s">
        <v>184</v>
      </c>
      <c r="B25" t="s">
        <v>185</v>
      </c>
      <c r="C25" t="s">
        <v>17</v>
      </c>
      <c r="D25" t="s">
        <v>187</v>
      </c>
      <c r="E25" t="s">
        <v>188</v>
      </c>
      <c r="F25" t="s">
        <v>189</v>
      </c>
      <c r="G25" t="s">
        <v>4758</v>
      </c>
      <c r="H25" t="s">
        <v>190</v>
      </c>
      <c r="I25" t="s">
        <v>190</v>
      </c>
      <c r="J25" t="e">
        <f>VLOOKUP($I25,'[1]Table S6'!$A:$AI,2,FALSE)</f>
        <v>#N/A</v>
      </c>
      <c r="K25" t="e">
        <f>VLOOKUP($I25,'[1]Table S6'!$A:$AI,3,FALSE)</f>
        <v>#N/A</v>
      </c>
      <c r="L25" t="e">
        <f>VLOOKUP($I25,'[1]Table S6'!$A:$AI,4,FALSE)</f>
        <v>#N/A</v>
      </c>
      <c r="M25" t="e">
        <f>VLOOKUP($I25,'[1]Table S6'!$A:$AI,5,FALSE)</f>
        <v>#N/A</v>
      </c>
      <c r="O25" t="e">
        <f>VLOOKUP($I25,'[1]Table S6'!$A:$AI,7,FALSE)</f>
        <v>#N/A</v>
      </c>
      <c r="P25" t="e">
        <f>VLOOKUP($I25,'[1]Table S6'!$A:$AI,8,FALSE)</f>
        <v>#N/A</v>
      </c>
      <c r="Q25" t="e">
        <f>VLOOKUP($I25,'[1]Table S6'!$A:$AI,9,FALSE)</f>
        <v>#N/A</v>
      </c>
      <c r="R25" t="e">
        <f>VLOOKUP($I25,'[1]Table S6'!$A:$AI,10,FALSE)</f>
        <v>#N/A</v>
      </c>
      <c r="T25" t="e">
        <f>VLOOKUP($I25,'[1]Table S6'!$A:$AI,12,FALSE)</f>
        <v>#N/A</v>
      </c>
      <c r="U25" t="e">
        <f>VLOOKUP($I25,'[1]Table S6'!$A:$AI,13,FALSE)</f>
        <v>#N/A</v>
      </c>
      <c r="V25" t="e">
        <f>VLOOKUP($I25,'[1]Table S6'!$A:$AI,14,FALSE)</f>
        <v>#N/A</v>
      </c>
      <c r="W25" t="e">
        <f>VLOOKUP($I25,'[1]Table S6'!$A:$AI,15,FALSE)</f>
        <v>#N/A</v>
      </c>
      <c r="Y25" t="e">
        <f>VLOOKUP($I25,'[1]Table S6'!$A:$AI,17,FALSE)</f>
        <v>#N/A</v>
      </c>
      <c r="Z25" t="e">
        <f>VLOOKUP($I25,'[1]Table S6'!$A:$AI,18,FALSE)</f>
        <v>#N/A</v>
      </c>
      <c r="AA25" t="e">
        <f>VLOOKUP($I25,'[1]Table S6'!$A:$AI,19,FALSE)</f>
        <v>#N/A</v>
      </c>
      <c r="AB25" t="e">
        <f>VLOOKUP($I25,'[1]Table S6'!$A:$AI,20,FALSE)</f>
        <v>#N/A</v>
      </c>
      <c r="AD25" t="e">
        <f>VLOOKUP($I25,'[1]Table S6'!$A:$AI,22,FALSE)</f>
        <v>#N/A</v>
      </c>
      <c r="AE25" t="e">
        <f>VLOOKUP($I25,'[1]Table S6'!$A:$AI,23,FALSE)</f>
        <v>#N/A</v>
      </c>
      <c r="AF25" t="e">
        <f>VLOOKUP($I25,'[1]Table S6'!$A:$AI,24,FALSE)</f>
        <v>#N/A</v>
      </c>
      <c r="AG25" t="e">
        <f>VLOOKUP($I25,'[1]Table S6'!$A:$AI,25,FALSE)</f>
        <v>#N/A</v>
      </c>
      <c r="AI25" t="e">
        <f>VLOOKUP($I25,'[1]Table S6'!$A:$AI,27,FALSE)</f>
        <v>#N/A</v>
      </c>
      <c r="AJ25" t="e">
        <f>VLOOKUP($I25,'[1]Table S6'!$A:$AI,28,FALSE)</f>
        <v>#N/A</v>
      </c>
      <c r="AK25" t="e">
        <f>VLOOKUP($I25,'[1]Table S6'!$A:$AI,29,FALSE)</f>
        <v>#N/A</v>
      </c>
      <c r="AL25" t="e">
        <f>VLOOKUP($I25,'[1]Table S6'!$A:$AI,30,FALSE)</f>
        <v>#N/A</v>
      </c>
      <c r="AN25" t="e">
        <f>VLOOKUP($I25,'[1]Table S6'!$A:$AI,32,FALSE)</f>
        <v>#N/A</v>
      </c>
      <c r="AO25" t="e">
        <f>VLOOKUP($I25,'[1]Table S6'!$A:$AI,33,FALSE)</f>
        <v>#N/A</v>
      </c>
      <c r="AP25" t="e">
        <f>VLOOKUP($I25,'[1]Table S6'!$A:$AI,34,FALSE)</f>
        <v>#N/A</v>
      </c>
      <c r="AQ25" t="e">
        <f>VLOOKUP($I25,'[1]Table S6'!$A:$AI,35,FALSE)</f>
        <v>#N/A</v>
      </c>
      <c r="AS25" t="str">
        <f>VLOOKUP($H25,'[2]Table S5'!$A:$K,8,FALSE)</f>
        <v>Resistant</v>
      </c>
      <c r="AT25" t="str">
        <f>VLOOKUP($H25,'[2]Table S5'!$A:$K,9,FALSE)</f>
        <v>Resistant</v>
      </c>
      <c r="AU25" t="str">
        <f>VLOOKUP($H25,'[2]Table S5'!$A:$K,10,FALSE)</f>
        <v>Resistant</v>
      </c>
      <c r="AV25" t="str">
        <f>VLOOKUP($H25,'[2]Table S5'!$A:$K,11,FALSE)</f>
        <v>Resistant</v>
      </c>
    </row>
    <row r="26" spans="1:48">
      <c r="A26" t="s">
        <v>192</v>
      </c>
      <c r="B26" t="s">
        <v>193</v>
      </c>
      <c r="C26" t="s">
        <v>17</v>
      </c>
      <c r="D26" t="s">
        <v>195</v>
      </c>
      <c r="E26" t="s">
        <v>196</v>
      </c>
      <c r="F26" t="s">
        <v>197</v>
      </c>
      <c r="G26" t="s">
        <v>4750</v>
      </c>
      <c r="H26" t="s">
        <v>190</v>
      </c>
      <c r="I26" t="s">
        <v>198</v>
      </c>
      <c r="J26">
        <f>VLOOKUP($I26,'[1]Table S6'!$A:$AI,2,FALSE)</f>
        <v>343.8</v>
      </c>
      <c r="K26">
        <f>VLOOKUP($I26,'[1]Table S6'!$A:$AI,3,FALSE)</f>
        <v>0.731645030857629</v>
      </c>
      <c r="L26">
        <f>VLOOKUP($I26,'[1]Table S6'!$A:$AI,4,FALSE)</f>
        <v>4.8529999999999998</v>
      </c>
      <c r="M26" t="str">
        <f>VLOOKUP($I26,'[1]Table S6'!$A:$AI,5,FALSE)</f>
        <v>No</v>
      </c>
      <c r="O26">
        <f>VLOOKUP($I26,'[1]Table S6'!$A:$AI,7,FALSE)</f>
        <v>354.7</v>
      </c>
      <c r="P26">
        <f>VLOOKUP($I26,'[1]Table S6'!$A:$AI,8,FALSE)</f>
        <v>0.75484145562885696</v>
      </c>
      <c r="Q26">
        <f>VLOOKUP($I26,'[1]Table S6'!$A:$AI,9,FALSE)</f>
        <v>5.9210000000000003</v>
      </c>
      <c r="R26" t="str">
        <f>VLOOKUP($I26,'[1]Table S6'!$A:$AI,10,FALSE)</f>
        <v>No</v>
      </c>
      <c r="T26">
        <f>VLOOKUP($I26,'[1]Table S6'!$A:$AI,12,FALSE)</f>
        <v>384</v>
      </c>
      <c r="U26">
        <f>VLOOKUP($I26,'[1]Table S6'!$A:$AI,13,FALSE)</f>
        <v>0.81719514790380898</v>
      </c>
      <c r="V26">
        <f>VLOOKUP($I26,'[1]Table S6'!$A:$AI,14,FALSE)</f>
        <v>9.4730000000000008</v>
      </c>
      <c r="W26" t="str">
        <f>VLOOKUP($I26,'[1]Table S6'!$A:$AI,15,FALSE)</f>
        <v>No</v>
      </c>
      <c r="Y26">
        <f>VLOOKUP($I26,'[1]Table S6'!$A:$AI,17,FALSE)</f>
        <v>389.1</v>
      </c>
      <c r="Z26">
        <f>VLOOKUP($I26,'[1]Table S6'!$A:$AI,18,FALSE)</f>
        <v>0.82804852096190695</v>
      </c>
      <c r="AA26">
        <f>VLOOKUP($I26,'[1]Table S6'!$A:$AI,19,FALSE)</f>
        <v>18.2</v>
      </c>
      <c r="AB26" t="str">
        <f>VLOOKUP($I26,'[1]Table S6'!$A:$AI,20,FALSE)</f>
        <v>No</v>
      </c>
      <c r="AD26">
        <f>VLOOKUP($I26,'[1]Table S6'!$A:$AI,22,FALSE)</f>
        <v>357.9</v>
      </c>
      <c r="AE26">
        <f>VLOOKUP($I26,'[1]Table S6'!$A:$AI,23,FALSE)</f>
        <v>0.76165141519472201</v>
      </c>
      <c r="AF26">
        <f>VLOOKUP($I26,'[1]Table S6'!$A:$AI,24,FALSE)</f>
        <v>8.5779999999999994</v>
      </c>
      <c r="AG26" t="str">
        <f>VLOOKUP($I26,'[1]Table S6'!$A:$AI,25,FALSE)</f>
        <v>No</v>
      </c>
      <c r="AI26">
        <f>VLOOKUP($I26,'[1]Table S6'!$A:$AI,27,FALSE)</f>
        <v>461.2</v>
      </c>
      <c r="AJ26">
        <f>VLOOKUP($I26,'[1]Table S6'!$A:$AI,28,FALSE)</f>
        <v>0.98148542243030401</v>
      </c>
      <c r="AK26">
        <f>VLOOKUP($I26,'[1]Table S6'!$A:$AI,29,FALSE)</f>
        <v>269.39999999999998</v>
      </c>
      <c r="AL26" t="str">
        <f>VLOOKUP($I26,'[1]Table S6'!$A:$AI,30,FALSE)</f>
        <v>No</v>
      </c>
      <c r="AN26">
        <f>VLOOKUP($I26,'[1]Table S6'!$A:$AI,32,FALSE)</f>
        <v>420</v>
      </c>
      <c r="AO26">
        <f>VLOOKUP($I26,'[1]Table S6'!$A:$AI,33,FALSE)</f>
        <v>0.89380719301979195</v>
      </c>
      <c r="AP26">
        <f>VLOOKUP($I26,'[1]Table S6'!$A:$AI,34,FALSE)</f>
        <v>261.8</v>
      </c>
      <c r="AQ26" t="str">
        <f>VLOOKUP($I26,'[1]Table S6'!$A:$AI,35,FALSE)</f>
        <v>No</v>
      </c>
      <c r="AS26" t="str">
        <f>VLOOKUP($H26,'[2]Table S5'!$A:$K,8,FALSE)</f>
        <v>Resistant</v>
      </c>
      <c r="AT26" t="str">
        <f>VLOOKUP($H26,'[2]Table S5'!$A:$K,9,FALSE)</f>
        <v>Resistant</v>
      </c>
      <c r="AU26" t="str">
        <f>VLOOKUP($H26,'[2]Table S5'!$A:$K,10,FALSE)</f>
        <v>Resistant</v>
      </c>
      <c r="AV26" t="str">
        <f>VLOOKUP($H26,'[2]Table S5'!$A:$K,11,FALSE)</f>
        <v>Resistant</v>
      </c>
    </row>
    <row r="27" spans="1:48">
      <c r="A27" t="s">
        <v>200</v>
      </c>
      <c r="B27" t="s">
        <v>201</v>
      </c>
      <c r="C27" t="s">
        <v>17</v>
      </c>
      <c r="D27" t="s">
        <v>203</v>
      </c>
      <c r="E27" t="s">
        <v>204</v>
      </c>
      <c r="F27" t="s">
        <v>205</v>
      </c>
      <c r="G27" t="s">
        <v>4750</v>
      </c>
      <c r="H27" t="s">
        <v>190</v>
      </c>
      <c r="I27" t="s">
        <v>206</v>
      </c>
      <c r="J27">
        <f>VLOOKUP($I27,'[1]Table S6'!$A:$AI,2,FALSE)</f>
        <v>305.89999999999998</v>
      </c>
      <c r="K27">
        <f>VLOOKUP($I27,'[1]Table S6'!$A:$AI,3,FALSE)</f>
        <v>0.650989572249415</v>
      </c>
      <c r="L27">
        <f>VLOOKUP($I27,'[1]Table S6'!$A:$AI,4,FALSE)</f>
        <v>1.4870000000000001</v>
      </c>
      <c r="M27" t="str">
        <f>VLOOKUP($I27,'[1]Table S6'!$A:$AI,5,FALSE)</f>
        <v>Yes</v>
      </c>
      <c r="O27">
        <f>VLOOKUP($I27,'[1]Table S6'!$A:$AI,7,FALSE)</f>
        <v>363</v>
      </c>
      <c r="P27">
        <f>VLOOKUP($I27,'[1]Table S6'!$A:$AI,8,FALSE)</f>
        <v>0.77250478825281998</v>
      </c>
      <c r="Q27">
        <f>VLOOKUP($I27,'[1]Table S6'!$A:$AI,9,FALSE)</f>
        <v>9.5350000000000001</v>
      </c>
      <c r="R27" t="str">
        <f>VLOOKUP($I27,'[1]Table S6'!$A:$AI,10,FALSE)</f>
        <v>No</v>
      </c>
      <c r="T27">
        <f>VLOOKUP($I27,'[1]Table S6'!$A:$AI,12,FALSE)</f>
        <v>346.1</v>
      </c>
      <c r="U27">
        <f>VLOOKUP($I27,'[1]Table S6'!$A:$AI,13,FALSE)</f>
        <v>0.73653968929559499</v>
      </c>
      <c r="V27">
        <f>VLOOKUP($I27,'[1]Table S6'!$A:$AI,14,FALSE)</f>
        <v>5.7060000000000004</v>
      </c>
      <c r="W27" t="str">
        <f>VLOOKUP($I27,'[1]Table S6'!$A:$AI,15,FALSE)</f>
        <v>No</v>
      </c>
      <c r="Y27">
        <f>VLOOKUP($I27,'[1]Table S6'!$A:$AI,17,FALSE)</f>
        <v>341.2</v>
      </c>
      <c r="Z27">
        <f>VLOOKUP($I27,'[1]Table S6'!$A:$AI,18,FALSE)</f>
        <v>0.72611193871036395</v>
      </c>
      <c r="AA27">
        <f>VLOOKUP($I27,'[1]Table S6'!$A:$AI,19,FALSE)</f>
        <v>4.5330000000000004</v>
      </c>
      <c r="AB27" t="str">
        <f>VLOOKUP($I27,'[1]Table S6'!$A:$AI,20,FALSE)</f>
        <v>No</v>
      </c>
      <c r="AD27">
        <f>VLOOKUP($I27,'[1]Table S6'!$A:$AI,22,FALSE)</f>
        <v>336.9</v>
      </c>
      <c r="AE27">
        <f>VLOOKUP($I27,'[1]Table S6'!$A:$AI,23,FALSE)</f>
        <v>0.71696105554373302</v>
      </c>
      <c r="AF27">
        <f>VLOOKUP($I27,'[1]Table S6'!$A:$AI,24,FALSE)</f>
        <v>3.6659999999999999</v>
      </c>
      <c r="AG27" t="str">
        <f>VLOOKUP($I27,'[1]Table S6'!$A:$AI,25,FALSE)</f>
        <v>No</v>
      </c>
      <c r="AI27">
        <f>VLOOKUP($I27,'[1]Table S6'!$A:$AI,27,FALSE)</f>
        <v>408.9</v>
      </c>
      <c r="AJ27">
        <f>VLOOKUP($I27,'[1]Table S6'!$A:$AI,28,FALSE)</f>
        <v>0.87018514577569706</v>
      </c>
      <c r="AK27">
        <f>VLOOKUP($I27,'[1]Table S6'!$A:$AI,29,FALSE)</f>
        <v>119.7</v>
      </c>
      <c r="AL27" t="str">
        <f>VLOOKUP($I27,'[1]Table S6'!$A:$AI,30,FALSE)</f>
        <v>No</v>
      </c>
      <c r="AN27">
        <f>VLOOKUP($I27,'[1]Table S6'!$A:$AI,32,FALSE)</f>
        <v>431.7</v>
      </c>
      <c r="AO27">
        <f>VLOOKUP($I27,'[1]Table S6'!$A:$AI,33,FALSE)</f>
        <v>0.91870610768248595</v>
      </c>
      <c r="AP27">
        <f>VLOOKUP($I27,'[1]Table S6'!$A:$AI,34,FALSE)</f>
        <v>243.9</v>
      </c>
      <c r="AQ27" t="str">
        <f>VLOOKUP($I27,'[1]Table S6'!$A:$AI,35,FALSE)</f>
        <v>No</v>
      </c>
      <c r="AS27" t="str">
        <f>VLOOKUP($H27,'[2]Table S5'!$A:$K,8,FALSE)</f>
        <v>Resistant</v>
      </c>
      <c r="AT27" t="str">
        <f>VLOOKUP($H27,'[2]Table S5'!$A:$K,9,FALSE)</f>
        <v>Resistant</v>
      </c>
      <c r="AU27" t="str">
        <f>VLOOKUP($H27,'[2]Table S5'!$A:$K,10,FALSE)</f>
        <v>Resistant</v>
      </c>
      <c r="AV27" t="str">
        <f>VLOOKUP($H27,'[2]Table S5'!$A:$K,11,FALSE)</f>
        <v>Resistant</v>
      </c>
    </row>
    <row r="28" spans="1:48">
      <c r="A28" t="s">
        <v>208</v>
      </c>
      <c r="B28" t="s">
        <v>209</v>
      </c>
      <c r="C28" t="s">
        <v>17</v>
      </c>
      <c r="D28" t="s">
        <v>211</v>
      </c>
      <c r="E28" t="s">
        <v>212</v>
      </c>
      <c r="F28" t="s">
        <v>213</v>
      </c>
      <c r="G28" t="s">
        <v>4750</v>
      </c>
      <c r="H28" t="s">
        <v>190</v>
      </c>
      <c r="I28" t="s">
        <v>214</v>
      </c>
      <c r="J28">
        <f>VLOOKUP($I28,'[1]Table S6'!$A:$AI,2,FALSE)</f>
        <v>284.10000000000002</v>
      </c>
      <c r="K28">
        <f>VLOOKUP($I28,'[1]Table S6'!$A:$AI,3,FALSE)</f>
        <v>0.60459672270695897</v>
      </c>
      <c r="L28">
        <f>VLOOKUP($I28,'[1]Table S6'!$A:$AI,4,FALSE)</f>
        <v>0.70130000000000003</v>
      </c>
      <c r="M28" t="str">
        <f>VLOOKUP($I28,'[1]Table S6'!$A:$AI,5,FALSE)</f>
        <v>Yes</v>
      </c>
      <c r="O28">
        <f>VLOOKUP($I28,'[1]Table S6'!$A:$AI,7,FALSE)</f>
        <v>358.8</v>
      </c>
      <c r="P28">
        <f>VLOOKUP($I28,'[1]Table S6'!$A:$AI,8,FALSE)</f>
        <v>0.76356671632262196</v>
      </c>
      <c r="Q28">
        <f>VLOOKUP($I28,'[1]Table S6'!$A:$AI,9,FALSE)</f>
        <v>9.7089999999999996</v>
      </c>
      <c r="R28" t="str">
        <f>VLOOKUP($I28,'[1]Table S6'!$A:$AI,10,FALSE)</f>
        <v>No</v>
      </c>
      <c r="T28">
        <f>VLOOKUP($I28,'[1]Table S6'!$A:$AI,12,FALSE)</f>
        <v>304.7</v>
      </c>
      <c r="U28">
        <f>VLOOKUP($I28,'[1]Table S6'!$A:$AI,13,FALSE)</f>
        <v>0.648435837412215</v>
      </c>
      <c r="V28">
        <f>VLOOKUP($I28,'[1]Table S6'!$A:$AI,14,FALSE)</f>
        <v>1.8160000000000001</v>
      </c>
      <c r="W28" t="str">
        <f>VLOOKUP($I28,'[1]Table S6'!$A:$AI,15,FALSE)</f>
        <v>Yes</v>
      </c>
      <c r="Y28">
        <f>VLOOKUP($I28,'[1]Table S6'!$A:$AI,17,FALSE)</f>
        <v>367.2</v>
      </c>
      <c r="Z28">
        <f>VLOOKUP($I28,'[1]Table S6'!$A:$AI,18,FALSE)</f>
        <v>0.78144286018301801</v>
      </c>
      <c r="AA28">
        <f>VLOOKUP($I28,'[1]Table S6'!$A:$AI,19,FALSE)</f>
        <v>9.9269999999999996</v>
      </c>
      <c r="AB28" t="str">
        <f>VLOOKUP($I28,'[1]Table S6'!$A:$AI,20,FALSE)</f>
        <v>No</v>
      </c>
      <c r="AD28">
        <f>VLOOKUP($I28,'[1]Table S6'!$A:$AI,22,FALSE)</f>
        <v>290.89999999999998</v>
      </c>
      <c r="AE28">
        <f>VLOOKUP($I28,'[1]Table S6'!$A:$AI,23,FALSE)</f>
        <v>0.61906788678442204</v>
      </c>
      <c r="AF28">
        <f>VLOOKUP($I28,'[1]Table S6'!$A:$AI,24,FALSE)</f>
        <v>0.98629999999999995</v>
      </c>
      <c r="AG28" t="str">
        <f>VLOOKUP($I28,'[1]Table S6'!$A:$AI,25,FALSE)</f>
        <v>Yes</v>
      </c>
      <c r="AI28">
        <f>VLOOKUP($I28,'[1]Table S6'!$A:$AI,27,FALSE)</f>
        <v>407.1</v>
      </c>
      <c r="AJ28">
        <f>VLOOKUP($I28,'[1]Table S6'!$A:$AI,28,FALSE)</f>
        <v>0.86635454351989805</v>
      </c>
      <c r="AK28">
        <f>VLOOKUP($I28,'[1]Table S6'!$A:$AI,29,FALSE)</f>
        <v>123.8</v>
      </c>
      <c r="AL28" t="str">
        <f>VLOOKUP($I28,'[1]Table S6'!$A:$AI,30,FALSE)</f>
        <v>No</v>
      </c>
      <c r="AN28">
        <f>VLOOKUP($I28,'[1]Table S6'!$A:$AI,32,FALSE)</f>
        <v>407.2</v>
      </c>
      <c r="AO28">
        <f>VLOOKUP($I28,'[1]Table S6'!$A:$AI,33,FALSE)</f>
        <v>0.86656735475633095</v>
      </c>
      <c r="AP28">
        <f>VLOOKUP($I28,'[1]Table S6'!$A:$AI,34,FALSE)</f>
        <v>80.69</v>
      </c>
      <c r="AQ28" t="str">
        <f>VLOOKUP($I28,'[1]Table S6'!$A:$AI,35,FALSE)</f>
        <v>No</v>
      </c>
      <c r="AS28" t="str">
        <f>VLOOKUP($H28,'[2]Table S5'!$A:$K,8,FALSE)</f>
        <v>Resistant</v>
      </c>
      <c r="AT28" t="str">
        <f>VLOOKUP($H28,'[2]Table S5'!$A:$K,9,FALSE)</f>
        <v>Resistant</v>
      </c>
      <c r="AU28" t="str">
        <f>VLOOKUP($H28,'[2]Table S5'!$A:$K,10,FALSE)</f>
        <v>Resistant</v>
      </c>
      <c r="AV28" t="str">
        <f>VLOOKUP($H28,'[2]Table S5'!$A:$K,11,FALSE)</f>
        <v>Resistant</v>
      </c>
    </row>
    <row r="29" spans="1:48">
      <c r="A29" t="s">
        <v>216</v>
      </c>
      <c r="B29" t="s">
        <v>217</v>
      </c>
      <c r="C29" t="s">
        <v>17</v>
      </c>
      <c r="D29" t="s">
        <v>219</v>
      </c>
      <c r="E29" t="s">
        <v>220</v>
      </c>
      <c r="F29" t="s">
        <v>221</v>
      </c>
      <c r="G29" t="s">
        <v>4751</v>
      </c>
      <c r="H29" t="s">
        <v>190</v>
      </c>
      <c r="I29" t="s">
        <v>198</v>
      </c>
      <c r="J29">
        <f>VLOOKUP($I29,'[1]Table S6'!$A:$AI,2,FALSE)</f>
        <v>343.8</v>
      </c>
      <c r="K29">
        <f>VLOOKUP($I29,'[1]Table S6'!$A:$AI,3,FALSE)</f>
        <v>0.731645030857629</v>
      </c>
      <c r="L29">
        <f>VLOOKUP($I29,'[1]Table S6'!$A:$AI,4,FALSE)</f>
        <v>4.8529999999999998</v>
      </c>
      <c r="M29" t="str">
        <f>VLOOKUP($I29,'[1]Table S6'!$A:$AI,5,FALSE)</f>
        <v>No</v>
      </c>
      <c r="O29">
        <f>VLOOKUP($I29,'[1]Table S6'!$A:$AI,7,FALSE)</f>
        <v>354.7</v>
      </c>
      <c r="P29">
        <f>VLOOKUP($I29,'[1]Table S6'!$A:$AI,8,FALSE)</f>
        <v>0.75484145562885696</v>
      </c>
      <c r="Q29">
        <f>VLOOKUP($I29,'[1]Table S6'!$A:$AI,9,FALSE)</f>
        <v>5.9210000000000003</v>
      </c>
      <c r="R29" t="str">
        <f>VLOOKUP($I29,'[1]Table S6'!$A:$AI,10,FALSE)</f>
        <v>No</v>
      </c>
      <c r="T29">
        <f>VLOOKUP($I29,'[1]Table S6'!$A:$AI,12,FALSE)</f>
        <v>384</v>
      </c>
      <c r="U29">
        <f>VLOOKUP($I29,'[1]Table S6'!$A:$AI,13,FALSE)</f>
        <v>0.81719514790380898</v>
      </c>
      <c r="V29">
        <f>VLOOKUP($I29,'[1]Table S6'!$A:$AI,14,FALSE)</f>
        <v>9.4730000000000008</v>
      </c>
      <c r="W29" t="str">
        <f>VLOOKUP($I29,'[1]Table S6'!$A:$AI,15,FALSE)</f>
        <v>No</v>
      </c>
      <c r="Y29">
        <f>VLOOKUP($I29,'[1]Table S6'!$A:$AI,17,FALSE)</f>
        <v>389.1</v>
      </c>
      <c r="Z29">
        <f>VLOOKUP($I29,'[1]Table S6'!$A:$AI,18,FALSE)</f>
        <v>0.82804852096190695</v>
      </c>
      <c r="AA29">
        <f>VLOOKUP($I29,'[1]Table S6'!$A:$AI,19,FALSE)</f>
        <v>18.2</v>
      </c>
      <c r="AB29" t="str">
        <f>VLOOKUP($I29,'[1]Table S6'!$A:$AI,20,FALSE)</f>
        <v>No</v>
      </c>
      <c r="AD29">
        <f>VLOOKUP($I29,'[1]Table S6'!$A:$AI,22,FALSE)</f>
        <v>357.9</v>
      </c>
      <c r="AE29">
        <f>VLOOKUP($I29,'[1]Table S6'!$A:$AI,23,FALSE)</f>
        <v>0.76165141519472201</v>
      </c>
      <c r="AF29">
        <f>VLOOKUP($I29,'[1]Table S6'!$A:$AI,24,FALSE)</f>
        <v>8.5779999999999994</v>
      </c>
      <c r="AG29" t="str">
        <f>VLOOKUP($I29,'[1]Table S6'!$A:$AI,25,FALSE)</f>
        <v>No</v>
      </c>
      <c r="AI29">
        <f>VLOOKUP($I29,'[1]Table S6'!$A:$AI,27,FALSE)</f>
        <v>461.2</v>
      </c>
      <c r="AJ29">
        <f>VLOOKUP($I29,'[1]Table S6'!$A:$AI,28,FALSE)</f>
        <v>0.98148542243030401</v>
      </c>
      <c r="AK29">
        <f>VLOOKUP($I29,'[1]Table S6'!$A:$AI,29,FALSE)</f>
        <v>269.39999999999998</v>
      </c>
      <c r="AL29" t="str">
        <f>VLOOKUP($I29,'[1]Table S6'!$A:$AI,30,FALSE)</f>
        <v>No</v>
      </c>
      <c r="AN29">
        <f>VLOOKUP($I29,'[1]Table S6'!$A:$AI,32,FALSE)</f>
        <v>420</v>
      </c>
      <c r="AO29">
        <f>VLOOKUP($I29,'[1]Table S6'!$A:$AI,33,FALSE)</f>
        <v>0.89380719301979195</v>
      </c>
      <c r="AP29">
        <f>VLOOKUP($I29,'[1]Table S6'!$A:$AI,34,FALSE)</f>
        <v>261.8</v>
      </c>
      <c r="AQ29" t="str">
        <f>VLOOKUP($I29,'[1]Table S6'!$A:$AI,35,FALSE)</f>
        <v>No</v>
      </c>
      <c r="AS29" t="str">
        <f>VLOOKUP($H29,'[2]Table S5'!$A:$K,8,FALSE)</f>
        <v>Resistant</v>
      </c>
      <c r="AT29" t="str">
        <f>VLOOKUP($H29,'[2]Table S5'!$A:$K,9,FALSE)</f>
        <v>Resistant</v>
      </c>
      <c r="AU29" t="str">
        <f>VLOOKUP($H29,'[2]Table S5'!$A:$K,10,FALSE)</f>
        <v>Resistant</v>
      </c>
      <c r="AV29" t="str">
        <f>VLOOKUP($H29,'[2]Table S5'!$A:$K,11,FALSE)</f>
        <v>Resistant</v>
      </c>
    </row>
    <row r="30" spans="1:48">
      <c r="A30" t="s">
        <v>223</v>
      </c>
      <c r="B30" t="s">
        <v>224</v>
      </c>
      <c r="C30" t="s">
        <v>17</v>
      </c>
      <c r="D30" t="s">
        <v>226</v>
      </c>
      <c r="E30" t="s">
        <v>227</v>
      </c>
      <c r="F30" t="s">
        <v>228</v>
      </c>
      <c r="G30" t="s">
        <v>4751</v>
      </c>
      <c r="H30" t="s">
        <v>190</v>
      </c>
      <c r="I30" t="s">
        <v>206</v>
      </c>
      <c r="J30">
        <f>VLOOKUP($I30,'[1]Table S6'!$A:$AI,2,FALSE)</f>
        <v>305.89999999999998</v>
      </c>
      <c r="K30">
        <f>VLOOKUP($I30,'[1]Table S6'!$A:$AI,3,FALSE)</f>
        <v>0.650989572249415</v>
      </c>
      <c r="L30">
        <f>VLOOKUP($I30,'[1]Table S6'!$A:$AI,4,FALSE)</f>
        <v>1.4870000000000001</v>
      </c>
      <c r="M30" t="str">
        <f>VLOOKUP($I30,'[1]Table S6'!$A:$AI,5,FALSE)</f>
        <v>Yes</v>
      </c>
      <c r="O30">
        <f>VLOOKUP($I30,'[1]Table S6'!$A:$AI,7,FALSE)</f>
        <v>363</v>
      </c>
      <c r="P30">
        <f>VLOOKUP($I30,'[1]Table S6'!$A:$AI,8,FALSE)</f>
        <v>0.77250478825281998</v>
      </c>
      <c r="Q30">
        <f>VLOOKUP($I30,'[1]Table S6'!$A:$AI,9,FALSE)</f>
        <v>9.5350000000000001</v>
      </c>
      <c r="R30" t="str">
        <f>VLOOKUP($I30,'[1]Table S6'!$A:$AI,10,FALSE)</f>
        <v>No</v>
      </c>
      <c r="T30">
        <f>VLOOKUP($I30,'[1]Table S6'!$A:$AI,12,FALSE)</f>
        <v>346.1</v>
      </c>
      <c r="U30">
        <f>VLOOKUP($I30,'[1]Table S6'!$A:$AI,13,FALSE)</f>
        <v>0.73653968929559499</v>
      </c>
      <c r="V30">
        <f>VLOOKUP($I30,'[1]Table S6'!$A:$AI,14,FALSE)</f>
        <v>5.7060000000000004</v>
      </c>
      <c r="W30" t="str">
        <f>VLOOKUP($I30,'[1]Table S6'!$A:$AI,15,FALSE)</f>
        <v>No</v>
      </c>
      <c r="Y30">
        <f>VLOOKUP($I30,'[1]Table S6'!$A:$AI,17,FALSE)</f>
        <v>341.2</v>
      </c>
      <c r="Z30">
        <f>VLOOKUP($I30,'[1]Table S6'!$A:$AI,18,FALSE)</f>
        <v>0.72611193871036395</v>
      </c>
      <c r="AA30">
        <f>VLOOKUP($I30,'[1]Table S6'!$A:$AI,19,FALSE)</f>
        <v>4.5330000000000004</v>
      </c>
      <c r="AB30" t="str">
        <f>VLOOKUP($I30,'[1]Table S6'!$A:$AI,20,FALSE)</f>
        <v>No</v>
      </c>
      <c r="AD30">
        <f>VLOOKUP($I30,'[1]Table S6'!$A:$AI,22,FALSE)</f>
        <v>336.9</v>
      </c>
      <c r="AE30">
        <f>VLOOKUP($I30,'[1]Table S6'!$A:$AI,23,FALSE)</f>
        <v>0.71696105554373302</v>
      </c>
      <c r="AF30">
        <f>VLOOKUP($I30,'[1]Table S6'!$A:$AI,24,FALSE)</f>
        <v>3.6659999999999999</v>
      </c>
      <c r="AG30" t="str">
        <f>VLOOKUP($I30,'[1]Table S6'!$A:$AI,25,FALSE)</f>
        <v>No</v>
      </c>
      <c r="AI30">
        <f>VLOOKUP($I30,'[1]Table S6'!$A:$AI,27,FALSE)</f>
        <v>408.9</v>
      </c>
      <c r="AJ30">
        <f>VLOOKUP($I30,'[1]Table S6'!$A:$AI,28,FALSE)</f>
        <v>0.87018514577569706</v>
      </c>
      <c r="AK30">
        <f>VLOOKUP($I30,'[1]Table S6'!$A:$AI,29,FALSE)</f>
        <v>119.7</v>
      </c>
      <c r="AL30" t="str">
        <f>VLOOKUP($I30,'[1]Table S6'!$A:$AI,30,FALSE)</f>
        <v>No</v>
      </c>
      <c r="AN30">
        <f>VLOOKUP($I30,'[1]Table S6'!$A:$AI,32,FALSE)</f>
        <v>431.7</v>
      </c>
      <c r="AO30">
        <f>VLOOKUP($I30,'[1]Table S6'!$A:$AI,33,FALSE)</f>
        <v>0.91870610768248595</v>
      </c>
      <c r="AP30">
        <f>VLOOKUP($I30,'[1]Table S6'!$A:$AI,34,FALSE)</f>
        <v>243.9</v>
      </c>
      <c r="AQ30" t="str">
        <f>VLOOKUP($I30,'[1]Table S6'!$A:$AI,35,FALSE)</f>
        <v>No</v>
      </c>
      <c r="AS30" t="str">
        <f>VLOOKUP($H30,'[2]Table S5'!$A:$K,8,FALSE)</f>
        <v>Resistant</v>
      </c>
      <c r="AT30" t="str">
        <f>VLOOKUP($H30,'[2]Table S5'!$A:$K,9,FALSE)</f>
        <v>Resistant</v>
      </c>
      <c r="AU30" t="str">
        <f>VLOOKUP($H30,'[2]Table S5'!$A:$K,10,FALSE)</f>
        <v>Resistant</v>
      </c>
      <c r="AV30" t="str">
        <f>VLOOKUP($H30,'[2]Table S5'!$A:$K,11,FALSE)</f>
        <v>Resistant</v>
      </c>
    </row>
    <row r="31" spans="1:48">
      <c r="A31" t="s">
        <v>230</v>
      </c>
      <c r="B31" t="s">
        <v>231</v>
      </c>
      <c r="C31" t="s">
        <v>17</v>
      </c>
      <c r="D31" t="s">
        <v>233</v>
      </c>
      <c r="E31" t="s">
        <v>234</v>
      </c>
      <c r="F31" t="s">
        <v>235</v>
      </c>
      <c r="G31" t="s">
        <v>4751</v>
      </c>
      <c r="H31" t="s">
        <v>190</v>
      </c>
      <c r="I31" t="s">
        <v>214</v>
      </c>
      <c r="J31">
        <f>VLOOKUP($I31,'[1]Table S6'!$A:$AI,2,FALSE)</f>
        <v>284.10000000000002</v>
      </c>
      <c r="K31">
        <f>VLOOKUP($I31,'[1]Table S6'!$A:$AI,3,FALSE)</f>
        <v>0.60459672270695897</v>
      </c>
      <c r="L31">
        <f>VLOOKUP($I31,'[1]Table S6'!$A:$AI,4,FALSE)</f>
        <v>0.70130000000000003</v>
      </c>
      <c r="M31" t="str">
        <f>VLOOKUP($I31,'[1]Table S6'!$A:$AI,5,FALSE)</f>
        <v>Yes</v>
      </c>
      <c r="O31">
        <f>VLOOKUP($I31,'[1]Table S6'!$A:$AI,7,FALSE)</f>
        <v>358.8</v>
      </c>
      <c r="P31">
        <f>VLOOKUP($I31,'[1]Table S6'!$A:$AI,8,FALSE)</f>
        <v>0.76356671632262196</v>
      </c>
      <c r="Q31">
        <f>VLOOKUP($I31,'[1]Table S6'!$A:$AI,9,FALSE)</f>
        <v>9.7089999999999996</v>
      </c>
      <c r="R31" t="str">
        <f>VLOOKUP($I31,'[1]Table S6'!$A:$AI,10,FALSE)</f>
        <v>No</v>
      </c>
      <c r="T31">
        <f>VLOOKUP($I31,'[1]Table S6'!$A:$AI,12,FALSE)</f>
        <v>304.7</v>
      </c>
      <c r="U31">
        <f>VLOOKUP($I31,'[1]Table S6'!$A:$AI,13,FALSE)</f>
        <v>0.648435837412215</v>
      </c>
      <c r="V31">
        <f>VLOOKUP($I31,'[1]Table S6'!$A:$AI,14,FALSE)</f>
        <v>1.8160000000000001</v>
      </c>
      <c r="W31" t="str">
        <f>VLOOKUP($I31,'[1]Table S6'!$A:$AI,15,FALSE)</f>
        <v>Yes</v>
      </c>
      <c r="Y31">
        <f>VLOOKUP($I31,'[1]Table S6'!$A:$AI,17,FALSE)</f>
        <v>367.2</v>
      </c>
      <c r="Z31">
        <f>VLOOKUP($I31,'[1]Table S6'!$A:$AI,18,FALSE)</f>
        <v>0.78144286018301801</v>
      </c>
      <c r="AA31">
        <f>VLOOKUP($I31,'[1]Table S6'!$A:$AI,19,FALSE)</f>
        <v>9.9269999999999996</v>
      </c>
      <c r="AB31" t="str">
        <f>VLOOKUP($I31,'[1]Table S6'!$A:$AI,20,FALSE)</f>
        <v>No</v>
      </c>
      <c r="AD31">
        <f>VLOOKUP($I31,'[1]Table S6'!$A:$AI,22,FALSE)</f>
        <v>290.89999999999998</v>
      </c>
      <c r="AE31">
        <f>VLOOKUP($I31,'[1]Table S6'!$A:$AI,23,FALSE)</f>
        <v>0.61906788678442204</v>
      </c>
      <c r="AF31">
        <f>VLOOKUP($I31,'[1]Table S6'!$A:$AI,24,FALSE)</f>
        <v>0.98629999999999995</v>
      </c>
      <c r="AG31" t="str">
        <f>VLOOKUP($I31,'[1]Table S6'!$A:$AI,25,FALSE)</f>
        <v>Yes</v>
      </c>
      <c r="AI31">
        <f>VLOOKUP($I31,'[1]Table S6'!$A:$AI,27,FALSE)</f>
        <v>407.1</v>
      </c>
      <c r="AJ31">
        <f>VLOOKUP($I31,'[1]Table S6'!$A:$AI,28,FALSE)</f>
        <v>0.86635454351989805</v>
      </c>
      <c r="AK31">
        <f>VLOOKUP($I31,'[1]Table S6'!$A:$AI,29,FALSE)</f>
        <v>123.8</v>
      </c>
      <c r="AL31" t="str">
        <f>VLOOKUP($I31,'[1]Table S6'!$A:$AI,30,FALSE)</f>
        <v>No</v>
      </c>
      <c r="AN31">
        <f>VLOOKUP($I31,'[1]Table S6'!$A:$AI,32,FALSE)</f>
        <v>407.2</v>
      </c>
      <c r="AO31">
        <f>VLOOKUP($I31,'[1]Table S6'!$A:$AI,33,FALSE)</f>
        <v>0.86656735475633095</v>
      </c>
      <c r="AP31">
        <f>VLOOKUP($I31,'[1]Table S6'!$A:$AI,34,FALSE)</f>
        <v>80.69</v>
      </c>
      <c r="AQ31" t="str">
        <f>VLOOKUP($I31,'[1]Table S6'!$A:$AI,35,FALSE)</f>
        <v>No</v>
      </c>
      <c r="AS31" t="str">
        <f>VLOOKUP($H31,'[2]Table S5'!$A:$K,8,FALSE)</f>
        <v>Resistant</v>
      </c>
      <c r="AT31" t="str">
        <f>VLOOKUP($H31,'[2]Table S5'!$A:$K,9,FALSE)</f>
        <v>Resistant</v>
      </c>
      <c r="AU31" t="str">
        <f>VLOOKUP($H31,'[2]Table S5'!$A:$K,10,FALSE)</f>
        <v>Resistant</v>
      </c>
      <c r="AV31" t="str">
        <f>VLOOKUP($H31,'[2]Table S5'!$A:$K,11,FALSE)</f>
        <v>Resistant</v>
      </c>
    </row>
    <row r="32" spans="1:48">
      <c r="A32" t="s">
        <v>237</v>
      </c>
      <c r="B32" t="s">
        <v>238</v>
      </c>
      <c r="C32" t="s">
        <v>17</v>
      </c>
      <c r="D32" t="s">
        <v>240</v>
      </c>
      <c r="E32" t="s">
        <v>241</v>
      </c>
      <c r="F32" t="s">
        <v>242</v>
      </c>
      <c r="G32" t="s">
        <v>4758</v>
      </c>
      <c r="H32" t="s">
        <v>243</v>
      </c>
      <c r="I32" t="s">
        <v>243</v>
      </c>
      <c r="J32" t="e">
        <f>VLOOKUP($I32,'[1]Table S6'!$A:$AI,2,FALSE)</f>
        <v>#N/A</v>
      </c>
      <c r="K32" t="e">
        <f>VLOOKUP($I32,'[1]Table S6'!$A:$AI,3,FALSE)</f>
        <v>#N/A</v>
      </c>
      <c r="L32" t="e">
        <f>VLOOKUP($I32,'[1]Table S6'!$A:$AI,4,FALSE)</f>
        <v>#N/A</v>
      </c>
      <c r="M32" t="e">
        <f>VLOOKUP($I32,'[1]Table S6'!$A:$AI,5,FALSE)</f>
        <v>#N/A</v>
      </c>
      <c r="O32" t="e">
        <f>VLOOKUP($I32,'[1]Table S6'!$A:$AI,7,FALSE)</f>
        <v>#N/A</v>
      </c>
      <c r="P32" t="e">
        <f>VLOOKUP($I32,'[1]Table S6'!$A:$AI,8,FALSE)</f>
        <v>#N/A</v>
      </c>
      <c r="Q32" t="e">
        <f>VLOOKUP($I32,'[1]Table S6'!$A:$AI,9,FALSE)</f>
        <v>#N/A</v>
      </c>
      <c r="R32" t="e">
        <f>VLOOKUP($I32,'[1]Table S6'!$A:$AI,10,FALSE)</f>
        <v>#N/A</v>
      </c>
      <c r="T32" t="e">
        <f>VLOOKUP($I32,'[1]Table S6'!$A:$AI,12,FALSE)</f>
        <v>#N/A</v>
      </c>
      <c r="U32" t="e">
        <f>VLOOKUP($I32,'[1]Table S6'!$A:$AI,13,FALSE)</f>
        <v>#N/A</v>
      </c>
      <c r="V32" t="e">
        <f>VLOOKUP($I32,'[1]Table S6'!$A:$AI,14,FALSE)</f>
        <v>#N/A</v>
      </c>
      <c r="W32" t="e">
        <f>VLOOKUP($I32,'[1]Table S6'!$A:$AI,15,FALSE)</f>
        <v>#N/A</v>
      </c>
      <c r="Y32" t="e">
        <f>VLOOKUP($I32,'[1]Table S6'!$A:$AI,17,FALSE)</f>
        <v>#N/A</v>
      </c>
      <c r="Z32" t="e">
        <f>VLOOKUP($I32,'[1]Table S6'!$A:$AI,18,FALSE)</f>
        <v>#N/A</v>
      </c>
      <c r="AA32" t="e">
        <f>VLOOKUP($I32,'[1]Table S6'!$A:$AI,19,FALSE)</f>
        <v>#N/A</v>
      </c>
      <c r="AB32" t="e">
        <f>VLOOKUP($I32,'[1]Table S6'!$A:$AI,20,FALSE)</f>
        <v>#N/A</v>
      </c>
      <c r="AD32" t="e">
        <f>VLOOKUP($I32,'[1]Table S6'!$A:$AI,22,FALSE)</f>
        <v>#N/A</v>
      </c>
      <c r="AE32" t="e">
        <f>VLOOKUP($I32,'[1]Table S6'!$A:$AI,23,FALSE)</f>
        <v>#N/A</v>
      </c>
      <c r="AF32" t="e">
        <f>VLOOKUP($I32,'[1]Table S6'!$A:$AI,24,FALSE)</f>
        <v>#N/A</v>
      </c>
      <c r="AG32" t="e">
        <f>VLOOKUP($I32,'[1]Table S6'!$A:$AI,25,FALSE)</f>
        <v>#N/A</v>
      </c>
      <c r="AI32" t="e">
        <f>VLOOKUP($I32,'[1]Table S6'!$A:$AI,27,FALSE)</f>
        <v>#N/A</v>
      </c>
      <c r="AJ32" t="e">
        <f>VLOOKUP($I32,'[1]Table S6'!$A:$AI,28,FALSE)</f>
        <v>#N/A</v>
      </c>
      <c r="AK32" t="e">
        <f>VLOOKUP($I32,'[1]Table S6'!$A:$AI,29,FALSE)</f>
        <v>#N/A</v>
      </c>
      <c r="AL32" t="e">
        <f>VLOOKUP($I32,'[1]Table S6'!$A:$AI,30,FALSE)</f>
        <v>#N/A</v>
      </c>
      <c r="AN32" t="e">
        <f>VLOOKUP($I32,'[1]Table S6'!$A:$AI,32,FALSE)</f>
        <v>#N/A</v>
      </c>
      <c r="AO32" t="e">
        <f>VLOOKUP($I32,'[1]Table S6'!$A:$AI,33,FALSE)</f>
        <v>#N/A</v>
      </c>
      <c r="AP32" t="e">
        <f>VLOOKUP($I32,'[1]Table S6'!$A:$AI,34,FALSE)</f>
        <v>#N/A</v>
      </c>
      <c r="AQ32" t="e">
        <f>VLOOKUP($I32,'[1]Table S6'!$A:$AI,35,FALSE)</f>
        <v>#N/A</v>
      </c>
      <c r="AS32" t="str">
        <f>VLOOKUP($H32,'[2]Table S5'!$A:$K,8,FALSE)</f>
        <v>Resistant</v>
      </c>
      <c r="AT32" t="str">
        <f>VLOOKUP($H32,'[2]Table S5'!$A:$K,9,FALSE)</f>
        <v>Resistant</v>
      </c>
      <c r="AU32" t="str">
        <f>VLOOKUP($H32,'[2]Table S5'!$A:$K,10,FALSE)</f>
        <v>Resistant</v>
      </c>
      <c r="AV32" t="str">
        <f>VLOOKUP($H32,'[2]Table S5'!$A:$K,11,FALSE)</f>
        <v>Resistant</v>
      </c>
    </row>
    <row r="33" spans="1:48">
      <c r="A33" t="s">
        <v>245</v>
      </c>
      <c r="B33" t="s">
        <v>246</v>
      </c>
      <c r="C33" t="s">
        <v>17</v>
      </c>
      <c r="D33" t="s">
        <v>248</v>
      </c>
      <c r="E33" t="s">
        <v>249</v>
      </c>
      <c r="F33" t="s">
        <v>250</v>
      </c>
      <c r="G33" t="s">
        <v>4750</v>
      </c>
      <c r="H33" t="s">
        <v>243</v>
      </c>
      <c r="I33" t="s">
        <v>251</v>
      </c>
      <c r="J33">
        <f>VLOOKUP($I33,'[1]Table S6'!$A:$AI,2,FALSE)</f>
        <v>347.8</v>
      </c>
      <c r="K33">
        <f>VLOOKUP($I33,'[1]Table S6'!$A:$AI,3,FALSE)</f>
        <v>0.74015748031496098</v>
      </c>
      <c r="L33">
        <f>VLOOKUP($I33,'[1]Table S6'!$A:$AI,4,FALSE)</f>
        <v>4.72</v>
      </c>
      <c r="M33" t="str">
        <f>VLOOKUP($I33,'[1]Table S6'!$A:$AI,5,FALSE)</f>
        <v>No</v>
      </c>
      <c r="O33">
        <f>VLOOKUP($I33,'[1]Table S6'!$A:$AI,7,FALSE)</f>
        <v>350.7</v>
      </c>
      <c r="P33">
        <f>VLOOKUP($I33,'[1]Table S6'!$A:$AI,8,FALSE)</f>
        <v>0.74632900617152598</v>
      </c>
      <c r="Q33">
        <f>VLOOKUP($I33,'[1]Table S6'!$A:$AI,9,FALSE)</f>
        <v>5.9020000000000001</v>
      </c>
      <c r="R33" t="str">
        <f>VLOOKUP($I33,'[1]Table S6'!$A:$AI,10,FALSE)</f>
        <v>No</v>
      </c>
      <c r="T33">
        <f>VLOOKUP($I33,'[1]Table S6'!$A:$AI,12,FALSE)</f>
        <v>351.5</v>
      </c>
      <c r="U33">
        <f>VLOOKUP($I33,'[1]Table S6'!$A:$AI,13,FALSE)</f>
        <v>0.74803149606299202</v>
      </c>
      <c r="V33">
        <f>VLOOKUP($I33,'[1]Table S6'!$A:$AI,14,FALSE)</f>
        <v>3.9359999999999999</v>
      </c>
      <c r="W33" t="str">
        <f>VLOOKUP($I33,'[1]Table S6'!$A:$AI,15,FALSE)</f>
        <v>No</v>
      </c>
      <c r="Y33">
        <f>VLOOKUP($I33,'[1]Table S6'!$A:$AI,17,FALSE)</f>
        <v>325.10000000000002</v>
      </c>
      <c r="Z33">
        <f>VLOOKUP($I33,'[1]Table S6'!$A:$AI,18,FALSE)</f>
        <v>0.69184932964460499</v>
      </c>
      <c r="AA33">
        <f>VLOOKUP($I33,'[1]Table S6'!$A:$AI,19,FALSE)</f>
        <v>2.4540000000000002</v>
      </c>
      <c r="AB33" t="str">
        <f>VLOOKUP($I33,'[1]Table S6'!$A:$AI,20,FALSE)</f>
        <v>Yes</v>
      </c>
      <c r="AD33">
        <f>VLOOKUP($I33,'[1]Table S6'!$A:$AI,22,FALSE)</f>
        <v>342.2</v>
      </c>
      <c r="AE33">
        <f>VLOOKUP($I33,'[1]Table S6'!$A:$AI,23,FALSE)</f>
        <v>0.72824005107469703</v>
      </c>
      <c r="AF33">
        <f>VLOOKUP($I33,'[1]Table S6'!$A:$AI,24,FALSE)</f>
        <v>3.238</v>
      </c>
      <c r="AG33" t="str">
        <f>VLOOKUP($I33,'[1]Table S6'!$A:$AI,25,FALSE)</f>
        <v>No</v>
      </c>
      <c r="AI33">
        <f>VLOOKUP($I33,'[1]Table S6'!$A:$AI,27,FALSE)</f>
        <v>421.4</v>
      </c>
      <c r="AJ33">
        <f>VLOOKUP($I33,'[1]Table S6'!$A:$AI,28,FALSE)</f>
        <v>0.89678655032985699</v>
      </c>
      <c r="AK33">
        <f>VLOOKUP($I33,'[1]Table S6'!$A:$AI,29,FALSE)</f>
        <v>87.27</v>
      </c>
      <c r="AL33" t="str">
        <f>VLOOKUP($I33,'[1]Table S6'!$A:$AI,30,FALSE)</f>
        <v>No</v>
      </c>
      <c r="AN33">
        <f>VLOOKUP($I33,'[1]Table S6'!$A:$AI,32,FALSE)</f>
        <v>430.2</v>
      </c>
      <c r="AO33">
        <f>VLOOKUP($I33,'[1]Table S6'!$A:$AI,33,FALSE)</f>
        <v>0.915513939135986</v>
      </c>
      <c r="AP33">
        <f>VLOOKUP($I33,'[1]Table S6'!$A:$AI,34,FALSE)</f>
        <v>185.8</v>
      </c>
      <c r="AQ33" t="str">
        <f>VLOOKUP($I33,'[1]Table S6'!$A:$AI,35,FALSE)</f>
        <v>No</v>
      </c>
      <c r="AS33" t="str">
        <f>VLOOKUP($H33,'[2]Table S5'!$A:$K,8,FALSE)</f>
        <v>Resistant</v>
      </c>
      <c r="AT33" t="str">
        <f>VLOOKUP($H33,'[2]Table S5'!$A:$K,9,FALSE)</f>
        <v>Resistant</v>
      </c>
      <c r="AU33" t="str">
        <f>VLOOKUP($H33,'[2]Table S5'!$A:$K,10,FALSE)</f>
        <v>Resistant</v>
      </c>
      <c r="AV33" t="str">
        <f>VLOOKUP($H33,'[2]Table S5'!$A:$K,11,FALSE)</f>
        <v>Resistant</v>
      </c>
    </row>
    <row r="34" spans="1:48">
      <c r="A34" t="s">
        <v>253</v>
      </c>
      <c r="B34" t="s">
        <v>254</v>
      </c>
      <c r="C34" t="s">
        <v>17</v>
      </c>
      <c r="D34" t="s">
        <v>256</v>
      </c>
      <c r="E34" t="s">
        <v>257</v>
      </c>
      <c r="F34" t="s">
        <v>258</v>
      </c>
      <c r="G34" t="s">
        <v>4750</v>
      </c>
      <c r="H34" t="s">
        <v>243</v>
      </c>
      <c r="I34" t="s">
        <v>259</v>
      </c>
      <c r="J34">
        <f>VLOOKUP($I34,'[1]Table S6'!$A:$AI,2,FALSE)</f>
        <v>310.89999999999998</v>
      </c>
      <c r="K34">
        <f>VLOOKUP($I34,'[1]Table S6'!$A:$AI,3,FALSE)</f>
        <v>0.66163013407107896</v>
      </c>
      <c r="L34">
        <f>VLOOKUP($I34,'[1]Table S6'!$A:$AI,4,FALSE)</f>
        <v>1.7030000000000001</v>
      </c>
      <c r="M34" t="str">
        <f>VLOOKUP($I34,'[1]Table S6'!$A:$AI,5,FALSE)</f>
        <v>Yes</v>
      </c>
      <c r="O34">
        <f>VLOOKUP($I34,'[1]Table S6'!$A:$AI,7,FALSE)</f>
        <v>357.6</v>
      </c>
      <c r="P34">
        <f>VLOOKUP($I34,'[1]Table S6'!$A:$AI,8,FALSE)</f>
        <v>0.76101298148542296</v>
      </c>
      <c r="Q34">
        <f>VLOOKUP($I34,'[1]Table S6'!$A:$AI,9,FALSE)</f>
        <v>9.4429999999999996</v>
      </c>
      <c r="R34" t="str">
        <f>VLOOKUP($I34,'[1]Table S6'!$A:$AI,10,FALSE)</f>
        <v>No</v>
      </c>
      <c r="T34">
        <f>VLOOKUP($I34,'[1]Table S6'!$A:$AI,12,FALSE)</f>
        <v>373.1</v>
      </c>
      <c r="U34">
        <f>VLOOKUP($I34,'[1]Table S6'!$A:$AI,13,FALSE)</f>
        <v>0.79399872313258102</v>
      </c>
      <c r="V34">
        <f>VLOOKUP($I34,'[1]Table S6'!$A:$AI,14,FALSE)</f>
        <v>21.11</v>
      </c>
      <c r="W34" t="str">
        <f>VLOOKUP($I34,'[1]Table S6'!$A:$AI,15,FALSE)</f>
        <v>No</v>
      </c>
      <c r="Y34">
        <f>VLOOKUP($I34,'[1]Table S6'!$A:$AI,17,FALSE)</f>
        <v>382.3</v>
      </c>
      <c r="Z34">
        <f>VLOOKUP($I34,'[1]Table S6'!$A:$AI,18,FALSE)</f>
        <v>0.81357735688444399</v>
      </c>
      <c r="AA34">
        <f>VLOOKUP($I34,'[1]Table S6'!$A:$AI,19,FALSE)</f>
        <v>8.3140000000000001</v>
      </c>
      <c r="AB34" t="str">
        <f>VLOOKUP($I34,'[1]Table S6'!$A:$AI,20,FALSE)</f>
        <v>No</v>
      </c>
      <c r="AD34">
        <f>VLOOKUP($I34,'[1]Table S6'!$A:$AI,22,FALSE)</f>
        <v>289.60000000000002</v>
      </c>
      <c r="AE34">
        <f>VLOOKUP($I34,'[1]Table S6'!$A:$AI,23,FALSE)</f>
        <v>0.61630134071079001</v>
      </c>
      <c r="AF34">
        <f>VLOOKUP($I34,'[1]Table S6'!$A:$AI,24,FALSE)</f>
        <v>0.98580000000000001</v>
      </c>
      <c r="AG34" t="str">
        <f>VLOOKUP($I34,'[1]Table S6'!$A:$AI,25,FALSE)</f>
        <v>Yes</v>
      </c>
      <c r="AI34">
        <f>VLOOKUP($I34,'[1]Table S6'!$A:$AI,27,FALSE)</f>
        <v>406.9</v>
      </c>
      <c r="AJ34">
        <f>VLOOKUP($I34,'[1]Table S6'!$A:$AI,28,FALSE)</f>
        <v>0.86592892104703101</v>
      </c>
      <c r="AK34">
        <f>VLOOKUP($I34,'[1]Table S6'!$A:$AI,29,FALSE)</f>
        <v>125.1</v>
      </c>
      <c r="AL34" t="str">
        <f>VLOOKUP($I34,'[1]Table S6'!$A:$AI,30,FALSE)</f>
        <v>No</v>
      </c>
      <c r="AN34">
        <f>VLOOKUP($I34,'[1]Table S6'!$A:$AI,32,FALSE)</f>
        <v>414.8</v>
      </c>
      <c r="AO34">
        <f>VLOOKUP($I34,'[1]Table S6'!$A:$AI,33,FALSE)</f>
        <v>0.88274100872526096</v>
      </c>
      <c r="AP34">
        <f>VLOOKUP($I34,'[1]Table S6'!$A:$AI,34,FALSE)</f>
        <v>124.2</v>
      </c>
      <c r="AQ34" t="str">
        <f>VLOOKUP($I34,'[1]Table S6'!$A:$AI,35,FALSE)</f>
        <v>No</v>
      </c>
      <c r="AS34" t="str">
        <f>VLOOKUP($H34,'[2]Table S5'!$A:$K,8,FALSE)</f>
        <v>Resistant</v>
      </c>
      <c r="AT34" t="str">
        <f>VLOOKUP($H34,'[2]Table S5'!$A:$K,9,FALSE)</f>
        <v>Resistant</v>
      </c>
      <c r="AU34" t="str">
        <f>VLOOKUP($H34,'[2]Table S5'!$A:$K,10,FALSE)</f>
        <v>Resistant</v>
      </c>
      <c r="AV34" t="str">
        <f>VLOOKUP($H34,'[2]Table S5'!$A:$K,11,FALSE)</f>
        <v>Resistant</v>
      </c>
    </row>
    <row r="35" spans="1:48">
      <c r="A35" t="s">
        <v>261</v>
      </c>
      <c r="B35" t="s">
        <v>262</v>
      </c>
      <c r="C35" t="s">
        <v>17</v>
      </c>
      <c r="D35" t="s">
        <v>264</v>
      </c>
      <c r="E35" t="s">
        <v>265</v>
      </c>
      <c r="F35" t="s">
        <v>266</v>
      </c>
      <c r="G35" t="s">
        <v>4750</v>
      </c>
      <c r="H35" t="s">
        <v>243</v>
      </c>
      <c r="I35" t="s">
        <v>267</v>
      </c>
      <c r="J35">
        <f>VLOOKUP($I35,'[1]Table S6'!$A:$AI,2,FALSE)</f>
        <v>290</v>
      </c>
      <c r="K35">
        <f>VLOOKUP($I35,'[1]Table S6'!$A:$AI,3,FALSE)</f>
        <v>0.61715258565652298</v>
      </c>
      <c r="L35">
        <f>VLOOKUP($I35,'[1]Table S6'!$A:$AI,4,FALSE)</f>
        <v>0.94599999999999995</v>
      </c>
      <c r="M35" t="str">
        <f>VLOOKUP($I35,'[1]Table S6'!$A:$AI,5,FALSE)</f>
        <v>Yes</v>
      </c>
      <c r="O35">
        <f>VLOOKUP($I35,'[1]Table S6'!$A:$AI,7,FALSE)</f>
        <v>371.8</v>
      </c>
      <c r="P35">
        <f>VLOOKUP($I35,'[1]Table S6'!$A:$AI,8,FALSE)</f>
        <v>0.79123217705894899</v>
      </c>
      <c r="Q35">
        <f>VLOOKUP($I35,'[1]Table S6'!$A:$AI,9,FALSE)</f>
        <v>12.49</v>
      </c>
      <c r="R35" t="str">
        <f>VLOOKUP($I35,'[1]Table S6'!$A:$AI,10,FALSE)</f>
        <v>No</v>
      </c>
      <c r="T35">
        <f>VLOOKUP($I35,'[1]Table S6'!$A:$AI,12,FALSE)</f>
        <v>377</v>
      </c>
      <c r="U35">
        <f>VLOOKUP($I35,'[1]Table S6'!$A:$AI,13,FALSE)</f>
        <v>0.80229836135347998</v>
      </c>
      <c r="V35">
        <f>VLOOKUP($I35,'[1]Table S6'!$A:$AI,14,FALSE)</f>
        <v>14.69</v>
      </c>
      <c r="W35" t="str">
        <f>VLOOKUP($I35,'[1]Table S6'!$A:$AI,15,FALSE)</f>
        <v>No</v>
      </c>
      <c r="Y35">
        <f>VLOOKUP($I35,'[1]Table S6'!$A:$AI,17,FALSE)</f>
        <v>330</v>
      </c>
      <c r="Z35">
        <f>VLOOKUP($I35,'[1]Table S6'!$A:$AI,18,FALSE)</f>
        <v>0.70227708022983604</v>
      </c>
      <c r="AA35">
        <f>VLOOKUP($I35,'[1]Table S6'!$A:$AI,19,FALSE)</f>
        <v>3.0840000000000001</v>
      </c>
      <c r="AB35" t="str">
        <f>VLOOKUP($I35,'[1]Table S6'!$A:$AI,20,FALSE)</f>
        <v>No</v>
      </c>
      <c r="AD35">
        <f>VLOOKUP($I35,'[1]Table S6'!$A:$AI,22,FALSE)</f>
        <v>359.9</v>
      </c>
      <c r="AE35">
        <f>VLOOKUP($I35,'[1]Table S6'!$A:$AI,23,FALSE)</f>
        <v>0.76590763992338795</v>
      </c>
      <c r="AF35">
        <f>VLOOKUP($I35,'[1]Table S6'!$A:$AI,24,FALSE)</f>
        <v>11.02</v>
      </c>
      <c r="AG35" t="str">
        <f>VLOOKUP($I35,'[1]Table S6'!$A:$AI,25,FALSE)</f>
        <v>No</v>
      </c>
      <c r="AI35">
        <f>VLOOKUP($I35,'[1]Table S6'!$A:$AI,27,FALSE)</f>
        <v>408.2</v>
      </c>
      <c r="AJ35">
        <f>VLOOKUP($I35,'[1]Table S6'!$A:$AI,28,FALSE)</f>
        <v>0.86869546712066403</v>
      </c>
      <c r="AK35">
        <f>VLOOKUP($I35,'[1]Table S6'!$A:$AI,29,FALSE)</f>
        <v>94.53</v>
      </c>
      <c r="AL35" t="str">
        <f>VLOOKUP($I35,'[1]Table S6'!$A:$AI,30,FALSE)</f>
        <v>No</v>
      </c>
      <c r="AN35">
        <f>VLOOKUP($I35,'[1]Table S6'!$A:$AI,32,FALSE)</f>
        <v>424.8</v>
      </c>
      <c r="AO35">
        <f>VLOOKUP($I35,'[1]Table S6'!$A:$AI,33,FALSE)</f>
        <v>0.90402213236858897</v>
      </c>
      <c r="AP35">
        <f>VLOOKUP($I35,'[1]Table S6'!$A:$AI,34,FALSE)</f>
        <v>81.650000000000006</v>
      </c>
      <c r="AQ35" t="str">
        <f>VLOOKUP($I35,'[1]Table S6'!$A:$AI,35,FALSE)</f>
        <v>No</v>
      </c>
      <c r="AS35" t="str">
        <f>VLOOKUP($H35,'[2]Table S5'!$A:$K,8,FALSE)</f>
        <v>Resistant</v>
      </c>
      <c r="AT35" t="str">
        <f>VLOOKUP($H35,'[2]Table S5'!$A:$K,9,FALSE)</f>
        <v>Resistant</v>
      </c>
      <c r="AU35" t="str">
        <f>VLOOKUP($H35,'[2]Table S5'!$A:$K,10,FALSE)</f>
        <v>Resistant</v>
      </c>
      <c r="AV35" t="str">
        <f>VLOOKUP($H35,'[2]Table S5'!$A:$K,11,FALSE)</f>
        <v>Resistant</v>
      </c>
    </row>
    <row r="36" spans="1:48">
      <c r="A36" t="s">
        <v>269</v>
      </c>
      <c r="B36" t="s">
        <v>270</v>
      </c>
      <c r="C36" t="s">
        <v>17</v>
      </c>
      <c r="D36" t="s">
        <v>272</v>
      </c>
      <c r="E36" t="s">
        <v>273</v>
      </c>
      <c r="F36" t="s">
        <v>274</v>
      </c>
      <c r="G36" t="s">
        <v>4751</v>
      </c>
      <c r="H36" t="s">
        <v>243</v>
      </c>
      <c r="I36" t="s">
        <v>251</v>
      </c>
      <c r="J36">
        <f>VLOOKUP($I36,'[1]Table S6'!$A:$AI,2,FALSE)</f>
        <v>347.8</v>
      </c>
      <c r="K36">
        <f>VLOOKUP($I36,'[1]Table S6'!$A:$AI,3,FALSE)</f>
        <v>0.74015748031496098</v>
      </c>
      <c r="L36">
        <f>VLOOKUP($I36,'[1]Table S6'!$A:$AI,4,FALSE)</f>
        <v>4.72</v>
      </c>
      <c r="M36" t="str">
        <f>VLOOKUP($I36,'[1]Table S6'!$A:$AI,5,FALSE)</f>
        <v>No</v>
      </c>
      <c r="O36">
        <f>VLOOKUP($I36,'[1]Table S6'!$A:$AI,7,FALSE)</f>
        <v>350.7</v>
      </c>
      <c r="P36">
        <f>VLOOKUP($I36,'[1]Table S6'!$A:$AI,8,FALSE)</f>
        <v>0.74632900617152598</v>
      </c>
      <c r="Q36">
        <f>VLOOKUP($I36,'[1]Table S6'!$A:$AI,9,FALSE)</f>
        <v>5.9020000000000001</v>
      </c>
      <c r="R36" t="str">
        <f>VLOOKUP($I36,'[1]Table S6'!$A:$AI,10,FALSE)</f>
        <v>No</v>
      </c>
      <c r="T36">
        <f>VLOOKUP($I36,'[1]Table S6'!$A:$AI,12,FALSE)</f>
        <v>351.5</v>
      </c>
      <c r="U36">
        <f>VLOOKUP($I36,'[1]Table S6'!$A:$AI,13,FALSE)</f>
        <v>0.74803149606299202</v>
      </c>
      <c r="V36">
        <f>VLOOKUP($I36,'[1]Table S6'!$A:$AI,14,FALSE)</f>
        <v>3.9359999999999999</v>
      </c>
      <c r="W36" t="str">
        <f>VLOOKUP($I36,'[1]Table S6'!$A:$AI,15,FALSE)</f>
        <v>No</v>
      </c>
      <c r="Y36">
        <f>VLOOKUP($I36,'[1]Table S6'!$A:$AI,17,FALSE)</f>
        <v>325.10000000000002</v>
      </c>
      <c r="Z36">
        <f>VLOOKUP($I36,'[1]Table S6'!$A:$AI,18,FALSE)</f>
        <v>0.69184932964460499</v>
      </c>
      <c r="AA36">
        <f>VLOOKUP($I36,'[1]Table S6'!$A:$AI,19,FALSE)</f>
        <v>2.4540000000000002</v>
      </c>
      <c r="AB36" t="str">
        <f>VLOOKUP($I36,'[1]Table S6'!$A:$AI,20,FALSE)</f>
        <v>Yes</v>
      </c>
      <c r="AD36">
        <f>VLOOKUP($I36,'[1]Table S6'!$A:$AI,22,FALSE)</f>
        <v>342.2</v>
      </c>
      <c r="AE36">
        <f>VLOOKUP($I36,'[1]Table S6'!$A:$AI,23,FALSE)</f>
        <v>0.72824005107469703</v>
      </c>
      <c r="AF36">
        <f>VLOOKUP($I36,'[1]Table S6'!$A:$AI,24,FALSE)</f>
        <v>3.238</v>
      </c>
      <c r="AG36" t="str">
        <f>VLOOKUP($I36,'[1]Table S6'!$A:$AI,25,FALSE)</f>
        <v>No</v>
      </c>
      <c r="AI36">
        <f>VLOOKUP($I36,'[1]Table S6'!$A:$AI,27,FALSE)</f>
        <v>421.4</v>
      </c>
      <c r="AJ36">
        <f>VLOOKUP($I36,'[1]Table S6'!$A:$AI,28,FALSE)</f>
        <v>0.89678655032985699</v>
      </c>
      <c r="AK36">
        <f>VLOOKUP($I36,'[1]Table S6'!$A:$AI,29,FALSE)</f>
        <v>87.27</v>
      </c>
      <c r="AL36" t="str">
        <f>VLOOKUP($I36,'[1]Table S6'!$A:$AI,30,FALSE)</f>
        <v>No</v>
      </c>
      <c r="AN36">
        <f>VLOOKUP($I36,'[1]Table S6'!$A:$AI,32,FALSE)</f>
        <v>430.2</v>
      </c>
      <c r="AO36">
        <f>VLOOKUP($I36,'[1]Table S6'!$A:$AI,33,FALSE)</f>
        <v>0.915513939135986</v>
      </c>
      <c r="AP36">
        <f>VLOOKUP($I36,'[1]Table S6'!$A:$AI,34,FALSE)</f>
        <v>185.8</v>
      </c>
      <c r="AQ36" t="str">
        <f>VLOOKUP($I36,'[1]Table S6'!$A:$AI,35,FALSE)</f>
        <v>No</v>
      </c>
      <c r="AS36" t="str">
        <f>VLOOKUP($H36,'[2]Table S5'!$A:$K,8,FALSE)</f>
        <v>Resistant</v>
      </c>
      <c r="AT36" t="str">
        <f>VLOOKUP($H36,'[2]Table S5'!$A:$K,9,FALSE)</f>
        <v>Resistant</v>
      </c>
      <c r="AU36" t="str">
        <f>VLOOKUP($H36,'[2]Table S5'!$A:$K,10,FALSE)</f>
        <v>Resistant</v>
      </c>
      <c r="AV36" t="str">
        <f>VLOOKUP($H36,'[2]Table S5'!$A:$K,11,FALSE)</f>
        <v>Resistant</v>
      </c>
    </row>
    <row r="37" spans="1:48">
      <c r="A37" t="s">
        <v>276</v>
      </c>
      <c r="B37" t="s">
        <v>277</v>
      </c>
      <c r="C37" t="s">
        <v>17</v>
      </c>
      <c r="D37" t="s">
        <v>279</v>
      </c>
      <c r="E37" t="s">
        <v>280</v>
      </c>
      <c r="F37" t="s">
        <v>281</v>
      </c>
      <c r="G37" t="s">
        <v>4751</v>
      </c>
      <c r="H37" t="s">
        <v>243</v>
      </c>
      <c r="I37" t="s">
        <v>259</v>
      </c>
      <c r="J37">
        <f>VLOOKUP($I37,'[1]Table S6'!$A:$AI,2,FALSE)</f>
        <v>310.89999999999998</v>
      </c>
      <c r="K37">
        <f>VLOOKUP($I37,'[1]Table S6'!$A:$AI,3,FALSE)</f>
        <v>0.66163013407107896</v>
      </c>
      <c r="L37">
        <f>VLOOKUP($I37,'[1]Table S6'!$A:$AI,4,FALSE)</f>
        <v>1.7030000000000001</v>
      </c>
      <c r="M37" t="str">
        <f>VLOOKUP($I37,'[1]Table S6'!$A:$AI,5,FALSE)</f>
        <v>Yes</v>
      </c>
      <c r="O37">
        <f>VLOOKUP($I37,'[1]Table S6'!$A:$AI,7,FALSE)</f>
        <v>357.6</v>
      </c>
      <c r="P37">
        <f>VLOOKUP($I37,'[1]Table S6'!$A:$AI,8,FALSE)</f>
        <v>0.76101298148542296</v>
      </c>
      <c r="Q37">
        <f>VLOOKUP($I37,'[1]Table S6'!$A:$AI,9,FALSE)</f>
        <v>9.4429999999999996</v>
      </c>
      <c r="R37" t="str">
        <f>VLOOKUP($I37,'[1]Table S6'!$A:$AI,10,FALSE)</f>
        <v>No</v>
      </c>
      <c r="T37">
        <f>VLOOKUP($I37,'[1]Table S6'!$A:$AI,12,FALSE)</f>
        <v>373.1</v>
      </c>
      <c r="U37">
        <f>VLOOKUP($I37,'[1]Table S6'!$A:$AI,13,FALSE)</f>
        <v>0.79399872313258102</v>
      </c>
      <c r="V37">
        <f>VLOOKUP($I37,'[1]Table S6'!$A:$AI,14,FALSE)</f>
        <v>21.11</v>
      </c>
      <c r="W37" t="str">
        <f>VLOOKUP($I37,'[1]Table S6'!$A:$AI,15,FALSE)</f>
        <v>No</v>
      </c>
      <c r="Y37">
        <f>VLOOKUP($I37,'[1]Table S6'!$A:$AI,17,FALSE)</f>
        <v>382.3</v>
      </c>
      <c r="Z37">
        <f>VLOOKUP($I37,'[1]Table S6'!$A:$AI,18,FALSE)</f>
        <v>0.81357735688444399</v>
      </c>
      <c r="AA37">
        <f>VLOOKUP($I37,'[1]Table S6'!$A:$AI,19,FALSE)</f>
        <v>8.3140000000000001</v>
      </c>
      <c r="AB37" t="str">
        <f>VLOOKUP($I37,'[1]Table S6'!$A:$AI,20,FALSE)</f>
        <v>No</v>
      </c>
      <c r="AD37">
        <f>VLOOKUP($I37,'[1]Table S6'!$A:$AI,22,FALSE)</f>
        <v>289.60000000000002</v>
      </c>
      <c r="AE37">
        <f>VLOOKUP($I37,'[1]Table S6'!$A:$AI,23,FALSE)</f>
        <v>0.61630134071079001</v>
      </c>
      <c r="AF37">
        <f>VLOOKUP($I37,'[1]Table S6'!$A:$AI,24,FALSE)</f>
        <v>0.98580000000000001</v>
      </c>
      <c r="AG37" t="str">
        <f>VLOOKUP($I37,'[1]Table S6'!$A:$AI,25,FALSE)</f>
        <v>Yes</v>
      </c>
      <c r="AI37">
        <f>VLOOKUP($I37,'[1]Table S6'!$A:$AI,27,FALSE)</f>
        <v>406.9</v>
      </c>
      <c r="AJ37">
        <f>VLOOKUP($I37,'[1]Table S6'!$A:$AI,28,FALSE)</f>
        <v>0.86592892104703101</v>
      </c>
      <c r="AK37">
        <f>VLOOKUP($I37,'[1]Table S6'!$A:$AI,29,FALSE)</f>
        <v>125.1</v>
      </c>
      <c r="AL37" t="str">
        <f>VLOOKUP($I37,'[1]Table S6'!$A:$AI,30,FALSE)</f>
        <v>No</v>
      </c>
      <c r="AN37">
        <f>VLOOKUP($I37,'[1]Table S6'!$A:$AI,32,FALSE)</f>
        <v>414.8</v>
      </c>
      <c r="AO37">
        <f>VLOOKUP($I37,'[1]Table S6'!$A:$AI,33,FALSE)</f>
        <v>0.88274100872526096</v>
      </c>
      <c r="AP37">
        <f>VLOOKUP($I37,'[1]Table S6'!$A:$AI,34,FALSE)</f>
        <v>124.2</v>
      </c>
      <c r="AQ37" t="str">
        <f>VLOOKUP($I37,'[1]Table S6'!$A:$AI,35,FALSE)</f>
        <v>No</v>
      </c>
      <c r="AS37" t="str">
        <f>VLOOKUP($H37,'[2]Table S5'!$A:$K,8,FALSE)</f>
        <v>Resistant</v>
      </c>
      <c r="AT37" t="str">
        <f>VLOOKUP($H37,'[2]Table S5'!$A:$K,9,FALSE)</f>
        <v>Resistant</v>
      </c>
      <c r="AU37" t="str">
        <f>VLOOKUP($H37,'[2]Table S5'!$A:$K,10,FALSE)</f>
        <v>Resistant</v>
      </c>
      <c r="AV37" t="str">
        <f>VLOOKUP($H37,'[2]Table S5'!$A:$K,11,FALSE)</f>
        <v>Resistant</v>
      </c>
    </row>
    <row r="38" spans="1:48">
      <c r="A38" t="s">
        <v>283</v>
      </c>
      <c r="B38" t="s">
        <v>284</v>
      </c>
      <c r="C38" t="s">
        <v>17</v>
      </c>
      <c r="D38" t="s">
        <v>286</v>
      </c>
      <c r="E38" t="s">
        <v>287</v>
      </c>
      <c r="F38" t="s">
        <v>288</v>
      </c>
      <c r="G38" t="s">
        <v>4751</v>
      </c>
      <c r="H38" t="s">
        <v>243</v>
      </c>
      <c r="I38" t="s">
        <v>267</v>
      </c>
      <c r="J38">
        <f>VLOOKUP($I38,'[1]Table S6'!$A:$AI,2,FALSE)</f>
        <v>290</v>
      </c>
      <c r="K38">
        <f>VLOOKUP($I38,'[1]Table S6'!$A:$AI,3,FALSE)</f>
        <v>0.61715258565652298</v>
      </c>
      <c r="L38">
        <f>VLOOKUP($I38,'[1]Table S6'!$A:$AI,4,FALSE)</f>
        <v>0.94599999999999995</v>
      </c>
      <c r="M38" t="str">
        <f>VLOOKUP($I38,'[1]Table S6'!$A:$AI,5,FALSE)</f>
        <v>Yes</v>
      </c>
      <c r="O38">
        <f>VLOOKUP($I38,'[1]Table S6'!$A:$AI,7,FALSE)</f>
        <v>371.8</v>
      </c>
      <c r="P38">
        <f>VLOOKUP($I38,'[1]Table S6'!$A:$AI,8,FALSE)</f>
        <v>0.79123217705894899</v>
      </c>
      <c r="Q38">
        <f>VLOOKUP($I38,'[1]Table S6'!$A:$AI,9,FALSE)</f>
        <v>12.49</v>
      </c>
      <c r="R38" t="str">
        <f>VLOOKUP($I38,'[1]Table S6'!$A:$AI,10,FALSE)</f>
        <v>No</v>
      </c>
      <c r="T38">
        <f>VLOOKUP($I38,'[1]Table S6'!$A:$AI,12,FALSE)</f>
        <v>377</v>
      </c>
      <c r="U38">
        <f>VLOOKUP($I38,'[1]Table S6'!$A:$AI,13,FALSE)</f>
        <v>0.80229836135347998</v>
      </c>
      <c r="V38">
        <f>VLOOKUP($I38,'[1]Table S6'!$A:$AI,14,FALSE)</f>
        <v>14.69</v>
      </c>
      <c r="W38" t="str">
        <f>VLOOKUP($I38,'[1]Table S6'!$A:$AI,15,FALSE)</f>
        <v>No</v>
      </c>
      <c r="Y38">
        <f>VLOOKUP($I38,'[1]Table S6'!$A:$AI,17,FALSE)</f>
        <v>330</v>
      </c>
      <c r="Z38">
        <f>VLOOKUP($I38,'[1]Table S6'!$A:$AI,18,FALSE)</f>
        <v>0.70227708022983604</v>
      </c>
      <c r="AA38">
        <f>VLOOKUP($I38,'[1]Table S6'!$A:$AI,19,FALSE)</f>
        <v>3.0840000000000001</v>
      </c>
      <c r="AB38" t="str">
        <f>VLOOKUP($I38,'[1]Table S6'!$A:$AI,20,FALSE)</f>
        <v>No</v>
      </c>
      <c r="AD38">
        <f>VLOOKUP($I38,'[1]Table S6'!$A:$AI,22,FALSE)</f>
        <v>359.9</v>
      </c>
      <c r="AE38">
        <f>VLOOKUP($I38,'[1]Table S6'!$A:$AI,23,FALSE)</f>
        <v>0.76590763992338795</v>
      </c>
      <c r="AF38">
        <f>VLOOKUP($I38,'[1]Table S6'!$A:$AI,24,FALSE)</f>
        <v>11.02</v>
      </c>
      <c r="AG38" t="str">
        <f>VLOOKUP($I38,'[1]Table S6'!$A:$AI,25,FALSE)</f>
        <v>No</v>
      </c>
      <c r="AI38">
        <f>VLOOKUP($I38,'[1]Table S6'!$A:$AI,27,FALSE)</f>
        <v>408.2</v>
      </c>
      <c r="AJ38">
        <f>VLOOKUP($I38,'[1]Table S6'!$A:$AI,28,FALSE)</f>
        <v>0.86869546712066403</v>
      </c>
      <c r="AK38">
        <f>VLOOKUP($I38,'[1]Table S6'!$A:$AI,29,FALSE)</f>
        <v>94.53</v>
      </c>
      <c r="AL38" t="str">
        <f>VLOOKUP($I38,'[1]Table S6'!$A:$AI,30,FALSE)</f>
        <v>No</v>
      </c>
      <c r="AN38">
        <f>VLOOKUP($I38,'[1]Table S6'!$A:$AI,32,FALSE)</f>
        <v>424.8</v>
      </c>
      <c r="AO38">
        <f>VLOOKUP($I38,'[1]Table S6'!$A:$AI,33,FALSE)</f>
        <v>0.90402213236858897</v>
      </c>
      <c r="AP38">
        <f>VLOOKUP($I38,'[1]Table S6'!$A:$AI,34,FALSE)</f>
        <v>81.650000000000006</v>
      </c>
      <c r="AQ38" t="str">
        <f>VLOOKUP($I38,'[1]Table S6'!$A:$AI,35,FALSE)</f>
        <v>No</v>
      </c>
      <c r="AS38" t="str">
        <f>VLOOKUP($H38,'[2]Table S5'!$A:$K,8,FALSE)</f>
        <v>Resistant</v>
      </c>
      <c r="AT38" t="str">
        <f>VLOOKUP($H38,'[2]Table S5'!$A:$K,9,FALSE)</f>
        <v>Resistant</v>
      </c>
      <c r="AU38" t="str">
        <f>VLOOKUP($H38,'[2]Table S5'!$A:$K,10,FALSE)</f>
        <v>Resistant</v>
      </c>
      <c r="AV38" t="str">
        <f>VLOOKUP($H38,'[2]Table S5'!$A:$K,11,FALSE)</f>
        <v>Resistant</v>
      </c>
    </row>
    <row r="39" spans="1:48">
      <c r="A39" t="s">
        <v>290</v>
      </c>
      <c r="B39" t="s">
        <v>291</v>
      </c>
      <c r="C39" t="s">
        <v>17</v>
      </c>
      <c r="D39" t="s">
        <v>293</v>
      </c>
      <c r="E39" t="s">
        <v>294</v>
      </c>
      <c r="F39" t="s">
        <v>295</v>
      </c>
      <c r="G39" t="s">
        <v>4757</v>
      </c>
      <c r="H39" t="s">
        <v>296</v>
      </c>
      <c r="I39" t="s">
        <v>296</v>
      </c>
      <c r="J39" t="e">
        <f>VLOOKUP($I39,'[1]Table S6'!$A:$AI,2,FALSE)</f>
        <v>#N/A</v>
      </c>
      <c r="K39" t="e">
        <f>VLOOKUP($I39,'[1]Table S6'!$A:$AI,3,FALSE)</f>
        <v>#N/A</v>
      </c>
      <c r="L39" t="e">
        <f>VLOOKUP($I39,'[1]Table S6'!$A:$AI,4,FALSE)</f>
        <v>#N/A</v>
      </c>
      <c r="M39" t="e">
        <f>VLOOKUP($I39,'[1]Table S6'!$A:$AI,5,FALSE)</f>
        <v>#N/A</v>
      </c>
      <c r="O39" t="e">
        <f>VLOOKUP($I39,'[1]Table S6'!$A:$AI,7,FALSE)</f>
        <v>#N/A</v>
      </c>
      <c r="P39" t="e">
        <f>VLOOKUP($I39,'[1]Table S6'!$A:$AI,8,FALSE)</f>
        <v>#N/A</v>
      </c>
      <c r="Q39" t="e">
        <f>VLOOKUP($I39,'[1]Table S6'!$A:$AI,9,FALSE)</f>
        <v>#N/A</v>
      </c>
      <c r="R39" t="e">
        <f>VLOOKUP($I39,'[1]Table S6'!$A:$AI,10,FALSE)</f>
        <v>#N/A</v>
      </c>
      <c r="T39" t="e">
        <f>VLOOKUP($I39,'[1]Table S6'!$A:$AI,12,FALSE)</f>
        <v>#N/A</v>
      </c>
      <c r="U39" t="e">
        <f>VLOOKUP($I39,'[1]Table S6'!$A:$AI,13,FALSE)</f>
        <v>#N/A</v>
      </c>
      <c r="V39" t="e">
        <f>VLOOKUP($I39,'[1]Table S6'!$A:$AI,14,FALSE)</f>
        <v>#N/A</v>
      </c>
      <c r="W39" t="e">
        <f>VLOOKUP($I39,'[1]Table S6'!$A:$AI,15,FALSE)</f>
        <v>#N/A</v>
      </c>
      <c r="Y39" t="e">
        <f>VLOOKUP($I39,'[1]Table S6'!$A:$AI,17,FALSE)</f>
        <v>#N/A</v>
      </c>
      <c r="Z39" t="e">
        <f>VLOOKUP($I39,'[1]Table S6'!$A:$AI,18,FALSE)</f>
        <v>#N/A</v>
      </c>
      <c r="AA39" t="e">
        <f>VLOOKUP($I39,'[1]Table S6'!$A:$AI,19,FALSE)</f>
        <v>#N/A</v>
      </c>
      <c r="AB39" t="e">
        <f>VLOOKUP($I39,'[1]Table S6'!$A:$AI,20,FALSE)</f>
        <v>#N/A</v>
      </c>
      <c r="AD39" t="e">
        <f>VLOOKUP($I39,'[1]Table S6'!$A:$AI,22,FALSE)</f>
        <v>#N/A</v>
      </c>
      <c r="AE39" t="e">
        <f>VLOOKUP($I39,'[1]Table S6'!$A:$AI,23,FALSE)</f>
        <v>#N/A</v>
      </c>
      <c r="AF39" t="e">
        <f>VLOOKUP($I39,'[1]Table S6'!$A:$AI,24,FALSE)</f>
        <v>#N/A</v>
      </c>
      <c r="AG39" t="e">
        <f>VLOOKUP($I39,'[1]Table S6'!$A:$AI,25,FALSE)</f>
        <v>#N/A</v>
      </c>
      <c r="AI39" t="e">
        <f>VLOOKUP($I39,'[1]Table S6'!$A:$AI,27,FALSE)</f>
        <v>#N/A</v>
      </c>
      <c r="AJ39" t="e">
        <f>VLOOKUP($I39,'[1]Table S6'!$A:$AI,28,FALSE)</f>
        <v>#N/A</v>
      </c>
      <c r="AK39" t="e">
        <f>VLOOKUP($I39,'[1]Table S6'!$A:$AI,29,FALSE)</f>
        <v>#N/A</v>
      </c>
      <c r="AL39" t="e">
        <f>VLOOKUP($I39,'[1]Table S6'!$A:$AI,30,FALSE)</f>
        <v>#N/A</v>
      </c>
      <c r="AN39" t="e">
        <f>VLOOKUP($I39,'[1]Table S6'!$A:$AI,32,FALSE)</f>
        <v>#N/A</v>
      </c>
      <c r="AO39" t="e">
        <f>VLOOKUP($I39,'[1]Table S6'!$A:$AI,33,FALSE)</f>
        <v>#N/A</v>
      </c>
      <c r="AP39" t="e">
        <f>VLOOKUP($I39,'[1]Table S6'!$A:$AI,34,FALSE)</f>
        <v>#N/A</v>
      </c>
      <c r="AQ39" t="e">
        <f>VLOOKUP($I39,'[1]Table S6'!$A:$AI,35,FALSE)</f>
        <v>#N/A</v>
      </c>
      <c r="AS39" t="str">
        <f>VLOOKUP($H39,'[2]Table S5'!$A:$K,8,FALSE)</f>
        <v>Resistant</v>
      </c>
      <c r="AT39" t="str">
        <f>VLOOKUP($H39,'[2]Table S5'!$A:$K,9,FALSE)</f>
        <v>Resistant</v>
      </c>
      <c r="AU39" t="str">
        <f>VLOOKUP($H39,'[2]Table S5'!$A:$K,10,FALSE)</f>
        <v>Resistant</v>
      </c>
      <c r="AV39" t="str">
        <f>VLOOKUP($H39,'[2]Table S5'!$A:$K,11,FALSE)</f>
        <v>Resistant</v>
      </c>
    </row>
    <row r="40" spans="1:48">
      <c r="A40" t="s">
        <v>298</v>
      </c>
      <c r="B40" t="s">
        <v>299</v>
      </c>
      <c r="C40" t="s">
        <v>17</v>
      </c>
      <c r="D40" t="s">
        <v>301</v>
      </c>
      <c r="E40" t="s">
        <v>302</v>
      </c>
      <c r="F40" t="s">
        <v>303</v>
      </c>
      <c r="G40" t="s">
        <v>4750</v>
      </c>
      <c r="H40" t="s">
        <v>296</v>
      </c>
      <c r="I40" t="s">
        <v>304</v>
      </c>
      <c r="J40">
        <f>VLOOKUP($I40,'[1]Table S6'!$A:$AI,2,FALSE)</f>
        <v>389.1</v>
      </c>
      <c r="K40">
        <f>VLOOKUP($I40,'[1]Table S6'!$A:$AI,3,FALSE)</f>
        <v>0.82804852096190695</v>
      </c>
      <c r="L40">
        <f>VLOOKUP($I40,'[1]Table S6'!$A:$AI,4,FALSE)</f>
        <v>10.69</v>
      </c>
      <c r="M40" t="str">
        <f>VLOOKUP($I40,'[1]Table S6'!$A:$AI,5,FALSE)</f>
        <v>No</v>
      </c>
      <c r="O40">
        <f>VLOOKUP($I40,'[1]Table S6'!$A:$AI,7,FALSE)</f>
        <v>403.3</v>
      </c>
      <c r="P40">
        <f>VLOOKUP($I40,'[1]Table S6'!$A:$AI,8,FALSE)</f>
        <v>0.85826771653543299</v>
      </c>
      <c r="Q40">
        <f>VLOOKUP($I40,'[1]Table S6'!$A:$AI,9,FALSE)</f>
        <v>18.760000000000002</v>
      </c>
      <c r="R40" t="str">
        <f>VLOOKUP($I40,'[1]Table S6'!$A:$AI,10,FALSE)</f>
        <v>No</v>
      </c>
      <c r="T40">
        <f>VLOOKUP($I40,'[1]Table S6'!$A:$AI,12,FALSE)</f>
        <v>377.4</v>
      </c>
      <c r="U40">
        <f>VLOOKUP($I40,'[1]Table S6'!$A:$AI,13,FALSE)</f>
        <v>0.80314960629921295</v>
      </c>
      <c r="V40">
        <f>VLOOKUP($I40,'[1]Table S6'!$A:$AI,14,FALSE)</f>
        <v>8.6059999999999999</v>
      </c>
      <c r="W40" t="str">
        <f>VLOOKUP($I40,'[1]Table S6'!$A:$AI,15,FALSE)</f>
        <v>No</v>
      </c>
      <c r="Y40">
        <f>VLOOKUP($I40,'[1]Table S6'!$A:$AI,17,FALSE)</f>
        <v>405.4</v>
      </c>
      <c r="Z40">
        <f>VLOOKUP($I40,'[1]Table S6'!$A:$AI,18,FALSE)</f>
        <v>0.86273675250053194</v>
      </c>
      <c r="AA40">
        <f>VLOOKUP($I40,'[1]Table S6'!$A:$AI,19,FALSE)</f>
        <v>19.36</v>
      </c>
      <c r="AB40" t="str">
        <f>VLOOKUP($I40,'[1]Table S6'!$A:$AI,20,FALSE)</f>
        <v>No</v>
      </c>
      <c r="AD40">
        <f>VLOOKUP($I40,'[1]Table S6'!$A:$AI,22,FALSE)</f>
        <v>352.9</v>
      </c>
      <c r="AE40">
        <f>VLOOKUP($I40,'[1]Table S6'!$A:$AI,23,FALSE)</f>
        <v>0.75101085337305795</v>
      </c>
      <c r="AF40">
        <f>VLOOKUP($I40,'[1]Table S6'!$A:$AI,24,FALSE)</f>
        <v>6.3230000000000004</v>
      </c>
      <c r="AG40" t="str">
        <f>VLOOKUP($I40,'[1]Table S6'!$A:$AI,25,FALSE)</f>
        <v>No</v>
      </c>
      <c r="AI40">
        <f>VLOOKUP($I40,'[1]Table S6'!$A:$AI,27,FALSE)</f>
        <v>454.2</v>
      </c>
      <c r="AJ40">
        <f>VLOOKUP($I40,'[1]Table S6'!$A:$AI,28,FALSE)</f>
        <v>0.96658863587997401</v>
      </c>
      <c r="AK40">
        <f>VLOOKUP($I40,'[1]Table S6'!$A:$AI,29,FALSE)</f>
        <v>201.6</v>
      </c>
      <c r="AL40" t="str">
        <f>VLOOKUP($I40,'[1]Table S6'!$A:$AI,30,FALSE)</f>
        <v>No</v>
      </c>
      <c r="AN40">
        <f>VLOOKUP($I40,'[1]Table S6'!$A:$AI,32,FALSE)</f>
        <v>426.5</v>
      </c>
      <c r="AO40">
        <f>VLOOKUP($I40,'[1]Table S6'!$A:$AI,33,FALSE)</f>
        <v>0.90763992338795496</v>
      </c>
      <c r="AP40">
        <f>VLOOKUP($I40,'[1]Table S6'!$A:$AI,34,FALSE)</f>
        <v>139.19999999999999</v>
      </c>
      <c r="AQ40" t="str">
        <f>VLOOKUP($I40,'[1]Table S6'!$A:$AI,35,FALSE)</f>
        <v>No</v>
      </c>
      <c r="AS40" t="str">
        <f>VLOOKUP($H40,'[2]Table S5'!$A:$K,8,FALSE)</f>
        <v>Resistant</v>
      </c>
      <c r="AT40" t="str">
        <f>VLOOKUP($H40,'[2]Table S5'!$A:$K,9,FALSE)</f>
        <v>Resistant</v>
      </c>
      <c r="AU40" t="str">
        <f>VLOOKUP($H40,'[2]Table S5'!$A:$K,10,FALSE)</f>
        <v>Resistant</v>
      </c>
      <c r="AV40" t="str">
        <f>VLOOKUP($H40,'[2]Table S5'!$A:$K,11,FALSE)</f>
        <v>Resistant</v>
      </c>
    </row>
    <row r="41" spans="1:48">
      <c r="A41" t="s">
        <v>306</v>
      </c>
      <c r="B41" t="s">
        <v>307</v>
      </c>
      <c r="C41" t="s">
        <v>17</v>
      </c>
      <c r="D41" t="s">
        <v>309</v>
      </c>
      <c r="E41" t="s">
        <v>310</v>
      </c>
      <c r="F41" t="s">
        <v>311</v>
      </c>
      <c r="G41" t="s">
        <v>4750</v>
      </c>
      <c r="H41" t="s">
        <v>296</v>
      </c>
      <c r="I41" t="s">
        <v>312</v>
      </c>
      <c r="J41">
        <f>VLOOKUP($I41,'[1]Table S6'!$A:$AI,2,FALSE)</f>
        <v>315.39999999999998</v>
      </c>
      <c r="K41">
        <f>VLOOKUP($I41,'[1]Table S6'!$A:$AI,3,FALSE)</f>
        <v>0.67120663971057704</v>
      </c>
      <c r="L41">
        <f>VLOOKUP($I41,'[1]Table S6'!$A:$AI,4,FALSE)</f>
        <v>1.4530000000000001</v>
      </c>
      <c r="M41" t="str">
        <f>VLOOKUP($I41,'[1]Table S6'!$A:$AI,5,FALSE)</f>
        <v>Yes</v>
      </c>
      <c r="O41">
        <f>VLOOKUP($I41,'[1]Table S6'!$A:$AI,7,FALSE)</f>
        <v>392.4</v>
      </c>
      <c r="P41">
        <f>VLOOKUP($I41,'[1]Table S6'!$A:$AI,8,FALSE)</f>
        <v>0.83507129176420503</v>
      </c>
      <c r="Q41">
        <f>VLOOKUP($I41,'[1]Table S6'!$A:$AI,9,FALSE)</f>
        <v>20.87</v>
      </c>
      <c r="R41" t="str">
        <f>VLOOKUP($I41,'[1]Table S6'!$A:$AI,10,FALSE)</f>
        <v>No</v>
      </c>
      <c r="T41">
        <f>VLOOKUP($I41,'[1]Table S6'!$A:$AI,12,FALSE)</f>
        <v>359.5</v>
      </c>
      <c r="U41">
        <f>VLOOKUP($I41,'[1]Table S6'!$A:$AI,13,FALSE)</f>
        <v>0.76505639497765499</v>
      </c>
      <c r="V41">
        <f>VLOOKUP($I41,'[1]Table S6'!$A:$AI,14,FALSE)</f>
        <v>7.1710000000000003</v>
      </c>
      <c r="W41" t="str">
        <f>VLOOKUP($I41,'[1]Table S6'!$A:$AI,15,FALSE)</f>
        <v>No</v>
      </c>
      <c r="Y41">
        <f>VLOOKUP($I41,'[1]Table S6'!$A:$AI,17,FALSE)</f>
        <v>319.8</v>
      </c>
      <c r="Z41">
        <f>VLOOKUP($I41,'[1]Table S6'!$A:$AI,18,FALSE)</f>
        <v>0.68057033411364098</v>
      </c>
      <c r="AA41">
        <f>VLOOKUP($I41,'[1]Table S6'!$A:$AI,19,FALSE)</f>
        <v>1.99</v>
      </c>
      <c r="AB41" t="str">
        <f>VLOOKUP($I41,'[1]Table S6'!$A:$AI,20,FALSE)</f>
        <v>Yes</v>
      </c>
      <c r="AD41">
        <f>VLOOKUP($I41,'[1]Table S6'!$A:$AI,22,FALSE)</f>
        <v>382.5</v>
      </c>
      <c r="AE41">
        <f>VLOOKUP($I41,'[1]Table S6'!$A:$AI,23,FALSE)</f>
        <v>0.81400297935731003</v>
      </c>
      <c r="AF41">
        <f>VLOOKUP($I41,'[1]Table S6'!$A:$AI,24,FALSE)</f>
        <v>12.23</v>
      </c>
      <c r="AG41" t="str">
        <f>VLOOKUP($I41,'[1]Table S6'!$A:$AI,25,FALSE)</f>
        <v>No</v>
      </c>
      <c r="AI41">
        <f>VLOOKUP($I41,'[1]Table S6'!$A:$AI,27,FALSE)</f>
        <v>433.8</v>
      </c>
      <c r="AJ41">
        <f>VLOOKUP($I41,'[1]Table S6'!$A:$AI,28,FALSE)</f>
        <v>0.92317514364758502</v>
      </c>
      <c r="AK41">
        <f>VLOOKUP($I41,'[1]Table S6'!$A:$AI,29,FALSE)</f>
        <v>268.10000000000002</v>
      </c>
      <c r="AL41" t="str">
        <f>VLOOKUP($I41,'[1]Table S6'!$A:$AI,30,FALSE)</f>
        <v>No</v>
      </c>
      <c r="AN41">
        <f>VLOOKUP($I41,'[1]Table S6'!$A:$AI,32,FALSE)</f>
        <v>422.6</v>
      </c>
      <c r="AO41">
        <f>VLOOKUP($I41,'[1]Table S6'!$A:$AI,33,FALSE)</f>
        <v>0.899340285167057</v>
      </c>
      <c r="AP41">
        <f>VLOOKUP($I41,'[1]Table S6'!$A:$AI,34,FALSE)</f>
        <v>92.23</v>
      </c>
      <c r="AQ41" t="str">
        <f>VLOOKUP($I41,'[1]Table S6'!$A:$AI,35,FALSE)</f>
        <v>No</v>
      </c>
      <c r="AS41" t="str">
        <f>VLOOKUP($H41,'[2]Table S5'!$A:$K,8,FALSE)</f>
        <v>Resistant</v>
      </c>
      <c r="AT41" t="str">
        <f>VLOOKUP($H41,'[2]Table S5'!$A:$K,9,FALSE)</f>
        <v>Resistant</v>
      </c>
      <c r="AU41" t="str">
        <f>VLOOKUP($H41,'[2]Table S5'!$A:$K,10,FALSE)</f>
        <v>Resistant</v>
      </c>
      <c r="AV41" t="str">
        <f>VLOOKUP($H41,'[2]Table S5'!$A:$K,11,FALSE)</f>
        <v>Resistant</v>
      </c>
    </row>
    <row r="42" spans="1:48">
      <c r="A42" t="s">
        <v>314</v>
      </c>
      <c r="B42" t="s">
        <v>315</v>
      </c>
      <c r="C42" t="s">
        <v>17</v>
      </c>
      <c r="D42" t="s">
        <v>317</v>
      </c>
      <c r="E42" t="s">
        <v>318</v>
      </c>
      <c r="F42" t="s">
        <v>319</v>
      </c>
      <c r="G42" t="s">
        <v>4750</v>
      </c>
      <c r="H42" t="s">
        <v>296</v>
      </c>
      <c r="I42" t="s">
        <v>320</v>
      </c>
      <c r="J42">
        <f>VLOOKUP($I42,'[1]Table S6'!$A:$AI,2,FALSE)</f>
        <v>383.6</v>
      </c>
      <c r="K42">
        <f>VLOOKUP($I42,'[1]Table S6'!$A:$AI,3,FALSE)</f>
        <v>0.81634390295807602</v>
      </c>
      <c r="L42">
        <f>VLOOKUP($I42,'[1]Table S6'!$A:$AI,4,FALSE)</f>
        <v>11.01</v>
      </c>
      <c r="M42" t="str">
        <f>VLOOKUP($I42,'[1]Table S6'!$A:$AI,5,FALSE)</f>
        <v>No</v>
      </c>
      <c r="O42">
        <f>VLOOKUP($I42,'[1]Table S6'!$A:$AI,7,FALSE)</f>
        <v>391.7</v>
      </c>
      <c r="P42">
        <f>VLOOKUP($I42,'[1]Table S6'!$A:$AI,8,FALSE)</f>
        <v>0.833581613109172</v>
      </c>
      <c r="Q42">
        <f>VLOOKUP($I42,'[1]Table S6'!$A:$AI,9,FALSE)</f>
        <v>19.28</v>
      </c>
      <c r="R42" t="str">
        <f>VLOOKUP($I42,'[1]Table S6'!$A:$AI,10,FALSE)</f>
        <v>No</v>
      </c>
      <c r="T42">
        <f>VLOOKUP($I42,'[1]Table S6'!$A:$AI,12,FALSE)</f>
        <v>378.9</v>
      </c>
      <c r="U42">
        <f>VLOOKUP($I42,'[1]Table S6'!$A:$AI,13,FALSE)</f>
        <v>0.80634177484571201</v>
      </c>
      <c r="V42">
        <f>VLOOKUP($I42,'[1]Table S6'!$A:$AI,14,FALSE)</f>
        <v>8.9009999999999998</v>
      </c>
      <c r="W42" t="str">
        <f>VLOOKUP($I42,'[1]Table S6'!$A:$AI,15,FALSE)</f>
        <v>No</v>
      </c>
      <c r="Y42">
        <f>VLOOKUP($I42,'[1]Table S6'!$A:$AI,17,FALSE)</f>
        <v>384.4</v>
      </c>
      <c r="Z42">
        <f>VLOOKUP($I42,'[1]Table S6'!$A:$AI,18,FALSE)</f>
        <v>0.81804639284954195</v>
      </c>
      <c r="AA42">
        <f>VLOOKUP($I42,'[1]Table S6'!$A:$AI,19,FALSE)</f>
        <v>17.989999999999998</v>
      </c>
      <c r="AB42" t="str">
        <f>VLOOKUP($I42,'[1]Table S6'!$A:$AI,20,FALSE)</f>
        <v>No</v>
      </c>
      <c r="AD42">
        <f>VLOOKUP($I42,'[1]Table S6'!$A:$AI,22,FALSE)</f>
        <v>362.5</v>
      </c>
      <c r="AE42">
        <f>VLOOKUP($I42,'[1]Table S6'!$A:$AI,23,FALSE)</f>
        <v>0.771440732070653</v>
      </c>
      <c r="AF42">
        <f>VLOOKUP($I42,'[1]Table S6'!$A:$AI,24,FALSE)</f>
        <v>9.1289999999999996</v>
      </c>
      <c r="AG42" t="str">
        <f>VLOOKUP($I42,'[1]Table S6'!$A:$AI,25,FALSE)</f>
        <v>No</v>
      </c>
      <c r="AI42">
        <f>VLOOKUP($I42,'[1]Table S6'!$A:$AI,27,FALSE)</f>
        <v>398</v>
      </c>
      <c r="AJ42">
        <f>VLOOKUP($I42,'[1]Table S6'!$A:$AI,28,FALSE)</f>
        <v>0.84698872100446898</v>
      </c>
      <c r="AK42">
        <f>VLOOKUP($I42,'[1]Table S6'!$A:$AI,29,FALSE)</f>
        <v>42.28</v>
      </c>
      <c r="AL42" t="str">
        <f>VLOOKUP($I42,'[1]Table S6'!$A:$AI,30,FALSE)</f>
        <v>No</v>
      </c>
      <c r="AN42">
        <f>VLOOKUP($I42,'[1]Table S6'!$A:$AI,32,FALSE)</f>
        <v>366.5</v>
      </c>
      <c r="AO42">
        <f>VLOOKUP($I42,'[1]Table S6'!$A:$AI,33,FALSE)</f>
        <v>0.77995318152798498</v>
      </c>
      <c r="AP42">
        <f>VLOOKUP($I42,'[1]Table S6'!$A:$AI,34,FALSE)</f>
        <v>10.35</v>
      </c>
      <c r="AQ42" t="str">
        <f>VLOOKUP($I42,'[1]Table S6'!$A:$AI,35,FALSE)</f>
        <v>No</v>
      </c>
      <c r="AS42" t="str">
        <f>VLOOKUP($H42,'[2]Table S5'!$A:$K,8,FALSE)</f>
        <v>Resistant</v>
      </c>
      <c r="AT42" t="str">
        <f>VLOOKUP($H42,'[2]Table S5'!$A:$K,9,FALSE)</f>
        <v>Resistant</v>
      </c>
      <c r="AU42" t="str">
        <f>VLOOKUP($H42,'[2]Table S5'!$A:$K,10,FALSE)</f>
        <v>Resistant</v>
      </c>
      <c r="AV42" t="str">
        <f>VLOOKUP($H42,'[2]Table S5'!$A:$K,11,FALSE)</f>
        <v>Resistant</v>
      </c>
    </row>
    <row r="43" spans="1:48">
      <c r="A43" t="s">
        <v>322</v>
      </c>
      <c r="B43" t="s">
        <v>323</v>
      </c>
      <c r="C43" t="s">
        <v>17</v>
      </c>
      <c r="D43" t="s">
        <v>325</v>
      </c>
      <c r="E43" t="s">
        <v>326</v>
      </c>
      <c r="F43" t="s">
        <v>327</v>
      </c>
      <c r="G43" t="s">
        <v>4751</v>
      </c>
      <c r="H43" t="s">
        <v>296</v>
      </c>
      <c r="I43" t="s">
        <v>304</v>
      </c>
      <c r="J43">
        <f>VLOOKUP($I43,'[1]Table S6'!$A:$AI,2,FALSE)</f>
        <v>389.1</v>
      </c>
      <c r="K43">
        <f>VLOOKUP($I43,'[1]Table S6'!$A:$AI,3,FALSE)</f>
        <v>0.82804852096190695</v>
      </c>
      <c r="L43">
        <f>VLOOKUP($I43,'[1]Table S6'!$A:$AI,4,FALSE)</f>
        <v>10.69</v>
      </c>
      <c r="M43" t="str">
        <f>VLOOKUP($I43,'[1]Table S6'!$A:$AI,5,FALSE)</f>
        <v>No</v>
      </c>
      <c r="O43">
        <f>VLOOKUP($I43,'[1]Table S6'!$A:$AI,7,FALSE)</f>
        <v>403.3</v>
      </c>
      <c r="P43">
        <f>VLOOKUP($I43,'[1]Table S6'!$A:$AI,8,FALSE)</f>
        <v>0.85826771653543299</v>
      </c>
      <c r="Q43">
        <f>VLOOKUP($I43,'[1]Table S6'!$A:$AI,9,FALSE)</f>
        <v>18.760000000000002</v>
      </c>
      <c r="R43" t="str">
        <f>VLOOKUP($I43,'[1]Table S6'!$A:$AI,10,FALSE)</f>
        <v>No</v>
      </c>
      <c r="T43">
        <f>VLOOKUP($I43,'[1]Table S6'!$A:$AI,12,FALSE)</f>
        <v>377.4</v>
      </c>
      <c r="U43">
        <f>VLOOKUP($I43,'[1]Table S6'!$A:$AI,13,FALSE)</f>
        <v>0.80314960629921295</v>
      </c>
      <c r="V43">
        <f>VLOOKUP($I43,'[1]Table S6'!$A:$AI,14,FALSE)</f>
        <v>8.6059999999999999</v>
      </c>
      <c r="W43" t="str">
        <f>VLOOKUP($I43,'[1]Table S6'!$A:$AI,15,FALSE)</f>
        <v>No</v>
      </c>
      <c r="Y43">
        <f>VLOOKUP($I43,'[1]Table S6'!$A:$AI,17,FALSE)</f>
        <v>405.4</v>
      </c>
      <c r="Z43">
        <f>VLOOKUP($I43,'[1]Table S6'!$A:$AI,18,FALSE)</f>
        <v>0.86273675250053194</v>
      </c>
      <c r="AA43">
        <f>VLOOKUP($I43,'[1]Table S6'!$A:$AI,19,FALSE)</f>
        <v>19.36</v>
      </c>
      <c r="AB43" t="str">
        <f>VLOOKUP($I43,'[1]Table S6'!$A:$AI,20,FALSE)</f>
        <v>No</v>
      </c>
      <c r="AD43">
        <f>VLOOKUP($I43,'[1]Table S6'!$A:$AI,22,FALSE)</f>
        <v>352.9</v>
      </c>
      <c r="AE43">
        <f>VLOOKUP($I43,'[1]Table S6'!$A:$AI,23,FALSE)</f>
        <v>0.75101085337305795</v>
      </c>
      <c r="AF43">
        <f>VLOOKUP($I43,'[1]Table S6'!$A:$AI,24,FALSE)</f>
        <v>6.3230000000000004</v>
      </c>
      <c r="AG43" t="str">
        <f>VLOOKUP($I43,'[1]Table S6'!$A:$AI,25,FALSE)</f>
        <v>No</v>
      </c>
      <c r="AI43">
        <f>VLOOKUP($I43,'[1]Table S6'!$A:$AI,27,FALSE)</f>
        <v>454.2</v>
      </c>
      <c r="AJ43">
        <f>VLOOKUP($I43,'[1]Table S6'!$A:$AI,28,FALSE)</f>
        <v>0.96658863587997401</v>
      </c>
      <c r="AK43">
        <f>VLOOKUP($I43,'[1]Table S6'!$A:$AI,29,FALSE)</f>
        <v>201.6</v>
      </c>
      <c r="AL43" t="str">
        <f>VLOOKUP($I43,'[1]Table S6'!$A:$AI,30,FALSE)</f>
        <v>No</v>
      </c>
      <c r="AN43">
        <f>VLOOKUP($I43,'[1]Table S6'!$A:$AI,32,FALSE)</f>
        <v>426.5</v>
      </c>
      <c r="AO43">
        <f>VLOOKUP($I43,'[1]Table S6'!$A:$AI,33,FALSE)</f>
        <v>0.90763992338795496</v>
      </c>
      <c r="AP43">
        <f>VLOOKUP($I43,'[1]Table S6'!$A:$AI,34,FALSE)</f>
        <v>139.19999999999999</v>
      </c>
      <c r="AQ43" t="str">
        <f>VLOOKUP($I43,'[1]Table S6'!$A:$AI,35,FALSE)</f>
        <v>No</v>
      </c>
      <c r="AS43" t="str">
        <f>VLOOKUP($H43,'[2]Table S5'!$A:$K,8,FALSE)</f>
        <v>Resistant</v>
      </c>
      <c r="AT43" t="str">
        <f>VLOOKUP($H43,'[2]Table S5'!$A:$K,9,FALSE)</f>
        <v>Resistant</v>
      </c>
      <c r="AU43" t="str">
        <f>VLOOKUP($H43,'[2]Table S5'!$A:$K,10,FALSE)</f>
        <v>Resistant</v>
      </c>
      <c r="AV43" t="str">
        <f>VLOOKUP($H43,'[2]Table S5'!$A:$K,11,FALSE)</f>
        <v>Resistant</v>
      </c>
    </row>
    <row r="44" spans="1:48">
      <c r="A44" t="s">
        <v>329</v>
      </c>
      <c r="B44" t="s">
        <v>330</v>
      </c>
      <c r="C44" t="s">
        <v>17</v>
      </c>
      <c r="D44" t="s">
        <v>332</v>
      </c>
      <c r="E44" t="s">
        <v>333</v>
      </c>
      <c r="F44" t="s">
        <v>334</v>
      </c>
      <c r="G44" t="s">
        <v>4751</v>
      </c>
      <c r="H44" t="s">
        <v>296</v>
      </c>
      <c r="I44" t="s">
        <v>312</v>
      </c>
      <c r="J44">
        <f>VLOOKUP($I44,'[1]Table S6'!$A:$AI,2,FALSE)</f>
        <v>315.39999999999998</v>
      </c>
      <c r="K44">
        <f>VLOOKUP($I44,'[1]Table S6'!$A:$AI,3,FALSE)</f>
        <v>0.67120663971057704</v>
      </c>
      <c r="L44">
        <f>VLOOKUP($I44,'[1]Table S6'!$A:$AI,4,FALSE)</f>
        <v>1.4530000000000001</v>
      </c>
      <c r="M44" t="str">
        <f>VLOOKUP($I44,'[1]Table S6'!$A:$AI,5,FALSE)</f>
        <v>Yes</v>
      </c>
      <c r="O44">
        <f>VLOOKUP($I44,'[1]Table S6'!$A:$AI,7,FALSE)</f>
        <v>392.4</v>
      </c>
      <c r="P44">
        <f>VLOOKUP($I44,'[1]Table S6'!$A:$AI,8,FALSE)</f>
        <v>0.83507129176420503</v>
      </c>
      <c r="Q44">
        <f>VLOOKUP($I44,'[1]Table S6'!$A:$AI,9,FALSE)</f>
        <v>20.87</v>
      </c>
      <c r="R44" t="str">
        <f>VLOOKUP($I44,'[1]Table S6'!$A:$AI,10,FALSE)</f>
        <v>No</v>
      </c>
      <c r="T44">
        <f>VLOOKUP($I44,'[1]Table S6'!$A:$AI,12,FALSE)</f>
        <v>359.5</v>
      </c>
      <c r="U44">
        <f>VLOOKUP($I44,'[1]Table S6'!$A:$AI,13,FALSE)</f>
        <v>0.76505639497765499</v>
      </c>
      <c r="V44">
        <f>VLOOKUP($I44,'[1]Table S6'!$A:$AI,14,FALSE)</f>
        <v>7.1710000000000003</v>
      </c>
      <c r="W44" t="str">
        <f>VLOOKUP($I44,'[1]Table S6'!$A:$AI,15,FALSE)</f>
        <v>No</v>
      </c>
      <c r="Y44">
        <f>VLOOKUP($I44,'[1]Table S6'!$A:$AI,17,FALSE)</f>
        <v>319.8</v>
      </c>
      <c r="Z44">
        <f>VLOOKUP($I44,'[1]Table S6'!$A:$AI,18,FALSE)</f>
        <v>0.68057033411364098</v>
      </c>
      <c r="AA44">
        <f>VLOOKUP($I44,'[1]Table S6'!$A:$AI,19,FALSE)</f>
        <v>1.99</v>
      </c>
      <c r="AB44" t="str">
        <f>VLOOKUP($I44,'[1]Table S6'!$A:$AI,20,FALSE)</f>
        <v>Yes</v>
      </c>
      <c r="AD44">
        <f>VLOOKUP($I44,'[1]Table S6'!$A:$AI,22,FALSE)</f>
        <v>382.5</v>
      </c>
      <c r="AE44">
        <f>VLOOKUP($I44,'[1]Table S6'!$A:$AI,23,FALSE)</f>
        <v>0.81400297935731003</v>
      </c>
      <c r="AF44">
        <f>VLOOKUP($I44,'[1]Table S6'!$A:$AI,24,FALSE)</f>
        <v>12.23</v>
      </c>
      <c r="AG44" t="str">
        <f>VLOOKUP($I44,'[1]Table S6'!$A:$AI,25,FALSE)</f>
        <v>No</v>
      </c>
      <c r="AI44">
        <f>VLOOKUP($I44,'[1]Table S6'!$A:$AI,27,FALSE)</f>
        <v>433.8</v>
      </c>
      <c r="AJ44">
        <f>VLOOKUP($I44,'[1]Table S6'!$A:$AI,28,FALSE)</f>
        <v>0.92317514364758502</v>
      </c>
      <c r="AK44">
        <f>VLOOKUP($I44,'[1]Table S6'!$A:$AI,29,FALSE)</f>
        <v>268.10000000000002</v>
      </c>
      <c r="AL44" t="str">
        <f>VLOOKUP($I44,'[1]Table S6'!$A:$AI,30,FALSE)</f>
        <v>No</v>
      </c>
      <c r="AN44">
        <f>VLOOKUP($I44,'[1]Table S6'!$A:$AI,32,FALSE)</f>
        <v>422.6</v>
      </c>
      <c r="AO44">
        <f>VLOOKUP($I44,'[1]Table S6'!$A:$AI,33,FALSE)</f>
        <v>0.899340285167057</v>
      </c>
      <c r="AP44">
        <f>VLOOKUP($I44,'[1]Table S6'!$A:$AI,34,FALSE)</f>
        <v>92.23</v>
      </c>
      <c r="AQ44" t="str">
        <f>VLOOKUP($I44,'[1]Table S6'!$A:$AI,35,FALSE)</f>
        <v>No</v>
      </c>
      <c r="AS44" t="str">
        <f>VLOOKUP($H44,'[2]Table S5'!$A:$K,8,FALSE)</f>
        <v>Resistant</v>
      </c>
      <c r="AT44" t="str">
        <f>VLOOKUP($H44,'[2]Table S5'!$A:$K,9,FALSE)</f>
        <v>Resistant</v>
      </c>
      <c r="AU44" t="str">
        <f>VLOOKUP($H44,'[2]Table S5'!$A:$K,10,FALSE)</f>
        <v>Resistant</v>
      </c>
      <c r="AV44" t="str">
        <f>VLOOKUP($H44,'[2]Table S5'!$A:$K,11,FALSE)</f>
        <v>Resistant</v>
      </c>
    </row>
    <row r="45" spans="1:48">
      <c r="A45" t="s">
        <v>336</v>
      </c>
      <c r="B45" t="s">
        <v>337</v>
      </c>
      <c r="C45" t="s">
        <v>17</v>
      </c>
      <c r="D45" t="s">
        <v>339</v>
      </c>
      <c r="E45" t="s">
        <v>340</v>
      </c>
      <c r="F45" t="s">
        <v>341</v>
      </c>
      <c r="G45" t="s">
        <v>4751</v>
      </c>
      <c r="H45" t="s">
        <v>296</v>
      </c>
      <c r="I45" t="s">
        <v>320</v>
      </c>
      <c r="J45">
        <f>VLOOKUP($I45,'[1]Table S6'!$A:$AI,2,FALSE)</f>
        <v>383.6</v>
      </c>
      <c r="K45">
        <f>VLOOKUP($I45,'[1]Table S6'!$A:$AI,3,FALSE)</f>
        <v>0.81634390295807602</v>
      </c>
      <c r="L45">
        <f>VLOOKUP($I45,'[1]Table S6'!$A:$AI,4,FALSE)</f>
        <v>11.01</v>
      </c>
      <c r="M45" t="str">
        <f>VLOOKUP($I45,'[1]Table S6'!$A:$AI,5,FALSE)</f>
        <v>No</v>
      </c>
      <c r="O45">
        <f>VLOOKUP($I45,'[1]Table S6'!$A:$AI,7,FALSE)</f>
        <v>391.7</v>
      </c>
      <c r="P45">
        <f>VLOOKUP($I45,'[1]Table S6'!$A:$AI,8,FALSE)</f>
        <v>0.833581613109172</v>
      </c>
      <c r="Q45">
        <f>VLOOKUP($I45,'[1]Table S6'!$A:$AI,9,FALSE)</f>
        <v>19.28</v>
      </c>
      <c r="R45" t="str">
        <f>VLOOKUP($I45,'[1]Table S6'!$A:$AI,10,FALSE)</f>
        <v>No</v>
      </c>
      <c r="T45">
        <f>VLOOKUP($I45,'[1]Table S6'!$A:$AI,12,FALSE)</f>
        <v>378.9</v>
      </c>
      <c r="U45">
        <f>VLOOKUP($I45,'[1]Table S6'!$A:$AI,13,FALSE)</f>
        <v>0.80634177484571201</v>
      </c>
      <c r="V45">
        <f>VLOOKUP($I45,'[1]Table S6'!$A:$AI,14,FALSE)</f>
        <v>8.9009999999999998</v>
      </c>
      <c r="W45" t="str">
        <f>VLOOKUP($I45,'[1]Table S6'!$A:$AI,15,FALSE)</f>
        <v>No</v>
      </c>
      <c r="Y45">
        <f>VLOOKUP($I45,'[1]Table S6'!$A:$AI,17,FALSE)</f>
        <v>384.4</v>
      </c>
      <c r="Z45">
        <f>VLOOKUP($I45,'[1]Table S6'!$A:$AI,18,FALSE)</f>
        <v>0.81804639284954195</v>
      </c>
      <c r="AA45">
        <f>VLOOKUP($I45,'[1]Table S6'!$A:$AI,19,FALSE)</f>
        <v>17.989999999999998</v>
      </c>
      <c r="AB45" t="str">
        <f>VLOOKUP($I45,'[1]Table S6'!$A:$AI,20,FALSE)</f>
        <v>No</v>
      </c>
      <c r="AD45">
        <f>VLOOKUP($I45,'[1]Table S6'!$A:$AI,22,FALSE)</f>
        <v>362.5</v>
      </c>
      <c r="AE45">
        <f>VLOOKUP($I45,'[1]Table S6'!$A:$AI,23,FALSE)</f>
        <v>0.771440732070653</v>
      </c>
      <c r="AF45">
        <f>VLOOKUP($I45,'[1]Table S6'!$A:$AI,24,FALSE)</f>
        <v>9.1289999999999996</v>
      </c>
      <c r="AG45" t="str">
        <f>VLOOKUP($I45,'[1]Table S6'!$A:$AI,25,FALSE)</f>
        <v>No</v>
      </c>
      <c r="AI45">
        <f>VLOOKUP($I45,'[1]Table S6'!$A:$AI,27,FALSE)</f>
        <v>398</v>
      </c>
      <c r="AJ45">
        <f>VLOOKUP($I45,'[1]Table S6'!$A:$AI,28,FALSE)</f>
        <v>0.84698872100446898</v>
      </c>
      <c r="AK45">
        <f>VLOOKUP($I45,'[1]Table S6'!$A:$AI,29,FALSE)</f>
        <v>42.28</v>
      </c>
      <c r="AL45" t="str">
        <f>VLOOKUP($I45,'[1]Table S6'!$A:$AI,30,FALSE)</f>
        <v>No</v>
      </c>
      <c r="AN45">
        <f>VLOOKUP($I45,'[1]Table S6'!$A:$AI,32,FALSE)</f>
        <v>366.5</v>
      </c>
      <c r="AO45">
        <f>VLOOKUP($I45,'[1]Table S6'!$A:$AI,33,FALSE)</f>
        <v>0.77995318152798498</v>
      </c>
      <c r="AP45">
        <f>VLOOKUP($I45,'[1]Table S6'!$A:$AI,34,FALSE)</f>
        <v>10.35</v>
      </c>
      <c r="AQ45" t="str">
        <f>VLOOKUP($I45,'[1]Table S6'!$A:$AI,35,FALSE)</f>
        <v>No</v>
      </c>
      <c r="AS45" t="str">
        <f>VLOOKUP($H45,'[2]Table S5'!$A:$K,8,FALSE)</f>
        <v>Resistant</v>
      </c>
      <c r="AT45" t="str">
        <f>VLOOKUP($H45,'[2]Table S5'!$A:$K,9,FALSE)</f>
        <v>Resistant</v>
      </c>
      <c r="AU45" t="str">
        <f>VLOOKUP($H45,'[2]Table S5'!$A:$K,10,FALSE)</f>
        <v>Resistant</v>
      </c>
      <c r="AV45" t="str">
        <f>VLOOKUP($H45,'[2]Table S5'!$A:$K,11,FALSE)</f>
        <v>Resistant</v>
      </c>
    </row>
    <row r="46" spans="1:48">
      <c r="A46" t="s">
        <v>343</v>
      </c>
      <c r="B46" t="s">
        <v>344</v>
      </c>
      <c r="C46" t="s">
        <v>17</v>
      </c>
      <c r="D46" t="s">
        <v>346</v>
      </c>
      <c r="E46" t="s">
        <v>347</v>
      </c>
      <c r="F46" t="s">
        <v>348</v>
      </c>
      <c r="G46" t="s">
        <v>4758</v>
      </c>
      <c r="H46" t="s">
        <v>349</v>
      </c>
      <c r="I46" t="s">
        <v>349</v>
      </c>
      <c r="J46" t="e">
        <f>VLOOKUP($I46,'[1]Table S6'!$A:$AI,2,FALSE)</f>
        <v>#N/A</v>
      </c>
      <c r="K46" t="e">
        <f>VLOOKUP($I46,'[1]Table S6'!$A:$AI,3,FALSE)</f>
        <v>#N/A</v>
      </c>
      <c r="L46" t="e">
        <f>VLOOKUP($I46,'[1]Table S6'!$A:$AI,4,FALSE)</f>
        <v>#N/A</v>
      </c>
      <c r="M46" t="e">
        <f>VLOOKUP($I46,'[1]Table S6'!$A:$AI,5,FALSE)</f>
        <v>#N/A</v>
      </c>
      <c r="O46" t="e">
        <f>VLOOKUP($I46,'[1]Table S6'!$A:$AI,7,FALSE)</f>
        <v>#N/A</v>
      </c>
      <c r="P46" t="e">
        <f>VLOOKUP($I46,'[1]Table S6'!$A:$AI,8,FALSE)</f>
        <v>#N/A</v>
      </c>
      <c r="Q46" t="e">
        <f>VLOOKUP($I46,'[1]Table S6'!$A:$AI,9,FALSE)</f>
        <v>#N/A</v>
      </c>
      <c r="R46" t="e">
        <f>VLOOKUP($I46,'[1]Table S6'!$A:$AI,10,FALSE)</f>
        <v>#N/A</v>
      </c>
      <c r="T46" t="e">
        <f>VLOOKUP($I46,'[1]Table S6'!$A:$AI,12,FALSE)</f>
        <v>#N/A</v>
      </c>
      <c r="U46" t="e">
        <f>VLOOKUP($I46,'[1]Table S6'!$A:$AI,13,FALSE)</f>
        <v>#N/A</v>
      </c>
      <c r="V46" t="e">
        <f>VLOOKUP($I46,'[1]Table S6'!$A:$AI,14,FALSE)</f>
        <v>#N/A</v>
      </c>
      <c r="W46" t="e">
        <f>VLOOKUP($I46,'[1]Table S6'!$A:$AI,15,FALSE)</f>
        <v>#N/A</v>
      </c>
      <c r="Y46" t="e">
        <f>VLOOKUP($I46,'[1]Table S6'!$A:$AI,17,FALSE)</f>
        <v>#N/A</v>
      </c>
      <c r="Z46" t="e">
        <f>VLOOKUP($I46,'[1]Table S6'!$A:$AI,18,FALSE)</f>
        <v>#N/A</v>
      </c>
      <c r="AA46" t="e">
        <f>VLOOKUP($I46,'[1]Table S6'!$A:$AI,19,FALSE)</f>
        <v>#N/A</v>
      </c>
      <c r="AB46" t="e">
        <f>VLOOKUP($I46,'[1]Table S6'!$A:$AI,20,FALSE)</f>
        <v>#N/A</v>
      </c>
      <c r="AD46" t="e">
        <f>VLOOKUP($I46,'[1]Table S6'!$A:$AI,22,FALSE)</f>
        <v>#N/A</v>
      </c>
      <c r="AE46" t="e">
        <f>VLOOKUP($I46,'[1]Table S6'!$A:$AI,23,FALSE)</f>
        <v>#N/A</v>
      </c>
      <c r="AF46" t="e">
        <f>VLOOKUP($I46,'[1]Table S6'!$A:$AI,24,FALSE)</f>
        <v>#N/A</v>
      </c>
      <c r="AG46" t="e">
        <f>VLOOKUP($I46,'[1]Table S6'!$A:$AI,25,FALSE)</f>
        <v>#N/A</v>
      </c>
      <c r="AI46" t="e">
        <f>VLOOKUP($I46,'[1]Table S6'!$A:$AI,27,FALSE)</f>
        <v>#N/A</v>
      </c>
      <c r="AJ46" t="e">
        <f>VLOOKUP($I46,'[1]Table S6'!$A:$AI,28,FALSE)</f>
        <v>#N/A</v>
      </c>
      <c r="AK46" t="e">
        <f>VLOOKUP($I46,'[1]Table S6'!$A:$AI,29,FALSE)</f>
        <v>#N/A</v>
      </c>
      <c r="AL46" t="e">
        <f>VLOOKUP($I46,'[1]Table S6'!$A:$AI,30,FALSE)</f>
        <v>#N/A</v>
      </c>
      <c r="AN46" t="e">
        <f>VLOOKUP($I46,'[1]Table S6'!$A:$AI,32,FALSE)</f>
        <v>#N/A</v>
      </c>
      <c r="AO46" t="e">
        <f>VLOOKUP($I46,'[1]Table S6'!$A:$AI,33,FALSE)</f>
        <v>#N/A</v>
      </c>
      <c r="AP46" t="e">
        <f>VLOOKUP($I46,'[1]Table S6'!$A:$AI,34,FALSE)</f>
        <v>#N/A</v>
      </c>
      <c r="AQ46" t="e">
        <f>VLOOKUP($I46,'[1]Table S6'!$A:$AI,35,FALSE)</f>
        <v>#N/A</v>
      </c>
      <c r="AS46" t="str">
        <f>VLOOKUP($H46,'[2]Table S5'!$A:$K,8,FALSE)</f>
        <v>Sensitive</v>
      </c>
      <c r="AT46" t="str">
        <f>VLOOKUP($H46,'[2]Table S5'!$A:$K,9,FALSE)</f>
        <v>Resistant</v>
      </c>
      <c r="AU46" t="str">
        <f>VLOOKUP($H46,'[2]Table S5'!$A:$K,10,FALSE)</f>
        <v>Resistant</v>
      </c>
      <c r="AV46" t="str">
        <f>VLOOKUP($H46,'[2]Table S5'!$A:$K,11,FALSE)</f>
        <v>Sensitive</v>
      </c>
    </row>
    <row r="47" spans="1:48">
      <c r="A47" t="s">
        <v>351</v>
      </c>
      <c r="B47" t="s">
        <v>352</v>
      </c>
      <c r="C47" t="s">
        <v>17</v>
      </c>
      <c r="D47" t="s">
        <v>354</v>
      </c>
      <c r="E47" t="s">
        <v>355</v>
      </c>
      <c r="F47" t="s">
        <v>356</v>
      </c>
      <c r="G47" t="s">
        <v>4750</v>
      </c>
      <c r="H47" t="s">
        <v>349</v>
      </c>
      <c r="I47" t="s">
        <v>357</v>
      </c>
      <c r="J47">
        <f>VLOOKUP($I47,'[1]Table S6'!$A:$AI,2,FALSE)</f>
        <v>270</v>
      </c>
      <c r="K47">
        <f>VLOOKUP($I47,'[1]Table S6'!$A:$AI,3,FALSE)</f>
        <v>0.57459033836986595</v>
      </c>
      <c r="L47">
        <f>VLOOKUP($I47,'[1]Table S6'!$A:$AI,4,FALSE)</f>
        <v>0.45100000000000001</v>
      </c>
      <c r="M47" t="str">
        <f>VLOOKUP($I47,'[1]Table S6'!$A:$AI,5,FALSE)</f>
        <v>Yes</v>
      </c>
      <c r="O47">
        <f>VLOOKUP($I47,'[1]Table S6'!$A:$AI,7,FALSE)</f>
        <v>347.2</v>
      </c>
      <c r="P47">
        <f>VLOOKUP($I47,'[1]Table S6'!$A:$AI,8,FALSE)</f>
        <v>0.73888061289636098</v>
      </c>
      <c r="Q47">
        <f>VLOOKUP($I47,'[1]Table S6'!$A:$AI,9,FALSE)</f>
        <v>3.0579999999999998</v>
      </c>
      <c r="R47" t="str">
        <f>VLOOKUP($I47,'[1]Table S6'!$A:$AI,10,FALSE)</f>
        <v>No</v>
      </c>
      <c r="T47">
        <f>VLOOKUP($I47,'[1]Table S6'!$A:$AI,12,FALSE)</f>
        <v>335.9</v>
      </c>
      <c r="U47">
        <f>VLOOKUP($I47,'[1]Table S6'!$A:$AI,13,FALSE)</f>
        <v>0.71483294317940005</v>
      </c>
      <c r="V47">
        <f>VLOOKUP($I47,'[1]Table S6'!$A:$AI,14,FALSE)</f>
        <v>3.16</v>
      </c>
      <c r="W47" t="str">
        <f>VLOOKUP($I47,'[1]Table S6'!$A:$AI,15,FALSE)</f>
        <v>No</v>
      </c>
      <c r="Y47">
        <f>VLOOKUP($I47,'[1]Table S6'!$A:$AI,17,FALSE)</f>
        <v>295.8</v>
      </c>
      <c r="Z47">
        <f>VLOOKUP($I47,'[1]Table S6'!$A:$AI,18,FALSE)</f>
        <v>0.62949563736965297</v>
      </c>
      <c r="AA47">
        <f>VLOOKUP($I47,'[1]Table S6'!$A:$AI,19,FALSE)</f>
        <v>1.486</v>
      </c>
      <c r="AB47" t="str">
        <f>VLOOKUP($I47,'[1]Table S6'!$A:$AI,20,FALSE)</f>
        <v>Yes</v>
      </c>
      <c r="AD47">
        <f>VLOOKUP($I47,'[1]Table S6'!$A:$AI,22,FALSE)</f>
        <v>322.60000000000002</v>
      </c>
      <c r="AE47">
        <f>VLOOKUP($I47,'[1]Table S6'!$A:$AI,23,FALSE)</f>
        <v>0.68652904873377296</v>
      </c>
      <c r="AF47">
        <f>VLOOKUP($I47,'[1]Table S6'!$A:$AI,24,FALSE)</f>
        <v>2.5449999999999999</v>
      </c>
      <c r="AG47" t="str">
        <f>VLOOKUP($I47,'[1]Table S6'!$A:$AI,25,FALSE)</f>
        <v>Yes</v>
      </c>
      <c r="AI47">
        <f>VLOOKUP($I47,'[1]Table S6'!$A:$AI,27,FALSE)</f>
        <v>417.3</v>
      </c>
      <c r="AJ47">
        <f>VLOOKUP($I47,'[1]Table S6'!$A:$AI,28,FALSE)</f>
        <v>0.88806128963609299</v>
      </c>
      <c r="AK47">
        <f>VLOOKUP($I47,'[1]Table S6'!$A:$AI,29,FALSE)</f>
        <v>134.1</v>
      </c>
      <c r="AL47" t="str">
        <f>VLOOKUP($I47,'[1]Table S6'!$A:$AI,30,FALSE)</f>
        <v>No</v>
      </c>
      <c r="AN47">
        <f>VLOOKUP($I47,'[1]Table S6'!$A:$AI,32,FALSE)</f>
        <v>380.5</v>
      </c>
      <c r="AO47">
        <f>VLOOKUP($I47,'[1]Table S6'!$A:$AI,33,FALSE)</f>
        <v>0.80974675462864398</v>
      </c>
      <c r="AP47">
        <f>VLOOKUP($I47,'[1]Table S6'!$A:$AI,34,FALSE)</f>
        <v>60.05</v>
      </c>
      <c r="AQ47" t="str">
        <f>VLOOKUP($I47,'[1]Table S6'!$A:$AI,35,FALSE)</f>
        <v>No</v>
      </c>
      <c r="AS47" t="str">
        <f>VLOOKUP($H47,'[2]Table S5'!$A:$K,8,FALSE)</f>
        <v>Sensitive</v>
      </c>
      <c r="AT47" t="str">
        <f>VLOOKUP($H47,'[2]Table S5'!$A:$K,9,FALSE)</f>
        <v>Resistant</v>
      </c>
      <c r="AU47" t="str">
        <f>VLOOKUP($H47,'[2]Table S5'!$A:$K,10,FALSE)</f>
        <v>Resistant</v>
      </c>
      <c r="AV47" t="str">
        <f>VLOOKUP($H47,'[2]Table S5'!$A:$K,11,FALSE)</f>
        <v>Sensitive</v>
      </c>
    </row>
    <row r="48" spans="1:48">
      <c r="A48" t="s">
        <v>359</v>
      </c>
      <c r="B48" t="s">
        <v>360</v>
      </c>
      <c r="C48" t="s">
        <v>17</v>
      </c>
      <c r="D48" t="s">
        <v>362</v>
      </c>
      <c r="E48" t="s">
        <v>363</v>
      </c>
      <c r="F48" t="s">
        <v>364</v>
      </c>
      <c r="G48" t="s">
        <v>4750</v>
      </c>
      <c r="H48" t="s">
        <v>349</v>
      </c>
      <c r="I48" t="s">
        <v>365</v>
      </c>
      <c r="J48">
        <f>VLOOKUP($I48,'[1]Table S6'!$A:$AI,2,FALSE)</f>
        <v>301.3</v>
      </c>
      <c r="K48">
        <f>VLOOKUP($I48,'[1]Table S6'!$A:$AI,3,FALSE)</f>
        <v>0.64120025537348402</v>
      </c>
      <c r="L48">
        <f>VLOOKUP($I48,'[1]Table S6'!$A:$AI,4,FALSE)</f>
        <v>1.139</v>
      </c>
      <c r="M48" t="str">
        <f>VLOOKUP($I48,'[1]Table S6'!$A:$AI,5,FALSE)</f>
        <v>Yes</v>
      </c>
      <c r="O48">
        <f>VLOOKUP($I48,'[1]Table S6'!$A:$AI,7,FALSE)</f>
        <v>321.10000000000002</v>
      </c>
      <c r="P48">
        <f>VLOOKUP($I48,'[1]Table S6'!$A:$AI,8,FALSE)</f>
        <v>0.68333688018727401</v>
      </c>
      <c r="Q48">
        <f>VLOOKUP($I48,'[1]Table S6'!$A:$AI,9,FALSE)</f>
        <v>1.75</v>
      </c>
      <c r="R48" t="str">
        <f>VLOOKUP($I48,'[1]Table S6'!$A:$AI,10,FALSE)</f>
        <v>Yes</v>
      </c>
      <c r="T48">
        <f>VLOOKUP($I48,'[1]Table S6'!$A:$AI,12,FALSE)</f>
        <v>364.7</v>
      </c>
      <c r="U48">
        <f>VLOOKUP($I48,'[1]Table S6'!$A:$AI,13,FALSE)</f>
        <v>0.77612257927218598</v>
      </c>
      <c r="V48">
        <f>VLOOKUP($I48,'[1]Table S6'!$A:$AI,14,FALSE)</f>
        <v>12.64</v>
      </c>
      <c r="W48" t="str">
        <f>VLOOKUP($I48,'[1]Table S6'!$A:$AI,15,FALSE)</f>
        <v>No</v>
      </c>
      <c r="Y48">
        <f>VLOOKUP($I48,'[1]Table S6'!$A:$AI,17,FALSE)</f>
        <v>306.2</v>
      </c>
      <c r="Z48">
        <f>VLOOKUP($I48,'[1]Table S6'!$A:$AI,18,FALSE)</f>
        <v>0.65162800595871495</v>
      </c>
      <c r="AA48">
        <f>VLOOKUP($I48,'[1]Table S6'!$A:$AI,19,FALSE)</f>
        <v>1.393</v>
      </c>
      <c r="AB48" t="str">
        <f>VLOOKUP($I48,'[1]Table S6'!$A:$AI,20,FALSE)</f>
        <v>Yes</v>
      </c>
      <c r="AD48">
        <f>VLOOKUP($I48,'[1]Table S6'!$A:$AI,22,FALSE)</f>
        <v>375.4</v>
      </c>
      <c r="AE48">
        <f>VLOOKUP($I48,'[1]Table S6'!$A:$AI,23,FALSE)</f>
        <v>0.79889338157054701</v>
      </c>
      <c r="AF48">
        <f>VLOOKUP($I48,'[1]Table S6'!$A:$AI,24,FALSE)</f>
        <v>14.79</v>
      </c>
      <c r="AG48" t="str">
        <f>VLOOKUP($I48,'[1]Table S6'!$A:$AI,25,FALSE)</f>
        <v>No</v>
      </c>
      <c r="AI48">
        <f>VLOOKUP($I48,'[1]Table S6'!$A:$AI,27,FALSE)</f>
        <v>407.5</v>
      </c>
      <c r="AJ48">
        <f>VLOOKUP($I48,'[1]Table S6'!$A:$AI,28,FALSE)</f>
        <v>0.86720578846563101</v>
      </c>
      <c r="AK48">
        <f>VLOOKUP($I48,'[1]Table S6'!$A:$AI,29,FALSE)</f>
        <v>108.3</v>
      </c>
      <c r="AL48" t="str">
        <f>VLOOKUP($I48,'[1]Table S6'!$A:$AI,30,FALSE)</f>
        <v>No</v>
      </c>
      <c r="AN48">
        <f>VLOOKUP($I48,'[1]Table S6'!$A:$AI,32,FALSE)</f>
        <v>390.1</v>
      </c>
      <c r="AO48">
        <f>VLOOKUP($I48,'[1]Table S6'!$A:$AI,33,FALSE)</f>
        <v>0.83017663332624003</v>
      </c>
      <c r="AP48">
        <f>VLOOKUP($I48,'[1]Table S6'!$A:$AI,34,FALSE)</f>
        <v>95.6</v>
      </c>
      <c r="AQ48" t="str">
        <f>VLOOKUP($I48,'[1]Table S6'!$A:$AI,35,FALSE)</f>
        <v>No</v>
      </c>
      <c r="AS48" t="str">
        <f>VLOOKUP($H48,'[2]Table S5'!$A:$K,8,FALSE)</f>
        <v>Sensitive</v>
      </c>
      <c r="AT48" t="str">
        <f>VLOOKUP($H48,'[2]Table S5'!$A:$K,9,FALSE)</f>
        <v>Resistant</v>
      </c>
      <c r="AU48" t="str">
        <f>VLOOKUP($H48,'[2]Table S5'!$A:$K,10,FALSE)</f>
        <v>Resistant</v>
      </c>
      <c r="AV48" t="str">
        <f>VLOOKUP($H48,'[2]Table S5'!$A:$K,11,FALSE)</f>
        <v>Sensitive</v>
      </c>
    </row>
    <row r="49" spans="1:48">
      <c r="A49" t="s">
        <v>367</v>
      </c>
      <c r="B49" t="s">
        <v>368</v>
      </c>
      <c r="C49" t="s">
        <v>17</v>
      </c>
      <c r="D49" t="s">
        <v>370</v>
      </c>
      <c r="E49" t="s">
        <v>371</v>
      </c>
      <c r="F49" t="s">
        <v>372</v>
      </c>
      <c r="G49" t="s">
        <v>4750</v>
      </c>
      <c r="H49" t="s">
        <v>349</v>
      </c>
      <c r="I49" t="s">
        <v>373</v>
      </c>
      <c r="J49">
        <f>VLOOKUP($I49,'[1]Table S6'!$A:$AI,2,FALSE)</f>
        <v>308.10000000000002</v>
      </c>
      <c r="K49">
        <f>VLOOKUP($I49,'[1]Table S6'!$A:$AI,3,FALSE)</f>
        <v>0.65567141945094698</v>
      </c>
      <c r="L49">
        <f>VLOOKUP($I49,'[1]Table S6'!$A:$AI,4,FALSE)</f>
        <v>1.2869999999999999</v>
      </c>
      <c r="M49" t="str">
        <f>VLOOKUP($I49,'[1]Table S6'!$A:$AI,5,FALSE)</f>
        <v>Yes</v>
      </c>
      <c r="O49">
        <f>VLOOKUP($I49,'[1]Table S6'!$A:$AI,7,FALSE)</f>
        <v>319.10000000000002</v>
      </c>
      <c r="P49">
        <f>VLOOKUP($I49,'[1]Table S6'!$A:$AI,8,FALSE)</f>
        <v>0.67908065545860796</v>
      </c>
      <c r="Q49">
        <f>VLOOKUP($I49,'[1]Table S6'!$A:$AI,9,FALSE)</f>
        <v>1.6619999999999999</v>
      </c>
      <c r="R49" t="str">
        <f>VLOOKUP($I49,'[1]Table S6'!$A:$AI,10,FALSE)</f>
        <v>Yes</v>
      </c>
      <c r="T49">
        <f>VLOOKUP($I49,'[1]Table S6'!$A:$AI,12,FALSE)</f>
        <v>306.7</v>
      </c>
      <c r="U49">
        <f>VLOOKUP($I49,'[1]Table S6'!$A:$AI,13,FALSE)</f>
        <v>0.65269206214088105</v>
      </c>
      <c r="V49">
        <f>VLOOKUP($I49,'[1]Table S6'!$A:$AI,14,FALSE)</f>
        <v>1.395</v>
      </c>
      <c r="W49" t="str">
        <f>VLOOKUP($I49,'[1]Table S6'!$A:$AI,15,FALSE)</f>
        <v>Yes</v>
      </c>
      <c r="Y49">
        <f>VLOOKUP($I49,'[1]Table S6'!$A:$AI,17,FALSE)</f>
        <v>297.5</v>
      </c>
      <c r="Z49">
        <f>VLOOKUP($I49,'[1]Table S6'!$A:$AI,18,FALSE)</f>
        <v>0.63311342838901896</v>
      </c>
      <c r="AA49">
        <f>VLOOKUP($I49,'[1]Table S6'!$A:$AI,19,FALSE)</f>
        <v>1.1619999999999999</v>
      </c>
      <c r="AB49" t="str">
        <f>VLOOKUP($I49,'[1]Table S6'!$A:$AI,20,FALSE)</f>
        <v>Yes</v>
      </c>
      <c r="AD49">
        <f>VLOOKUP($I49,'[1]Table S6'!$A:$AI,22,FALSE)</f>
        <v>418.5</v>
      </c>
      <c r="AE49">
        <f>VLOOKUP($I49,'[1]Table S6'!$A:$AI,23,FALSE)</f>
        <v>0.89061502447329199</v>
      </c>
      <c r="AF49">
        <f>VLOOKUP($I49,'[1]Table S6'!$A:$AI,24,FALSE)</f>
        <v>46.33</v>
      </c>
      <c r="AG49" t="str">
        <f>VLOOKUP($I49,'[1]Table S6'!$A:$AI,25,FALSE)</f>
        <v>No</v>
      </c>
      <c r="AI49">
        <f>VLOOKUP($I49,'[1]Table S6'!$A:$AI,27,FALSE)</f>
        <v>442.1</v>
      </c>
      <c r="AJ49">
        <f>VLOOKUP($I49,'[1]Table S6'!$A:$AI,28,FALSE)</f>
        <v>0.94083847627154704</v>
      </c>
      <c r="AK49">
        <f>VLOOKUP($I49,'[1]Table S6'!$A:$AI,29,FALSE)</f>
        <v>249.8</v>
      </c>
      <c r="AL49" t="str">
        <f>VLOOKUP($I49,'[1]Table S6'!$A:$AI,30,FALSE)</f>
        <v>No</v>
      </c>
      <c r="AN49">
        <f>VLOOKUP($I49,'[1]Table S6'!$A:$AI,32,FALSE)</f>
        <v>439.8</v>
      </c>
      <c r="AO49">
        <f>VLOOKUP($I49,'[1]Table S6'!$A:$AI,33,FALSE)</f>
        <v>0.93594381783358205</v>
      </c>
      <c r="AP49">
        <f>VLOOKUP($I49,'[1]Table S6'!$A:$AI,34,FALSE)</f>
        <v>229.8</v>
      </c>
      <c r="AQ49" t="str">
        <f>VLOOKUP($I49,'[1]Table S6'!$A:$AI,35,FALSE)</f>
        <v>No</v>
      </c>
      <c r="AS49" t="str">
        <f>VLOOKUP($H49,'[2]Table S5'!$A:$K,8,FALSE)</f>
        <v>Sensitive</v>
      </c>
      <c r="AT49" t="str">
        <f>VLOOKUP($H49,'[2]Table S5'!$A:$K,9,FALSE)</f>
        <v>Resistant</v>
      </c>
      <c r="AU49" t="str">
        <f>VLOOKUP($H49,'[2]Table S5'!$A:$K,10,FALSE)</f>
        <v>Resistant</v>
      </c>
      <c r="AV49" t="str">
        <f>VLOOKUP($H49,'[2]Table S5'!$A:$K,11,FALSE)</f>
        <v>Sensitive</v>
      </c>
    </row>
    <row r="50" spans="1:48">
      <c r="A50" t="s">
        <v>375</v>
      </c>
      <c r="B50" t="s">
        <v>376</v>
      </c>
      <c r="C50" t="s">
        <v>17</v>
      </c>
      <c r="D50" t="s">
        <v>378</v>
      </c>
      <c r="E50" t="s">
        <v>379</v>
      </c>
      <c r="F50" t="s">
        <v>380</v>
      </c>
      <c r="G50" t="s">
        <v>4750</v>
      </c>
      <c r="H50" t="s">
        <v>349</v>
      </c>
      <c r="I50" t="s">
        <v>381</v>
      </c>
      <c r="J50">
        <f>VLOOKUP($I50,'[1]Table S6'!$A:$AI,2,FALSE)</f>
        <v>304.3</v>
      </c>
      <c r="K50">
        <f>VLOOKUP($I50,'[1]Table S6'!$A:$AI,3,FALSE)</f>
        <v>0.64758459246648203</v>
      </c>
      <c r="L50">
        <f>VLOOKUP($I50,'[1]Table S6'!$A:$AI,4,FALSE)</f>
        <v>1.1519999999999999</v>
      </c>
      <c r="M50" t="str">
        <f>VLOOKUP($I50,'[1]Table S6'!$A:$AI,5,FALSE)</f>
        <v>Yes</v>
      </c>
      <c r="O50">
        <f>VLOOKUP($I50,'[1]Table S6'!$A:$AI,7,FALSE)</f>
        <v>294.89999999999998</v>
      </c>
      <c r="P50">
        <f>VLOOKUP($I50,'[1]Table S6'!$A:$AI,8,FALSE)</f>
        <v>0.62758033624175402</v>
      </c>
      <c r="Q50">
        <f>VLOOKUP($I50,'[1]Table S6'!$A:$AI,9,FALSE)</f>
        <v>0.94069999999999998</v>
      </c>
      <c r="R50" t="str">
        <f>VLOOKUP($I50,'[1]Table S6'!$A:$AI,10,FALSE)</f>
        <v>Yes</v>
      </c>
      <c r="T50">
        <f>VLOOKUP($I50,'[1]Table S6'!$A:$AI,12,FALSE)</f>
        <v>287.7</v>
      </c>
      <c r="U50">
        <f>VLOOKUP($I50,'[1]Table S6'!$A:$AI,13,FALSE)</f>
        <v>0.61225792721855699</v>
      </c>
      <c r="V50">
        <f>VLOOKUP($I50,'[1]Table S6'!$A:$AI,14,FALSE)</f>
        <v>0.97889999999999999</v>
      </c>
      <c r="W50" t="str">
        <f>VLOOKUP($I50,'[1]Table S6'!$A:$AI,15,FALSE)</f>
        <v>Yes</v>
      </c>
      <c r="Y50">
        <f>VLOOKUP($I50,'[1]Table S6'!$A:$AI,17,FALSE)</f>
        <v>317.7</v>
      </c>
      <c r="Z50">
        <f>VLOOKUP($I50,'[1]Table S6'!$A:$AI,18,FALSE)</f>
        <v>0.67610129814854203</v>
      </c>
      <c r="AA50">
        <f>VLOOKUP($I50,'[1]Table S6'!$A:$AI,19,FALSE)</f>
        <v>1.728</v>
      </c>
      <c r="AB50" t="str">
        <f>VLOOKUP($I50,'[1]Table S6'!$A:$AI,20,FALSE)</f>
        <v>Yes</v>
      </c>
      <c r="AD50">
        <f>VLOOKUP($I50,'[1]Table S6'!$A:$AI,22,FALSE)</f>
        <v>415.6</v>
      </c>
      <c r="AE50">
        <f>VLOOKUP($I50,'[1]Table S6'!$A:$AI,23,FALSE)</f>
        <v>0.884443498616727</v>
      </c>
      <c r="AF50">
        <f>VLOOKUP($I50,'[1]Table S6'!$A:$AI,24,FALSE)</f>
        <v>72.55</v>
      </c>
      <c r="AG50" t="str">
        <f>VLOOKUP($I50,'[1]Table S6'!$A:$AI,25,FALSE)</f>
        <v>No</v>
      </c>
      <c r="AI50">
        <f>VLOOKUP($I50,'[1]Table S6'!$A:$AI,27,FALSE)</f>
        <v>417.6</v>
      </c>
      <c r="AJ50">
        <f>VLOOKUP($I50,'[1]Table S6'!$A:$AI,28,FALSE)</f>
        <v>0.88869972334539304</v>
      </c>
      <c r="AK50">
        <f>VLOOKUP($I50,'[1]Table S6'!$A:$AI,29,FALSE)</f>
        <v>57.92</v>
      </c>
      <c r="AL50" t="str">
        <f>VLOOKUP($I50,'[1]Table S6'!$A:$AI,30,FALSE)</f>
        <v>No</v>
      </c>
      <c r="AN50">
        <f>VLOOKUP($I50,'[1]Table S6'!$A:$AI,32,FALSE)</f>
        <v>415.2</v>
      </c>
      <c r="AO50">
        <f>VLOOKUP($I50,'[1]Table S6'!$A:$AI,33,FALSE)</f>
        <v>0.88359225367099403</v>
      </c>
      <c r="AP50">
        <f>VLOOKUP($I50,'[1]Table S6'!$A:$AI,34,FALSE)</f>
        <v>60.58</v>
      </c>
      <c r="AQ50" t="str">
        <f>VLOOKUP($I50,'[1]Table S6'!$A:$AI,35,FALSE)</f>
        <v>No</v>
      </c>
      <c r="AS50" t="str">
        <f>VLOOKUP($H50,'[2]Table S5'!$A:$K,8,FALSE)</f>
        <v>Sensitive</v>
      </c>
      <c r="AT50" t="str">
        <f>VLOOKUP($H50,'[2]Table S5'!$A:$K,9,FALSE)</f>
        <v>Resistant</v>
      </c>
      <c r="AU50" t="str">
        <f>VLOOKUP($H50,'[2]Table S5'!$A:$K,10,FALSE)</f>
        <v>Resistant</v>
      </c>
      <c r="AV50" t="str">
        <f>VLOOKUP($H50,'[2]Table S5'!$A:$K,11,FALSE)</f>
        <v>Sensitive</v>
      </c>
    </row>
    <row r="51" spans="1:48">
      <c r="A51" t="s">
        <v>383</v>
      </c>
      <c r="B51" t="s">
        <v>384</v>
      </c>
      <c r="C51" t="s">
        <v>17</v>
      </c>
      <c r="D51" t="s">
        <v>386</v>
      </c>
      <c r="E51" t="s">
        <v>387</v>
      </c>
      <c r="F51" t="s">
        <v>388</v>
      </c>
      <c r="G51" t="s">
        <v>4751</v>
      </c>
      <c r="H51" t="s">
        <v>349</v>
      </c>
      <c r="I51" t="s">
        <v>357</v>
      </c>
      <c r="J51">
        <f>VLOOKUP($I51,'[1]Table S6'!$A:$AI,2,FALSE)</f>
        <v>270</v>
      </c>
      <c r="K51">
        <f>VLOOKUP($I51,'[1]Table S6'!$A:$AI,3,FALSE)</f>
        <v>0.57459033836986595</v>
      </c>
      <c r="L51">
        <f>VLOOKUP($I51,'[1]Table S6'!$A:$AI,4,FALSE)</f>
        <v>0.45100000000000001</v>
      </c>
      <c r="M51" t="str">
        <f>VLOOKUP($I51,'[1]Table S6'!$A:$AI,5,FALSE)</f>
        <v>Yes</v>
      </c>
      <c r="O51">
        <f>VLOOKUP($I51,'[1]Table S6'!$A:$AI,7,FALSE)</f>
        <v>347.2</v>
      </c>
      <c r="P51">
        <f>VLOOKUP($I51,'[1]Table S6'!$A:$AI,8,FALSE)</f>
        <v>0.73888061289636098</v>
      </c>
      <c r="Q51">
        <f>VLOOKUP($I51,'[1]Table S6'!$A:$AI,9,FALSE)</f>
        <v>3.0579999999999998</v>
      </c>
      <c r="R51" t="str">
        <f>VLOOKUP($I51,'[1]Table S6'!$A:$AI,10,FALSE)</f>
        <v>No</v>
      </c>
      <c r="T51">
        <f>VLOOKUP($I51,'[1]Table S6'!$A:$AI,12,FALSE)</f>
        <v>335.9</v>
      </c>
      <c r="U51">
        <f>VLOOKUP($I51,'[1]Table S6'!$A:$AI,13,FALSE)</f>
        <v>0.71483294317940005</v>
      </c>
      <c r="V51">
        <f>VLOOKUP($I51,'[1]Table S6'!$A:$AI,14,FALSE)</f>
        <v>3.16</v>
      </c>
      <c r="W51" t="str">
        <f>VLOOKUP($I51,'[1]Table S6'!$A:$AI,15,FALSE)</f>
        <v>No</v>
      </c>
      <c r="Y51">
        <f>VLOOKUP($I51,'[1]Table S6'!$A:$AI,17,FALSE)</f>
        <v>295.8</v>
      </c>
      <c r="Z51">
        <f>VLOOKUP($I51,'[1]Table S6'!$A:$AI,18,FALSE)</f>
        <v>0.62949563736965297</v>
      </c>
      <c r="AA51">
        <f>VLOOKUP($I51,'[1]Table S6'!$A:$AI,19,FALSE)</f>
        <v>1.486</v>
      </c>
      <c r="AB51" t="str">
        <f>VLOOKUP($I51,'[1]Table S6'!$A:$AI,20,FALSE)</f>
        <v>Yes</v>
      </c>
      <c r="AD51">
        <f>VLOOKUP($I51,'[1]Table S6'!$A:$AI,22,FALSE)</f>
        <v>322.60000000000002</v>
      </c>
      <c r="AE51">
        <f>VLOOKUP($I51,'[1]Table S6'!$A:$AI,23,FALSE)</f>
        <v>0.68652904873377296</v>
      </c>
      <c r="AF51">
        <f>VLOOKUP($I51,'[1]Table S6'!$A:$AI,24,FALSE)</f>
        <v>2.5449999999999999</v>
      </c>
      <c r="AG51" t="str">
        <f>VLOOKUP($I51,'[1]Table S6'!$A:$AI,25,FALSE)</f>
        <v>Yes</v>
      </c>
      <c r="AI51">
        <f>VLOOKUP($I51,'[1]Table S6'!$A:$AI,27,FALSE)</f>
        <v>417.3</v>
      </c>
      <c r="AJ51">
        <f>VLOOKUP($I51,'[1]Table S6'!$A:$AI,28,FALSE)</f>
        <v>0.88806128963609299</v>
      </c>
      <c r="AK51">
        <f>VLOOKUP($I51,'[1]Table S6'!$A:$AI,29,FALSE)</f>
        <v>134.1</v>
      </c>
      <c r="AL51" t="str">
        <f>VLOOKUP($I51,'[1]Table S6'!$A:$AI,30,FALSE)</f>
        <v>No</v>
      </c>
      <c r="AN51">
        <f>VLOOKUP($I51,'[1]Table S6'!$A:$AI,32,FALSE)</f>
        <v>380.5</v>
      </c>
      <c r="AO51">
        <f>VLOOKUP($I51,'[1]Table S6'!$A:$AI,33,FALSE)</f>
        <v>0.80974675462864398</v>
      </c>
      <c r="AP51">
        <f>VLOOKUP($I51,'[1]Table S6'!$A:$AI,34,FALSE)</f>
        <v>60.05</v>
      </c>
      <c r="AQ51" t="str">
        <f>VLOOKUP($I51,'[1]Table S6'!$A:$AI,35,FALSE)</f>
        <v>No</v>
      </c>
      <c r="AS51" t="str">
        <f>VLOOKUP($H51,'[2]Table S5'!$A:$K,8,FALSE)</f>
        <v>Sensitive</v>
      </c>
      <c r="AT51" t="str">
        <f>VLOOKUP($H51,'[2]Table S5'!$A:$K,9,FALSE)</f>
        <v>Resistant</v>
      </c>
      <c r="AU51" t="str">
        <f>VLOOKUP($H51,'[2]Table S5'!$A:$K,10,FALSE)</f>
        <v>Resistant</v>
      </c>
      <c r="AV51" t="str">
        <f>VLOOKUP($H51,'[2]Table S5'!$A:$K,11,FALSE)</f>
        <v>Sensitive</v>
      </c>
    </row>
    <row r="52" spans="1:48">
      <c r="A52" t="s">
        <v>390</v>
      </c>
      <c r="B52" t="s">
        <v>391</v>
      </c>
      <c r="C52" t="s">
        <v>17</v>
      </c>
      <c r="D52" t="s">
        <v>393</v>
      </c>
      <c r="E52" t="s">
        <v>394</v>
      </c>
      <c r="F52" t="s">
        <v>395</v>
      </c>
      <c r="G52" t="s">
        <v>4751</v>
      </c>
      <c r="H52" t="s">
        <v>349</v>
      </c>
      <c r="I52" t="s">
        <v>365</v>
      </c>
      <c r="J52">
        <f>VLOOKUP($I52,'[1]Table S6'!$A:$AI,2,FALSE)</f>
        <v>301.3</v>
      </c>
      <c r="K52">
        <f>VLOOKUP($I52,'[1]Table S6'!$A:$AI,3,FALSE)</f>
        <v>0.64120025537348402</v>
      </c>
      <c r="L52">
        <f>VLOOKUP($I52,'[1]Table S6'!$A:$AI,4,FALSE)</f>
        <v>1.139</v>
      </c>
      <c r="M52" t="str">
        <f>VLOOKUP($I52,'[1]Table S6'!$A:$AI,5,FALSE)</f>
        <v>Yes</v>
      </c>
      <c r="O52">
        <f>VLOOKUP($I52,'[1]Table S6'!$A:$AI,7,FALSE)</f>
        <v>321.10000000000002</v>
      </c>
      <c r="P52">
        <f>VLOOKUP($I52,'[1]Table S6'!$A:$AI,8,FALSE)</f>
        <v>0.68333688018727401</v>
      </c>
      <c r="Q52">
        <f>VLOOKUP($I52,'[1]Table S6'!$A:$AI,9,FALSE)</f>
        <v>1.75</v>
      </c>
      <c r="R52" t="str">
        <f>VLOOKUP($I52,'[1]Table S6'!$A:$AI,10,FALSE)</f>
        <v>Yes</v>
      </c>
      <c r="T52">
        <f>VLOOKUP($I52,'[1]Table S6'!$A:$AI,12,FALSE)</f>
        <v>364.7</v>
      </c>
      <c r="U52">
        <f>VLOOKUP($I52,'[1]Table S6'!$A:$AI,13,FALSE)</f>
        <v>0.77612257927218598</v>
      </c>
      <c r="V52">
        <f>VLOOKUP($I52,'[1]Table S6'!$A:$AI,14,FALSE)</f>
        <v>12.64</v>
      </c>
      <c r="W52" t="str">
        <f>VLOOKUP($I52,'[1]Table S6'!$A:$AI,15,FALSE)</f>
        <v>No</v>
      </c>
      <c r="Y52">
        <f>VLOOKUP($I52,'[1]Table S6'!$A:$AI,17,FALSE)</f>
        <v>306.2</v>
      </c>
      <c r="Z52">
        <f>VLOOKUP($I52,'[1]Table S6'!$A:$AI,18,FALSE)</f>
        <v>0.65162800595871495</v>
      </c>
      <c r="AA52">
        <f>VLOOKUP($I52,'[1]Table S6'!$A:$AI,19,FALSE)</f>
        <v>1.393</v>
      </c>
      <c r="AB52" t="str">
        <f>VLOOKUP($I52,'[1]Table S6'!$A:$AI,20,FALSE)</f>
        <v>Yes</v>
      </c>
      <c r="AD52">
        <f>VLOOKUP($I52,'[1]Table S6'!$A:$AI,22,FALSE)</f>
        <v>375.4</v>
      </c>
      <c r="AE52">
        <f>VLOOKUP($I52,'[1]Table S6'!$A:$AI,23,FALSE)</f>
        <v>0.79889338157054701</v>
      </c>
      <c r="AF52">
        <f>VLOOKUP($I52,'[1]Table S6'!$A:$AI,24,FALSE)</f>
        <v>14.79</v>
      </c>
      <c r="AG52" t="str">
        <f>VLOOKUP($I52,'[1]Table S6'!$A:$AI,25,FALSE)</f>
        <v>No</v>
      </c>
      <c r="AI52">
        <f>VLOOKUP($I52,'[1]Table S6'!$A:$AI,27,FALSE)</f>
        <v>407.5</v>
      </c>
      <c r="AJ52">
        <f>VLOOKUP($I52,'[1]Table S6'!$A:$AI,28,FALSE)</f>
        <v>0.86720578846563101</v>
      </c>
      <c r="AK52">
        <f>VLOOKUP($I52,'[1]Table S6'!$A:$AI,29,FALSE)</f>
        <v>108.3</v>
      </c>
      <c r="AL52" t="str">
        <f>VLOOKUP($I52,'[1]Table S6'!$A:$AI,30,FALSE)</f>
        <v>No</v>
      </c>
      <c r="AN52">
        <f>VLOOKUP($I52,'[1]Table S6'!$A:$AI,32,FALSE)</f>
        <v>390.1</v>
      </c>
      <c r="AO52">
        <f>VLOOKUP($I52,'[1]Table S6'!$A:$AI,33,FALSE)</f>
        <v>0.83017663332624003</v>
      </c>
      <c r="AP52">
        <f>VLOOKUP($I52,'[1]Table S6'!$A:$AI,34,FALSE)</f>
        <v>95.6</v>
      </c>
      <c r="AQ52" t="str">
        <f>VLOOKUP($I52,'[1]Table S6'!$A:$AI,35,FALSE)</f>
        <v>No</v>
      </c>
      <c r="AS52" t="str">
        <f>VLOOKUP($H52,'[2]Table S5'!$A:$K,8,FALSE)</f>
        <v>Sensitive</v>
      </c>
      <c r="AT52" t="str">
        <f>VLOOKUP($H52,'[2]Table S5'!$A:$K,9,FALSE)</f>
        <v>Resistant</v>
      </c>
      <c r="AU52" t="str">
        <f>VLOOKUP($H52,'[2]Table S5'!$A:$K,10,FALSE)</f>
        <v>Resistant</v>
      </c>
      <c r="AV52" t="str">
        <f>VLOOKUP($H52,'[2]Table S5'!$A:$K,11,FALSE)</f>
        <v>Sensitive</v>
      </c>
    </row>
    <row r="53" spans="1:48">
      <c r="A53" t="s">
        <v>397</v>
      </c>
      <c r="B53" t="s">
        <v>398</v>
      </c>
      <c r="C53" t="s">
        <v>17</v>
      </c>
      <c r="D53" t="s">
        <v>400</v>
      </c>
      <c r="E53" t="s">
        <v>401</v>
      </c>
      <c r="F53" t="s">
        <v>402</v>
      </c>
      <c r="G53" t="s">
        <v>4751</v>
      </c>
      <c r="H53" t="s">
        <v>349</v>
      </c>
      <c r="I53" t="s">
        <v>373</v>
      </c>
      <c r="J53">
        <f>VLOOKUP($I53,'[1]Table S6'!$A:$AI,2,FALSE)</f>
        <v>308.10000000000002</v>
      </c>
      <c r="K53">
        <f>VLOOKUP($I53,'[1]Table S6'!$A:$AI,3,FALSE)</f>
        <v>0.65567141945094698</v>
      </c>
      <c r="L53">
        <f>VLOOKUP($I53,'[1]Table S6'!$A:$AI,4,FALSE)</f>
        <v>1.2869999999999999</v>
      </c>
      <c r="M53" t="str">
        <f>VLOOKUP($I53,'[1]Table S6'!$A:$AI,5,FALSE)</f>
        <v>Yes</v>
      </c>
      <c r="O53">
        <f>VLOOKUP($I53,'[1]Table S6'!$A:$AI,7,FALSE)</f>
        <v>319.10000000000002</v>
      </c>
      <c r="P53">
        <f>VLOOKUP($I53,'[1]Table S6'!$A:$AI,8,FALSE)</f>
        <v>0.67908065545860796</v>
      </c>
      <c r="Q53">
        <f>VLOOKUP($I53,'[1]Table S6'!$A:$AI,9,FALSE)</f>
        <v>1.6619999999999999</v>
      </c>
      <c r="R53" t="str">
        <f>VLOOKUP($I53,'[1]Table S6'!$A:$AI,10,FALSE)</f>
        <v>Yes</v>
      </c>
      <c r="T53">
        <f>VLOOKUP($I53,'[1]Table S6'!$A:$AI,12,FALSE)</f>
        <v>306.7</v>
      </c>
      <c r="U53">
        <f>VLOOKUP($I53,'[1]Table S6'!$A:$AI,13,FALSE)</f>
        <v>0.65269206214088105</v>
      </c>
      <c r="V53">
        <f>VLOOKUP($I53,'[1]Table S6'!$A:$AI,14,FALSE)</f>
        <v>1.395</v>
      </c>
      <c r="W53" t="str">
        <f>VLOOKUP($I53,'[1]Table S6'!$A:$AI,15,FALSE)</f>
        <v>Yes</v>
      </c>
      <c r="Y53">
        <f>VLOOKUP($I53,'[1]Table S6'!$A:$AI,17,FALSE)</f>
        <v>297.5</v>
      </c>
      <c r="Z53">
        <f>VLOOKUP($I53,'[1]Table S6'!$A:$AI,18,FALSE)</f>
        <v>0.63311342838901896</v>
      </c>
      <c r="AA53">
        <f>VLOOKUP($I53,'[1]Table S6'!$A:$AI,19,FALSE)</f>
        <v>1.1619999999999999</v>
      </c>
      <c r="AB53" t="str">
        <f>VLOOKUP($I53,'[1]Table S6'!$A:$AI,20,FALSE)</f>
        <v>Yes</v>
      </c>
      <c r="AD53">
        <f>VLOOKUP($I53,'[1]Table S6'!$A:$AI,22,FALSE)</f>
        <v>418.5</v>
      </c>
      <c r="AE53">
        <f>VLOOKUP($I53,'[1]Table S6'!$A:$AI,23,FALSE)</f>
        <v>0.89061502447329199</v>
      </c>
      <c r="AF53">
        <f>VLOOKUP($I53,'[1]Table S6'!$A:$AI,24,FALSE)</f>
        <v>46.33</v>
      </c>
      <c r="AG53" t="str">
        <f>VLOOKUP($I53,'[1]Table S6'!$A:$AI,25,FALSE)</f>
        <v>No</v>
      </c>
      <c r="AI53">
        <f>VLOOKUP($I53,'[1]Table S6'!$A:$AI,27,FALSE)</f>
        <v>442.1</v>
      </c>
      <c r="AJ53">
        <f>VLOOKUP($I53,'[1]Table S6'!$A:$AI,28,FALSE)</f>
        <v>0.94083847627154704</v>
      </c>
      <c r="AK53">
        <f>VLOOKUP($I53,'[1]Table S6'!$A:$AI,29,FALSE)</f>
        <v>249.8</v>
      </c>
      <c r="AL53" t="str">
        <f>VLOOKUP($I53,'[1]Table S6'!$A:$AI,30,FALSE)</f>
        <v>No</v>
      </c>
      <c r="AN53">
        <f>VLOOKUP($I53,'[1]Table S6'!$A:$AI,32,FALSE)</f>
        <v>439.8</v>
      </c>
      <c r="AO53">
        <f>VLOOKUP($I53,'[1]Table S6'!$A:$AI,33,FALSE)</f>
        <v>0.93594381783358205</v>
      </c>
      <c r="AP53">
        <f>VLOOKUP($I53,'[1]Table S6'!$A:$AI,34,FALSE)</f>
        <v>229.8</v>
      </c>
      <c r="AQ53" t="str">
        <f>VLOOKUP($I53,'[1]Table S6'!$A:$AI,35,FALSE)</f>
        <v>No</v>
      </c>
      <c r="AS53" t="str">
        <f>VLOOKUP($H53,'[2]Table S5'!$A:$K,8,FALSE)</f>
        <v>Sensitive</v>
      </c>
      <c r="AT53" t="str">
        <f>VLOOKUP($H53,'[2]Table S5'!$A:$K,9,FALSE)</f>
        <v>Resistant</v>
      </c>
      <c r="AU53" t="str">
        <f>VLOOKUP($H53,'[2]Table S5'!$A:$K,10,FALSE)</f>
        <v>Resistant</v>
      </c>
      <c r="AV53" t="str">
        <f>VLOOKUP($H53,'[2]Table S5'!$A:$K,11,FALSE)</f>
        <v>Sensitive</v>
      </c>
    </row>
    <row r="54" spans="1:48">
      <c r="A54" t="s">
        <v>404</v>
      </c>
      <c r="B54" t="s">
        <v>405</v>
      </c>
      <c r="C54" t="s">
        <v>17</v>
      </c>
      <c r="D54" t="s">
        <v>407</v>
      </c>
      <c r="E54" t="s">
        <v>408</v>
      </c>
      <c r="F54" t="s">
        <v>409</v>
      </c>
      <c r="G54" t="s">
        <v>4751</v>
      </c>
      <c r="H54" t="s">
        <v>349</v>
      </c>
      <c r="I54" t="s">
        <v>381</v>
      </c>
      <c r="J54">
        <f>VLOOKUP($I54,'[1]Table S6'!$A:$AI,2,FALSE)</f>
        <v>304.3</v>
      </c>
      <c r="K54">
        <f>VLOOKUP($I54,'[1]Table S6'!$A:$AI,3,FALSE)</f>
        <v>0.64758459246648203</v>
      </c>
      <c r="L54">
        <f>VLOOKUP($I54,'[1]Table S6'!$A:$AI,4,FALSE)</f>
        <v>1.1519999999999999</v>
      </c>
      <c r="M54" t="str">
        <f>VLOOKUP($I54,'[1]Table S6'!$A:$AI,5,FALSE)</f>
        <v>Yes</v>
      </c>
      <c r="O54">
        <f>VLOOKUP($I54,'[1]Table S6'!$A:$AI,7,FALSE)</f>
        <v>294.89999999999998</v>
      </c>
      <c r="P54">
        <f>VLOOKUP($I54,'[1]Table S6'!$A:$AI,8,FALSE)</f>
        <v>0.62758033624175402</v>
      </c>
      <c r="Q54">
        <f>VLOOKUP($I54,'[1]Table S6'!$A:$AI,9,FALSE)</f>
        <v>0.94069999999999998</v>
      </c>
      <c r="R54" t="str">
        <f>VLOOKUP($I54,'[1]Table S6'!$A:$AI,10,FALSE)</f>
        <v>Yes</v>
      </c>
      <c r="T54">
        <f>VLOOKUP($I54,'[1]Table S6'!$A:$AI,12,FALSE)</f>
        <v>287.7</v>
      </c>
      <c r="U54">
        <f>VLOOKUP($I54,'[1]Table S6'!$A:$AI,13,FALSE)</f>
        <v>0.61225792721855699</v>
      </c>
      <c r="V54">
        <f>VLOOKUP($I54,'[1]Table S6'!$A:$AI,14,FALSE)</f>
        <v>0.97889999999999999</v>
      </c>
      <c r="W54" t="str">
        <f>VLOOKUP($I54,'[1]Table S6'!$A:$AI,15,FALSE)</f>
        <v>Yes</v>
      </c>
      <c r="Y54">
        <f>VLOOKUP($I54,'[1]Table S6'!$A:$AI,17,FALSE)</f>
        <v>317.7</v>
      </c>
      <c r="Z54">
        <f>VLOOKUP($I54,'[1]Table S6'!$A:$AI,18,FALSE)</f>
        <v>0.67610129814854203</v>
      </c>
      <c r="AA54">
        <f>VLOOKUP($I54,'[1]Table S6'!$A:$AI,19,FALSE)</f>
        <v>1.728</v>
      </c>
      <c r="AB54" t="str">
        <f>VLOOKUP($I54,'[1]Table S6'!$A:$AI,20,FALSE)</f>
        <v>Yes</v>
      </c>
      <c r="AD54">
        <f>VLOOKUP($I54,'[1]Table S6'!$A:$AI,22,FALSE)</f>
        <v>415.6</v>
      </c>
      <c r="AE54">
        <f>VLOOKUP($I54,'[1]Table S6'!$A:$AI,23,FALSE)</f>
        <v>0.884443498616727</v>
      </c>
      <c r="AF54">
        <f>VLOOKUP($I54,'[1]Table S6'!$A:$AI,24,FALSE)</f>
        <v>72.55</v>
      </c>
      <c r="AG54" t="str">
        <f>VLOOKUP($I54,'[1]Table S6'!$A:$AI,25,FALSE)</f>
        <v>No</v>
      </c>
      <c r="AI54">
        <f>VLOOKUP($I54,'[1]Table S6'!$A:$AI,27,FALSE)</f>
        <v>417.6</v>
      </c>
      <c r="AJ54">
        <f>VLOOKUP($I54,'[1]Table S6'!$A:$AI,28,FALSE)</f>
        <v>0.88869972334539304</v>
      </c>
      <c r="AK54">
        <f>VLOOKUP($I54,'[1]Table S6'!$A:$AI,29,FALSE)</f>
        <v>57.92</v>
      </c>
      <c r="AL54" t="str">
        <f>VLOOKUP($I54,'[1]Table S6'!$A:$AI,30,FALSE)</f>
        <v>No</v>
      </c>
      <c r="AN54">
        <f>VLOOKUP($I54,'[1]Table S6'!$A:$AI,32,FALSE)</f>
        <v>415.2</v>
      </c>
      <c r="AO54">
        <f>VLOOKUP($I54,'[1]Table S6'!$A:$AI,33,FALSE)</f>
        <v>0.88359225367099403</v>
      </c>
      <c r="AP54">
        <f>VLOOKUP($I54,'[1]Table S6'!$A:$AI,34,FALSE)</f>
        <v>60.58</v>
      </c>
      <c r="AQ54" t="str">
        <f>VLOOKUP($I54,'[1]Table S6'!$A:$AI,35,FALSE)</f>
        <v>No</v>
      </c>
      <c r="AS54" t="str">
        <f>VLOOKUP($H54,'[2]Table S5'!$A:$K,8,FALSE)</f>
        <v>Sensitive</v>
      </c>
      <c r="AT54" t="str">
        <f>VLOOKUP($H54,'[2]Table S5'!$A:$K,9,FALSE)</f>
        <v>Resistant</v>
      </c>
      <c r="AU54" t="str">
        <f>VLOOKUP($H54,'[2]Table S5'!$A:$K,10,FALSE)</f>
        <v>Resistant</v>
      </c>
      <c r="AV54" t="str">
        <f>VLOOKUP($H54,'[2]Table S5'!$A:$K,11,FALSE)</f>
        <v>Sensitive</v>
      </c>
    </row>
    <row r="55" spans="1:48">
      <c r="A55" t="s">
        <v>411</v>
      </c>
      <c r="B55" t="s">
        <v>412</v>
      </c>
      <c r="C55" t="s">
        <v>17</v>
      </c>
      <c r="D55" t="s">
        <v>414</v>
      </c>
      <c r="E55" t="s">
        <v>415</v>
      </c>
      <c r="F55" t="s">
        <v>416</v>
      </c>
      <c r="G55" t="s">
        <v>4758</v>
      </c>
      <c r="H55" t="s">
        <v>417</v>
      </c>
      <c r="I55" t="s">
        <v>417</v>
      </c>
      <c r="J55" t="e">
        <f>VLOOKUP($I55,'[1]Table S6'!$A:$AI,2,FALSE)</f>
        <v>#N/A</v>
      </c>
      <c r="K55" t="e">
        <f>VLOOKUP($I55,'[1]Table S6'!$A:$AI,3,FALSE)</f>
        <v>#N/A</v>
      </c>
      <c r="L55" t="e">
        <f>VLOOKUP($I55,'[1]Table S6'!$A:$AI,4,FALSE)</f>
        <v>#N/A</v>
      </c>
      <c r="M55" t="e">
        <f>VLOOKUP($I55,'[1]Table S6'!$A:$AI,5,FALSE)</f>
        <v>#N/A</v>
      </c>
      <c r="O55" t="e">
        <f>VLOOKUP($I55,'[1]Table S6'!$A:$AI,7,FALSE)</f>
        <v>#N/A</v>
      </c>
      <c r="P55" t="e">
        <f>VLOOKUP($I55,'[1]Table S6'!$A:$AI,8,FALSE)</f>
        <v>#N/A</v>
      </c>
      <c r="Q55" t="e">
        <f>VLOOKUP($I55,'[1]Table S6'!$A:$AI,9,FALSE)</f>
        <v>#N/A</v>
      </c>
      <c r="R55" t="e">
        <f>VLOOKUP($I55,'[1]Table S6'!$A:$AI,10,FALSE)</f>
        <v>#N/A</v>
      </c>
      <c r="T55" t="e">
        <f>VLOOKUP($I55,'[1]Table S6'!$A:$AI,12,FALSE)</f>
        <v>#N/A</v>
      </c>
      <c r="U55" t="e">
        <f>VLOOKUP($I55,'[1]Table S6'!$A:$AI,13,FALSE)</f>
        <v>#N/A</v>
      </c>
      <c r="V55" t="e">
        <f>VLOOKUP($I55,'[1]Table S6'!$A:$AI,14,FALSE)</f>
        <v>#N/A</v>
      </c>
      <c r="W55" t="e">
        <f>VLOOKUP($I55,'[1]Table S6'!$A:$AI,15,FALSE)</f>
        <v>#N/A</v>
      </c>
      <c r="Y55" t="e">
        <f>VLOOKUP($I55,'[1]Table S6'!$A:$AI,17,FALSE)</f>
        <v>#N/A</v>
      </c>
      <c r="Z55" t="e">
        <f>VLOOKUP($I55,'[1]Table S6'!$A:$AI,18,FALSE)</f>
        <v>#N/A</v>
      </c>
      <c r="AA55" t="e">
        <f>VLOOKUP($I55,'[1]Table S6'!$A:$AI,19,FALSE)</f>
        <v>#N/A</v>
      </c>
      <c r="AB55" t="e">
        <f>VLOOKUP($I55,'[1]Table S6'!$A:$AI,20,FALSE)</f>
        <v>#N/A</v>
      </c>
      <c r="AD55" t="e">
        <f>VLOOKUP($I55,'[1]Table S6'!$A:$AI,22,FALSE)</f>
        <v>#N/A</v>
      </c>
      <c r="AE55" t="e">
        <f>VLOOKUP($I55,'[1]Table S6'!$A:$AI,23,FALSE)</f>
        <v>#N/A</v>
      </c>
      <c r="AF55" t="e">
        <f>VLOOKUP($I55,'[1]Table S6'!$A:$AI,24,FALSE)</f>
        <v>#N/A</v>
      </c>
      <c r="AG55" t="e">
        <f>VLOOKUP($I55,'[1]Table S6'!$A:$AI,25,FALSE)</f>
        <v>#N/A</v>
      </c>
      <c r="AI55" t="e">
        <f>VLOOKUP($I55,'[1]Table S6'!$A:$AI,27,FALSE)</f>
        <v>#N/A</v>
      </c>
      <c r="AJ55" t="e">
        <f>VLOOKUP($I55,'[1]Table S6'!$A:$AI,28,FALSE)</f>
        <v>#N/A</v>
      </c>
      <c r="AK55" t="e">
        <f>VLOOKUP($I55,'[1]Table S6'!$A:$AI,29,FALSE)</f>
        <v>#N/A</v>
      </c>
      <c r="AL55" t="e">
        <f>VLOOKUP($I55,'[1]Table S6'!$A:$AI,30,FALSE)</f>
        <v>#N/A</v>
      </c>
      <c r="AN55" t="e">
        <f>VLOOKUP($I55,'[1]Table S6'!$A:$AI,32,FALSE)</f>
        <v>#N/A</v>
      </c>
      <c r="AO55" t="e">
        <f>VLOOKUP($I55,'[1]Table S6'!$A:$AI,33,FALSE)</f>
        <v>#N/A</v>
      </c>
      <c r="AP55" t="e">
        <f>VLOOKUP($I55,'[1]Table S6'!$A:$AI,34,FALSE)</f>
        <v>#N/A</v>
      </c>
      <c r="AQ55" t="e">
        <f>VLOOKUP($I55,'[1]Table S6'!$A:$AI,35,FALSE)</f>
        <v>#N/A</v>
      </c>
      <c r="AS55" t="str">
        <f>VLOOKUP($H55,'[2]Table S5'!$A:$K,8,FALSE)</f>
        <v>Resistant</v>
      </c>
      <c r="AT55" t="str">
        <f>VLOOKUP($H55,'[2]Table S5'!$A:$K,9,FALSE)</f>
        <v>Resistant</v>
      </c>
      <c r="AU55" t="str">
        <f>VLOOKUP($H55,'[2]Table S5'!$A:$K,10,FALSE)</f>
        <v>Resistant</v>
      </c>
      <c r="AV55" t="str">
        <f>VLOOKUP($H55,'[2]Table S5'!$A:$K,11,FALSE)</f>
        <v>Resistant</v>
      </c>
    </row>
    <row r="56" spans="1:48">
      <c r="A56" t="s">
        <v>419</v>
      </c>
      <c r="B56" t="s">
        <v>420</v>
      </c>
      <c r="C56" t="s">
        <v>17</v>
      </c>
      <c r="D56" t="s">
        <v>422</v>
      </c>
      <c r="E56" t="s">
        <v>423</v>
      </c>
      <c r="F56" t="s">
        <v>424</v>
      </c>
      <c r="G56" t="s">
        <v>4750</v>
      </c>
      <c r="H56" t="s">
        <v>417</v>
      </c>
      <c r="I56" t="s">
        <v>425</v>
      </c>
      <c r="J56">
        <f>VLOOKUP($I56,'[1]Table S6'!$A:$AI,2,FALSE)</f>
        <v>330.1</v>
      </c>
      <c r="K56">
        <f>VLOOKUP($I56,'[1]Table S6'!$A:$AI,3,FALSE)</f>
        <v>0.70248989146626994</v>
      </c>
      <c r="L56">
        <f>VLOOKUP($I56,'[1]Table S6'!$A:$AI,4,FALSE)</f>
        <v>2.2429999999999999</v>
      </c>
      <c r="M56" t="str">
        <f>VLOOKUP($I56,'[1]Table S6'!$A:$AI,5,FALSE)</f>
        <v>Yes</v>
      </c>
      <c r="O56">
        <f>VLOOKUP($I56,'[1]Table S6'!$A:$AI,7,FALSE)</f>
        <v>395.9</v>
      </c>
      <c r="P56">
        <f>VLOOKUP($I56,'[1]Table S6'!$A:$AI,8,FALSE)</f>
        <v>0.84251968503937003</v>
      </c>
      <c r="Q56">
        <f>VLOOKUP($I56,'[1]Table S6'!$A:$AI,9,FALSE)</f>
        <v>22.78</v>
      </c>
      <c r="R56" t="str">
        <f>VLOOKUP($I56,'[1]Table S6'!$A:$AI,10,FALSE)</f>
        <v>No</v>
      </c>
      <c r="T56">
        <f>VLOOKUP($I56,'[1]Table S6'!$A:$AI,12,FALSE)</f>
        <v>393.2</v>
      </c>
      <c r="U56">
        <f>VLOOKUP($I56,'[1]Table S6'!$A:$AI,13,FALSE)</f>
        <v>0.83677378165567096</v>
      </c>
      <c r="V56">
        <f>VLOOKUP($I56,'[1]Table S6'!$A:$AI,14,FALSE)</f>
        <v>21.84</v>
      </c>
      <c r="W56" t="str">
        <f>VLOOKUP($I56,'[1]Table S6'!$A:$AI,15,FALSE)</f>
        <v>No</v>
      </c>
      <c r="Y56">
        <f>VLOOKUP($I56,'[1]Table S6'!$A:$AI,17,FALSE)</f>
        <v>410.5</v>
      </c>
      <c r="Z56">
        <f>VLOOKUP($I56,'[1]Table S6'!$A:$AI,18,FALSE)</f>
        <v>0.87359012555863003</v>
      </c>
      <c r="AA56">
        <f>VLOOKUP($I56,'[1]Table S6'!$A:$AI,19,FALSE)</f>
        <v>41.44</v>
      </c>
      <c r="AB56" t="str">
        <f>VLOOKUP($I56,'[1]Table S6'!$A:$AI,20,FALSE)</f>
        <v>No</v>
      </c>
      <c r="AD56">
        <f>VLOOKUP($I56,'[1]Table S6'!$A:$AI,22,FALSE)</f>
        <v>417</v>
      </c>
      <c r="AE56">
        <f>VLOOKUP($I56,'[1]Table S6'!$A:$AI,23,FALSE)</f>
        <v>0.88742285592679304</v>
      </c>
      <c r="AF56">
        <f>VLOOKUP($I56,'[1]Table S6'!$A:$AI,24,FALSE)</f>
        <v>25.58</v>
      </c>
      <c r="AG56" t="str">
        <f>VLOOKUP($I56,'[1]Table S6'!$A:$AI,25,FALSE)</f>
        <v>No</v>
      </c>
      <c r="AI56">
        <f>VLOOKUP($I56,'[1]Table S6'!$A:$AI,27,FALSE)</f>
        <v>441.5</v>
      </c>
      <c r="AJ56">
        <f>VLOOKUP($I56,'[1]Table S6'!$A:$AI,28,FALSE)</f>
        <v>0.93956160885294704</v>
      </c>
      <c r="AK56">
        <f>VLOOKUP($I56,'[1]Table S6'!$A:$AI,29,FALSE)</f>
        <v>57.63</v>
      </c>
      <c r="AL56" t="str">
        <f>VLOOKUP($I56,'[1]Table S6'!$A:$AI,30,FALSE)</f>
        <v>No</v>
      </c>
      <c r="AN56">
        <f>VLOOKUP($I56,'[1]Table S6'!$A:$AI,32,FALSE)</f>
        <v>437.5</v>
      </c>
      <c r="AO56">
        <f>VLOOKUP($I56,'[1]Table S6'!$A:$AI,33,FALSE)</f>
        <v>0.93104915939561605</v>
      </c>
      <c r="AP56">
        <f>VLOOKUP($I56,'[1]Table S6'!$A:$AI,34,FALSE)</f>
        <v>113.7</v>
      </c>
      <c r="AQ56" t="str">
        <f>VLOOKUP($I56,'[1]Table S6'!$A:$AI,35,FALSE)</f>
        <v>No</v>
      </c>
      <c r="AS56" t="str">
        <f>VLOOKUP($H56,'[2]Table S5'!$A:$K,8,FALSE)</f>
        <v>Resistant</v>
      </c>
      <c r="AT56" t="str">
        <f>VLOOKUP($H56,'[2]Table S5'!$A:$K,9,FALSE)</f>
        <v>Resistant</v>
      </c>
      <c r="AU56" t="str">
        <f>VLOOKUP($H56,'[2]Table S5'!$A:$K,10,FALSE)</f>
        <v>Resistant</v>
      </c>
      <c r="AV56" t="str">
        <f>VLOOKUP($H56,'[2]Table S5'!$A:$K,11,FALSE)</f>
        <v>Resistant</v>
      </c>
    </row>
    <row r="57" spans="1:48">
      <c r="A57" t="s">
        <v>427</v>
      </c>
      <c r="B57" t="s">
        <v>428</v>
      </c>
      <c r="C57" t="s">
        <v>17</v>
      </c>
      <c r="D57" t="s">
        <v>430</v>
      </c>
      <c r="E57" t="s">
        <v>431</v>
      </c>
      <c r="F57" t="s">
        <v>432</v>
      </c>
      <c r="G57" t="s">
        <v>4750</v>
      </c>
      <c r="H57" t="s">
        <v>417</v>
      </c>
      <c r="I57" t="s">
        <v>433</v>
      </c>
      <c r="J57">
        <f>VLOOKUP($I57,'[1]Table S6'!$A:$AI,2,FALSE)</f>
        <v>331.2</v>
      </c>
      <c r="K57">
        <f>VLOOKUP($I57,'[1]Table S6'!$A:$AI,3,FALSE)</f>
        <v>0.70483081506703604</v>
      </c>
      <c r="L57">
        <f>VLOOKUP($I57,'[1]Table S6'!$A:$AI,4,FALSE)</f>
        <v>3.1240000000000001</v>
      </c>
      <c r="M57" t="str">
        <f>VLOOKUP($I57,'[1]Table S6'!$A:$AI,5,FALSE)</f>
        <v>Yes</v>
      </c>
      <c r="O57">
        <f>VLOOKUP($I57,'[1]Table S6'!$A:$AI,7,FALSE)</f>
        <v>375.7</v>
      </c>
      <c r="P57">
        <f>VLOOKUP($I57,'[1]Table S6'!$A:$AI,8,FALSE)</f>
        <v>0.79953181527984696</v>
      </c>
      <c r="Q57">
        <f>VLOOKUP($I57,'[1]Table S6'!$A:$AI,9,FALSE)</f>
        <v>11.32</v>
      </c>
      <c r="R57" t="str">
        <f>VLOOKUP($I57,'[1]Table S6'!$A:$AI,10,FALSE)</f>
        <v>No</v>
      </c>
      <c r="T57">
        <f>VLOOKUP($I57,'[1]Table S6'!$A:$AI,12,FALSE)</f>
        <v>375.7</v>
      </c>
      <c r="U57">
        <f>VLOOKUP($I57,'[1]Table S6'!$A:$AI,13,FALSE)</f>
        <v>0.79953181527984696</v>
      </c>
      <c r="V57">
        <f>VLOOKUP($I57,'[1]Table S6'!$A:$AI,14,FALSE)</f>
        <v>11.71</v>
      </c>
      <c r="W57" t="str">
        <f>VLOOKUP($I57,'[1]Table S6'!$A:$AI,15,FALSE)</f>
        <v>No</v>
      </c>
      <c r="Y57">
        <f>VLOOKUP($I57,'[1]Table S6'!$A:$AI,17,FALSE)</f>
        <v>370.3</v>
      </c>
      <c r="Z57">
        <f>VLOOKUP($I57,'[1]Table S6'!$A:$AI,18,FALSE)</f>
        <v>0.78804000851244904</v>
      </c>
      <c r="AA57">
        <f>VLOOKUP($I57,'[1]Table S6'!$A:$AI,19,FALSE)</f>
        <v>9.4890000000000008</v>
      </c>
      <c r="AB57" t="str">
        <f>VLOOKUP($I57,'[1]Table S6'!$A:$AI,20,FALSE)</f>
        <v>No</v>
      </c>
      <c r="AD57">
        <f>VLOOKUP($I57,'[1]Table S6'!$A:$AI,22,FALSE)</f>
        <v>374.5</v>
      </c>
      <c r="AE57">
        <f>VLOOKUP($I57,'[1]Table S6'!$A:$AI,23,FALSE)</f>
        <v>0.79697808044264695</v>
      </c>
      <c r="AF57">
        <f>VLOOKUP($I57,'[1]Table S6'!$A:$AI,24,FALSE)</f>
        <v>14.22</v>
      </c>
      <c r="AG57" t="str">
        <f>VLOOKUP($I57,'[1]Table S6'!$A:$AI,25,FALSE)</f>
        <v>No</v>
      </c>
      <c r="AI57">
        <f>VLOOKUP($I57,'[1]Table S6'!$A:$AI,27,FALSE)</f>
        <v>413.4</v>
      </c>
      <c r="AJ57">
        <f>VLOOKUP($I57,'[1]Table S6'!$A:$AI,28,FALSE)</f>
        <v>0.87976165141519502</v>
      </c>
      <c r="AK57">
        <f>VLOOKUP($I57,'[1]Table S6'!$A:$AI,29,FALSE)</f>
        <v>31.83</v>
      </c>
      <c r="AL57" t="str">
        <f>VLOOKUP($I57,'[1]Table S6'!$A:$AI,30,FALSE)</f>
        <v>No</v>
      </c>
      <c r="AN57">
        <f>VLOOKUP($I57,'[1]Table S6'!$A:$AI,32,FALSE)</f>
        <v>445.5</v>
      </c>
      <c r="AO57">
        <f>VLOOKUP($I57,'[1]Table S6'!$A:$AI,33,FALSE)</f>
        <v>0.94807405831027902</v>
      </c>
      <c r="AP57">
        <f>VLOOKUP($I57,'[1]Table S6'!$A:$AI,34,FALSE)</f>
        <v>123.9</v>
      </c>
      <c r="AQ57" t="str">
        <f>VLOOKUP($I57,'[1]Table S6'!$A:$AI,35,FALSE)</f>
        <v>No</v>
      </c>
      <c r="AS57" t="str">
        <f>VLOOKUP($H57,'[2]Table S5'!$A:$K,8,FALSE)</f>
        <v>Resistant</v>
      </c>
      <c r="AT57" t="str">
        <f>VLOOKUP($H57,'[2]Table S5'!$A:$K,9,FALSE)</f>
        <v>Resistant</v>
      </c>
      <c r="AU57" t="str">
        <f>VLOOKUP($H57,'[2]Table S5'!$A:$K,10,FALSE)</f>
        <v>Resistant</v>
      </c>
      <c r="AV57" t="str">
        <f>VLOOKUP($H57,'[2]Table S5'!$A:$K,11,FALSE)</f>
        <v>Resistant</v>
      </c>
    </row>
    <row r="58" spans="1:48">
      <c r="A58" t="s">
        <v>435</v>
      </c>
      <c r="B58" t="s">
        <v>436</v>
      </c>
      <c r="C58" t="s">
        <v>17</v>
      </c>
      <c r="D58" t="s">
        <v>438</v>
      </c>
      <c r="E58" t="s">
        <v>439</v>
      </c>
      <c r="F58" t="s">
        <v>440</v>
      </c>
      <c r="G58" t="s">
        <v>4750</v>
      </c>
      <c r="H58" t="s">
        <v>417</v>
      </c>
      <c r="I58" t="s">
        <v>441</v>
      </c>
      <c r="J58">
        <f>VLOOKUP($I58,'[1]Table S6'!$A:$AI,2,FALSE)</f>
        <v>344.8</v>
      </c>
      <c r="K58">
        <f>VLOOKUP($I58,'[1]Table S6'!$A:$AI,3,FALSE)</f>
        <v>0.73377314322196197</v>
      </c>
      <c r="L58">
        <f>VLOOKUP($I58,'[1]Table S6'!$A:$AI,4,FALSE)</f>
        <v>3.6150000000000002</v>
      </c>
      <c r="M58" t="str">
        <f>VLOOKUP($I58,'[1]Table S6'!$A:$AI,5,FALSE)</f>
        <v>No</v>
      </c>
      <c r="O58">
        <f>VLOOKUP($I58,'[1]Table S6'!$A:$AI,7,FALSE)</f>
        <v>394.3</v>
      </c>
      <c r="P58">
        <f>VLOOKUP($I58,'[1]Table S6'!$A:$AI,8,FALSE)</f>
        <v>0.83911470525643805</v>
      </c>
      <c r="Q58">
        <f>VLOOKUP($I58,'[1]Table S6'!$A:$AI,9,FALSE)</f>
        <v>23.27</v>
      </c>
      <c r="R58" t="str">
        <f>VLOOKUP($I58,'[1]Table S6'!$A:$AI,10,FALSE)</f>
        <v>No</v>
      </c>
      <c r="T58">
        <f>VLOOKUP($I58,'[1]Table S6'!$A:$AI,12,FALSE)</f>
        <v>407.3</v>
      </c>
      <c r="U58">
        <f>VLOOKUP($I58,'[1]Table S6'!$A:$AI,13,FALSE)</f>
        <v>0.86678016599276497</v>
      </c>
      <c r="V58">
        <f>VLOOKUP($I58,'[1]Table S6'!$A:$AI,14,FALSE)</f>
        <v>32.51</v>
      </c>
      <c r="W58" t="str">
        <f>VLOOKUP($I58,'[1]Table S6'!$A:$AI,15,FALSE)</f>
        <v>No</v>
      </c>
      <c r="Y58">
        <f>VLOOKUP($I58,'[1]Table S6'!$A:$AI,17,FALSE)</f>
        <v>387.3</v>
      </c>
      <c r="Z58">
        <f>VLOOKUP($I58,'[1]Table S6'!$A:$AI,18,FALSE)</f>
        <v>0.82421791870610805</v>
      </c>
      <c r="AA58">
        <f>VLOOKUP($I58,'[1]Table S6'!$A:$AI,19,FALSE)</f>
        <v>17.350000000000001</v>
      </c>
      <c r="AB58" t="str">
        <f>VLOOKUP($I58,'[1]Table S6'!$A:$AI,20,FALSE)</f>
        <v>No</v>
      </c>
      <c r="AD58">
        <f>VLOOKUP($I58,'[1]Table S6'!$A:$AI,22,FALSE)</f>
        <v>389.2</v>
      </c>
      <c r="AE58">
        <f>VLOOKUP($I58,'[1]Table S6'!$A:$AI,23,FALSE)</f>
        <v>0.82826133219833997</v>
      </c>
      <c r="AF58">
        <f>VLOOKUP($I58,'[1]Table S6'!$A:$AI,24,FALSE)</f>
        <v>17.2</v>
      </c>
      <c r="AG58" t="str">
        <f>VLOOKUP($I58,'[1]Table S6'!$A:$AI,25,FALSE)</f>
        <v>No</v>
      </c>
      <c r="AI58">
        <f>VLOOKUP($I58,'[1]Table S6'!$A:$AI,27,FALSE)</f>
        <v>407.7</v>
      </c>
      <c r="AJ58">
        <f>VLOOKUP($I58,'[1]Table S6'!$A:$AI,28,FALSE)</f>
        <v>0.86763141093849805</v>
      </c>
      <c r="AK58">
        <f>VLOOKUP($I58,'[1]Table S6'!$A:$AI,29,FALSE)</f>
        <v>39.58</v>
      </c>
      <c r="AL58" t="str">
        <f>VLOOKUP($I58,'[1]Table S6'!$A:$AI,30,FALSE)</f>
        <v>No</v>
      </c>
      <c r="AN58">
        <f>VLOOKUP($I58,'[1]Table S6'!$A:$AI,32,FALSE)</f>
        <v>437.7</v>
      </c>
      <c r="AO58">
        <f>VLOOKUP($I58,'[1]Table S6'!$A:$AI,33,FALSE)</f>
        <v>0.93147478186848298</v>
      </c>
      <c r="AP58">
        <f>VLOOKUP($I58,'[1]Table S6'!$A:$AI,34,FALSE)</f>
        <v>106.7</v>
      </c>
      <c r="AQ58" t="str">
        <f>VLOOKUP($I58,'[1]Table S6'!$A:$AI,35,FALSE)</f>
        <v>No</v>
      </c>
      <c r="AS58" t="str">
        <f>VLOOKUP($H58,'[2]Table S5'!$A:$K,8,FALSE)</f>
        <v>Resistant</v>
      </c>
      <c r="AT58" t="str">
        <f>VLOOKUP($H58,'[2]Table S5'!$A:$K,9,FALSE)</f>
        <v>Resistant</v>
      </c>
      <c r="AU58" t="str">
        <f>VLOOKUP($H58,'[2]Table S5'!$A:$K,10,FALSE)</f>
        <v>Resistant</v>
      </c>
      <c r="AV58" t="str">
        <f>VLOOKUP($H58,'[2]Table S5'!$A:$K,11,FALSE)</f>
        <v>Resistant</v>
      </c>
    </row>
    <row r="59" spans="1:48">
      <c r="A59" t="s">
        <v>443</v>
      </c>
      <c r="B59" t="s">
        <v>444</v>
      </c>
      <c r="C59" t="s">
        <v>17</v>
      </c>
      <c r="D59" t="s">
        <v>446</v>
      </c>
      <c r="E59" t="s">
        <v>447</v>
      </c>
      <c r="F59" t="s">
        <v>448</v>
      </c>
      <c r="G59" t="s">
        <v>4751</v>
      </c>
      <c r="H59" t="s">
        <v>417</v>
      </c>
      <c r="I59" t="s">
        <v>425</v>
      </c>
      <c r="J59">
        <f>VLOOKUP($I59,'[1]Table S6'!$A:$AI,2,FALSE)</f>
        <v>330.1</v>
      </c>
      <c r="K59">
        <f>VLOOKUP($I59,'[1]Table S6'!$A:$AI,3,FALSE)</f>
        <v>0.70248989146626994</v>
      </c>
      <c r="L59">
        <f>VLOOKUP($I59,'[1]Table S6'!$A:$AI,4,FALSE)</f>
        <v>2.2429999999999999</v>
      </c>
      <c r="M59" t="str">
        <f>VLOOKUP($I59,'[1]Table S6'!$A:$AI,5,FALSE)</f>
        <v>Yes</v>
      </c>
      <c r="O59">
        <f>VLOOKUP($I59,'[1]Table S6'!$A:$AI,7,FALSE)</f>
        <v>395.9</v>
      </c>
      <c r="P59">
        <f>VLOOKUP($I59,'[1]Table S6'!$A:$AI,8,FALSE)</f>
        <v>0.84251968503937003</v>
      </c>
      <c r="Q59">
        <f>VLOOKUP($I59,'[1]Table S6'!$A:$AI,9,FALSE)</f>
        <v>22.78</v>
      </c>
      <c r="R59" t="str">
        <f>VLOOKUP($I59,'[1]Table S6'!$A:$AI,10,FALSE)</f>
        <v>No</v>
      </c>
      <c r="T59">
        <f>VLOOKUP($I59,'[1]Table S6'!$A:$AI,12,FALSE)</f>
        <v>393.2</v>
      </c>
      <c r="U59">
        <f>VLOOKUP($I59,'[1]Table S6'!$A:$AI,13,FALSE)</f>
        <v>0.83677378165567096</v>
      </c>
      <c r="V59">
        <f>VLOOKUP($I59,'[1]Table S6'!$A:$AI,14,FALSE)</f>
        <v>21.84</v>
      </c>
      <c r="W59" t="str">
        <f>VLOOKUP($I59,'[1]Table S6'!$A:$AI,15,FALSE)</f>
        <v>No</v>
      </c>
      <c r="Y59">
        <f>VLOOKUP($I59,'[1]Table S6'!$A:$AI,17,FALSE)</f>
        <v>410.5</v>
      </c>
      <c r="Z59">
        <f>VLOOKUP($I59,'[1]Table S6'!$A:$AI,18,FALSE)</f>
        <v>0.87359012555863003</v>
      </c>
      <c r="AA59">
        <f>VLOOKUP($I59,'[1]Table S6'!$A:$AI,19,FALSE)</f>
        <v>41.44</v>
      </c>
      <c r="AB59" t="str">
        <f>VLOOKUP($I59,'[1]Table S6'!$A:$AI,20,FALSE)</f>
        <v>No</v>
      </c>
      <c r="AD59">
        <f>VLOOKUP($I59,'[1]Table S6'!$A:$AI,22,FALSE)</f>
        <v>417</v>
      </c>
      <c r="AE59">
        <f>VLOOKUP($I59,'[1]Table S6'!$A:$AI,23,FALSE)</f>
        <v>0.88742285592679304</v>
      </c>
      <c r="AF59">
        <f>VLOOKUP($I59,'[1]Table S6'!$A:$AI,24,FALSE)</f>
        <v>25.58</v>
      </c>
      <c r="AG59" t="str">
        <f>VLOOKUP($I59,'[1]Table S6'!$A:$AI,25,FALSE)</f>
        <v>No</v>
      </c>
      <c r="AI59">
        <f>VLOOKUP($I59,'[1]Table S6'!$A:$AI,27,FALSE)</f>
        <v>441.5</v>
      </c>
      <c r="AJ59">
        <f>VLOOKUP($I59,'[1]Table S6'!$A:$AI,28,FALSE)</f>
        <v>0.93956160885294704</v>
      </c>
      <c r="AK59">
        <f>VLOOKUP($I59,'[1]Table S6'!$A:$AI,29,FALSE)</f>
        <v>57.63</v>
      </c>
      <c r="AL59" t="str">
        <f>VLOOKUP($I59,'[1]Table S6'!$A:$AI,30,FALSE)</f>
        <v>No</v>
      </c>
      <c r="AN59">
        <f>VLOOKUP($I59,'[1]Table S6'!$A:$AI,32,FALSE)</f>
        <v>437.5</v>
      </c>
      <c r="AO59">
        <f>VLOOKUP($I59,'[1]Table S6'!$A:$AI,33,FALSE)</f>
        <v>0.93104915939561605</v>
      </c>
      <c r="AP59">
        <f>VLOOKUP($I59,'[1]Table S6'!$A:$AI,34,FALSE)</f>
        <v>113.7</v>
      </c>
      <c r="AQ59" t="str">
        <f>VLOOKUP($I59,'[1]Table S6'!$A:$AI,35,FALSE)</f>
        <v>No</v>
      </c>
      <c r="AS59" t="str">
        <f>VLOOKUP($H59,'[2]Table S5'!$A:$K,8,FALSE)</f>
        <v>Resistant</v>
      </c>
      <c r="AT59" t="str">
        <f>VLOOKUP($H59,'[2]Table S5'!$A:$K,9,FALSE)</f>
        <v>Resistant</v>
      </c>
      <c r="AU59" t="str">
        <f>VLOOKUP($H59,'[2]Table S5'!$A:$K,10,FALSE)</f>
        <v>Resistant</v>
      </c>
      <c r="AV59" t="str">
        <f>VLOOKUP($H59,'[2]Table S5'!$A:$K,11,FALSE)</f>
        <v>Resistant</v>
      </c>
    </row>
    <row r="60" spans="1:48">
      <c r="A60" t="s">
        <v>450</v>
      </c>
      <c r="B60" t="s">
        <v>451</v>
      </c>
      <c r="C60" t="s">
        <v>17</v>
      </c>
      <c r="D60" t="s">
        <v>453</v>
      </c>
      <c r="E60" t="s">
        <v>454</v>
      </c>
      <c r="F60" t="s">
        <v>455</v>
      </c>
      <c r="G60" t="s">
        <v>4751</v>
      </c>
      <c r="H60" t="s">
        <v>417</v>
      </c>
      <c r="I60" t="s">
        <v>433</v>
      </c>
      <c r="J60">
        <f>VLOOKUP($I60,'[1]Table S6'!$A:$AI,2,FALSE)</f>
        <v>331.2</v>
      </c>
      <c r="K60">
        <f>VLOOKUP($I60,'[1]Table S6'!$A:$AI,3,FALSE)</f>
        <v>0.70483081506703604</v>
      </c>
      <c r="L60">
        <f>VLOOKUP($I60,'[1]Table S6'!$A:$AI,4,FALSE)</f>
        <v>3.1240000000000001</v>
      </c>
      <c r="M60" t="str">
        <f>VLOOKUP($I60,'[1]Table S6'!$A:$AI,5,FALSE)</f>
        <v>Yes</v>
      </c>
      <c r="O60">
        <f>VLOOKUP($I60,'[1]Table S6'!$A:$AI,7,FALSE)</f>
        <v>375.7</v>
      </c>
      <c r="P60">
        <f>VLOOKUP($I60,'[1]Table S6'!$A:$AI,8,FALSE)</f>
        <v>0.79953181527984696</v>
      </c>
      <c r="Q60">
        <f>VLOOKUP($I60,'[1]Table S6'!$A:$AI,9,FALSE)</f>
        <v>11.32</v>
      </c>
      <c r="R60" t="str">
        <f>VLOOKUP($I60,'[1]Table S6'!$A:$AI,10,FALSE)</f>
        <v>No</v>
      </c>
      <c r="T60">
        <f>VLOOKUP($I60,'[1]Table S6'!$A:$AI,12,FALSE)</f>
        <v>375.7</v>
      </c>
      <c r="U60">
        <f>VLOOKUP($I60,'[1]Table S6'!$A:$AI,13,FALSE)</f>
        <v>0.79953181527984696</v>
      </c>
      <c r="V60">
        <f>VLOOKUP($I60,'[1]Table S6'!$A:$AI,14,FALSE)</f>
        <v>11.71</v>
      </c>
      <c r="W60" t="str">
        <f>VLOOKUP($I60,'[1]Table S6'!$A:$AI,15,FALSE)</f>
        <v>No</v>
      </c>
      <c r="Y60">
        <f>VLOOKUP($I60,'[1]Table S6'!$A:$AI,17,FALSE)</f>
        <v>370.3</v>
      </c>
      <c r="Z60">
        <f>VLOOKUP($I60,'[1]Table S6'!$A:$AI,18,FALSE)</f>
        <v>0.78804000851244904</v>
      </c>
      <c r="AA60">
        <f>VLOOKUP($I60,'[1]Table S6'!$A:$AI,19,FALSE)</f>
        <v>9.4890000000000008</v>
      </c>
      <c r="AB60" t="str">
        <f>VLOOKUP($I60,'[1]Table S6'!$A:$AI,20,FALSE)</f>
        <v>No</v>
      </c>
      <c r="AD60">
        <f>VLOOKUP($I60,'[1]Table S6'!$A:$AI,22,FALSE)</f>
        <v>374.5</v>
      </c>
      <c r="AE60">
        <f>VLOOKUP($I60,'[1]Table S6'!$A:$AI,23,FALSE)</f>
        <v>0.79697808044264695</v>
      </c>
      <c r="AF60">
        <f>VLOOKUP($I60,'[1]Table S6'!$A:$AI,24,FALSE)</f>
        <v>14.22</v>
      </c>
      <c r="AG60" t="str">
        <f>VLOOKUP($I60,'[1]Table S6'!$A:$AI,25,FALSE)</f>
        <v>No</v>
      </c>
      <c r="AI60">
        <f>VLOOKUP($I60,'[1]Table S6'!$A:$AI,27,FALSE)</f>
        <v>413.4</v>
      </c>
      <c r="AJ60">
        <f>VLOOKUP($I60,'[1]Table S6'!$A:$AI,28,FALSE)</f>
        <v>0.87976165141519502</v>
      </c>
      <c r="AK60">
        <f>VLOOKUP($I60,'[1]Table S6'!$A:$AI,29,FALSE)</f>
        <v>31.83</v>
      </c>
      <c r="AL60" t="str">
        <f>VLOOKUP($I60,'[1]Table S6'!$A:$AI,30,FALSE)</f>
        <v>No</v>
      </c>
      <c r="AN60">
        <f>VLOOKUP($I60,'[1]Table S6'!$A:$AI,32,FALSE)</f>
        <v>445.5</v>
      </c>
      <c r="AO60">
        <f>VLOOKUP($I60,'[1]Table S6'!$A:$AI,33,FALSE)</f>
        <v>0.94807405831027902</v>
      </c>
      <c r="AP60">
        <f>VLOOKUP($I60,'[1]Table S6'!$A:$AI,34,FALSE)</f>
        <v>123.9</v>
      </c>
      <c r="AQ60" t="str">
        <f>VLOOKUP($I60,'[1]Table S6'!$A:$AI,35,FALSE)</f>
        <v>No</v>
      </c>
      <c r="AS60" t="str">
        <f>VLOOKUP($H60,'[2]Table S5'!$A:$K,8,FALSE)</f>
        <v>Resistant</v>
      </c>
      <c r="AT60" t="str">
        <f>VLOOKUP($H60,'[2]Table S5'!$A:$K,9,FALSE)</f>
        <v>Resistant</v>
      </c>
      <c r="AU60" t="str">
        <f>VLOOKUP($H60,'[2]Table S5'!$A:$K,10,FALSE)</f>
        <v>Resistant</v>
      </c>
      <c r="AV60" t="str">
        <f>VLOOKUP($H60,'[2]Table S5'!$A:$K,11,FALSE)</f>
        <v>Resistant</v>
      </c>
    </row>
    <row r="61" spans="1:48">
      <c r="A61" t="s">
        <v>457</v>
      </c>
      <c r="B61" t="s">
        <v>458</v>
      </c>
      <c r="C61" t="s">
        <v>17</v>
      </c>
      <c r="D61" t="s">
        <v>460</v>
      </c>
      <c r="E61" t="s">
        <v>461</v>
      </c>
      <c r="F61" t="s">
        <v>462</v>
      </c>
      <c r="G61" t="s">
        <v>4751</v>
      </c>
      <c r="H61" t="s">
        <v>417</v>
      </c>
      <c r="I61" t="s">
        <v>441</v>
      </c>
      <c r="J61">
        <f>VLOOKUP($I61,'[1]Table S6'!$A:$AI,2,FALSE)</f>
        <v>344.8</v>
      </c>
      <c r="K61">
        <f>VLOOKUP($I61,'[1]Table S6'!$A:$AI,3,FALSE)</f>
        <v>0.73377314322196197</v>
      </c>
      <c r="L61">
        <f>VLOOKUP($I61,'[1]Table S6'!$A:$AI,4,FALSE)</f>
        <v>3.6150000000000002</v>
      </c>
      <c r="M61" t="str">
        <f>VLOOKUP($I61,'[1]Table S6'!$A:$AI,5,FALSE)</f>
        <v>No</v>
      </c>
      <c r="O61">
        <f>VLOOKUP($I61,'[1]Table S6'!$A:$AI,7,FALSE)</f>
        <v>394.3</v>
      </c>
      <c r="P61">
        <f>VLOOKUP($I61,'[1]Table S6'!$A:$AI,8,FALSE)</f>
        <v>0.83911470525643805</v>
      </c>
      <c r="Q61">
        <f>VLOOKUP($I61,'[1]Table S6'!$A:$AI,9,FALSE)</f>
        <v>23.27</v>
      </c>
      <c r="R61" t="str">
        <f>VLOOKUP($I61,'[1]Table S6'!$A:$AI,10,FALSE)</f>
        <v>No</v>
      </c>
      <c r="T61">
        <f>VLOOKUP($I61,'[1]Table S6'!$A:$AI,12,FALSE)</f>
        <v>407.3</v>
      </c>
      <c r="U61">
        <f>VLOOKUP($I61,'[1]Table S6'!$A:$AI,13,FALSE)</f>
        <v>0.86678016599276497</v>
      </c>
      <c r="V61">
        <f>VLOOKUP($I61,'[1]Table S6'!$A:$AI,14,FALSE)</f>
        <v>32.51</v>
      </c>
      <c r="W61" t="str">
        <f>VLOOKUP($I61,'[1]Table S6'!$A:$AI,15,FALSE)</f>
        <v>No</v>
      </c>
      <c r="Y61">
        <f>VLOOKUP($I61,'[1]Table S6'!$A:$AI,17,FALSE)</f>
        <v>387.3</v>
      </c>
      <c r="Z61">
        <f>VLOOKUP($I61,'[1]Table S6'!$A:$AI,18,FALSE)</f>
        <v>0.82421791870610805</v>
      </c>
      <c r="AA61">
        <f>VLOOKUP($I61,'[1]Table S6'!$A:$AI,19,FALSE)</f>
        <v>17.350000000000001</v>
      </c>
      <c r="AB61" t="str">
        <f>VLOOKUP($I61,'[1]Table S6'!$A:$AI,20,FALSE)</f>
        <v>No</v>
      </c>
      <c r="AD61">
        <f>VLOOKUP($I61,'[1]Table S6'!$A:$AI,22,FALSE)</f>
        <v>389.2</v>
      </c>
      <c r="AE61">
        <f>VLOOKUP($I61,'[1]Table S6'!$A:$AI,23,FALSE)</f>
        <v>0.82826133219833997</v>
      </c>
      <c r="AF61">
        <f>VLOOKUP($I61,'[1]Table S6'!$A:$AI,24,FALSE)</f>
        <v>17.2</v>
      </c>
      <c r="AG61" t="str">
        <f>VLOOKUP($I61,'[1]Table S6'!$A:$AI,25,FALSE)</f>
        <v>No</v>
      </c>
      <c r="AI61">
        <f>VLOOKUP($I61,'[1]Table S6'!$A:$AI,27,FALSE)</f>
        <v>407.7</v>
      </c>
      <c r="AJ61">
        <f>VLOOKUP($I61,'[1]Table S6'!$A:$AI,28,FALSE)</f>
        <v>0.86763141093849805</v>
      </c>
      <c r="AK61">
        <f>VLOOKUP($I61,'[1]Table S6'!$A:$AI,29,FALSE)</f>
        <v>39.58</v>
      </c>
      <c r="AL61" t="str">
        <f>VLOOKUP($I61,'[1]Table S6'!$A:$AI,30,FALSE)</f>
        <v>No</v>
      </c>
      <c r="AN61">
        <f>VLOOKUP($I61,'[1]Table S6'!$A:$AI,32,FALSE)</f>
        <v>437.7</v>
      </c>
      <c r="AO61">
        <f>VLOOKUP($I61,'[1]Table S6'!$A:$AI,33,FALSE)</f>
        <v>0.93147478186848298</v>
      </c>
      <c r="AP61">
        <f>VLOOKUP($I61,'[1]Table S6'!$A:$AI,34,FALSE)</f>
        <v>106.7</v>
      </c>
      <c r="AQ61" t="str">
        <f>VLOOKUP($I61,'[1]Table S6'!$A:$AI,35,FALSE)</f>
        <v>No</v>
      </c>
      <c r="AS61" t="str">
        <f>VLOOKUP($H61,'[2]Table S5'!$A:$K,8,FALSE)</f>
        <v>Resistant</v>
      </c>
      <c r="AT61" t="str">
        <f>VLOOKUP($H61,'[2]Table S5'!$A:$K,9,FALSE)</f>
        <v>Resistant</v>
      </c>
      <c r="AU61" t="str">
        <f>VLOOKUP($H61,'[2]Table S5'!$A:$K,10,FALSE)</f>
        <v>Resistant</v>
      </c>
      <c r="AV61" t="str">
        <f>VLOOKUP($H61,'[2]Table S5'!$A:$K,11,FALSE)</f>
        <v>Resistant</v>
      </c>
    </row>
    <row r="62" spans="1:48">
      <c r="A62" t="s">
        <v>464</v>
      </c>
      <c r="B62" t="s">
        <v>465</v>
      </c>
      <c r="C62" t="s">
        <v>17</v>
      </c>
      <c r="D62" t="s">
        <v>467</v>
      </c>
      <c r="E62" t="s">
        <v>468</v>
      </c>
      <c r="F62" t="s">
        <v>469</v>
      </c>
      <c r="G62" t="s">
        <v>4758</v>
      </c>
      <c r="H62" t="s">
        <v>470</v>
      </c>
      <c r="I62" t="s">
        <v>470</v>
      </c>
      <c r="J62" t="e">
        <f>VLOOKUP($I62,'[1]Table S6'!$A:$AI,2,FALSE)</f>
        <v>#N/A</v>
      </c>
      <c r="K62" t="e">
        <f>VLOOKUP($I62,'[1]Table S6'!$A:$AI,3,FALSE)</f>
        <v>#N/A</v>
      </c>
      <c r="L62" t="e">
        <f>VLOOKUP($I62,'[1]Table S6'!$A:$AI,4,FALSE)</f>
        <v>#N/A</v>
      </c>
      <c r="M62" t="e">
        <f>VLOOKUP($I62,'[1]Table S6'!$A:$AI,5,FALSE)</f>
        <v>#N/A</v>
      </c>
      <c r="O62" t="e">
        <f>VLOOKUP($I62,'[1]Table S6'!$A:$AI,7,FALSE)</f>
        <v>#N/A</v>
      </c>
      <c r="P62" t="e">
        <f>VLOOKUP($I62,'[1]Table S6'!$A:$AI,8,FALSE)</f>
        <v>#N/A</v>
      </c>
      <c r="Q62" t="e">
        <f>VLOOKUP($I62,'[1]Table S6'!$A:$AI,9,FALSE)</f>
        <v>#N/A</v>
      </c>
      <c r="R62" t="e">
        <f>VLOOKUP($I62,'[1]Table S6'!$A:$AI,10,FALSE)</f>
        <v>#N/A</v>
      </c>
      <c r="T62" t="e">
        <f>VLOOKUP($I62,'[1]Table S6'!$A:$AI,12,FALSE)</f>
        <v>#N/A</v>
      </c>
      <c r="U62" t="e">
        <f>VLOOKUP($I62,'[1]Table S6'!$A:$AI,13,FALSE)</f>
        <v>#N/A</v>
      </c>
      <c r="V62" t="e">
        <f>VLOOKUP($I62,'[1]Table S6'!$A:$AI,14,FALSE)</f>
        <v>#N/A</v>
      </c>
      <c r="W62" t="e">
        <f>VLOOKUP($I62,'[1]Table S6'!$A:$AI,15,FALSE)</f>
        <v>#N/A</v>
      </c>
      <c r="Y62" t="e">
        <f>VLOOKUP($I62,'[1]Table S6'!$A:$AI,17,FALSE)</f>
        <v>#N/A</v>
      </c>
      <c r="Z62" t="e">
        <f>VLOOKUP($I62,'[1]Table S6'!$A:$AI,18,FALSE)</f>
        <v>#N/A</v>
      </c>
      <c r="AA62" t="e">
        <f>VLOOKUP($I62,'[1]Table S6'!$A:$AI,19,FALSE)</f>
        <v>#N/A</v>
      </c>
      <c r="AB62" t="e">
        <f>VLOOKUP($I62,'[1]Table S6'!$A:$AI,20,FALSE)</f>
        <v>#N/A</v>
      </c>
      <c r="AD62" t="e">
        <f>VLOOKUP($I62,'[1]Table S6'!$A:$AI,22,FALSE)</f>
        <v>#N/A</v>
      </c>
      <c r="AE62" t="e">
        <f>VLOOKUP($I62,'[1]Table S6'!$A:$AI,23,FALSE)</f>
        <v>#N/A</v>
      </c>
      <c r="AF62" t="e">
        <f>VLOOKUP($I62,'[1]Table S6'!$A:$AI,24,FALSE)</f>
        <v>#N/A</v>
      </c>
      <c r="AG62" t="e">
        <f>VLOOKUP($I62,'[1]Table S6'!$A:$AI,25,FALSE)</f>
        <v>#N/A</v>
      </c>
      <c r="AI62" t="e">
        <f>VLOOKUP($I62,'[1]Table S6'!$A:$AI,27,FALSE)</f>
        <v>#N/A</v>
      </c>
      <c r="AJ62" t="e">
        <f>VLOOKUP($I62,'[1]Table S6'!$A:$AI,28,FALSE)</f>
        <v>#N/A</v>
      </c>
      <c r="AK62" t="e">
        <f>VLOOKUP($I62,'[1]Table S6'!$A:$AI,29,FALSE)</f>
        <v>#N/A</v>
      </c>
      <c r="AL62" t="e">
        <f>VLOOKUP($I62,'[1]Table S6'!$A:$AI,30,FALSE)</f>
        <v>#N/A</v>
      </c>
      <c r="AN62" t="e">
        <f>VLOOKUP($I62,'[1]Table S6'!$A:$AI,32,FALSE)</f>
        <v>#N/A</v>
      </c>
      <c r="AO62" t="e">
        <f>VLOOKUP($I62,'[1]Table S6'!$A:$AI,33,FALSE)</f>
        <v>#N/A</v>
      </c>
      <c r="AP62" t="e">
        <f>VLOOKUP($I62,'[1]Table S6'!$A:$AI,34,FALSE)</f>
        <v>#N/A</v>
      </c>
      <c r="AQ62" t="e">
        <f>VLOOKUP($I62,'[1]Table S6'!$A:$AI,35,FALSE)</f>
        <v>#N/A</v>
      </c>
      <c r="AS62" t="e">
        <f>VLOOKUP($H62,'[2]Table S5'!$A:$K,8,FALSE)</f>
        <v>#N/A</v>
      </c>
      <c r="AT62" t="e">
        <f>VLOOKUP($H62,'[2]Table S5'!$A:$K,9,FALSE)</f>
        <v>#N/A</v>
      </c>
      <c r="AU62" t="e">
        <f>VLOOKUP($H62,'[2]Table S5'!$A:$K,10,FALSE)</f>
        <v>#N/A</v>
      </c>
      <c r="AV62" t="e">
        <f>VLOOKUP($H62,'[2]Table S5'!$A:$K,11,FALSE)</f>
        <v>#N/A</v>
      </c>
    </row>
    <row r="63" spans="1:48">
      <c r="A63" t="s">
        <v>472</v>
      </c>
      <c r="B63" t="s">
        <v>473</v>
      </c>
      <c r="C63" t="s">
        <v>17</v>
      </c>
      <c r="D63" t="s">
        <v>475</v>
      </c>
      <c r="E63" t="s">
        <v>476</v>
      </c>
      <c r="F63" t="s">
        <v>477</v>
      </c>
      <c r="G63" t="s">
        <v>4750</v>
      </c>
      <c r="H63" t="s">
        <v>470</v>
      </c>
      <c r="I63" t="s">
        <v>478</v>
      </c>
      <c r="J63">
        <f>VLOOKUP($I63,'[1]Table S6'!$A:$AI,2,FALSE)</f>
        <v>389.9</v>
      </c>
      <c r="K63">
        <f>VLOOKUP($I63,'[1]Table S6'!$A:$AI,3,FALSE)</f>
        <v>0.82975101085337299</v>
      </c>
      <c r="L63">
        <f>VLOOKUP($I63,'[1]Table S6'!$A:$AI,4,FALSE)</f>
        <v>9.5009999999999994</v>
      </c>
      <c r="M63" t="str">
        <f>VLOOKUP($I63,'[1]Table S6'!$A:$AI,5,FALSE)</f>
        <v>No</v>
      </c>
      <c r="O63">
        <f>VLOOKUP($I63,'[1]Table S6'!$A:$AI,7,FALSE)</f>
        <v>390</v>
      </c>
      <c r="P63">
        <f>VLOOKUP($I63,'[1]Table S6'!$A:$AI,8,FALSE)</f>
        <v>0.82996382208980601</v>
      </c>
      <c r="Q63">
        <f>VLOOKUP($I63,'[1]Table S6'!$A:$AI,9,FALSE)</f>
        <v>19.79</v>
      </c>
      <c r="R63" t="str">
        <f>VLOOKUP($I63,'[1]Table S6'!$A:$AI,10,FALSE)</f>
        <v>No</v>
      </c>
      <c r="T63">
        <f>VLOOKUP($I63,'[1]Table S6'!$A:$AI,12,FALSE)</f>
        <v>345.5</v>
      </c>
      <c r="U63">
        <f>VLOOKUP($I63,'[1]Table S6'!$A:$AI,13,FALSE)</f>
        <v>0.73526282187699499</v>
      </c>
      <c r="V63">
        <f>VLOOKUP($I63,'[1]Table S6'!$A:$AI,14,FALSE)</f>
        <v>5.9989999999999997</v>
      </c>
      <c r="W63" t="str">
        <f>VLOOKUP($I63,'[1]Table S6'!$A:$AI,15,FALSE)</f>
        <v>No</v>
      </c>
      <c r="Y63">
        <f>VLOOKUP($I63,'[1]Table S6'!$A:$AI,17,FALSE)</f>
        <v>349.5</v>
      </c>
      <c r="Z63">
        <f>VLOOKUP($I63,'[1]Table S6'!$A:$AI,18,FALSE)</f>
        <v>0.74377527133432697</v>
      </c>
      <c r="AA63">
        <f>VLOOKUP($I63,'[1]Table S6'!$A:$AI,19,FALSE)</f>
        <v>4.0270000000000001</v>
      </c>
      <c r="AB63" t="str">
        <f>VLOOKUP($I63,'[1]Table S6'!$A:$AI,20,FALSE)</f>
        <v>No</v>
      </c>
      <c r="AD63">
        <f>VLOOKUP($I63,'[1]Table S6'!$A:$AI,22,FALSE)</f>
        <v>312.8</v>
      </c>
      <c r="AE63">
        <f>VLOOKUP($I63,'[1]Table S6'!$A:$AI,23,FALSE)</f>
        <v>0.66567354756331099</v>
      </c>
      <c r="AF63">
        <f>VLOOKUP($I63,'[1]Table S6'!$A:$AI,24,FALSE)</f>
        <v>1.722</v>
      </c>
      <c r="AG63" t="str">
        <f>VLOOKUP($I63,'[1]Table S6'!$A:$AI,25,FALSE)</f>
        <v>Yes</v>
      </c>
      <c r="AI63">
        <f>VLOOKUP($I63,'[1]Table S6'!$A:$AI,27,FALSE)</f>
        <v>430.9</v>
      </c>
      <c r="AJ63">
        <f>VLOOKUP($I63,'[1]Table S6'!$A:$AI,28,FALSE)</f>
        <v>0.91700361779101902</v>
      </c>
      <c r="AK63">
        <f>VLOOKUP($I63,'[1]Table S6'!$A:$AI,29,FALSE)</f>
        <v>98.14</v>
      </c>
      <c r="AL63" t="str">
        <f>VLOOKUP($I63,'[1]Table S6'!$A:$AI,30,FALSE)</f>
        <v>No</v>
      </c>
      <c r="AN63">
        <f>VLOOKUP($I63,'[1]Table S6'!$A:$AI,32,FALSE)</f>
        <v>400.3</v>
      </c>
      <c r="AO63">
        <f>VLOOKUP($I63,'[1]Table S6'!$A:$AI,33,FALSE)</f>
        <v>0.85188337944243497</v>
      </c>
      <c r="AP63">
        <f>VLOOKUP($I63,'[1]Table S6'!$A:$AI,34,FALSE)</f>
        <v>24.87</v>
      </c>
      <c r="AQ63" t="str">
        <f>VLOOKUP($I63,'[1]Table S6'!$A:$AI,35,FALSE)</f>
        <v>No</v>
      </c>
      <c r="AS63" t="e">
        <f>VLOOKUP($H63,'[2]Table S5'!$A:$K,8,FALSE)</f>
        <v>#N/A</v>
      </c>
      <c r="AT63" t="e">
        <f>VLOOKUP($H63,'[2]Table S5'!$A:$K,9,FALSE)</f>
        <v>#N/A</v>
      </c>
      <c r="AU63" t="e">
        <f>VLOOKUP($H63,'[2]Table S5'!$A:$K,10,FALSE)</f>
        <v>#N/A</v>
      </c>
      <c r="AV63" t="e">
        <f>VLOOKUP($H63,'[2]Table S5'!$A:$K,11,FALSE)</f>
        <v>#N/A</v>
      </c>
    </row>
    <row r="64" spans="1:48">
      <c r="A64" t="s">
        <v>480</v>
      </c>
      <c r="B64" t="s">
        <v>481</v>
      </c>
      <c r="C64" t="s">
        <v>17</v>
      </c>
      <c r="D64" t="s">
        <v>483</v>
      </c>
      <c r="E64" t="s">
        <v>484</v>
      </c>
      <c r="F64" t="s">
        <v>485</v>
      </c>
      <c r="G64" t="s">
        <v>4751</v>
      </c>
      <c r="H64" t="s">
        <v>470</v>
      </c>
      <c r="I64" t="s">
        <v>478</v>
      </c>
      <c r="J64">
        <f>VLOOKUP($I64,'[1]Table S6'!$A:$AI,2,FALSE)</f>
        <v>389.9</v>
      </c>
      <c r="K64">
        <f>VLOOKUP($I64,'[1]Table S6'!$A:$AI,3,FALSE)</f>
        <v>0.82975101085337299</v>
      </c>
      <c r="L64">
        <f>VLOOKUP($I64,'[1]Table S6'!$A:$AI,4,FALSE)</f>
        <v>9.5009999999999994</v>
      </c>
      <c r="M64" t="str">
        <f>VLOOKUP($I64,'[1]Table S6'!$A:$AI,5,FALSE)</f>
        <v>No</v>
      </c>
      <c r="O64">
        <f>VLOOKUP($I64,'[1]Table S6'!$A:$AI,7,FALSE)</f>
        <v>390</v>
      </c>
      <c r="P64">
        <f>VLOOKUP($I64,'[1]Table S6'!$A:$AI,8,FALSE)</f>
        <v>0.82996382208980601</v>
      </c>
      <c r="Q64">
        <f>VLOOKUP($I64,'[1]Table S6'!$A:$AI,9,FALSE)</f>
        <v>19.79</v>
      </c>
      <c r="R64" t="str">
        <f>VLOOKUP($I64,'[1]Table S6'!$A:$AI,10,FALSE)</f>
        <v>No</v>
      </c>
      <c r="T64">
        <f>VLOOKUP($I64,'[1]Table S6'!$A:$AI,12,FALSE)</f>
        <v>345.5</v>
      </c>
      <c r="U64">
        <f>VLOOKUP($I64,'[1]Table S6'!$A:$AI,13,FALSE)</f>
        <v>0.73526282187699499</v>
      </c>
      <c r="V64">
        <f>VLOOKUP($I64,'[1]Table S6'!$A:$AI,14,FALSE)</f>
        <v>5.9989999999999997</v>
      </c>
      <c r="W64" t="str">
        <f>VLOOKUP($I64,'[1]Table S6'!$A:$AI,15,FALSE)</f>
        <v>No</v>
      </c>
      <c r="Y64">
        <f>VLOOKUP($I64,'[1]Table S6'!$A:$AI,17,FALSE)</f>
        <v>349.5</v>
      </c>
      <c r="Z64">
        <f>VLOOKUP($I64,'[1]Table S6'!$A:$AI,18,FALSE)</f>
        <v>0.74377527133432697</v>
      </c>
      <c r="AA64">
        <f>VLOOKUP($I64,'[1]Table S6'!$A:$AI,19,FALSE)</f>
        <v>4.0270000000000001</v>
      </c>
      <c r="AB64" t="str">
        <f>VLOOKUP($I64,'[1]Table S6'!$A:$AI,20,FALSE)</f>
        <v>No</v>
      </c>
      <c r="AD64">
        <f>VLOOKUP($I64,'[1]Table S6'!$A:$AI,22,FALSE)</f>
        <v>312.8</v>
      </c>
      <c r="AE64">
        <f>VLOOKUP($I64,'[1]Table S6'!$A:$AI,23,FALSE)</f>
        <v>0.66567354756331099</v>
      </c>
      <c r="AF64">
        <f>VLOOKUP($I64,'[1]Table S6'!$A:$AI,24,FALSE)</f>
        <v>1.722</v>
      </c>
      <c r="AG64" t="str">
        <f>VLOOKUP($I64,'[1]Table S6'!$A:$AI,25,FALSE)</f>
        <v>Yes</v>
      </c>
      <c r="AI64">
        <f>VLOOKUP($I64,'[1]Table S6'!$A:$AI,27,FALSE)</f>
        <v>430.9</v>
      </c>
      <c r="AJ64">
        <f>VLOOKUP($I64,'[1]Table S6'!$A:$AI,28,FALSE)</f>
        <v>0.91700361779101902</v>
      </c>
      <c r="AK64">
        <f>VLOOKUP($I64,'[1]Table S6'!$A:$AI,29,FALSE)</f>
        <v>98.14</v>
      </c>
      <c r="AL64" t="str">
        <f>VLOOKUP($I64,'[1]Table S6'!$A:$AI,30,FALSE)</f>
        <v>No</v>
      </c>
      <c r="AN64">
        <f>VLOOKUP($I64,'[1]Table S6'!$A:$AI,32,FALSE)</f>
        <v>400.3</v>
      </c>
      <c r="AO64">
        <f>VLOOKUP($I64,'[1]Table S6'!$A:$AI,33,FALSE)</f>
        <v>0.85188337944243497</v>
      </c>
      <c r="AP64">
        <f>VLOOKUP($I64,'[1]Table S6'!$A:$AI,34,FALSE)</f>
        <v>24.87</v>
      </c>
      <c r="AQ64" t="str">
        <f>VLOOKUP($I64,'[1]Table S6'!$A:$AI,35,FALSE)</f>
        <v>No</v>
      </c>
      <c r="AS64" t="e">
        <f>VLOOKUP($H64,'[2]Table S5'!$A:$K,8,FALSE)</f>
        <v>#N/A</v>
      </c>
      <c r="AT64" t="e">
        <f>VLOOKUP($H64,'[2]Table S5'!$A:$K,9,FALSE)</f>
        <v>#N/A</v>
      </c>
      <c r="AU64" t="e">
        <f>VLOOKUP($H64,'[2]Table S5'!$A:$K,10,FALSE)</f>
        <v>#N/A</v>
      </c>
      <c r="AV64" t="e">
        <f>VLOOKUP($H64,'[2]Table S5'!$A:$K,11,FALSE)</f>
        <v>#N/A</v>
      </c>
    </row>
    <row r="65" spans="1:48">
      <c r="A65" t="s">
        <v>487</v>
      </c>
      <c r="B65" t="s">
        <v>488</v>
      </c>
      <c r="C65" t="s">
        <v>17</v>
      </c>
      <c r="D65" t="s">
        <v>490</v>
      </c>
      <c r="E65" t="s">
        <v>491</v>
      </c>
      <c r="F65" t="s">
        <v>492</v>
      </c>
      <c r="G65" t="s">
        <v>4758</v>
      </c>
      <c r="H65" t="s">
        <v>493</v>
      </c>
      <c r="I65" t="s">
        <v>493</v>
      </c>
      <c r="J65" t="e">
        <f>VLOOKUP($I65,'[1]Table S6'!$A:$AI,2,FALSE)</f>
        <v>#N/A</v>
      </c>
      <c r="K65" t="e">
        <f>VLOOKUP($I65,'[1]Table S6'!$A:$AI,3,FALSE)</f>
        <v>#N/A</v>
      </c>
      <c r="L65" t="e">
        <f>VLOOKUP($I65,'[1]Table S6'!$A:$AI,4,FALSE)</f>
        <v>#N/A</v>
      </c>
      <c r="M65" t="e">
        <f>VLOOKUP($I65,'[1]Table S6'!$A:$AI,5,FALSE)</f>
        <v>#N/A</v>
      </c>
      <c r="O65" t="e">
        <f>VLOOKUP($I65,'[1]Table S6'!$A:$AI,7,FALSE)</f>
        <v>#N/A</v>
      </c>
      <c r="P65" t="e">
        <f>VLOOKUP($I65,'[1]Table S6'!$A:$AI,8,FALSE)</f>
        <v>#N/A</v>
      </c>
      <c r="Q65" t="e">
        <f>VLOOKUP($I65,'[1]Table S6'!$A:$AI,9,FALSE)</f>
        <v>#N/A</v>
      </c>
      <c r="R65" t="e">
        <f>VLOOKUP($I65,'[1]Table S6'!$A:$AI,10,FALSE)</f>
        <v>#N/A</v>
      </c>
      <c r="T65" t="e">
        <f>VLOOKUP($I65,'[1]Table S6'!$A:$AI,12,FALSE)</f>
        <v>#N/A</v>
      </c>
      <c r="U65" t="e">
        <f>VLOOKUP($I65,'[1]Table S6'!$A:$AI,13,FALSE)</f>
        <v>#N/A</v>
      </c>
      <c r="V65" t="e">
        <f>VLOOKUP($I65,'[1]Table S6'!$A:$AI,14,FALSE)</f>
        <v>#N/A</v>
      </c>
      <c r="W65" t="e">
        <f>VLOOKUP($I65,'[1]Table S6'!$A:$AI,15,FALSE)</f>
        <v>#N/A</v>
      </c>
      <c r="Y65" t="e">
        <f>VLOOKUP($I65,'[1]Table S6'!$A:$AI,17,FALSE)</f>
        <v>#N/A</v>
      </c>
      <c r="Z65" t="e">
        <f>VLOOKUP($I65,'[1]Table S6'!$A:$AI,18,FALSE)</f>
        <v>#N/A</v>
      </c>
      <c r="AA65" t="e">
        <f>VLOOKUP($I65,'[1]Table S6'!$A:$AI,19,FALSE)</f>
        <v>#N/A</v>
      </c>
      <c r="AB65" t="e">
        <f>VLOOKUP($I65,'[1]Table S6'!$A:$AI,20,FALSE)</f>
        <v>#N/A</v>
      </c>
      <c r="AD65" t="e">
        <f>VLOOKUP($I65,'[1]Table S6'!$A:$AI,22,FALSE)</f>
        <v>#N/A</v>
      </c>
      <c r="AE65" t="e">
        <f>VLOOKUP($I65,'[1]Table S6'!$A:$AI,23,FALSE)</f>
        <v>#N/A</v>
      </c>
      <c r="AF65" t="e">
        <f>VLOOKUP($I65,'[1]Table S6'!$A:$AI,24,FALSE)</f>
        <v>#N/A</v>
      </c>
      <c r="AG65" t="e">
        <f>VLOOKUP($I65,'[1]Table S6'!$A:$AI,25,FALSE)</f>
        <v>#N/A</v>
      </c>
      <c r="AI65" t="e">
        <f>VLOOKUP($I65,'[1]Table S6'!$A:$AI,27,FALSE)</f>
        <v>#N/A</v>
      </c>
      <c r="AJ65" t="e">
        <f>VLOOKUP($I65,'[1]Table S6'!$A:$AI,28,FALSE)</f>
        <v>#N/A</v>
      </c>
      <c r="AK65" t="e">
        <f>VLOOKUP($I65,'[1]Table S6'!$A:$AI,29,FALSE)</f>
        <v>#N/A</v>
      </c>
      <c r="AL65" t="e">
        <f>VLOOKUP($I65,'[1]Table S6'!$A:$AI,30,FALSE)</f>
        <v>#N/A</v>
      </c>
      <c r="AN65" t="e">
        <f>VLOOKUP($I65,'[1]Table S6'!$A:$AI,32,FALSE)</f>
        <v>#N/A</v>
      </c>
      <c r="AO65" t="e">
        <f>VLOOKUP($I65,'[1]Table S6'!$A:$AI,33,FALSE)</f>
        <v>#N/A</v>
      </c>
      <c r="AP65" t="e">
        <f>VLOOKUP($I65,'[1]Table S6'!$A:$AI,34,FALSE)</f>
        <v>#N/A</v>
      </c>
      <c r="AQ65" t="e">
        <f>VLOOKUP($I65,'[1]Table S6'!$A:$AI,35,FALSE)</f>
        <v>#N/A</v>
      </c>
      <c r="AS65" t="str">
        <f>VLOOKUP($H65,'[2]Table S5'!$A:$K,8,FALSE)</f>
        <v>Resistant</v>
      </c>
      <c r="AT65" t="str">
        <f>VLOOKUP($H65,'[2]Table S5'!$A:$K,9,FALSE)</f>
        <v>Resistant</v>
      </c>
      <c r="AU65" t="str">
        <f>VLOOKUP($H65,'[2]Table S5'!$A:$K,10,FALSE)</f>
        <v>Resistant</v>
      </c>
      <c r="AV65" t="str">
        <f>VLOOKUP($H65,'[2]Table S5'!$A:$K,11,FALSE)</f>
        <v>Resistant</v>
      </c>
    </row>
    <row r="66" spans="1:48">
      <c r="A66" t="s">
        <v>495</v>
      </c>
      <c r="B66" t="s">
        <v>496</v>
      </c>
      <c r="C66" t="s">
        <v>17</v>
      </c>
      <c r="D66" t="s">
        <v>498</v>
      </c>
      <c r="E66" t="s">
        <v>499</v>
      </c>
      <c r="F66" t="s">
        <v>500</v>
      </c>
      <c r="G66" t="s">
        <v>4750</v>
      </c>
      <c r="H66" t="s">
        <v>493</v>
      </c>
      <c r="I66" t="s">
        <v>501</v>
      </c>
      <c r="J66">
        <f>VLOOKUP($I66,'[1]Table S6'!$A:$AI,2,FALSE)</f>
        <v>297.39999999999998</v>
      </c>
      <c r="K66">
        <f>VLOOKUP($I66,'[1]Table S6'!$A:$AI,3,FALSE)</f>
        <v>0.63290061715258605</v>
      </c>
      <c r="L66">
        <f>VLOOKUP($I66,'[1]Table S6'!$A:$AI,4,FALSE)</f>
        <v>1.056</v>
      </c>
      <c r="M66" t="str">
        <f>VLOOKUP($I66,'[1]Table S6'!$A:$AI,5,FALSE)</f>
        <v>Yes</v>
      </c>
      <c r="O66">
        <f>VLOOKUP($I66,'[1]Table S6'!$A:$AI,7,FALSE)</f>
        <v>395.7</v>
      </c>
      <c r="P66">
        <f>VLOOKUP($I66,'[1]Table S6'!$A:$AI,8,FALSE)</f>
        <v>0.84209406256650399</v>
      </c>
      <c r="Q66">
        <f>VLOOKUP($I66,'[1]Table S6'!$A:$AI,9,FALSE)</f>
        <v>22.2</v>
      </c>
      <c r="R66" t="str">
        <f>VLOOKUP($I66,'[1]Table S6'!$A:$AI,10,FALSE)</f>
        <v>No</v>
      </c>
      <c r="T66">
        <f>VLOOKUP($I66,'[1]Table S6'!$A:$AI,12,FALSE)</f>
        <v>350.1</v>
      </c>
      <c r="U66">
        <f>VLOOKUP($I66,'[1]Table S6'!$A:$AI,13,FALSE)</f>
        <v>0.74505213875292597</v>
      </c>
      <c r="V66">
        <f>VLOOKUP($I66,'[1]Table S6'!$A:$AI,14,FALSE)</f>
        <v>6.1150000000000002</v>
      </c>
      <c r="W66" t="str">
        <f>VLOOKUP($I66,'[1]Table S6'!$A:$AI,15,FALSE)</f>
        <v>No</v>
      </c>
      <c r="Y66">
        <f>VLOOKUP($I66,'[1]Table S6'!$A:$AI,17,FALSE)</f>
        <v>383.8</v>
      </c>
      <c r="Z66">
        <f>VLOOKUP($I66,'[1]Table S6'!$A:$AI,18,FALSE)</f>
        <v>0.81676952543094306</v>
      </c>
      <c r="AA66">
        <f>VLOOKUP($I66,'[1]Table S6'!$A:$AI,19,FALSE)</f>
        <v>15.15</v>
      </c>
      <c r="AB66" t="str">
        <f>VLOOKUP($I66,'[1]Table S6'!$A:$AI,20,FALSE)</f>
        <v>No</v>
      </c>
      <c r="AD66">
        <f>VLOOKUP($I66,'[1]Table S6'!$A:$AI,22,FALSE)</f>
        <v>339.7</v>
      </c>
      <c r="AE66">
        <f>VLOOKUP($I66,'[1]Table S6'!$A:$AI,23,FALSE)</f>
        <v>0.72291977016386499</v>
      </c>
      <c r="AF66">
        <f>VLOOKUP($I66,'[1]Table S6'!$A:$AI,24,FALSE)</f>
        <v>5.8620000000000001</v>
      </c>
      <c r="AG66" t="str">
        <f>VLOOKUP($I66,'[1]Table S6'!$A:$AI,25,FALSE)</f>
        <v>No</v>
      </c>
      <c r="AI66">
        <f>VLOOKUP($I66,'[1]Table S6'!$A:$AI,27,FALSE)</f>
        <v>435.7</v>
      </c>
      <c r="AJ66">
        <f>VLOOKUP($I66,'[1]Table S6'!$A:$AI,28,FALSE)</f>
        <v>0.92721855713981705</v>
      </c>
      <c r="AK66">
        <f>VLOOKUP($I66,'[1]Table S6'!$A:$AI,29,FALSE)</f>
        <v>101.5</v>
      </c>
      <c r="AL66" t="str">
        <f>VLOOKUP($I66,'[1]Table S6'!$A:$AI,30,FALSE)</f>
        <v>No</v>
      </c>
      <c r="AN66">
        <f>VLOOKUP($I66,'[1]Table S6'!$A:$AI,32,FALSE)</f>
        <v>422.6</v>
      </c>
      <c r="AO66">
        <f>VLOOKUP($I66,'[1]Table S6'!$A:$AI,33,FALSE)</f>
        <v>0.899340285167057</v>
      </c>
      <c r="AP66">
        <f>VLOOKUP($I66,'[1]Table S6'!$A:$AI,34,FALSE)</f>
        <v>97.38</v>
      </c>
      <c r="AQ66" t="str">
        <f>VLOOKUP($I66,'[1]Table S6'!$A:$AI,35,FALSE)</f>
        <v>No</v>
      </c>
      <c r="AS66" t="str">
        <f>VLOOKUP($H66,'[2]Table S5'!$A:$K,8,FALSE)</f>
        <v>Resistant</v>
      </c>
      <c r="AT66" t="str">
        <f>VLOOKUP($H66,'[2]Table S5'!$A:$K,9,FALSE)</f>
        <v>Resistant</v>
      </c>
      <c r="AU66" t="str">
        <f>VLOOKUP($H66,'[2]Table S5'!$A:$K,10,FALSE)</f>
        <v>Resistant</v>
      </c>
      <c r="AV66" t="str">
        <f>VLOOKUP($H66,'[2]Table S5'!$A:$K,11,FALSE)</f>
        <v>Resistant</v>
      </c>
    </row>
    <row r="67" spans="1:48">
      <c r="A67" t="s">
        <v>503</v>
      </c>
      <c r="B67" t="s">
        <v>504</v>
      </c>
      <c r="C67" t="s">
        <v>17</v>
      </c>
      <c r="D67" t="s">
        <v>506</v>
      </c>
      <c r="E67" t="s">
        <v>507</v>
      </c>
      <c r="F67" t="s">
        <v>508</v>
      </c>
      <c r="G67" t="s">
        <v>4750</v>
      </c>
      <c r="H67" t="s">
        <v>493</v>
      </c>
      <c r="I67" t="s">
        <v>509</v>
      </c>
      <c r="J67">
        <f>VLOOKUP($I67,'[1]Table S6'!$A:$AI,2,FALSE)</f>
        <v>359.2</v>
      </c>
      <c r="K67">
        <f>VLOOKUP($I67,'[1]Table S6'!$A:$AI,3,FALSE)</f>
        <v>0.76441796126835504</v>
      </c>
      <c r="L67">
        <f>VLOOKUP($I67,'[1]Table S6'!$A:$AI,4,FALSE)</f>
        <v>5.08</v>
      </c>
      <c r="M67" t="str">
        <f>VLOOKUP($I67,'[1]Table S6'!$A:$AI,5,FALSE)</f>
        <v>No</v>
      </c>
      <c r="O67">
        <f>VLOOKUP($I67,'[1]Table S6'!$A:$AI,7,FALSE)</f>
        <v>376.1</v>
      </c>
      <c r="P67">
        <f>VLOOKUP($I67,'[1]Table S6'!$A:$AI,8,FALSE)</f>
        <v>0.80038306022558003</v>
      </c>
      <c r="Q67">
        <f>VLOOKUP($I67,'[1]Table S6'!$A:$AI,9,FALSE)</f>
        <v>13.39</v>
      </c>
      <c r="R67" t="str">
        <f>VLOOKUP($I67,'[1]Table S6'!$A:$AI,10,FALSE)</f>
        <v>No</v>
      </c>
      <c r="T67">
        <f>VLOOKUP($I67,'[1]Table S6'!$A:$AI,12,FALSE)</f>
        <v>297.2</v>
      </c>
      <c r="U67">
        <f>VLOOKUP($I67,'[1]Table S6'!$A:$AI,13,FALSE)</f>
        <v>0.63247499467971902</v>
      </c>
      <c r="V67">
        <f>VLOOKUP($I67,'[1]Table S6'!$A:$AI,14,FALSE)</f>
        <v>0.99080000000000001</v>
      </c>
      <c r="W67" t="str">
        <f>VLOOKUP($I67,'[1]Table S6'!$A:$AI,15,FALSE)</f>
        <v>Yes</v>
      </c>
      <c r="Y67">
        <f>VLOOKUP($I67,'[1]Table S6'!$A:$AI,17,FALSE)</f>
        <v>377</v>
      </c>
      <c r="Z67">
        <f>VLOOKUP($I67,'[1]Table S6'!$A:$AI,18,FALSE)</f>
        <v>0.80229836135347998</v>
      </c>
      <c r="AA67">
        <f>VLOOKUP($I67,'[1]Table S6'!$A:$AI,19,FALSE)</f>
        <v>12.38</v>
      </c>
      <c r="AB67" t="str">
        <f>VLOOKUP($I67,'[1]Table S6'!$A:$AI,20,FALSE)</f>
        <v>No</v>
      </c>
      <c r="AD67">
        <f>VLOOKUP($I67,'[1]Table S6'!$A:$AI,22,FALSE)</f>
        <v>310.60000000000002</v>
      </c>
      <c r="AE67">
        <f>VLOOKUP($I67,'[1]Table S6'!$A:$AI,23,FALSE)</f>
        <v>0.66099170036177901</v>
      </c>
      <c r="AF67">
        <f>VLOOKUP($I67,'[1]Table S6'!$A:$AI,24,FALSE)</f>
        <v>2.2149999999999999</v>
      </c>
      <c r="AG67" t="str">
        <f>VLOOKUP($I67,'[1]Table S6'!$A:$AI,25,FALSE)</f>
        <v>Yes</v>
      </c>
      <c r="AI67">
        <f>VLOOKUP($I67,'[1]Table S6'!$A:$AI,27,FALSE)</f>
        <v>362.9</v>
      </c>
      <c r="AJ67">
        <f>VLOOKUP($I67,'[1]Table S6'!$A:$AI,28,FALSE)</f>
        <v>0.77229197701638597</v>
      </c>
      <c r="AK67">
        <f>VLOOKUP($I67,'[1]Table S6'!$A:$AI,29,FALSE)</f>
        <v>13.39</v>
      </c>
      <c r="AL67" t="str">
        <f>VLOOKUP($I67,'[1]Table S6'!$A:$AI,30,FALSE)</f>
        <v>No</v>
      </c>
      <c r="AN67">
        <f>VLOOKUP($I67,'[1]Table S6'!$A:$AI,32,FALSE)</f>
        <v>338.2</v>
      </c>
      <c r="AO67">
        <f>VLOOKUP($I67,'[1]Table S6'!$A:$AI,33,FALSE)</f>
        <v>0.71972760161736504</v>
      </c>
      <c r="AP67">
        <f>VLOOKUP($I67,'[1]Table S6'!$A:$AI,34,FALSE)</f>
        <v>8.0879999999999992</v>
      </c>
      <c r="AQ67" t="str">
        <f>VLOOKUP($I67,'[1]Table S6'!$A:$AI,35,FALSE)</f>
        <v>No</v>
      </c>
      <c r="AS67" t="str">
        <f>VLOOKUP($H67,'[2]Table S5'!$A:$K,8,FALSE)</f>
        <v>Resistant</v>
      </c>
      <c r="AT67" t="str">
        <f>VLOOKUP($H67,'[2]Table S5'!$A:$K,9,FALSE)</f>
        <v>Resistant</v>
      </c>
      <c r="AU67" t="str">
        <f>VLOOKUP($H67,'[2]Table S5'!$A:$K,10,FALSE)</f>
        <v>Resistant</v>
      </c>
      <c r="AV67" t="str">
        <f>VLOOKUP($H67,'[2]Table S5'!$A:$K,11,FALSE)</f>
        <v>Resistant</v>
      </c>
    </row>
    <row r="68" spans="1:48">
      <c r="A68" t="s">
        <v>511</v>
      </c>
      <c r="B68" t="s">
        <v>512</v>
      </c>
      <c r="C68" t="s">
        <v>17</v>
      </c>
      <c r="D68" t="s">
        <v>514</v>
      </c>
      <c r="E68" t="s">
        <v>515</v>
      </c>
      <c r="F68" t="s">
        <v>516</v>
      </c>
      <c r="G68" t="s">
        <v>4751</v>
      </c>
      <c r="H68" t="s">
        <v>493</v>
      </c>
      <c r="I68" t="s">
        <v>501</v>
      </c>
      <c r="J68">
        <f>VLOOKUP($I68,'[1]Table S6'!$A:$AI,2,FALSE)</f>
        <v>297.39999999999998</v>
      </c>
      <c r="K68">
        <f>VLOOKUP($I68,'[1]Table S6'!$A:$AI,3,FALSE)</f>
        <v>0.63290061715258605</v>
      </c>
      <c r="L68">
        <f>VLOOKUP($I68,'[1]Table S6'!$A:$AI,4,FALSE)</f>
        <v>1.056</v>
      </c>
      <c r="M68" t="str">
        <f>VLOOKUP($I68,'[1]Table S6'!$A:$AI,5,FALSE)</f>
        <v>Yes</v>
      </c>
      <c r="O68">
        <f>VLOOKUP($I68,'[1]Table S6'!$A:$AI,7,FALSE)</f>
        <v>395.7</v>
      </c>
      <c r="P68">
        <f>VLOOKUP($I68,'[1]Table S6'!$A:$AI,8,FALSE)</f>
        <v>0.84209406256650399</v>
      </c>
      <c r="Q68">
        <f>VLOOKUP($I68,'[1]Table S6'!$A:$AI,9,FALSE)</f>
        <v>22.2</v>
      </c>
      <c r="R68" t="str">
        <f>VLOOKUP($I68,'[1]Table S6'!$A:$AI,10,FALSE)</f>
        <v>No</v>
      </c>
      <c r="T68">
        <f>VLOOKUP($I68,'[1]Table S6'!$A:$AI,12,FALSE)</f>
        <v>350.1</v>
      </c>
      <c r="U68">
        <f>VLOOKUP($I68,'[1]Table S6'!$A:$AI,13,FALSE)</f>
        <v>0.74505213875292597</v>
      </c>
      <c r="V68">
        <f>VLOOKUP($I68,'[1]Table S6'!$A:$AI,14,FALSE)</f>
        <v>6.1150000000000002</v>
      </c>
      <c r="W68" t="str">
        <f>VLOOKUP($I68,'[1]Table S6'!$A:$AI,15,FALSE)</f>
        <v>No</v>
      </c>
      <c r="Y68">
        <f>VLOOKUP($I68,'[1]Table S6'!$A:$AI,17,FALSE)</f>
        <v>383.8</v>
      </c>
      <c r="Z68">
        <f>VLOOKUP($I68,'[1]Table S6'!$A:$AI,18,FALSE)</f>
        <v>0.81676952543094306</v>
      </c>
      <c r="AA68">
        <f>VLOOKUP($I68,'[1]Table S6'!$A:$AI,19,FALSE)</f>
        <v>15.15</v>
      </c>
      <c r="AB68" t="str">
        <f>VLOOKUP($I68,'[1]Table S6'!$A:$AI,20,FALSE)</f>
        <v>No</v>
      </c>
      <c r="AD68">
        <f>VLOOKUP($I68,'[1]Table S6'!$A:$AI,22,FALSE)</f>
        <v>339.7</v>
      </c>
      <c r="AE68">
        <f>VLOOKUP($I68,'[1]Table S6'!$A:$AI,23,FALSE)</f>
        <v>0.72291977016386499</v>
      </c>
      <c r="AF68">
        <f>VLOOKUP($I68,'[1]Table S6'!$A:$AI,24,FALSE)</f>
        <v>5.8620000000000001</v>
      </c>
      <c r="AG68" t="str">
        <f>VLOOKUP($I68,'[1]Table S6'!$A:$AI,25,FALSE)</f>
        <v>No</v>
      </c>
      <c r="AI68">
        <f>VLOOKUP($I68,'[1]Table S6'!$A:$AI,27,FALSE)</f>
        <v>435.7</v>
      </c>
      <c r="AJ68">
        <f>VLOOKUP($I68,'[1]Table S6'!$A:$AI,28,FALSE)</f>
        <v>0.92721855713981705</v>
      </c>
      <c r="AK68">
        <f>VLOOKUP($I68,'[1]Table S6'!$A:$AI,29,FALSE)</f>
        <v>101.5</v>
      </c>
      <c r="AL68" t="str">
        <f>VLOOKUP($I68,'[1]Table S6'!$A:$AI,30,FALSE)</f>
        <v>No</v>
      </c>
      <c r="AN68">
        <f>VLOOKUP($I68,'[1]Table S6'!$A:$AI,32,FALSE)</f>
        <v>422.6</v>
      </c>
      <c r="AO68">
        <f>VLOOKUP($I68,'[1]Table S6'!$A:$AI,33,FALSE)</f>
        <v>0.899340285167057</v>
      </c>
      <c r="AP68">
        <f>VLOOKUP($I68,'[1]Table S6'!$A:$AI,34,FALSE)</f>
        <v>97.38</v>
      </c>
      <c r="AQ68" t="str">
        <f>VLOOKUP($I68,'[1]Table S6'!$A:$AI,35,FALSE)</f>
        <v>No</v>
      </c>
      <c r="AS68" t="str">
        <f>VLOOKUP($H68,'[2]Table S5'!$A:$K,8,FALSE)</f>
        <v>Resistant</v>
      </c>
      <c r="AT68" t="str">
        <f>VLOOKUP($H68,'[2]Table S5'!$A:$K,9,FALSE)</f>
        <v>Resistant</v>
      </c>
      <c r="AU68" t="str">
        <f>VLOOKUP($H68,'[2]Table S5'!$A:$K,10,FALSE)</f>
        <v>Resistant</v>
      </c>
      <c r="AV68" t="str">
        <f>VLOOKUP($H68,'[2]Table S5'!$A:$K,11,FALSE)</f>
        <v>Resistant</v>
      </c>
    </row>
    <row r="69" spans="1:48">
      <c r="A69" t="s">
        <v>518</v>
      </c>
      <c r="B69" t="s">
        <v>519</v>
      </c>
      <c r="C69" t="s">
        <v>17</v>
      </c>
      <c r="D69" t="s">
        <v>521</v>
      </c>
      <c r="E69" t="s">
        <v>522</v>
      </c>
      <c r="F69" t="s">
        <v>523</v>
      </c>
      <c r="G69" t="s">
        <v>4751</v>
      </c>
      <c r="H69" t="s">
        <v>493</v>
      </c>
      <c r="I69" t="s">
        <v>509</v>
      </c>
      <c r="J69">
        <f>VLOOKUP($I69,'[1]Table S6'!$A:$AI,2,FALSE)</f>
        <v>359.2</v>
      </c>
      <c r="K69">
        <f>VLOOKUP($I69,'[1]Table S6'!$A:$AI,3,FALSE)</f>
        <v>0.76441796126835504</v>
      </c>
      <c r="L69">
        <f>VLOOKUP($I69,'[1]Table S6'!$A:$AI,4,FALSE)</f>
        <v>5.08</v>
      </c>
      <c r="M69" t="str">
        <f>VLOOKUP($I69,'[1]Table S6'!$A:$AI,5,FALSE)</f>
        <v>No</v>
      </c>
      <c r="O69">
        <f>VLOOKUP($I69,'[1]Table S6'!$A:$AI,7,FALSE)</f>
        <v>376.1</v>
      </c>
      <c r="P69">
        <f>VLOOKUP($I69,'[1]Table S6'!$A:$AI,8,FALSE)</f>
        <v>0.80038306022558003</v>
      </c>
      <c r="Q69">
        <f>VLOOKUP($I69,'[1]Table S6'!$A:$AI,9,FALSE)</f>
        <v>13.39</v>
      </c>
      <c r="R69" t="str">
        <f>VLOOKUP($I69,'[1]Table S6'!$A:$AI,10,FALSE)</f>
        <v>No</v>
      </c>
      <c r="T69">
        <f>VLOOKUP($I69,'[1]Table S6'!$A:$AI,12,FALSE)</f>
        <v>297.2</v>
      </c>
      <c r="U69">
        <f>VLOOKUP($I69,'[1]Table S6'!$A:$AI,13,FALSE)</f>
        <v>0.63247499467971902</v>
      </c>
      <c r="V69">
        <f>VLOOKUP($I69,'[1]Table S6'!$A:$AI,14,FALSE)</f>
        <v>0.99080000000000001</v>
      </c>
      <c r="W69" t="str">
        <f>VLOOKUP($I69,'[1]Table S6'!$A:$AI,15,FALSE)</f>
        <v>Yes</v>
      </c>
      <c r="Y69">
        <f>VLOOKUP($I69,'[1]Table S6'!$A:$AI,17,FALSE)</f>
        <v>377</v>
      </c>
      <c r="Z69">
        <f>VLOOKUP($I69,'[1]Table S6'!$A:$AI,18,FALSE)</f>
        <v>0.80229836135347998</v>
      </c>
      <c r="AA69">
        <f>VLOOKUP($I69,'[1]Table S6'!$A:$AI,19,FALSE)</f>
        <v>12.38</v>
      </c>
      <c r="AB69" t="str">
        <f>VLOOKUP($I69,'[1]Table S6'!$A:$AI,20,FALSE)</f>
        <v>No</v>
      </c>
      <c r="AD69">
        <f>VLOOKUP($I69,'[1]Table S6'!$A:$AI,22,FALSE)</f>
        <v>310.60000000000002</v>
      </c>
      <c r="AE69">
        <f>VLOOKUP($I69,'[1]Table S6'!$A:$AI,23,FALSE)</f>
        <v>0.66099170036177901</v>
      </c>
      <c r="AF69">
        <f>VLOOKUP($I69,'[1]Table S6'!$A:$AI,24,FALSE)</f>
        <v>2.2149999999999999</v>
      </c>
      <c r="AG69" t="str">
        <f>VLOOKUP($I69,'[1]Table S6'!$A:$AI,25,FALSE)</f>
        <v>Yes</v>
      </c>
      <c r="AI69">
        <f>VLOOKUP($I69,'[1]Table S6'!$A:$AI,27,FALSE)</f>
        <v>362.9</v>
      </c>
      <c r="AJ69">
        <f>VLOOKUP($I69,'[1]Table S6'!$A:$AI,28,FALSE)</f>
        <v>0.77229197701638597</v>
      </c>
      <c r="AK69">
        <f>VLOOKUP($I69,'[1]Table S6'!$A:$AI,29,FALSE)</f>
        <v>13.39</v>
      </c>
      <c r="AL69" t="str">
        <f>VLOOKUP($I69,'[1]Table S6'!$A:$AI,30,FALSE)</f>
        <v>No</v>
      </c>
      <c r="AN69">
        <f>VLOOKUP($I69,'[1]Table S6'!$A:$AI,32,FALSE)</f>
        <v>338.2</v>
      </c>
      <c r="AO69">
        <f>VLOOKUP($I69,'[1]Table S6'!$A:$AI,33,FALSE)</f>
        <v>0.71972760161736504</v>
      </c>
      <c r="AP69">
        <f>VLOOKUP($I69,'[1]Table S6'!$A:$AI,34,FALSE)</f>
        <v>8.0879999999999992</v>
      </c>
      <c r="AQ69" t="str">
        <f>VLOOKUP($I69,'[1]Table S6'!$A:$AI,35,FALSE)</f>
        <v>No</v>
      </c>
      <c r="AS69" t="str">
        <f>VLOOKUP($H69,'[2]Table S5'!$A:$K,8,FALSE)</f>
        <v>Resistant</v>
      </c>
      <c r="AT69" t="str">
        <f>VLOOKUP($H69,'[2]Table S5'!$A:$K,9,FALSE)</f>
        <v>Resistant</v>
      </c>
      <c r="AU69" t="str">
        <f>VLOOKUP($H69,'[2]Table S5'!$A:$K,10,FALSE)</f>
        <v>Resistant</v>
      </c>
      <c r="AV69" t="str">
        <f>VLOOKUP($H69,'[2]Table S5'!$A:$K,11,FALSE)</f>
        <v>Resistant</v>
      </c>
    </row>
    <row r="70" spans="1:48">
      <c r="A70" t="s">
        <v>525</v>
      </c>
      <c r="B70" t="s">
        <v>526</v>
      </c>
      <c r="C70" t="s">
        <v>17</v>
      </c>
      <c r="D70" t="s">
        <v>528</v>
      </c>
      <c r="E70" t="s">
        <v>529</v>
      </c>
      <c r="F70" t="s">
        <v>530</v>
      </c>
      <c r="G70" t="s">
        <v>4758</v>
      </c>
      <c r="H70" t="s">
        <v>531</v>
      </c>
      <c r="I70" t="s">
        <v>531</v>
      </c>
      <c r="J70" t="e">
        <f>VLOOKUP($I70,'[1]Table S6'!$A:$AI,2,FALSE)</f>
        <v>#N/A</v>
      </c>
      <c r="K70" t="e">
        <f>VLOOKUP($I70,'[1]Table S6'!$A:$AI,3,FALSE)</f>
        <v>#N/A</v>
      </c>
      <c r="L70" t="e">
        <f>VLOOKUP($I70,'[1]Table S6'!$A:$AI,4,FALSE)</f>
        <v>#N/A</v>
      </c>
      <c r="M70" t="e">
        <f>VLOOKUP($I70,'[1]Table S6'!$A:$AI,5,FALSE)</f>
        <v>#N/A</v>
      </c>
      <c r="O70" t="e">
        <f>VLOOKUP($I70,'[1]Table S6'!$A:$AI,7,FALSE)</f>
        <v>#N/A</v>
      </c>
      <c r="P70" t="e">
        <f>VLOOKUP($I70,'[1]Table S6'!$A:$AI,8,FALSE)</f>
        <v>#N/A</v>
      </c>
      <c r="Q70" t="e">
        <f>VLOOKUP($I70,'[1]Table S6'!$A:$AI,9,FALSE)</f>
        <v>#N/A</v>
      </c>
      <c r="R70" t="e">
        <f>VLOOKUP($I70,'[1]Table S6'!$A:$AI,10,FALSE)</f>
        <v>#N/A</v>
      </c>
      <c r="T70" t="e">
        <f>VLOOKUP($I70,'[1]Table S6'!$A:$AI,12,FALSE)</f>
        <v>#N/A</v>
      </c>
      <c r="U70" t="e">
        <f>VLOOKUP($I70,'[1]Table S6'!$A:$AI,13,FALSE)</f>
        <v>#N/A</v>
      </c>
      <c r="V70" t="e">
        <f>VLOOKUP($I70,'[1]Table S6'!$A:$AI,14,FALSE)</f>
        <v>#N/A</v>
      </c>
      <c r="W70" t="e">
        <f>VLOOKUP($I70,'[1]Table S6'!$A:$AI,15,FALSE)</f>
        <v>#N/A</v>
      </c>
      <c r="Y70" t="e">
        <f>VLOOKUP($I70,'[1]Table S6'!$A:$AI,17,FALSE)</f>
        <v>#N/A</v>
      </c>
      <c r="Z70" t="e">
        <f>VLOOKUP($I70,'[1]Table S6'!$A:$AI,18,FALSE)</f>
        <v>#N/A</v>
      </c>
      <c r="AA70" t="e">
        <f>VLOOKUP($I70,'[1]Table S6'!$A:$AI,19,FALSE)</f>
        <v>#N/A</v>
      </c>
      <c r="AB70" t="e">
        <f>VLOOKUP($I70,'[1]Table S6'!$A:$AI,20,FALSE)</f>
        <v>#N/A</v>
      </c>
      <c r="AD70" t="e">
        <f>VLOOKUP($I70,'[1]Table S6'!$A:$AI,22,FALSE)</f>
        <v>#N/A</v>
      </c>
      <c r="AE70" t="e">
        <f>VLOOKUP($I70,'[1]Table S6'!$A:$AI,23,FALSE)</f>
        <v>#N/A</v>
      </c>
      <c r="AF70" t="e">
        <f>VLOOKUP($I70,'[1]Table S6'!$A:$AI,24,FALSE)</f>
        <v>#N/A</v>
      </c>
      <c r="AG70" t="e">
        <f>VLOOKUP($I70,'[1]Table S6'!$A:$AI,25,FALSE)</f>
        <v>#N/A</v>
      </c>
      <c r="AI70" t="e">
        <f>VLOOKUP($I70,'[1]Table S6'!$A:$AI,27,FALSE)</f>
        <v>#N/A</v>
      </c>
      <c r="AJ70" t="e">
        <f>VLOOKUP($I70,'[1]Table S6'!$A:$AI,28,FALSE)</f>
        <v>#N/A</v>
      </c>
      <c r="AK70" t="e">
        <f>VLOOKUP($I70,'[1]Table S6'!$A:$AI,29,FALSE)</f>
        <v>#N/A</v>
      </c>
      <c r="AL70" t="e">
        <f>VLOOKUP($I70,'[1]Table S6'!$A:$AI,30,FALSE)</f>
        <v>#N/A</v>
      </c>
      <c r="AN70" t="e">
        <f>VLOOKUP($I70,'[1]Table S6'!$A:$AI,32,FALSE)</f>
        <v>#N/A</v>
      </c>
      <c r="AO70" t="e">
        <f>VLOOKUP($I70,'[1]Table S6'!$A:$AI,33,FALSE)</f>
        <v>#N/A</v>
      </c>
      <c r="AP70" t="e">
        <f>VLOOKUP($I70,'[1]Table S6'!$A:$AI,34,FALSE)</f>
        <v>#N/A</v>
      </c>
      <c r="AQ70" t="e">
        <f>VLOOKUP($I70,'[1]Table S6'!$A:$AI,35,FALSE)</f>
        <v>#N/A</v>
      </c>
      <c r="AS70" t="str">
        <f>VLOOKUP($H70,'[2]Table S5'!$A:$K,8,FALSE)</f>
        <v>Resistant</v>
      </c>
      <c r="AT70" t="str">
        <f>VLOOKUP($H70,'[2]Table S5'!$A:$K,9,FALSE)</f>
        <v>Resistant</v>
      </c>
      <c r="AU70" t="str">
        <f>VLOOKUP($H70,'[2]Table S5'!$A:$K,10,FALSE)</f>
        <v>Resistant</v>
      </c>
      <c r="AV70" t="str">
        <f>VLOOKUP($H70,'[2]Table S5'!$A:$K,11,FALSE)</f>
        <v>Sensitive</v>
      </c>
    </row>
    <row r="71" spans="1:48">
      <c r="A71" t="s">
        <v>533</v>
      </c>
      <c r="B71" t="s">
        <v>534</v>
      </c>
      <c r="C71" t="s">
        <v>17</v>
      </c>
      <c r="D71" t="s">
        <v>536</v>
      </c>
      <c r="E71" t="s">
        <v>537</v>
      </c>
      <c r="F71" t="s">
        <v>538</v>
      </c>
      <c r="G71" t="s">
        <v>4750</v>
      </c>
      <c r="H71" t="s">
        <v>531</v>
      </c>
      <c r="I71" t="s">
        <v>539</v>
      </c>
      <c r="J71">
        <f>VLOOKUP($I71,'[1]Table S6'!$A:$AI,2,FALSE)</f>
        <v>343</v>
      </c>
      <c r="K71">
        <f>VLOOKUP($I71,'[1]Table S6'!$A:$AI,3,FALSE)</f>
        <v>0.72994254096616296</v>
      </c>
      <c r="L71">
        <f>VLOOKUP($I71,'[1]Table S6'!$A:$AI,4,FALSE)</f>
        <v>4.2869999999999999</v>
      </c>
      <c r="M71" t="str">
        <f>VLOOKUP($I71,'[1]Table S6'!$A:$AI,5,FALSE)</f>
        <v>No</v>
      </c>
      <c r="O71">
        <f>VLOOKUP($I71,'[1]Table S6'!$A:$AI,7,FALSE)</f>
        <v>399.9</v>
      </c>
      <c r="P71">
        <f>VLOOKUP($I71,'[1]Table S6'!$A:$AI,8,FALSE)</f>
        <v>0.85103213449670101</v>
      </c>
      <c r="Q71">
        <f>VLOOKUP($I71,'[1]Table S6'!$A:$AI,9,FALSE)</f>
        <v>30.64</v>
      </c>
      <c r="R71" t="str">
        <f>VLOOKUP($I71,'[1]Table S6'!$A:$AI,10,FALSE)</f>
        <v>No</v>
      </c>
      <c r="T71">
        <f>VLOOKUP($I71,'[1]Table S6'!$A:$AI,12,FALSE)</f>
        <v>334.8</v>
      </c>
      <c r="U71">
        <f>VLOOKUP($I71,'[1]Table S6'!$A:$AI,13,FALSE)</f>
        <v>0.71249201957863395</v>
      </c>
      <c r="V71">
        <f>VLOOKUP($I71,'[1]Table S6'!$A:$AI,14,FALSE)</f>
        <v>2.3420000000000001</v>
      </c>
      <c r="W71" t="str">
        <f>VLOOKUP($I71,'[1]Table S6'!$A:$AI,15,FALSE)</f>
        <v>No</v>
      </c>
      <c r="Y71">
        <f>VLOOKUP($I71,'[1]Table S6'!$A:$AI,17,FALSE)</f>
        <v>325.7</v>
      </c>
      <c r="Z71">
        <f>VLOOKUP($I71,'[1]Table S6'!$A:$AI,18,FALSE)</f>
        <v>0.693126197063205</v>
      </c>
      <c r="AA71">
        <f>VLOOKUP($I71,'[1]Table S6'!$A:$AI,19,FALSE)</f>
        <v>2.41</v>
      </c>
      <c r="AB71" t="str">
        <f>VLOOKUP($I71,'[1]Table S6'!$A:$AI,20,FALSE)</f>
        <v>Yes</v>
      </c>
      <c r="AD71">
        <f>VLOOKUP($I71,'[1]Table S6'!$A:$AI,22,FALSE)</f>
        <v>364.8</v>
      </c>
      <c r="AE71">
        <f>VLOOKUP($I71,'[1]Table S6'!$A:$AI,23,FALSE)</f>
        <v>0.77633539050861899</v>
      </c>
      <c r="AF71">
        <f>VLOOKUP($I71,'[1]Table S6'!$A:$AI,24,FALSE)</f>
        <v>6.7539999999999996</v>
      </c>
      <c r="AG71" t="str">
        <f>VLOOKUP($I71,'[1]Table S6'!$A:$AI,25,FALSE)</f>
        <v>No</v>
      </c>
      <c r="AI71">
        <f>VLOOKUP($I71,'[1]Table S6'!$A:$AI,27,FALSE)</f>
        <v>439.5</v>
      </c>
      <c r="AJ71">
        <f>VLOOKUP($I71,'[1]Table S6'!$A:$AI,28,FALSE)</f>
        <v>0.93530538412428199</v>
      </c>
      <c r="AK71">
        <f>VLOOKUP($I71,'[1]Table S6'!$A:$AI,29,FALSE)</f>
        <v>150.19999999999999</v>
      </c>
      <c r="AL71" t="str">
        <f>VLOOKUP($I71,'[1]Table S6'!$A:$AI,30,FALSE)</f>
        <v>No</v>
      </c>
      <c r="AN71">
        <f>VLOOKUP($I71,'[1]Table S6'!$A:$AI,32,FALSE)</f>
        <v>430.8</v>
      </c>
      <c r="AO71">
        <f>VLOOKUP($I71,'[1]Table S6'!$A:$AI,33,FALSE)</f>
        <v>0.916790806554586</v>
      </c>
      <c r="AP71">
        <f>VLOOKUP($I71,'[1]Table S6'!$A:$AI,34,FALSE)</f>
        <v>234.3</v>
      </c>
      <c r="AQ71" t="str">
        <f>VLOOKUP($I71,'[1]Table S6'!$A:$AI,35,FALSE)</f>
        <v>No</v>
      </c>
      <c r="AS71" t="str">
        <f>VLOOKUP($H71,'[2]Table S5'!$A:$K,8,FALSE)</f>
        <v>Resistant</v>
      </c>
      <c r="AT71" t="str">
        <f>VLOOKUP($H71,'[2]Table S5'!$A:$K,9,FALSE)</f>
        <v>Resistant</v>
      </c>
      <c r="AU71" t="str">
        <f>VLOOKUP($H71,'[2]Table S5'!$A:$K,10,FALSE)</f>
        <v>Resistant</v>
      </c>
      <c r="AV71" t="str">
        <f>VLOOKUP($H71,'[2]Table S5'!$A:$K,11,FALSE)</f>
        <v>Sensitive</v>
      </c>
    </row>
    <row r="72" spans="1:48">
      <c r="A72" t="s">
        <v>541</v>
      </c>
      <c r="B72" t="s">
        <v>542</v>
      </c>
      <c r="C72" t="s">
        <v>17</v>
      </c>
      <c r="D72" t="s">
        <v>544</v>
      </c>
      <c r="E72" t="s">
        <v>545</v>
      </c>
      <c r="F72" t="s">
        <v>546</v>
      </c>
      <c r="G72" t="s">
        <v>4750</v>
      </c>
      <c r="H72" t="s">
        <v>531</v>
      </c>
      <c r="I72" t="s">
        <v>547</v>
      </c>
      <c r="J72">
        <f>VLOOKUP($I72,'[1]Table S6'!$A:$AI,2,FALSE)</f>
        <v>354.7</v>
      </c>
      <c r="K72">
        <f>VLOOKUP($I72,'[1]Table S6'!$A:$AI,3,FALSE)</f>
        <v>0.75484145562885696</v>
      </c>
      <c r="L72">
        <f>VLOOKUP($I72,'[1]Table S6'!$A:$AI,4,FALSE)</f>
        <v>4.5129999999999999</v>
      </c>
      <c r="M72" t="str">
        <f>VLOOKUP($I72,'[1]Table S6'!$A:$AI,5,FALSE)</f>
        <v>No</v>
      </c>
      <c r="O72">
        <f>VLOOKUP($I72,'[1]Table S6'!$A:$AI,7,FALSE)</f>
        <v>402.5</v>
      </c>
      <c r="P72">
        <f>VLOOKUP($I72,'[1]Table S6'!$A:$AI,8,FALSE)</f>
        <v>0.85656522664396695</v>
      </c>
      <c r="Q72">
        <f>VLOOKUP($I72,'[1]Table S6'!$A:$AI,9,FALSE)</f>
        <v>33.61</v>
      </c>
      <c r="R72" t="str">
        <f>VLOOKUP($I72,'[1]Table S6'!$A:$AI,10,FALSE)</f>
        <v>No</v>
      </c>
      <c r="T72">
        <f>VLOOKUP($I72,'[1]Table S6'!$A:$AI,12,FALSE)</f>
        <v>335.1</v>
      </c>
      <c r="U72">
        <f>VLOOKUP($I72,'[1]Table S6'!$A:$AI,13,FALSE)</f>
        <v>0.71313045328793401</v>
      </c>
      <c r="V72">
        <f>VLOOKUP($I72,'[1]Table S6'!$A:$AI,14,FALSE)</f>
        <v>2.8450000000000002</v>
      </c>
      <c r="W72" t="str">
        <f>VLOOKUP($I72,'[1]Table S6'!$A:$AI,15,FALSE)</f>
        <v>No</v>
      </c>
      <c r="Y72">
        <f>VLOOKUP($I72,'[1]Table S6'!$A:$AI,17,FALSE)</f>
        <v>322.5</v>
      </c>
      <c r="Z72">
        <f>VLOOKUP($I72,'[1]Table S6'!$A:$AI,18,FALSE)</f>
        <v>0.68631623749734005</v>
      </c>
      <c r="AA72">
        <f>VLOOKUP($I72,'[1]Table S6'!$A:$AI,19,FALSE)</f>
        <v>2.1640000000000001</v>
      </c>
      <c r="AB72" t="str">
        <f>VLOOKUP($I72,'[1]Table S6'!$A:$AI,20,FALSE)</f>
        <v>Yes</v>
      </c>
      <c r="AD72">
        <f>VLOOKUP($I72,'[1]Table S6'!$A:$AI,22,FALSE)</f>
        <v>397.3</v>
      </c>
      <c r="AE72">
        <f>VLOOKUP($I72,'[1]Table S6'!$A:$AI,23,FALSE)</f>
        <v>0.84549904234943596</v>
      </c>
      <c r="AF72">
        <f>VLOOKUP($I72,'[1]Table S6'!$A:$AI,24,FALSE)</f>
        <v>14.66</v>
      </c>
      <c r="AG72" t="str">
        <f>VLOOKUP($I72,'[1]Table S6'!$A:$AI,25,FALSE)</f>
        <v>No</v>
      </c>
      <c r="AI72">
        <f>VLOOKUP($I72,'[1]Table S6'!$A:$AI,27,FALSE)</f>
        <v>450.9</v>
      </c>
      <c r="AJ72">
        <f>VLOOKUP($I72,'[1]Table S6'!$A:$AI,28,FALSE)</f>
        <v>0.95956586507767605</v>
      </c>
      <c r="AK72">
        <f>VLOOKUP($I72,'[1]Table S6'!$A:$AI,29,FALSE)</f>
        <v>290.39999999999998</v>
      </c>
      <c r="AL72" t="str">
        <f>VLOOKUP($I72,'[1]Table S6'!$A:$AI,30,FALSE)</f>
        <v>No</v>
      </c>
      <c r="AN72">
        <f>VLOOKUP($I72,'[1]Table S6'!$A:$AI,32,FALSE)</f>
        <v>435.9</v>
      </c>
      <c r="AO72">
        <f>VLOOKUP($I72,'[1]Table S6'!$A:$AI,33,FALSE)</f>
        <v>0.92764417961268397</v>
      </c>
      <c r="AP72">
        <f>VLOOKUP($I72,'[1]Table S6'!$A:$AI,34,FALSE)</f>
        <v>146.69999999999999</v>
      </c>
      <c r="AQ72" t="str">
        <f>VLOOKUP($I72,'[1]Table S6'!$A:$AI,35,FALSE)</f>
        <v>No</v>
      </c>
      <c r="AS72" t="str">
        <f>VLOOKUP($H72,'[2]Table S5'!$A:$K,8,FALSE)</f>
        <v>Resistant</v>
      </c>
      <c r="AT72" t="str">
        <f>VLOOKUP($H72,'[2]Table S5'!$A:$K,9,FALSE)</f>
        <v>Resistant</v>
      </c>
      <c r="AU72" t="str">
        <f>VLOOKUP($H72,'[2]Table S5'!$A:$K,10,FALSE)</f>
        <v>Resistant</v>
      </c>
      <c r="AV72" t="str">
        <f>VLOOKUP($H72,'[2]Table S5'!$A:$K,11,FALSE)</f>
        <v>Sensitive</v>
      </c>
    </row>
    <row r="73" spans="1:48">
      <c r="A73" t="s">
        <v>549</v>
      </c>
      <c r="B73" t="s">
        <v>550</v>
      </c>
      <c r="C73" t="s">
        <v>17</v>
      </c>
      <c r="D73" t="s">
        <v>552</v>
      </c>
      <c r="E73" t="s">
        <v>553</v>
      </c>
      <c r="F73" t="s">
        <v>554</v>
      </c>
      <c r="G73" t="s">
        <v>4750</v>
      </c>
      <c r="H73" t="s">
        <v>531</v>
      </c>
      <c r="I73" t="s">
        <v>555</v>
      </c>
      <c r="J73">
        <f>VLOOKUP($I73,'[1]Table S6'!$A:$AI,2,FALSE)</f>
        <v>293.2</v>
      </c>
      <c r="K73">
        <f>VLOOKUP($I73,'[1]Table S6'!$A:$AI,3,FALSE)</f>
        <v>0.62396254522238803</v>
      </c>
      <c r="L73">
        <f>VLOOKUP($I73,'[1]Table S6'!$A:$AI,4,FALSE)</f>
        <v>0.97489999999999999</v>
      </c>
      <c r="M73" t="str">
        <f>VLOOKUP($I73,'[1]Table S6'!$A:$AI,5,FALSE)</f>
        <v>Yes</v>
      </c>
      <c r="O73">
        <f>VLOOKUP($I73,'[1]Table S6'!$A:$AI,7,FALSE)</f>
        <v>399.3</v>
      </c>
      <c r="P73">
        <f>VLOOKUP($I73,'[1]Table S6'!$A:$AI,8,FALSE)</f>
        <v>0.84975526707810201</v>
      </c>
      <c r="Q73">
        <f>VLOOKUP($I73,'[1]Table S6'!$A:$AI,9,FALSE)</f>
        <v>31.23</v>
      </c>
      <c r="R73" t="str">
        <f>VLOOKUP($I73,'[1]Table S6'!$A:$AI,10,FALSE)</f>
        <v>No</v>
      </c>
      <c r="T73">
        <f>VLOOKUP($I73,'[1]Table S6'!$A:$AI,12,FALSE)</f>
        <v>319.10000000000002</v>
      </c>
      <c r="U73">
        <f>VLOOKUP($I73,'[1]Table S6'!$A:$AI,13,FALSE)</f>
        <v>0.67908065545860796</v>
      </c>
      <c r="V73">
        <f>VLOOKUP($I73,'[1]Table S6'!$A:$AI,14,FALSE)</f>
        <v>1.5309999999999999</v>
      </c>
      <c r="W73" t="str">
        <f>VLOOKUP($I73,'[1]Table S6'!$A:$AI,15,FALSE)</f>
        <v>Yes</v>
      </c>
      <c r="Y73">
        <f>VLOOKUP($I73,'[1]Table S6'!$A:$AI,17,FALSE)</f>
        <v>321.5</v>
      </c>
      <c r="Z73">
        <f>VLOOKUP($I73,'[1]Table S6'!$A:$AI,18,FALSE)</f>
        <v>0.68418812513300697</v>
      </c>
      <c r="AA73">
        <f>VLOOKUP($I73,'[1]Table S6'!$A:$AI,19,FALSE)</f>
        <v>1.786</v>
      </c>
      <c r="AB73" t="str">
        <f>VLOOKUP($I73,'[1]Table S6'!$A:$AI,20,FALSE)</f>
        <v>Yes</v>
      </c>
      <c r="AD73">
        <f>VLOOKUP($I73,'[1]Table S6'!$A:$AI,22,FALSE)</f>
        <v>400.6</v>
      </c>
      <c r="AE73">
        <f>VLOOKUP($I73,'[1]Table S6'!$A:$AI,23,FALSE)</f>
        <v>0.85252181315173403</v>
      </c>
      <c r="AF73">
        <f>VLOOKUP($I73,'[1]Table S6'!$A:$AI,24,FALSE)</f>
        <v>28.73</v>
      </c>
      <c r="AG73" t="str">
        <f>VLOOKUP($I73,'[1]Table S6'!$A:$AI,25,FALSE)</f>
        <v>No</v>
      </c>
      <c r="AI73">
        <f>VLOOKUP($I73,'[1]Table S6'!$A:$AI,27,FALSE)</f>
        <v>432.1</v>
      </c>
      <c r="AJ73">
        <f>VLOOKUP($I73,'[1]Table S6'!$A:$AI,28,FALSE)</f>
        <v>0.91955735262821903</v>
      </c>
      <c r="AK73">
        <f>VLOOKUP($I73,'[1]Table S6'!$A:$AI,29,FALSE)</f>
        <v>129.80000000000001</v>
      </c>
      <c r="AL73" t="str">
        <f>VLOOKUP($I73,'[1]Table S6'!$A:$AI,30,FALSE)</f>
        <v>No</v>
      </c>
      <c r="AN73">
        <f>VLOOKUP($I73,'[1]Table S6'!$A:$AI,32,FALSE)</f>
        <v>432.1</v>
      </c>
      <c r="AO73">
        <f>VLOOKUP($I73,'[1]Table S6'!$A:$AI,33,FALSE)</f>
        <v>0.91955735262821903</v>
      </c>
      <c r="AP73">
        <f>VLOOKUP($I73,'[1]Table S6'!$A:$AI,34,FALSE)</f>
        <v>106.6</v>
      </c>
      <c r="AQ73" t="str">
        <f>VLOOKUP($I73,'[1]Table S6'!$A:$AI,35,FALSE)</f>
        <v>No</v>
      </c>
      <c r="AS73" t="str">
        <f>VLOOKUP($H73,'[2]Table S5'!$A:$K,8,FALSE)</f>
        <v>Resistant</v>
      </c>
      <c r="AT73" t="str">
        <f>VLOOKUP($H73,'[2]Table S5'!$A:$K,9,FALSE)</f>
        <v>Resistant</v>
      </c>
      <c r="AU73" t="str">
        <f>VLOOKUP($H73,'[2]Table S5'!$A:$K,10,FALSE)</f>
        <v>Resistant</v>
      </c>
      <c r="AV73" t="str">
        <f>VLOOKUP($H73,'[2]Table S5'!$A:$K,11,FALSE)</f>
        <v>Sensitive</v>
      </c>
    </row>
    <row r="74" spans="1:48">
      <c r="A74" t="s">
        <v>557</v>
      </c>
      <c r="B74" t="s">
        <v>558</v>
      </c>
      <c r="C74" t="s">
        <v>17</v>
      </c>
      <c r="D74" t="s">
        <v>560</v>
      </c>
      <c r="E74" t="s">
        <v>561</v>
      </c>
      <c r="F74" t="s">
        <v>562</v>
      </c>
      <c r="G74" t="s">
        <v>4751</v>
      </c>
      <c r="H74" t="s">
        <v>531</v>
      </c>
      <c r="I74" t="s">
        <v>539</v>
      </c>
      <c r="J74">
        <f>VLOOKUP($I74,'[1]Table S6'!$A:$AI,2,FALSE)</f>
        <v>343</v>
      </c>
      <c r="K74">
        <f>VLOOKUP($I74,'[1]Table S6'!$A:$AI,3,FALSE)</f>
        <v>0.72994254096616296</v>
      </c>
      <c r="L74">
        <f>VLOOKUP($I74,'[1]Table S6'!$A:$AI,4,FALSE)</f>
        <v>4.2869999999999999</v>
      </c>
      <c r="M74" t="str">
        <f>VLOOKUP($I74,'[1]Table S6'!$A:$AI,5,FALSE)</f>
        <v>No</v>
      </c>
      <c r="O74">
        <f>VLOOKUP($I74,'[1]Table S6'!$A:$AI,7,FALSE)</f>
        <v>399.9</v>
      </c>
      <c r="P74">
        <f>VLOOKUP($I74,'[1]Table S6'!$A:$AI,8,FALSE)</f>
        <v>0.85103213449670101</v>
      </c>
      <c r="Q74">
        <f>VLOOKUP($I74,'[1]Table S6'!$A:$AI,9,FALSE)</f>
        <v>30.64</v>
      </c>
      <c r="R74" t="str">
        <f>VLOOKUP($I74,'[1]Table S6'!$A:$AI,10,FALSE)</f>
        <v>No</v>
      </c>
      <c r="T74">
        <f>VLOOKUP($I74,'[1]Table S6'!$A:$AI,12,FALSE)</f>
        <v>334.8</v>
      </c>
      <c r="U74">
        <f>VLOOKUP($I74,'[1]Table S6'!$A:$AI,13,FALSE)</f>
        <v>0.71249201957863395</v>
      </c>
      <c r="V74">
        <f>VLOOKUP($I74,'[1]Table S6'!$A:$AI,14,FALSE)</f>
        <v>2.3420000000000001</v>
      </c>
      <c r="W74" t="str">
        <f>VLOOKUP($I74,'[1]Table S6'!$A:$AI,15,FALSE)</f>
        <v>No</v>
      </c>
      <c r="Y74">
        <f>VLOOKUP($I74,'[1]Table S6'!$A:$AI,17,FALSE)</f>
        <v>325.7</v>
      </c>
      <c r="Z74">
        <f>VLOOKUP($I74,'[1]Table S6'!$A:$AI,18,FALSE)</f>
        <v>0.693126197063205</v>
      </c>
      <c r="AA74">
        <f>VLOOKUP($I74,'[1]Table S6'!$A:$AI,19,FALSE)</f>
        <v>2.41</v>
      </c>
      <c r="AB74" t="str">
        <f>VLOOKUP($I74,'[1]Table S6'!$A:$AI,20,FALSE)</f>
        <v>Yes</v>
      </c>
      <c r="AD74">
        <f>VLOOKUP($I74,'[1]Table S6'!$A:$AI,22,FALSE)</f>
        <v>364.8</v>
      </c>
      <c r="AE74">
        <f>VLOOKUP($I74,'[1]Table S6'!$A:$AI,23,FALSE)</f>
        <v>0.77633539050861899</v>
      </c>
      <c r="AF74">
        <f>VLOOKUP($I74,'[1]Table S6'!$A:$AI,24,FALSE)</f>
        <v>6.7539999999999996</v>
      </c>
      <c r="AG74" t="str">
        <f>VLOOKUP($I74,'[1]Table S6'!$A:$AI,25,FALSE)</f>
        <v>No</v>
      </c>
      <c r="AI74">
        <f>VLOOKUP($I74,'[1]Table S6'!$A:$AI,27,FALSE)</f>
        <v>439.5</v>
      </c>
      <c r="AJ74">
        <f>VLOOKUP($I74,'[1]Table S6'!$A:$AI,28,FALSE)</f>
        <v>0.93530538412428199</v>
      </c>
      <c r="AK74">
        <f>VLOOKUP($I74,'[1]Table S6'!$A:$AI,29,FALSE)</f>
        <v>150.19999999999999</v>
      </c>
      <c r="AL74" t="str">
        <f>VLOOKUP($I74,'[1]Table S6'!$A:$AI,30,FALSE)</f>
        <v>No</v>
      </c>
      <c r="AN74">
        <f>VLOOKUP($I74,'[1]Table S6'!$A:$AI,32,FALSE)</f>
        <v>430.8</v>
      </c>
      <c r="AO74">
        <f>VLOOKUP($I74,'[1]Table S6'!$A:$AI,33,FALSE)</f>
        <v>0.916790806554586</v>
      </c>
      <c r="AP74">
        <f>VLOOKUP($I74,'[1]Table S6'!$A:$AI,34,FALSE)</f>
        <v>234.3</v>
      </c>
      <c r="AQ74" t="str">
        <f>VLOOKUP($I74,'[1]Table S6'!$A:$AI,35,FALSE)</f>
        <v>No</v>
      </c>
      <c r="AS74" t="str">
        <f>VLOOKUP($H74,'[2]Table S5'!$A:$K,8,FALSE)</f>
        <v>Resistant</v>
      </c>
      <c r="AT74" t="str">
        <f>VLOOKUP($H74,'[2]Table S5'!$A:$K,9,FALSE)</f>
        <v>Resistant</v>
      </c>
      <c r="AU74" t="str">
        <f>VLOOKUP($H74,'[2]Table S5'!$A:$K,10,FALSE)</f>
        <v>Resistant</v>
      </c>
      <c r="AV74" t="str">
        <f>VLOOKUP($H74,'[2]Table S5'!$A:$K,11,FALSE)</f>
        <v>Sensitive</v>
      </c>
    </row>
    <row r="75" spans="1:48">
      <c r="A75" t="s">
        <v>564</v>
      </c>
      <c r="B75" t="s">
        <v>565</v>
      </c>
      <c r="C75" t="s">
        <v>17</v>
      </c>
      <c r="D75" t="s">
        <v>567</v>
      </c>
      <c r="E75" t="s">
        <v>568</v>
      </c>
      <c r="F75" t="s">
        <v>569</v>
      </c>
      <c r="G75" t="s">
        <v>4751</v>
      </c>
      <c r="H75" t="s">
        <v>531</v>
      </c>
      <c r="I75" t="s">
        <v>547</v>
      </c>
      <c r="J75">
        <f>VLOOKUP($I75,'[1]Table S6'!$A:$AI,2,FALSE)</f>
        <v>354.7</v>
      </c>
      <c r="K75">
        <f>VLOOKUP($I75,'[1]Table S6'!$A:$AI,3,FALSE)</f>
        <v>0.75484145562885696</v>
      </c>
      <c r="L75">
        <f>VLOOKUP($I75,'[1]Table S6'!$A:$AI,4,FALSE)</f>
        <v>4.5129999999999999</v>
      </c>
      <c r="M75" t="str">
        <f>VLOOKUP($I75,'[1]Table S6'!$A:$AI,5,FALSE)</f>
        <v>No</v>
      </c>
      <c r="O75">
        <f>VLOOKUP($I75,'[1]Table S6'!$A:$AI,7,FALSE)</f>
        <v>402.5</v>
      </c>
      <c r="P75">
        <f>VLOOKUP($I75,'[1]Table S6'!$A:$AI,8,FALSE)</f>
        <v>0.85656522664396695</v>
      </c>
      <c r="Q75">
        <f>VLOOKUP($I75,'[1]Table S6'!$A:$AI,9,FALSE)</f>
        <v>33.61</v>
      </c>
      <c r="R75" t="str">
        <f>VLOOKUP($I75,'[1]Table S6'!$A:$AI,10,FALSE)</f>
        <v>No</v>
      </c>
      <c r="T75">
        <f>VLOOKUP($I75,'[1]Table S6'!$A:$AI,12,FALSE)</f>
        <v>335.1</v>
      </c>
      <c r="U75">
        <f>VLOOKUP($I75,'[1]Table S6'!$A:$AI,13,FALSE)</f>
        <v>0.71313045328793401</v>
      </c>
      <c r="V75">
        <f>VLOOKUP($I75,'[1]Table S6'!$A:$AI,14,FALSE)</f>
        <v>2.8450000000000002</v>
      </c>
      <c r="W75" t="str">
        <f>VLOOKUP($I75,'[1]Table S6'!$A:$AI,15,FALSE)</f>
        <v>No</v>
      </c>
      <c r="Y75">
        <f>VLOOKUP($I75,'[1]Table S6'!$A:$AI,17,FALSE)</f>
        <v>322.5</v>
      </c>
      <c r="Z75">
        <f>VLOOKUP($I75,'[1]Table S6'!$A:$AI,18,FALSE)</f>
        <v>0.68631623749734005</v>
      </c>
      <c r="AA75">
        <f>VLOOKUP($I75,'[1]Table S6'!$A:$AI,19,FALSE)</f>
        <v>2.1640000000000001</v>
      </c>
      <c r="AB75" t="str">
        <f>VLOOKUP($I75,'[1]Table S6'!$A:$AI,20,FALSE)</f>
        <v>Yes</v>
      </c>
      <c r="AD75">
        <f>VLOOKUP($I75,'[1]Table S6'!$A:$AI,22,FALSE)</f>
        <v>397.3</v>
      </c>
      <c r="AE75">
        <f>VLOOKUP($I75,'[1]Table S6'!$A:$AI,23,FALSE)</f>
        <v>0.84549904234943596</v>
      </c>
      <c r="AF75">
        <f>VLOOKUP($I75,'[1]Table S6'!$A:$AI,24,FALSE)</f>
        <v>14.66</v>
      </c>
      <c r="AG75" t="str">
        <f>VLOOKUP($I75,'[1]Table S6'!$A:$AI,25,FALSE)</f>
        <v>No</v>
      </c>
      <c r="AI75">
        <f>VLOOKUP($I75,'[1]Table S6'!$A:$AI,27,FALSE)</f>
        <v>450.9</v>
      </c>
      <c r="AJ75">
        <f>VLOOKUP($I75,'[1]Table S6'!$A:$AI,28,FALSE)</f>
        <v>0.95956586507767605</v>
      </c>
      <c r="AK75">
        <f>VLOOKUP($I75,'[1]Table S6'!$A:$AI,29,FALSE)</f>
        <v>290.39999999999998</v>
      </c>
      <c r="AL75" t="str">
        <f>VLOOKUP($I75,'[1]Table S6'!$A:$AI,30,FALSE)</f>
        <v>No</v>
      </c>
      <c r="AN75">
        <f>VLOOKUP($I75,'[1]Table S6'!$A:$AI,32,FALSE)</f>
        <v>435.9</v>
      </c>
      <c r="AO75">
        <f>VLOOKUP($I75,'[1]Table S6'!$A:$AI,33,FALSE)</f>
        <v>0.92764417961268397</v>
      </c>
      <c r="AP75">
        <f>VLOOKUP($I75,'[1]Table S6'!$A:$AI,34,FALSE)</f>
        <v>146.69999999999999</v>
      </c>
      <c r="AQ75" t="str">
        <f>VLOOKUP($I75,'[1]Table S6'!$A:$AI,35,FALSE)</f>
        <v>No</v>
      </c>
      <c r="AS75" t="str">
        <f>VLOOKUP($H75,'[2]Table S5'!$A:$K,8,FALSE)</f>
        <v>Resistant</v>
      </c>
      <c r="AT75" t="str">
        <f>VLOOKUP($H75,'[2]Table S5'!$A:$K,9,FALSE)</f>
        <v>Resistant</v>
      </c>
      <c r="AU75" t="str">
        <f>VLOOKUP($H75,'[2]Table S5'!$A:$K,10,FALSE)</f>
        <v>Resistant</v>
      </c>
      <c r="AV75" t="str">
        <f>VLOOKUP($H75,'[2]Table S5'!$A:$K,11,FALSE)</f>
        <v>Sensitive</v>
      </c>
    </row>
    <row r="76" spans="1:48">
      <c r="A76" t="s">
        <v>571</v>
      </c>
      <c r="B76" t="s">
        <v>572</v>
      </c>
      <c r="C76" t="s">
        <v>17</v>
      </c>
      <c r="D76" t="s">
        <v>574</v>
      </c>
      <c r="E76" t="s">
        <v>575</v>
      </c>
      <c r="F76" t="s">
        <v>576</v>
      </c>
      <c r="G76" t="s">
        <v>4751</v>
      </c>
      <c r="H76" t="s">
        <v>531</v>
      </c>
      <c r="I76" t="s">
        <v>555</v>
      </c>
      <c r="J76">
        <f>VLOOKUP($I76,'[1]Table S6'!$A:$AI,2,FALSE)</f>
        <v>293.2</v>
      </c>
      <c r="K76">
        <f>VLOOKUP($I76,'[1]Table S6'!$A:$AI,3,FALSE)</f>
        <v>0.62396254522238803</v>
      </c>
      <c r="L76">
        <f>VLOOKUP($I76,'[1]Table S6'!$A:$AI,4,FALSE)</f>
        <v>0.97489999999999999</v>
      </c>
      <c r="M76" t="str">
        <f>VLOOKUP($I76,'[1]Table S6'!$A:$AI,5,FALSE)</f>
        <v>Yes</v>
      </c>
      <c r="O76">
        <f>VLOOKUP($I76,'[1]Table S6'!$A:$AI,7,FALSE)</f>
        <v>399.3</v>
      </c>
      <c r="P76">
        <f>VLOOKUP($I76,'[1]Table S6'!$A:$AI,8,FALSE)</f>
        <v>0.84975526707810201</v>
      </c>
      <c r="Q76">
        <f>VLOOKUP($I76,'[1]Table S6'!$A:$AI,9,FALSE)</f>
        <v>31.23</v>
      </c>
      <c r="R76" t="str">
        <f>VLOOKUP($I76,'[1]Table S6'!$A:$AI,10,FALSE)</f>
        <v>No</v>
      </c>
      <c r="T76">
        <f>VLOOKUP($I76,'[1]Table S6'!$A:$AI,12,FALSE)</f>
        <v>319.10000000000002</v>
      </c>
      <c r="U76">
        <f>VLOOKUP($I76,'[1]Table S6'!$A:$AI,13,FALSE)</f>
        <v>0.67908065545860796</v>
      </c>
      <c r="V76">
        <f>VLOOKUP($I76,'[1]Table S6'!$A:$AI,14,FALSE)</f>
        <v>1.5309999999999999</v>
      </c>
      <c r="W76" t="str">
        <f>VLOOKUP($I76,'[1]Table S6'!$A:$AI,15,FALSE)</f>
        <v>Yes</v>
      </c>
      <c r="Y76">
        <f>VLOOKUP($I76,'[1]Table S6'!$A:$AI,17,FALSE)</f>
        <v>321.5</v>
      </c>
      <c r="Z76">
        <f>VLOOKUP($I76,'[1]Table S6'!$A:$AI,18,FALSE)</f>
        <v>0.68418812513300697</v>
      </c>
      <c r="AA76">
        <f>VLOOKUP($I76,'[1]Table S6'!$A:$AI,19,FALSE)</f>
        <v>1.786</v>
      </c>
      <c r="AB76" t="str">
        <f>VLOOKUP($I76,'[1]Table S6'!$A:$AI,20,FALSE)</f>
        <v>Yes</v>
      </c>
      <c r="AD76">
        <f>VLOOKUP($I76,'[1]Table S6'!$A:$AI,22,FALSE)</f>
        <v>400.6</v>
      </c>
      <c r="AE76">
        <f>VLOOKUP($I76,'[1]Table S6'!$A:$AI,23,FALSE)</f>
        <v>0.85252181315173403</v>
      </c>
      <c r="AF76">
        <f>VLOOKUP($I76,'[1]Table S6'!$A:$AI,24,FALSE)</f>
        <v>28.73</v>
      </c>
      <c r="AG76" t="str">
        <f>VLOOKUP($I76,'[1]Table S6'!$A:$AI,25,FALSE)</f>
        <v>No</v>
      </c>
      <c r="AI76">
        <f>VLOOKUP($I76,'[1]Table S6'!$A:$AI,27,FALSE)</f>
        <v>432.1</v>
      </c>
      <c r="AJ76">
        <f>VLOOKUP($I76,'[1]Table S6'!$A:$AI,28,FALSE)</f>
        <v>0.91955735262821903</v>
      </c>
      <c r="AK76">
        <f>VLOOKUP($I76,'[1]Table S6'!$A:$AI,29,FALSE)</f>
        <v>129.80000000000001</v>
      </c>
      <c r="AL76" t="str">
        <f>VLOOKUP($I76,'[1]Table S6'!$A:$AI,30,FALSE)</f>
        <v>No</v>
      </c>
      <c r="AN76">
        <f>VLOOKUP($I76,'[1]Table S6'!$A:$AI,32,FALSE)</f>
        <v>432.1</v>
      </c>
      <c r="AO76">
        <f>VLOOKUP($I76,'[1]Table S6'!$A:$AI,33,FALSE)</f>
        <v>0.91955735262821903</v>
      </c>
      <c r="AP76">
        <f>VLOOKUP($I76,'[1]Table S6'!$A:$AI,34,FALSE)</f>
        <v>106.6</v>
      </c>
      <c r="AQ76" t="str">
        <f>VLOOKUP($I76,'[1]Table S6'!$A:$AI,35,FALSE)</f>
        <v>No</v>
      </c>
      <c r="AS76" t="str">
        <f>VLOOKUP($H76,'[2]Table S5'!$A:$K,8,FALSE)</f>
        <v>Resistant</v>
      </c>
      <c r="AT76" t="str">
        <f>VLOOKUP($H76,'[2]Table S5'!$A:$K,9,FALSE)</f>
        <v>Resistant</v>
      </c>
      <c r="AU76" t="str">
        <f>VLOOKUP($H76,'[2]Table S5'!$A:$K,10,FALSE)</f>
        <v>Resistant</v>
      </c>
      <c r="AV76" t="str">
        <f>VLOOKUP($H76,'[2]Table S5'!$A:$K,11,FALSE)</f>
        <v>Sensitive</v>
      </c>
    </row>
    <row r="77" spans="1:48">
      <c r="A77" t="s">
        <v>578</v>
      </c>
      <c r="B77" t="s">
        <v>579</v>
      </c>
      <c r="C77" t="s">
        <v>17</v>
      </c>
      <c r="D77" t="s">
        <v>581</v>
      </c>
      <c r="E77" t="s">
        <v>582</v>
      </c>
      <c r="F77" t="s">
        <v>583</v>
      </c>
      <c r="G77" t="s">
        <v>4750</v>
      </c>
      <c r="H77" t="s">
        <v>584</v>
      </c>
      <c r="I77" t="s">
        <v>585</v>
      </c>
      <c r="J77">
        <f>VLOOKUP($I77,'[1]Table S6'!$A:$AI,2,FALSE)</f>
        <v>300.7</v>
      </c>
      <c r="K77">
        <f>VLOOKUP($I77,'[1]Table S6'!$A:$AI,3,FALSE)</f>
        <v>0.63992338795488402</v>
      </c>
      <c r="L77">
        <f>VLOOKUP($I77,'[1]Table S6'!$A:$AI,4,FALSE)</f>
        <v>1.03</v>
      </c>
      <c r="M77" t="str">
        <f>VLOOKUP($I77,'[1]Table S6'!$A:$AI,5,FALSE)</f>
        <v>Yes</v>
      </c>
      <c r="O77">
        <f>VLOOKUP($I77,'[1]Table S6'!$A:$AI,7,FALSE)</f>
        <v>310.39999999999998</v>
      </c>
      <c r="P77">
        <f>VLOOKUP($I77,'[1]Table S6'!$A:$AI,8,FALSE)</f>
        <v>0.66056607788891297</v>
      </c>
      <c r="Q77">
        <f>VLOOKUP($I77,'[1]Table S6'!$A:$AI,9,FALSE)</f>
        <v>1.335</v>
      </c>
      <c r="R77" t="str">
        <f>VLOOKUP($I77,'[1]Table S6'!$A:$AI,10,FALSE)</f>
        <v>Yes</v>
      </c>
      <c r="T77">
        <f>VLOOKUP($I77,'[1]Table S6'!$A:$AI,12,FALSE)</f>
        <v>381.3</v>
      </c>
      <c r="U77">
        <f>VLOOKUP($I77,'[1]Table S6'!$A:$AI,13,FALSE)</f>
        <v>0.81144924452011102</v>
      </c>
      <c r="V77">
        <f>VLOOKUP($I77,'[1]Table S6'!$A:$AI,14,FALSE)</f>
        <v>11.34</v>
      </c>
      <c r="W77" t="str">
        <f>VLOOKUP($I77,'[1]Table S6'!$A:$AI,15,FALSE)</f>
        <v>No</v>
      </c>
      <c r="Y77">
        <f>VLOOKUP($I77,'[1]Table S6'!$A:$AI,17,FALSE)</f>
        <v>319.8</v>
      </c>
      <c r="Z77">
        <f>VLOOKUP($I77,'[1]Table S6'!$A:$AI,18,FALSE)</f>
        <v>0.68057033411364098</v>
      </c>
      <c r="AA77">
        <f>VLOOKUP($I77,'[1]Table S6'!$A:$AI,19,FALSE)</f>
        <v>1.91</v>
      </c>
      <c r="AB77" t="str">
        <f>VLOOKUP($I77,'[1]Table S6'!$A:$AI,20,FALSE)</f>
        <v>Yes</v>
      </c>
      <c r="AD77">
        <f>VLOOKUP($I77,'[1]Table S6'!$A:$AI,22,FALSE)</f>
        <v>339.2</v>
      </c>
      <c r="AE77">
        <f>VLOOKUP($I77,'[1]Table S6'!$A:$AI,23,FALSE)</f>
        <v>0.72185571398169801</v>
      </c>
      <c r="AF77">
        <f>VLOOKUP($I77,'[1]Table S6'!$A:$AI,24,FALSE)</f>
        <v>3.198</v>
      </c>
      <c r="AG77" t="str">
        <f>VLOOKUP($I77,'[1]Table S6'!$A:$AI,25,FALSE)</f>
        <v>No</v>
      </c>
      <c r="AI77">
        <f>VLOOKUP($I77,'[1]Table S6'!$A:$AI,27,FALSE)</f>
        <v>441.5</v>
      </c>
      <c r="AJ77">
        <f>VLOOKUP($I77,'[1]Table S6'!$A:$AI,28,FALSE)</f>
        <v>0.93956160885294704</v>
      </c>
      <c r="AK77">
        <f>VLOOKUP($I77,'[1]Table S6'!$A:$AI,29,FALSE)</f>
        <v>144.1</v>
      </c>
      <c r="AL77" t="str">
        <f>VLOOKUP($I77,'[1]Table S6'!$A:$AI,30,FALSE)</f>
        <v>No</v>
      </c>
      <c r="AN77">
        <f>VLOOKUP($I77,'[1]Table S6'!$A:$AI,32,FALSE)</f>
        <v>432.1</v>
      </c>
      <c r="AO77">
        <f>VLOOKUP($I77,'[1]Table S6'!$A:$AI,33,FALSE)</f>
        <v>0.91955735262821903</v>
      </c>
      <c r="AP77">
        <f>VLOOKUP($I77,'[1]Table S6'!$A:$AI,34,FALSE)</f>
        <v>138.19999999999999</v>
      </c>
      <c r="AQ77" t="str">
        <f>VLOOKUP($I77,'[1]Table S6'!$A:$AI,35,FALSE)</f>
        <v>No</v>
      </c>
      <c r="AS77" t="str">
        <f>VLOOKUP($H77,'[2]Table S5'!$A:$K,8,FALSE)</f>
        <v>Sensitive</v>
      </c>
      <c r="AT77" t="str">
        <f>VLOOKUP($H77,'[2]Table S5'!$A:$K,9,FALSE)</f>
        <v>Resistant</v>
      </c>
      <c r="AU77" t="str">
        <f>VLOOKUP($H77,'[2]Table S5'!$A:$K,10,FALSE)</f>
        <v>Resistant</v>
      </c>
      <c r="AV77" t="str">
        <f>VLOOKUP($H77,'[2]Table S5'!$A:$K,11,FALSE)</f>
        <v>Resistant</v>
      </c>
    </row>
    <row r="78" spans="1:48">
      <c r="A78" t="s">
        <v>587</v>
      </c>
      <c r="B78" t="s">
        <v>588</v>
      </c>
      <c r="C78" t="s">
        <v>17</v>
      </c>
      <c r="D78" t="s">
        <v>590</v>
      </c>
      <c r="E78" t="s">
        <v>591</v>
      </c>
      <c r="F78" t="s">
        <v>592</v>
      </c>
      <c r="G78" t="s">
        <v>4750</v>
      </c>
      <c r="H78" t="s">
        <v>584</v>
      </c>
      <c r="I78" t="s">
        <v>593</v>
      </c>
      <c r="J78">
        <f>VLOOKUP($I78,'[1]Table S6'!$A:$AI,2,FALSE)</f>
        <v>323.60000000000002</v>
      </c>
      <c r="K78">
        <f>VLOOKUP($I78,'[1]Table S6'!$A:$AI,3,FALSE)</f>
        <v>0.68865716109810604</v>
      </c>
      <c r="L78">
        <f>VLOOKUP($I78,'[1]Table S6'!$A:$AI,4,FALSE)</f>
        <v>2.0539999999999998</v>
      </c>
      <c r="M78" t="str">
        <f>VLOOKUP($I78,'[1]Table S6'!$A:$AI,5,FALSE)</f>
        <v>Yes</v>
      </c>
      <c r="O78">
        <f>VLOOKUP($I78,'[1]Table S6'!$A:$AI,7,FALSE)</f>
        <v>338.4</v>
      </c>
      <c r="P78">
        <f>VLOOKUP($I78,'[1]Table S6'!$A:$AI,8,FALSE)</f>
        <v>0.72015322409023197</v>
      </c>
      <c r="Q78">
        <f>VLOOKUP($I78,'[1]Table S6'!$A:$AI,9,FALSE)</f>
        <v>6.0810000000000004</v>
      </c>
      <c r="R78" t="str">
        <f>VLOOKUP($I78,'[1]Table S6'!$A:$AI,10,FALSE)</f>
        <v>No</v>
      </c>
      <c r="T78">
        <f>VLOOKUP($I78,'[1]Table S6'!$A:$AI,12,FALSE)</f>
        <v>339.6</v>
      </c>
      <c r="U78">
        <f>VLOOKUP($I78,'[1]Table S6'!$A:$AI,13,FALSE)</f>
        <v>0.72270695892743098</v>
      </c>
      <c r="V78">
        <f>VLOOKUP($I78,'[1]Table S6'!$A:$AI,14,FALSE)</f>
        <v>6.6840000000000002</v>
      </c>
      <c r="W78" t="str">
        <f>VLOOKUP($I78,'[1]Table S6'!$A:$AI,15,FALSE)</f>
        <v>No</v>
      </c>
      <c r="Y78">
        <f>VLOOKUP($I78,'[1]Table S6'!$A:$AI,17,FALSE)</f>
        <v>365.8</v>
      </c>
      <c r="Z78">
        <f>VLOOKUP($I78,'[1]Table S6'!$A:$AI,18,FALSE)</f>
        <v>0.77846350287295196</v>
      </c>
      <c r="AA78">
        <f>VLOOKUP($I78,'[1]Table S6'!$A:$AI,19,FALSE)</f>
        <v>8.532</v>
      </c>
      <c r="AB78" t="str">
        <f>VLOOKUP($I78,'[1]Table S6'!$A:$AI,20,FALSE)</f>
        <v>No</v>
      </c>
      <c r="AD78">
        <f>VLOOKUP($I78,'[1]Table S6'!$A:$AI,22,FALSE)</f>
        <v>360.6</v>
      </c>
      <c r="AE78">
        <f>VLOOKUP($I78,'[1]Table S6'!$A:$AI,23,FALSE)</f>
        <v>0.76739731857842097</v>
      </c>
      <c r="AF78">
        <f>VLOOKUP($I78,'[1]Table S6'!$A:$AI,24,FALSE)</f>
        <v>8.1560000000000006</v>
      </c>
      <c r="AG78" t="str">
        <f>VLOOKUP($I78,'[1]Table S6'!$A:$AI,25,FALSE)</f>
        <v>No</v>
      </c>
      <c r="AI78">
        <f>VLOOKUP($I78,'[1]Table S6'!$A:$AI,27,FALSE)</f>
        <v>409.9</v>
      </c>
      <c r="AJ78">
        <f>VLOOKUP($I78,'[1]Table S6'!$A:$AI,28,FALSE)</f>
        <v>0.87231325814003002</v>
      </c>
      <c r="AK78">
        <f>VLOOKUP($I78,'[1]Table S6'!$A:$AI,29,FALSE)</f>
        <v>117.1</v>
      </c>
      <c r="AL78" t="str">
        <f>VLOOKUP($I78,'[1]Table S6'!$A:$AI,30,FALSE)</f>
        <v>No</v>
      </c>
      <c r="AN78">
        <f>VLOOKUP($I78,'[1]Table S6'!$A:$AI,32,FALSE)</f>
        <v>435</v>
      </c>
      <c r="AO78">
        <f>VLOOKUP($I78,'[1]Table S6'!$A:$AI,33,FALSE)</f>
        <v>0.92572887848478402</v>
      </c>
      <c r="AP78">
        <f>VLOOKUP($I78,'[1]Table S6'!$A:$AI,34,FALSE)</f>
        <v>127.6</v>
      </c>
      <c r="AQ78" t="str">
        <f>VLOOKUP($I78,'[1]Table S6'!$A:$AI,35,FALSE)</f>
        <v>No</v>
      </c>
      <c r="AS78" t="str">
        <f>VLOOKUP($H78,'[2]Table S5'!$A:$K,8,FALSE)</f>
        <v>Sensitive</v>
      </c>
      <c r="AT78" t="str">
        <f>VLOOKUP($H78,'[2]Table S5'!$A:$K,9,FALSE)</f>
        <v>Resistant</v>
      </c>
      <c r="AU78" t="str">
        <f>VLOOKUP($H78,'[2]Table S5'!$A:$K,10,FALSE)</f>
        <v>Resistant</v>
      </c>
      <c r="AV78" t="str">
        <f>VLOOKUP($H78,'[2]Table S5'!$A:$K,11,FALSE)</f>
        <v>Resistant</v>
      </c>
    </row>
    <row r="79" spans="1:48">
      <c r="A79" t="s">
        <v>595</v>
      </c>
      <c r="B79" t="s">
        <v>596</v>
      </c>
      <c r="C79" t="s">
        <v>17</v>
      </c>
      <c r="D79" t="s">
        <v>598</v>
      </c>
      <c r="E79" t="s">
        <v>599</v>
      </c>
      <c r="F79" t="s">
        <v>600</v>
      </c>
      <c r="G79" t="s">
        <v>4750</v>
      </c>
      <c r="H79" t="s">
        <v>584</v>
      </c>
      <c r="I79" t="s">
        <v>601</v>
      </c>
      <c r="J79">
        <f>VLOOKUP($I79,'[1]Table S6'!$A:$AI,2,FALSE)</f>
        <v>282.60000000000002</v>
      </c>
      <c r="K79">
        <f>VLOOKUP($I79,'[1]Table S6'!$A:$AI,3,FALSE)</f>
        <v>0.60140455416046001</v>
      </c>
      <c r="L79">
        <f>VLOOKUP($I79,'[1]Table S6'!$A:$AI,4,FALSE)</f>
        <v>0.73580000000000001</v>
      </c>
      <c r="M79" t="str">
        <f>VLOOKUP($I79,'[1]Table S6'!$A:$AI,5,FALSE)</f>
        <v>Yes</v>
      </c>
      <c r="O79">
        <f>VLOOKUP($I79,'[1]Table S6'!$A:$AI,7,FALSE)</f>
        <v>305.39999999999998</v>
      </c>
      <c r="P79">
        <f>VLOOKUP($I79,'[1]Table S6'!$A:$AI,8,FALSE)</f>
        <v>0.64992551606724802</v>
      </c>
      <c r="Q79">
        <f>VLOOKUP($I79,'[1]Table S6'!$A:$AI,9,FALSE)</f>
        <v>1.0669999999999999</v>
      </c>
      <c r="R79" t="str">
        <f>VLOOKUP($I79,'[1]Table S6'!$A:$AI,10,FALSE)</f>
        <v>Yes</v>
      </c>
      <c r="T79">
        <f>VLOOKUP($I79,'[1]Table S6'!$A:$AI,12,FALSE)</f>
        <v>331.6</v>
      </c>
      <c r="U79">
        <f>VLOOKUP($I79,'[1]Table S6'!$A:$AI,13,FALSE)</f>
        <v>0.70568206001276901</v>
      </c>
      <c r="V79">
        <f>VLOOKUP($I79,'[1]Table S6'!$A:$AI,14,FALSE)</f>
        <v>2.746</v>
      </c>
      <c r="W79" t="str">
        <f>VLOOKUP($I79,'[1]Table S6'!$A:$AI,15,FALSE)</f>
        <v>No</v>
      </c>
      <c r="Y79">
        <f>VLOOKUP($I79,'[1]Table S6'!$A:$AI,17,FALSE)</f>
        <v>339</v>
      </c>
      <c r="Z79">
        <f>VLOOKUP($I79,'[1]Table S6'!$A:$AI,18,FALSE)</f>
        <v>0.72143009150883197</v>
      </c>
      <c r="AA79">
        <f>VLOOKUP($I79,'[1]Table S6'!$A:$AI,19,FALSE)</f>
        <v>4.0970000000000004</v>
      </c>
      <c r="AB79" t="str">
        <f>VLOOKUP($I79,'[1]Table S6'!$A:$AI,20,FALSE)</f>
        <v>No</v>
      </c>
      <c r="AD79">
        <f>VLOOKUP($I79,'[1]Table S6'!$A:$AI,22,FALSE)</f>
        <v>321.89999999999998</v>
      </c>
      <c r="AE79">
        <f>VLOOKUP($I79,'[1]Table S6'!$A:$AI,23,FALSE)</f>
        <v>0.68503937007874005</v>
      </c>
      <c r="AF79">
        <f>VLOOKUP($I79,'[1]Table S6'!$A:$AI,24,FALSE)</f>
        <v>1.8879999999999999</v>
      </c>
      <c r="AG79" t="str">
        <f>VLOOKUP($I79,'[1]Table S6'!$A:$AI,25,FALSE)</f>
        <v>Yes</v>
      </c>
      <c r="AI79">
        <f>VLOOKUP($I79,'[1]Table S6'!$A:$AI,27,FALSE)</f>
        <v>417.9</v>
      </c>
      <c r="AJ79">
        <f>VLOOKUP($I79,'[1]Table S6'!$A:$AI,28,FALSE)</f>
        <v>0.88933815705469199</v>
      </c>
      <c r="AK79">
        <f>VLOOKUP($I79,'[1]Table S6'!$A:$AI,29,FALSE)</f>
        <v>92.75</v>
      </c>
      <c r="AL79" t="str">
        <f>VLOOKUP($I79,'[1]Table S6'!$A:$AI,30,FALSE)</f>
        <v>No</v>
      </c>
      <c r="AN79">
        <f>VLOOKUP($I79,'[1]Table S6'!$A:$AI,32,FALSE)</f>
        <v>401.9</v>
      </c>
      <c r="AO79">
        <f>VLOOKUP($I79,'[1]Table S6'!$A:$AI,33,FALSE)</f>
        <v>0.85528835922536695</v>
      </c>
      <c r="AP79">
        <f>VLOOKUP($I79,'[1]Table S6'!$A:$AI,34,FALSE)</f>
        <v>116.4</v>
      </c>
      <c r="AQ79" t="str">
        <f>VLOOKUP($I79,'[1]Table S6'!$A:$AI,35,FALSE)</f>
        <v>No</v>
      </c>
      <c r="AS79" t="str">
        <f>VLOOKUP($H79,'[2]Table S5'!$A:$K,8,FALSE)</f>
        <v>Sensitive</v>
      </c>
      <c r="AT79" t="str">
        <f>VLOOKUP($H79,'[2]Table S5'!$A:$K,9,FALSE)</f>
        <v>Resistant</v>
      </c>
      <c r="AU79" t="str">
        <f>VLOOKUP($H79,'[2]Table S5'!$A:$K,10,FALSE)</f>
        <v>Resistant</v>
      </c>
      <c r="AV79" t="str">
        <f>VLOOKUP($H79,'[2]Table S5'!$A:$K,11,FALSE)</f>
        <v>Resistant</v>
      </c>
    </row>
    <row r="80" spans="1:48">
      <c r="A80" t="s">
        <v>603</v>
      </c>
      <c r="B80" t="s">
        <v>604</v>
      </c>
      <c r="C80" t="s">
        <v>17</v>
      </c>
      <c r="D80" t="s">
        <v>606</v>
      </c>
      <c r="E80" t="s">
        <v>607</v>
      </c>
      <c r="F80" t="s">
        <v>608</v>
      </c>
      <c r="G80" t="s">
        <v>4751</v>
      </c>
      <c r="H80" t="s">
        <v>584</v>
      </c>
      <c r="I80" t="s">
        <v>585</v>
      </c>
      <c r="J80">
        <f>VLOOKUP($I80,'[1]Table S6'!$A:$AI,2,FALSE)</f>
        <v>300.7</v>
      </c>
      <c r="K80">
        <f>VLOOKUP($I80,'[1]Table S6'!$A:$AI,3,FALSE)</f>
        <v>0.63992338795488402</v>
      </c>
      <c r="L80">
        <f>VLOOKUP($I80,'[1]Table S6'!$A:$AI,4,FALSE)</f>
        <v>1.03</v>
      </c>
      <c r="M80" t="str">
        <f>VLOOKUP($I80,'[1]Table S6'!$A:$AI,5,FALSE)</f>
        <v>Yes</v>
      </c>
      <c r="O80">
        <f>VLOOKUP($I80,'[1]Table S6'!$A:$AI,7,FALSE)</f>
        <v>310.39999999999998</v>
      </c>
      <c r="P80">
        <f>VLOOKUP($I80,'[1]Table S6'!$A:$AI,8,FALSE)</f>
        <v>0.66056607788891297</v>
      </c>
      <c r="Q80">
        <f>VLOOKUP($I80,'[1]Table S6'!$A:$AI,9,FALSE)</f>
        <v>1.335</v>
      </c>
      <c r="R80" t="str">
        <f>VLOOKUP($I80,'[1]Table S6'!$A:$AI,10,FALSE)</f>
        <v>Yes</v>
      </c>
      <c r="T80">
        <f>VLOOKUP($I80,'[1]Table S6'!$A:$AI,12,FALSE)</f>
        <v>381.3</v>
      </c>
      <c r="U80">
        <f>VLOOKUP($I80,'[1]Table S6'!$A:$AI,13,FALSE)</f>
        <v>0.81144924452011102</v>
      </c>
      <c r="V80">
        <f>VLOOKUP($I80,'[1]Table S6'!$A:$AI,14,FALSE)</f>
        <v>11.34</v>
      </c>
      <c r="W80" t="str">
        <f>VLOOKUP($I80,'[1]Table S6'!$A:$AI,15,FALSE)</f>
        <v>No</v>
      </c>
      <c r="Y80">
        <f>VLOOKUP($I80,'[1]Table S6'!$A:$AI,17,FALSE)</f>
        <v>319.8</v>
      </c>
      <c r="Z80">
        <f>VLOOKUP($I80,'[1]Table S6'!$A:$AI,18,FALSE)</f>
        <v>0.68057033411364098</v>
      </c>
      <c r="AA80">
        <f>VLOOKUP($I80,'[1]Table S6'!$A:$AI,19,FALSE)</f>
        <v>1.91</v>
      </c>
      <c r="AB80" t="str">
        <f>VLOOKUP($I80,'[1]Table S6'!$A:$AI,20,FALSE)</f>
        <v>Yes</v>
      </c>
      <c r="AD80">
        <f>VLOOKUP($I80,'[1]Table S6'!$A:$AI,22,FALSE)</f>
        <v>339.2</v>
      </c>
      <c r="AE80">
        <f>VLOOKUP($I80,'[1]Table S6'!$A:$AI,23,FALSE)</f>
        <v>0.72185571398169801</v>
      </c>
      <c r="AF80">
        <f>VLOOKUP($I80,'[1]Table S6'!$A:$AI,24,FALSE)</f>
        <v>3.198</v>
      </c>
      <c r="AG80" t="str">
        <f>VLOOKUP($I80,'[1]Table S6'!$A:$AI,25,FALSE)</f>
        <v>No</v>
      </c>
      <c r="AI80">
        <f>VLOOKUP($I80,'[1]Table S6'!$A:$AI,27,FALSE)</f>
        <v>441.5</v>
      </c>
      <c r="AJ80">
        <f>VLOOKUP($I80,'[1]Table S6'!$A:$AI,28,FALSE)</f>
        <v>0.93956160885294704</v>
      </c>
      <c r="AK80">
        <f>VLOOKUP($I80,'[1]Table S6'!$A:$AI,29,FALSE)</f>
        <v>144.1</v>
      </c>
      <c r="AL80" t="str">
        <f>VLOOKUP($I80,'[1]Table S6'!$A:$AI,30,FALSE)</f>
        <v>No</v>
      </c>
      <c r="AN80">
        <f>VLOOKUP($I80,'[1]Table S6'!$A:$AI,32,FALSE)</f>
        <v>432.1</v>
      </c>
      <c r="AO80">
        <f>VLOOKUP($I80,'[1]Table S6'!$A:$AI,33,FALSE)</f>
        <v>0.91955735262821903</v>
      </c>
      <c r="AP80">
        <f>VLOOKUP($I80,'[1]Table S6'!$A:$AI,34,FALSE)</f>
        <v>138.19999999999999</v>
      </c>
      <c r="AQ80" t="str">
        <f>VLOOKUP($I80,'[1]Table S6'!$A:$AI,35,FALSE)</f>
        <v>No</v>
      </c>
      <c r="AS80" t="str">
        <f>VLOOKUP($H80,'[2]Table S5'!$A:$K,8,FALSE)</f>
        <v>Sensitive</v>
      </c>
      <c r="AT80" t="str">
        <f>VLOOKUP($H80,'[2]Table S5'!$A:$K,9,FALSE)</f>
        <v>Resistant</v>
      </c>
      <c r="AU80" t="str">
        <f>VLOOKUP($H80,'[2]Table S5'!$A:$K,10,FALSE)</f>
        <v>Resistant</v>
      </c>
      <c r="AV80" t="str">
        <f>VLOOKUP($H80,'[2]Table S5'!$A:$K,11,FALSE)</f>
        <v>Resistant</v>
      </c>
    </row>
    <row r="81" spans="1:48">
      <c r="A81" t="s">
        <v>610</v>
      </c>
      <c r="B81" t="s">
        <v>611</v>
      </c>
      <c r="C81" t="s">
        <v>17</v>
      </c>
      <c r="D81" t="s">
        <v>613</v>
      </c>
      <c r="E81" t="s">
        <v>614</v>
      </c>
      <c r="F81" t="s">
        <v>615</v>
      </c>
      <c r="G81" t="s">
        <v>4751</v>
      </c>
      <c r="H81" t="s">
        <v>584</v>
      </c>
      <c r="I81" t="s">
        <v>593</v>
      </c>
      <c r="J81">
        <f>VLOOKUP($I81,'[1]Table S6'!$A:$AI,2,FALSE)</f>
        <v>323.60000000000002</v>
      </c>
      <c r="K81">
        <f>VLOOKUP($I81,'[1]Table S6'!$A:$AI,3,FALSE)</f>
        <v>0.68865716109810604</v>
      </c>
      <c r="L81">
        <f>VLOOKUP($I81,'[1]Table S6'!$A:$AI,4,FALSE)</f>
        <v>2.0539999999999998</v>
      </c>
      <c r="M81" t="str">
        <f>VLOOKUP($I81,'[1]Table S6'!$A:$AI,5,FALSE)</f>
        <v>Yes</v>
      </c>
      <c r="O81">
        <f>VLOOKUP($I81,'[1]Table S6'!$A:$AI,7,FALSE)</f>
        <v>338.4</v>
      </c>
      <c r="P81">
        <f>VLOOKUP($I81,'[1]Table S6'!$A:$AI,8,FALSE)</f>
        <v>0.72015322409023197</v>
      </c>
      <c r="Q81">
        <f>VLOOKUP($I81,'[1]Table S6'!$A:$AI,9,FALSE)</f>
        <v>6.0810000000000004</v>
      </c>
      <c r="R81" t="str">
        <f>VLOOKUP($I81,'[1]Table S6'!$A:$AI,10,FALSE)</f>
        <v>No</v>
      </c>
      <c r="T81">
        <f>VLOOKUP($I81,'[1]Table S6'!$A:$AI,12,FALSE)</f>
        <v>339.6</v>
      </c>
      <c r="U81">
        <f>VLOOKUP($I81,'[1]Table S6'!$A:$AI,13,FALSE)</f>
        <v>0.72270695892743098</v>
      </c>
      <c r="V81">
        <f>VLOOKUP($I81,'[1]Table S6'!$A:$AI,14,FALSE)</f>
        <v>6.6840000000000002</v>
      </c>
      <c r="W81" t="str">
        <f>VLOOKUP($I81,'[1]Table S6'!$A:$AI,15,FALSE)</f>
        <v>No</v>
      </c>
      <c r="Y81">
        <f>VLOOKUP($I81,'[1]Table S6'!$A:$AI,17,FALSE)</f>
        <v>365.8</v>
      </c>
      <c r="Z81">
        <f>VLOOKUP($I81,'[1]Table S6'!$A:$AI,18,FALSE)</f>
        <v>0.77846350287295196</v>
      </c>
      <c r="AA81">
        <f>VLOOKUP($I81,'[1]Table S6'!$A:$AI,19,FALSE)</f>
        <v>8.532</v>
      </c>
      <c r="AB81" t="str">
        <f>VLOOKUP($I81,'[1]Table S6'!$A:$AI,20,FALSE)</f>
        <v>No</v>
      </c>
      <c r="AD81">
        <f>VLOOKUP($I81,'[1]Table S6'!$A:$AI,22,FALSE)</f>
        <v>360.6</v>
      </c>
      <c r="AE81">
        <f>VLOOKUP($I81,'[1]Table S6'!$A:$AI,23,FALSE)</f>
        <v>0.76739731857842097</v>
      </c>
      <c r="AF81">
        <f>VLOOKUP($I81,'[1]Table S6'!$A:$AI,24,FALSE)</f>
        <v>8.1560000000000006</v>
      </c>
      <c r="AG81" t="str">
        <f>VLOOKUP($I81,'[1]Table S6'!$A:$AI,25,FALSE)</f>
        <v>No</v>
      </c>
      <c r="AI81">
        <f>VLOOKUP($I81,'[1]Table S6'!$A:$AI,27,FALSE)</f>
        <v>409.9</v>
      </c>
      <c r="AJ81">
        <f>VLOOKUP($I81,'[1]Table S6'!$A:$AI,28,FALSE)</f>
        <v>0.87231325814003002</v>
      </c>
      <c r="AK81">
        <f>VLOOKUP($I81,'[1]Table S6'!$A:$AI,29,FALSE)</f>
        <v>117.1</v>
      </c>
      <c r="AL81" t="str">
        <f>VLOOKUP($I81,'[1]Table S6'!$A:$AI,30,FALSE)</f>
        <v>No</v>
      </c>
      <c r="AN81">
        <f>VLOOKUP($I81,'[1]Table S6'!$A:$AI,32,FALSE)</f>
        <v>435</v>
      </c>
      <c r="AO81">
        <f>VLOOKUP($I81,'[1]Table S6'!$A:$AI,33,FALSE)</f>
        <v>0.92572887848478402</v>
      </c>
      <c r="AP81">
        <f>VLOOKUP($I81,'[1]Table S6'!$A:$AI,34,FALSE)</f>
        <v>127.6</v>
      </c>
      <c r="AQ81" t="str">
        <f>VLOOKUP($I81,'[1]Table S6'!$A:$AI,35,FALSE)</f>
        <v>No</v>
      </c>
      <c r="AS81" t="str">
        <f>VLOOKUP($H81,'[2]Table S5'!$A:$K,8,FALSE)</f>
        <v>Sensitive</v>
      </c>
      <c r="AT81" t="str">
        <f>VLOOKUP($H81,'[2]Table S5'!$A:$K,9,FALSE)</f>
        <v>Resistant</v>
      </c>
      <c r="AU81" t="str">
        <f>VLOOKUP($H81,'[2]Table S5'!$A:$K,10,FALSE)</f>
        <v>Resistant</v>
      </c>
      <c r="AV81" t="str">
        <f>VLOOKUP($H81,'[2]Table S5'!$A:$K,11,FALSE)</f>
        <v>Resistant</v>
      </c>
    </row>
    <row r="82" spans="1:48">
      <c r="A82" t="s">
        <v>617</v>
      </c>
      <c r="B82" t="s">
        <v>618</v>
      </c>
      <c r="C82" t="s">
        <v>17</v>
      </c>
      <c r="D82" t="s">
        <v>620</v>
      </c>
      <c r="E82" t="s">
        <v>621</v>
      </c>
      <c r="F82" t="s">
        <v>622</v>
      </c>
      <c r="G82" t="s">
        <v>4751</v>
      </c>
      <c r="H82" t="s">
        <v>584</v>
      </c>
      <c r="I82" t="s">
        <v>601</v>
      </c>
      <c r="J82">
        <f>VLOOKUP($I82,'[1]Table S6'!$A:$AI,2,FALSE)</f>
        <v>282.60000000000002</v>
      </c>
      <c r="K82">
        <f>VLOOKUP($I82,'[1]Table S6'!$A:$AI,3,FALSE)</f>
        <v>0.60140455416046001</v>
      </c>
      <c r="L82">
        <f>VLOOKUP($I82,'[1]Table S6'!$A:$AI,4,FALSE)</f>
        <v>0.73580000000000001</v>
      </c>
      <c r="M82" t="str">
        <f>VLOOKUP($I82,'[1]Table S6'!$A:$AI,5,FALSE)</f>
        <v>Yes</v>
      </c>
      <c r="O82">
        <f>VLOOKUP($I82,'[1]Table S6'!$A:$AI,7,FALSE)</f>
        <v>305.39999999999998</v>
      </c>
      <c r="P82">
        <f>VLOOKUP($I82,'[1]Table S6'!$A:$AI,8,FALSE)</f>
        <v>0.64992551606724802</v>
      </c>
      <c r="Q82">
        <f>VLOOKUP($I82,'[1]Table S6'!$A:$AI,9,FALSE)</f>
        <v>1.0669999999999999</v>
      </c>
      <c r="R82" t="str">
        <f>VLOOKUP($I82,'[1]Table S6'!$A:$AI,10,FALSE)</f>
        <v>Yes</v>
      </c>
      <c r="T82">
        <f>VLOOKUP($I82,'[1]Table S6'!$A:$AI,12,FALSE)</f>
        <v>331.6</v>
      </c>
      <c r="U82">
        <f>VLOOKUP($I82,'[1]Table S6'!$A:$AI,13,FALSE)</f>
        <v>0.70568206001276901</v>
      </c>
      <c r="V82">
        <f>VLOOKUP($I82,'[1]Table S6'!$A:$AI,14,FALSE)</f>
        <v>2.746</v>
      </c>
      <c r="W82" t="str">
        <f>VLOOKUP($I82,'[1]Table S6'!$A:$AI,15,FALSE)</f>
        <v>No</v>
      </c>
      <c r="Y82">
        <f>VLOOKUP($I82,'[1]Table S6'!$A:$AI,17,FALSE)</f>
        <v>339</v>
      </c>
      <c r="Z82">
        <f>VLOOKUP($I82,'[1]Table S6'!$A:$AI,18,FALSE)</f>
        <v>0.72143009150883197</v>
      </c>
      <c r="AA82">
        <f>VLOOKUP($I82,'[1]Table S6'!$A:$AI,19,FALSE)</f>
        <v>4.0970000000000004</v>
      </c>
      <c r="AB82" t="str">
        <f>VLOOKUP($I82,'[1]Table S6'!$A:$AI,20,FALSE)</f>
        <v>No</v>
      </c>
      <c r="AD82">
        <f>VLOOKUP($I82,'[1]Table S6'!$A:$AI,22,FALSE)</f>
        <v>321.89999999999998</v>
      </c>
      <c r="AE82">
        <f>VLOOKUP($I82,'[1]Table S6'!$A:$AI,23,FALSE)</f>
        <v>0.68503937007874005</v>
      </c>
      <c r="AF82">
        <f>VLOOKUP($I82,'[1]Table S6'!$A:$AI,24,FALSE)</f>
        <v>1.8879999999999999</v>
      </c>
      <c r="AG82" t="str">
        <f>VLOOKUP($I82,'[1]Table S6'!$A:$AI,25,FALSE)</f>
        <v>Yes</v>
      </c>
      <c r="AI82">
        <f>VLOOKUP($I82,'[1]Table S6'!$A:$AI,27,FALSE)</f>
        <v>417.9</v>
      </c>
      <c r="AJ82">
        <f>VLOOKUP($I82,'[1]Table S6'!$A:$AI,28,FALSE)</f>
        <v>0.88933815705469199</v>
      </c>
      <c r="AK82">
        <f>VLOOKUP($I82,'[1]Table S6'!$A:$AI,29,FALSE)</f>
        <v>92.75</v>
      </c>
      <c r="AL82" t="str">
        <f>VLOOKUP($I82,'[1]Table S6'!$A:$AI,30,FALSE)</f>
        <v>No</v>
      </c>
      <c r="AN82">
        <f>VLOOKUP($I82,'[1]Table S6'!$A:$AI,32,FALSE)</f>
        <v>401.9</v>
      </c>
      <c r="AO82">
        <f>VLOOKUP($I82,'[1]Table S6'!$A:$AI,33,FALSE)</f>
        <v>0.85528835922536695</v>
      </c>
      <c r="AP82">
        <f>VLOOKUP($I82,'[1]Table S6'!$A:$AI,34,FALSE)</f>
        <v>116.4</v>
      </c>
      <c r="AQ82" t="str">
        <f>VLOOKUP($I82,'[1]Table S6'!$A:$AI,35,FALSE)</f>
        <v>No</v>
      </c>
      <c r="AS82" t="str">
        <f>VLOOKUP($H82,'[2]Table S5'!$A:$K,8,FALSE)</f>
        <v>Sensitive</v>
      </c>
      <c r="AT82" t="str">
        <f>VLOOKUP($H82,'[2]Table S5'!$A:$K,9,FALSE)</f>
        <v>Resistant</v>
      </c>
      <c r="AU82" t="str">
        <f>VLOOKUP($H82,'[2]Table S5'!$A:$K,10,FALSE)</f>
        <v>Resistant</v>
      </c>
      <c r="AV82" t="str">
        <f>VLOOKUP($H82,'[2]Table S5'!$A:$K,11,FALSE)</f>
        <v>Resistant</v>
      </c>
    </row>
    <row r="83" spans="1:48">
      <c r="A83" t="s">
        <v>624</v>
      </c>
      <c r="B83" t="s">
        <v>625</v>
      </c>
      <c r="C83" t="s">
        <v>17</v>
      </c>
      <c r="D83" t="s">
        <v>627</v>
      </c>
      <c r="E83" t="s">
        <v>628</v>
      </c>
      <c r="F83" t="s">
        <v>629</v>
      </c>
      <c r="G83" t="s">
        <v>4757</v>
      </c>
      <c r="H83" t="s">
        <v>584</v>
      </c>
      <c r="I83" t="s">
        <v>584</v>
      </c>
      <c r="J83" t="e">
        <f>VLOOKUP($I83,'[1]Table S6'!$A:$AI,2,FALSE)</f>
        <v>#N/A</v>
      </c>
      <c r="K83" t="e">
        <f>VLOOKUP($I83,'[1]Table S6'!$A:$AI,3,FALSE)</f>
        <v>#N/A</v>
      </c>
      <c r="L83" t="e">
        <f>VLOOKUP($I83,'[1]Table S6'!$A:$AI,4,FALSE)</f>
        <v>#N/A</v>
      </c>
      <c r="M83" t="e">
        <f>VLOOKUP($I83,'[1]Table S6'!$A:$AI,5,FALSE)</f>
        <v>#N/A</v>
      </c>
      <c r="O83" t="e">
        <f>VLOOKUP($I83,'[1]Table S6'!$A:$AI,7,FALSE)</f>
        <v>#N/A</v>
      </c>
      <c r="P83" t="e">
        <f>VLOOKUP($I83,'[1]Table S6'!$A:$AI,8,FALSE)</f>
        <v>#N/A</v>
      </c>
      <c r="Q83" t="e">
        <f>VLOOKUP($I83,'[1]Table S6'!$A:$AI,9,FALSE)</f>
        <v>#N/A</v>
      </c>
      <c r="R83" t="e">
        <f>VLOOKUP($I83,'[1]Table S6'!$A:$AI,10,FALSE)</f>
        <v>#N/A</v>
      </c>
      <c r="T83" t="e">
        <f>VLOOKUP($I83,'[1]Table S6'!$A:$AI,12,FALSE)</f>
        <v>#N/A</v>
      </c>
      <c r="U83" t="e">
        <f>VLOOKUP($I83,'[1]Table S6'!$A:$AI,13,FALSE)</f>
        <v>#N/A</v>
      </c>
      <c r="V83" t="e">
        <f>VLOOKUP($I83,'[1]Table S6'!$A:$AI,14,FALSE)</f>
        <v>#N/A</v>
      </c>
      <c r="W83" t="e">
        <f>VLOOKUP($I83,'[1]Table S6'!$A:$AI,15,FALSE)</f>
        <v>#N/A</v>
      </c>
      <c r="Y83" t="e">
        <f>VLOOKUP($I83,'[1]Table S6'!$A:$AI,17,FALSE)</f>
        <v>#N/A</v>
      </c>
      <c r="Z83" t="e">
        <f>VLOOKUP($I83,'[1]Table S6'!$A:$AI,18,FALSE)</f>
        <v>#N/A</v>
      </c>
      <c r="AA83" t="e">
        <f>VLOOKUP($I83,'[1]Table S6'!$A:$AI,19,FALSE)</f>
        <v>#N/A</v>
      </c>
      <c r="AB83" t="e">
        <f>VLOOKUP($I83,'[1]Table S6'!$A:$AI,20,FALSE)</f>
        <v>#N/A</v>
      </c>
      <c r="AD83" t="e">
        <f>VLOOKUP($I83,'[1]Table S6'!$A:$AI,22,FALSE)</f>
        <v>#N/A</v>
      </c>
      <c r="AE83" t="e">
        <f>VLOOKUP($I83,'[1]Table S6'!$A:$AI,23,FALSE)</f>
        <v>#N/A</v>
      </c>
      <c r="AF83" t="e">
        <f>VLOOKUP($I83,'[1]Table S6'!$A:$AI,24,FALSE)</f>
        <v>#N/A</v>
      </c>
      <c r="AG83" t="e">
        <f>VLOOKUP($I83,'[1]Table S6'!$A:$AI,25,FALSE)</f>
        <v>#N/A</v>
      </c>
      <c r="AI83" t="e">
        <f>VLOOKUP($I83,'[1]Table S6'!$A:$AI,27,FALSE)</f>
        <v>#N/A</v>
      </c>
      <c r="AJ83" t="e">
        <f>VLOOKUP($I83,'[1]Table S6'!$A:$AI,28,FALSE)</f>
        <v>#N/A</v>
      </c>
      <c r="AK83" t="e">
        <f>VLOOKUP($I83,'[1]Table S6'!$A:$AI,29,FALSE)</f>
        <v>#N/A</v>
      </c>
      <c r="AL83" t="e">
        <f>VLOOKUP($I83,'[1]Table S6'!$A:$AI,30,FALSE)</f>
        <v>#N/A</v>
      </c>
      <c r="AN83" t="e">
        <f>VLOOKUP($I83,'[1]Table S6'!$A:$AI,32,FALSE)</f>
        <v>#N/A</v>
      </c>
      <c r="AO83" t="e">
        <f>VLOOKUP($I83,'[1]Table S6'!$A:$AI,33,FALSE)</f>
        <v>#N/A</v>
      </c>
      <c r="AP83" t="e">
        <f>VLOOKUP($I83,'[1]Table S6'!$A:$AI,34,FALSE)</f>
        <v>#N/A</v>
      </c>
      <c r="AQ83" t="e">
        <f>VLOOKUP($I83,'[1]Table S6'!$A:$AI,35,FALSE)</f>
        <v>#N/A</v>
      </c>
      <c r="AS83" t="str">
        <f>VLOOKUP($H83,'[2]Table S5'!$A:$K,8,FALSE)</f>
        <v>Sensitive</v>
      </c>
      <c r="AT83" t="str">
        <f>VLOOKUP($H83,'[2]Table S5'!$A:$K,9,FALSE)</f>
        <v>Resistant</v>
      </c>
      <c r="AU83" t="str">
        <f>VLOOKUP($H83,'[2]Table S5'!$A:$K,10,FALSE)</f>
        <v>Resistant</v>
      </c>
      <c r="AV83" t="str">
        <f>VLOOKUP($H83,'[2]Table S5'!$A:$K,11,FALSE)</f>
        <v>Resistant</v>
      </c>
    </row>
    <row r="84" spans="1:48">
      <c r="A84" t="s">
        <v>631</v>
      </c>
      <c r="B84" t="s">
        <v>632</v>
      </c>
      <c r="C84" t="s">
        <v>17</v>
      </c>
      <c r="D84" t="s">
        <v>634</v>
      </c>
      <c r="E84" t="s">
        <v>635</v>
      </c>
      <c r="F84" t="s">
        <v>636</v>
      </c>
      <c r="G84" t="s">
        <v>4750</v>
      </c>
      <c r="H84" t="s">
        <v>637</v>
      </c>
      <c r="I84" t="s">
        <v>638</v>
      </c>
      <c r="J84">
        <f>VLOOKUP($I84,'[1]Table S6'!$A:$AI,2,FALSE)</f>
        <v>296.5</v>
      </c>
      <c r="K84">
        <f>VLOOKUP($I84,'[1]Table S6'!$A:$AI,3,FALSE)</f>
        <v>0.63098531602468599</v>
      </c>
      <c r="L84">
        <f>VLOOKUP($I84,'[1]Table S6'!$A:$AI,4,FALSE)</f>
        <v>1.0920000000000001</v>
      </c>
      <c r="M84" t="str">
        <f>VLOOKUP($I84,'[1]Table S6'!$A:$AI,5,FALSE)</f>
        <v>Yes</v>
      </c>
      <c r="O84">
        <f>VLOOKUP($I84,'[1]Table S6'!$A:$AI,7,FALSE)</f>
        <v>322.60000000000002</v>
      </c>
      <c r="P84">
        <f>VLOOKUP($I84,'[1]Table S6'!$A:$AI,8,FALSE)</f>
        <v>0.68652904873377296</v>
      </c>
      <c r="Q84">
        <f>VLOOKUP($I84,'[1]Table S6'!$A:$AI,9,FALSE)</f>
        <v>1.9970000000000001</v>
      </c>
      <c r="R84" t="str">
        <f>VLOOKUP($I84,'[1]Table S6'!$A:$AI,10,FALSE)</f>
        <v>Yes</v>
      </c>
      <c r="T84">
        <f>VLOOKUP($I84,'[1]Table S6'!$A:$AI,12,FALSE)</f>
        <v>348.1</v>
      </c>
      <c r="U84">
        <f>VLOOKUP($I84,'[1]Table S6'!$A:$AI,13,FALSE)</f>
        <v>0.74079591402426104</v>
      </c>
      <c r="V84">
        <f>VLOOKUP($I84,'[1]Table S6'!$A:$AI,14,FALSE)</f>
        <v>6.258</v>
      </c>
      <c r="W84" t="str">
        <f>VLOOKUP($I84,'[1]Table S6'!$A:$AI,15,FALSE)</f>
        <v>No</v>
      </c>
      <c r="Y84">
        <f>VLOOKUP($I84,'[1]Table S6'!$A:$AI,17,FALSE)</f>
        <v>346.6</v>
      </c>
      <c r="Z84">
        <f>VLOOKUP($I84,'[1]Table S6'!$A:$AI,18,FALSE)</f>
        <v>0.73760374547776097</v>
      </c>
      <c r="AA84">
        <f>VLOOKUP($I84,'[1]Table S6'!$A:$AI,19,FALSE)</f>
        <v>5.38</v>
      </c>
      <c r="AB84" t="str">
        <f>VLOOKUP($I84,'[1]Table S6'!$A:$AI,20,FALSE)</f>
        <v>No</v>
      </c>
      <c r="AD84">
        <f>VLOOKUP($I84,'[1]Table S6'!$A:$AI,22,FALSE)</f>
        <v>333.8</v>
      </c>
      <c r="AE84">
        <f>VLOOKUP($I84,'[1]Table S6'!$A:$AI,23,FALSE)</f>
        <v>0.71036390721430098</v>
      </c>
      <c r="AF84">
        <f>VLOOKUP($I84,'[1]Table S6'!$A:$AI,24,FALSE)</f>
        <v>3.9950000000000001</v>
      </c>
      <c r="AG84" t="str">
        <f>VLOOKUP($I84,'[1]Table S6'!$A:$AI,25,FALSE)</f>
        <v>No</v>
      </c>
      <c r="AI84">
        <f>VLOOKUP($I84,'[1]Table S6'!$A:$AI,27,FALSE)</f>
        <v>424.7</v>
      </c>
      <c r="AJ84">
        <f>VLOOKUP($I84,'[1]Table S6'!$A:$AI,28,FALSE)</f>
        <v>0.90380932113215595</v>
      </c>
      <c r="AK84">
        <f>VLOOKUP($I84,'[1]Table S6'!$A:$AI,29,FALSE)</f>
        <v>152.9</v>
      </c>
      <c r="AL84" t="str">
        <f>VLOOKUP($I84,'[1]Table S6'!$A:$AI,30,FALSE)</f>
        <v>No</v>
      </c>
      <c r="AN84">
        <f>VLOOKUP($I84,'[1]Table S6'!$A:$AI,32,FALSE)</f>
        <v>402</v>
      </c>
      <c r="AO84">
        <f>VLOOKUP($I84,'[1]Table S6'!$A:$AI,33,FALSE)</f>
        <v>0.85550117046179996</v>
      </c>
      <c r="AP84">
        <f>VLOOKUP($I84,'[1]Table S6'!$A:$AI,34,FALSE)</f>
        <v>159.80000000000001</v>
      </c>
      <c r="AQ84" t="str">
        <f>VLOOKUP($I84,'[1]Table S6'!$A:$AI,35,FALSE)</f>
        <v>No</v>
      </c>
      <c r="AS84" t="str">
        <f>VLOOKUP($H84,'[2]Table S5'!$A:$K,8,FALSE)</f>
        <v>Resistant</v>
      </c>
      <c r="AT84" t="str">
        <f>VLOOKUP($H84,'[2]Table S5'!$A:$K,9,FALSE)</f>
        <v>Sensitive</v>
      </c>
      <c r="AU84" t="str">
        <f>VLOOKUP($H84,'[2]Table S5'!$A:$K,10,FALSE)</f>
        <v>Resistant</v>
      </c>
      <c r="AV84" t="str">
        <f>VLOOKUP($H84,'[2]Table S5'!$A:$K,11,FALSE)</f>
        <v>Resistant</v>
      </c>
    </row>
    <row r="85" spans="1:48">
      <c r="A85" t="s">
        <v>640</v>
      </c>
      <c r="B85" t="s">
        <v>641</v>
      </c>
      <c r="C85" t="s">
        <v>17</v>
      </c>
      <c r="D85" t="s">
        <v>643</v>
      </c>
      <c r="E85" t="s">
        <v>644</v>
      </c>
      <c r="F85" t="s">
        <v>645</v>
      </c>
      <c r="G85" t="s">
        <v>4750</v>
      </c>
      <c r="H85" t="s">
        <v>637</v>
      </c>
      <c r="I85" t="s">
        <v>646</v>
      </c>
      <c r="J85">
        <f>VLOOKUP($I85,'[1]Table S6'!$A:$AI,2,FALSE)</f>
        <v>334.1</v>
      </c>
      <c r="K85">
        <f>VLOOKUP($I85,'[1]Table S6'!$A:$AI,3,FALSE)</f>
        <v>0.71100234092360104</v>
      </c>
      <c r="L85">
        <f>VLOOKUP($I85,'[1]Table S6'!$A:$AI,4,FALSE)</f>
        <v>2.7839999999999998</v>
      </c>
      <c r="M85" t="str">
        <f>VLOOKUP($I85,'[1]Table S6'!$A:$AI,5,FALSE)</f>
        <v>No</v>
      </c>
      <c r="O85">
        <f>VLOOKUP($I85,'[1]Table S6'!$A:$AI,7,FALSE)</f>
        <v>302.89999999999998</v>
      </c>
      <c r="P85">
        <f>VLOOKUP($I85,'[1]Table S6'!$A:$AI,8,FALSE)</f>
        <v>0.64460523515641599</v>
      </c>
      <c r="Q85">
        <f>VLOOKUP($I85,'[1]Table S6'!$A:$AI,9,FALSE)</f>
        <v>1.3839999999999999</v>
      </c>
      <c r="R85" t="str">
        <f>VLOOKUP($I85,'[1]Table S6'!$A:$AI,10,FALSE)</f>
        <v>Yes</v>
      </c>
      <c r="T85">
        <f>VLOOKUP($I85,'[1]Table S6'!$A:$AI,12,FALSE)</f>
        <v>317.5</v>
      </c>
      <c r="U85">
        <f>VLOOKUP($I85,'[1]Table S6'!$A:$AI,13,FALSE)</f>
        <v>0.67567567567567599</v>
      </c>
      <c r="V85">
        <f>VLOOKUP($I85,'[1]Table S6'!$A:$AI,14,FALSE)</f>
        <v>1.772</v>
      </c>
      <c r="W85" t="str">
        <f>VLOOKUP($I85,'[1]Table S6'!$A:$AI,15,FALSE)</f>
        <v>Yes</v>
      </c>
      <c r="Y85">
        <f>VLOOKUP($I85,'[1]Table S6'!$A:$AI,17,FALSE)</f>
        <v>330.5</v>
      </c>
      <c r="Z85">
        <f>VLOOKUP($I85,'[1]Table S6'!$A:$AI,18,FALSE)</f>
        <v>0.70334113641200302</v>
      </c>
      <c r="AA85">
        <f>VLOOKUP($I85,'[1]Table S6'!$A:$AI,19,FALSE)</f>
        <v>2.1589999999999998</v>
      </c>
      <c r="AB85" t="str">
        <f>VLOOKUP($I85,'[1]Table S6'!$A:$AI,20,FALSE)</f>
        <v>No</v>
      </c>
      <c r="AD85">
        <f>VLOOKUP($I85,'[1]Table S6'!$A:$AI,22,FALSE)</f>
        <v>310.2</v>
      </c>
      <c r="AE85">
        <f>VLOOKUP($I85,'[1]Table S6'!$A:$AI,23,FALSE)</f>
        <v>0.66014045541604605</v>
      </c>
      <c r="AF85">
        <f>VLOOKUP($I85,'[1]Table S6'!$A:$AI,24,FALSE)</f>
        <v>1.387</v>
      </c>
      <c r="AG85" t="str">
        <f>VLOOKUP($I85,'[1]Table S6'!$A:$AI,25,FALSE)</f>
        <v>Yes</v>
      </c>
      <c r="AI85">
        <f>VLOOKUP($I85,'[1]Table S6'!$A:$AI,27,FALSE)</f>
        <v>412.1</v>
      </c>
      <c r="AJ85">
        <f>VLOOKUP($I85,'[1]Table S6'!$A:$AI,28,FALSE)</f>
        <v>0.876995105341562</v>
      </c>
      <c r="AK85">
        <f>VLOOKUP($I85,'[1]Table S6'!$A:$AI,29,FALSE)</f>
        <v>135</v>
      </c>
      <c r="AL85" t="str">
        <f>VLOOKUP($I85,'[1]Table S6'!$A:$AI,30,FALSE)</f>
        <v>No</v>
      </c>
      <c r="AN85">
        <f>VLOOKUP($I85,'[1]Table S6'!$A:$AI,32,FALSE)</f>
        <v>455.1</v>
      </c>
      <c r="AO85">
        <f>VLOOKUP($I85,'[1]Table S6'!$A:$AI,33,FALSE)</f>
        <v>0.96850393700787396</v>
      </c>
      <c r="AP85">
        <f>VLOOKUP($I85,'[1]Table S6'!$A:$AI,34,FALSE)</f>
        <v>240.9</v>
      </c>
      <c r="AQ85" t="str">
        <f>VLOOKUP($I85,'[1]Table S6'!$A:$AI,35,FALSE)</f>
        <v>No</v>
      </c>
      <c r="AS85" t="str">
        <f>VLOOKUP($H85,'[2]Table S5'!$A:$K,8,FALSE)</f>
        <v>Resistant</v>
      </c>
      <c r="AT85" t="str">
        <f>VLOOKUP($H85,'[2]Table S5'!$A:$K,9,FALSE)</f>
        <v>Sensitive</v>
      </c>
      <c r="AU85" t="str">
        <f>VLOOKUP($H85,'[2]Table S5'!$A:$K,10,FALSE)</f>
        <v>Resistant</v>
      </c>
      <c r="AV85" t="str">
        <f>VLOOKUP($H85,'[2]Table S5'!$A:$K,11,FALSE)</f>
        <v>Resistant</v>
      </c>
    </row>
    <row r="86" spans="1:48">
      <c r="A86" t="s">
        <v>648</v>
      </c>
      <c r="B86" t="s">
        <v>649</v>
      </c>
      <c r="C86" t="s">
        <v>17</v>
      </c>
      <c r="D86" t="s">
        <v>651</v>
      </c>
      <c r="E86" t="s">
        <v>652</v>
      </c>
      <c r="F86" t="s">
        <v>653</v>
      </c>
      <c r="G86" t="s">
        <v>4750</v>
      </c>
      <c r="H86" t="s">
        <v>637</v>
      </c>
      <c r="I86" t="s">
        <v>654</v>
      </c>
      <c r="J86">
        <f>VLOOKUP($I86,'[1]Table S6'!$A:$AI,2,FALSE)</f>
        <v>301.5</v>
      </c>
      <c r="K86">
        <f>VLOOKUP($I86,'[1]Table S6'!$A:$AI,3,FALSE)</f>
        <v>0.64162587784634995</v>
      </c>
      <c r="L86">
        <f>VLOOKUP($I86,'[1]Table S6'!$A:$AI,4,FALSE)</f>
        <v>1.0029999999999999</v>
      </c>
      <c r="M86" t="str">
        <f>VLOOKUP($I86,'[1]Table S6'!$A:$AI,5,FALSE)</f>
        <v>Yes</v>
      </c>
      <c r="O86">
        <f>VLOOKUP($I86,'[1]Table S6'!$A:$AI,7,FALSE)</f>
        <v>317.3</v>
      </c>
      <c r="P86">
        <f>VLOOKUP($I86,'[1]Table S6'!$A:$AI,8,FALSE)</f>
        <v>0.67525005320280895</v>
      </c>
      <c r="Q86">
        <f>VLOOKUP($I86,'[1]Table S6'!$A:$AI,9,FALSE)</f>
        <v>2.004</v>
      </c>
      <c r="R86" t="str">
        <f>VLOOKUP($I86,'[1]Table S6'!$A:$AI,10,FALSE)</f>
        <v>Yes</v>
      </c>
      <c r="T86">
        <f>VLOOKUP($I86,'[1]Table S6'!$A:$AI,12,FALSE)</f>
        <v>350.5</v>
      </c>
      <c r="U86">
        <f>VLOOKUP($I86,'[1]Table S6'!$A:$AI,13,FALSE)</f>
        <v>0.74590338369865905</v>
      </c>
      <c r="V86">
        <f>VLOOKUP($I86,'[1]Table S6'!$A:$AI,14,FALSE)</f>
        <v>5.5090000000000003</v>
      </c>
      <c r="W86" t="str">
        <f>VLOOKUP($I86,'[1]Table S6'!$A:$AI,15,FALSE)</f>
        <v>No</v>
      </c>
      <c r="Y86">
        <f>VLOOKUP($I86,'[1]Table S6'!$A:$AI,17,FALSE)</f>
        <v>346.8</v>
      </c>
      <c r="Z86">
        <f>VLOOKUP($I86,'[1]Table S6'!$A:$AI,18,FALSE)</f>
        <v>0.73802936795062801</v>
      </c>
      <c r="AA86">
        <f>VLOOKUP($I86,'[1]Table S6'!$A:$AI,19,FALSE)</f>
        <v>4.806</v>
      </c>
      <c r="AB86" t="str">
        <f>VLOOKUP($I86,'[1]Table S6'!$A:$AI,20,FALSE)</f>
        <v>No</v>
      </c>
      <c r="AD86">
        <f>VLOOKUP($I86,'[1]Table S6'!$A:$AI,22,FALSE)</f>
        <v>350</v>
      </c>
      <c r="AE86">
        <f>VLOOKUP($I86,'[1]Table S6'!$A:$AI,23,FALSE)</f>
        <v>0.74483932751649296</v>
      </c>
      <c r="AF86">
        <f>VLOOKUP($I86,'[1]Table S6'!$A:$AI,24,FALSE)</f>
        <v>5.8979999999999997</v>
      </c>
      <c r="AG86" t="str">
        <f>VLOOKUP($I86,'[1]Table S6'!$A:$AI,25,FALSE)</f>
        <v>No</v>
      </c>
      <c r="AI86">
        <f>VLOOKUP($I86,'[1]Table S6'!$A:$AI,27,FALSE)</f>
        <v>427.5</v>
      </c>
      <c r="AJ86">
        <f>VLOOKUP($I86,'[1]Table S6'!$A:$AI,28,FALSE)</f>
        <v>0.90976803575228804</v>
      </c>
      <c r="AK86">
        <f>VLOOKUP($I86,'[1]Table S6'!$A:$AI,29,FALSE)</f>
        <v>137.6</v>
      </c>
      <c r="AL86" t="str">
        <f>VLOOKUP($I86,'[1]Table S6'!$A:$AI,30,FALSE)</f>
        <v>No</v>
      </c>
      <c r="AN86">
        <f>VLOOKUP($I86,'[1]Table S6'!$A:$AI,32,FALSE)</f>
        <v>434.5</v>
      </c>
      <c r="AO86">
        <f>VLOOKUP($I86,'[1]Table S6'!$A:$AI,33,FALSE)</f>
        <v>0.92466482230261804</v>
      </c>
      <c r="AP86">
        <f>VLOOKUP($I86,'[1]Table S6'!$A:$AI,34,FALSE)</f>
        <v>183.1</v>
      </c>
      <c r="AQ86" t="str">
        <f>VLOOKUP($I86,'[1]Table S6'!$A:$AI,35,FALSE)</f>
        <v>No</v>
      </c>
      <c r="AS86" t="str">
        <f>VLOOKUP($H86,'[2]Table S5'!$A:$K,8,FALSE)</f>
        <v>Resistant</v>
      </c>
      <c r="AT86" t="str">
        <f>VLOOKUP($H86,'[2]Table S5'!$A:$K,9,FALSE)</f>
        <v>Sensitive</v>
      </c>
      <c r="AU86" t="str">
        <f>VLOOKUP($H86,'[2]Table S5'!$A:$K,10,FALSE)</f>
        <v>Resistant</v>
      </c>
      <c r="AV86" t="str">
        <f>VLOOKUP($H86,'[2]Table S5'!$A:$K,11,FALSE)</f>
        <v>Resistant</v>
      </c>
    </row>
    <row r="87" spans="1:48">
      <c r="A87" t="s">
        <v>656</v>
      </c>
      <c r="B87" t="s">
        <v>657</v>
      </c>
      <c r="C87" t="s">
        <v>17</v>
      </c>
      <c r="D87" t="s">
        <v>659</v>
      </c>
      <c r="E87" t="s">
        <v>660</v>
      </c>
      <c r="F87" t="s">
        <v>661</v>
      </c>
      <c r="G87" t="s">
        <v>4751</v>
      </c>
      <c r="H87" t="s">
        <v>637</v>
      </c>
      <c r="I87" t="s">
        <v>638</v>
      </c>
      <c r="J87">
        <f>VLOOKUP($I87,'[1]Table S6'!$A:$AI,2,FALSE)</f>
        <v>296.5</v>
      </c>
      <c r="K87">
        <f>VLOOKUP($I87,'[1]Table S6'!$A:$AI,3,FALSE)</f>
        <v>0.63098531602468599</v>
      </c>
      <c r="L87">
        <f>VLOOKUP($I87,'[1]Table S6'!$A:$AI,4,FALSE)</f>
        <v>1.0920000000000001</v>
      </c>
      <c r="M87" t="str">
        <f>VLOOKUP($I87,'[1]Table S6'!$A:$AI,5,FALSE)</f>
        <v>Yes</v>
      </c>
      <c r="O87">
        <f>VLOOKUP($I87,'[1]Table S6'!$A:$AI,7,FALSE)</f>
        <v>322.60000000000002</v>
      </c>
      <c r="P87">
        <f>VLOOKUP($I87,'[1]Table S6'!$A:$AI,8,FALSE)</f>
        <v>0.68652904873377296</v>
      </c>
      <c r="Q87">
        <f>VLOOKUP($I87,'[1]Table S6'!$A:$AI,9,FALSE)</f>
        <v>1.9970000000000001</v>
      </c>
      <c r="R87" t="str">
        <f>VLOOKUP($I87,'[1]Table S6'!$A:$AI,10,FALSE)</f>
        <v>Yes</v>
      </c>
      <c r="T87">
        <f>VLOOKUP($I87,'[1]Table S6'!$A:$AI,12,FALSE)</f>
        <v>348.1</v>
      </c>
      <c r="U87">
        <f>VLOOKUP($I87,'[1]Table S6'!$A:$AI,13,FALSE)</f>
        <v>0.74079591402426104</v>
      </c>
      <c r="V87">
        <f>VLOOKUP($I87,'[1]Table S6'!$A:$AI,14,FALSE)</f>
        <v>6.258</v>
      </c>
      <c r="W87" t="str">
        <f>VLOOKUP($I87,'[1]Table S6'!$A:$AI,15,FALSE)</f>
        <v>No</v>
      </c>
      <c r="Y87">
        <f>VLOOKUP($I87,'[1]Table S6'!$A:$AI,17,FALSE)</f>
        <v>346.6</v>
      </c>
      <c r="Z87">
        <f>VLOOKUP($I87,'[1]Table S6'!$A:$AI,18,FALSE)</f>
        <v>0.73760374547776097</v>
      </c>
      <c r="AA87">
        <f>VLOOKUP($I87,'[1]Table S6'!$A:$AI,19,FALSE)</f>
        <v>5.38</v>
      </c>
      <c r="AB87" t="str">
        <f>VLOOKUP($I87,'[1]Table S6'!$A:$AI,20,FALSE)</f>
        <v>No</v>
      </c>
      <c r="AD87">
        <f>VLOOKUP($I87,'[1]Table S6'!$A:$AI,22,FALSE)</f>
        <v>333.8</v>
      </c>
      <c r="AE87">
        <f>VLOOKUP($I87,'[1]Table S6'!$A:$AI,23,FALSE)</f>
        <v>0.71036390721430098</v>
      </c>
      <c r="AF87">
        <f>VLOOKUP($I87,'[1]Table S6'!$A:$AI,24,FALSE)</f>
        <v>3.9950000000000001</v>
      </c>
      <c r="AG87" t="str">
        <f>VLOOKUP($I87,'[1]Table S6'!$A:$AI,25,FALSE)</f>
        <v>No</v>
      </c>
      <c r="AI87">
        <f>VLOOKUP($I87,'[1]Table S6'!$A:$AI,27,FALSE)</f>
        <v>424.7</v>
      </c>
      <c r="AJ87">
        <f>VLOOKUP($I87,'[1]Table S6'!$A:$AI,28,FALSE)</f>
        <v>0.90380932113215595</v>
      </c>
      <c r="AK87">
        <f>VLOOKUP($I87,'[1]Table S6'!$A:$AI,29,FALSE)</f>
        <v>152.9</v>
      </c>
      <c r="AL87" t="str">
        <f>VLOOKUP($I87,'[1]Table S6'!$A:$AI,30,FALSE)</f>
        <v>No</v>
      </c>
      <c r="AN87">
        <f>VLOOKUP($I87,'[1]Table S6'!$A:$AI,32,FALSE)</f>
        <v>402</v>
      </c>
      <c r="AO87">
        <f>VLOOKUP($I87,'[1]Table S6'!$A:$AI,33,FALSE)</f>
        <v>0.85550117046179996</v>
      </c>
      <c r="AP87">
        <f>VLOOKUP($I87,'[1]Table S6'!$A:$AI,34,FALSE)</f>
        <v>159.80000000000001</v>
      </c>
      <c r="AQ87" t="str">
        <f>VLOOKUP($I87,'[1]Table S6'!$A:$AI,35,FALSE)</f>
        <v>No</v>
      </c>
      <c r="AS87" t="str">
        <f>VLOOKUP($H87,'[2]Table S5'!$A:$K,8,FALSE)</f>
        <v>Resistant</v>
      </c>
      <c r="AT87" t="str">
        <f>VLOOKUP($H87,'[2]Table S5'!$A:$K,9,FALSE)</f>
        <v>Sensitive</v>
      </c>
      <c r="AU87" t="str">
        <f>VLOOKUP($H87,'[2]Table S5'!$A:$K,10,FALSE)</f>
        <v>Resistant</v>
      </c>
      <c r="AV87" t="str">
        <f>VLOOKUP($H87,'[2]Table S5'!$A:$K,11,FALSE)</f>
        <v>Resistant</v>
      </c>
    </row>
    <row r="88" spans="1:48">
      <c r="A88" t="s">
        <v>663</v>
      </c>
      <c r="B88" t="s">
        <v>664</v>
      </c>
      <c r="C88" t="s">
        <v>17</v>
      </c>
      <c r="D88" t="s">
        <v>666</v>
      </c>
      <c r="E88" t="s">
        <v>667</v>
      </c>
      <c r="F88" t="s">
        <v>668</v>
      </c>
      <c r="G88" t="s">
        <v>4751</v>
      </c>
      <c r="H88" t="s">
        <v>637</v>
      </c>
      <c r="I88" t="s">
        <v>646</v>
      </c>
      <c r="J88">
        <f>VLOOKUP($I88,'[1]Table S6'!$A:$AI,2,FALSE)</f>
        <v>334.1</v>
      </c>
      <c r="K88">
        <f>VLOOKUP($I88,'[1]Table S6'!$A:$AI,3,FALSE)</f>
        <v>0.71100234092360104</v>
      </c>
      <c r="L88">
        <f>VLOOKUP($I88,'[1]Table S6'!$A:$AI,4,FALSE)</f>
        <v>2.7839999999999998</v>
      </c>
      <c r="M88" t="str">
        <f>VLOOKUP($I88,'[1]Table S6'!$A:$AI,5,FALSE)</f>
        <v>No</v>
      </c>
      <c r="O88">
        <f>VLOOKUP($I88,'[1]Table S6'!$A:$AI,7,FALSE)</f>
        <v>302.89999999999998</v>
      </c>
      <c r="P88">
        <f>VLOOKUP($I88,'[1]Table S6'!$A:$AI,8,FALSE)</f>
        <v>0.64460523515641599</v>
      </c>
      <c r="Q88">
        <f>VLOOKUP($I88,'[1]Table S6'!$A:$AI,9,FALSE)</f>
        <v>1.3839999999999999</v>
      </c>
      <c r="R88" t="str">
        <f>VLOOKUP($I88,'[1]Table S6'!$A:$AI,10,FALSE)</f>
        <v>Yes</v>
      </c>
      <c r="T88">
        <f>VLOOKUP($I88,'[1]Table S6'!$A:$AI,12,FALSE)</f>
        <v>317.5</v>
      </c>
      <c r="U88">
        <f>VLOOKUP($I88,'[1]Table S6'!$A:$AI,13,FALSE)</f>
        <v>0.67567567567567599</v>
      </c>
      <c r="V88">
        <f>VLOOKUP($I88,'[1]Table S6'!$A:$AI,14,FALSE)</f>
        <v>1.772</v>
      </c>
      <c r="W88" t="str">
        <f>VLOOKUP($I88,'[1]Table S6'!$A:$AI,15,FALSE)</f>
        <v>Yes</v>
      </c>
      <c r="Y88">
        <f>VLOOKUP($I88,'[1]Table S6'!$A:$AI,17,FALSE)</f>
        <v>330.5</v>
      </c>
      <c r="Z88">
        <f>VLOOKUP($I88,'[1]Table S6'!$A:$AI,18,FALSE)</f>
        <v>0.70334113641200302</v>
      </c>
      <c r="AA88">
        <f>VLOOKUP($I88,'[1]Table S6'!$A:$AI,19,FALSE)</f>
        <v>2.1589999999999998</v>
      </c>
      <c r="AB88" t="str">
        <f>VLOOKUP($I88,'[1]Table S6'!$A:$AI,20,FALSE)</f>
        <v>No</v>
      </c>
      <c r="AD88">
        <f>VLOOKUP($I88,'[1]Table S6'!$A:$AI,22,FALSE)</f>
        <v>310.2</v>
      </c>
      <c r="AE88">
        <f>VLOOKUP($I88,'[1]Table S6'!$A:$AI,23,FALSE)</f>
        <v>0.66014045541604605</v>
      </c>
      <c r="AF88">
        <f>VLOOKUP($I88,'[1]Table S6'!$A:$AI,24,FALSE)</f>
        <v>1.387</v>
      </c>
      <c r="AG88" t="str">
        <f>VLOOKUP($I88,'[1]Table S6'!$A:$AI,25,FALSE)</f>
        <v>Yes</v>
      </c>
      <c r="AI88">
        <f>VLOOKUP($I88,'[1]Table S6'!$A:$AI,27,FALSE)</f>
        <v>412.1</v>
      </c>
      <c r="AJ88">
        <f>VLOOKUP($I88,'[1]Table S6'!$A:$AI,28,FALSE)</f>
        <v>0.876995105341562</v>
      </c>
      <c r="AK88">
        <f>VLOOKUP($I88,'[1]Table S6'!$A:$AI,29,FALSE)</f>
        <v>135</v>
      </c>
      <c r="AL88" t="str">
        <f>VLOOKUP($I88,'[1]Table S6'!$A:$AI,30,FALSE)</f>
        <v>No</v>
      </c>
      <c r="AN88">
        <f>VLOOKUP($I88,'[1]Table S6'!$A:$AI,32,FALSE)</f>
        <v>455.1</v>
      </c>
      <c r="AO88">
        <f>VLOOKUP($I88,'[1]Table S6'!$A:$AI,33,FALSE)</f>
        <v>0.96850393700787396</v>
      </c>
      <c r="AP88">
        <f>VLOOKUP($I88,'[1]Table S6'!$A:$AI,34,FALSE)</f>
        <v>240.9</v>
      </c>
      <c r="AQ88" t="str">
        <f>VLOOKUP($I88,'[1]Table S6'!$A:$AI,35,FALSE)</f>
        <v>No</v>
      </c>
      <c r="AS88" t="str">
        <f>VLOOKUP($H88,'[2]Table S5'!$A:$K,8,FALSE)</f>
        <v>Resistant</v>
      </c>
      <c r="AT88" t="str">
        <f>VLOOKUP($H88,'[2]Table S5'!$A:$K,9,FALSE)</f>
        <v>Sensitive</v>
      </c>
      <c r="AU88" t="str">
        <f>VLOOKUP($H88,'[2]Table S5'!$A:$K,10,FALSE)</f>
        <v>Resistant</v>
      </c>
      <c r="AV88" t="str">
        <f>VLOOKUP($H88,'[2]Table S5'!$A:$K,11,FALSE)</f>
        <v>Resistant</v>
      </c>
    </row>
    <row r="89" spans="1:48">
      <c r="A89" t="s">
        <v>670</v>
      </c>
      <c r="B89" t="s">
        <v>671</v>
      </c>
      <c r="C89" t="s">
        <v>17</v>
      </c>
      <c r="D89" t="s">
        <v>673</v>
      </c>
      <c r="E89" t="s">
        <v>674</v>
      </c>
      <c r="F89" t="s">
        <v>675</v>
      </c>
      <c r="G89" t="s">
        <v>4751</v>
      </c>
      <c r="H89" t="s">
        <v>637</v>
      </c>
      <c r="I89" t="s">
        <v>654</v>
      </c>
      <c r="J89">
        <f>VLOOKUP($I89,'[1]Table S6'!$A:$AI,2,FALSE)</f>
        <v>301.5</v>
      </c>
      <c r="K89">
        <f>VLOOKUP($I89,'[1]Table S6'!$A:$AI,3,FALSE)</f>
        <v>0.64162587784634995</v>
      </c>
      <c r="L89">
        <f>VLOOKUP($I89,'[1]Table S6'!$A:$AI,4,FALSE)</f>
        <v>1.0029999999999999</v>
      </c>
      <c r="M89" t="str">
        <f>VLOOKUP($I89,'[1]Table S6'!$A:$AI,5,FALSE)</f>
        <v>Yes</v>
      </c>
      <c r="O89">
        <f>VLOOKUP($I89,'[1]Table S6'!$A:$AI,7,FALSE)</f>
        <v>317.3</v>
      </c>
      <c r="P89">
        <f>VLOOKUP($I89,'[1]Table S6'!$A:$AI,8,FALSE)</f>
        <v>0.67525005320280895</v>
      </c>
      <c r="Q89">
        <f>VLOOKUP($I89,'[1]Table S6'!$A:$AI,9,FALSE)</f>
        <v>2.004</v>
      </c>
      <c r="R89" t="str">
        <f>VLOOKUP($I89,'[1]Table S6'!$A:$AI,10,FALSE)</f>
        <v>Yes</v>
      </c>
      <c r="T89">
        <f>VLOOKUP($I89,'[1]Table S6'!$A:$AI,12,FALSE)</f>
        <v>350.5</v>
      </c>
      <c r="U89">
        <f>VLOOKUP($I89,'[1]Table S6'!$A:$AI,13,FALSE)</f>
        <v>0.74590338369865905</v>
      </c>
      <c r="V89">
        <f>VLOOKUP($I89,'[1]Table S6'!$A:$AI,14,FALSE)</f>
        <v>5.5090000000000003</v>
      </c>
      <c r="W89" t="str">
        <f>VLOOKUP($I89,'[1]Table S6'!$A:$AI,15,FALSE)</f>
        <v>No</v>
      </c>
      <c r="Y89">
        <f>VLOOKUP($I89,'[1]Table S6'!$A:$AI,17,FALSE)</f>
        <v>346.8</v>
      </c>
      <c r="Z89">
        <f>VLOOKUP($I89,'[1]Table S6'!$A:$AI,18,FALSE)</f>
        <v>0.73802936795062801</v>
      </c>
      <c r="AA89">
        <f>VLOOKUP($I89,'[1]Table S6'!$A:$AI,19,FALSE)</f>
        <v>4.806</v>
      </c>
      <c r="AB89" t="str">
        <f>VLOOKUP($I89,'[1]Table S6'!$A:$AI,20,FALSE)</f>
        <v>No</v>
      </c>
      <c r="AD89">
        <f>VLOOKUP($I89,'[1]Table S6'!$A:$AI,22,FALSE)</f>
        <v>350</v>
      </c>
      <c r="AE89">
        <f>VLOOKUP($I89,'[1]Table S6'!$A:$AI,23,FALSE)</f>
        <v>0.74483932751649296</v>
      </c>
      <c r="AF89">
        <f>VLOOKUP($I89,'[1]Table S6'!$A:$AI,24,FALSE)</f>
        <v>5.8979999999999997</v>
      </c>
      <c r="AG89" t="str">
        <f>VLOOKUP($I89,'[1]Table S6'!$A:$AI,25,FALSE)</f>
        <v>No</v>
      </c>
      <c r="AI89">
        <f>VLOOKUP($I89,'[1]Table S6'!$A:$AI,27,FALSE)</f>
        <v>427.5</v>
      </c>
      <c r="AJ89">
        <f>VLOOKUP($I89,'[1]Table S6'!$A:$AI,28,FALSE)</f>
        <v>0.90976803575228804</v>
      </c>
      <c r="AK89">
        <f>VLOOKUP($I89,'[1]Table S6'!$A:$AI,29,FALSE)</f>
        <v>137.6</v>
      </c>
      <c r="AL89" t="str">
        <f>VLOOKUP($I89,'[1]Table S6'!$A:$AI,30,FALSE)</f>
        <v>No</v>
      </c>
      <c r="AN89">
        <f>VLOOKUP($I89,'[1]Table S6'!$A:$AI,32,FALSE)</f>
        <v>434.5</v>
      </c>
      <c r="AO89">
        <f>VLOOKUP($I89,'[1]Table S6'!$A:$AI,33,FALSE)</f>
        <v>0.92466482230261804</v>
      </c>
      <c r="AP89">
        <f>VLOOKUP($I89,'[1]Table S6'!$A:$AI,34,FALSE)</f>
        <v>183.1</v>
      </c>
      <c r="AQ89" t="str">
        <f>VLOOKUP($I89,'[1]Table S6'!$A:$AI,35,FALSE)</f>
        <v>No</v>
      </c>
      <c r="AS89" t="str">
        <f>VLOOKUP($H89,'[2]Table S5'!$A:$K,8,FALSE)</f>
        <v>Resistant</v>
      </c>
      <c r="AT89" t="str">
        <f>VLOOKUP($H89,'[2]Table S5'!$A:$K,9,FALSE)</f>
        <v>Sensitive</v>
      </c>
      <c r="AU89" t="str">
        <f>VLOOKUP($H89,'[2]Table S5'!$A:$K,10,FALSE)</f>
        <v>Resistant</v>
      </c>
      <c r="AV89" t="str">
        <f>VLOOKUP($H89,'[2]Table S5'!$A:$K,11,FALSE)</f>
        <v>Resistant</v>
      </c>
    </row>
    <row r="90" spans="1:48">
      <c r="A90" t="s">
        <v>677</v>
      </c>
      <c r="B90" t="s">
        <v>678</v>
      </c>
      <c r="C90" t="s">
        <v>17</v>
      </c>
      <c r="D90" t="s">
        <v>680</v>
      </c>
      <c r="E90" t="s">
        <v>681</v>
      </c>
      <c r="F90" t="s">
        <v>682</v>
      </c>
      <c r="G90" t="s">
        <v>4757</v>
      </c>
      <c r="H90" t="s">
        <v>637</v>
      </c>
      <c r="I90" t="s">
        <v>637</v>
      </c>
      <c r="J90" t="e">
        <f>VLOOKUP($I90,'[1]Table S6'!$A:$AI,2,FALSE)</f>
        <v>#N/A</v>
      </c>
      <c r="K90" t="e">
        <f>VLOOKUP($I90,'[1]Table S6'!$A:$AI,3,FALSE)</f>
        <v>#N/A</v>
      </c>
      <c r="L90" t="e">
        <f>VLOOKUP($I90,'[1]Table S6'!$A:$AI,4,FALSE)</f>
        <v>#N/A</v>
      </c>
      <c r="M90" t="e">
        <f>VLOOKUP($I90,'[1]Table S6'!$A:$AI,5,FALSE)</f>
        <v>#N/A</v>
      </c>
      <c r="O90" t="e">
        <f>VLOOKUP($I90,'[1]Table S6'!$A:$AI,7,FALSE)</f>
        <v>#N/A</v>
      </c>
      <c r="P90" t="e">
        <f>VLOOKUP($I90,'[1]Table S6'!$A:$AI,8,FALSE)</f>
        <v>#N/A</v>
      </c>
      <c r="Q90" t="e">
        <f>VLOOKUP($I90,'[1]Table S6'!$A:$AI,9,FALSE)</f>
        <v>#N/A</v>
      </c>
      <c r="R90" t="e">
        <f>VLOOKUP($I90,'[1]Table S6'!$A:$AI,10,FALSE)</f>
        <v>#N/A</v>
      </c>
      <c r="T90" t="e">
        <f>VLOOKUP($I90,'[1]Table S6'!$A:$AI,12,FALSE)</f>
        <v>#N/A</v>
      </c>
      <c r="U90" t="e">
        <f>VLOOKUP($I90,'[1]Table S6'!$A:$AI,13,FALSE)</f>
        <v>#N/A</v>
      </c>
      <c r="V90" t="e">
        <f>VLOOKUP($I90,'[1]Table S6'!$A:$AI,14,FALSE)</f>
        <v>#N/A</v>
      </c>
      <c r="W90" t="e">
        <f>VLOOKUP($I90,'[1]Table S6'!$A:$AI,15,FALSE)</f>
        <v>#N/A</v>
      </c>
      <c r="Y90" t="e">
        <f>VLOOKUP($I90,'[1]Table S6'!$A:$AI,17,FALSE)</f>
        <v>#N/A</v>
      </c>
      <c r="Z90" t="e">
        <f>VLOOKUP($I90,'[1]Table S6'!$A:$AI,18,FALSE)</f>
        <v>#N/A</v>
      </c>
      <c r="AA90" t="e">
        <f>VLOOKUP($I90,'[1]Table S6'!$A:$AI,19,FALSE)</f>
        <v>#N/A</v>
      </c>
      <c r="AB90" t="e">
        <f>VLOOKUP($I90,'[1]Table S6'!$A:$AI,20,FALSE)</f>
        <v>#N/A</v>
      </c>
      <c r="AD90" t="e">
        <f>VLOOKUP($I90,'[1]Table S6'!$A:$AI,22,FALSE)</f>
        <v>#N/A</v>
      </c>
      <c r="AE90" t="e">
        <f>VLOOKUP($I90,'[1]Table S6'!$A:$AI,23,FALSE)</f>
        <v>#N/A</v>
      </c>
      <c r="AF90" t="e">
        <f>VLOOKUP($I90,'[1]Table S6'!$A:$AI,24,FALSE)</f>
        <v>#N/A</v>
      </c>
      <c r="AG90" t="e">
        <f>VLOOKUP($I90,'[1]Table S6'!$A:$AI,25,FALSE)</f>
        <v>#N/A</v>
      </c>
      <c r="AI90" t="e">
        <f>VLOOKUP($I90,'[1]Table S6'!$A:$AI,27,FALSE)</f>
        <v>#N/A</v>
      </c>
      <c r="AJ90" t="e">
        <f>VLOOKUP($I90,'[1]Table S6'!$A:$AI,28,FALSE)</f>
        <v>#N/A</v>
      </c>
      <c r="AK90" t="e">
        <f>VLOOKUP($I90,'[1]Table S6'!$A:$AI,29,FALSE)</f>
        <v>#N/A</v>
      </c>
      <c r="AL90" t="e">
        <f>VLOOKUP($I90,'[1]Table S6'!$A:$AI,30,FALSE)</f>
        <v>#N/A</v>
      </c>
      <c r="AN90" t="e">
        <f>VLOOKUP($I90,'[1]Table S6'!$A:$AI,32,FALSE)</f>
        <v>#N/A</v>
      </c>
      <c r="AO90" t="e">
        <f>VLOOKUP($I90,'[1]Table S6'!$A:$AI,33,FALSE)</f>
        <v>#N/A</v>
      </c>
      <c r="AP90" t="e">
        <f>VLOOKUP($I90,'[1]Table S6'!$A:$AI,34,FALSE)</f>
        <v>#N/A</v>
      </c>
      <c r="AQ90" t="e">
        <f>VLOOKUP($I90,'[1]Table S6'!$A:$AI,35,FALSE)</f>
        <v>#N/A</v>
      </c>
      <c r="AS90" t="str">
        <f>VLOOKUP($H90,'[2]Table S5'!$A:$K,8,FALSE)</f>
        <v>Resistant</v>
      </c>
      <c r="AT90" t="str">
        <f>VLOOKUP($H90,'[2]Table S5'!$A:$K,9,FALSE)</f>
        <v>Sensitive</v>
      </c>
      <c r="AU90" t="str">
        <f>VLOOKUP($H90,'[2]Table S5'!$A:$K,10,FALSE)</f>
        <v>Resistant</v>
      </c>
      <c r="AV90" t="str">
        <f>VLOOKUP($H90,'[2]Table S5'!$A:$K,11,FALSE)</f>
        <v>Resistant</v>
      </c>
    </row>
    <row r="91" spans="1:48">
      <c r="A91" t="s">
        <v>684</v>
      </c>
      <c r="B91" t="s">
        <v>685</v>
      </c>
      <c r="C91" t="s">
        <v>17</v>
      </c>
      <c r="D91" t="s">
        <v>687</v>
      </c>
      <c r="E91" t="s">
        <v>688</v>
      </c>
      <c r="F91" t="s">
        <v>689</v>
      </c>
      <c r="G91" t="s">
        <v>4750</v>
      </c>
      <c r="H91" t="s">
        <v>690</v>
      </c>
      <c r="I91" t="s">
        <v>691</v>
      </c>
      <c r="J91">
        <f>VLOOKUP($I91,'[1]Table S6'!$A:$AI,2,FALSE)</f>
        <v>354.3</v>
      </c>
      <c r="K91">
        <f>VLOOKUP($I91,'[1]Table S6'!$A:$AI,3,FALSE)</f>
        <v>0.753990210683124</v>
      </c>
      <c r="L91">
        <f>VLOOKUP($I91,'[1]Table S6'!$A:$AI,4,FALSE)</f>
        <v>5.1449999999999996</v>
      </c>
      <c r="M91" t="str">
        <f>VLOOKUP($I91,'[1]Table S6'!$A:$AI,5,FALSE)</f>
        <v>No</v>
      </c>
      <c r="O91">
        <f>VLOOKUP($I91,'[1]Table S6'!$A:$AI,7,FALSE)</f>
        <v>388.2</v>
      </c>
      <c r="P91">
        <f>VLOOKUP($I91,'[1]Table S6'!$A:$AI,8,FALSE)</f>
        <v>0.826133219834007</v>
      </c>
      <c r="Q91">
        <f>VLOOKUP($I91,'[1]Table S6'!$A:$AI,9,FALSE)</f>
        <v>19.760000000000002</v>
      </c>
      <c r="R91" t="str">
        <f>VLOOKUP($I91,'[1]Table S6'!$A:$AI,10,FALSE)</f>
        <v>No</v>
      </c>
      <c r="T91">
        <f>VLOOKUP($I91,'[1]Table S6'!$A:$AI,12,FALSE)</f>
        <v>367.7</v>
      </c>
      <c r="U91">
        <f>VLOOKUP($I91,'[1]Table S6'!$A:$AI,13,FALSE)</f>
        <v>0.78250691636518399</v>
      </c>
      <c r="V91">
        <f>VLOOKUP($I91,'[1]Table S6'!$A:$AI,14,FALSE)</f>
        <v>8.6910000000000007</v>
      </c>
      <c r="W91" t="str">
        <f>VLOOKUP($I91,'[1]Table S6'!$A:$AI,15,FALSE)</f>
        <v>No</v>
      </c>
      <c r="Y91">
        <f>VLOOKUP($I91,'[1]Table S6'!$A:$AI,17,FALSE)</f>
        <v>381.3</v>
      </c>
      <c r="Z91">
        <f>VLOOKUP($I91,'[1]Table S6'!$A:$AI,18,FALSE)</f>
        <v>0.81144924452011102</v>
      </c>
      <c r="AA91">
        <f>VLOOKUP($I91,'[1]Table S6'!$A:$AI,19,FALSE)</f>
        <v>13.22</v>
      </c>
      <c r="AB91" t="str">
        <f>VLOOKUP($I91,'[1]Table S6'!$A:$AI,20,FALSE)</f>
        <v>No</v>
      </c>
      <c r="AD91">
        <f>VLOOKUP($I91,'[1]Table S6'!$A:$AI,22,FALSE)</f>
        <v>337.6</v>
      </c>
      <c r="AE91">
        <f>VLOOKUP($I91,'[1]Table S6'!$A:$AI,23,FALSE)</f>
        <v>0.71845073419876604</v>
      </c>
      <c r="AF91">
        <f>VLOOKUP($I91,'[1]Table S6'!$A:$AI,24,FALSE)</f>
        <v>3.58</v>
      </c>
      <c r="AG91" t="str">
        <f>VLOOKUP($I91,'[1]Table S6'!$A:$AI,25,FALSE)</f>
        <v>No</v>
      </c>
      <c r="AI91">
        <f>VLOOKUP($I91,'[1]Table S6'!$A:$AI,27,FALSE)</f>
        <v>447.5</v>
      </c>
      <c r="AJ91">
        <f>VLOOKUP($I91,'[1]Table S6'!$A:$AI,28,FALSE)</f>
        <v>0.95233028303894496</v>
      </c>
      <c r="AK91">
        <f>VLOOKUP($I91,'[1]Table S6'!$A:$AI,29,FALSE)</f>
        <v>212.9</v>
      </c>
      <c r="AL91" t="str">
        <f>VLOOKUP($I91,'[1]Table S6'!$A:$AI,30,FALSE)</f>
        <v>No</v>
      </c>
      <c r="AN91">
        <f>VLOOKUP($I91,'[1]Table S6'!$A:$AI,32,FALSE)</f>
        <v>444.3</v>
      </c>
      <c r="AO91">
        <f>VLOOKUP($I91,'[1]Table S6'!$A:$AI,33,FALSE)</f>
        <v>0.94552032347307902</v>
      </c>
      <c r="AP91">
        <f>VLOOKUP($I91,'[1]Table S6'!$A:$AI,34,FALSE)</f>
        <v>128</v>
      </c>
      <c r="AQ91" t="str">
        <f>VLOOKUP($I91,'[1]Table S6'!$A:$AI,35,FALSE)</f>
        <v>No</v>
      </c>
      <c r="AS91" t="str">
        <f>VLOOKUP($H91,'[2]Table S5'!$A:$K,8,FALSE)</f>
        <v>Resistant</v>
      </c>
      <c r="AT91" t="str">
        <f>VLOOKUP($H91,'[2]Table S5'!$A:$K,9,FALSE)</f>
        <v>Resistant</v>
      </c>
      <c r="AU91" t="str">
        <f>VLOOKUP($H91,'[2]Table S5'!$A:$K,10,FALSE)</f>
        <v>Resistant</v>
      </c>
      <c r="AV91" t="str">
        <f>VLOOKUP($H91,'[2]Table S5'!$A:$K,11,FALSE)</f>
        <v>Resistant</v>
      </c>
    </row>
    <row r="92" spans="1:48">
      <c r="A92" t="s">
        <v>693</v>
      </c>
      <c r="B92" t="s">
        <v>694</v>
      </c>
      <c r="C92" t="s">
        <v>17</v>
      </c>
      <c r="D92" t="s">
        <v>696</v>
      </c>
      <c r="E92" t="s">
        <v>697</v>
      </c>
      <c r="F92" t="s">
        <v>698</v>
      </c>
      <c r="G92" t="s">
        <v>4750</v>
      </c>
      <c r="H92" t="s">
        <v>690</v>
      </c>
      <c r="I92" t="s">
        <v>699</v>
      </c>
      <c r="J92">
        <f>VLOOKUP($I92,'[1]Table S6'!$A:$AI,2,FALSE)</f>
        <v>373.7</v>
      </c>
      <c r="K92">
        <f>VLOOKUP($I92,'[1]Table S6'!$A:$AI,3,FALSE)</f>
        <v>0.79527559055118102</v>
      </c>
      <c r="L92">
        <f>VLOOKUP($I92,'[1]Table S6'!$A:$AI,4,FALSE)</f>
        <v>9.016</v>
      </c>
      <c r="M92" t="str">
        <f>VLOOKUP($I92,'[1]Table S6'!$A:$AI,5,FALSE)</f>
        <v>No</v>
      </c>
      <c r="O92">
        <f>VLOOKUP($I92,'[1]Table S6'!$A:$AI,7,FALSE)</f>
        <v>388.9</v>
      </c>
      <c r="P92">
        <f>VLOOKUP($I92,'[1]Table S6'!$A:$AI,8,FALSE)</f>
        <v>0.82762289848904003</v>
      </c>
      <c r="Q92">
        <f>VLOOKUP($I92,'[1]Table S6'!$A:$AI,9,FALSE)</f>
        <v>18.649999999999999</v>
      </c>
      <c r="R92" t="str">
        <f>VLOOKUP($I92,'[1]Table S6'!$A:$AI,10,FALSE)</f>
        <v>No</v>
      </c>
      <c r="T92">
        <f>VLOOKUP($I92,'[1]Table S6'!$A:$AI,12,FALSE)</f>
        <v>354.4</v>
      </c>
      <c r="U92">
        <f>VLOOKUP($I92,'[1]Table S6'!$A:$AI,13,FALSE)</f>
        <v>0.75420302191955702</v>
      </c>
      <c r="V92">
        <f>VLOOKUP($I92,'[1]Table S6'!$A:$AI,14,FALSE)</f>
        <v>4.5129999999999999</v>
      </c>
      <c r="W92" t="str">
        <f>VLOOKUP($I92,'[1]Table S6'!$A:$AI,15,FALSE)</f>
        <v>No</v>
      </c>
      <c r="Y92">
        <f>VLOOKUP($I92,'[1]Table S6'!$A:$AI,17,FALSE)</f>
        <v>344</v>
      </c>
      <c r="Z92">
        <f>VLOOKUP($I92,'[1]Table S6'!$A:$AI,18,FALSE)</f>
        <v>0.73207065333049604</v>
      </c>
      <c r="AA92">
        <f>VLOOKUP($I92,'[1]Table S6'!$A:$AI,19,FALSE)</f>
        <v>3.6219999999999999</v>
      </c>
      <c r="AB92" t="str">
        <f>VLOOKUP($I92,'[1]Table S6'!$A:$AI,20,FALSE)</f>
        <v>No</v>
      </c>
      <c r="AD92">
        <f>VLOOKUP($I92,'[1]Table S6'!$A:$AI,22,FALSE)</f>
        <v>330</v>
      </c>
      <c r="AE92">
        <f>VLOOKUP($I92,'[1]Table S6'!$A:$AI,23,FALSE)</f>
        <v>0.70227708022983604</v>
      </c>
      <c r="AF92">
        <f>VLOOKUP($I92,'[1]Table S6'!$A:$AI,24,FALSE)</f>
        <v>2.4089999999999998</v>
      </c>
      <c r="AG92" t="str">
        <f>VLOOKUP($I92,'[1]Table S6'!$A:$AI,25,FALSE)</f>
        <v>No</v>
      </c>
      <c r="AI92">
        <f>VLOOKUP($I92,'[1]Table S6'!$A:$AI,27,FALSE)</f>
        <v>454.7</v>
      </c>
      <c r="AJ92">
        <f>VLOOKUP($I92,'[1]Table S6'!$A:$AI,28,FALSE)</f>
        <v>0.967652692062141</v>
      </c>
      <c r="AK92">
        <f>VLOOKUP($I92,'[1]Table S6'!$A:$AI,29,FALSE)</f>
        <v>239.2</v>
      </c>
      <c r="AL92" t="str">
        <f>VLOOKUP($I92,'[1]Table S6'!$A:$AI,30,FALSE)</f>
        <v>No</v>
      </c>
      <c r="AN92">
        <f>VLOOKUP($I92,'[1]Table S6'!$A:$AI,32,FALSE)</f>
        <v>434.5</v>
      </c>
      <c r="AO92">
        <f>VLOOKUP($I92,'[1]Table S6'!$A:$AI,33,FALSE)</f>
        <v>0.92466482230261804</v>
      </c>
      <c r="AP92">
        <f>VLOOKUP($I92,'[1]Table S6'!$A:$AI,34,FALSE)</f>
        <v>128.19999999999999</v>
      </c>
      <c r="AQ92" t="str">
        <f>VLOOKUP($I92,'[1]Table S6'!$A:$AI,35,FALSE)</f>
        <v>No</v>
      </c>
      <c r="AS92" t="str">
        <f>VLOOKUP($H92,'[2]Table S5'!$A:$K,8,FALSE)</f>
        <v>Resistant</v>
      </c>
      <c r="AT92" t="str">
        <f>VLOOKUP($H92,'[2]Table S5'!$A:$K,9,FALSE)</f>
        <v>Resistant</v>
      </c>
      <c r="AU92" t="str">
        <f>VLOOKUP($H92,'[2]Table S5'!$A:$K,10,FALSE)</f>
        <v>Resistant</v>
      </c>
      <c r="AV92" t="str">
        <f>VLOOKUP($H92,'[2]Table S5'!$A:$K,11,FALSE)</f>
        <v>Resistant</v>
      </c>
    </row>
    <row r="93" spans="1:48">
      <c r="A93" t="s">
        <v>701</v>
      </c>
      <c r="B93" t="s">
        <v>702</v>
      </c>
      <c r="C93" t="s">
        <v>17</v>
      </c>
      <c r="D93" t="s">
        <v>704</v>
      </c>
      <c r="E93" t="s">
        <v>705</v>
      </c>
      <c r="F93" t="s">
        <v>706</v>
      </c>
      <c r="G93" t="s">
        <v>4750</v>
      </c>
      <c r="H93" t="s">
        <v>690</v>
      </c>
      <c r="I93" t="s">
        <v>707</v>
      </c>
      <c r="J93">
        <f>VLOOKUP($I93,'[1]Table S6'!$A:$AI,2,FALSE)</f>
        <v>282.3</v>
      </c>
      <c r="K93">
        <f>VLOOKUP($I93,'[1]Table S6'!$A:$AI,3,FALSE)</f>
        <v>0.60076612045115996</v>
      </c>
      <c r="L93">
        <f>VLOOKUP($I93,'[1]Table S6'!$A:$AI,4,FALSE)</f>
        <v>0.92430000000000001</v>
      </c>
      <c r="M93" t="str">
        <f>VLOOKUP($I93,'[1]Table S6'!$A:$AI,5,FALSE)</f>
        <v>Yes</v>
      </c>
      <c r="O93">
        <f>VLOOKUP($I93,'[1]Table S6'!$A:$AI,7,FALSE)</f>
        <v>392.4</v>
      </c>
      <c r="P93">
        <f>VLOOKUP($I93,'[1]Table S6'!$A:$AI,8,FALSE)</f>
        <v>0.83507129176420503</v>
      </c>
      <c r="Q93">
        <f>VLOOKUP($I93,'[1]Table S6'!$A:$AI,9,FALSE)</f>
        <v>19.53</v>
      </c>
      <c r="R93" t="str">
        <f>VLOOKUP($I93,'[1]Table S6'!$A:$AI,10,FALSE)</f>
        <v>No</v>
      </c>
      <c r="T93">
        <f>VLOOKUP($I93,'[1]Table S6'!$A:$AI,12,FALSE)</f>
        <v>303.89999999999998</v>
      </c>
      <c r="U93">
        <f>VLOOKUP($I93,'[1]Table S6'!$A:$AI,13,FALSE)</f>
        <v>0.64673334752074896</v>
      </c>
      <c r="V93">
        <f>VLOOKUP($I93,'[1]Table S6'!$A:$AI,14,FALSE)</f>
        <v>1.4650000000000001</v>
      </c>
      <c r="W93" t="str">
        <f>VLOOKUP($I93,'[1]Table S6'!$A:$AI,15,FALSE)</f>
        <v>Yes</v>
      </c>
      <c r="Y93">
        <f>VLOOKUP($I93,'[1]Table S6'!$A:$AI,17,FALSE)</f>
        <v>306.89999999999998</v>
      </c>
      <c r="Z93">
        <f>VLOOKUP($I93,'[1]Table S6'!$A:$AI,18,FALSE)</f>
        <v>0.65311768461374797</v>
      </c>
      <c r="AA93">
        <f>VLOOKUP($I93,'[1]Table S6'!$A:$AI,19,FALSE)</f>
        <v>1.405</v>
      </c>
      <c r="AB93" t="str">
        <f>VLOOKUP($I93,'[1]Table S6'!$A:$AI,20,FALSE)</f>
        <v>Yes</v>
      </c>
      <c r="AD93">
        <f>VLOOKUP($I93,'[1]Table S6'!$A:$AI,22,FALSE)</f>
        <v>384.1</v>
      </c>
      <c r="AE93">
        <f>VLOOKUP($I93,'[1]Table S6'!$A:$AI,23,FALSE)</f>
        <v>0.817407959140243</v>
      </c>
      <c r="AF93">
        <f>VLOOKUP($I93,'[1]Table S6'!$A:$AI,24,FALSE)</f>
        <v>14.57</v>
      </c>
      <c r="AG93" t="str">
        <f>VLOOKUP($I93,'[1]Table S6'!$A:$AI,25,FALSE)</f>
        <v>No</v>
      </c>
      <c r="AI93">
        <f>VLOOKUP($I93,'[1]Table S6'!$A:$AI,27,FALSE)</f>
        <v>405.4</v>
      </c>
      <c r="AJ93">
        <f>VLOOKUP($I93,'[1]Table S6'!$A:$AI,28,FALSE)</f>
        <v>0.86273675250053194</v>
      </c>
      <c r="AK93">
        <f>VLOOKUP($I93,'[1]Table S6'!$A:$AI,29,FALSE)</f>
        <v>43.37</v>
      </c>
      <c r="AL93" t="str">
        <f>VLOOKUP($I93,'[1]Table S6'!$A:$AI,30,FALSE)</f>
        <v>No</v>
      </c>
      <c r="AN93">
        <f>VLOOKUP($I93,'[1]Table S6'!$A:$AI,32,FALSE)</f>
        <v>430.1</v>
      </c>
      <c r="AO93">
        <f>VLOOKUP($I93,'[1]Table S6'!$A:$AI,33,FALSE)</f>
        <v>0.91530112789955298</v>
      </c>
      <c r="AP93">
        <f>VLOOKUP($I93,'[1]Table S6'!$A:$AI,34,FALSE)</f>
        <v>63.65</v>
      </c>
      <c r="AQ93" t="str">
        <f>VLOOKUP($I93,'[1]Table S6'!$A:$AI,35,FALSE)</f>
        <v>No</v>
      </c>
      <c r="AS93" t="str">
        <f>VLOOKUP($H93,'[2]Table S5'!$A:$K,8,FALSE)</f>
        <v>Resistant</v>
      </c>
      <c r="AT93" t="str">
        <f>VLOOKUP($H93,'[2]Table S5'!$A:$K,9,FALSE)</f>
        <v>Resistant</v>
      </c>
      <c r="AU93" t="str">
        <f>VLOOKUP($H93,'[2]Table S5'!$A:$K,10,FALSE)</f>
        <v>Resistant</v>
      </c>
      <c r="AV93" t="str">
        <f>VLOOKUP($H93,'[2]Table S5'!$A:$K,11,FALSE)</f>
        <v>Resistant</v>
      </c>
    </row>
    <row r="94" spans="1:48">
      <c r="A94" t="s">
        <v>709</v>
      </c>
      <c r="B94" t="s">
        <v>710</v>
      </c>
      <c r="C94" t="s">
        <v>17</v>
      </c>
      <c r="D94" t="s">
        <v>712</v>
      </c>
      <c r="E94" t="s">
        <v>713</v>
      </c>
      <c r="F94" t="s">
        <v>714</v>
      </c>
      <c r="G94" t="s">
        <v>4750</v>
      </c>
      <c r="H94" t="s">
        <v>690</v>
      </c>
      <c r="I94" t="s">
        <v>715</v>
      </c>
      <c r="J94">
        <f>VLOOKUP($I94,'[1]Table S6'!$A:$AI,2,FALSE)</f>
        <v>295.3</v>
      </c>
      <c r="K94">
        <f>VLOOKUP($I94,'[1]Table S6'!$A:$AI,3,FALSE)</f>
        <v>0.62843158118748699</v>
      </c>
      <c r="L94">
        <f>VLOOKUP($I94,'[1]Table S6'!$A:$AI,4,FALSE)</f>
        <v>1.177</v>
      </c>
      <c r="M94" t="str">
        <f>VLOOKUP($I94,'[1]Table S6'!$A:$AI,5,FALSE)</f>
        <v>Yes</v>
      </c>
      <c r="O94">
        <f>VLOOKUP($I94,'[1]Table S6'!$A:$AI,7,FALSE)</f>
        <v>303.7</v>
      </c>
      <c r="P94">
        <f>VLOOKUP($I94,'[1]Table S6'!$A:$AI,8,FALSE)</f>
        <v>0.64630772504788303</v>
      </c>
      <c r="Q94">
        <f>VLOOKUP($I94,'[1]Table S6'!$A:$AI,9,FALSE)</f>
        <v>1.5740000000000001</v>
      </c>
      <c r="R94" t="str">
        <f>VLOOKUP($I94,'[1]Table S6'!$A:$AI,10,FALSE)</f>
        <v>Yes</v>
      </c>
      <c r="T94">
        <f>VLOOKUP($I94,'[1]Table S6'!$A:$AI,12,FALSE)</f>
        <v>277.89999999999998</v>
      </c>
      <c r="U94">
        <f>VLOOKUP($I94,'[1]Table S6'!$A:$AI,13,FALSE)</f>
        <v>0.59140242604809501</v>
      </c>
      <c r="V94">
        <f>VLOOKUP($I94,'[1]Table S6'!$A:$AI,14,FALSE)</f>
        <v>0.89290000000000003</v>
      </c>
      <c r="W94" t="str">
        <f>VLOOKUP($I94,'[1]Table S6'!$A:$AI,15,FALSE)</f>
        <v>Yes</v>
      </c>
      <c r="Y94">
        <f>VLOOKUP($I94,'[1]Table S6'!$A:$AI,17,FALSE)</f>
        <v>302.10000000000002</v>
      </c>
      <c r="Z94">
        <f>VLOOKUP($I94,'[1]Table S6'!$A:$AI,18,FALSE)</f>
        <v>0.64290274526494995</v>
      </c>
      <c r="AA94">
        <f>VLOOKUP($I94,'[1]Table S6'!$A:$AI,19,FALSE)</f>
        <v>1.5640000000000001</v>
      </c>
      <c r="AB94" t="str">
        <f>VLOOKUP($I94,'[1]Table S6'!$A:$AI,20,FALSE)</f>
        <v>Yes</v>
      </c>
      <c r="AD94">
        <f>VLOOKUP($I94,'[1]Table S6'!$A:$AI,22,FALSE)</f>
        <v>311.8</v>
      </c>
      <c r="AE94">
        <f>VLOOKUP($I94,'[1]Table S6'!$A:$AI,23,FALSE)</f>
        <v>0.66354543519897902</v>
      </c>
      <c r="AF94">
        <f>VLOOKUP($I94,'[1]Table S6'!$A:$AI,24,FALSE)</f>
        <v>2.1760000000000002</v>
      </c>
      <c r="AG94" t="str">
        <f>VLOOKUP($I94,'[1]Table S6'!$A:$AI,25,FALSE)</f>
        <v>Yes</v>
      </c>
      <c r="AI94">
        <f>VLOOKUP($I94,'[1]Table S6'!$A:$AI,27,FALSE)</f>
        <v>369.1</v>
      </c>
      <c r="AJ94">
        <f>VLOOKUP($I94,'[1]Table S6'!$A:$AI,28,FALSE)</f>
        <v>0.78548627367525004</v>
      </c>
      <c r="AK94">
        <f>VLOOKUP($I94,'[1]Table S6'!$A:$AI,29,FALSE)</f>
        <v>18.829999999999998</v>
      </c>
      <c r="AL94" t="str">
        <f>VLOOKUP($I94,'[1]Table S6'!$A:$AI,30,FALSE)</f>
        <v>No</v>
      </c>
      <c r="AN94">
        <f>VLOOKUP($I94,'[1]Table S6'!$A:$AI,32,FALSE)</f>
        <v>426</v>
      </c>
      <c r="AO94">
        <f>VLOOKUP($I94,'[1]Table S6'!$A:$AI,33,FALSE)</f>
        <v>0.90657586720578898</v>
      </c>
      <c r="AP94">
        <f>VLOOKUP($I94,'[1]Table S6'!$A:$AI,34,FALSE)</f>
        <v>72.63</v>
      </c>
      <c r="AQ94" t="str">
        <f>VLOOKUP($I94,'[1]Table S6'!$A:$AI,35,FALSE)</f>
        <v>No</v>
      </c>
      <c r="AS94" t="str">
        <f>VLOOKUP($H94,'[2]Table S5'!$A:$K,8,FALSE)</f>
        <v>Resistant</v>
      </c>
      <c r="AT94" t="str">
        <f>VLOOKUP($H94,'[2]Table S5'!$A:$K,9,FALSE)</f>
        <v>Resistant</v>
      </c>
      <c r="AU94" t="str">
        <f>VLOOKUP($H94,'[2]Table S5'!$A:$K,10,FALSE)</f>
        <v>Resistant</v>
      </c>
      <c r="AV94" t="str">
        <f>VLOOKUP($H94,'[2]Table S5'!$A:$K,11,FALSE)</f>
        <v>Resistant</v>
      </c>
    </row>
    <row r="95" spans="1:48">
      <c r="A95" t="s">
        <v>717</v>
      </c>
      <c r="B95" t="s">
        <v>718</v>
      </c>
      <c r="C95" t="s">
        <v>17</v>
      </c>
      <c r="D95" t="s">
        <v>720</v>
      </c>
      <c r="E95" t="s">
        <v>721</v>
      </c>
      <c r="F95" t="s">
        <v>722</v>
      </c>
      <c r="G95" t="s">
        <v>4751</v>
      </c>
      <c r="H95" t="s">
        <v>690</v>
      </c>
      <c r="I95" t="s">
        <v>691</v>
      </c>
      <c r="J95">
        <f>VLOOKUP($I95,'[1]Table S6'!$A:$AI,2,FALSE)</f>
        <v>354.3</v>
      </c>
      <c r="K95">
        <f>VLOOKUP($I95,'[1]Table S6'!$A:$AI,3,FALSE)</f>
        <v>0.753990210683124</v>
      </c>
      <c r="L95">
        <f>VLOOKUP($I95,'[1]Table S6'!$A:$AI,4,FALSE)</f>
        <v>5.1449999999999996</v>
      </c>
      <c r="M95" t="str">
        <f>VLOOKUP($I95,'[1]Table S6'!$A:$AI,5,FALSE)</f>
        <v>No</v>
      </c>
      <c r="O95">
        <f>VLOOKUP($I95,'[1]Table S6'!$A:$AI,7,FALSE)</f>
        <v>388.2</v>
      </c>
      <c r="P95">
        <f>VLOOKUP($I95,'[1]Table S6'!$A:$AI,8,FALSE)</f>
        <v>0.826133219834007</v>
      </c>
      <c r="Q95">
        <f>VLOOKUP($I95,'[1]Table S6'!$A:$AI,9,FALSE)</f>
        <v>19.760000000000002</v>
      </c>
      <c r="R95" t="str">
        <f>VLOOKUP($I95,'[1]Table S6'!$A:$AI,10,FALSE)</f>
        <v>No</v>
      </c>
      <c r="T95">
        <f>VLOOKUP($I95,'[1]Table S6'!$A:$AI,12,FALSE)</f>
        <v>367.7</v>
      </c>
      <c r="U95">
        <f>VLOOKUP($I95,'[1]Table S6'!$A:$AI,13,FALSE)</f>
        <v>0.78250691636518399</v>
      </c>
      <c r="V95">
        <f>VLOOKUP($I95,'[1]Table S6'!$A:$AI,14,FALSE)</f>
        <v>8.6910000000000007</v>
      </c>
      <c r="W95" t="str">
        <f>VLOOKUP($I95,'[1]Table S6'!$A:$AI,15,FALSE)</f>
        <v>No</v>
      </c>
      <c r="Y95">
        <f>VLOOKUP($I95,'[1]Table S6'!$A:$AI,17,FALSE)</f>
        <v>381.3</v>
      </c>
      <c r="Z95">
        <f>VLOOKUP($I95,'[1]Table S6'!$A:$AI,18,FALSE)</f>
        <v>0.81144924452011102</v>
      </c>
      <c r="AA95">
        <f>VLOOKUP($I95,'[1]Table S6'!$A:$AI,19,FALSE)</f>
        <v>13.22</v>
      </c>
      <c r="AB95" t="str">
        <f>VLOOKUP($I95,'[1]Table S6'!$A:$AI,20,FALSE)</f>
        <v>No</v>
      </c>
      <c r="AD95">
        <f>VLOOKUP($I95,'[1]Table S6'!$A:$AI,22,FALSE)</f>
        <v>337.6</v>
      </c>
      <c r="AE95">
        <f>VLOOKUP($I95,'[1]Table S6'!$A:$AI,23,FALSE)</f>
        <v>0.71845073419876604</v>
      </c>
      <c r="AF95">
        <f>VLOOKUP($I95,'[1]Table S6'!$A:$AI,24,FALSE)</f>
        <v>3.58</v>
      </c>
      <c r="AG95" t="str">
        <f>VLOOKUP($I95,'[1]Table S6'!$A:$AI,25,FALSE)</f>
        <v>No</v>
      </c>
      <c r="AI95">
        <f>VLOOKUP($I95,'[1]Table S6'!$A:$AI,27,FALSE)</f>
        <v>447.5</v>
      </c>
      <c r="AJ95">
        <f>VLOOKUP($I95,'[1]Table S6'!$A:$AI,28,FALSE)</f>
        <v>0.95233028303894496</v>
      </c>
      <c r="AK95">
        <f>VLOOKUP($I95,'[1]Table S6'!$A:$AI,29,FALSE)</f>
        <v>212.9</v>
      </c>
      <c r="AL95" t="str">
        <f>VLOOKUP($I95,'[1]Table S6'!$A:$AI,30,FALSE)</f>
        <v>No</v>
      </c>
      <c r="AN95">
        <f>VLOOKUP($I95,'[1]Table S6'!$A:$AI,32,FALSE)</f>
        <v>444.3</v>
      </c>
      <c r="AO95">
        <f>VLOOKUP($I95,'[1]Table S6'!$A:$AI,33,FALSE)</f>
        <v>0.94552032347307902</v>
      </c>
      <c r="AP95">
        <f>VLOOKUP($I95,'[1]Table S6'!$A:$AI,34,FALSE)</f>
        <v>128</v>
      </c>
      <c r="AQ95" t="str">
        <f>VLOOKUP($I95,'[1]Table S6'!$A:$AI,35,FALSE)</f>
        <v>No</v>
      </c>
      <c r="AS95" t="str">
        <f>VLOOKUP($H95,'[2]Table S5'!$A:$K,8,FALSE)</f>
        <v>Resistant</v>
      </c>
      <c r="AT95" t="str">
        <f>VLOOKUP($H95,'[2]Table S5'!$A:$K,9,FALSE)</f>
        <v>Resistant</v>
      </c>
      <c r="AU95" t="str">
        <f>VLOOKUP($H95,'[2]Table S5'!$A:$K,10,FALSE)</f>
        <v>Resistant</v>
      </c>
      <c r="AV95" t="str">
        <f>VLOOKUP($H95,'[2]Table S5'!$A:$K,11,FALSE)</f>
        <v>Resistant</v>
      </c>
    </row>
    <row r="96" spans="1:48">
      <c r="A96" t="s">
        <v>724</v>
      </c>
      <c r="B96" t="s">
        <v>725</v>
      </c>
      <c r="C96" t="s">
        <v>17</v>
      </c>
      <c r="D96" t="s">
        <v>727</v>
      </c>
      <c r="E96" t="s">
        <v>728</v>
      </c>
      <c r="F96" t="s">
        <v>729</v>
      </c>
      <c r="G96" t="s">
        <v>4751</v>
      </c>
      <c r="H96" t="s">
        <v>690</v>
      </c>
      <c r="I96" t="s">
        <v>699</v>
      </c>
      <c r="J96">
        <f>VLOOKUP($I96,'[1]Table S6'!$A:$AI,2,FALSE)</f>
        <v>373.7</v>
      </c>
      <c r="K96">
        <f>VLOOKUP($I96,'[1]Table S6'!$A:$AI,3,FALSE)</f>
        <v>0.79527559055118102</v>
      </c>
      <c r="L96">
        <f>VLOOKUP($I96,'[1]Table S6'!$A:$AI,4,FALSE)</f>
        <v>9.016</v>
      </c>
      <c r="M96" t="str">
        <f>VLOOKUP($I96,'[1]Table S6'!$A:$AI,5,FALSE)</f>
        <v>No</v>
      </c>
      <c r="O96">
        <f>VLOOKUP($I96,'[1]Table S6'!$A:$AI,7,FALSE)</f>
        <v>388.9</v>
      </c>
      <c r="P96">
        <f>VLOOKUP($I96,'[1]Table S6'!$A:$AI,8,FALSE)</f>
        <v>0.82762289848904003</v>
      </c>
      <c r="Q96">
        <f>VLOOKUP($I96,'[1]Table S6'!$A:$AI,9,FALSE)</f>
        <v>18.649999999999999</v>
      </c>
      <c r="R96" t="str">
        <f>VLOOKUP($I96,'[1]Table S6'!$A:$AI,10,FALSE)</f>
        <v>No</v>
      </c>
      <c r="T96">
        <f>VLOOKUP($I96,'[1]Table S6'!$A:$AI,12,FALSE)</f>
        <v>354.4</v>
      </c>
      <c r="U96">
        <f>VLOOKUP($I96,'[1]Table S6'!$A:$AI,13,FALSE)</f>
        <v>0.75420302191955702</v>
      </c>
      <c r="V96">
        <f>VLOOKUP($I96,'[1]Table S6'!$A:$AI,14,FALSE)</f>
        <v>4.5129999999999999</v>
      </c>
      <c r="W96" t="str">
        <f>VLOOKUP($I96,'[1]Table S6'!$A:$AI,15,FALSE)</f>
        <v>No</v>
      </c>
      <c r="Y96">
        <f>VLOOKUP($I96,'[1]Table S6'!$A:$AI,17,FALSE)</f>
        <v>344</v>
      </c>
      <c r="Z96">
        <f>VLOOKUP($I96,'[1]Table S6'!$A:$AI,18,FALSE)</f>
        <v>0.73207065333049604</v>
      </c>
      <c r="AA96">
        <f>VLOOKUP($I96,'[1]Table S6'!$A:$AI,19,FALSE)</f>
        <v>3.6219999999999999</v>
      </c>
      <c r="AB96" t="str">
        <f>VLOOKUP($I96,'[1]Table S6'!$A:$AI,20,FALSE)</f>
        <v>No</v>
      </c>
      <c r="AD96">
        <f>VLOOKUP($I96,'[1]Table S6'!$A:$AI,22,FALSE)</f>
        <v>330</v>
      </c>
      <c r="AE96">
        <f>VLOOKUP($I96,'[1]Table S6'!$A:$AI,23,FALSE)</f>
        <v>0.70227708022983604</v>
      </c>
      <c r="AF96">
        <f>VLOOKUP($I96,'[1]Table S6'!$A:$AI,24,FALSE)</f>
        <v>2.4089999999999998</v>
      </c>
      <c r="AG96" t="str">
        <f>VLOOKUP($I96,'[1]Table S6'!$A:$AI,25,FALSE)</f>
        <v>No</v>
      </c>
      <c r="AI96">
        <f>VLOOKUP($I96,'[1]Table S6'!$A:$AI,27,FALSE)</f>
        <v>454.7</v>
      </c>
      <c r="AJ96">
        <f>VLOOKUP($I96,'[1]Table S6'!$A:$AI,28,FALSE)</f>
        <v>0.967652692062141</v>
      </c>
      <c r="AK96">
        <f>VLOOKUP($I96,'[1]Table S6'!$A:$AI,29,FALSE)</f>
        <v>239.2</v>
      </c>
      <c r="AL96" t="str">
        <f>VLOOKUP($I96,'[1]Table S6'!$A:$AI,30,FALSE)</f>
        <v>No</v>
      </c>
      <c r="AN96">
        <f>VLOOKUP($I96,'[1]Table S6'!$A:$AI,32,FALSE)</f>
        <v>434.5</v>
      </c>
      <c r="AO96">
        <f>VLOOKUP($I96,'[1]Table S6'!$A:$AI,33,FALSE)</f>
        <v>0.92466482230261804</v>
      </c>
      <c r="AP96">
        <f>VLOOKUP($I96,'[1]Table S6'!$A:$AI,34,FALSE)</f>
        <v>128.19999999999999</v>
      </c>
      <c r="AQ96" t="str">
        <f>VLOOKUP($I96,'[1]Table S6'!$A:$AI,35,FALSE)</f>
        <v>No</v>
      </c>
      <c r="AS96" t="str">
        <f>VLOOKUP($H96,'[2]Table S5'!$A:$K,8,FALSE)</f>
        <v>Resistant</v>
      </c>
      <c r="AT96" t="str">
        <f>VLOOKUP($H96,'[2]Table S5'!$A:$K,9,FALSE)</f>
        <v>Resistant</v>
      </c>
      <c r="AU96" t="str">
        <f>VLOOKUP($H96,'[2]Table S5'!$A:$K,10,FALSE)</f>
        <v>Resistant</v>
      </c>
      <c r="AV96" t="str">
        <f>VLOOKUP($H96,'[2]Table S5'!$A:$K,11,FALSE)</f>
        <v>Resistant</v>
      </c>
    </row>
    <row r="97" spans="1:48">
      <c r="A97" t="s">
        <v>731</v>
      </c>
      <c r="B97" t="s">
        <v>732</v>
      </c>
      <c r="C97" t="s">
        <v>17</v>
      </c>
      <c r="D97" t="s">
        <v>734</v>
      </c>
      <c r="E97" t="s">
        <v>735</v>
      </c>
      <c r="F97" t="s">
        <v>736</v>
      </c>
      <c r="G97" t="s">
        <v>4751</v>
      </c>
      <c r="H97" t="s">
        <v>690</v>
      </c>
      <c r="I97" t="s">
        <v>707</v>
      </c>
      <c r="J97">
        <f>VLOOKUP($I97,'[1]Table S6'!$A:$AI,2,FALSE)</f>
        <v>282.3</v>
      </c>
      <c r="K97">
        <f>VLOOKUP($I97,'[1]Table S6'!$A:$AI,3,FALSE)</f>
        <v>0.60076612045115996</v>
      </c>
      <c r="L97">
        <f>VLOOKUP($I97,'[1]Table S6'!$A:$AI,4,FALSE)</f>
        <v>0.92430000000000001</v>
      </c>
      <c r="M97" t="str">
        <f>VLOOKUP($I97,'[1]Table S6'!$A:$AI,5,FALSE)</f>
        <v>Yes</v>
      </c>
      <c r="O97">
        <f>VLOOKUP($I97,'[1]Table S6'!$A:$AI,7,FALSE)</f>
        <v>392.4</v>
      </c>
      <c r="P97">
        <f>VLOOKUP($I97,'[1]Table S6'!$A:$AI,8,FALSE)</f>
        <v>0.83507129176420503</v>
      </c>
      <c r="Q97">
        <f>VLOOKUP($I97,'[1]Table S6'!$A:$AI,9,FALSE)</f>
        <v>19.53</v>
      </c>
      <c r="R97" t="str">
        <f>VLOOKUP($I97,'[1]Table S6'!$A:$AI,10,FALSE)</f>
        <v>No</v>
      </c>
      <c r="T97">
        <f>VLOOKUP($I97,'[1]Table S6'!$A:$AI,12,FALSE)</f>
        <v>303.89999999999998</v>
      </c>
      <c r="U97">
        <f>VLOOKUP($I97,'[1]Table S6'!$A:$AI,13,FALSE)</f>
        <v>0.64673334752074896</v>
      </c>
      <c r="V97">
        <f>VLOOKUP($I97,'[1]Table S6'!$A:$AI,14,FALSE)</f>
        <v>1.4650000000000001</v>
      </c>
      <c r="W97" t="str">
        <f>VLOOKUP($I97,'[1]Table S6'!$A:$AI,15,FALSE)</f>
        <v>Yes</v>
      </c>
      <c r="Y97">
        <f>VLOOKUP($I97,'[1]Table S6'!$A:$AI,17,FALSE)</f>
        <v>306.89999999999998</v>
      </c>
      <c r="Z97">
        <f>VLOOKUP($I97,'[1]Table S6'!$A:$AI,18,FALSE)</f>
        <v>0.65311768461374797</v>
      </c>
      <c r="AA97">
        <f>VLOOKUP($I97,'[1]Table S6'!$A:$AI,19,FALSE)</f>
        <v>1.405</v>
      </c>
      <c r="AB97" t="str">
        <f>VLOOKUP($I97,'[1]Table S6'!$A:$AI,20,FALSE)</f>
        <v>Yes</v>
      </c>
      <c r="AD97">
        <f>VLOOKUP($I97,'[1]Table S6'!$A:$AI,22,FALSE)</f>
        <v>384.1</v>
      </c>
      <c r="AE97">
        <f>VLOOKUP($I97,'[1]Table S6'!$A:$AI,23,FALSE)</f>
        <v>0.817407959140243</v>
      </c>
      <c r="AF97">
        <f>VLOOKUP($I97,'[1]Table S6'!$A:$AI,24,FALSE)</f>
        <v>14.57</v>
      </c>
      <c r="AG97" t="str">
        <f>VLOOKUP($I97,'[1]Table S6'!$A:$AI,25,FALSE)</f>
        <v>No</v>
      </c>
      <c r="AI97">
        <f>VLOOKUP($I97,'[1]Table S6'!$A:$AI,27,FALSE)</f>
        <v>405.4</v>
      </c>
      <c r="AJ97">
        <f>VLOOKUP($I97,'[1]Table S6'!$A:$AI,28,FALSE)</f>
        <v>0.86273675250053194</v>
      </c>
      <c r="AK97">
        <f>VLOOKUP($I97,'[1]Table S6'!$A:$AI,29,FALSE)</f>
        <v>43.37</v>
      </c>
      <c r="AL97" t="str">
        <f>VLOOKUP($I97,'[1]Table S6'!$A:$AI,30,FALSE)</f>
        <v>No</v>
      </c>
      <c r="AN97">
        <f>VLOOKUP($I97,'[1]Table S6'!$A:$AI,32,FALSE)</f>
        <v>430.1</v>
      </c>
      <c r="AO97">
        <f>VLOOKUP($I97,'[1]Table S6'!$A:$AI,33,FALSE)</f>
        <v>0.91530112789955298</v>
      </c>
      <c r="AP97">
        <f>VLOOKUP($I97,'[1]Table S6'!$A:$AI,34,FALSE)</f>
        <v>63.65</v>
      </c>
      <c r="AQ97" t="str">
        <f>VLOOKUP($I97,'[1]Table S6'!$A:$AI,35,FALSE)</f>
        <v>No</v>
      </c>
      <c r="AS97" t="str">
        <f>VLOOKUP($H97,'[2]Table S5'!$A:$K,8,FALSE)</f>
        <v>Resistant</v>
      </c>
      <c r="AT97" t="str">
        <f>VLOOKUP($H97,'[2]Table S5'!$A:$K,9,FALSE)</f>
        <v>Resistant</v>
      </c>
      <c r="AU97" t="str">
        <f>VLOOKUP($H97,'[2]Table S5'!$A:$K,10,FALSE)</f>
        <v>Resistant</v>
      </c>
      <c r="AV97" t="str">
        <f>VLOOKUP($H97,'[2]Table S5'!$A:$K,11,FALSE)</f>
        <v>Resistant</v>
      </c>
    </row>
    <row r="98" spans="1:48">
      <c r="A98" t="s">
        <v>738</v>
      </c>
      <c r="B98" t="s">
        <v>739</v>
      </c>
      <c r="C98" t="s">
        <v>17</v>
      </c>
      <c r="D98" t="s">
        <v>741</v>
      </c>
      <c r="E98" t="s">
        <v>742</v>
      </c>
      <c r="F98" t="s">
        <v>743</v>
      </c>
      <c r="G98" t="s">
        <v>4751</v>
      </c>
      <c r="H98" t="s">
        <v>690</v>
      </c>
      <c r="I98" t="s">
        <v>715</v>
      </c>
      <c r="J98">
        <f>VLOOKUP($I98,'[1]Table S6'!$A:$AI,2,FALSE)</f>
        <v>295.3</v>
      </c>
      <c r="K98">
        <f>VLOOKUP($I98,'[1]Table S6'!$A:$AI,3,FALSE)</f>
        <v>0.62843158118748699</v>
      </c>
      <c r="L98">
        <f>VLOOKUP($I98,'[1]Table S6'!$A:$AI,4,FALSE)</f>
        <v>1.177</v>
      </c>
      <c r="M98" t="str">
        <f>VLOOKUP($I98,'[1]Table S6'!$A:$AI,5,FALSE)</f>
        <v>Yes</v>
      </c>
      <c r="O98">
        <f>VLOOKUP($I98,'[1]Table S6'!$A:$AI,7,FALSE)</f>
        <v>303.7</v>
      </c>
      <c r="P98">
        <f>VLOOKUP($I98,'[1]Table S6'!$A:$AI,8,FALSE)</f>
        <v>0.64630772504788303</v>
      </c>
      <c r="Q98">
        <f>VLOOKUP($I98,'[1]Table S6'!$A:$AI,9,FALSE)</f>
        <v>1.5740000000000001</v>
      </c>
      <c r="R98" t="str">
        <f>VLOOKUP($I98,'[1]Table S6'!$A:$AI,10,FALSE)</f>
        <v>Yes</v>
      </c>
      <c r="T98">
        <f>VLOOKUP($I98,'[1]Table S6'!$A:$AI,12,FALSE)</f>
        <v>277.89999999999998</v>
      </c>
      <c r="U98">
        <f>VLOOKUP($I98,'[1]Table S6'!$A:$AI,13,FALSE)</f>
        <v>0.59140242604809501</v>
      </c>
      <c r="V98">
        <f>VLOOKUP($I98,'[1]Table S6'!$A:$AI,14,FALSE)</f>
        <v>0.89290000000000003</v>
      </c>
      <c r="W98" t="str">
        <f>VLOOKUP($I98,'[1]Table S6'!$A:$AI,15,FALSE)</f>
        <v>Yes</v>
      </c>
      <c r="Y98">
        <f>VLOOKUP($I98,'[1]Table S6'!$A:$AI,17,FALSE)</f>
        <v>302.10000000000002</v>
      </c>
      <c r="Z98">
        <f>VLOOKUP($I98,'[1]Table S6'!$A:$AI,18,FALSE)</f>
        <v>0.64290274526494995</v>
      </c>
      <c r="AA98">
        <f>VLOOKUP($I98,'[1]Table S6'!$A:$AI,19,FALSE)</f>
        <v>1.5640000000000001</v>
      </c>
      <c r="AB98" t="str">
        <f>VLOOKUP($I98,'[1]Table S6'!$A:$AI,20,FALSE)</f>
        <v>Yes</v>
      </c>
      <c r="AD98">
        <f>VLOOKUP($I98,'[1]Table S6'!$A:$AI,22,FALSE)</f>
        <v>311.8</v>
      </c>
      <c r="AE98">
        <f>VLOOKUP($I98,'[1]Table S6'!$A:$AI,23,FALSE)</f>
        <v>0.66354543519897902</v>
      </c>
      <c r="AF98">
        <f>VLOOKUP($I98,'[1]Table S6'!$A:$AI,24,FALSE)</f>
        <v>2.1760000000000002</v>
      </c>
      <c r="AG98" t="str">
        <f>VLOOKUP($I98,'[1]Table S6'!$A:$AI,25,FALSE)</f>
        <v>Yes</v>
      </c>
      <c r="AI98">
        <f>VLOOKUP($I98,'[1]Table S6'!$A:$AI,27,FALSE)</f>
        <v>369.1</v>
      </c>
      <c r="AJ98">
        <f>VLOOKUP($I98,'[1]Table S6'!$A:$AI,28,FALSE)</f>
        <v>0.78548627367525004</v>
      </c>
      <c r="AK98">
        <f>VLOOKUP($I98,'[1]Table S6'!$A:$AI,29,FALSE)</f>
        <v>18.829999999999998</v>
      </c>
      <c r="AL98" t="str">
        <f>VLOOKUP($I98,'[1]Table S6'!$A:$AI,30,FALSE)</f>
        <v>No</v>
      </c>
      <c r="AN98">
        <f>VLOOKUP($I98,'[1]Table S6'!$A:$AI,32,FALSE)</f>
        <v>426</v>
      </c>
      <c r="AO98">
        <f>VLOOKUP($I98,'[1]Table S6'!$A:$AI,33,FALSE)</f>
        <v>0.90657586720578898</v>
      </c>
      <c r="AP98">
        <f>VLOOKUP($I98,'[1]Table S6'!$A:$AI,34,FALSE)</f>
        <v>72.63</v>
      </c>
      <c r="AQ98" t="str">
        <f>VLOOKUP($I98,'[1]Table S6'!$A:$AI,35,FALSE)</f>
        <v>No</v>
      </c>
      <c r="AS98" t="str">
        <f>VLOOKUP($H98,'[2]Table S5'!$A:$K,8,FALSE)</f>
        <v>Resistant</v>
      </c>
      <c r="AT98" t="str">
        <f>VLOOKUP($H98,'[2]Table S5'!$A:$K,9,FALSE)</f>
        <v>Resistant</v>
      </c>
      <c r="AU98" t="str">
        <f>VLOOKUP($H98,'[2]Table S5'!$A:$K,10,FALSE)</f>
        <v>Resistant</v>
      </c>
      <c r="AV98" t="str">
        <f>VLOOKUP($H98,'[2]Table S5'!$A:$K,11,FALSE)</f>
        <v>Resistant</v>
      </c>
    </row>
    <row r="99" spans="1:48">
      <c r="A99" t="s">
        <v>745</v>
      </c>
      <c r="B99" t="s">
        <v>746</v>
      </c>
      <c r="C99" t="s">
        <v>17</v>
      </c>
      <c r="D99" t="s">
        <v>748</v>
      </c>
      <c r="E99" t="s">
        <v>749</v>
      </c>
      <c r="F99" t="s">
        <v>750</v>
      </c>
      <c r="G99" t="s">
        <v>4757</v>
      </c>
      <c r="H99" t="s">
        <v>690</v>
      </c>
      <c r="I99" t="s">
        <v>690</v>
      </c>
      <c r="J99" t="e">
        <f>VLOOKUP($I99,'[1]Table S6'!$A:$AI,2,FALSE)</f>
        <v>#N/A</v>
      </c>
      <c r="K99" t="e">
        <f>VLOOKUP($I99,'[1]Table S6'!$A:$AI,3,FALSE)</f>
        <v>#N/A</v>
      </c>
      <c r="L99" t="e">
        <f>VLOOKUP($I99,'[1]Table S6'!$A:$AI,4,FALSE)</f>
        <v>#N/A</v>
      </c>
      <c r="M99" t="e">
        <f>VLOOKUP($I99,'[1]Table S6'!$A:$AI,5,FALSE)</f>
        <v>#N/A</v>
      </c>
      <c r="O99" t="e">
        <f>VLOOKUP($I99,'[1]Table S6'!$A:$AI,7,FALSE)</f>
        <v>#N/A</v>
      </c>
      <c r="P99" t="e">
        <f>VLOOKUP($I99,'[1]Table S6'!$A:$AI,8,FALSE)</f>
        <v>#N/A</v>
      </c>
      <c r="Q99" t="e">
        <f>VLOOKUP($I99,'[1]Table S6'!$A:$AI,9,FALSE)</f>
        <v>#N/A</v>
      </c>
      <c r="R99" t="e">
        <f>VLOOKUP($I99,'[1]Table S6'!$A:$AI,10,FALSE)</f>
        <v>#N/A</v>
      </c>
      <c r="T99" t="e">
        <f>VLOOKUP($I99,'[1]Table S6'!$A:$AI,12,FALSE)</f>
        <v>#N/A</v>
      </c>
      <c r="U99" t="e">
        <f>VLOOKUP($I99,'[1]Table S6'!$A:$AI,13,FALSE)</f>
        <v>#N/A</v>
      </c>
      <c r="V99" t="e">
        <f>VLOOKUP($I99,'[1]Table S6'!$A:$AI,14,FALSE)</f>
        <v>#N/A</v>
      </c>
      <c r="W99" t="e">
        <f>VLOOKUP($I99,'[1]Table S6'!$A:$AI,15,FALSE)</f>
        <v>#N/A</v>
      </c>
      <c r="Y99" t="e">
        <f>VLOOKUP($I99,'[1]Table S6'!$A:$AI,17,FALSE)</f>
        <v>#N/A</v>
      </c>
      <c r="Z99" t="e">
        <f>VLOOKUP($I99,'[1]Table S6'!$A:$AI,18,FALSE)</f>
        <v>#N/A</v>
      </c>
      <c r="AA99" t="e">
        <f>VLOOKUP($I99,'[1]Table S6'!$A:$AI,19,FALSE)</f>
        <v>#N/A</v>
      </c>
      <c r="AB99" t="e">
        <f>VLOOKUP($I99,'[1]Table S6'!$A:$AI,20,FALSE)</f>
        <v>#N/A</v>
      </c>
      <c r="AD99" t="e">
        <f>VLOOKUP($I99,'[1]Table S6'!$A:$AI,22,FALSE)</f>
        <v>#N/A</v>
      </c>
      <c r="AE99" t="e">
        <f>VLOOKUP($I99,'[1]Table S6'!$A:$AI,23,FALSE)</f>
        <v>#N/A</v>
      </c>
      <c r="AF99" t="e">
        <f>VLOOKUP($I99,'[1]Table S6'!$A:$AI,24,FALSE)</f>
        <v>#N/A</v>
      </c>
      <c r="AG99" t="e">
        <f>VLOOKUP($I99,'[1]Table S6'!$A:$AI,25,FALSE)</f>
        <v>#N/A</v>
      </c>
      <c r="AI99" t="e">
        <f>VLOOKUP($I99,'[1]Table S6'!$A:$AI,27,FALSE)</f>
        <v>#N/A</v>
      </c>
      <c r="AJ99" t="e">
        <f>VLOOKUP($I99,'[1]Table S6'!$A:$AI,28,FALSE)</f>
        <v>#N/A</v>
      </c>
      <c r="AK99" t="e">
        <f>VLOOKUP($I99,'[1]Table S6'!$A:$AI,29,FALSE)</f>
        <v>#N/A</v>
      </c>
      <c r="AL99" t="e">
        <f>VLOOKUP($I99,'[1]Table S6'!$A:$AI,30,FALSE)</f>
        <v>#N/A</v>
      </c>
      <c r="AN99" t="e">
        <f>VLOOKUP($I99,'[1]Table S6'!$A:$AI,32,FALSE)</f>
        <v>#N/A</v>
      </c>
      <c r="AO99" t="e">
        <f>VLOOKUP($I99,'[1]Table S6'!$A:$AI,33,FALSE)</f>
        <v>#N/A</v>
      </c>
      <c r="AP99" t="e">
        <f>VLOOKUP($I99,'[1]Table S6'!$A:$AI,34,FALSE)</f>
        <v>#N/A</v>
      </c>
      <c r="AQ99" t="e">
        <f>VLOOKUP($I99,'[1]Table S6'!$A:$AI,35,FALSE)</f>
        <v>#N/A</v>
      </c>
      <c r="AS99" t="str">
        <f>VLOOKUP($H99,'[2]Table S5'!$A:$K,8,FALSE)</f>
        <v>Resistant</v>
      </c>
      <c r="AT99" t="str">
        <f>VLOOKUP($H99,'[2]Table S5'!$A:$K,9,FALSE)</f>
        <v>Resistant</v>
      </c>
      <c r="AU99" t="str">
        <f>VLOOKUP($H99,'[2]Table S5'!$A:$K,10,FALSE)</f>
        <v>Resistant</v>
      </c>
      <c r="AV99" t="str">
        <f>VLOOKUP($H99,'[2]Table S5'!$A:$K,11,FALSE)</f>
        <v>Resistant</v>
      </c>
    </row>
    <row r="100" spans="1:48">
      <c r="A100" t="s">
        <v>752</v>
      </c>
      <c r="B100" t="s">
        <v>753</v>
      </c>
      <c r="C100" t="s">
        <v>17</v>
      </c>
      <c r="D100" t="s">
        <v>755</v>
      </c>
      <c r="E100" t="s">
        <v>756</v>
      </c>
      <c r="F100" t="s">
        <v>757</v>
      </c>
      <c r="G100" t="s">
        <v>4750</v>
      </c>
      <c r="H100" t="s">
        <v>758</v>
      </c>
      <c r="I100" t="s">
        <v>759</v>
      </c>
      <c r="J100">
        <f>VLOOKUP($I100,'[1]Table S6'!$A:$AI,2,FALSE)</f>
        <v>297.39999999999998</v>
      </c>
      <c r="K100">
        <f>VLOOKUP($I100,'[1]Table S6'!$A:$AI,3,FALSE)</f>
        <v>0.63290061715258605</v>
      </c>
      <c r="L100">
        <f>VLOOKUP($I100,'[1]Table S6'!$A:$AI,4,FALSE)</f>
        <v>1.006</v>
      </c>
      <c r="M100" t="str">
        <f>VLOOKUP($I100,'[1]Table S6'!$A:$AI,5,FALSE)</f>
        <v>Yes</v>
      </c>
      <c r="O100">
        <f>VLOOKUP($I100,'[1]Table S6'!$A:$AI,7,FALSE)</f>
        <v>363.9</v>
      </c>
      <c r="P100">
        <f>VLOOKUP($I100,'[1]Table S6'!$A:$AI,8,FALSE)</f>
        <v>0.77442008938071905</v>
      </c>
      <c r="Q100">
        <f>VLOOKUP($I100,'[1]Table S6'!$A:$AI,9,FALSE)</f>
        <v>8.3829999999999991</v>
      </c>
      <c r="R100" t="str">
        <f>VLOOKUP($I100,'[1]Table S6'!$A:$AI,10,FALSE)</f>
        <v>No</v>
      </c>
      <c r="T100">
        <f>VLOOKUP($I100,'[1]Table S6'!$A:$AI,12,FALSE)</f>
        <v>337.2</v>
      </c>
      <c r="U100">
        <f>VLOOKUP($I100,'[1]Table S6'!$A:$AI,13,FALSE)</f>
        <v>0.71759948925303296</v>
      </c>
      <c r="V100">
        <f>VLOOKUP($I100,'[1]Table S6'!$A:$AI,14,FALSE)</f>
        <v>3.8610000000000002</v>
      </c>
      <c r="W100" t="str">
        <f>VLOOKUP($I100,'[1]Table S6'!$A:$AI,15,FALSE)</f>
        <v>No</v>
      </c>
      <c r="Y100">
        <f>VLOOKUP($I100,'[1]Table S6'!$A:$AI,17,FALSE)</f>
        <v>320.10000000000002</v>
      </c>
      <c r="Z100">
        <f>VLOOKUP($I100,'[1]Table S6'!$A:$AI,18,FALSE)</f>
        <v>0.68120876782294104</v>
      </c>
      <c r="AA100">
        <f>VLOOKUP($I100,'[1]Table S6'!$A:$AI,19,FALSE)</f>
        <v>1.9350000000000001</v>
      </c>
      <c r="AB100" t="str">
        <f>VLOOKUP($I100,'[1]Table S6'!$A:$AI,20,FALSE)</f>
        <v>Yes</v>
      </c>
      <c r="AD100">
        <f>VLOOKUP($I100,'[1]Table S6'!$A:$AI,22,FALSE)</f>
        <v>350.7</v>
      </c>
      <c r="AE100">
        <f>VLOOKUP($I100,'[1]Table S6'!$A:$AI,23,FALSE)</f>
        <v>0.74632900617152598</v>
      </c>
      <c r="AF100">
        <f>VLOOKUP($I100,'[1]Table S6'!$A:$AI,24,FALSE)</f>
        <v>5.6239999999999997</v>
      </c>
      <c r="AG100" t="str">
        <f>VLOOKUP($I100,'[1]Table S6'!$A:$AI,25,FALSE)</f>
        <v>No</v>
      </c>
      <c r="AI100">
        <f>VLOOKUP($I100,'[1]Table S6'!$A:$AI,27,FALSE)</f>
        <v>455</v>
      </c>
      <c r="AJ100">
        <f>VLOOKUP($I100,'[1]Table S6'!$A:$AI,28,FALSE)</f>
        <v>0.96829112577144105</v>
      </c>
      <c r="AK100">
        <f>VLOOKUP($I100,'[1]Table S6'!$A:$AI,29,FALSE)</f>
        <v>139</v>
      </c>
      <c r="AL100" t="str">
        <f>VLOOKUP($I100,'[1]Table S6'!$A:$AI,30,FALSE)</f>
        <v>No</v>
      </c>
      <c r="AN100">
        <f>VLOOKUP($I100,'[1]Table S6'!$A:$AI,32,FALSE)</f>
        <v>449.4</v>
      </c>
      <c r="AO100">
        <f>VLOOKUP($I100,'[1]Table S6'!$A:$AI,33,FALSE)</f>
        <v>0.95637369653117699</v>
      </c>
      <c r="AP100">
        <f>VLOOKUP($I100,'[1]Table S6'!$A:$AI,34,FALSE)</f>
        <v>107.4</v>
      </c>
      <c r="AQ100" t="str">
        <f>VLOOKUP($I100,'[1]Table S6'!$A:$AI,35,FALSE)</f>
        <v>No</v>
      </c>
      <c r="AS100" t="str">
        <f>VLOOKUP($H100,'[2]Table S5'!$A:$K,8,FALSE)</f>
        <v>Resistant</v>
      </c>
      <c r="AT100" t="str">
        <f>VLOOKUP($H100,'[2]Table S5'!$A:$K,9,FALSE)</f>
        <v>Resistant</v>
      </c>
      <c r="AU100" t="str">
        <f>VLOOKUP($H100,'[2]Table S5'!$A:$K,10,FALSE)</f>
        <v>Resistant</v>
      </c>
      <c r="AV100" t="str">
        <f>VLOOKUP($H100,'[2]Table S5'!$A:$K,11,FALSE)</f>
        <v>Resistant</v>
      </c>
    </row>
    <row r="101" spans="1:48">
      <c r="A101" t="s">
        <v>761</v>
      </c>
      <c r="B101" t="s">
        <v>762</v>
      </c>
      <c r="C101" t="s">
        <v>17</v>
      </c>
      <c r="D101" t="s">
        <v>764</v>
      </c>
      <c r="E101" t="s">
        <v>765</v>
      </c>
      <c r="F101" t="s">
        <v>766</v>
      </c>
      <c r="G101" t="s">
        <v>4750</v>
      </c>
      <c r="H101" t="s">
        <v>758</v>
      </c>
      <c r="I101" t="s">
        <v>767</v>
      </c>
      <c r="J101">
        <f>VLOOKUP($I101,'[1]Table S6'!$A:$AI,2,FALSE)</f>
        <v>332.6</v>
      </c>
      <c r="K101">
        <f>VLOOKUP($I101,'[1]Table S6'!$A:$AI,3,FALSE)</f>
        <v>0.70781017237710198</v>
      </c>
      <c r="L101">
        <f>VLOOKUP($I101,'[1]Table S6'!$A:$AI,4,FALSE)</f>
        <v>2.407</v>
      </c>
      <c r="M101" t="str">
        <f>VLOOKUP($I101,'[1]Table S6'!$A:$AI,5,FALSE)</f>
        <v>No</v>
      </c>
      <c r="O101">
        <f>VLOOKUP($I101,'[1]Table S6'!$A:$AI,7,FALSE)</f>
        <v>388.2</v>
      </c>
      <c r="P101">
        <f>VLOOKUP($I101,'[1]Table S6'!$A:$AI,8,FALSE)</f>
        <v>0.826133219834007</v>
      </c>
      <c r="Q101">
        <f>VLOOKUP($I101,'[1]Table S6'!$A:$AI,9,FALSE)</f>
        <v>19.96</v>
      </c>
      <c r="R101" t="str">
        <f>VLOOKUP($I101,'[1]Table S6'!$A:$AI,10,FALSE)</f>
        <v>No</v>
      </c>
      <c r="T101">
        <f>VLOOKUP($I101,'[1]Table S6'!$A:$AI,12,FALSE)</f>
        <v>348.3</v>
      </c>
      <c r="U101">
        <f>VLOOKUP($I101,'[1]Table S6'!$A:$AI,13,FALSE)</f>
        <v>0.74122153649712696</v>
      </c>
      <c r="V101">
        <f>VLOOKUP($I101,'[1]Table S6'!$A:$AI,14,FALSE)</f>
        <v>6.141</v>
      </c>
      <c r="W101" t="str">
        <f>VLOOKUP($I101,'[1]Table S6'!$A:$AI,15,FALSE)</f>
        <v>No</v>
      </c>
      <c r="Y101">
        <f>VLOOKUP($I101,'[1]Table S6'!$A:$AI,17,FALSE)</f>
        <v>323.8</v>
      </c>
      <c r="Z101">
        <f>VLOOKUP($I101,'[1]Table S6'!$A:$AI,18,FALSE)</f>
        <v>0.68908278357097297</v>
      </c>
      <c r="AA101">
        <f>VLOOKUP($I101,'[1]Table S6'!$A:$AI,19,FALSE)</f>
        <v>1.6919999999999999</v>
      </c>
      <c r="AB101" t="str">
        <f>VLOOKUP($I101,'[1]Table S6'!$A:$AI,20,FALSE)</f>
        <v>Yes</v>
      </c>
      <c r="AD101">
        <f>VLOOKUP($I101,'[1]Table S6'!$A:$AI,22,FALSE)</f>
        <v>367.8</v>
      </c>
      <c r="AE101">
        <f>VLOOKUP($I101,'[1]Table S6'!$A:$AI,23,FALSE)</f>
        <v>0.78271972760161701</v>
      </c>
      <c r="AF101">
        <f>VLOOKUP($I101,'[1]Table S6'!$A:$AI,24,FALSE)</f>
        <v>9.8629999999999995</v>
      </c>
      <c r="AG101" t="str">
        <f>VLOOKUP($I101,'[1]Table S6'!$A:$AI,25,FALSE)</f>
        <v>No</v>
      </c>
      <c r="AI101">
        <f>VLOOKUP($I101,'[1]Table S6'!$A:$AI,27,FALSE)</f>
        <v>459.6</v>
      </c>
      <c r="AJ101">
        <f>VLOOKUP($I101,'[1]Table S6'!$A:$AI,28,FALSE)</f>
        <v>0.97808044264737204</v>
      </c>
      <c r="AK101">
        <f>VLOOKUP($I101,'[1]Table S6'!$A:$AI,29,FALSE)</f>
        <v>223.6</v>
      </c>
      <c r="AL101" t="str">
        <f>VLOOKUP($I101,'[1]Table S6'!$A:$AI,30,FALSE)</f>
        <v>No</v>
      </c>
      <c r="AN101">
        <f>VLOOKUP($I101,'[1]Table S6'!$A:$AI,32,FALSE)</f>
        <v>465.2</v>
      </c>
      <c r="AO101">
        <f>VLOOKUP($I101,'[1]Table S6'!$A:$AI,33,FALSE)</f>
        <v>0.98999787188763599</v>
      </c>
      <c r="AP101">
        <f>VLOOKUP($I101,'[1]Table S6'!$A:$AI,34,FALSE)</f>
        <v>1046</v>
      </c>
      <c r="AQ101" t="str">
        <f>VLOOKUP($I101,'[1]Table S6'!$A:$AI,35,FALSE)</f>
        <v>No</v>
      </c>
      <c r="AS101" t="str">
        <f>VLOOKUP($H101,'[2]Table S5'!$A:$K,8,FALSE)</f>
        <v>Resistant</v>
      </c>
      <c r="AT101" t="str">
        <f>VLOOKUP($H101,'[2]Table S5'!$A:$K,9,FALSE)</f>
        <v>Resistant</v>
      </c>
      <c r="AU101" t="str">
        <f>VLOOKUP($H101,'[2]Table S5'!$A:$K,10,FALSE)</f>
        <v>Resistant</v>
      </c>
      <c r="AV101" t="str">
        <f>VLOOKUP($H101,'[2]Table S5'!$A:$K,11,FALSE)</f>
        <v>Resistant</v>
      </c>
    </row>
    <row r="102" spans="1:48">
      <c r="A102" t="s">
        <v>769</v>
      </c>
      <c r="B102" t="s">
        <v>770</v>
      </c>
      <c r="C102" t="s">
        <v>17</v>
      </c>
      <c r="D102" t="s">
        <v>772</v>
      </c>
      <c r="E102" t="s">
        <v>773</v>
      </c>
      <c r="F102" t="s">
        <v>774</v>
      </c>
      <c r="G102" t="s">
        <v>4750</v>
      </c>
      <c r="H102" t="s">
        <v>758</v>
      </c>
      <c r="I102" t="s">
        <v>775</v>
      </c>
      <c r="J102">
        <f>VLOOKUP($I102,'[1]Table S6'!$A:$AI,2,FALSE)</f>
        <v>323.5</v>
      </c>
      <c r="K102">
        <f>VLOOKUP($I102,'[1]Table S6'!$A:$AI,3,FALSE)</f>
        <v>0.68844434986167302</v>
      </c>
      <c r="L102">
        <f>VLOOKUP($I102,'[1]Table S6'!$A:$AI,4,FALSE)</f>
        <v>1.6439999999999999</v>
      </c>
      <c r="M102" t="str">
        <f>VLOOKUP($I102,'[1]Table S6'!$A:$AI,5,FALSE)</f>
        <v>Yes</v>
      </c>
      <c r="O102">
        <f>VLOOKUP($I102,'[1]Table S6'!$A:$AI,7,FALSE)</f>
        <v>391.9</v>
      </c>
      <c r="P102">
        <f>VLOOKUP($I102,'[1]Table S6'!$A:$AI,8,FALSE)</f>
        <v>0.83400723558203904</v>
      </c>
      <c r="Q102">
        <f>VLOOKUP($I102,'[1]Table S6'!$A:$AI,9,FALSE)</f>
        <v>19.12</v>
      </c>
      <c r="R102" t="str">
        <f>VLOOKUP($I102,'[1]Table S6'!$A:$AI,10,FALSE)</f>
        <v>No</v>
      </c>
      <c r="T102">
        <f>VLOOKUP($I102,'[1]Table S6'!$A:$AI,12,FALSE)</f>
        <v>310.39999999999998</v>
      </c>
      <c r="U102">
        <f>VLOOKUP($I102,'[1]Table S6'!$A:$AI,13,FALSE)</f>
        <v>0.66056607788891297</v>
      </c>
      <c r="V102">
        <f>VLOOKUP($I102,'[1]Table S6'!$A:$AI,14,FALSE)</f>
        <v>1.37</v>
      </c>
      <c r="W102" t="str">
        <f>VLOOKUP($I102,'[1]Table S6'!$A:$AI,15,FALSE)</f>
        <v>Yes</v>
      </c>
      <c r="Y102">
        <f>VLOOKUP($I102,'[1]Table S6'!$A:$AI,17,FALSE)</f>
        <v>350.4</v>
      </c>
      <c r="Z102">
        <f>VLOOKUP($I102,'[1]Table S6'!$A:$AI,18,FALSE)</f>
        <v>0.74569057246222603</v>
      </c>
      <c r="AA102">
        <f>VLOOKUP($I102,'[1]Table S6'!$A:$AI,19,FALSE)</f>
        <v>4.1870000000000003</v>
      </c>
      <c r="AB102" t="str">
        <f>VLOOKUP($I102,'[1]Table S6'!$A:$AI,20,FALSE)</f>
        <v>No</v>
      </c>
      <c r="AD102">
        <f>VLOOKUP($I102,'[1]Table S6'!$A:$AI,22,FALSE)</f>
        <v>381.4</v>
      </c>
      <c r="AE102">
        <f>VLOOKUP($I102,'[1]Table S6'!$A:$AI,23,FALSE)</f>
        <v>0.81166205575654404</v>
      </c>
      <c r="AF102">
        <f>VLOOKUP($I102,'[1]Table S6'!$A:$AI,24,FALSE)</f>
        <v>15.76</v>
      </c>
      <c r="AG102" t="str">
        <f>VLOOKUP($I102,'[1]Table S6'!$A:$AI,25,FALSE)</f>
        <v>No</v>
      </c>
      <c r="AI102">
        <f>VLOOKUP($I102,'[1]Table S6'!$A:$AI,27,FALSE)</f>
        <v>462.8</v>
      </c>
      <c r="AJ102">
        <f>VLOOKUP($I102,'[1]Table S6'!$A:$AI,28,FALSE)</f>
        <v>0.98489040221323698</v>
      </c>
      <c r="AK102">
        <f>VLOOKUP($I102,'[1]Table S6'!$A:$AI,29,FALSE)</f>
        <v>231.1</v>
      </c>
      <c r="AL102" t="str">
        <f>VLOOKUP($I102,'[1]Table S6'!$A:$AI,30,FALSE)</f>
        <v>No</v>
      </c>
      <c r="AN102">
        <f>VLOOKUP($I102,'[1]Table S6'!$A:$AI,32,FALSE)</f>
        <v>453.5</v>
      </c>
      <c r="AO102">
        <f>VLOOKUP($I102,'[1]Table S6'!$A:$AI,33,FALSE)</f>
        <v>0.96509895722494199</v>
      </c>
      <c r="AP102">
        <f>VLOOKUP($I102,'[1]Table S6'!$A:$AI,34,FALSE)</f>
        <v>254.8</v>
      </c>
      <c r="AQ102" t="str">
        <f>VLOOKUP($I102,'[1]Table S6'!$A:$AI,35,FALSE)</f>
        <v>No</v>
      </c>
      <c r="AS102" t="str">
        <f>VLOOKUP($H102,'[2]Table S5'!$A:$K,8,FALSE)</f>
        <v>Resistant</v>
      </c>
      <c r="AT102" t="str">
        <f>VLOOKUP($H102,'[2]Table S5'!$A:$K,9,FALSE)</f>
        <v>Resistant</v>
      </c>
      <c r="AU102" t="str">
        <f>VLOOKUP($H102,'[2]Table S5'!$A:$K,10,FALSE)</f>
        <v>Resistant</v>
      </c>
      <c r="AV102" t="str">
        <f>VLOOKUP($H102,'[2]Table S5'!$A:$K,11,FALSE)</f>
        <v>Resistant</v>
      </c>
    </row>
    <row r="103" spans="1:48">
      <c r="A103" t="s">
        <v>777</v>
      </c>
      <c r="B103" t="s">
        <v>778</v>
      </c>
      <c r="C103" t="s">
        <v>17</v>
      </c>
      <c r="D103" t="s">
        <v>780</v>
      </c>
      <c r="E103" t="s">
        <v>781</v>
      </c>
      <c r="F103" t="s">
        <v>782</v>
      </c>
      <c r="G103" t="s">
        <v>4750</v>
      </c>
      <c r="H103" t="s">
        <v>758</v>
      </c>
      <c r="I103" t="s">
        <v>783</v>
      </c>
      <c r="J103">
        <f>VLOOKUP($I103,'[1]Table S6'!$A:$AI,2,FALSE)</f>
        <v>334.4</v>
      </c>
      <c r="K103">
        <f>VLOOKUP($I103,'[1]Table S6'!$A:$AI,3,FALSE)</f>
        <v>0.71164077463290099</v>
      </c>
      <c r="L103">
        <f>VLOOKUP($I103,'[1]Table S6'!$A:$AI,4,FALSE)</f>
        <v>3.0750000000000002</v>
      </c>
      <c r="M103" t="str">
        <f>VLOOKUP($I103,'[1]Table S6'!$A:$AI,5,FALSE)</f>
        <v>No</v>
      </c>
      <c r="O103">
        <f>VLOOKUP($I103,'[1]Table S6'!$A:$AI,7,FALSE)</f>
        <v>389.8</v>
      </c>
      <c r="P103">
        <f>VLOOKUP($I103,'[1]Table S6'!$A:$AI,8,FALSE)</f>
        <v>0.82953819961693998</v>
      </c>
      <c r="Q103">
        <f>VLOOKUP($I103,'[1]Table S6'!$A:$AI,9,FALSE)</f>
        <v>19.07</v>
      </c>
      <c r="R103" t="str">
        <f>VLOOKUP($I103,'[1]Table S6'!$A:$AI,10,FALSE)</f>
        <v>No</v>
      </c>
      <c r="T103">
        <f>VLOOKUP($I103,'[1]Table S6'!$A:$AI,12,FALSE)</f>
        <v>348.2</v>
      </c>
      <c r="U103">
        <f>VLOOKUP($I103,'[1]Table S6'!$A:$AI,13,FALSE)</f>
        <v>0.74100872526069395</v>
      </c>
      <c r="V103">
        <f>VLOOKUP($I103,'[1]Table S6'!$A:$AI,14,FALSE)</f>
        <v>3.6280000000000001</v>
      </c>
      <c r="W103" t="str">
        <f>VLOOKUP($I103,'[1]Table S6'!$A:$AI,15,FALSE)</f>
        <v>No</v>
      </c>
      <c r="Y103">
        <f>VLOOKUP($I103,'[1]Table S6'!$A:$AI,17,FALSE)</f>
        <v>386.1</v>
      </c>
      <c r="Z103">
        <f>VLOOKUP($I103,'[1]Table S6'!$A:$AI,18,FALSE)</f>
        <v>0.82166418386890805</v>
      </c>
      <c r="AA103">
        <f>VLOOKUP($I103,'[1]Table S6'!$A:$AI,19,FALSE)</f>
        <v>15.89</v>
      </c>
      <c r="AB103" t="str">
        <f>VLOOKUP($I103,'[1]Table S6'!$A:$AI,20,FALSE)</f>
        <v>No</v>
      </c>
      <c r="AD103">
        <f>VLOOKUP($I103,'[1]Table S6'!$A:$AI,22,FALSE)</f>
        <v>383.7</v>
      </c>
      <c r="AE103">
        <f>VLOOKUP($I103,'[1]Table S6'!$A:$AI,23,FALSE)</f>
        <v>0.81655671419450904</v>
      </c>
      <c r="AF103">
        <f>VLOOKUP($I103,'[1]Table S6'!$A:$AI,24,FALSE)</f>
        <v>13.49</v>
      </c>
      <c r="AG103" t="str">
        <f>VLOOKUP($I103,'[1]Table S6'!$A:$AI,25,FALSE)</f>
        <v>No</v>
      </c>
      <c r="AI103">
        <f>VLOOKUP($I103,'[1]Table S6'!$A:$AI,27,FALSE)</f>
        <v>449.8</v>
      </c>
      <c r="AJ103">
        <f>VLOOKUP($I103,'[1]Table S6'!$A:$AI,28,FALSE)</f>
        <v>0.95722494147690995</v>
      </c>
      <c r="AK103">
        <f>VLOOKUP($I103,'[1]Table S6'!$A:$AI,29,FALSE)</f>
        <v>117.5</v>
      </c>
      <c r="AL103" t="str">
        <f>VLOOKUP($I103,'[1]Table S6'!$A:$AI,30,FALSE)</f>
        <v>No</v>
      </c>
      <c r="AN103">
        <f>VLOOKUP($I103,'[1]Table S6'!$A:$AI,32,FALSE)</f>
        <v>448.4</v>
      </c>
      <c r="AO103">
        <f>VLOOKUP($I103,'[1]Table S6'!$A:$AI,33,FALSE)</f>
        <v>0.95424558416684402</v>
      </c>
      <c r="AP103">
        <f>VLOOKUP($I103,'[1]Table S6'!$A:$AI,34,FALSE)</f>
        <v>191.6</v>
      </c>
      <c r="AQ103" t="str">
        <f>VLOOKUP($I103,'[1]Table S6'!$A:$AI,35,FALSE)</f>
        <v>No</v>
      </c>
      <c r="AS103" t="str">
        <f>VLOOKUP($H103,'[2]Table S5'!$A:$K,8,FALSE)</f>
        <v>Resistant</v>
      </c>
      <c r="AT103" t="str">
        <f>VLOOKUP($H103,'[2]Table S5'!$A:$K,9,FALSE)</f>
        <v>Resistant</v>
      </c>
      <c r="AU103" t="str">
        <f>VLOOKUP($H103,'[2]Table S5'!$A:$K,10,FALSE)</f>
        <v>Resistant</v>
      </c>
      <c r="AV103" t="str">
        <f>VLOOKUP($H103,'[2]Table S5'!$A:$K,11,FALSE)</f>
        <v>Resistant</v>
      </c>
    </row>
    <row r="104" spans="1:48">
      <c r="A104" t="s">
        <v>785</v>
      </c>
      <c r="B104" t="s">
        <v>786</v>
      </c>
      <c r="C104" t="s">
        <v>17</v>
      </c>
      <c r="D104" t="s">
        <v>788</v>
      </c>
      <c r="E104" t="s">
        <v>789</v>
      </c>
      <c r="F104" t="s">
        <v>790</v>
      </c>
      <c r="G104" t="s">
        <v>4751</v>
      </c>
      <c r="H104" t="s">
        <v>758</v>
      </c>
      <c r="I104" t="s">
        <v>759</v>
      </c>
      <c r="J104">
        <f>VLOOKUP($I104,'[1]Table S6'!$A:$AI,2,FALSE)</f>
        <v>297.39999999999998</v>
      </c>
      <c r="K104">
        <f>VLOOKUP($I104,'[1]Table S6'!$A:$AI,3,FALSE)</f>
        <v>0.63290061715258605</v>
      </c>
      <c r="L104">
        <f>VLOOKUP($I104,'[1]Table S6'!$A:$AI,4,FALSE)</f>
        <v>1.006</v>
      </c>
      <c r="M104" t="str">
        <f>VLOOKUP($I104,'[1]Table S6'!$A:$AI,5,FALSE)</f>
        <v>Yes</v>
      </c>
      <c r="O104">
        <f>VLOOKUP($I104,'[1]Table S6'!$A:$AI,7,FALSE)</f>
        <v>363.9</v>
      </c>
      <c r="P104">
        <f>VLOOKUP($I104,'[1]Table S6'!$A:$AI,8,FALSE)</f>
        <v>0.77442008938071905</v>
      </c>
      <c r="Q104">
        <f>VLOOKUP($I104,'[1]Table S6'!$A:$AI,9,FALSE)</f>
        <v>8.3829999999999991</v>
      </c>
      <c r="R104" t="str">
        <f>VLOOKUP($I104,'[1]Table S6'!$A:$AI,10,FALSE)</f>
        <v>No</v>
      </c>
      <c r="T104">
        <f>VLOOKUP($I104,'[1]Table S6'!$A:$AI,12,FALSE)</f>
        <v>337.2</v>
      </c>
      <c r="U104">
        <f>VLOOKUP($I104,'[1]Table S6'!$A:$AI,13,FALSE)</f>
        <v>0.71759948925303296</v>
      </c>
      <c r="V104">
        <f>VLOOKUP($I104,'[1]Table S6'!$A:$AI,14,FALSE)</f>
        <v>3.8610000000000002</v>
      </c>
      <c r="W104" t="str">
        <f>VLOOKUP($I104,'[1]Table S6'!$A:$AI,15,FALSE)</f>
        <v>No</v>
      </c>
      <c r="Y104">
        <f>VLOOKUP($I104,'[1]Table S6'!$A:$AI,17,FALSE)</f>
        <v>320.10000000000002</v>
      </c>
      <c r="Z104">
        <f>VLOOKUP($I104,'[1]Table S6'!$A:$AI,18,FALSE)</f>
        <v>0.68120876782294104</v>
      </c>
      <c r="AA104">
        <f>VLOOKUP($I104,'[1]Table S6'!$A:$AI,19,FALSE)</f>
        <v>1.9350000000000001</v>
      </c>
      <c r="AB104" t="str">
        <f>VLOOKUP($I104,'[1]Table S6'!$A:$AI,20,FALSE)</f>
        <v>Yes</v>
      </c>
      <c r="AD104">
        <f>VLOOKUP($I104,'[1]Table S6'!$A:$AI,22,FALSE)</f>
        <v>350.7</v>
      </c>
      <c r="AE104">
        <f>VLOOKUP($I104,'[1]Table S6'!$A:$AI,23,FALSE)</f>
        <v>0.74632900617152598</v>
      </c>
      <c r="AF104">
        <f>VLOOKUP($I104,'[1]Table S6'!$A:$AI,24,FALSE)</f>
        <v>5.6239999999999997</v>
      </c>
      <c r="AG104" t="str">
        <f>VLOOKUP($I104,'[1]Table S6'!$A:$AI,25,FALSE)</f>
        <v>No</v>
      </c>
      <c r="AI104">
        <f>VLOOKUP($I104,'[1]Table S6'!$A:$AI,27,FALSE)</f>
        <v>455</v>
      </c>
      <c r="AJ104">
        <f>VLOOKUP($I104,'[1]Table S6'!$A:$AI,28,FALSE)</f>
        <v>0.96829112577144105</v>
      </c>
      <c r="AK104">
        <f>VLOOKUP($I104,'[1]Table S6'!$A:$AI,29,FALSE)</f>
        <v>139</v>
      </c>
      <c r="AL104" t="str">
        <f>VLOOKUP($I104,'[1]Table S6'!$A:$AI,30,FALSE)</f>
        <v>No</v>
      </c>
      <c r="AN104">
        <f>VLOOKUP($I104,'[1]Table S6'!$A:$AI,32,FALSE)</f>
        <v>449.4</v>
      </c>
      <c r="AO104">
        <f>VLOOKUP($I104,'[1]Table S6'!$A:$AI,33,FALSE)</f>
        <v>0.95637369653117699</v>
      </c>
      <c r="AP104">
        <f>VLOOKUP($I104,'[1]Table S6'!$A:$AI,34,FALSE)</f>
        <v>107.4</v>
      </c>
      <c r="AQ104" t="str">
        <f>VLOOKUP($I104,'[1]Table S6'!$A:$AI,35,FALSE)</f>
        <v>No</v>
      </c>
      <c r="AS104" t="str">
        <f>VLOOKUP($H104,'[2]Table S5'!$A:$K,8,FALSE)</f>
        <v>Resistant</v>
      </c>
      <c r="AT104" t="str">
        <f>VLOOKUP($H104,'[2]Table S5'!$A:$K,9,FALSE)</f>
        <v>Resistant</v>
      </c>
      <c r="AU104" t="str">
        <f>VLOOKUP($H104,'[2]Table S5'!$A:$K,10,FALSE)</f>
        <v>Resistant</v>
      </c>
      <c r="AV104" t="str">
        <f>VLOOKUP($H104,'[2]Table S5'!$A:$K,11,FALSE)</f>
        <v>Resistant</v>
      </c>
    </row>
    <row r="105" spans="1:48">
      <c r="A105" t="s">
        <v>792</v>
      </c>
      <c r="B105" t="s">
        <v>793</v>
      </c>
      <c r="C105" t="s">
        <v>17</v>
      </c>
      <c r="D105" t="s">
        <v>795</v>
      </c>
      <c r="E105" t="s">
        <v>796</v>
      </c>
      <c r="F105" t="s">
        <v>797</v>
      </c>
      <c r="G105" t="s">
        <v>4751</v>
      </c>
      <c r="H105" t="s">
        <v>758</v>
      </c>
      <c r="I105" t="s">
        <v>767</v>
      </c>
      <c r="J105">
        <f>VLOOKUP($I105,'[1]Table S6'!$A:$AI,2,FALSE)</f>
        <v>332.6</v>
      </c>
      <c r="K105">
        <f>VLOOKUP($I105,'[1]Table S6'!$A:$AI,3,FALSE)</f>
        <v>0.70781017237710198</v>
      </c>
      <c r="L105">
        <f>VLOOKUP($I105,'[1]Table S6'!$A:$AI,4,FALSE)</f>
        <v>2.407</v>
      </c>
      <c r="M105" t="str">
        <f>VLOOKUP($I105,'[1]Table S6'!$A:$AI,5,FALSE)</f>
        <v>No</v>
      </c>
      <c r="O105">
        <f>VLOOKUP($I105,'[1]Table S6'!$A:$AI,7,FALSE)</f>
        <v>388.2</v>
      </c>
      <c r="P105">
        <f>VLOOKUP($I105,'[1]Table S6'!$A:$AI,8,FALSE)</f>
        <v>0.826133219834007</v>
      </c>
      <c r="Q105">
        <f>VLOOKUP($I105,'[1]Table S6'!$A:$AI,9,FALSE)</f>
        <v>19.96</v>
      </c>
      <c r="R105" t="str">
        <f>VLOOKUP($I105,'[1]Table S6'!$A:$AI,10,FALSE)</f>
        <v>No</v>
      </c>
      <c r="T105">
        <f>VLOOKUP($I105,'[1]Table S6'!$A:$AI,12,FALSE)</f>
        <v>348.3</v>
      </c>
      <c r="U105">
        <f>VLOOKUP($I105,'[1]Table S6'!$A:$AI,13,FALSE)</f>
        <v>0.74122153649712696</v>
      </c>
      <c r="V105">
        <f>VLOOKUP($I105,'[1]Table S6'!$A:$AI,14,FALSE)</f>
        <v>6.141</v>
      </c>
      <c r="W105" t="str">
        <f>VLOOKUP($I105,'[1]Table S6'!$A:$AI,15,FALSE)</f>
        <v>No</v>
      </c>
      <c r="Y105">
        <f>VLOOKUP($I105,'[1]Table S6'!$A:$AI,17,FALSE)</f>
        <v>323.8</v>
      </c>
      <c r="Z105">
        <f>VLOOKUP($I105,'[1]Table S6'!$A:$AI,18,FALSE)</f>
        <v>0.68908278357097297</v>
      </c>
      <c r="AA105">
        <f>VLOOKUP($I105,'[1]Table S6'!$A:$AI,19,FALSE)</f>
        <v>1.6919999999999999</v>
      </c>
      <c r="AB105" t="str">
        <f>VLOOKUP($I105,'[1]Table S6'!$A:$AI,20,FALSE)</f>
        <v>Yes</v>
      </c>
      <c r="AD105">
        <f>VLOOKUP($I105,'[1]Table S6'!$A:$AI,22,FALSE)</f>
        <v>367.8</v>
      </c>
      <c r="AE105">
        <f>VLOOKUP($I105,'[1]Table S6'!$A:$AI,23,FALSE)</f>
        <v>0.78271972760161701</v>
      </c>
      <c r="AF105">
        <f>VLOOKUP($I105,'[1]Table S6'!$A:$AI,24,FALSE)</f>
        <v>9.8629999999999995</v>
      </c>
      <c r="AG105" t="str">
        <f>VLOOKUP($I105,'[1]Table S6'!$A:$AI,25,FALSE)</f>
        <v>No</v>
      </c>
      <c r="AI105">
        <f>VLOOKUP($I105,'[1]Table S6'!$A:$AI,27,FALSE)</f>
        <v>459.6</v>
      </c>
      <c r="AJ105">
        <f>VLOOKUP($I105,'[1]Table S6'!$A:$AI,28,FALSE)</f>
        <v>0.97808044264737204</v>
      </c>
      <c r="AK105">
        <f>VLOOKUP($I105,'[1]Table S6'!$A:$AI,29,FALSE)</f>
        <v>223.6</v>
      </c>
      <c r="AL105" t="str">
        <f>VLOOKUP($I105,'[1]Table S6'!$A:$AI,30,FALSE)</f>
        <v>No</v>
      </c>
      <c r="AN105">
        <f>VLOOKUP($I105,'[1]Table S6'!$A:$AI,32,FALSE)</f>
        <v>465.2</v>
      </c>
      <c r="AO105">
        <f>VLOOKUP($I105,'[1]Table S6'!$A:$AI,33,FALSE)</f>
        <v>0.98999787188763599</v>
      </c>
      <c r="AP105">
        <f>VLOOKUP($I105,'[1]Table S6'!$A:$AI,34,FALSE)</f>
        <v>1046</v>
      </c>
      <c r="AQ105" t="str">
        <f>VLOOKUP($I105,'[1]Table S6'!$A:$AI,35,FALSE)</f>
        <v>No</v>
      </c>
      <c r="AS105" t="str">
        <f>VLOOKUP($H105,'[2]Table S5'!$A:$K,8,FALSE)</f>
        <v>Resistant</v>
      </c>
      <c r="AT105" t="str">
        <f>VLOOKUP($H105,'[2]Table S5'!$A:$K,9,FALSE)</f>
        <v>Resistant</v>
      </c>
      <c r="AU105" t="str">
        <f>VLOOKUP($H105,'[2]Table S5'!$A:$K,10,FALSE)</f>
        <v>Resistant</v>
      </c>
      <c r="AV105" t="str">
        <f>VLOOKUP($H105,'[2]Table S5'!$A:$K,11,FALSE)</f>
        <v>Resistant</v>
      </c>
    </row>
    <row r="106" spans="1:48">
      <c r="A106" t="s">
        <v>799</v>
      </c>
      <c r="B106" t="s">
        <v>800</v>
      </c>
      <c r="C106" t="s">
        <v>17</v>
      </c>
      <c r="D106" t="s">
        <v>802</v>
      </c>
      <c r="E106" t="s">
        <v>803</v>
      </c>
      <c r="F106" t="s">
        <v>804</v>
      </c>
      <c r="G106" t="s">
        <v>4751</v>
      </c>
      <c r="H106" t="s">
        <v>758</v>
      </c>
      <c r="I106" t="s">
        <v>775</v>
      </c>
      <c r="J106">
        <f>VLOOKUP($I106,'[1]Table S6'!$A:$AI,2,FALSE)</f>
        <v>323.5</v>
      </c>
      <c r="K106">
        <f>VLOOKUP($I106,'[1]Table S6'!$A:$AI,3,FALSE)</f>
        <v>0.68844434986167302</v>
      </c>
      <c r="L106">
        <f>VLOOKUP($I106,'[1]Table S6'!$A:$AI,4,FALSE)</f>
        <v>1.6439999999999999</v>
      </c>
      <c r="M106" t="str">
        <f>VLOOKUP($I106,'[1]Table S6'!$A:$AI,5,FALSE)</f>
        <v>Yes</v>
      </c>
      <c r="O106">
        <f>VLOOKUP($I106,'[1]Table S6'!$A:$AI,7,FALSE)</f>
        <v>391.9</v>
      </c>
      <c r="P106">
        <f>VLOOKUP($I106,'[1]Table S6'!$A:$AI,8,FALSE)</f>
        <v>0.83400723558203904</v>
      </c>
      <c r="Q106">
        <f>VLOOKUP($I106,'[1]Table S6'!$A:$AI,9,FALSE)</f>
        <v>19.12</v>
      </c>
      <c r="R106" t="str">
        <f>VLOOKUP($I106,'[1]Table S6'!$A:$AI,10,FALSE)</f>
        <v>No</v>
      </c>
      <c r="T106">
        <f>VLOOKUP($I106,'[1]Table S6'!$A:$AI,12,FALSE)</f>
        <v>310.39999999999998</v>
      </c>
      <c r="U106">
        <f>VLOOKUP($I106,'[1]Table S6'!$A:$AI,13,FALSE)</f>
        <v>0.66056607788891297</v>
      </c>
      <c r="V106">
        <f>VLOOKUP($I106,'[1]Table S6'!$A:$AI,14,FALSE)</f>
        <v>1.37</v>
      </c>
      <c r="W106" t="str">
        <f>VLOOKUP($I106,'[1]Table S6'!$A:$AI,15,FALSE)</f>
        <v>Yes</v>
      </c>
      <c r="Y106">
        <f>VLOOKUP($I106,'[1]Table S6'!$A:$AI,17,FALSE)</f>
        <v>350.4</v>
      </c>
      <c r="Z106">
        <f>VLOOKUP($I106,'[1]Table S6'!$A:$AI,18,FALSE)</f>
        <v>0.74569057246222603</v>
      </c>
      <c r="AA106">
        <f>VLOOKUP($I106,'[1]Table S6'!$A:$AI,19,FALSE)</f>
        <v>4.1870000000000003</v>
      </c>
      <c r="AB106" t="str">
        <f>VLOOKUP($I106,'[1]Table S6'!$A:$AI,20,FALSE)</f>
        <v>No</v>
      </c>
      <c r="AD106">
        <f>VLOOKUP($I106,'[1]Table S6'!$A:$AI,22,FALSE)</f>
        <v>381.4</v>
      </c>
      <c r="AE106">
        <f>VLOOKUP($I106,'[1]Table S6'!$A:$AI,23,FALSE)</f>
        <v>0.81166205575654404</v>
      </c>
      <c r="AF106">
        <f>VLOOKUP($I106,'[1]Table S6'!$A:$AI,24,FALSE)</f>
        <v>15.76</v>
      </c>
      <c r="AG106" t="str">
        <f>VLOOKUP($I106,'[1]Table S6'!$A:$AI,25,FALSE)</f>
        <v>No</v>
      </c>
      <c r="AI106">
        <f>VLOOKUP($I106,'[1]Table S6'!$A:$AI,27,FALSE)</f>
        <v>462.8</v>
      </c>
      <c r="AJ106">
        <f>VLOOKUP($I106,'[1]Table S6'!$A:$AI,28,FALSE)</f>
        <v>0.98489040221323698</v>
      </c>
      <c r="AK106">
        <f>VLOOKUP($I106,'[1]Table S6'!$A:$AI,29,FALSE)</f>
        <v>231.1</v>
      </c>
      <c r="AL106" t="str">
        <f>VLOOKUP($I106,'[1]Table S6'!$A:$AI,30,FALSE)</f>
        <v>No</v>
      </c>
      <c r="AN106">
        <f>VLOOKUP($I106,'[1]Table S6'!$A:$AI,32,FALSE)</f>
        <v>453.5</v>
      </c>
      <c r="AO106">
        <f>VLOOKUP($I106,'[1]Table S6'!$A:$AI,33,FALSE)</f>
        <v>0.96509895722494199</v>
      </c>
      <c r="AP106">
        <f>VLOOKUP($I106,'[1]Table S6'!$A:$AI,34,FALSE)</f>
        <v>254.8</v>
      </c>
      <c r="AQ106" t="str">
        <f>VLOOKUP($I106,'[1]Table S6'!$A:$AI,35,FALSE)</f>
        <v>No</v>
      </c>
      <c r="AS106" t="str">
        <f>VLOOKUP($H106,'[2]Table S5'!$A:$K,8,FALSE)</f>
        <v>Resistant</v>
      </c>
      <c r="AT106" t="str">
        <f>VLOOKUP($H106,'[2]Table S5'!$A:$K,9,FALSE)</f>
        <v>Resistant</v>
      </c>
      <c r="AU106" t="str">
        <f>VLOOKUP($H106,'[2]Table S5'!$A:$K,10,FALSE)</f>
        <v>Resistant</v>
      </c>
      <c r="AV106" t="str">
        <f>VLOOKUP($H106,'[2]Table S5'!$A:$K,11,FALSE)</f>
        <v>Resistant</v>
      </c>
    </row>
    <row r="107" spans="1:48">
      <c r="A107" t="s">
        <v>806</v>
      </c>
      <c r="B107" t="s">
        <v>807</v>
      </c>
      <c r="C107" t="s">
        <v>17</v>
      </c>
      <c r="D107" t="s">
        <v>809</v>
      </c>
      <c r="E107" t="s">
        <v>810</v>
      </c>
      <c r="F107" t="s">
        <v>811</v>
      </c>
      <c r="G107" t="s">
        <v>4751</v>
      </c>
      <c r="H107" t="s">
        <v>758</v>
      </c>
      <c r="I107" t="s">
        <v>783</v>
      </c>
      <c r="J107">
        <f>VLOOKUP($I107,'[1]Table S6'!$A:$AI,2,FALSE)</f>
        <v>334.4</v>
      </c>
      <c r="K107">
        <f>VLOOKUP($I107,'[1]Table S6'!$A:$AI,3,FALSE)</f>
        <v>0.71164077463290099</v>
      </c>
      <c r="L107">
        <f>VLOOKUP($I107,'[1]Table S6'!$A:$AI,4,FALSE)</f>
        <v>3.0750000000000002</v>
      </c>
      <c r="M107" t="str">
        <f>VLOOKUP($I107,'[1]Table S6'!$A:$AI,5,FALSE)</f>
        <v>No</v>
      </c>
      <c r="O107">
        <f>VLOOKUP($I107,'[1]Table S6'!$A:$AI,7,FALSE)</f>
        <v>389.8</v>
      </c>
      <c r="P107">
        <f>VLOOKUP($I107,'[1]Table S6'!$A:$AI,8,FALSE)</f>
        <v>0.82953819961693998</v>
      </c>
      <c r="Q107">
        <f>VLOOKUP($I107,'[1]Table S6'!$A:$AI,9,FALSE)</f>
        <v>19.07</v>
      </c>
      <c r="R107" t="str">
        <f>VLOOKUP($I107,'[1]Table S6'!$A:$AI,10,FALSE)</f>
        <v>No</v>
      </c>
      <c r="T107">
        <f>VLOOKUP($I107,'[1]Table S6'!$A:$AI,12,FALSE)</f>
        <v>348.2</v>
      </c>
      <c r="U107">
        <f>VLOOKUP($I107,'[1]Table S6'!$A:$AI,13,FALSE)</f>
        <v>0.74100872526069395</v>
      </c>
      <c r="V107">
        <f>VLOOKUP($I107,'[1]Table S6'!$A:$AI,14,FALSE)</f>
        <v>3.6280000000000001</v>
      </c>
      <c r="W107" t="str">
        <f>VLOOKUP($I107,'[1]Table S6'!$A:$AI,15,FALSE)</f>
        <v>No</v>
      </c>
      <c r="Y107">
        <f>VLOOKUP($I107,'[1]Table S6'!$A:$AI,17,FALSE)</f>
        <v>386.1</v>
      </c>
      <c r="Z107">
        <f>VLOOKUP($I107,'[1]Table S6'!$A:$AI,18,FALSE)</f>
        <v>0.82166418386890805</v>
      </c>
      <c r="AA107">
        <f>VLOOKUP($I107,'[1]Table S6'!$A:$AI,19,FALSE)</f>
        <v>15.89</v>
      </c>
      <c r="AB107" t="str">
        <f>VLOOKUP($I107,'[1]Table S6'!$A:$AI,20,FALSE)</f>
        <v>No</v>
      </c>
      <c r="AD107">
        <f>VLOOKUP($I107,'[1]Table S6'!$A:$AI,22,FALSE)</f>
        <v>383.7</v>
      </c>
      <c r="AE107">
        <f>VLOOKUP($I107,'[1]Table S6'!$A:$AI,23,FALSE)</f>
        <v>0.81655671419450904</v>
      </c>
      <c r="AF107">
        <f>VLOOKUP($I107,'[1]Table S6'!$A:$AI,24,FALSE)</f>
        <v>13.49</v>
      </c>
      <c r="AG107" t="str">
        <f>VLOOKUP($I107,'[1]Table S6'!$A:$AI,25,FALSE)</f>
        <v>No</v>
      </c>
      <c r="AI107">
        <f>VLOOKUP($I107,'[1]Table S6'!$A:$AI,27,FALSE)</f>
        <v>449.8</v>
      </c>
      <c r="AJ107">
        <f>VLOOKUP($I107,'[1]Table S6'!$A:$AI,28,FALSE)</f>
        <v>0.95722494147690995</v>
      </c>
      <c r="AK107">
        <f>VLOOKUP($I107,'[1]Table S6'!$A:$AI,29,FALSE)</f>
        <v>117.5</v>
      </c>
      <c r="AL107" t="str">
        <f>VLOOKUP($I107,'[1]Table S6'!$A:$AI,30,FALSE)</f>
        <v>No</v>
      </c>
      <c r="AN107">
        <f>VLOOKUP($I107,'[1]Table S6'!$A:$AI,32,FALSE)</f>
        <v>448.4</v>
      </c>
      <c r="AO107">
        <f>VLOOKUP($I107,'[1]Table S6'!$A:$AI,33,FALSE)</f>
        <v>0.95424558416684402</v>
      </c>
      <c r="AP107">
        <f>VLOOKUP($I107,'[1]Table S6'!$A:$AI,34,FALSE)</f>
        <v>191.6</v>
      </c>
      <c r="AQ107" t="str">
        <f>VLOOKUP($I107,'[1]Table S6'!$A:$AI,35,FALSE)</f>
        <v>No</v>
      </c>
      <c r="AS107" t="str">
        <f>VLOOKUP($H107,'[2]Table S5'!$A:$K,8,FALSE)</f>
        <v>Resistant</v>
      </c>
      <c r="AT107" t="str">
        <f>VLOOKUP($H107,'[2]Table S5'!$A:$K,9,FALSE)</f>
        <v>Resistant</v>
      </c>
      <c r="AU107" t="str">
        <f>VLOOKUP($H107,'[2]Table S5'!$A:$K,10,FALSE)</f>
        <v>Resistant</v>
      </c>
      <c r="AV107" t="str">
        <f>VLOOKUP($H107,'[2]Table S5'!$A:$K,11,FALSE)</f>
        <v>Resistant</v>
      </c>
    </row>
    <row r="108" spans="1:48">
      <c r="A108" t="s">
        <v>813</v>
      </c>
      <c r="B108" t="s">
        <v>814</v>
      </c>
      <c r="C108" t="s">
        <v>17</v>
      </c>
      <c r="D108" t="s">
        <v>816</v>
      </c>
      <c r="E108" t="s">
        <v>817</v>
      </c>
      <c r="F108" t="s">
        <v>818</v>
      </c>
      <c r="G108" t="s">
        <v>4757</v>
      </c>
      <c r="H108" t="s">
        <v>758</v>
      </c>
      <c r="I108" t="s">
        <v>758</v>
      </c>
      <c r="J108" t="e">
        <f>VLOOKUP($I108,'[1]Table S6'!$A:$AI,2,FALSE)</f>
        <v>#N/A</v>
      </c>
      <c r="K108" t="e">
        <f>VLOOKUP($I108,'[1]Table S6'!$A:$AI,3,FALSE)</f>
        <v>#N/A</v>
      </c>
      <c r="L108" t="e">
        <f>VLOOKUP($I108,'[1]Table S6'!$A:$AI,4,FALSE)</f>
        <v>#N/A</v>
      </c>
      <c r="M108" t="e">
        <f>VLOOKUP($I108,'[1]Table S6'!$A:$AI,5,FALSE)</f>
        <v>#N/A</v>
      </c>
      <c r="O108" t="e">
        <f>VLOOKUP($I108,'[1]Table S6'!$A:$AI,7,FALSE)</f>
        <v>#N/A</v>
      </c>
      <c r="P108" t="e">
        <f>VLOOKUP($I108,'[1]Table S6'!$A:$AI,8,FALSE)</f>
        <v>#N/A</v>
      </c>
      <c r="Q108" t="e">
        <f>VLOOKUP($I108,'[1]Table S6'!$A:$AI,9,FALSE)</f>
        <v>#N/A</v>
      </c>
      <c r="R108" t="e">
        <f>VLOOKUP($I108,'[1]Table S6'!$A:$AI,10,FALSE)</f>
        <v>#N/A</v>
      </c>
      <c r="T108" t="e">
        <f>VLOOKUP($I108,'[1]Table S6'!$A:$AI,12,FALSE)</f>
        <v>#N/A</v>
      </c>
      <c r="U108" t="e">
        <f>VLOOKUP($I108,'[1]Table S6'!$A:$AI,13,FALSE)</f>
        <v>#N/A</v>
      </c>
      <c r="V108" t="e">
        <f>VLOOKUP($I108,'[1]Table S6'!$A:$AI,14,FALSE)</f>
        <v>#N/A</v>
      </c>
      <c r="W108" t="e">
        <f>VLOOKUP($I108,'[1]Table S6'!$A:$AI,15,FALSE)</f>
        <v>#N/A</v>
      </c>
      <c r="Y108" t="e">
        <f>VLOOKUP($I108,'[1]Table S6'!$A:$AI,17,FALSE)</f>
        <v>#N/A</v>
      </c>
      <c r="Z108" t="e">
        <f>VLOOKUP($I108,'[1]Table S6'!$A:$AI,18,FALSE)</f>
        <v>#N/A</v>
      </c>
      <c r="AA108" t="e">
        <f>VLOOKUP($I108,'[1]Table S6'!$A:$AI,19,FALSE)</f>
        <v>#N/A</v>
      </c>
      <c r="AB108" t="e">
        <f>VLOOKUP($I108,'[1]Table S6'!$A:$AI,20,FALSE)</f>
        <v>#N/A</v>
      </c>
      <c r="AD108" t="e">
        <f>VLOOKUP($I108,'[1]Table S6'!$A:$AI,22,FALSE)</f>
        <v>#N/A</v>
      </c>
      <c r="AE108" t="e">
        <f>VLOOKUP($I108,'[1]Table S6'!$A:$AI,23,FALSE)</f>
        <v>#N/A</v>
      </c>
      <c r="AF108" t="e">
        <f>VLOOKUP($I108,'[1]Table S6'!$A:$AI,24,FALSE)</f>
        <v>#N/A</v>
      </c>
      <c r="AG108" t="e">
        <f>VLOOKUP($I108,'[1]Table S6'!$A:$AI,25,FALSE)</f>
        <v>#N/A</v>
      </c>
      <c r="AI108" t="e">
        <f>VLOOKUP($I108,'[1]Table S6'!$A:$AI,27,FALSE)</f>
        <v>#N/A</v>
      </c>
      <c r="AJ108" t="e">
        <f>VLOOKUP($I108,'[1]Table S6'!$A:$AI,28,FALSE)</f>
        <v>#N/A</v>
      </c>
      <c r="AK108" t="e">
        <f>VLOOKUP($I108,'[1]Table S6'!$A:$AI,29,FALSE)</f>
        <v>#N/A</v>
      </c>
      <c r="AL108" t="e">
        <f>VLOOKUP($I108,'[1]Table S6'!$A:$AI,30,FALSE)</f>
        <v>#N/A</v>
      </c>
      <c r="AN108" t="e">
        <f>VLOOKUP($I108,'[1]Table S6'!$A:$AI,32,FALSE)</f>
        <v>#N/A</v>
      </c>
      <c r="AO108" t="e">
        <f>VLOOKUP($I108,'[1]Table S6'!$A:$AI,33,FALSE)</f>
        <v>#N/A</v>
      </c>
      <c r="AP108" t="e">
        <f>VLOOKUP($I108,'[1]Table S6'!$A:$AI,34,FALSE)</f>
        <v>#N/A</v>
      </c>
      <c r="AQ108" t="e">
        <f>VLOOKUP($I108,'[1]Table S6'!$A:$AI,35,FALSE)</f>
        <v>#N/A</v>
      </c>
      <c r="AS108" t="str">
        <f>VLOOKUP($H108,'[2]Table S5'!$A:$K,8,FALSE)</f>
        <v>Resistant</v>
      </c>
      <c r="AT108" t="str">
        <f>VLOOKUP($H108,'[2]Table S5'!$A:$K,9,FALSE)</f>
        <v>Resistant</v>
      </c>
      <c r="AU108" t="str">
        <f>VLOOKUP($H108,'[2]Table S5'!$A:$K,10,FALSE)</f>
        <v>Resistant</v>
      </c>
      <c r="AV108" t="str">
        <f>VLOOKUP($H108,'[2]Table S5'!$A:$K,11,FALSE)</f>
        <v>Resistant</v>
      </c>
    </row>
    <row r="109" spans="1:48">
      <c r="A109" t="s">
        <v>820</v>
      </c>
      <c r="B109" t="s">
        <v>821</v>
      </c>
      <c r="C109" t="s">
        <v>17</v>
      </c>
      <c r="D109" t="s">
        <v>823</v>
      </c>
      <c r="E109" t="s">
        <v>824</v>
      </c>
      <c r="F109" t="s">
        <v>825</v>
      </c>
      <c r="G109" t="s">
        <v>4750</v>
      </c>
      <c r="H109" t="s">
        <v>826</v>
      </c>
      <c r="I109" t="s">
        <v>827</v>
      </c>
      <c r="J109">
        <f>VLOOKUP($I109,'[1]Table S6'!$A:$AI,2,FALSE)</f>
        <v>325.39999999999998</v>
      </c>
      <c r="K109">
        <f>VLOOKUP($I109,'[1]Table S6'!$A:$AI,3,FALSE)</f>
        <v>0.69248776335390505</v>
      </c>
      <c r="L109">
        <f>VLOOKUP($I109,'[1]Table S6'!$A:$AI,4,FALSE)</f>
        <v>2.165</v>
      </c>
      <c r="M109" t="str">
        <f>VLOOKUP($I109,'[1]Table S6'!$A:$AI,5,FALSE)</f>
        <v>Yes</v>
      </c>
      <c r="O109">
        <f>VLOOKUP($I109,'[1]Table S6'!$A:$AI,7,FALSE)</f>
        <v>384.3</v>
      </c>
      <c r="P109">
        <f>VLOOKUP($I109,'[1]Table S6'!$A:$AI,8,FALSE)</f>
        <v>0.81783358161310904</v>
      </c>
      <c r="Q109">
        <f>VLOOKUP($I109,'[1]Table S6'!$A:$AI,9,FALSE)</f>
        <v>18.29</v>
      </c>
      <c r="R109" t="str">
        <f>VLOOKUP($I109,'[1]Table S6'!$A:$AI,10,FALSE)</f>
        <v>No</v>
      </c>
      <c r="T109">
        <f>VLOOKUP($I109,'[1]Table S6'!$A:$AI,12,FALSE)</f>
        <v>313.2</v>
      </c>
      <c r="U109">
        <f>VLOOKUP($I109,'[1]Table S6'!$A:$AI,13,FALSE)</f>
        <v>0.66652479250904495</v>
      </c>
      <c r="V109">
        <f>VLOOKUP($I109,'[1]Table S6'!$A:$AI,14,FALSE)</f>
        <v>1.393</v>
      </c>
      <c r="W109" t="str">
        <f>VLOOKUP($I109,'[1]Table S6'!$A:$AI,15,FALSE)</f>
        <v>Yes</v>
      </c>
      <c r="Y109">
        <f>VLOOKUP($I109,'[1]Table S6'!$A:$AI,17,FALSE)</f>
        <v>355.3</v>
      </c>
      <c r="Z109">
        <f>VLOOKUP($I109,'[1]Table S6'!$A:$AI,18,FALSE)</f>
        <v>0.75611832304745696</v>
      </c>
      <c r="AA109">
        <f>VLOOKUP($I109,'[1]Table S6'!$A:$AI,19,FALSE)</f>
        <v>6.6120000000000001</v>
      </c>
      <c r="AB109" t="str">
        <f>VLOOKUP($I109,'[1]Table S6'!$A:$AI,20,FALSE)</f>
        <v>No</v>
      </c>
      <c r="AD109">
        <f>VLOOKUP($I109,'[1]Table S6'!$A:$AI,22,FALSE)</f>
        <v>407.2</v>
      </c>
      <c r="AE109">
        <f>VLOOKUP($I109,'[1]Table S6'!$A:$AI,23,FALSE)</f>
        <v>0.86656735475633095</v>
      </c>
      <c r="AF109">
        <f>VLOOKUP($I109,'[1]Table S6'!$A:$AI,24,FALSE)</f>
        <v>33.869999999999997</v>
      </c>
      <c r="AG109" t="str">
        <f>VLOOKUP($I109,'[1]Table S6'!$A:$AI,25,FALSE)</f>
        <v>No</v>
      </c>
      <c r="AI109">
        <f>VLOOKUP($I109,'[1]Table S6'!$A:$AI,27,FALSE)</f>
        <v>424.5</v>
      </c>
      <c r="AJ109">
        <f>VLOOKUP($I109,'[1]Table S6'!$A:$AI,28,FALSE)</f>
        <v>0.90338369865928903</v>
      </c>
      <c r="AK109">
        <f>VLOOKUP($I109,'[1]Table S6'!$A:$AI,29,FALSE)</f>
        <v>90.9</v>
      </c>
      <c r="AL109" t="str">
        <f>VLOOKUP($I109,'[1]Table S6'!$A:$AI,30,FALSE)</f>
        <v>No</v>
      </c>
      <c r="AN109">
        <f>VLOOKUP($I109,'[1]Table S6'!$A:$AI,32,FALSE)</f>
        <v>422.4</v>
      </c>
      <c r="AO109">
        <f>VLOOKUP($I109,'[1]Table S6'!$A:$AI,33,FALSE)</f>
        <v>0.89891466269418996</v>
      </c>
      <c r="AP109">
        <f>VLOOKUP($I109,'[1]Table S6'!$A:$AI,34,FALSE)</f>
        <v>72</v>
      </c>
      <c r="AQ109" t="str">
        <f>VLOOKUP($I109,'[1]Table S6'!$A:$AI,35,FALSE)</f>
        <v>No</v>
      </c>
      <c r="AS109" t="str">
        <f>VLOOKUP($H109,'[2]Table S5'!$A:$K,8,FALSE)</f>
        <v>Resistant</v>
      </c>
      <c r="AT109" t="str">
        <f>VLOOKUP($H109,'[2]Table S5'!$A:$K,9,FALSE)</f>
        <v>Resistant</v>
      </c>
      <c r="AU109" t="str">
        <f>VLOOKUP($H109,'[2]Table S5'!$A:$K,10,FALSE)</f>
        <v>Resistant</v>
      </c>
      <c r="AV109" t="str">
        <f>VLOOKUP($H109,'[2]Table S5'!$A:$K,11,FALSE)</f>
        <v>Resistant</v>
      </c>
    </row>
    <row r="110" spans="1:48">
      <c r="A110" t="s">
        <v>829</v>
      </c>
      <c r="B110" t="s">
        <v>830</v>
      </c>
      <c r="C110" t="s">
        <v>17</v>
      </c>
      <c r="D110" t="s">
        <v>832</v>
      </c>
      <c r="E110" t="s">
        <v>833</v>
      </c>
      <c r="F110" t="s">
        <v>834</v>
      </c>
      <c r="G110" t="s">
        <v>4750</v>
      </c>
      <c r="H110" t="s">
        <v>826</v>
      </c>
      <c r="I110" t="s">
        <v>835</v>
      </c>
      <c r="J110">
        <f>VLOOKUP($I110,'[1]Table S6'!$A:$AI,2,FALSE)</f>
        <v>375.9</v>
      </c>
      <c r="K110">
        <f>VLOOKUP($I110,'[1]Table S6'!$A:$AI,3,FALSE)</f>
        <v>0.799957437752713</v>
      </c>
      <c r="L110">
        <f>VLOOKUP($I110,'[1]Table S6'!$A:$AI,4,FALSE)</f>
        <v>9.3379999999999992</v>
      </c>
      <c r="M110" t="str">
        <f>VLOOKUP($I110,'[1]Table S6'!$A:$AI,5,FALSE)</f>
        <v>No</v>
      </c>
      <c r="O110">
        <f>VLOOKUP($I110,'[1]Table S6'!$A:$AI,7,FALSE)</f>
        <v>368.9</v>
      </c>
      <c r="P110">
        <f>VLOOKUP($I110,'[1]Table S6'!$A:$AI,8,FALSE)</f>
        <v>0.785060651202383</v>
      </c>
      <c r="Q110">
        <f>VLOOKUP($I110,'[1]Table S6'!$A:$AI,9,FALSE)</f>
        <v>10.06</v>
      </c>
      <c r="R110" t="str">
        <f>VLOOKUP($I110,'[1]Table S6'!$A:$AI,10,FALSE)</f>
        <v>No</v>
      </c>
      <c r="T110">
        <f>VLOOKUP($I110,'[1]Table S6'!$A:$AI,12,FALSE)</f>
        <v>344.3</v>
      </c>
      <c r="U110">
        <f>VLOOKUP($I110,'[1]Table S6'!$A:$AI,13,FALSE)</f>
        <v>0.73270908703979598</v>
      </c>
      <c r="V110">
        <f>VLOOKUP($I110,'[1]Table S6'!$A:$AI,14,FALSE)</f>
        <v>3.105</v>
      </c>
      <c r="W110" t="str">
        <f>VLOOKUP($I110,'[1]Table S6'!$A:$AI,15,FALSE)</f>
        <v>No</v>
      </c>
      <c r="Y110">
        <f>VLOOKUP($I110,'[1]Table S6'!$A:$AI,17,FALSE)</f>
        <v>386.1</v>
      </c>
      <c r="Z110">
        <f>VLOOKUP($I110,'[1]Table S6'!$A:$AI,18,FALSE)</f>
        <v>0.82166418386890805</v>
      </c>
      <c r="AA110">
        <f>VLOOKUP($I110,'[1]Table S6'!$A:$AI,19,FALSE)</f>
        <v>18.45</v>
      </c>
      <c r="AB110" t="str">
        <f>VLOOKUP($I110,'[1]Table S6'!$A:$AI,20,FALSE)</f>
        <v>No</v>
      </c>
      <c r="AD110">
        <f>VLOOKUP($I110,'[1]Table S6'!$A:$AI,22,FALSE)</f>
        <v>393.3</v>
      </c>
      <c r="AE110">
        <f>VLOOKUP($I110,'[1]Table S6'!$A:$AI,23,FALSE)</f>
        <v>0.83698659289210497</v>
      </c>
      <c r="AF110">
        <f>VLOOKUP($I110,'[1]Table S6'!$A:$AI,24,FALSE)</f>
        <v>22.2</v>
      </c>
      <c r="AG110" t="str">
        <f>VLOOKUP($I110,'[1]Table S6'!$A:$AI,25,FALSE)</f>
        <v>No</v>
      </c>
      <c r="AI110">
        <f>VLOOKUP($I110,'[1]Table S6'!$A:$AI,27,FALSE)</f>
        <v>428.1</v>
      </c>
      <c r="AJ110">
        <f>VLOOKUP($I110,'[1]Table S6'!$A:$AI,28,FALSE)</f>
        <v>0.91104490317088704</v>
      </c>
      <c r="AK110">
        <f>VLOOKUP($I110,'[1]Table S6'!$A:$AI,29,FALSE)</f>
        <v>141.80000000000001</v>
      </c>
      <c r="AL110" t="str">
        <f>VLOOKUP($I110,'[1]Table S6'!$A:$AI,30,FALSE)</f>
        <v>No</v>
      </c>
      <c r="AN110">
        <f>VLOOKUP($I110,'[1]Table S6'!$A:$AI,32,FALSE)</f>
        <v>434.1</v>
      </c>
      <c r="AO110">
        <f>VLOOKUP($I110,'[1]Table S6'!$A:$AI,33,FALSE)</f>
        <v>0.92381357735688496</v>
      </c>
      <c r="AP110">
        <f>VLOOKUP($I110,'[1]Table S6'!$A:$AI,34,FALSE)</f>
        <v>154</v>
      </c>
      <c r="AQ110" t="str">
        <f>VLOOKUP($I110,'[1]Table S6'!$A:$AI,35,FALSE)</f>
        <v>No</v>
      </c>
      <c r="AS110" t="str">
        <f>VLOOKUP($H110,'[2]Table S5'!$A:$K,8,FALSE)</f>
        <v>Resistant</v>
      </c>
      <c r="AT110" t="str">
        <f>VLOOKUP($H110,'[2]Table S5'!$A:$K,9,FALSE)</f>
        <v>Resistant</v>
      </c>
      <c r="AU110" t="str">
        <f>VLOOKUP($H110,'[2]Table S5'!$A:$K,10,FALSE)</f>
        <v>Resistant</v>
      </c>
      <c r="AV110" t="str">
        <f>VLOOKUP($H110,'[2]Table S5'!$A:$K,11,FALSE)</f>
        <v>Resistant</v>
      </c>
    </row>
    <row r="111" spans="1:48">
      <c r="A111" t="s">
        <v>837</v>
      </c>
      <c r="B111" t="s">
        <v>838</v>
      </c>
      <c r="C111" t="s">
        <v>17</v>
      </c>
      <c r="D111" t="s">
        <v>840</v>
      </c>
      <c r="E111" t="s">
        <v>841</v>
      </c>
      <c r="F111" t="s">
        <v>842</v>
      </c>
      <c r="G111" t="s">
        <v>4750</v>
      </c>
      <c r="H111" t="s">
        <v>826</v>
      </c>
      <c r="I111" t="s">
        <v>843</v>
      </c>
      <c r="J111">
        <f>VLOOKUP($I111,'[1]Table S6'!$A:$AI,2,FALSE)</f>
        <v>313.8</v>
      </c>
      <c r="K111">
        <f>VLOOKUP($I111,'[1]Table S6'!$A:$AI,3,FALSE)</f>
        <v>0.66780165992764395</v>
      </c>
      <c r="L111">
        <f>VLOOKUP($I111,'[1]Table S6'!$A:$AI,4,FALSE)</f>
        <v>1.4370000000000001</v>
      </c>
      <c r="M111" t="str">
        <f>VLOOKUP($I111,'[1]Table S6'!$A:$AI,5,FALSE)</f>
        <v>Yes</v>
      </c>
      <c r="O111">
        <f>VLOOKUP($I111,'[1]Table S6'!$A:$AI,7,FALSE)</f>
        <v>367.1</v>
      </c>
      <c r="P111">
        <f>VLOOKUP($I111,'[1]Table S6'!$A:$AI,8,FALSE)</f>
        <v>0.78123004894658399</v>
      </c>
      <c r="Q111">
        <f>VLOOKUP($I111,'[1]Table S6'!$A:$AI,9,FALSE)</f>
        <v>8.8559999999999999</v>
      </c>
      <c r="R111" t="str">
        <f>VLOOKUP($I111,'[1]Table S6'!$A:$AI,10,FALSE)</f>
        <v>No</v>
      </c>
      <c r="T111">
        <f>VLOOKUP($I111,'[1]Table S6'!$A:$AI,12,FALSE)</f>
        <v>324.8</v>
      </c>
      <c r="U111">
        <f>VLOOKUP($I111,'[1]Table S6'!$A:$AI,13,FALSE)</f>
        <v>0.69121089593530505</v>
      </c>
      <c r="V111">
        <f>VLOOKUP($I111,'[1]Table S6'!$A:$AI,14,FALSE)</f>
        <v>1.619</v>
      </c>
      <c r="W111" t="str">
        <f>VLOOKUP($I111,'[1]Table S6'!$A:$AI,15,FALSE)</f>
        <v>Yes</v>
      </c>
      <c r="Y111">
        <f>VLOOKUP($I111,'[1]Table S6'!$A:$AI,17,FALSE)</f>
        <v>315.39999999999998</v>
      </c>
      <c r="Z111">
        <f>VLOOKUP($I111,'[1]Table S6'!$A:$AI,18,FALSE)</f>
        <v>0.67120663971057704</v>
      </c>
      <c r="AA111">
        <f>VLOOKUP($I111,'[1]Table S6'!$A:$AI,19,FALSE)</f>
        <v>1.7769999999999999</v>
      </c>
      <c r="AB111" t="str">
        <f>VLOOKUP($I111,'[1]Table S6'!$A:$AI,20,FALSE)</f>
        <v>Yes</v>
      </c>
      <c r="AD111">
        <f>VLOOKUP($I111,'[1]Table S6'!$A:$AI,22,FALSE)</f>
        <v>417.1</v>
      </c>
      <c r="AE111">
        <f>VLOOKUP($I111,'[1]Table S6'!$A:$AI,23,FALSE)</f>
        <v>0.88763566716322595</v>
      </c>
      <c r="AF111">
        <f>VLOOKUP($I111,'[1]Table S6'!$A:$AI,24,FALSE)</f>
        <v>70.41</v>
      </c>
      <c r="AG111" t="str">
        <f>VLOOKUP($I111,'[1]Table S6'!$A:$AI,25,FALSE)</f>
        <v>No</v>
      </c>
      <c r="AI111">
        <f>VLOOKUP($I111,'[1]Table S6'!$A:$AI,27,FALSE)</f>
        <v>427.5</v>
      </c>
      <c r="AJ111">
        <f>VLOOKUP($I111,'[1]Table S6'!$A:$AI,28,FALSE)</f>
        <v>0.90976803575228804</v>
      </c>
      <c r="AK111">
        <f>VLOOKUP($I111,'[1]Table S6'!$A:$AI,29,FALSE)</f>
        <v>110.9</v>
      </c>
      <c r="AL111" t="str">
        <f>VLOOKUP($I111,'[1]Table S6'!$A:$AI,30,FALSE)</f>
        <v>No</v>
      </c>
      <c r="AN111">
        <f>VLOOKUP($I111,'[1]Table S6'!$A:$AI,32,FALSE)</f>
        <v>412.6</v>
      </c>
      <c r="AO111">
        <f>VLOOKUP($I111,'[1]Table S6'!$A:$AI,33,FALSE)</f>
        <v>0.87805916152372898</v>
      </c>
      <c r="AP111">
        <f>VLOOKUP($I111,'[1]Table S6'!$A:$AI,34,FALSE)</f>
        <v>40.409999999999997</v>
      </c>
      <c r="AQ111" t="str">
        <f>VLOOKUP($I111,'[1]Table S6'!$A:$AI,35,FALSE)</f>
        <v>No</v>
      </c>
      <c r="AS111" t="str">
        <f>VLOOKUP($H111,'[2]Table S5'!$A:$K,8,FALSE)</f>
        <v>Resistant</v>
      </c>
      <c r="AT111" t="str">
        <f>VLOOKUP($H111,'[2]Table S5'!$A:$K,9,FALSE)</f>
        <v>Resistant</v>
      </c>
      <c r="AU111" t="str">
        <f>VLOOKUP($H111,'[2]Table S5'!$A:$K,10,FALSE)</f>
        <v>Resistant</v>
      </c>
      <c r="AV111" t="str">
        <f>VLOOKUP($H111,'[2]Table S5'!$A:$K,11,FALSE)</f>
        <v>Resistant</v>
      </c>
    </row>
    <row r="112" spans="1:48">
      <c r="A112" t="s">
        <v>845</v>
      </c>
      <c r="B112" t="s">
        <v>846</v>
      </c>
      <c r="C112" t="s">
        <v>17</v>
      </c>
      <c r="D112" t="s">
        <v>848</v>
      </c>
      <c r="E112" t="s">
        <v>849</v>
      </c>
      <c r="F112" t="s">
        <v>850</v>
      </c>
      <c r="G112" t="s">
        <v>4751</v>
      </c>
      <c r="H112" t="s">
        <v>826</v>
      </c>
      <c r="I112" t="s">
        <v>827</v>
      </c>
      <c r="J112">
        <f>VLOOKUP($I112,'[1]Table S6'!$A:$AI,2,FALSE)</f>
        <v>325.39999999999998</v>
      </c>
      <c r="K112">
        <f>VLOOKUP($I112,'[1]Table S6'!$A:$AI,3,FALSE)</f>
        <v>0.69248776335390505</v>
      </c>
      <c r="L112">
        <f>VLOOKUP($I112,'[1]Table S6'!$A:$AI,4,FALSE)</f>
        <v>2.165</v>
      </c>
      <c r="M112" t="str">
        <f>VLOOKUP($I112,'[1]Table S6'!$A:$AI,5,FALSE)</f>
        <v>Yes</v>
      </c>
      <c r="O112">
        <f>VLOOKUP($I112,'[1]Table S6'!$A:$AI,7,FALSE)</f>
        <v>384.3</v>
      </c>
      <c r="P112">
        <f>VLOOKUP($I112,'[1]Table S6'!$A:$AI,8,FALSE)</f>
        <v>0.81783358161310904</v>
      </c>
      <c r="Q112">
        <f>VLOOKUP($I112,'[1]Table S6'!$A:$AI,9,FALSE)</f>
        <v>18.29</v>
      </c>
      <c r="R112" t="str">
        <f>VLOOKUP($I112,'[1]Table S6'!$A:$AI,10,FALSE)</f>
        <v>No</v>
      </c>
      <c r="T112">
        <f>VLOOKUP($I112,'[1]Table S6'!$A:$AI,12,FALSE)</f>
        <v>313.2</v>
      </c>
      <c r="U112">
        <f>VLOOKUP($I112,'[1]Table S6'!$A:$AI,13,FALSE)</f>
        <v>0.66652479250904495</v>
      </c>
      <c r="V112">
        <f>VLOOKUP($I112,'[1]Table S6'!$A:$AI,14,FALSE)</f>
        <v>1.393</v>
      </c>
      <c r="W112" t="str">
        <f>VLOOKUP($I112,'[1]Table S6'!$A:$AI,15,FALSE)</f>
        <v>Yes</v>
      </c>
      <c r="Y112">
        <f>VLOOKUP($I112,'[1]Table S6'!$A:$AI,17,FALSE)</f>
        <v>355.3</v>
      </c>
      <c r="Z112">
        <f>VLOOKUP($I112,'[1]Table S6'!$A:$AI,18,FALSE)</f>
        <v>0.75611832304745696</v>
      </c>
      <c r="AA112">
        <f>VLOOKUP($I112,'[1]Table S6'!$A:$AI,19,FALSE)</f>
        <v>6.6120000000000001</v>
      </c>
      <c r="AB112" t="str">
        <f>VLOOKUP($I112,'[1]Table S6'!$A:$AI,20,FALSE)</f>
        <v>No</v>
      </c>
      <c r="AD112">
        <f>VLOOKUP($I112,'[1]Table S6'!$A:$AI,22,FALSE)</f>
        <v>407.2</v>
      </c>
      <c r="AE112">
        <f>VLOOKUP($I112,'[1]Table S6'!$A:$AI,23,FALSE)</f>
        <v>0.86656735475633095</v>
      </c>
      <c r="AF112">
        <f>VLOOKUP($I112,'[1]Table S6'!$A:$AI,24,FALSE)</f>
        <v>33.869999999999997</v>
      </c>
      <c r="AG112" t="str">
        <f>VLOOKUP($I112,'[1]Table S6'!$A:$AI,25,FALSE)</f>
        <v>No</v>
      </c>
      <c r="AI112">
        <f>VLOOKUP($I112,'[1]Table S6'!$A:$AI,27,FALSE)</f>
        <v>424.5</v>
      </c>
      <c r="AJ112">
        <f>VLOOKUP($I112,'[1]Table S6'!$A:$AI,28,FALSE)</f>
        <v>0.90338369865928903</v>
      </c>
      <c r="AK112">
        <f>VLOOKUP($I112,'[1]Table S6'!$A:$AI,29,FALSE)</f>
        <v>90.9</v>
      </c>
      <c r="AL112" t="str">
        <f>VLOOKUP($I112,'[1]Table S6'!$A:$AI,30,FALSE)</f>
        <v>No</v>
      </c>
      <c r="AN112">
        <f>VLOOKUP($I112,'[1]Table S6'!$A:$AI,32,FALSE)</f>
        <v>422.4</v>
      </c>
      <c r="AO112">
        <f>VLOOKUP($I112,'[1]Table S6'!$A:$AI,33,FALSE)</f>
        <v>0.89891466269418996</v>
      </c>
      <c r="AP112">
        <f>VLOOKUP($I112,'[1]Table S6'!$A:$AI,34,FALSE)</f>
        <v>72</v>
      </c>
      <c r="AQ112" t="str">
        <f>VLOOKUP($I112,'[1]Table S6'!$A:$AI,35,FALSE)</f>
        <v>No</v>
      </c>
      <c r="AS112" t="str">
        <f>VLOOKUP($H112,'[2]Table S5'!$A:$K,8,FALSE)</f>
        <v>Resistant</v>
      </c>
      <c r="AT112" t="str">
        <f>VLOOKUP($H112,'[2]Table S5'!$A:$K,9,FALSE)</f>
        <v>Resistant</v>
      </c>
      <c r="AU112" t="str">
        <f>VLOOKUP($H112,'[2]Table S5'!$A:$K,10,FALSE)</f>
        <v>Resistant</v>
      </c>
      <c r="AV112" t="str">
        <f>VLOOKUP($H112,'[2]Table S5'!$A:$K,11,FALSE)</f>
        <v>Resistant</v>
      </c>
    </row>
    <row r="113" spans="1:48">
      <c r="A113" t="s">
        <v>852</v>
      </c>
      <c r="B113" t="s">
        <v>853</v>
      </c>
      <c r="C113" t="s">
        <v>17</v>
      </c>
      <c r="D113" t="s">
        <v>855</v>
      </c>
      <c r="E113" t="s">
        <v>856</v>
      </c>
      <c r="F113" t="s">
        <v>857</v>
      </c>
      <c r="G113" t="s">
        <v>4751</v>
      </c>
      <c r="H113" t="s">
        <v>826</v>
      </c>
      <c r="I113" t="s">
        <v>835</v>
      </c>
      <c r="J113">
        <f>VLOOKUP($I113,'[1]Table S6'!$A:$AI,2,FALSE)</f>
        <v>375.9</v>
      </c>
      <c r="K113">
        <f>VLOOKUP($I113,'[1]Table S6'!$A:$AI,3,FALSE)</f>
        <v>0.799957437752713</v>
      </c>
      <c r="L113">
        <f>VLOOKUP($I113,'[1]Table S6'!$A:$AI,4,FALSE)</f>
        <v>9.3379999999999992</v>
      </c>
      <c r="M113" t="str">
        <f>VLOOKUP($I113,'[1]Table S6'!$A:$AI,5,FALSE)</f>
        <v>No</v>
      </c>
      <c r="O113">
        <f>VLOOKUP($I113,'[1]Table S6'!$A:$AI,7,FALSE)</f>
        <v>368.9</v>
      </c>
      <c r="P113">
        <f>VLOOKUP($I113,'[1]Table S6'!$A:$AI,8,FALSE)</f>
        <v>0.785060651202383</v>
      </c>
      <c r="Q113">
        <f>VLOOKUP($I113,'[1]Table S6'!$A:$AI,9,FALSE)</f>
        <v>10.06</v>
      </c>
      <c r="R113" t="str">
        <f>VLOOKUP($I113,'[1]Table S6'!$A:$AI,10,FALSE)</f>
        <v>No</v>
      </c>
      <c r="T113">
        <f>VLOOKUP($I113,'[1]Table S6'!$A:$AI,12,FALSE)</f>
        <v>344.3</v>
      </c>
      <c r="U113">
        <f>VLOOKUP($I113,'[1]Table S6'!$A:$AI,13,FALSE)</f>
        <v>0.73270908703979598</v>
      </c>
      <c r="V113">
        <f>VLOOKUP($I113,'[1]Table S6'!$A:$AI,14,FALSE)</f>
        <v>3.105</v>
      </c>
      <c r="W113" t="str">
        <f>VLOOKUP($I113,'[1]Table S6'!$A:$AI,15,FALSE)</f>
        <v>No</v>
      </c>
      <c r="Y113">
        <f>VLOOKUP($I113,'[1]Table S6'!$A:$AI,17,FALSE)</f>
        <v>386.1</v>
      </c>
      <c r="Z113">
        <f>VLOOKUP($I113,'[1]Table S6'!$A:$AI,18,FALSE)</f>
        <v>0.82166418386890805</v>
      </c>
      <c r="AA113">
        <f>VLOOKUP($I113,'[1]Table S6'!$A:$AI,19,FALSE)</f>
        <v>18.45</v>
      </c>
      <c r="AB113" t="str">
        <f>VLOOKUP($I113,'[1]Table S6'!$A:$AI,20,FALSE)</f>
        <v>No</v>
      </c>
      <c r="AD113">
        <f>VLOOKUP($I113,'[1]Table S6'!$A:$AI,22,FALSE)</f>
        <v>393.3</v>
      </c>
      <c r="AE113">
        <f>VLOOKUP($I113,'[1]Table S6'!$A:$AI,23,FALSE)</f>
        <v>0.83698659289210497</v>
      </c>
      <c r="AF113">
        <f>VLOOKUP($I113,'[1]Table S6'!$A:$AI,24,FALSE)</f>
        <v>22.2</v>
      </c>
      <c r="AG113" t="str">
        <f>VLOOKUP($I113,'[1]Table S6'!$A:$AI,25,FALSE)</f>
        <v>No</v>
      </c>
      <c r="AI113">
        <f>VLOOKUP($I113,'[1]Table S6'!$A:$AI,27,FALSE)</f>
        <v>428.1</v>
      </c>
      <c r="AJ113">
        <f>VLOOKUP($I113,'[1]Table S6'!$A:$AI,28,FALSE)</f>
        <v>0.91104490317088704</v>
      </c>
      <c r="AK113">
        <f>VLOOKUP($I113,'[1]Table S6'!$A:$AI,29,FALSE)</f>
        <v>141.80000000000001</v>
      </c>
      <c r="AL113" t="str">
        <f>VLOOKUP($I113,'[1]Table S6'!$A:$AI,30,FALSE)</f>
        <v>No</v>
      </c>
      <c r="AN113">
        <f>VLOOKUP($I113,'[1]Table S6'!$A:$AI,32,FALSE)</f>
        <v>434.1</v>
      </c>
      <c r="AO113">
        <f>VLOOKUP($I113,'[1]Table S6'!$A:$AI,33,FALSE)</f>
        <v>0.92381357735688496</v>
      </c>
      <c r="AP113">
        <f>VLOOKUP($I113,'[1]Table S6'!$A:$AI,34,FALSE)</f>
        <v>154</v>
      </c>
      <c r="AQ113" t="str">
        <f>VLOOKUP($I113,'[1]Table S6'!$A:$AI,35,FALSE)</f>
        <v>No</v>
      </c>
      <c r="AS113" t="str">
        <f>VLOOKUP($H113,'[2]Table S5'!$A:$K,8,FALSE)</f>
        <v>Resistant</v>
      </c>
      <c r="AT113" t="str">
        <f>VLOOKUP($H113,'[2]Table S5'!$A:$K,9,FALSE)</f>
        <v>Resistant</v>
      </c>
      <c r="AU113" t="str">
        <f>VLOOKUP($H113,'[2]Table S5'!$A:$K,10,FALSE)</f>
        <v>Resistant</v>
      </c>
      <c r="AV113" t="str">
        <f>VLOOKUP($H113,'[2]Table S5'!$A:$K,11,FALSE)</f>
        <v>Resistant</v>
      </c>
    </row>
    <row r="114" spans="1:48">
      <c r="A114" t="s">
        <v>859</v>
      </c>
      <c r="B114" t="s">
        <v>860</v>
      </c>
      <c r="C114" t="s">
        <v>17</v>
      </c>
      <c r="D114" t="s">
        <v>862</v>
      </c>
      <c r="E114" t="s">
        <v>863</v>
      </c>
      <c r="F114" t="s">
        <v>864</v>
      </c>
      <c r="G114" t="s">
        <v>4751</v>
      </c>
      <c r="H114" t="s">
        <v>826</v>
      </c>
      <c r="I114" t="s">
        <v>843</v>
      </c>
      <c r="J114">
        <f>VLOOKUP($I114,'[1]Table S6'!$A:$AI,2,FALSE)</f>
        <v>313.8</v>
      </c>
      <c r="K114">
        <f>VLOOKUP($I114,'[1]Table S6'!$A:$AI,3,FALSE)</f>
        <v>0.66780165992764395</v>
      </c>
      <c r="L114">
        <f>VLOOKUP($I114,'[1]Table S6'!$A:$AI,4,FALSE)</f>
        <v>1.4370000000000001</v>
      </c>
      <c r="M114" t="str">
        <f>VLOOKUP($I114,'[1]Table S6'!$A:$AI,5,FALSE)</f>
        <v>Yes</v>
      </c>
      <c r="O114">
        <f>VLOOKUP($I114,'[1]Table S6'!$A:$AI,7,FALSE)</f>
        <v>367.1</v>
      </c>
      <c r="P114">
        <f>VLOOKUP($I114,'[1]Table S6'!$A:$AI,8,FALSE)</f>
        <v>0.78123004894658399</v>
      </c>
      <c r="Q114">
        <f>VLOOKUP($I114,'[1]Table S6'!$A:$AI,9,FALSE)</f>
        <v>8.8559999999999999</v>
      </c>
      <c r="R114" t="str">
        <f>VLOOKUP($I114,'[1]Table S6'!$A:$AI,10,FALSE)</f>
        <v>No</v>
      </c>
      <c r="T114">
        <f>VLOOKUP($I114,'[1]Table S6'!$A:$AI,12,FALSE)</f>
        <v>324.8</v>
      </c>
      <c r="U114">
        <f>VLOOKUP($I114,'[1]Table S6'!$A:$AI,13,FALSE)</f>
        <v>0.69121089593530505</v>
      </c>
      <c r="V114">
        <f>VLOOKUP($I114,'[1]Table S6'!$A:$AI,14,FALSE)</f>
        <v>1.619</v>
      </c>
      <c r="W114" t="str">
        <f>VLOOKUP($I114,'[1]Table S6'!$A:$AI,15,FALSE)</f>
        <v>Yes</v>
      </c>
      <c r="Y114">
        <f>VLOOKUP($I114,'[1]Table S6'!$A:$AI,17,FALSE)</f>
        <v>315.39999999999998</v>
      </c>
      <c r="Z114">
        <f>VLOOKUP($I114,'[1]Table S6'!$A:$AI,18,FALSE)</f>
        <v>0.67120663971057704</v>
      </c>
      <c r="AA114">
        <f>VLOOKUP($I114,'[1]Table S6'!$A:$AI,19,FALSE)</f>
        <v>1.7769999999999999</v>
      </c>
      <c r="AB114" t="str">
        <f>VLOOKUP($I114,'[1]Table S6'!$A:$AI,20,FALSE)</f>
        <v>Yes</v>
      </c>
      <c r="AD114">
        <f>VLOOKUP($I114,'[1]Table S6'!$A:$AI,22,FALSE)</f>
        <v>417.1</v>
      </c>
      <c r="AE114">
        <f>VLOOKUP($I114,'[1]Table S6'!$A:$AI,23,FALSE)</f>
        <v>0.88763566716322595</v>
      </c>
      <c r="AF114">
        <f>VLOOKUP($I114,'[1]Table S6'!$A:$AI,24,FALSE)</f>
        <v>70.41</v>
      </c>
      <c r="AG114" t="str">
        <f>VLOOKUP($I114,'[1]Table S6'!$A:$AI,25,FALSE)</f>
        <v>No</v>
      </c>
      <c r="AI114">
        <f>VLOOKUP($I114,'[1]Table S6'!$A:$AI,27,FALSE)</f>
        <v>427.5</v>
      </c>
      <c r="AJ114">
        <f>VLOOKUP($I114,'[1]Table S6'!$A:$AI,28,FALSE)</f>
        <v>0.90976803575228804</v>
      </c>
      <c r="AK114">
        <f>VLOOKUP($I114,'[1]Table S6'!$A:$AI,29,FALSE)</f>
        <v>110.9</v>
      </c>
      <c r="AL114" t="str">
        <f>VLOOKUP($I114,'[1]Table S6'!$A:$AI,30,FALSE)</f>
        <v>No</v>
      </c>
      <c r="AN114">
        <f>VLOOKUP($I114,'[1]Table S6'!$A:$AI,32,FALSE)</f>
        <v>412.6</v>
      </c>
      <c r="AO114">
        <f>VLOOKUP($I114,'[1]Table S6'!$A:$AI,33,FALSE)</f>
        <v>0.87805916152372898</v>
      </c>
      <c r="AP114">
        <f>VLOOKUP($I114,'[1]Table S6'!$A:$AI,34,FALSE)</f>
        <v>40.409999999999997</v>
      </c>
      <c r="AQ114" t="str">
        <f>VLOOKUP($I114,'[1]Table S6'!$A:$AI,35,FALSE)</f>
        <v>No</v>
      </c>
      <c r="AS114" t="str">
        <f>VLOOKUP($H114,'[2]Table S5'!$A:$K,8,FALSE)</f>
        <v>Resistant</v>
      </c>
      <c r="AT114" t="str">
        <f>VLOOKUP($H114,'[2]Table S5'!$A:$K,9,FALSE)</f>
        <v>Resistant</v>
      </c>
      <c r="AU114" t="str">
        <f>VLOOKUP($H114,'[2]Table S5'!$A:$K,10,FALSE)</f>
        <v>Resistant</v>
      </c>
      <c r="AV114" t="str">
        <f>VLOOKUP($H114,'[2]Table S5'!$A:$K,11,FALSE)</f>
        <v>Resistant</v>
      </c>
    </row>
    <row r="115" spans="1:48">
      <c r="A115" t="s">
        <v>866</v>
      </c>
      <c r="B115" t="s">
        <v>867</v>
      </c>
      <c r="C115" t="s">
        <v>17</v>
      </c>
      <c r="D115" t="s">
        <v>869</v>
      </c>
      <c r="E115" t="s">
        <v>870</v>
      </c>
      <c r="F115" t="s">
        <v>871</v>
      </c>
      <c r="G115" t="s">
        <v>4757</v>
      </c>
      <c r="H115" t="s">
        <v>826</v>
      </c>
      <c r="I115" t="s">
        <v>826</v>
      </c>
      <c r="J115" t="e">
        <f>VLOOKUP($I115,'[1]Table S6'!$A:$AI,2,FALSE)</f>
        <v>#N/A</v>
      </c>
      <c r="K115" t="e">
        <f>VLOOKUP($I115,'[1]Table S6'!$A:$AI,3,FALSE)</f>
        <v>#N/A</v>
      </c>
      <c r="L115" t="e">
        <f>VLOOKUP($I115,'[1]Table S6'!$A:$AI,4,FALSE)</f>
        <v>#N/A</v>
      </c>
      <c r="M115" t="e">
        <f>VLOOKUP($I115,'[1]Table S6'!$A:$AI,5,FALSE)</f>
        <v>#N/A</v>
      </c>
      <c r="O115" t="e">
        <f>VLOOKUP($I115,'[1]Table S6'!$A:$AI,7,FALSE)</f>
        <v>#N/A</v>
      </c>
      <c r="P115" t="e">
        <f>VLOOKUP($I115,'[1]Table S6'!$A:$AI,8,FALSE)</f>
        <v>#N/A</v>
      </c>
      <c r="Q115" t="e">
        <f>VLOOKUP($I115,'[1]Table S6'!$A:$AI,9,FALSE)</f>
        <v>#N/A</v>
      </c>
      <c r="R115" t="e">
        <f>VLOOKUP($I115,'[1]Table S6'!$A:$AI,10,FALSE)</f>
        <v>#N/A</v>
      </c>
      <c r="T115" t="e">
        <f>VLOOKUP($I115,'[1]Table S6'!$A:$AI,12,FALSE)</f>
        <v>#N/A</v>
      </c>
      <c r="U115" t="e">
        <f>VLOOKUP($I115,'[1]Table S6'!$A:$AI,13,FALSE)</f>
        <v>#N/A</v>
      </c>
      <c r="V115" t="e">
        <f>VLOOKUP($I115,'[1]Table S6'!$A:$AI,14,FALSE)</f>
        <v>#N/A</v>
      </c>
      <c r="W115" t="e">
        <f>VLOOKUP($I115,'[1]Table S6'!$A:$AI,15,FALSE)</f>
        <v>#N/A</v>
      </c>
      <c r="Y115" t="e">
        <f>VLOOKUP($I115,'[1]Table S6'!$A:$AI,17,FALSE)</f>
        <v>#N/A</v>
      </c>
      <c r="Z115" t="e">
        <f>VLOOKUP($I115,'[1]Table S6'!$A:$AI,18,FALSE)</f>
        <v>#N/A</v>
      </c>
      <c r="AA115" t="e">
        <f>VLOOKUP($I115,'[1]Table S6'!$A:$AI,19,FALSE)</f>
        <v>#N/A</v>
      </c>
      <c r="AB115" t="e">
        <f>VLOOKUP($I115,'[1]Table S6'!$A:$AI,20,FALSE)</f>
        <v>#N/A</v>
      </c>
      <c r="AD115" t="e">
        <f>VLOOKUP($I115,'[1]Table S6'!$A:$AI,22,FALSE)</f>
        <v>#N/A</v>
      </c>
      <c r="AE115" t="e">
        <f>VLOOKUP($I115,'[1]Table S6'!$A:$AI,23,FALSE)</f>
        <v>#N/A</v>
      </c>
      <c r="AF115" t="e">
        <f>VLOOKUP($I115,'[1]Table S6'!$A:$AI,24,FALSE)</f>
        <v>#N/A</v>
      </c>
      <c r="AG115" t="e">
        <f>VLOOKUP($I115,'[1]Table S6'!$A:$AI,25,FALSE)</f>
        <v>#N/A</v>
      </c>
      <c r="AI115" t="e">
        <f>VLOOKUP($I115,'[1]Table S6'!$A:$AI,27,FALSE)</f>
        <v>#N/A</v>
      </c>
      <c r="AJ115" t="e">
        <f>VLOOKUP($I115,'[1]Table S6'!$A:$AI,28,FALSE)</f>
        <v>#N/A</v>
      </c>
      <c r="AK115" t="e">
        <f>VLOOKUP($I115,'[1]Table S6'!$A:$AI,29,FALSE)</f>
        <v>#N/A</v>
      </c>
      <c r="AL115" t="e">
        <f>VLOOKUP($I115,'[1]Table S6'!$A:$AI,30,FALSE)</f>
        <v>#N/A</v>
      </c>
      <c r="AN115" t="e">
        <f>VLOOKUP($I115,'[1]Table S6'!$A:$AI,32,FALSE)</f>
        <v>#N/A</v>
      </c>
      <c r="AO115" t="e">
        <f>VLOOKUP($I115,'[1]Table S6'!$A:$AI,33,FALSE)</f>
        <v>#N/A</v>
      </c>
      <c r="AP115" t="e">
        <f>VLOOKUP($I115,'[1]Table S6'!$A:$AI,34,FALSE)</f>
        <v>#N/A</v>
      </c>
      <c r="AQ115" t="e">
        <f>VLOOKUP($I115,'[1]Table S6'!$A:$AI,35,FALSE)</f>
        <v>#N/A</v>
      </c>
      <c r="AS115" t="str">
        <f>VLOOKUP($H115,'[2]Table S5'!$A:$K,8,FALSE)</f>
        <v>Resistant</v>
      </c>
      <c r="AT115" t="str">
        <f>VLOOKUP($H115,'[2]Table S5'!$A:$K,9,FALSE)</f>
        <v>Resistant</v>
      </c>
      <c r="AU115" t="str">
        <f>VLOOKUP($H115,'[2]Table S5'!$A:$K,10,FALSE)</f>
        <v>Resistant</v>
      </c>
      <c r="AV115" t="str">
        <f>VLOOKUP($H115,'[2]Table S5'!$A:$K,11,FALSE)</f>
        <v>Resistant</v>
      </c>
    </row>
    <row r="116" spans="1:48">
      <c r="A116" t="s">
        <v>873</v>
      </c>
      <c r="B116" t="s">
        <v>874</v>
      </c>
      <c r="C116" t="s">
        <v>17</v>
      </c>
      <c r="D116" t="s">
        <v>876</v>
      </c>
      <c r="E116" t="s">
        <v>877</v>
      </c>
      <c r="F116" t="s">
        <v>878</v>
      </c>
      <c r="G116" t="s">
        <v>4750</v>
      </c>
      <c r="H116" t="s">
        <v>879</v>
      </c>
      <c r="I116" t="s">
        <v>880</v>
      </c>
      <c r="J116">
        <f>VLOOKUP($I116,'[1]Table S6'!$A:$AI,2,FALSE)</f>
        <v>330</v>
      </c>
      <c r="K116">
        <f>VLOOKUP($I116,'[1]Table S6'!$A:$AI,3,FALSE)</f>
        <v>0.70227708022983604</v>
      </c>
      <c r="L116">
        <f>VLOOKUP($I116,'[1]Table S6'!$A:$AI,4,FALSE)</f>
        <v>3.024</v>
      </c>
      <c r="M116" t="str">
        <f>VLOOKUP($I116,'[1]Table S6'!$A:$AI,5,FALSE)</f>
        <v>Yes</v>
      </c>
      <c r="O116">
        <f>VLOOKUP($I116,'[1]Table S6'!$A:$AI,7,FALSE)</f>
        <v>393.9</v>
      </c>
      <c r="P116">
        <f>VLOOKUP($I116,'[1]Table S6'!$A:$AI,8,FALSE)</f>
        <v>0.83826346031070398</v>
      </c>
      <c r="Q116">
        <f>VLOOKUP($I116,'[1]Table S6'!$A:$AI,9,FALSE)</f>
        <v>23.23</v>
      </c>
      <c r="R116" t="str">
        <f>VLOOKUP($I116,'[1]Table S6'!$A:$AI,10,FALSE)</f>
        <v>No</v>
      </c>
      <c r="T116">
        <f>VLOOKUP($I116,'[1]Table S6'!$A:$AI,12,FALSE)</f>
        <v>355.7</v>
      </c>
      <c r="U116">
        <f>VLOOKUP($I116,'[1]Table S6'!$A:$AI,13,FALSE)</f>
        <v>0.75696956799319004</v>
      </c>
      <c r="V116">
        <f>VLOOKUP($I116,'[1]Table S6'!$A:$AI,14,FALSE)</f>
        <v>6.59</v>
      </c>
      <c r="W116" t="str">
        <f>VLOOKUP($I116,'[1]Table S6'!$A:$AI,15,FALSE)</f>
        <v>No</v>
      </c>
      <c r="Y116">
        <f>VLOOKUP($I116,'[1]Table S6'!$A:$AI,17,FALSE)</f>
        <v>387.6</v>
      </c>
      <c r="Z116">
        <f>VLOOKUP($I116,'[1]Table S6'!$A:$AI,18,FALSE)</f>
        <v>0.824856352415408</v>
      </c>
      <c r="AA116">
        <f>VLOOKUP($I116,'[1]Table S6'!$A:$AI,19,FALSE)</f>
        <v>16.78</v>
      </c>
      <c r="AB116" t="str">
        <f>VLOOKUP($I116,'[1]Table S6'!$A:$AI,20,FALSE)</f>
        <v>No</v>
      </c>
      <c r="AD116">
        <f>VLOOKUP($I116,'[1]Table S6'!$A:$AI,22,FALSE)</f>
        <v>389.8</v>
      </c>
      <c r="AE116">
        <f>VLOOKUP($I116,'[1]Table S6'!$A:$AI,23,FALSE)</f>
        <v>0.82953819961693998</v>
      </c>
      <c r="AF116">
        <f>VLOOKUP($I116,'[1]Table S6'!$A:$AI,24,FALSE)</f>
        <v>22.34</v>
      </c>
      <c r="AG116" t="str">
        <f>VLOOKUP($I116,'[1]Table S6'!$A:$AI,25,FALSE)</f>
        <v>No</v>
      </c>
      <c r="AI116">
        <f>VLOOKUP($I116,'[1]Table S6'!$A:$AI,27,FALSE)</f>
        <v>427.2</v>
      </c>
      <c r="AJ116">
        <f>VLOOKUP($I116,'[1]Table S6'!$A:$AI,28,FALSE)</f>
        <v>0.90912960204298798</v>
      </c>
      <c r="AK116">
        <f>VLOOKUP($I116,'[1]Table S6'!$A:$AI,29,FALSE)</f>
        <v>147.80000000000001</v>
      </c>
      <c r="AL116" t="str">
        <f>VLOOKUP($I116,'[1]Table S6'!$A:$AI,30,FALSE)</f>
        <v>No</v>
      </c>
      <c r="AN116">
        <f>VLOOKUP($I116,'[1]Table S6'!$A:$AI,32,FALSE)</f>
        <v>432.8</v>
      </c>
      <c r="AO116">
        <f>VLOOKUP($I116,'[1]Table S6'!$A:$AI,33,FALSE)</f>
        <v>0.92104703128325205</v>
      </c>
      <c r="AP116">
        <f>VLOOKUP($I116,'[1]Table S6'!$A:$AI,34,FALSE)</f>
        <v>203.1</v>
      </c>
      <c r="AQ116" t="str">
        <f>VLOOKUP($I116,'[1]Table S6'!$A:$AI,35,FALSE)</f>
        <v>No</v>
      </c>
      <c r="AS116" t="str">
        <f>VLOOKUP($H116,'[2]Table S5'!$A:$K,8,FALSE)</f>
        <v>Resistant</v>
      </c>
      <c r="AT116" t="str">
        <f>VLOOKUP($H116,'[2]Table S5'!$A:$K,9,FALSE)</f>
        <v>Resistant</v>
      </c>
      <c r="AU116" t="str">
        <f>VLOOKUP($H116,'[2]Table S5'!$A:$K,10,FALSE)</f>
        <v>Resistant</v>
      </c>
      <c r="AV116" t="str">
        <f>VLOOKUP($H116,'[2]Table S5'!$A:$K,11,FALSE)</f>
        <v>Resistant</v>
      </c>
    </row>
    <row r="117" spans="1:48">
      <c r="A117" t="s">
        <v>882</v>
      </c>
      <c r="B117" t="s">
        <v>883</v>
      </c>
      <c r="C117" t="s">
        <v>17</v>
      </c>
      <c r="D117" t="s">
        <v>885</v>
      </c>
      <c r="E117" t="s">
        <v>886</v>
      </c>
      <c r="F117" t="s">
        <v>887</v>
      </c>
      <c r="G117" t="s">
        <v>4750</v>
      </c>
      <c r="H117" t="s">
        <v>879</v>
      </c>
      <c r="I117" t="s">
        <v>888</v>
      </c>
      <c r="J117">
        <f>VLOOKUP($I117,'[1]Table S6'!$A:$AI,2,FALSE)</f>
        <v>332.9</v>
      </c>
      <c r="K117">
        <f>VLOOKUP($I117,'[1]Table S6'!$A:$AI,3,FALSE)</f>
        <v>0.70844860608640103</v>
      </c>
      <c r="L117">
        <f>VLOOKUP($I117,'[1]Table S6'!$A:$AI,4,FALSE)</f>
        <v>3.1150000000000002</v>
      </c>
      <c r="M117" t="str">
        <f>VLOOKUP($I117,'[1]Table S6'!$A:$AI,5,FALSE)</f>
        <v>No</v>
      </c>
      <c r="O117">
        <f>VLOOKUP($I117,'[1]Table S6'!$A:$AI,7,FALSE)</f>
        <v>395.2</v>
      </c>
      <c r="P117">
        <f>VLOOKUP($I117,'[1]Table S6'!$A:$AI,8,FALSE)</f>
        <v>0.841030006384337</v>
      </c>
      <c r="Q117">
        <f>VLOOKUP($I117,'[1]Table S6'!$A:$AI,9,FALSE)</f>
        <v>20.91</v>
      </c>
      <c r="R117" t="str">
        <f>VLOOKUP($I117,'[1]Table S6'!$A:$AI,10,FALSE)</f>
        <v>No</v>
      </c>
      <c r="T117">
        <f>VLOOKUP($I117,'[1]Table S6'!$A:$AI,12,FALSE)</f>
        <v>388.9</v>
      </c>
      <c r="U117">
        <f>VLOOKUP($I117,'[1]Table S6'!$A:$AI,13,FALSE)</f>
        <v>0.82762289848904003</v>
      </c>
      <c r="V117">
        <f>VLOOKUP($I117,'[1]Table S6'!$A:$AI,14,FALSE)</f>
        <v>19.89</v>
      </c>
      <c r="W117" t="str">
        <f>VLOOKUP($I117,'[1]Table S6'!$A:$AI,15,FALSE)</f>
        <v>No</v>
      </c>
      <c r="Y117">
        <f>VLOOKUP($I117,'[1]Table S6'!$A:$AI,17,FALSE)</f>
        <v>378.4</v>
      </c>
      <c r="Z117">
        <f>VLOOKUP($I117,'[1]Table S6'!$A:$AI,18,FALSE)</f>
        <v>0.80527771866354503</v>
      </c>
      <c r="AA117">
        <f>VLOOKUP($I117,'[1]Table S6'!$A:$AI,19,FALSE)</f>
        <v>12.47</v>
      </c>
      <c r="AB117" t="str">
        <f>VLOOKUP($I117,'[1]Table S6'!$A:$AI,20,FALSE)</f>
        <v>No</v>
      </c>
      <c r="AD117">
        <f>VLOOKUP($I117,'[1]Table S6'!$A:$AI,22,FALSE)</f>
        <v>354.3</v>
      </c>
      <c r="AE117">
        <f>VLOOKUP($I117,'[1]Table S6'!$A:$AI,23,FALSE)</f>
        <v>0.753990210683124</v>
      </c>
      <c r="AF117">
        <f>VLOOKUP($I117,'[1]Table S6'!$A:$AI,24,FALSE)</f>
        <v>7.8529999999999998</v>
      </c>
      <c r="AG117" t="str">
        <f>VLOOKUP($I117,'[1]Table S6'!$A:$AI,25,FALSE)</f>
        <v>No</v>
      </c>
      <c r="AI117">
        <f>VLOOKUP($I117,'[1]Table S6'!$A:$AI,27,FALSE)</f>
        <v>464.2</v>
      </c>
      <c r="AJ117">
        <f>VLOOKUP($I117,'[1]Table S6'!$A:$AI,28,FALSE)</f>
        <v>0.98786975952330303</v>
      </c>
      <c r="AK117">
        <f>VLOOKUP($I117,'[1]Table S6'!$A:$AI,29,FALSE)</f>
        <v>296</v>
      </c>
      <c r="AL117" t="str">
        <f>VLOOKUP($I117,'[1]Table S6'!$A:$AI,30,FALSE)</f>
        <v>No</v>
      </c>
      <c r="AN117">
        <f>VLOOKUP($I117,'[1]Table S6'!$A:$AI,32,FALSE)</f>
        <v>437.2</v>
      </c>
      <c r="AO117">
        <f>VLOOKUP($I117,'[1]Table S6'!$A:$AI,33,FALSE)</f>
        <v>0.930410725686316</v>
      </c>
      <c r="AP117">
        <f>VLOOKUP($I117,'[1]Table S6'!$A:$AI,34,FALSE)</f>
        <v>195.8</v>
      </c>
      <c r="AQ117" t="str">
        <f>VLOOKUP($I117,'[1]Table S6'!$A:$AI,35,FALSE)</f>
        <v>No</v>
      </c>
      <c r="AS117" t="str">
        <f>VLOOKUP($H117,'[2]Table S5'!$A:$K,8,FALSE)</f>
        <v>Resistant</v>
      </c>
      <c r="AT117" t="str">
        <f>VLOOKUP($H117,'[2]Table S5'!$A:$K,9,FALSE)</f>
        <v>Resistant</v>
      </c>
      <c r="AU117" t="str">
        <f>VLOOKUP($H117,'[2]Table S5'!$A:$K,10,FALSE)</f>
        <v>Resistant</v>
      </c>
      <c r="AV117" t="str">
        <f>VLOOKUP($H117,'[2]Table S5'!$A:$K,11,FALSE)</f>
        <v>Resistant</v>
      </c>
    </row>
    <row r="118" spans="1:48">
      <c r="A118" t="s">
        <v>890</v>
      </c>
      <c r="B118" t="s">
        <v>891</v>
      </c>
      <c r="C118" t="s">
        <v>17</v>
      </c>
      <c r="D118" t="s">
        <v>893</v>
      </c>
      <c r="E118" t="s">
        <v>894</v>
      </c>
      <c r="F118" t="s">
        <v>895</v>
      </c>
      <c r="G118" t="s">
        <v>4750</v>
      </c>
      <c r="H118" t="s">
        <v>879</v>
      </c>
      <c r="I118" t="s">
        <v>896</v>
      </c>
      <c r="J118">
        <f>VLOOKUP($I118,'[1]Table S6'!$A:$AI,2,FALSE)</f>
        <v>304.5</v>
      </c>
      <c r="K118">
        <f>VLOOKUP($I118,'[1]Table S6'!$A:$AI,3,FALSE)</f>
        <v>0.64801021493934896</v>
      </c>
      <c r="L118">
        <f>VLOOKUP($I118,'[1]Table S6'!$A:$AI,4,FALSE)</f>
        <v>0.97950000000000004</v>
      </c>
      <c r="M118" t="str">
        <f>VLOOKUP($I118,'[1]Table S6'!$A:$AI,5,FALSE)</f>
        <v>Yes</v>
      </c>
      <c r="O118">
        <f>VLOOKUP($I118,'[1]Table S6'!$A:$AI,7,FALSE)</f>
        <v>394.4</v>
      </c>
      <c r="P118">
        <f>VLOOKUP($I118,'[1]Table S6'!$A:$AI,8,FALSE)</f>
        <v>0.83932751649287096</v>
      </c>
      <c r="Q118">
        <f>VLOOKUP($I118,'[1]Table S6'!$A:$AI,9,FALSE)</f>
        <v>23.78</v>
      </c>
      <c r="R118" t="str">
        <f>VLOOKUP($I118,'[1]Table S6'!$A:$AI,10,FALSE)</f>
        <v>No</v>
      </c>
      <c r="T118">
        <f>VLOOKUP($I118,'[1]Table S6'!$A:$AI,12,FALSE)</f>
        <v>354.6</v>
      </c>
      <c r="U118">
        <f>VLOOKUP($I118,'[1]Table S6'!$A:$AI,13,FALSE)</f>
        <v>0.75462864439242405</v>
      </c>
      <c r="V118">
        <f>VLOOKUP($I118,'[1]Table S6'!$A:$AI,14,FALSE)</f>
        <v>8.6240000000000006</v>
      </c>
      <c r="W118" t="str">
        <f>VLOOKUP($I118,'[1]Table S6'!$A:$AI,15,FALSE)</f>
        <v>No</v>
      </c>
      <c r="Y118">
        <f>VLOOKUP($I118,'[1]Table S6'!$A:$AI,17,FALSE)</f>
        <v>335.4</v>
      </c>
      <c r="Z118">
        <f>VLOOKUP($I118,'[1]Table S6'!$A:$AI,18,FALSE)</f>
        <v>0.71376888699723295</v>
      </c>
      <c r="AA118">
        <f>VLOOKUP($I118,'[1]Table S6'!$A:$AI,19,FALSE)</f>
        <v>3.7309999999999999</v>
      </c>
      <c r="AB118" t="str">
        <f>VLOOKUP($I118,'[1]Table S6'!$A:$AI,20,FALSE)</f>
        <v>No</v>
      </c>
      <c r="AD118">
        <f>VLOOKUP($I118,'[1]Table S6'!$A:$AI,22,FALSE)</f>
        <v>307.39999999999998</v>
      </c>
      <c r="AE118">
        <f>VLOOKUP($I118,'[1]Table S6'!$A:$AI,23,FALSE)</f>
        <v>0.65418174079591396</v>
      </c>
      <c r="AF118">
        <f>VLOOKUP($I118,'[1]Table S6'!$A:$AI,24,FALSE)</f>
        <v>2.387</v>
      </c>
      <c r="AG118" t="str">
        <f>VLOOKUP($I118,'[1]Table S6'!$A:$AI,25,FALSE)</f>
        <v>Yes</v>
      </c>
      <c r="AI118">
        <f>VLOOKUP($I118,'[1]Table S6'!$A:$AI,27,FALSE)</f>
        <v>449.2</v>
      </c>
      <c r="AJ118">
        <f>VLOOKUP($I118,'[1]Table S6'!$A:$AI,28,FALSE)</f>
        <v>0.95594807405830995</v>
      </c>
      <c r="AK118">
        <f>VLOOKUP($I118,'[1]Table S6'!$A:$AI,29,FALSE)</f>
        <v>773.8</v>
      </c>
      <c r="AL118" t="str">
        <f>VLOOKUP($I118,'[1]Table S6'!$A:$AI,30,FALSE)</f>
        <v>No</v>
      </c>
      <c r="AN118">
        <f>VLOOKUP($I118,'[1]Table S6'!$A:$AI,32,FALSE)</f>
        <v>420.1</v>
      </c>
      <c r="AO118">
        <f>VLOOKUP($I118,'[1]Table S6'!$A:$AI,33,FALSE)</f>
        <v>0.89402000425622496</v>
      </c>
      <c r="AP118">
        <f>VLOOKUP($I118,'[1]Table S6'!$A:$AI,34,FALSE)</f>
        <v>131.80000000000001</v>
      </c>
      <c r="AQ118" t="str">
        <f>VLOOKUP($I118,'[1]Table S6'!$A:$AI,35,FALSE)</f>
        <v>No</v>
      </c>
      <c r="AS118" t="str">
        <f>VLOOKUP($H118,'[2]Table S5'!$A:$K,8,FALSE)</f>
        <v>Resistant</v>
      </c>
      <c r="AT118" t="str">
        <f>VLOOKUP($H118,'[2]Table S5'!$A:$K,9,FALSE)</f>
        <v>Resistant</v>
      </c>
      <c r="AU118" t="str">
        <f>VLOOKUP($H118,'[2]Table S5'!$A:$K,10,FALSE)</f>
        <v>Resistant</v>
      </c>
      <c r="AV118" t="str">
        <f>VLOOKUP($H118,'[2]Table S5'!$A:$K,11,FALSE)</f>
        <v>Resistant</v>
      </c>
    </row>
    <row r="119" spans="1:48">
      <c r="A119" t="s">
        <v>898</v>
      </c>
      <c r="B119" t="s">
        <v>899</v>
      </c>
      <c r="C119" t="s">
        <v>17</v>
      </c>
      <c r="D119" t="s">
        <v>901</v>
      </c>
      <c r="E119" t="s">
        <v>902</v>
      </c>
      <c r="F119" t="s">
        <v>903</v>
      </c>
      <c r="G119" t="s">
        <v>4751</v>
      </c>
      <c r="H119" t="s">
        <v>879</v>
      </c>
      <c r="I119" t="s">
        <v>880</v>
      </c>
      <c r="J119">
        <f>VLOOKUP($I119,'[1]Table S6'!$A:$AI,2,FALSE)</f>
        <v>330</v>
      </c>
      <c r="K119">
        <f>VLOOKUP($I119,'[1]Table S6'!$A:$AI,3,FALSE)</f>
        <v>0.70227708022983604</v>
      </c>
      <c r="L119">
        <f>VLOOKUP($I119,'[1]Table S6'!$A:$AI,4,FALSE)</f>
        <v>3.024</v>
      </c>
      <c r="M119" t="str">
        <f>VLOOKUP($I119,'[1]Table S6'!$A:$AI,5,FALSE)</f>
        <v>Yes</v>
      </c>
      <c r="O119">
        <f>VLOOKUP($I119,'[1]Table S6'!$A:$AI,7,FALSE)</f>
        <v>393.9</v>
      </c>
      <c r="P119">
        <f>VLOOKUP($I119,'[1]Table S6'!$A:$AI,8,FALSE)</f>
        <v>0.83826346031070398</v>
      </c>
      <c r="Q119">
        <f>VLOOKUP($I119,'[1]Table S6'!$A:$AI,9,FALSE)</f>
        <v>23.23</v>
      </c>
      <c r="R119" t="str">
        <f>VLOOKUP($I119,'[1]Table S6'!$A:$AI,10,FALSE)</f>
        <v>No</v>
      </c>
      <c r="T119">
        <f>VLOOKUP($I119,'[1]Table S6'!$A:$AI,12,FALSE)</f>
        <v>355.7</v>
      </c>
      <c r="U119">
        <f>VLOOKUP($I119,'[1]Table S6'!$A:$AI,13,FALSE)</f>
        <v>0.75696956799319004</v>
      </c>
      <c r="V119">
        <f>VLOOKUP($I119,'[1]Table S6'!$A:$AI,14,FALSE)</f>
        <v>6.59</v>
      </c>
      <c r="W119" t="str">
        <f>VLOOKUP($I119,'[1]Table S6'!$A:$AI,15,FALSE)</f>
        <v>No</v>
      </c>
      <c r="Y119">
        <f>VLOOKUP($I119,'[1]Table S6'!$A:$AI,17,FALSE)</f>
        <v>387.6</v>
      </c>
      <c r="Z119">
        <f>VLOOKUP($I119,'[1]Table S6'!$A:$AI,18,FALSE)</f>
        <v>0.824856352415408</v>
      </c>
      <c r="AA119">
        <f>VLOOKUP($I119,'[1]Table S6'!$A:$AI,19,FALSE)</f>
        <v>16.78</v>
      </c>
      <c r="AB119" t="str">
        <f>VLOOKUP($I119,'[1]Table S6'!$A:$AI,20,FALSE)</f>
        <v>No</v>
      </c>
      <c r="AD119">
        <f>VLOOKUP($I119,'[1]Table S6'!$A:$AI,22,FALSE)</f>
        <v>389.8</v>
      </c>
      <c r="AE119">
        <f>VLOOKUP($I119,'[1]Table S6'!$A:$AI,23,FALSE)</f>
        <v>0.82953819961693998</v>
      </c>
      <c r="AF119">
        <f>VLOOKUP($I119,'[1]Table S6'!$A:$AI,24,FALSE)</f>
        <v>22.34</v>
      </c>
      <c r="AG119" t="str">
        <f>VLOOKUP($I119,'[1]Table S6'!$A:$AI,25,FALSE)</f>
        <v>No</v>
      </c>
      <c r="AI119">
        <f>VLOOKUP($I119,'[1]Table S6'!$A:$AI,27,FALSE)</f>
        <v>427.2</v>
      </c>
      <c r="AJ119">
        <f>VLOOKUP($I119,'[1]Table S6'!$A:$AI,28,FALSE)</f>
        <v>0.90912960204298798</v>
      </c>
      <c r="AK119">
        <f>VLOOKUP($I119,'[1]Table S6'!$A:$AI,29,FALSE)</f>
        <v>147.80000000000001</v>
      </c>
      <c r="AL119" t="str">
        <f>VLOOKUP($I119,'[1]Table S6'!$A:$AI,30,FALSE)</f>
        <v>No</v>
      </c>
      <c r="AN119">
        <f>VLOOKUP($I119,'[1]Table S6'!$A:$AI,32,FALSE)</f>
        <v>432.8</v>
      </c>
      <c r="AO119">
        <f>VLOOKUP($I119,'[1]Table S6'!$A:$AI,33,FALSE)</f>
        <v>0.92104703128325205</v>
      </c>
      <c r="AP119">
        <f>VLOOKUP($I119,'[1]Table S6'!$A:$AI,34,FALSE)</f>
        <v>203.1</v>
      </c>
      <c r="AQ119" t="str">
        <f>VLOOKUP($I119,'[1]Table S6'!$A:$AI,35,FALSE)</f>
        <v>No</v>
      </c>
      <c r="AS119" t="str">
        <f>VLOOKUP($H119,'[2]Table S5'!$A:$K,8,FALSE)</f>
        <v>Resistant</v>
      </c>
      <c r="AT119" t="str">
        <f>VLOOKUP($H119,'[2]Table S5'!$A:$K,9,FALSE)</f>
        <v>Resistant</v>
      </c>
      <c r="AU119" t="str">
        <f>VLOOKUP($H119,'[2]Table S5'!$A:$K,10,FALSE)</f>
        <v>Resistant</v>
      </c>
      <c r="AV119" t="str">
        <f>VLOOKUP($H119,'[2]Table S5'!$A:$K,11,FALSE)</f>
        <v>Resistant</v>
      </c>
    </row>
    <row r="120" spans="1:48">
      <c r="A120" t="s">
        <v>905</v>
      </c>
      <c r="B120" t="s">
        <v>906</v>
      </c>
      <c r="C120" t="s">
        <v>17</v>
      </c>
      <c r="D120" t="s">
        <v>908</v>
      </c>
      <c r="E120" t="s">
        <v>909</v>
      </c>
      <c r="F120" t="s">
        <v>910</v>
      </c>
      <c r="G120" t="s">
        <v>4751</v>
      </c>
      <c r="H120" t="s">
        <v>879</v>
      </c>
      <c r="I120" t="s">
        <v>888</v>
      </c>
      <c r="J120">
        <f>VLOOKUP($I120,'[1]Table S6'!$A:$AI,2,FALSE)</f>
        <v>332.9</v>
      </c>
      <c r="K120">
        <f>VLOOKUP($I120,'[1]Table S6'!$A:$AI,3,FALSE)</f>
        <v>0.70844860608640103</v>
      </c>
      <c r="L120">
        <f>VLOOKUP($I120,'[1]Table S6'!$A:$AI,4,FALSE)</f>
        <v>3.1150000000000002</v>
      </c>
      <c r="M120" t="str">
        <f>VLOOKUP($I120,'[1]Table S6'!$A:$AI,5,FALSE)</f>
        <v>No</v>
      </c>
      <c r="O120">
        <f>VLOOKUP($I120,'[1]Table S6'!$A:$AI,7,FALSE)</f>
        <v>395.2</v>
      </c>
      <c r="P120">
        <f>VLOOKUP($I120,'[1]Table S6'!$A:$AI,8,FALSE)</f>
        <v>0.841030006384337</v>
      </c>
      <c r="Q120">
        <f>VLOOKUP($I120,'[1]Table S6'!$A:$AI,9,FALSE)</f>
        <v>20.91</v>
      </c>
      <c r="R120" t="str">
        <f>VLOOKUP($I120,'[1]Table S6'!$A:$AI,10,FALSE)</f>
        <v>No</v>
      </c>
      <c r="T120">
        <f>VLOOKUP($I120,'[1]Table S6'!$A:$AI,12,FALSE)</f>
        <v>388.9</v>
      </c>
      <c r="U120">
        <f>VLOOKUP($I120,'[1]Table S6'!$A:$AI,13,FALSE)</f>
        <v>0.82762289848904003</v>
      </c>
      <c r="V120">
        <f>VLOOKUP($I120,'[1]Table S6'!$A:$AI,14,FALSE)</f>
        <v>19.89</v>
      </c>
      <c r="W120" t="str">
        <f>VLOOKUP($I120,'[1]Table S6'!$A:$AI,15,FALSE)</f>
        <v>No</v>
      </c>
      <c r="Y120">
        <f>VLOOKUP($I120,'[1]Table S6'!$A:$AI,17,FALSE)</f>
        <v>378.4</v>
      </c>
      <c r="Z120">
        <f>VLOOKUP($I120,'[1]Table S6'!$A:$AI,18,FALSE)</f>
        <v>0.80527771866354503</v>
      </c>
      <c r="AA120">
        <f>VLOOKUP($I120,'[1]Table S6'!$A:$AI,19,FALSE)</f>
        <v>12.47</v>
      </c>
      <c r="AB120" t="str">
        <f>VLOOKUP($I120,'[1]Table S6'!$A:$AI,20,FALSE)</f>
        <v>No</v>
      </c>
      <c r="AD120">
        <f>VLOOKUP($I120,'[1]Table S6'!$A:$AI,22,FALSE)</f>
        <v>354.3</v>
      </c>
      <c r="AE120">
        <f>VLOOKUP($I120,'[1]Table S6'!$A:$AI,23,FALSE)</f>
        <v>0.753990210683124</v>
      </c>
      <c r="AF120">
        <f>VLOOKUP($I120,'[1]Table S6'!$A:$AI,24,FALSE)</f>
        <v>7.8529999999999998</v>
      </c>
      <c r="AG120" t="str">
        <f>VLOOKUP($I120,'[1]Table S6'!$A:$AI,25,FALSE)</f>
        <v>No</v>
      </c>
      <c r="AI120">
        <f>VLOOKUP($I120,'[1]Table S6'!$A:$AI,27,FALSE)</f>
        <v>464.2</v>
      </c>
      <c r="AJ120">
        <f>VLOOKUP($I120,'[1]Table S6'!$A:$AI,28,FALSE)</f>
        <v>0.98786975952330303</v>
      </c>
      <c r="AK120">
        <f>VLOOKUP($I120,'[1]Table S6'!$A:$AI,29,FALSE)</f>
        <v>296</v>
      </c>
      <c r="AL120" t="str">
        <f>VLOOKUP($I120,'[1]Table S6'!$A:$AI,30,FALSE)</f>
        <v>No</v>
      </c>
      <c r="AN120">
        <f>VLOOKUP($I120,'[1]Table S6'!$A:$AI,32,FALSE)</f>
        <v>437.2</v>
      </c>
      <c r="AO120">
        <f>VLOOKUP($I120,'[1]Table S6'!$A:$AI,33,FALSE)</f>
        <v>0.930410725686316</v>
      </c>
      <c r="AP120">
        <f>VLOOKUP($I120,'[1]Table S6'!$A:$AI,34,FALSE)</f>
        <v>195.8</v>
      </c>
      <c r="AQ120" t="str">
        <f>VLOOKUP($I120,'[1]Table S6'!$A:$AI,35,FALSE)</f>
        <v>No</v>
      </c>
      <c r="AS120" t="str">
        <f>VLOOKUP($H120,'[2]Table S5'!$A:$K,8,FALSE)</f>
        <v>Resistant</v>
      </c>
      <c r="AT120" t="str">
        <f>VLOOKUP($H120,'[2]Table S5'!$A:$K,9,FALSE)</f>
        <v>Resistant</v>
      </c>
      <c r="AU120" t="str">
        <f>VLOOKUP($H120,'[2]Table S5'!$A:$K,10,FALSE)</f>
        <v>Resistant</v>
      </c>
      <c r="AV120" t="str">
        <f>VLOOKUP($H120,'[2]Table S5'!$A:$K,11,FALSE)</f>
        <v>Resistant</v>
      </c>
    </row>
    <row r="121" spans="1:48">
      <c r="A121" t="s">
        <v>912</v>
      </c>
      <c r="B121" t="s">
        <v>913</v>
      </c>
      <c r="C121" t="s">
        <v>17</v>
      </c>
      <c r="D121" t="s">
        <v>915</v>
      </c>
      <c r="E121" t="s">
        <v>916</v>
      </c>
      <c r="F121" t="s">
        <v>917</v>
      </c>
      <c r="G121" t="s">
        <v>4751</v>
      </c>
      <c r="H121" t="s">
        <v>879</v>
      </c>
      <c r="I121" t="s">
        <v>896</v>
      </c>
      <c r="J121">
        <f>VLOOKUP($I121,'[1]Table S6'!$A:$AI,2,FALSE)</f>
        <v>304.5</v>
      </c>
      <c r="K121">
        <f>VLOOKUP($I121,'[1]Table S6'!$A:$AI,3,FALSE)</f>
        <v>0.64801021493934896</v>
      </c>
      <c r="L121">
        <f>VLOOKUP($I121,'[1]Table S6'!$A:$AI,4,FALSE)</f>
        <v>0.97950000000000004</v>
      </c>
      <c r="M121" t="str">
        <f>VLOOKUP($I121,'[1]Table S6'!$A:$AI,5,FALSE)</f>
        <v>Yes</v>
      </c>
      <c r="O121">
        <f>VLOOKUP($I121,'[1]Table S6'!$A:$AI,7,FALSE)</f>
        <v>394.4</v>
      </c>
      <c r="P121">
        <f>VLOOKUP($I121,'[1]Table S6'!$A:$AI,8,FALSE)</f>
        <v>0.83932751649287096</v>
      </c>
      <c r="Q121">
        <f>VLOOKUP($I121,'[1]Table S6'!$A:$AI,9,FALSE)</f>
        <v>23.78</v>
      </c>
      <c r="R121" t="str">
        <f>VLOOKUP($I121,'[1]Table S6'!$A:$AI,10,FALSE)</f>
        <v>No</v>
      </c>
      <c r="T121">
        <f>VLOOKUP($I121,'[1]Table S6'!$A:$AI,12,FALSE)</f>
        <v>354.6</v>
      </c>
      <c r="U121">
        <f>VLOOKUP($I121,'[1]Table S6'!$A:$AI,13,FALSE)</f>
        <v>0.75462864439242405</v>
      </c>
      <c r="V121">
        <f>VLOOKUP($I121,'[1]Table S6'!$A:$AI,14,FALSE)</f>
        <v>8.6240000000000006</v>
      </c>
      <c r="W121" t="str">
        <f>VLOOKUP($I121,'[1]Table S6'!$A:$AI,15,FALSE)</f>
        <v>No</v>
      </c>
      <c r="Y121">
        <f>VLOOKUP($I121,'[1]Table S6'!$A:$AI,17,FALSE)</f>
        <v>335.4</v>
      </c>
      <c r="Z121">
        <f>VLOOKUP($I121,'[1]Table S6'!$A:$AI,18,FALSE)</f>
        <v>0.71376888699723295</v>
      </c>
      <c r="AA121">
        <f>VLOOKUP($I121,'[1]Table S6'!$A:$AI,19,FALSE)</f>
        <v>3.7309999999999999</v>
      </c>
      <c r="AB121" t="str">
        <f>VLOOKUP($I121,'[1]Table S6'!$A:$AI,20,FALSE)</f>
        <v>No</v>
      </c>
      <c r="AD121">
        <f>VLOOKUP($I121,'[1]Table S6'!$A:$AI,22,FALSE)</f>
        <v>307.39999999999998</v>
      </c>
      <c r="AE121">
        <f>VLOOKUP($I121,'[1]Table S6'!$A:$AI,23,FALSE)</f>
        <v>0.65418174079591396</v>
      </c>
      <c r="AF121">
        <f>VLOOKUP($I121,'[1]Table S6'!$A:$AI,24,FALSE)</f>
        <v>2.387</v>
      </c>
      <c r="AG121" t="str">
        <f>VLOOKUP($I121,'[1]Table S6'!$A:$AI,25,FALSE)</f>
        <v>Yes</v>
      </c>
      <c r="AI121">
        <f>VLOOKUP($I121,'[1]Table S6'!$A:$AI,27,FALSE)</f>
        <v>449.2</v>
      </c>
      <c r="AJ121">
        <f>VLOOKUP($I121,'[1]Table S6'!$A:$AI,28,FALSE)</f>
        <v>0.95594807405830995</v>
      </c>
      <c r="AK121">
        <f>VLOOKUP($I121,'[1]Table S6'!$A:$AI,29,FALSE)</f>
        <v>773.8</v>
      </c>
      <c r="AL121" t="str">
        <f>VLOOKUP($I121,'[1]Table S6'!$A:$AI,30,FALSE)</f>
        <v>No</v>
      </c>
      <c r="AN121">
        <f>VLOOKUP($I121,'[1]Table S6'!$A:$AI,32,FALSE)</f>
        <v>420.1</v>
      </c>
      <c r="AO121">
        <f>VLOOKUP($I121,'[1]Table S6'!$A:$AI,33,FALSE)</f>
        <v>0.89402000425622496</v>
      </c>
      <c r="AP121">
        <f>VLOOKUP($I121,'[1]Table S6'!$A:$AI,34,FALSE)</f>
        <v>131.80000000000001</v>
      </c>
      <c r="AQ121" t="str">
        <f>VLOOKUP($I121,'[1]Table S6'!$A:$AI,35,FALSE)</f>
        <v>No</v>
      </c>
      <c r="AS121" t="str">
        <f>VLOOKUP($H121,'[2]Table S5'!$A:$K,8,FALSE)</f>
        <v>Resistant</v>
      </c>
      <c r="AT121" t="str">
        <f>VLOOKUP($H121,'[2]Table S5'!$A:$K,9,FALSE)</f>
        <v>Resistant</v>
      </c>
      <c r="AU121" t="str">
        <f>VLOOKUP($H121,'[2]Table S5'!$A:$K,10,FALSE)</f>
        <v>Resistant</v>
      </c>
      <c r="AV121" t="str">
        <f>VLOOKUP($H121,'[2]Table S5'!$A:$K,11,FALSE)</f>
        <v>Resistant</v>
      </c>
    </row>
    <row r="122" spans="1:48">
      <c r="A122" t="s">
        <v>919</v>
      </c>
      <c r="B122" t="s">
        <v>920</v>
      </c>
      <c r="C122" t="s">
        <v>17</v>
      </c>
      <c r="D122" t="s">
        <v>922</v>
      </c>
      <c r="E122" t="s">
        <v>923</v>
      </c>
      <c r="F122" t="s">
        <v>924</v>
      </c>
      <c r="G122" t="s">
        <v>4757</v>
      </c>
      <c r="H122" t="s">
        <v>879</v>
      </c>
      <c r="I122" t="s">
        <v>879</v>
      </c>
      <c r="J122" t="e">
        <f>VLOOKUP($I122,'[1]Table S6'!$A:$AI,2,FALSE)</f>
        <v>#N/A</v>
      </c>
      <c r="K122" t="e">
        <f>VLOOKUP($I122,'[1]Table S6'!$A:$AI,3,FALSE)</f>
        <v>#N/A</v>
      </c>
      <c r="L122" t="e">
        <f>VLOOKUP($I122,'[1]Table S6'!$A:$AI,4,FALSE)</f>
        <v>#N/A</v>
      </c>
      <c r="M122" t="e">
        <f>VLOOKUP($I122,'[1]Table S6'!$A:$AI,5,FALSE)</f>
        <v>#N/A</v>
      </c>
      <c r="O122" t="e">
        <f>VLOOKUP($I122,'[1]Table S6'!$A:$AI,7,FALSE)</f>
        <v>#N/A</v>
      </c>
      <c r="P122" t="e">
        <f>VLOOKUP($I122,'[1]Table S6'!$A:$AI,8,FALSE)</f>
        <v>#N/A</v>
      </c>
      <c r="Q122" t="e">
        <f>VLOOKUP($I122,'[1]Table S6'!$A:$AI,9,FALSE)</f>
        <v>#N/A</v>
      </c>
      <c r="R122" t="e">
        <f>VLOOKUP($I122,'[1]Table S6'!$A:$AI,10,FALSE)</f>
        <v>#N/A</v>
      </c>
      <c r="T122" t="e">
        <f>VLOOKUP($I122,'[1]Table S6'!$A:$AI,12,FALSE)</f>
        <v>#N/A</v>
      </c>
      <c r="U122" t="e">
        <f>VLOOKUP($I122,'[1]Table S6'!$A:$AI,13,FALSE)</f>
        <v>#N/A</v>
      </c>
      <c r="V122" t="e">
        <f>VLOOKUP($I122,'[1]Table S6'!$A:$AI,14,FALSE)</f>
        <v>#N/A</v>
      </c>
      <c r="W122" t="e">
        <f>VLOOKUP($I122,'[1]Table S6'!$A:$AI,15,FALSE)</f>
        <v>#N/A</v>
      </c>
      <c r="Y122" t="e">
        <f>VLOOKUP($I122,'[1]Table S6'!$A:$AI,17,FALSE)</f>
        <v>#N/A</v>
      </c>
      <c r="Z122" t="e">
        <f>VLOOKUP($I122,'[1]Table S6'!$A:$AI,18,FALSE)</f>
        <v>#N/A</v>
      </c>
      <c r="AA122" t="e">
        <f>VLOOKUP($I122,'[1]Table S6'!$A:$AI,19,FALSE)</f>
        <v>#N/A</v>
      </c>
      <c r="AB122" t="e">
        <f>VLOOKUP($I122,'[1]Table S6'!$A:$AI,20,FALSE)</f>
        <v>#N/A</v>
      </c>
      <c r="AD122" t="e">
        <f>VLOOKUP($I122,'[1]Table S6'!$A:$AI,22,FALSE)</f>
        <v>#N/A</v>
      </c>
      <c r="AE122" t="e">
        <f>VLOOKUP($I122,'[1]Table S6'!$A:$AI,23,FALSE)</f>
        <v>#N/A</v>
      </c>
      <c r="AF122" t="e">
        <f>VLOOKUP($I122,'[1]Table S6'!$A:$AI,24,FALSE)</f>
        <v>#N/A</v>
      </c>
      <c r="AG122" t="e">
        <f>VLOOKUP($I122,'[1]Table S6'!$A:$AI,25,FALSE)</f>
        <v>#N/A</v>
      </c>
      <c r="AI122" t="e">
        <f>VLOOKUP($I122,'[1]Table S6'!$A:$AI,27,FALSE)</f>
        <v>#N/A</v>
      </c>
      <c r="AJ122" t="e">
        <f>VLOOKUP($I122,'[1]Table S6'!$A:$AI,28,FALSE)</f>
        <v>#N/A</v>
      </c>
      <c r="AK122" t="e">
        <f>VLOOKUP($I122,'[1]Table S6'!$A:$AI,29,FALSE)</f>
        <v>#N/A</v>
      </c>
      <c r="AL122" t="e">
        <f>VLOOKUP($I122,'[1]Table S6'!$A:$AI,30,FALSE)</f>
        <v>#N/A</v>
      </c>
      <c r="AN122" t="e">
        <f>VLOOKUP($I122,'[1]Table S6'!$A:$AI,32,FALSE)</f>
        <v>#N/A</v>
      </c>
      <c r="AO122" t="e">
        <f>VLOOKUP($I122,'[1]Table S6'!$A:$AI,33,FALSE)</f>
        <v>#N/A</v>
      </c>
      <c r="AP122" t="e">
        <f>VLOOKUP($I122,'[1]Table S6'!$A:$AI,34,FALSE)</f>
        <v>#N/A</v>
      </c>
      <c r="AQ122" t="e">
        <f>VLOOKUP($I122,'[1]Table S6'!$A:$AI,35,FALSE)</f>
        <v>#N/A</v>
      </c>
      <c r="AS122" t="str">
        <f>VLOOKUP($H122,'[2]Table S5'!$A:$K,8,FALSE)</f>
        <v>Resistant</v>
      </c>
      <c r="AT122" t="str">
        <f>VLOOKUP($H122,'[2]Table S5'!$A:$K,9,FALSE)</f>
        <v>Resistant</v>
      </c>
      <c r="AU122" t="str">
        <f>VLOOKUP($H122,'[2]Table S5'!$A:$K,10,FALSE)</f>
        <v>Resistant</v>
      </c>
      <c r="AV122" t="str">
        <f>VLOOKUP($H122,'[2]Table S5'!$A:$K,11,FALSE)</f>
        <v>Resistant</v>
      </c>
    </row>
    <row r="123" spans="1:48">
      <c r="A123" t="s">
        <v>926</v>
      </c>
      <c r="B123" t="s">
        <v>927</v>
      </c>
      <c r="C123" t="s">
        <v>17</v>
      </c>
      <c r="D123" t="s">
        <v>929</v>
      </c>
      <c r="E123" t="s">
        <v>930</v>
      </c>
      <c r="F123" t="s">
        <v>931</v>
      </c>
      <c r="G123" t="s">
        <v>4750</v>
      </c>
      <c r="H123" t="s">
        <v>932</v>
      </c>
      <c r="I123" t="s">
        <v>933</v>
      </c>
      <c r="J123">
        <f>VLOOKUP($I123,'[1]Table S6'!$A:$AI,2,FALSE)</f>
        <v>304.7</v>
      </c>
      <c r="K123">
        <f>VLOOKUP($I123,'[1]Table S6'!$A:$AI,3,FALSE)</f>
        <v>0.648435837412215</v>
      </c>
      <c r="L123">
        <f>VLOOKUP($I123,'[1]Table S6'!$A:$AI,4,FALSE)</f>
        <v>1.2769999999999999</v>
      </c>
      <c r="M123" t="str">
        <f>VLOOKUP($I123,'[1]Table S6'!$A:$AI,5,FALSE)</f>
        <v>Yes</v>
      </c>
      <c r="O123">
        <f>VLOOKUP($I123,'[1]Table S6'!$A:$AI,7,FALSE)</f>
        <v>390.4</v>
      </c>
      <c r="P123">
        <f>VLOOKUP($I123,'[1]Table S6'!$A:$AI,8,FALSE)</f>
        <v>0.83081506703553898</v>
      </c>
      <c r="Q123">
        <f>VLOOKUP($I123,'[1]Table S6'!$A:$AI,9,FALSE)</f>
        <v>18.440000000000001</v>
      </c>
      <c r="R123" t="str">
        <f>VLOOKUP($I123,'[1]Table S6'!$A:$AI,10,FALSE)</f>
        <v>No</v>
      </c>
      <c r="T123">
        <f>VLOOKUP($I123,'[1]Table S6'!$A:$AI,12,FALSE)</f>
        <v>371.8</v>
      </c>
      <c r="U123">
        <f>VLOOKUP($I123,'[1]Table S6'!$A:$AI,13,FALSE)</f>
        <v>0.79123217705894899</v>
      </c>
      <c r="V123">
        <f>VLOOKUP($I123,'[1]Table S6'!$A:$AI,14,FALSE)</f>
        <v>5.7489999999999997</v>
      </c>
      <c r="W123" t="str">
        <f>VLOOKUP($I123,'[1]Table S6'!$A:$AI,15,FALSE)</f>
        <v>No</v>
      </c>
      <c r="Y123">
        <f>VLOOKUP($I123,'[1]Table S6'!$A:$AI,17,FALSE)</f>
        <v>300.3</v>
      </c>
      <c r="Z123">
        <f>VLOOKUP($I123,'[1]Table S6'!$A:$AI,18,FALSE)</f>
        <v>0.63907214300915105</v>
      </c>
      <c r="AA123">
        <f>VLOOKUP($I123,'[1]Table S6'!$A:$AI,19,FALSE)</f>
        <v>1.9239999999999999</v>
      </c>
      <c r="AB123" t="str">
        <f>VLOOKUP($I123,'[1]Table S6'!$A:$AI,20,FALSE)</f>
        <v>Yes</v>
      </c>
      <c r="AD123">
        <f>VLOOKUP($I123,'[1]Table S6'!$A:$AI,22,FALSE)</f>
        <v>394.4</v>
      </c>
      <c r="AE123">
        <f>VLOOKUP($I123,'[1]Table S6'!$A:$AI,23,FALSE)</f>
        <v>0.83932751649287096</v>
      </c>
      <c r="AF123">
        <f>VLOOKUP($I123,'[1]Table S6'!$A:$AI,24,FALSE)</f>
        <v>22.82</v>
      </c>
      <c r="AG123" t="str">
        <f>VLOOKUP($I123,'[1]Table S6'!$A:$AI,25,FALSE)</f>
        <v>No</v>
      </c>
      <c r="AI123">
        <f>VLOOKUP($I123,'[1]Table S6'!$A:$AI,27,FALSE)</f>
        <v>443.9</v>
      </c>
      <c r="AJ123">
        <f>VLOOKUP($I123,'[1]Table S6'!$A:$AI,28,FALSE)</f>
        <v>0.94466907852734605</v>
      </c>
      <c r="AK123">
        <f>VLOOKUP($I123,'[1]Table S6'!$A:$AI,29,FALSE)</f>
        <v>114</v>
      </c>
      <c r="AL123" t="str">
        <f>VLOOKUP($I123,'[1]Table S6'!$A:$AI,30,FALSE)</f>
        <v>No</v>
      </c>
      <c r="AN123">
        <f>VLOOKUP($I123,'[1]Table S6'!$A:$AI,32,FALSE)</f>
        <v>426.1</v>
      </c>
      <c r="AO123">
        <f>VLOOKUP($I123,'[1]Table S6'!$A:$AI,33,FALSE)</f>
        <v>0.906788678442222</v>
      </c>
      <c r="AP123">
        <f>VLOOKUP($I123,'[1]Table S6'!$A:$AI,34,FALSE)</f>
        <v>64.73</v>
      </c>
      <c r="AQ123" t="str">
        <f>VLOOKUP($I123,'[1]Table S6'!$A:$AI,35,FALSE)</f>
        <v>No</v>
      </c>
      <c r="AS123" t="str">
        <f>VLOOKUP($H123,'[2]Table S5'!$A:$K,8,FALSE)</f>
        <v>Sensitive</v>
      </c>
      <c r="AT123" t="str">
        <f>VLOOKUP($H123,'[2]Table S5'!$A:$K,9,FALSE)</f>
        <v>Resistant</v>
      </c>
      <c r="AU123" t="str">
        <f>VLOOKUP($H123,'[2]Table S5'!$A:$K,10,FALSE)</f>
        <v>Resistant</v>
      </c>
      <c r="AV123" t="str">
        <f>VLOOKUP($H123,'[2]Table S5'!$A:$K,11,FALSE)</f>
        <v>Sensitive</v>
      </c>
    </row>
    <row r="124" spans="1:48">
      <c r="A124" t="s">
        <v>935</v>
      </c>
      <c r="B124" t="s">
        <v>936</v>
      </c>
      <c r="C124" t="s">
        <v>17</v>
      </c>
      <c r="D124" t="s">
        <v>938</v>
      </c>
      <c r="E124" t="s">
        <v>939</v>
      </c>
      <c r="F124" t="s">
        <v>940</v>
      </c>
      <c r="G124" t="s">
        <v>4750</v>
      </c>
      <c r="H124" t="s">
        <v>932</v>
      </c>
      <c r="I124" t="s">
        <v>941</v>
      </c>
      <c r="J124">
        <f>VLOOKUP($I124,'[1]Table S6'!$A:$AI,2,FALSE)</f>
        <v>292</v>
      </c>
      <c r="K124">
        <f>VLOOKUP($I124,'[1]Table S6'!$A:$AI,3,FALSE)</f>
        <v>0.62140881038518803</v>
      </c>
      <c r="L124">
        <f>VLOOKUP($I124,'[1]Table S6'!$A:$AI,4,FALSE)</f>
        <v>0.9274</v>
      </c>
      <c r="M124" t="str">
        <f>VLOOKUP($I124,'[1]Table S6'!$A:$AI,5,FALSE)</f>
        <v>Yes</v>
      </c>
      <c r="O124">
        <f>VLOOKUP($I124,'[1]Table S6'!$A:$AI,7,FALSE)</f>
        <v>359.7</v>
      </c>
      <c r="P124">
        <f>VLOOKUP($I124,'[1]Table S6'!$A:$AI,8,FALSE)</f>
        <v>0.76548201745052102</v>
      </c>
      <c r="Q124">
        <f>VLOOKUP($I124,'[1]Table S6'!$A:$AI,9,FALSE)</f>
        <v>7.0439999999999996</v>
      </c>
      <c r="R124" t="str">
        <f>VLOOKUP($I124,'[1]Table S6'!$A:$AI,10,FALSE)</f>
        <v>No</v>
      </c>
      <c r="T124">
        <f>VLOOKUP($I124,'[1]Table S6'!$A:$AI,12,FALSE)</f>
        <v>347.8</v>
      </c>
      <c r="U124">
        <f>VLOOKUP($I124,'[1]Table S6'!$A:$AI,13,FALSE)</f>
        <v>0.74015748031496098</v>
      </c>
      <c r="V124">
        <f>VLOOKUP($I124,'[1]Table S6'!$A:$AI,14,FALSE)</f>
        <v>3.26</v>
      </c>
      <c r="W124" t="str">
        <f>VLOOKUP($I124,'[1]Table S6'!$A:$AI,15,FALSE)</f>
        <v>No</v>
      </c>
      <c r="Y124">
        <f>VLOOKUP($I124,'[1]Table S6'!$A:$AI,17,FALSE)</f>
        <v>307.89999999999998</v>
      </c>
      <c r="Z124">
        <f>VLOOKUP($I124,'[1]Table S6'!$A:$AI,18,FALSE)</f>
        <v>0.65524579697808005</v>
      </c>
      <c r="AA124">
        <f>VLOOKUP($I124,'[1]Table S6'!$A:$AI,19,FALSE)</f>
        <v>1.2230000000000001</v>
      </c>
      <c r="AB124" t="str">
        <f>VLOOKUP($I124,'[1]Table S6'!$A:$AI,20,FALSE)</f>
        <v>Yes</v>
      </c>
      <c r="AD124">
        <f>VLOOKUP($I124,'[1]Table S6'!$A:$AI,22,FALSE)</f>
        <v>422.9</v>
      </c>
      <c r="AE124">
        <f>VLOOKUP($I124,'[1]Table S6'!$A:$AI,23,FALSE)</f>
        <v>0.89997871887635705</v>
      </c>
      <c r="AF124">
        <f>VLOOKUP($I124,'[1]Table S6'!$A:$AI,24,FALSE)</f>
        <v>38.369999999999997</v>
      </c>
      <c r="AG124" t="str">
        <f>VLOOKUP($I124,'[1]Table S6'!$A:$AI,25,FALSE)</f>
        <v>No</v>
      </c>
      <c r="AI124">
        <f>VLOOKUP($I124,'[1]Table S6'!$A:$AI,27,FALSE)</f>
        <v>432.4</v>
      </c>
      <c r="AJ124">
        <f>VLOOKUP($I124,'[1]Table S6'!$A:$AI,28,FALSE)</f>
        <v>0.92019578633751897</v>
      </c>
      <c r="AK124">
        <f>VLOOKUP($I124,'[1]Table S6'!$A:$AI,29,FALSE)</f>
        <v>66.989999999999995</v>
      </c>
      <c r="AL124" t="str">
        <f>VLOOKUP($I124,'[1]Table S6'!$A:$AI,30,FALSE)</f>
        <v>No</v>
      </c>
      <c r="AN124">
        <f>VLOOKUP($I124,'[1]Table S6'!$A:$AI,32,FALSE)</f>
        <v>443</v>
      </c>
      <c r="AO124">
        <f>VLOOKUP($I124,'[1]Table S6'!$A:$AI,33,FALSE)</f>
        <v>0.94275377739944699</v>
      </c>
      <c r="AP124">
        <f>VLOOKUP($I124,'[1]Table S6'!$A:$AI,34,FALSE)</f>
        <v>118.7</v>
      </c>
      <c r="AQ124" t="str">
        <f>VLOOKUP($I124,'[1]Table S6'!$A:$AI,35,FALSE)</f>
        <v>No</v>
      </c>
      <c r="AS124" t="str">
        <f>VLOOKUP($H124,'[2]Table S5'!$A:$K,8,FALSE)</f>
        <v>Sensitive</v>
      </c>
      <c r="AT124" t="str">
        <f>VLOOKUP($H124,'[2]Table S5'!$A:$K,9,FALSE)</f>
        <v>Resistant</v>
      </c>
      <c r="AU124" t="str">
        <f>VLOOKUP($H124,'[2]Table S5'!$A:$K,10,FALSE)</f>
        <v>Resistant</v>
      </c>
      <c r="AV124" t="str">
        <f>VLOOKUP($H124,'[2]Table S5'!$A:$K,11,FALSE)</f>
        <v>Sensitive</v>
      </c>
    </row>
    <row r="125" spans="1:48">
      <c r="A125" t="s">
        <v>943</v>
      </c>
      <c r="B125" t="s">
        <v>944</v>
      </c>
      <c r="C125" t="s">
        <v>17</v>
      </c>
      <c r="D125" t="s">
        <v>946</v>
      </c>
      <c r="E125" t="s">
        <v>947</v>
      </c>
      <c r="F125" t="s">
        <v>948</v>
      </c>
      <c r="G125" t="s">
        <v>4751</v>
      </c>
      <c r="H125" t="s">
        <v>932</v>
      </c>
      <c r="I125" t="s">
        <v>933</v>
      </c>
      <c r="J125">
        <f>VLOOKUP($I125,'[1]Table S6'!$A:$AI,2,FALSE)</f>
        <v>304.7</v>
      </c>
      <c r="K125">
        <f>VLOOKUP($I125,'[1]Table S6'!$A:$AI,3,FALSE)</f>
        <v>0.648435837412215</v>
      </c>
      <c r="L125">
        <f>VLOOKUP($I125,'[1]Table S6'!$A:$AI,4,FALSE)</f>
        <v>1.2769999999999999</v>
      </c>
      <c r="M125" t="str">
        <f>VLOOKUP($I125,'[1]Table S6'!$A:$AI,5,FALSE)</f>
        <v>Yes</v>
      </c>
      <c r="O125">
        <f>VLOOKUP($I125,'[1]Table S6'!$A:$AI,7,FALSE)</f>
        <v>390.4</v>
      </c>
      <c r="P125">
        <f>VLOOKUP($I125,'[1]Table S6'!$A:$AI,8,FALSE)</f>
        <v>0.83081506703553898</v>
      </c>
      <c r="Q125">
        <f>VLOOKUP($I125,'[1]Table S6'!$A:$AI,9,FALSE)</f>
        <v>18.440000000000001</v>
      </c>
      <c r="R125" t="str">
        <f>VLOOKUP($I125,'[1]Table S6'!$A:$AI,10,FALSE)</f>
        <v>No</v>
      </c>
      <c r="T125">
        <f>VLOOKUP($I125,'[1]Table S6'!$A:$AI,12,FALSE)</f>
        <v>371.8</v>
      </c>
      <c r="U125">
        <f>VLOOKUP($I125,'[1]Table S6'!$A:$AI,13,FALSE)</f>
        <v>0.79123217705894899</v>
      </c>
      <c r="V125">
        <f>VLOOKUP($I125,'[1]Table S6'!$A:$AI,14,FALSE)</f>
        <v>5.7489999999999997</v>
      </c>
      <c r="W125" t="str">
        <f>VLOOKUP($I125,'[1]Table S6'!$A:$AI,15,FALSE)</f>
        <v>No</v>
      </c>
      <c r="Y125">
        <f>VLOOKUP($I125,'[1]Table S6'!$A:$AI,17,FALSE)</f>
        <v>300.3</v>
      </c>
      <c r="Z125">
        <f>VLOOKUP($I125,'[1]Table S6'!$A:$AI,18,FALSE)</f>
        <v>0.63907214300915105</v>
      </c>
      <c r="AA125">
        <f>VLOOKUP($I125,'[1]Table S6'!$A:$AI,19,FALSE)</f>
        <v>1.9239999999999999</v>
      </c>
      <c r="AB125" t="str">
        <f>VLOOKUP($I125,'[1]Table S6'!$A:$AI,20,FALSE)</f>
        <v>Yes</v>
      </c>
      <c r="AD125">
        <f>VLOOKUP($I125,'[1]Table S6'!$A:$AI,22,FALSE)</f>
        <v>394.4</v>
      </c>
      <c r="AE125">
        <f>VLOOKUP($I125,'[1]Table S6'!$A:$AI,23,FALSE)</f>
        <v>0.83932751649287096</v>
      </c>
      <c r="AF125">
        <f>VLOOKUP($I125,'[1]Table S6'!$A:$AI,24,FALSE)</f>
        <v>22.82</v>
      </c>
      <c r="AG125" t="str">
        <f>VLOOKUP($I125,'[1]Table S6'!$A:$AI,25,FALSE)</f>
        <v>No</v>
      </c>
      <c r="AI125">
        <f>VLOOKUP($I125,'[1]Table S6'!$A:$AI,27,FALSE)</f>
        <v>443.9</v>
      </c>
      <c r="AJ125">
        <f>VLOOKUP($I125,'[1]Table S6'!$A:$AI,28,FALSE)</f>
        <v>0.94466907852734605</v>
      </c>
      <c r="AK125">
        <f>VLOOKUP($I125,'[1]Table S6'!$A:$AI,29,FALSE)</f>
        <v>114</v>
      </c>
      <c r="AL125" t="str">
        <f>VLOOKUP($I125,'[1]Table S6'!$A:$AI,30,FALSE)</f>
        <v>No</v>
      </c>
      <c r="AN125">
        <f>VLOOKUP($I125,'[1]Table S6'!$A:$AI,32,FALSE)</f>
        <v>426.1</v>
      </c>
      <c r="AO125">
        <f>VLOOKUP($I125,'[1]Table S6'!$A:$AI,33,FALSE)</f>
        <v>0.906788678442222</v>
      </c>
      <c r="AP125">
        <f>VLOOKUP($I125,'[1]Table S6'!$A:$AI,34,FALSE)</f>
        <v>64.73</v>
      </c>
      <c r="AQ125" t="str">
        <f>VLOOKUP($I125,'[1]Table S6'!$A:$AI,35,FALSE)</f>
        <v>No</v>
      </c>
      <c r="AS125" t="str">
        <f>VLOOKUP($H125,'[2]Table S5'!$A:$K,8,FALSE)</f>
        <v>Sensitive</v>
      </c>
      <c r="AT125" t="str">
        <f>VLOOKUP($H125,'[2]Table S5'!$A:$K,9,FALSE)</f>
        <v>Resistant</v>
      </c>
      <c r="AU125" t="str">
        <f>VLOOKUP($H125,'[2]Table S5'!$A:$K,10,FALSE)</f>
        <v>Resistant</v>
      </c>
      <c r="AV125" t="str">
        <f>VLOOKUP($H125,'[2]Table S5'!$A:$K,11,FALSE)</f>
        <v>Sensitive</v>
      </c>
    </row>
    <row r="126" spans="1:48">
      <c r="A126" t="s">
        <v>950</v>
      </c>
      <c r="B126" t="s">
        <v>951</v>
      </c>
      <c r="C126" t="s">
        <v>17</v>
      </c>
      <c r="D126" t="s">
        <v>953</v>
      </c>
      <c r="E126" t="s">
        <v>954</v>
      </c>
      <c r="F126" t="s">
        <v>955</v>
      </c>
      <c r="G126" t="s">
        <v>4751</v>
      </c>
      <c r="H126" t="s">
        <v>932</v>
      </c>
      <c r="I126" t="s">
        <v>941</v>
      </c>
      <c r="J126">
        <f>VLOOKUP($I126,'[1]Table S6'!$A:$AI,2,FALSE)</f>
        <v>292</v>
      </c>
      <c r="K126">
        <f>VLOOKUP($I126,'[1]Table S6'!$A:$AI,3,FALSE)</f>
        <v>0.62140881038518803</v>
      </c>
      <c r="L126">
        <f>VLOOKUP($I126,'[1]Table S6'!$A:$AI,4,FALSE)</f>
        <v>0.9274</v>
      </c>
      <c r="M126" t="str">
        <f>VLOOKUP($I126,'[1]Table S6'!$A:$AI,5,FALSE)</f>
        <v>Yes</v>
      </c>
      <c r="O126">
        <f>VLOOKUP($I126,'[1]Table S6'!$A:$AI,7,FALSE)</f>
        <v>359.7</v>
      </c>
      <c r="P126">
        <f>VLOOKUP($I126,'[1]Table S6'!$A:$AI,8,FALSE)</f>
        <v>0.76548201745052102</v>
      </c>
      <c r="Q126">
        <f>VLOOKUP($I126,'[1]Table S6'!$A:$AI,9,FALSE)</f>
        <v>7.0439999999999996</v>
      </c>
      <c r="R126" t="str">
        <f>VLOOKUP($I126,'[1]Table S6'!$A:$AI,10,FALSE)</f>
        <v>No</v>
      </c>
      <c r="T126">
        <f>VLOOKUP($I126,'[1]Table S6'!$A:$AI,12,FALSE)</f>
        <v>347.8</v>
      </c>
      <c r="U126">
        <f>VLOOKUP($I126,'[1]Table S6'!$A:$AI,13,FALSE)</f>
        <v>0.74015748031496098</v>
      </c>
      <c r="V126">
        <f>VLOOKUP($I126,'[1]Table S6'!$A:$AI,14,FALSE)</f>
        <v>3.26</v>
      </c>
      <c r="W126" t="str">
        <f>VLOOKUP($I126,'[1]Table S6'!$A:$AI,15,FALSE)</f>
        <v>No</v>
      </c>
      <c r="Y126">
        <f>VLOOKUP($I126,'[1]Table S6'!$A:$AI,17,FALSE)</f>
        <v>307.89999999999998</v>
      </c>
      <c r="Z126">
        <f>VLOOKUP($I126,'[1]Table S6'!$A:$AI,18,FALSE)</f>
        <v>0.65524579697808005</v>
      </c>
      <c r="AA126">
        <f>VLOOKUP($I126,'[1]Table S6'!$A:$AI,19,FALSE)</f>
        <v>1.2230000000000001</v>
      </c>
      <c r="AB126" t="str">
        <f>VLOOKUP($I126,'[1]Table S6'!$A:$AI,20,FALSE)</f>
        <v>Yes</v>
      </c>
      <c r="AD126">
        <f>VLOOKUP($I126,'[1]Table S6'!$A:$AI,22,FALSE)</f>
        <v>422.9</v>
      </c>
      <c r="AE126">
        <f>VLOOKUP($I126,'[1]Table S6'!$A:$AI,23,FALSE)</f>
        <v>0.89997871887635705</v>
      </c>
      <c r="AF126">
        <f>VLOOKUP($I126,'[1]Table S6'!$A:$AI,24,FALSE)</f>
        <v>38.369999999999997</v>
      </c>
      <c r="AG126" t="str">
        <f>VLOOKUP($I126,'[1]Table S6'!$A:$AI,25,FALSE)</f>
        <v>No</v>
      </c>
      <c r="AI126">
        <f>VLOOKUP($I126,'[1]Table S6'!$A:$AI,27,FALSE)</f>
        <v>432.4</v>
      </c>
      <c r="AJ126">
        <f>VLOOKUP($I126,'[1]Table S6'!$A:$AI,28,FALSE)</f>
        <v>0.92019578633751897</v>
      </c>
      <c r="AK126">
        <f>VLOOKUP($I126,'[1]Table S6'!$A:$AI,29,FALSE)</f>
        <v>66.989999999999995</v>
      </c>
      <c r="AL126" t="str">
        <f>VLOOKUP($I126,'[1]Table S6'!$A:$AI,30,FALSE)</f>
        <v>No</v>
      </c>
      <c r="AN126">
        <f>VLOOKUP($I126,'[1]Table S6'!$A:$AI,32,FALSE)</f>
        <v>443</v>
      </c>
      <c r="AO126">
        <f>VLOOKUP($I126,'[1]Table S6'!$A:$AI,33,FALSE)</f>
        <v>0.94275377739944699</v>
      </c>
      <c r="AP126">
        <f>VLOOKUP($I126,'[1]Table S6'!$A:$AI,34,FALSE)</f>
        <v>118.7</v>
      </c>
      <c r="AQ126" t="str">
        <f>VLOOKUP($I126,'[1]Table S6'!$A:$AI,35,FALSE)</f>
        <v>No</v>
      </c>
      <c r="AS126" t="str">
        <f>VLOOKUP($H126,'[2]Table S5'!$A:$K,8,FALSE)</f>
        <v>Sensitive</v>
      </c>
      <c r="AT126" t="str">
        <f>VLOOKUP($H126,'[2]Table S5'!$A:$K,9,FALSE)</f>
        <v>Resistant</v>
      </c>
      <c r="AU126" t="str">
        <f>VLOOKUP($H126,'[2]Table S5'!$A:$K,10,FALSE)</f>
        <v>Resistant</v>
      </c>
      <c r="AV126" t="str">
        <f>VLOOKUP($H126,'[2]Table S5'!$A:$K,11,FALSE)</f>
        <v>Sensitive</v>
      </c>
    </row>
    <row r="127" spans="1:48">
      <c r="A127" t="s">
        <v>957</v>
      </c>
      <c r="B127" t="s">
        <v>958</v>
      </c>
      <c r="C127" t="s">
        <v>17</v>
      </c>
      <c r="D127" t="s">
        <v>960</v>
      </c>
      <c r="E127" t="s">
        <v>961</v>
      </c>
      <c r="F127" t="s">
        <v>962</v>
      </c>
      <c r="G127" t="s">
        <v>4757</v>
      </c>
      <c r="H127" t="s">
        <v>932</v>
      </c>
      <c r="I127" t="s">
        <v>932</v>
      </c>
      <c r="J127" t="e">
        <f>VLOOKUP($I127,'[1]Table S6'!$A:$AI,2,FALSE)</f>
        <v>#N/A</v>
      </c>
      <c r="K127" t="e">
        <f>VLOOKUP($I127,'[1]Table S6'!$A:$AI,3,FALSE)</f>
        <v>#N/A</v>
      </c>
      <c r="L127" t="e">
        <f>VLOOKUP($I127,'[1]Table S6'!$A:$AI,4,FALSE)</f>
        <v>#N/A</v>
      </c>
      <c r="M127" t="e">
        <f>VLOOKUP($I127,'[1]Table S6'!$A:$AI,5,FALSE)</f>
        <v>#N/A</v>
      </c>
      <c r="O127" t="e">
        <f>VLOOKUP($I127,'[1]Table S6'!$A:$AI,7,FALSE)</f>
        <v>#N/A</v>
      </c>
      <c r="P127" t="e">
        <f>VLOOKUP($I127,'[1]Table S6'!$A:$AI,8,FALSE)</f>
        <v>#N/A</v>
      </c>
      <c r="Q127" t="e">
        <f>VLOOKUP($I127,'[1]Table S6'!$A:$AI,9,FALSE)</f>
        <v>#N/A</v>
      </c>
      <c r="R127" t="e">
        <f>VLOOKUP($I127,'[1]Table S6'!$A:$AI,10,FALSE)</f>
        <v>#N/A</v>
      </c>
      <c r="T127" t="e">
        <f>VLOOKUP($I127,'[1]Table S6'!$A:$AI,12,FALSE)</f>
        <v>#N/A</v>
      </c>
      <c r="U127" t="e">
        <f>VLOOKUP($I127,'[1]Table S6'!$A:$AI,13,FALSE)</f>
        <v>#N/A</v>
      </c>
      <c r="V127" t="e">
        <f>VLOOKUP($I127,'[1]Table S6'!$A:$AI,14,FALSE)</f>
        <v>#N/A</v>
      </c>
      <c r="W127" t="e">
        <f>VLOOKUP($I127,'[1]Table S6'!$A:$AI,15,FALSE)</f>
        <v>#N/A</v>
      </c>
      <c r="Y127" t="e">
        <f>VLOOKUP($I127,'[1]Table S6'!$A:$AI,17,FALSE)</f>
        <v>#N/A</v>
      </c>
      <c r="Z127" t="e">
        <f>VLOOKUP($I127,'[1]Table S6'!$A:$AI,18,FALSE)</f>
        <v>#N/A</v>
      </c>
      <c r="AA127" t="e">
        <f>VLOOKUP($I127,'[1]Table S6'!$A:$AI,19,FALSE)</f>
        <v>#N/A</v>
      </c>
      <c r="AB127" t="e">
        <f>VLOOKUP($I127,'[1]Table S6'!$A:$AI,20,FALSE)</f>
        <v>#N/A</v>
      </c>
      <c r="AD127" t="e">
        <f>VLOOKUP($I127,'[1]Table S6'!$A:$AI,22,FALSE)</f>
        <v>#N/A</v>
      </c>
      <c r="AE127" t="e">
        <f>VLOOKUP($I127,'[1]Table S6'!$A:$AI,23,FALSE)</f>
        <v>#N/A</v>
      </c>
      <c r="AF127" t="e">
        <f>VLOOKUP($I127,'[1]Table S6'!$A:$AI,24,FALSE)</f>
        <v>#N/A</v>
      </c>
      <c r="AG127" t="e">
        <f>VLOOKUP($I127,'[1]Table S6'!$A:$AI,25,FALSE)</f>
        <v>#N/A</v>
      </c>
      <c r="AI127" t="e">
        <f>VLOOKUP($I127,'[1]Table S6'!$A:$AI,27,FALSE)</f>
        <v>#N/A</v>
      </c>
      <c r="AJ127" t="e">
        <f>VLOOKUP($I127,'[1]Table S6'!$A:$AI,28,FALSE)</f>
        <v>#N/A</v>
      </c>
      <c r="AK127" t="e">
        <f>VLOOKUP($I127,'[1]Table S6'!$A:$AI,29,FALSE)</f>
        <v>#N/A</v>
      </c>
      <c r="AL127" t="e">
        <f>VLOOKUP($I127,'[1]Table S6'!$A:$AI,30,FALSE)</f>
        <v>#N/A</v>
      </c>
      <c r="AN127" t="e">
        <f>VLOOKUP($I127,'[1]Table S6'!$A:$AI,32,FALSE)</f>
        <v>#N/A</v>
      </c>
      <c r="AO127" t="e">
        <f>VLOOKUP($I127,'[1]Table S6'!$A:$AI,33,FALSE)</f>
        <v>#N/A</v>
      </c>
      <c r="AP127" t="e">
        <f>VLOOKUP($I127,'[1]Table S6'!$A:$AI,34,FALSE)</f>
        <v>#N/A</v>
      </c>
      <c r="AQ127" t="e">
        <f>VLOOKUP($I127,'[1]Table S6'!$A:$AI,35,FALSE)</f>
        <v>#N/A</v>
      </c>
      <c r="AS127" t="str">
        <f>VLOOKUP($H127,'[2]Table S5'!$A:$K,8,FALSE)</f>
        <v>Sensitive</v>
      </c>
      <c r="AT127" t="str">
        <f>VLOOKUP($H127,'[2]Table S5'!$A:$K,9,FALSE)</f>
        <v>Resistant</v>
      </c>
      <c r="AU127" t="str">
        <f>VLOOKUP($H127,'[2]Table S5'!$A:$K,10,FALSE)</f>
        <v>Resistant</v>
      </c>
      <c r="AV127" t="str">
        <f>VLOOKUP($H127,'[2]Table S5'!$A:$K,11,FALSE)</f>
        <v>Sensitive</v>
      </c>
    </row>
    <row r="128" spans="1:48">
      <c r="A128" t="s">
        <v>964</v>
      </c>
      <c r="B128" t="s">
        <v>965</v>
      </c>
      <c r="C128" t="s">
        <v>17</v>
      </c>
      <c r="D128" t="s">
        <v>967</v>
      </c>
      <c r="E128" t="s">
        <v>968</v>
      </c>
      <c r="F128" t="s">
        <v>969</v>
      </c>
      <c r="G128" t="s">
        <v>4750</v>
      </c>
      <c r="H128" t="s">
        <v>970</v>
      </c>
      <c r="I128" t="s">
        <v>971</v>
      </c>
      <c r="J128">
        <f>VLOOKUP($I128,'[1]Table S6'!$A:$AI,2,FALSE)</f>
        <v>352.3</v>
      </c>
      <c r="K128">
        <f>VLOOKUP($I128,'[1]Table S6'!$A:$AI,3,FALSE)</f>
        <v>0.74973398595445895</v>
      </c>
      <c r="L128">
        <f>VLOOKUP($I128,'[1]Table S6'!$A:$AI,4,FALSE)</f>
        <v>4.7530000000000001</v>
      </c>
      <c r="M128" t="str">
        <f>VLOOKUP($I128,'[1]Table S6'!$A:$AI,5,FALSE)</f>
        <v>No</v>
      </c>
      <c r="O128">
        <f>VLOOKUP($I128,'[1]Table S6'!$A:$AI,7,FALSE)</f>
        <v>343.4</v>
      </c>
      <c r="P128">
        <f>VLOOKUP($I128,'[1]Table S6'!$A:$AI,8,FALSE)</f>
        <v>0.73079378591189603</v>
      </c>
      <c r="Q128">
        <f>VLOOKUP($I128,'[1]Table S6'!$A:$AI,9,FALSE)</f>
        <v>4.9379999999999997</v>
      </c>
      <c r="R128" t="str">
        <f>VLOOKUP($I128,'[1]Table S6'!$A:$AI,10,FALSE)</f>
        <v>No</v>
      </c>
      <c r="T128">
        <f>VLOOKUP($I128,'[1]Table S6'!$A:$AI,12,FALSE)</f>
        <v>404.3</v>
      </c>
      <c r="U128">
        <f>VLOOKUP($I128,'[1]Table S6'!$A:$AI,13,FALSE)</f>
        <v>0.86039582889976596</v>
      </c>
      <c r="V128">
        <f>VLOOKUP($I128,'[1]Table S6'!$A:$AI,14,FALSE)</f>
        <v>41.17</v>
      </c>
      <c r="W128" t="str">
        <f>VLOOKUP($I128,'[1]Table S6'!$A:$AI,15,FALSE)</f>
        <v>No</v>
      </c>
      <c r="Y128">
        <f>VLOOKUP($I128,'[1]Table S6'!$A:$AI,17,FALSE)</f>
        <v>394.7</v>
      </c>
      <c r="Z128">
        <f>VLOOKUP($I128,'[1]Table S6'!$A:$AI,18,FALSE)</f>
        <v>0.83996595020217102</v>
      </c>
      <c r="AA128">
        <f>VLOOKUP($I128,'[1]Table S6'!$A:$AI,19,FALSE)</f>
        <v>16.13</v>
      </c>
      <c r="AB128" t="str">
        <f>VLOOKUP($I128,'[1]Table S6'!$A:$AI,20,FALSE)</f>
        <v>No</v>
      </c>
      <c r="AD128">
        <f>VLOOKUP($I128,'[1]Table S6'!$A:$AI,22,FALSE)</f>
        <v>386.1</v>
      </c>
      <c r="AE128">
        <f>VLOOKUP($I128,'[1]Table S6'!$A:$AI,23,FALSE)</f>
        <v>0.82166418386890805</v>
      </c>
      <c r="AF128">
        <f>VLOOKUP($I128,'[1]Table S6'!$A:$AI,24,FALSE)</f>
        <v>17.25</v>
      </c>
      <c r="AG128" t="str">
        <f>VLOOKUP($I128,'[1]Table S6'!$A:$AI,25,FALSE)</f>
        <v>No</v>
      </c>
      <c r="AI128">
        <f>VLOOKUP($I128,'[1]Table S6'!$A:$AI,27,FALSE)</f>
        <v>422</v>
      </c>
      <c r="AJ128">
        <f>VLOOKUP($I128,'[1]Table S6'!$A:$AI,28,FALSE)</f>
        <v>0.89806341774845699</v>
      </c>
      <c r="AK128">
        <f>VLOOKUP($I128,'[1]Table S6'!$A:$AI,29,FALSE)</f>
        <v>190.6</v>
      </c>
      <c r="AL128" t="str">
        <f>VLOOKUP($I128,'[1]Table S6'!$A:$AI,30,FALSE)</f>
        <v>No</v>
      </c>
      <c r="AN128">
        <f>VLOOKUP($I128,'[1]Table S6'!$A:$AI,32,FALSE)</f>
        <v>432.3</v>
      </c>
      <c r="AO128">
        <f>VLOOKUP($I128,'[1]Table S6'!$A:$AI,33,FALSE)</f>
        <v>0.91998297510108495</v>
      </c>
      <c r="AP128">
        <f>VLOOKUP($I128,'[1]Table S6'!$A:$AI,34,FALSE)</f>
        <v>215.2</v>
      </c>
      <c r="AQ128" t="str">
        <f>VLOOKUP($I128,'[1]Table S6'!$A:$AI,35,FALSE)</f>
        <v>No</v>
      </c>
      <c r="AS128" t="str">
        <f>VLOOKUP($H128,'[2]Table S5'!$A:$K,8,FALSE)</f>
        <v>Resistant</v>
      </c>
      <c r="AT128" t="str">
        <f>VLOOKUP($H128,'[2]Table S5'!$A:$K,9,FALSE)</f>
        <v>Resistant</v>
      </c>
      <c r="AU128" t="str">
        <f>VLOOKUP($H128,'[2]Table S5'!$A:$K,10,FALSE)</f>
        <v>Resistant</v>
      </c>
      <c r="AV128" t="str">
        <f>VLOOKUP($H128,'[2]Table S5'!$A:$K,11,FALSE)</f>
        <v>Resistant</v>
      </c>
    </row>
    <row r="129" spans="1:48">
      <c r="A129" t="s">
        <v>973</v>
      </c>
      <c r="B129" t="s">
        <v>974</v>
      </c>
      <c r="C129" t="s">
        <v>17</v>
      </c>
      <c r="D129" t="s">
        <v>976</v>
      </c>
      <c r="E129" t="s">
        <v>977</v>
      </c>
      <c r="F129" t="s">
        <v>978</v>
      </c>
      <c r="G129" t="s">
        <v>4750</v>
      </c>
      <c r="H129" t="s">
        <v>970</v>
      </c>
      <c r="I129" t="s">
        <v>979</v>
      </c>
      <c r="J129">
        <f>VLOOKUP($I129,'[1]Table S6'!$A:$AI,2,FALSE)</f>
        <v>341.4</v>
      </c>
      <c r="K129">
        <f>VLOOKUP($I129,'[1]Table S6'!$A:$AI,3,FALSE)</f>
        <v>0.72653756118322999</v>
      </c>
      <c r="L129">
        <f>VLOOKUP($I129,'[1]Table S6'!$A:$AI,4,FALSE)</f>
        <v>2.9329999999999998</v>
      </c>
      <c r="M129" t="str">
        <f>VLOOKUP($I129,'[1]Table S6'!$A:$AI,5,FALSE)</f>
        <v>No</v>
      </c>
      <c r="O129">
        <f>VLOOKUP($I129,'[1]Table S6'!$A:$AI,7,FALSE)</f>
        <v>365.1</v>
      </c>
      <c r="P129">
        <f>VLOOKUP($I129,'[1]Table S6'!$A:$AI,8,FALSE)</f>
        <v>0.77697382421791905</v>
      </c>
      <c r="Q129">
        <f>VLOOKUP($I129,'[1]Table S6'!$A:$AI,9,FALSE)</f>
        <v>10.050000000000001</v>
      </c>
      <c r="R129" t="str">
        <f>VLOOKUP($I129,'[1]Table S6'!$A:$AI,10,FALSE)</f>
        <v>No</v>
      </c>
      <c r="T129">
        <f>VLOOKUP($I129,'[1]Table S6'!$A:$AI,12,FALSE)</f>
        <v>381.2</v>
      </c>
      <c r="U129">
        <f>VLOOKUP($I129,'[1]Table S6'!$A:$AI,13,FALSE)</f>
        <v>0.81123643328367701</v>
      </c>
      <c r="V129">
        <f>VLOOKUP($I129,'[1]Table S6'!$A:$AI,14,FALSE)</f>
        <v>17.72</v>
      </c>
      <c r="W129" t="str">
        <f>VLOOKUP($I129,'[1]Table S6'!$A:$AI,15,FALSE)</f>
        <v>No</v>
      </c>
      <c r="Y129">
        <f>VLOOKUP($I129,'[1]Table S6'!$A:$AI,17,FALSE)</f>
        <v>326.7</v>
      </c>
      <c r="Z129">
        <f>VLOOKUP($I129,'[1]Table S6'!$A:$AI,18,FALSE)</f>
        <v>0.69525430942753796</v>
      </c>
      <c r="AA129">
        <f>VLOOKUP($I129,'[1]Table S6'!$A:$AI,19,FALSE)</f>
        <v>2.3530000000000002</v>
      </c>
      <c r="AB129" t="str">
        <f>VLOOKUP($I129,'[1]Table S6'!$A:$AI,20,FALSE)</f>
        <v>No</v>
      </c>
      <c r="AD129">
        <f>VLOOKUP($I129,'[1]Table S6'!$A:$AI,22,FALSE)</f>
        <v>370.9</v>
      </c>
      <c r="AE129">
        <f>VLOOKUP($I129,'[1]Table S6'!$A:$AI,23,FALSE)</f>
        <v>0.78931687593104904</v>
      </c>
      <c r="AF129">
        <f>VLOOKUP($I129,'[1]Table S6'!$A:$AI,24,FALSE)</f>
        <v>10.81</v>
      </c>
      <c r="AG129" t="str">
        <f>VLOOKUP($I129,'[1]Table S6'!$A:$AI,25,FALSE)</f>
        <v>No</v>
      </c>
      <c r="AI129">
        <f>VLOOKUP($I129,'[1]Table S6'!$A:$AI,27,FALSE)</f>
        <v>398.9</v>
      </c>
      <c r="AJ129">
        <f>VLOOKUP($I129,'[1]Table S6'!$A:$AI,28,FALSE)</f>
        <v>0.84890402213236904</v>
      </c>
      <c r="AK129">
        <f>VLOOKUP($I129,'[1]Table S6'!$A:$AI,29,FALSE)</f>
        <v>80.67</v>
      </c>
      <c r="AL129" t="str">
        <f>VLOOKUP($I129,'[1]Table S6'!$A:$AI,30,FALSE)</f>
        <v>No</v>
      </c>
      <c r="AN129">
        <f>VLOOKUP($I129,'[1]Table S6'!$A:$AI,32,FALSE)</f>
        <v>417.2</v>
      </c>
      <c r="AO129">
        <f>VLOOKUP($I129,'[1]Table S6'!$A:$AI,33,FALSE)</f>
        <v>0.88784847839965997</v>
      </c>
      <c r="AP129">
        <f>VLOOKUP($I129,'[1]Table S6'!$A:$AI,34,FALSE)</f>
        <v>100.4</v>
      </c>
      <c r="AQ129" t="str">
        <f>VLOOKUP($I129,'[1]Table S6'!$A:$AI,35,FALSE)</f>
        <v>No</v>
      </c>
      <c r="AS129" t="str">
        <f>VLOOKUP($H129,'[2]Table S5'!$A:$K,8,FALSE)</f>
        <v>Resistant</v>
      </c>
      <c r="AT129" t="str">
        <f>VLOOKUP($H129,'[2]Table S5'!$A:$K,9,FALSE)</f>
        <v>Resistant</v>
      </c>
      <c r="AU129" t="str">
        <f>VLOOKUP($H129,'[2]Table S5'!$A:$K,10,FALSE)</f>
        <v>Resistant</v>
      </c>
      <c r="AV129" t="str">
        <f>VLOOKUP($H129,'[2]Table S5'!$A:$K,11,FALSE)</f>
        <v>Resistant</v>
      </c>
    </row>
    <row r="130" spans="1:48">
      <c r="A130" t="s">
        <v>981</v>
      </c>
      <c r="B130" t="s">
        <v>982</v>
      </c>
      <c r="C130" t="s">
        <v>17</v>
      </c>
      <c r="D130" t="s">
        <v>984</v>
      </c>
      <c r="E130" t="s">
        <v>985</v>
      </c>
      <c r="F130" t="s">
        <v>986</v>
      </c>
      <c r="G130" t="s">
        <v>4750</v>
      </c>
      <c r="H130" t="s">
        <v>970</v>
      </c>
      <c r="I130" t="s">
        <v>987</v>
      </c>
      <c r="J130">
        <f>VLOOKUP($I130,'[1]Table S6'!$A:$AI,2,FALSE)</f>
        <v>363.3</v>
      </c>
      <c r="K130">
        <f>VLOOKUP($I130,'[1]Table S6'!$A:$AI,3,FALSE)</f>
        <v>0.77314322196212004</v>
      </c>
      <c r="L130">
        <f>VLOOKUP($I130,'[1]Table S6'!$A:$AI,4,FALSE)</f>
        <v>7.702</v>
      </c>
      <c r="M130" t="str">
        <f>VLOOKUP($I130,'[1]Table S6'!$A:$AI,5,FALSE)</f>
        <v>No</v>
      </c>
      <c r="O130">
        <f>VLOOKUP($I130,'[1]Table S6'!$A:$AI,7,FALSE)</f>
        <v>341.8</v>
      </c>
      <c r="P130">
        <f>VLOOKUP($I130,'[1]Table S6'!$A:$AI,8,FALSE)</f>
        <v>0.72738880612896395</v>
      </c>
      <c r="Q130">
        <f>VLOOKUP($I130,'[1]Table S6'!$A:$AI,9,FALSE)</f>
        <v>4.7080000000000002</v>
      </c>
      <c r="R130" t="str">
        <f>VLOOKUP($I130,'[1]Table S6'!$A:$AI,10,FALSE)</f>
        <v>No</v>
      </c>
      <c r="T130">
        <f>VLOOKUP($I130,'[1]Table S6'!$A:$AI,12,FALSE)</f>
        <v>359.1</v>
      </c>
      <c r="U130">
        <f>VLOOKUP($I130,'[1]Table S6'!$A:$AI,13,FALSE)</f>
        <v>0.76420515003192202</v>
      </c>
      <c r="V130">
        <f>VLOOKUP($I130,'[1]Table S6'!$A:$AI,14,FALSE)</f>
        <v>10.39</v>
      </c>
      <c r="W130" t="str">
        <f>VLOOKUP($I130,'[1]Table S6'!$A:$AI,15,FALSE)</f>
        <v>No</v>
      </c>
      <c r="Y130">
        <f>VLOOKUP($I130,'[1]Table S6'!$A:$AI,17,FALSE)</f>
        <v>367.1</v>
      </c>
      <c r="Z130">
        <f>VLOOKUP($I130,'[1]Table S6'!$A:$AI,18,FALSE)</f>
        <v>0.78123004894658399</v>
      </c>
      <c r="AA130">
        <f>VLOOKUP($I130,'[1]Table S6'!$A:$AI,19,FALSE)</f>
        <v>11.81</v>
      </c>
      <c r="AB130" t="str">
        <f>VLOOKUP($I130,'[1]Table S6'!$A:$AI,20,FALSE)</f>
        <v>No</v>
      </c>
      <c r="AD130">
        <f>VLOOKUP($I130,'[1]Table S6'!$A:$AI,22,FALSE)</f>
        <v>321.3</v>
      </c>
      <c r="AE130">
        <f>VLOOKUP($I130,'[1]Table S6'!$A:$AI,23,FALSE)</f>
        <v>0.68376250266014005</v>
      </c>
      <c r="AF130">
        <f>VLOOKUP($I130,'[1]Table S6'!$A:$AI,24,FALSE)</f>
        <v>2.3929999999999998</v>
      </c>
      <c r="AG130" t="str">
        <f>VLOOKUP($I130,'[1]Table S6'!$A:$AI,25,FALSE)</f>
        <v>Yes</v>
      </c>
      <c r="AI130">
        <f>VLOOKUP($I130,'[1]Table S6'!$A:$AI,27,FALSE)</f>
        <v>395.4</v>
      </c>
      <c r="AJ130">
        <f>VLOOKUP($I130,'[1]Table S6'!$A:$AI,28,FALSE)</f>
        <v>0.84145562885720404</v>
      </c>
      <c r="AK130">
        <f>VLOOKUP($I130,'[1]Table S6'!$A:$AI,29,FALSE)</f>
        <v>122.5</v>
      </c>
      <c r="AL130" t="str">
        <f>VLOOKUP($I130,'[1]Table S6'!$A:$AI,30,FALSE)</f>
        <v>No</v>
      </c>
      <c r="AN130">
        <f>VLOOKUP($I130,'[1]Table S6'!$A:$AI,32,FALSE)</f>
        <v>389.9</v>
      </c>
      <c r="AO130">
        <f>VLOOKUP($I130,'[1]Table S6'!$A:$AI,33,FALSE)</f>
        <v>0.82975101085337299</v>
      </c>
      <c r="AP130">
        <f>VLOOKUP($I130,'[1]Table S6'!$A:$AI,34,FALSE)</f>
        <v>100.4</v>
      </c>
      <c r="AQ130" t="str">
        <f>VLOOKUP($I130,'[1]Table S6'!$A:$AI,35,FALSE)</f>
        <v>No</v>
      </c>
      <c r="AS130" t="str">
        <f>VLOOKUP($H130,'[2]Table S5'!$A:$K,8,FALSE)</f>
        <v>Resistant</v>
      </c>
      <c r="AT130" t="str">
        <f>VLOOKUP($H130,'[2]Table S5'!$A:$K,9,FALSE)</f>
        <v>Resistant</v>
      </c>
      <c r="AU130" t="str">
        <f>VLOOKUP($H130,'[2]Table S5'!$A:$K,10,FALSE)</f>
        <v>Resistant</v>
      </c>
      <c r="AV130" t="str">
        <f>VLOOKUP($H130,'[2]Table S5'!$A:$K,11,FALSE)</f>
        <v>Resistant</v>
      </c>
    </row>
    <row r="131" spans="1:48">
      <c r="A131" t="s">
        <v>989</v>
      </c>
      <c r="B131" t="s">
        <v>990</v>
      </c>
      <c r="C131" t="s">
        <v>17</v>
      </c>
      <c r="D131" t="s">
        <v>992</v>
      </c>
      <c r="E131" t="s">
        <v>993</v>
      </c>
      <c r="F131" t="s">
        <v>994</v>
      </c>
      <c r="G131" t="s">
        <v>4750</v>
      </c>
      <c r="H131" t="s">
        <v>970</v>
      </c>
      <c r="I131" t="s">
        <v>995</v>
      </c>
      <c r="J131">
        <f>VLOOKUP($I131,'[1]Table S6'!$A:$AI,2,FALSE)</f>
        <v>333.9</v>
      </c>
      <c r="K131">
        <f>VLOOKUP($I131,'[1]Table S6'!$A:$AI,3,FALSE)</f>
        <v>0.710576718450734</v>
      </c>
      <c r="L131">
        <f>VLOOKUP($I131,'[1]Table S6'!$A:$AI,4,FALSE)</f>
        <v>3.1829999999999998</v>
      </c>
      <c r="M131" t="str">
        <f>VLOOKUP($I131,'[1]Table S6'!$A:$AI,5,FALSE)</f>
        <v>No</v>
      </c>
      <c r="O131">
        <f>VLOOKUP($I131,'[1]Table S6'!$A:$AI,7,FALSE)</f>
        <v>364.2</v>
      </c>
      <c r="P131">
        <f>VLOOKUP($I131,'[1]Table S6'!$A:$AI,8,FALSE)</f>
        <v>0.77505852309001899</v>
      </c>
      <c r="Q131">
        <f>VLOOKUP($I131,'[1]Table S6'!$A:$AI,9,FALSE)</f>
        <v>7.7210000000000001</v>
      </c>
      <c r="R131" t="str">
        <f>VLOOKUP($I131,'[1]Table S6'!$A:$AI,10,FALSE)</f>
        <v>No</v>
      </c>
      <c r="T131">
        <f>VLOOKUP($I131,'[1]Table S6'!$A:$AI,12,FALSE)</f>
        <v>348.7</v>
      </c>
      <c r="U131">
        <f>VLOOKUP($I131,'[1]Table S6'!$A:$AI,13,FALSE)</f>
        <v>0.74207278144286004</v>
      </c>
      <c r="V131">
        <f>VLOOKUP($I131,'[1]Table S6'!$A:$AI,14,FALSE)</f>
        <v>7.2859999999999996</v>
      </c>
      <c r="W131" t="str">
        <f>VLOOKUP($I131,'[1]Table S6'!$A:$AI,15,FALSE)</f>
        <v>No</v>
      </c>
      <c r="Y131">
        <f>VLOOKUP($I131,'[1]Table S6'!$A:$AI,17,FALSE)</f>
        <v>323.2</v>
      </c>
      <c r="Z131">
        <f>VLOOKUP($I131,'[1]Table S6'!$A:$AI,18,FALSE)</f>
        <v>0.68780591615237296</v>
      </c>
      <c r="AA131">
        <f>VLOOKUP($I131,'[1]Table S6'!$A:$AI,19,FALSE)</f>
        <v>2.1160000000000001</v>
      </c>
      <c r="AB131" t="str">
        <f>VLOOKUP($I131,'[1]Table S6'!$A:$AI,20,FALSE)</f>
        <v>Yes</v>
      </c>
      <c r="AD131">
        <f>VLOOKUP($I131,'[1]Table S6'!$A:$AI,22,FALSE)</f>
        <v>325.5</v>
      </c>
      <c r="AE131">
        <f>VLOOKUP($I131,'[1]Table S6'!$A:$AI,23,FALSE)</f>
        <v>0.69270057459033796</v>
      </c>
      <c r="AF131">
        <f>VLOOKUP($I131,'[1]Table S6'!$A:$AI,24,FALSE)</f>
        <v>3.7759999999999998</v>
      </c>
      <c r="AG131" t="str">
        <f>VLOOKUP($I131,'[1]Table S6'!$A:$AI,25,FALSE)</f>
        <v>No</v>
      </c>
      <c r="AI131">
        <f>VLOOKUP($I131,'[1]Table S6'!$A:$AI,27,FALSE)</f>
        <v>418.6</v>
      </c>
      <c r="AJ131">
        <f>VLOOKUP($I131,'[1]Table S6'!$A:$AI,28,FALSE)</f>
        <v>0.89082783570972601</v>
      </c>
      <c r="AK131">
        <f>VLOOKUP($I131,'[1]Table S6'!$A:$AI,29,FALSE)</f>
        <v>176</v>
      </c>
      <c r="AL131" t="str">
        <f>VLOOKUP($I131,'[1]Table S6'!$A:$AI,30,FALSE)</f>
        <v>No</v>
      </c>
      <c r="AN131">
        <f>VLOOKUP($I131,'[1]Table S6'!$A:$AI,32,FALSE)</f>
        <v>409.4</v>
      </c>
      <c r="AO131">
        <f>VLOOKUP($I131,'[1]Table S6'!$A:$AI,33,FALSE)</f>
        <v>0.87124920195786304</v>
      </c>
      <c r="AP131">
        <f>VLOOKUP($I131,'[1]Table S6'!$A:$AI,34,FALSE)</f>
        <v>177.5</v>
      </c>
      <c r="AQ131" t="str">
        <f>VLOOKUP($I131,'[1]Table S6'!$A:$AI,35,FALSE)</f>
        <v>No</v>
      </c>
      <c r="AS131" t="str">
        <f>VLOOKUP($H131,'[2]Table S5'!$A:$K,8,FALSE)</f>
        <v>Resistant</v>
      </c>
      <c r="AT131" t="str">
        <f>VLOOKUP($H131,'[2]Table S5'!$A:$K,9,FALSE)</f>
        <v>Resistant</v>
      </c>
      <c r="AU131" t="str">
        <f>VLOOKUP($H131,'[2]Table S5'!$A:$K,10,FALSE)</f>
        <v>Resistant</v>
      </c>
      <c r="AV131" t="str">
        <f>VLOOKUP($H131,'[2]Table S5'!$A:$K,11,FALSE)</f>
        <v>Resistant</v>
      </c>
    </row>
    <row r="132" spans="1:48">
      <c r="A132" t="s">
        <v>997</v>
      </c>
      <c r="B132" t="s">
        <v>998</v>
      </c>
      <c r="C132" t="s">
        <v>17</v>
      </c>
      <c r="D132" t="s">
        <v>1000</v>
      </c>
      <c r="E132" t="s">
        <v>1001</v>
      </c>
      <c r="F132" t="s">
        <v>1002</v>
      </c>
      <c r="G132" t="s">
        <v>4750</v>
      </c>
      <c r="H132" t="s">
        <v>970</v>
      </c>
      <c r="I132" t="s">
        <v>1003</v>
      </c>
      <c r="J132">
        <f>VLOOKUP($I132,'[1]Table S6'!$A:$AI,2,FALSE)</f>
        <v>349.2</v>
      </c>
      <c r="K132">
        <f>VLOOKUP($I132,'[1]Table S6'!$A:$AI,3,FALSE)</f>
        <v>0.74313683762502702</v>
      </c>
      <c r="L132">
        <f>VLOOKUP($I132,'[1]Table S6'!$A:$AI,4,FALSE)</f>
        <v>7.742</v>
      </c>
      <c r="M132" t="str">
        <f>VLOOKUP($I132,'[1]Table S6'!$A:$AI,5,FALSE)</f>
        <v>No</v>
      </c>
      <c r="O132">
        <f>VLOOKUP($I132,'[1]Table S6'!$A:$AI,7,FALSE)</f>
        <v>361.8</v>
      </c>
      <c r="P132">
        <f>VLOOKUP($I132,'[1]Table S6'!$A:$AI,8,FALSE)</f>
        <v>0.76995105341561998</v>
      </c>
      <c r="Q132">
        <f>VLOOKUP($I132,'[1]Table S6'!$A:$AI,9,FALSE)</f>
        <v>9.2200000000000006</v>
      </c>
      <c r="R132" t="str">
        <f>VLOOKUP($I132,'[1]Table S6'!$A:$AI,10,FALSE)</f>
        <v>No</v>
      </c>
      <c r="T132">
        <f>VLOOKUP($I132,'[1]Table S6'!$A:$AI,12,FALSE)</f>
        <v>349.5</v>
      </c>
      <c r="U132">
        <f>VLOOKUP($I132,'[1]Table S6'!$A:$AI,13,FALSE)</f>
        <v>0.74377527133432697</v>
      </c>
      <c r="V132">
        <f>VLOOKUP($I132,'[1]Table S6'!$A:$AI,14,FALSE)</f>
        <v>9.02</v>
      </c>
      <c r="W132" t="str">
        <f>VLOOKUP($I132,'[1]Table S6'!$A:$AI,15,FALSE)</f>
        <v>No</v>
      </c>
      <c r="Y132">
        <f>VLOOKUP($I132,'[1]Table S6'!$A:$AI,17,FALSE)</f>
        <v>390.8</v>
      </c>
      <c r="Z132">
        <f>VLOOKUP($I132,'[1]Table S6'!$A:$AI,18,FALSE)</f>
        <v>0.83166631198127305</v>
      </c>
      <c r="AA132">
        <f>VLOOKUP($I132,'[1]Table S6'!$A:$AI,19,FALSE)</f>
        <v>16.28</v>
      </c>
      <c r="AB132" t="str">
        <f>VLOOKUP($I132,'[1]Table S6'!$A:$AI,20,FALSE)</f>
        <v>No</v>
      </c>
      <c r="AD132">
        <f>VLOOKUP($I132,'[1]Table S6'!$A:$AI,22,FALSE)</f>
        <v>304.60000000000002</v>
      </c>
      <c r="AE132">
        <f>VLOOKUP($I132,'[1]Table S6'!$A:$AI,23,FALSE)</f>
        <v>0.64822302617578198</v>
      </c>
      <c r="AF132">
        <f>VLOOKUP($I132,'[1]Table S6'!$A:$AI,24,FALSE)</f>
        <v>1.335</v>
      </c>
      <c r="AG132" t="str">
        <f>VLOOKUP($I132,'[1]Table S6'!$A:$AI,25,FALSE)</f>
        <v>Yes</v>
      </c>
      <c r="AI132">
        <f>VLOOKUP($I132,'[1]Table S6'!$A:$AI,27,FALSE)</f>
        <v>423.8</v>
      </c>
      <c r="AJ132">
        <f>VLOOKUP($I132,'[1]Table S6'!$A:$AI,28,FALSE)</f>
        <v>0.901894020004256</v>
      </c>
      <c r="AK132">
        <f>VLOOKUP($I132,'[1]Table S6'!$A:$AI,29,FALSE)</f>
        <v>132.30000000000001</v>
      </c>
      <c r="AL132" t="str">
        <f>VLOOKUP($I132,'[1]Table S6'!$A:$AI,30,FALSE)</f>
        <v>No</v>
      </c>
      <c r="AN132">
        <f>VLOOKUP($I132,'[1]Table S6'!$A:$AI,32,FALSE)</f>
        <v>363.1</v>
      </c>
      <c r="AO132">
        <f>VLOOKUP($I132,'[1]Table S6'!$A:$AI,33,FALSE)</f>
        <v>0.772717599489253</v>
      </c>
      <c r="AP132">
        <f>VLOOKUP($I132,'[1]Table S6'!$A:$AI,34,FALSE)</f>
        <v>10.59</v>
      </c>
      <c r="AQ132" t="str">
        <f>VLOOKUP($I132,'[1]Table S6'!$A:$AI,35,FALSE)</f>
        <v>No</v>
      </c>
      <c r="AS132" t="str">
        <f>VLOOKUP($H132,'[2]Table S5'!$A:$K,8,FALSE)</f>
        <v>Resistant</v>
      </c>
      <c r="AT132" t="str">
        <f>VLOOKUP($H132,'[2]Table S5'!$A:$K,9,FALSE)</f>
        <v>Resistant</v>
      </c>
      <c r="AU132" t="str">
        <f>VLOOKUP($H132,'[2]Table S5'!$A:$K,10,FALSE)</f>
        <v>Resistant</v>
      </c>
      <c r="AV132" t="str">
        <f>VLOOKUP($H132,'[2]Table S5'!$A:$K,11,FALSE)</f>
        <v>Resistant</v>
      </c>
    </row>
    <row r="133" spans="1:48">
      <c r="A133" t="s">
        <v>1005</v>
      </c>
      <c r="B133" t="s">
        <v>1006</v>
      </c>
      <c r="C133" t="s">
        <v>17</v>
      </c>
      <c r="D133" t="s">
        <v>1008</v>
      </c>
      <c r="E133" t="s">
        <v>1009</v>
      </c>
      <c r="F133" t="s">
        <v>1010</v>
      </c>
      <c r="G133" t="s">
        <v>4751</v>
      </c>
      <c r="H133" t="s">
        <v>970</v>
      </c>
      <c r="I133" t="s">
        <v>971</v>
      </c>
      <c r="J133">
        <f>VLOOKUP($I133,'[1]Table S6'!$A:$AI,2,FALSE)</f>
        <v>352.3</v>
      </c>
      <c r="K133">
        <f>VLOOKUP($I133,'[1]Table S6'!$A:$AI,3,FALSE)</f>
        <v>0.74973398595445895</v>
      </c>
      <c r="L133">
        <f>VLOOKUP($I133,'[1]Table S6'!$A:$AI,4,FALSE)</f>
        <v>4.7530000000000001</v>
      </c>
      <c r="M133" t="str">
        <f>VLOOKUP($I133,'[1]Table S6'!$A:$AI,5,FALSE)</f>
        <v>No</v>
      </c>
      <c r="O133">
        <f>VLOOKUP($I133,'[1]Table S6'!$A:$AI,7,FALSE)</f>
        <v>343.4</v>
      </c>
      <c r="P133">
        <f>VLOOKUP($I133,'[1]Table S6'!$A:$AI,8,FALSE)</f>
        <v>0.73079378591189603</v>
      </c>
      <c r="Q133">
        <f>VLOOKUP($I133,'[1]Table S6'!$A:$AI,9,FALSE)</f>
        <v>4.9379999999999997</v>
      </c>
      <c r="R133" t="str">
        <f>VLOOKUP($I133,'[1]Table S6'!$A:$AI,10,FALSE)</f>
        <v>No</v>
      </c>
      <c r="T133">
        <f>VLOOKUP($I133,'[1]Table S6'!$A:$AI,12,FALSE)</f>
        <v>404.3</v>
      </c>
      <c r="U133">
        <f>VLOOKUP($I133,'[1]Table S6'!$A:$AI,13,FALSE)</f>
        <v>0.86039582889976596</v>
      </c>
      <c r="V133">
        <f>VLOOKUP($I133,'[1]Table S6'!$A:$AI,14,FALSE)</f>
        <v>41.17</v>
      </c>
      <c r="W133" t="str">
        <f>VLOOKUP($I133,'[1]Table S6'!$A:$AI,15,FALSE)</f>
        <v>No</v>
      </c>
      <c r="Y133">
        <f>VLOOKUP($I133,'[1]Table S6'!$A:$AI,17,FALSE)</f>
        <v>394.7</v>
      </c>
      <c r="Z133">
        <f>VLOOKUP($I133,'[1]Table S6'!$A:$AI,18,FALSE)</f>
        <v>0.83996595020217102</v>
      </c>
      <c r="AA133">
        <f>VLOOKUP($I133,'[1]Table S6'!$A:$AI,19,FALSE)</f>
        <v>16.13</v>
      </c>
      <c r="AB133" t="str">
        <f>VLOOKUP($I133,'[1]Table S6'!$A:$AI,20,FALSE)</f>
        <v>No</v>
      </c>
      <c r="AD133">
        <f>VLOOKUP($I133,'[1]Table S6'!$A:$AI,22,FALSE)</f>
        <v>386.1</v>
      </c>
      <c r="AE133">
        <f>VLOOKUP($I133,'[1]Table S6'!$A:$AI,23,FALSE)</f>
        <v>0.82166418386890805</v>
      </c>
      <c r="AF133">
        <f>VLOOKUP($I133,'[1]Table S6'!$A:$AI,24,FALSE)</f>
        <v>17.25</v>
      </c>
      <c r="AG133" t="str">
        <f>VLOOKUP($I133,'[1]Table S6'!$A:$AI,25,FALSE)</f>
        <v>No</v>
      </c>
      <c r="AI133">
        <f>VLOOKUP($I133,'[1]Table S6'!$A:$AI,27,FALSE)</f>
        <v>422</v>
      </c>
      <c r="AJ133">
        <f>VLOOKUP($I133,'[1]Table S6'!$A:$AI,28,FALSE)</f>
        <v>0.89806341774845699</v>
      </c>
      <c r="AK133">
        <f>VLOOKUP($I133,'[1]Table S6'!$A:$AI,29,FALSE)</f>
        <v>190.6</v>
      </c>
      <c r="AL133" t="str">
        <f>VLOOKUP($I133,'[1]Table S6'!$A:$AI,30,FALSE)</f>
        <v>No</v>
      </c>
      <c r="AN133">
        <f>VLOOKUP($I133,'[1]Table S6'!$A:$AI,32,FALSE)</f>
        <v>432.3</v>
      </c>
      <c r="AO133">
        <f>VLOOKUP($I133,'[1]Table S6'!$A:$AI,33,FALSE)</f>
        <v>0.91998297510108495</v>
      </c>
      <c r="AP133">
        <f>VLOOKUP($I133,'[1]Table S6'!$A:$AI,34,FALSE)</f>
        <v>215.2</v>
      </c>
      <c r="AQ133" t="str">
        <f>VLOOKUP($I133,'[1]Table S6'!$A:$AI,35,FALSE)</f>
        <v>No</v>
      </c>
      <c r="AS133" t="str">
        <f>VLOOKUP($H133,'[2]Table S5'!$A:$K,8,FALSE)</f>
        <v>Resistant</v>
      </c>
      <c r="AT133" t="str">
        <f>VLOOKUP($H133,'[2]Table S5'!$A:$K,9,FALSE)</f>
        <v>Resistant</v>
      </c>
      <c r="AU133" t="str">
        <f>VLOOKUP($H133,'[2]Table S5'!$A:$K,10,FALSE)</f>
        <v>Resistant</v>
      </c>
      <c r="AV133" t="str">
        <f>VLOOKUP($H133,'[2]Table S5'!$A:$K,11,FALSE)</f>
        <v>Resistant</v>
      </c>
    </row>
    <row r="134" spans="1:48">
      <c r="A134" t="s">
        <v>1012</v>
      </c>
      <c r="B134" t="s">
        <v>1013</v>
      </c>
      <c r="C134" t="s">
        <v>17</v>
      </c>
      <c r="D134" t="s">
        <v>1015</v>
      </c>
      <c r="E134" t="s">
        <v>1016</v>
      </c>
      <c r="F134" t="s">
        <v>1017</v>
      </c>
      <c r="G134" t="s">
        <v>4751</v>
      </c>
      <c r="H134" t="s">
        <v>970</v>
      </c>
      <c r="I134" t="s">
        <v>979</v>
      </c>
      <c r="J134">
        <f>VLOOKUP($I134,'[1]Table S6'!$A:$AI,2,FALSE)</f>
        <v>341.4</v>
      </c>
      <c r="K134">
        <f>VLOOKUP($I134,'[1]Table S6'!$A:$AI,3,FALSE)</f>
        <v>0.72653756118322999</v>
      </c>
      <c r="L134">
        <f>VLOOKUP($I134,'[1]Table S6'!$A:$AI,4,FALSE)</f>
        <v>2.9329999999999998</v>
      </c>
      <c r="M134" t="str">
        <f>VLOOKUP($I134,'[1]Table S6'!$A:$AI,5,FALSE)</f>
        <v>No</v>
      </c>
      <c r="O134">
        <f>VLOOKUP($I134,'[1]Table S6'!$A:$AI,7,FALSE)</f>
        <v>365.1</v>
      </c>
      <c r="P134">
        <f>VLOOKUP($I134,'[1]Table S6'!$A:$AI,8,FALSE)</f>
        <v>0.77697382421791905</v>
      </c>
      <c r="Q134">
        <f>VLOOKUP($I134,'[1]Table S6'!$A:$AI,9,FALSE)</f>
        <v>10.050000000000001</v>
      </c>
      <c r="R134" t="str">
        <f>VLOOKUP($I134,'[1]Table S6'!$A:$AI,10,FALSE)</f>
        <v>No</v>
      </c>
      <c r="T134">
        <f>VLOOKUP($I134,'[1]Table S6'!$A:$AI,12,FALSE)</f>
        <v>381.2</v>
      </c>
      <c r="U134">
        <f>VLOOKUP($I134,'[1]Table S6'!$A:$AI,13,FALSE)</f>
        <v>0.81123643328367701</v>
      </c>
      <c r="V134">
        <f>VLOOKUP($I134,'[1]Table S6'!$A:$AI,14,FALSE)</f>
        <v>17.72</v>
      </c>
      <c r="W134" t="str">
        <f>VLOOKUP($I134,'[1]Table S6'!$A:$AI,15,FALSE)</f>
        <v>No</v>
      </c>
      <c r="Y134">
        <f>VLOOKUP($I134,'[1]Table S6'!$A:$AI,17,FALSE)</f>
        <v>326.7</v>
      </c>
      <c r="Z134">
        <f>VLOOKUP($I134,'[1]Table S6'!$A:$AI,18,FALSE)</f>
        <v>0.69525430942753796</v>
      </c>
      <c r="AA134">
        <f>VLOOKUP($I134,'[1]Table S6'!$A:$AI,19,FALSE)</f>
        <v>2.3530000000000002</v>
      </c>
      <c r="AB134" t="str">
        <f>VLOOKUP($I134,'[1]Table S6'!$A:$AI,20,FALSE)</f>
        <v>No</v>
      </c>
      <c r="AD134">
        <f>VLOOKUP($I134,'[1]Table S6'!$A:$AI,22,FALSE)</f>
        <v>370.9</v>
      </c>
      <c r="AE134">
        <f>VLOOKUP($I134,'[1]Table S6'!$A:$AI,23,FALSE)</f>
        <v>0.78931687593104904</v>
      </c>
      <c r="AF134">
        <f>VLOOKUP($I134,'[1]Table S6'!$A:$AI,24,FALSE)</f>
        <v>10.81</v>
      </c>
      <c r="AG134" t="str">
        <f>VLOOKUP($I134,'[1]Table S6'!$A:$AI,25,FALSE)</f>
        <v>No</v>
      </c>
      <c r="AI134">
        <f>VLOOKUP($I134,'[1]Table S6'!$A:$AI,27,FALSE)</f>
        <v>398.9</v>
      </c>
      <c r="AJ134">
        <f>VLOOKUP($I134,'[1]Table S6'!$A:$AI,28,FALSE)</f>
        <v>0.84890402213236904</v>
      </c>
      <c r="AK134">
        <f>VLOOKUP($I134,'[1]Table S6'!$A:$AI,29,FALSE)</f>
        <v>80.67</v>
      </c>
      <c r="AL134" t="str">
        <f>VLOOKUP($I134,'[1]Table S6'!$A:$AI,30,FALSE)</f>
        <v>No</v>
      </c>
      <c r="AN134">
        <f>VLOOKUP($I134,'[1]Table S6'!$A:$AI,32,FALSE)</f>
        <v>417.2</v>
      </c>
      <c r="AO134">
        <f>VLOOKUP($I134,'[1]Table S6'!$A:$AI,33,FALSE)</f>
        <v>0.88784847839965997</v>
      </c>
      <c r="AP134">
        <f>VLOOKUP($I134,'[1]Table S6'!$A:$AI,34,FALSE)</f>
        <v>100.4</v>
      </c>
      <c r="AQ134" t="str">
        <f>VLOOKUP($I134,'[1]Table S6'!$A:$AI,35,FALSE)</f>
        <v>No</v>
      </c>
      <c r="AS134" t="str">
        <f>VLOOKUP($H134,'[2]Table S5'!$A:$K,8,FALSE)</f>
        <v>Resistant</v>
      </c>
      <c r="AT134" t="str">
        <f>VLOOKUP($H134,'[2]Table S5'!$A:$K,9,FALSE)</f>
        <v>Resistant</v>
      </c>
      <c r="AU134" t="str">
        <f>VLOOKUP($H134,'[2]Table S5'!$A:$K,10,FALSE)</f>
        <v>Resistant</v>
      </c>
      <c r="AV134" t="str">
        <f>VLOOKUP($H134,'[2]Table S5'!$A:$K,11,FALSE)</f>
        <v>Resistant</v>
      </c>
    </row>
    <row r="135" spans="1:48">
      <c r="A135" t="s">
        <v>1019</v>
      </c>
      <c r="B135" t="s">
        <v>1020</v>
      </c>
      <c r="C135" t="s">
        <v>17</v>
      </c>
      <c r="D135" t="s">
        <v>1022</v>
      </c>
      <c r="E135" t="s">
        <v>1023</v>
      </c>
      <c r="F135" t="s">
        <v>1024</v>
      </c>
      <c r="G135" t="s">
        <v>4751</v>
      </c>
      <c r="H135" t="s">
        <v>970</v>
      </c>
      <c r="I135" t="s">
        <v>987</v>
      </c>
      <c r="J135">
        <f>VLOOKUP($I135,'[1]Table S6'!$A:$AI,2,FALSE)</f>
        <v>363.3</v>
      </c>
      <c r="K135">
        <f>VLOOKUP($I135,'[1]Table S6'!$A:$AI,3,FALSE)</f>
        <v>0.77314322196212004</v>
      </c>
      <c r="L135">
        <f>VLOOKUP($I135,'[1]Table S6'!$A:$AI,4,FALSE)</f>
        <v>7.702</v>
      </c>
      <c r="M135" t="str">
        <f>VLOOKUP($I135,'[1]Table S6'!$A:$AI,5,FALSE)</f>
        <v>No</v>
      </c>
      <c r="O135">
        <f>VLOOKUP($I135,'[1]Table S6'!$A:$AI,7,FALSE)</f>
        <v>341.8</v>
      </c>
      <c r="P135">
        <f>VLOOKUP($I135,'[1]Table S6'!$A:$AI,8,FALSE)</f>
        <v>0.72738880612896395</v>
      </c>
      <c r="Q135">
        <f>VLOOKUP($I135,'[1]Table S6'!$A:$AI,9,FALSE)</f>
        <v>4.7080000000000002</v>
      </c>
      <c r="R135" t="str">
        <f>VLOOKUP($I135,'[1]Table S6'!$A:$AI,10,FALSE)</f>
        <v>No</v>
      </c>
      <c r="T135">
        <f>VLOOKUP($I135,'[1]Table S6'!$A:$AI,12,FALSE)</f>
        <v>359.1</v>
      </c>
      <c r="U135">
        <f>VLOOKUP($I135,'[1]Table S6'!$A:$AI,13,FALSE)</f>
        <v>0.76420515003192202</v>
      </c>
      <c r="V135">
        <f>VLOOKUP($I135,'[1]Table S6'!$A:$AI,14,FALSE)</f>
        <v>10.39</v>
      </c>
      <c r="W135" t="str">
        <f>VLOOKUP($I135,'[1]Table S6'!$A:$AI,15,FALSE)</f>
        <v>No</v>
      </c>
      <c r="Y135">
        <f>VLOOKUP($I135,'[1]Table S6'!$A:$AI,17,FALSE)</f>
        <v>367.1</v>
      </c>
      <c r="Z135">
        <f>VLOOKUP($I135,'[1]Table S6'!$A:$AI,18,FALSE)</f>
        <v>0.78123004894658399</v>
      </c>
      <c r="AA135">
        <f>VLOOKUP($I135,'[1]Table S6'!$A:$AI,19,FALSE)</f>
        <v>11.81</v>
      </c>
      <c r="AB135" t="str">
        <f>VLOOKUP($I135,'[1]Table S6'!$A:$AI,20,FALSE)</f>
        <v>No</v>
      </c>
      <c r="AD135">
        <f>VLOOKUP($I135,'[1]Table S6'!$A:$AI,22,FALSE)</f>
        <v>321.3</v>
      </c>
      <c r="AE135">
        <f>VLOOKUP($I135,'[1]Table S6'!$A:$AI,23,FALSE)</f>
        <v>0.68376250266014005</v>
      </c>
      <c r="AF135">
        <f>VLOOKUP($I135,'[1]Table S6'!$A:$AI,24,FALSE)</f>
        <v>2.3929999999999998</v>
      </c>
      <c r="AG135" t="str">
        <f>VLOOKUP($I135,'[1]Table S6'!$A:$AI,25,FALSE)</f>
        <v>Yes</v>
      </c>
      <c r="AI135">
        <f>VLOOKUP($I135,'[1]Table S6'!$A:$AI,27,FALSE)</f>
        <v>395.4</v>
      </c>
      <c r="AJ135">
        <f>VLOOKUP($I135,'[1]Table S6'!$A:$AI,28,FALSE)</f>
        <v>0.84145562885720404</v>
      </c>
      <c r="AK135">
        <f>VLOOKUP($I135,'[1]Table S6'!$A:$AI,29,FALSE)</f>
        <v>122.5</v>
      </c>
      <c r="AL135" t="str">
        <f>VLOOKUP($I135,'[1]Table S6'!$A:$AI,30,FALSE)</f>
        <v>No</v>
      </c>
      <c r="AN135">
        <f>VLOOKUP($I135,'[1]Table S6'!$A:$AI,32,FALSE)</f>
        <v>389.9</v>
      </c>
      <c r="AO135">
        <f>VLOOKUP($I135,'[1]Table S6'!$A:$AI,33,FALSE)</f>
        <v>0.82975101085337299</v>
      </c>
      <c r="AP135">
        <f>VLOOKUP($I135,'[1]Table S6'!$A:$AI,34,FALSE)</f>
        <v>100.4</v>
      </c>
      <c r="AQ135" t="str">
        <f>VLOOKUP($I135,'[1]Table S6'!$A:$AI,35,FALSE)</f>
        <v>No</v>
      </c>
      <c r="AS135" t="str">
        <f>VLOOKUP($H135,'[2]Table S5'!$A:$K,8,FALSE)</f>
        <v>Resistant</v>
      </c>
      <c r="AT135" t="str">
        <f>VLOOKUP($H135,'[2]Table S5'!$A:$K,9,FALSE)</f>
        <v>Resistant</v>
      </c>
      <c r="AU135" t="str">
        <f>VLOOKUP($H135,'[2]Table S5'!$A:$K,10,FALSE)</f>
        <v>Resistant</v>
      </c>
      <c r="AV135" t="str">
        <f>VLOOKUP($H135,'[2]Table S5'!$A:$K,11,FALSE)</f>
        <v>Resistant</v>
      </c>
    </row>
    <row r="136" spans="1:48">
      <c r="A136" t="s">
        <v>1026</v>
      </c>
      <c r="B136" t="s">
        <v>1027</v>
      </c>
      <c r="C136" t="s">
        <v>17</v>
      </c>
      <c r="D136" t="s">
        <v>1029</v>
      </c>
      <c r="E136" t="s">
        <v>1030</v>
      </c>
      <c r="F136" t="s">
        <v>1031</v>
      </c>
      <c r="G136" t="s">
        <v>4751</v>
      </c>
      <c r="H136" t="s">
        <v>970</v>
      </c>
      <c r="I136" t="s">
        <v>995</v>
      </c>
      <c r="J136">
        <f>VLOOKUP($I136,'[1]Table S6'!$A:$AI,2,FALSE)</f>
        <v>333.9</v>
      </c>
      <c r="K136">
        <f>VLOOKUP($I136,'[1]Table S6'!$A:$AI,3,FALSE)</f>
        <v>0.710576718450734</v>
      </c>
      <c r="L136">
        <f>VLOOKUP($I136,'[1]Table S6'!$A:$AI,4,FALSE)</f>
        <v>3.1829999999999998</v>
      </c>
      <c r="M136" t="str">
        <f>VLOOKUP($I136,'[1]Table S6'!$A:$AI,5,FALSE)</f>
        <v>No</v>
      </c>
      <c r="O136">
        <f>VLOOKUP($I136,'[1]Table S6'!$A:$AI,7,FALSE)</f>
        <v>364.2</v>
      </c>
      <c r="P136">
        <f>VLOOKUP($I136,'[1]Table S6'!$A:$AI,8,FALSE)</f>
        <v>0.77505852309001899</v>
      </c>
      <c r="Q136">
        <f>VLOOKUP($I136,'[1]Table S6'!$A:$AI,9,FALSE)</f>
        <v>7.7210000000000001</v>
      </c>
      <c r="R136" t="str">
        <f>VLOOKUP($I136,'[1]Table S6'!$A:$AI,10,FALSE)</f>
        <v>No</v>
      </c>
      <c r="T136">
        <f>VLOOKUP($I136,'[1]Table S6'!$A:$AI,12,FALSE)</f>
        <v>348.7</v>
      </c>
      <c r="U136">
        <f>VLOOKUP($I136,'[1]Table S6'!$A:$AI,13,FALSE)</f>
        <v>0.74207278144286004</v>
      </c>
      <c r="V136">
        <f>VLOOKUP($I136,'[1]Table S6'!$A:$AI,14,FALSE)</f>
        <v>7.2859999999999996</v>
      </c>
      <c r="W136" t="str">
        <f>VLOOKUP($I136,'[1]Table S6'!$A:$AI,15,FALSE)</f>
        <v>No</v>
      </c>
      <c r="Y136">
        <f>VLOOKUP($I136,'[1]Table S6'!$A:$AI,17,FALSE)</f>
        <v>323.2</v>
      </c>
      <c r="Z136">
        <f>VLOOKUP($I136,'[1]Table S6'!$A:$AI,18,FALSE)</f>
        <v>0.68780591615237296</v>
      </c>
      <c r="AA136">
        <f>VLOOKUP($I136,'[1]Table S6'!$A:$AI,19,FALSE)</f>
        <v>2.1160000000000001</v>
      </c>
      <c r="AB136" t="str">
        <f>VLOOKUP($I136,'[1]Table S6'!$A:$AI,20,FALSE)</f>
        <v>Yes</v>
      </c>
      <c r="AD136">
        <f>VLOOKUP($I136,'[1]Table S6'!$A:$AI,22,FALSE)</f>
        <v>325.5</v>
      </c>
      <c r="AE136">
        <f>VLOOKUP($I136,'[1]Table S6'!$A:$AI,23,FALSE)</f>
        <v>0.69270057459033796</v>
      </c>
      <c r="AF136">
        <f>VLOOKUP($I136,'[1]Table S6'!$A:$AI,24,FALSE)</f>
        <v>3.7759999999999998</v>
      </c>
      <c r="AG136" t="str">
        <f>VLOOKUP($I136,'[1]Table S6'!$A:$AI,25,FALSE)</f>
        <v>No</v>
      </c>
      <c r="AI136">
        <f>VLOOKUP($I136,'[1]Table S6'!$A:$AI,27,FALSE)</f>
        <v>418.6</v>
      </c>
      <c r="AJ136">
        <f>VLOOKUP($I136,'[1]Table S6'!$A:$AI,28,FALSE)</f>
        <v>0.89082783570972601</v>
      </c>
      <c r="AK136">
        <f>VLOOKUP($I136,'[1]Table S6'!$A:$AI,29,FALSE)</f>
        <v>176</v>
      </c>
      <c r="AL136" t="str">
        <f>VLOOKUP($I136,'[1]Table S6'!$A:$AI,30,FALSE)</f>
        <v>No</v>
      </c>
      <c r="AN136">
        <f>VLOOKUP($I136,'[1]Table S6'!$A:$AI,32,FALSE)</f>
        <v>409.4</v>
      </c>
      <c r="AO136">
        <f>VLOOKUP($I136,'[1]Table S6'!$A:$AI,33,FALSE)</f>
        <v>0.87124920195786304</v>
      </c>
      <c r="AP136">
        <f>VLOOKUP($I136,'[1]Table S6'!$A:$AI,34,FALSE)</f>
        <v>177.5</v>
      </c>
      <c r="AQ136" t="str">
        <f>VLOOKUP($I136,'[1]Table S6'!$A:$AI,35,FALSE)</f>
        <v>No</v>
      </c>
      <c r="AS136" t="str">
        <f>VLOOKUP($H136,'[2]Table S5'!$A:$K,8,FALSE)</f>
        <v>Resistant</v>
      </c>
      <c r="AT136" t="str">
        <f>VLOOKUP($H136,'[2]Table S5'!$A:$K,9,FALSE)</f>
        <v>Resistant</v>
      </c>
      <c r="AU136" t="str">
        <f>VLOOKUP($H136,'[2]Table S5'!$A:$K,10,FALSE)</f>
        <v>Resistant</v>
      </c>
      <c r="AV136" t="str">
        <f>VLOOKUP($H136,'[2]Table S5'!$A:$K,11,FALSE)</f>
        <v>Resistant</v>
      </c>
    </row>
    <row r="137" spans="1:48">
      <c r="A137" t="s">
        <v>1033</v>
      </c>
      <c r="B137" t="s">
        <v>1034</v>
      </c>
      <c r="C137" t="s">
        <v>17</v>
      </c>
      <c r="D137" t="s">
        <v>1036</v>
      </c>
      <c r="E137" t="s">
        <v>1037</v>
      </c>
      <c r="F137" t="s">
        <v>1038</v>
      </c>
      <c r="G137" t="s">
        <v>4751</v>
      </c>
      <c r="H137" t="s">
        <v>970</v>
      </c>
      <c r="I137" t="s">
        <v>1003</v>
      </c>
      <c r="J137">
        <f>VLOOKUP($I137,'[1]Table S6'!$A:$AI,2,FALSE)</f>
        <v>349.2</v>
      </c>
      <c r="K137">
        <f>VLOOKUP($I137,'[1]Table S6'!$A:$AI,3,FALSE)</f>
        <v>0.74313683762502702</v>
      </c>
      <c r="L137">
        <f>VLOOKUP($I137,'[1]Table S6'!$A:$AI,4,FALSE)</f>
        <v>7.742</v>
      </c>
      <c r="M137" t="str">
        <f>VLOOKUP($I137,'[1]Table S6'!$A:$AI,5,FALSE)</f>
        <v>No</v>
      </c>
      <c r="O137">
        <f>VLOOKUP($I137,'[1]Table S6'!$A:$AI,7,FALSE)</f>
        <v>361.8</v>
      </c>
      <c r="P137">
        <f>VLOOKUP($I137,'[1]Table S6'!$A:$AI,8,FALSE)</f>
        <v>0.76995105341561998</v>
      </c>
      <c r="Q137">
        <f>VLOOKUP($I137,'[1]Table S6'!$A:$AI,9,FALSE)</f>
        <v>9.2200000000000006</v>
      </c>
      <c r="R137" t="str">
        <f>VLOOKUP($I137,'[1]Table S6'!$A:$AI,10,FALSE)</f>
        <v>No</v>
      </c>
      <c r="T137">
        <f>VLOOKUP($I137,'[1]Table S6'!$A:$AI,12,FALSE)</f>
        <v>349.5</v>
      </c>
      <c r="U137">
        <f>VLOOKUP($I137,'[1]Table S6'!$A:$AI,13,FALSE)</f>
        <v>0.74377527133432697</v>
      </c>
      <c r="V137">
        <f>VLOOKUP($I137,'[1]Table S6'!$A:$AI,14,FALSE)</f>
        <v>9.02</v>
      </c>
      <c r="W137" t="str">
        <f>VLOOKUP($I137,'[1]Table S6'!$A:$AI,15,FALSE)</f>
        <v>No</v>
      </c>
      <c r="Y137">
        <f>VLOOKUP($I137,'[1]Table S6'!$A:$AI,17,FALSE)</f>
        <v>390.8</v>
      </c>
      <c r="Z137">
        <f>VLOOKUP($I137,'[1]Table S6'!$A:$AI,18,FALSE)</f>
        <v>0.83166631198127305</v>
      </c>
      <c r="AA137">
        <f>VLOOKUP($I137,'[1]Table S6'!$A:$AI,19,FALSE)</f>
        <v>16.28</v>
      </c>
      <c r="AB137" t="str">
        <f>VLOOKUP($I137,'[1]Table S6'!$A:$AI,20,FALSE)</f>
        <v>No</v>
      </c>
      <c r="AD137">
        <f>VLOOKUP($I137,'[1]Table S6'!$A:$AI,22,FALSE)</f>
        <v>304.60000000000002</v>
      </c>
      <c r="AE137">
        <f>VLOOKUP($I137,'[1]Table S6'!$A:$AI,23,FALSE)</f>
        <v>0.64822302617578198</v>
      </c>
      <c r="AF137">
        <f>VLOOKUP($I137,'[1]Table S6'!$A:$AI,24,FALSE)</f>
        <v>1.335</v>
      </c>
      <c r="AG137" t="str">
        <f>VLOOKUP($I137,'[1]Table S6'!$A:$AI,25,FALSE)</f>
        <v>Yes</v>
      </c>
      <c r="AI137">
        <f>VLOOKUP($I137,'[1]Table S6'!$A:$AI,27,FALSE)</f>
        <v>423.8</v>
      </c>
      <c r="AJ137">
        <f>VLOOKUP($I137,'[1]Table S6'!$A:$AI,28,FALSE)</f>
        <v>0.901894020004256</v>
      </c>
      <c r="AK137">
        <f>VLOOKUP($I137,'[1]Table S6'!$A:$AI,29,FALSE)</f>
        <v>132.30000000000001</v>
      </c>
      <c r="AL137" t="str">
        <f>VLOOKUP($I137,'[1]Table S6'!$A:$AI,30,FALSE)</f>
        <v>No</v>
      </c>
      <c r="AN137">
        <f>VLOOKUP($I137,'[1]Table S6'!$A:$AI,32,FALSE)</f>
        <v>363.1</v>
      </c>
      <c r="AO137">
        <f>VLOOKUP($I137,'[1]Table S6'!$A:$AI,33,FALSE)</f>
        <v>0.772717599489253</v>
      </c>
      <c r="AP137">
        <f>VLOOKUP($I137,'[1]Table S6'!$A:$AI,34,FALSE)</f>
        <v>10.59</v>
      </c>
      <c r="AQ137" t="str">
        <f>VLOOKUP($I137,'[1]Table S6'!$A:$AI,35,FALSE)</f>
        <v>No</v>
      </c>
      <c r="AS137" t="str">
        <f>VLOOKUP($H137,'[2]Table S5'!$A:$K,8,FALSE)</f>
        <v>Resistant</v>
      </c>
      <c r="AT137" t="str">
        <f>VLOOKUP($H137,'[2]Table S5'!$A:$K,9,FALSE)</f>
        <v>Resistant</v>
      </c>
      <c r="AU137" t="str">
        <f>VLOOKUP($H137,'[2]Table S5'!$A:$K,10,FALSE)</f>
        <v>Resistant</v>
      </c>
      <c r="AV137" t="str">
        <f>VLOOKUP($H137,'[2]Table S5'!$A:$K,11,FALSE)</f>
        <v>Resistant</v>
      </c>
    </row>
    <row r="138" spans="1:48">
      <c r="A138" t="s">
        <v>1040</v>
      </c>
      <c r="B138" t="s">
        <v>1041</v>
      </c>
      <c r="C138" t="s">
        <v>17</v>
      </c>
      <c r="D138" t="s">
        <v>1043</v>
      </c>
      <c r="E138" t="s">
        <v>1044</v>
      </c>
      <c r="F138" t="s">
        <v>1045</v>
      </c>
      <c r="G138" t="s">
        <v>4757</v>
      </c>
      <c r="H138" t="s">
        <v>970</v>
      </c>
      <c r="I138" t="s">
        <v>970</v>
      </c>
      <c r="J138" t="e">
        <f>VLOOKUP($I138,'[1]Table S6'!$A:$AI,2,FALSE)</f>
        <v>#N/A</v>
      </c>
      <c r="K138" t="e">
        <f>VLOOKUP($I138,'[1]Table S6'!$A:$AI,3,FALSE)</f>
        <v>#N/A</v>
      </c>
      <c r="L138" t="e">
        <f>VLOOKUP($I138,'[1]Table S6'!$A:$AI,4,FALSE)</f>
        <v>#N/A</v>
      </c>
      <c r="M138" t="e">
        <f>VLOOKUP($I138,'[1]Table S6'!$A:$AI,5,FALSE)</f>
        <v>#N/A</v>
      </c>
      <c r="O138" t="e">
        <f>VLOOKUP($I138,'[1]Table S6'!$A:$AI,7,FALSE)</f>
        <v>#N/A</v>
      </c>
      <c r="P138" t="e">
        <f>VLOOKUP($I138,'[1]Table S6'!$A:$AI,8,FALSE)</f>
        <v>#N/A</v>
      </c>
      <c r="Q138" t="e">
        <f>VLOOKUP($I138,'[1]Table S6'!$A:$AI,9,FALSE)</f>
        <v>#N/A</v>
      </c>
      <c r="R138" t="e">
        <f>VLOOKUP($I138,'[1]Table S6'!$A:$AI,10,FALSE)</f>
        <v>#N/A</v>
      </c>
      <c r="T138" t="e">
        <f>VLOOKUP($I138,'[1]Table S6'!$A:$AI,12,FALSE)</f>
        <v>#N/A</v>
      </c>
      <c r="U138" t="e">
        <f>VLOOKUP($I138,'[1]Table S6'!$A:$AI,13,FALSE)</f>
        <v>#N/A</v>
      </c>
      <c r="V138" t="e">
        <f>VLOOKUP($I138,'[1]Table S6'!$A:$AI,14,FALSE)</f>
        <v>#N/A</v>
      </c>
      <c r="W138" t="e">
        <f>VLOOKUP($I138,'[1]Table S6'!$A:$AI,15,FALSE)</f>
        <v>#N/A</v>
      </c>
      <c r="Y138" t="e">
        <f>VLOOKUP($I138,'[1]Table S6'!$A:$AI,17,FALSE)</f>
        <v>#N/A</v>
      </c>
      <c r="Z138" t="e">
        <f>VLOOKUP($I138,'[1]Table S6'!$A:$AI,18,FALSE)</f>
        <v>#N/A</v>
      </c>
      <c r="AA138" t="e">
        <f>VLOOKUP($I138,'[1]Table S6'!$A:$AI,19,FALSE)</f>
        <v>#N/A</v>
      </c>
      <c r="AB138" t="e">
        <f>VLOOKUP($I138,'[1]Table S6'!$A:$AI,20,FALSE)</f>
        <v>#N/A</v>
      </c>
      <c r="AD138" t="e">
        <f>VLOOKUP($I138,'[1]Table S6'!$A:$AI,22,FALSE)</f>
        <v>#N/A</v>
      </c>
      <c r="AE138" t="e">
        <f>VLOOKUP($I138,'[1]Table S6'!$A:$AI,23,FALSE)</f>
        <v>#N/A</v>
      </c>
      <c r="AF138" t="e">
        <f>VLOOKUP($I138,'[1]Table S6'!$A:$AI,24,FALSE)</f>
        <v>#N/A</v>
      </c>
      <c r="AG138" t="e">
        <f>VLOOKUP($I138,'[1]Table S6'!$A:$AI,25,FALSE)</f>
        <v>#N/A</v>
      </c>
      <c r="AI138" t="e">
        <f>VLOOKUP($I138,'[1]Table S6'!$A:$AI,27,FALSE)</f>
        <v>#N/A</v>
      </c>
      <c r="AJ138" t="e">
        <f>VLOOKUP($I138,'[1]Table S6'!$A:$AI,28,FALSE)</f>
        <v>#N/A</v>
      </c>
      <c r="AK138" t="e">
        <f>VLOOKUP($I138,'[1]Table S6'!$A:$AI,29,FALSE)</f>
        <v>#N/A</v>
      </c>
      <c r="AL138" t="e">
        <f>VLOOKUP($I138,'[1]Table S6'!$A:$AI,30,FALSE)</f>
        <v>#N/A</v>
      </c>
      <c r="AN138" t="e">
        <f>VLOOKUP($I138,'[1]Table S6'!$A:$AI,32,FALSE)</f>
        <v>#N/A</v>
      </c>
      <c r="AO138" t="e">
        <f>VLOOKUP($I138,'[1]Table S6'!$A:$AI,33,FALSE)</f>
        <v>#N/A</v>
      </c>
      <c r="AP138" t="e">
        <f>VLOOKUP($I138,'[1]Table S6'!$A:$AI,34,FALSE)</f>
        <v>#N/A</v>
      </c>
      <c r="AQ138" t="e">
        <f>VLOOKUP($I138,'[1]Table S6'!$A:$AI,35,FALSE)</f>
        <v>#N/A</v>
      </c>
      <c r="AS138" t="str">
        <f>VLOOKUP($H138,'[2]Table S5'!$A:$K,8,FALSE)</f>
        <v>Resistant</v>
      </c>
      <c r="AT138" t="str">
        <f>VLOOKUP($H138,'[2]Table S5'!$A:$K,9,FALSE)</f>
        <v>Resistant</v>
      </c>
      <c r="AU138" t="str">
        <f>VLOOKUP($H138,'[2]Table S5'!$A:$K,10,FALSE)</f>
        <v>Resistant</v>
      </c>
      <c r="AV138" t="str">
        <f>VLOOKUP($H138,'[2]Table S5'!$A:$K,11,FALSE)</f>
        <v>Resistant</v>
      </c>
    </row>
    <row r="139" spans="1:48">
      <c r="A139" t="s">
        <v>1047</v>
      </c>
      <c r="B139" t="s">
        <v>1048</v>
      </c>
      <c r="C139" t="s">
        <v>17</v>
      </c>
      <c r="D139" t="s">
        <v>1050</v>
      </c>
      <c r="E139" t="s">
        <v>1051</v>
      </c>
      <c r="F139" t="s">
        <v>1052</v>
      </c>
      <c r="G139" t="s">
        <v>4750</v>
      </c>
      <c r="H139" t="s">
        <v>1053</v>
      </c>
      <c r="I139" t="s">
        <v>1054</v>
      </c>
      <c r="J139">
        <f>VLOOKUP($I139,'[1]Table S6'!$A:$AI,2,FALSE)</f>
        <v>353.7</v>
      </c>
      <c r="K139">
        <f>VLOOKUP($I139,'[1]Table S6'!$A:$AI,3,FALSE)</f>
        <v>0.75271334326452399</v>
      </c>
      <c r="L139">
        <f>VLOOKUP($I139,'[1]Table S6'!$A:$AI,4,FALSE)</f>
        <v>5.1950000000000003</v>
      </c>
      <c r="M139" t="str">
        <f>VLOOKUP($I139,'[1]Table S6'!$A:$AI,5,FALSE)</f>
        <v>No</v>
      </c>
      <c r="O139">
        <f>VLOOKUP($I139,'[1]Table S6'!$A:$AI,7,FALSE)</f>
        <v>316.60000000000002</v>
      </c>
      <c r="P139">
        <f>VLOOKUP($I139,'[1]Table S6'!$A:$AI,8,FALSE)</f>
        <v>0.67376037454777604</v>
      </c>
      <c r="Q139">
        <f>VLOOKUP($I139,'[1]Table S6'!$A:$AI,9,FALSE)</f>
        <v>1.6890000000000001</v>
      </c>
      <c r="R139" t="str">
        <f>VLOOKUP($I139,'[1]Table S6'!$A:$AI,10,FALSE)</f>
        <v>Yes</v>
      </c>
      <c r="T139">
        <f>VLOOKUP($I139,'[1]Table S6'!$A:$AI,12,FALSE)</f>
        <v>332.3</v>
      </c>
      <c r="U139">
        <f>VLOOKUP($I139,'[1]Table S6'!$A:$AI,13,FALSE)</f>
        <v>0.70717173866780203</v>
      </c>
      <c r="V139">
        <f>VLOOKUP($I139,'[1]Table S6'!$A:$AI,14,FALSE)</f>
        <v>5.266</v>
      </c>
      <c r="W139" t="str">
        <f>VLOOKUP($I139,'[1]Table S6'!$A:$AI,15,FALSE)</f>
        <v>No</v>
      </c>
      <c r="Y139">
        <f>VLOOKUP($I139,'[1]Table S6'!$A:$AI,17,FALSE)</f>
        <v>367.1</v>
      </c>
      <c r="Z139">
        <f>VLOOKUP($I139,'[1]Table S6'!$A:$AI,18,FALSE)</f>
        <v>0.78123004894658399</v>
      </c>
      <c r="AA139">
        <f>VLOOKUP($I139,'[1]Table S6'!$A:$AI,19,FALSE)</f>
        <v>6.6520000000000001</v>
      </c>
      <c r="AB139" t="str">
        <f>VLOOKUP($I139,'[1]Table S6'!$A:$AI,20,FALSE)</f>
        <v>No</v>
      </c>
      <c r="AD139">
        <f>VLOOKUP($I139,'[1]Table S6'!$A:$AI,22,FALSE)</f>
        <v>409.2</v>
      </c>
      <c r="AE139">
        <f>VLOOKUP($I139,'[1]Table S6'!$A:$AI,23,FALSE)</f>
        <v>0.870823579484997</v>
      </c>
      <c r="AF139">
        <f>VLOOKUP($I139,'[1]Table S6'!$A:$AI,24,FALSE)</f>
        <v>24.76</v>
      </c>
      <c r="AG139" t="str">
        <f>VLOOKUP($I139,'[1]Table S6'!$A:$AI,25,FALSE)</f>
        <v>No</v>
      </c>
      <c r="AI139">
        <f>VLOOKUP($I139,'[1]Table S6'!$A:$AI,27,FALSE)</f>
        <v>409.1</v>
      </c>
      <c r="AJ139">
        <f>VLOOKUP($I139,'[1]Table S6'!$A:$AI,28,FALSE)</f>
        <v>0.87061076824856398</v>
      </c>
      <c r="AK139">
        <f>VLOOKUP($I139,'[1]Table S6'!$A:$AI,29,FALSE)</f>
        <v>94.93</v>
      </c>
      <c r="AL139" t="str">
        <f>VLOOKUP($I139,'[1]Table S6'!$A:$AI,30,FALSE)</f>
        <v>No</v>
      </c>
      <c r="AN139">
        <f>VLOOKUP($I139,'[1]Table S6'!$A:$AI,32,FALSE)</f>
        <v>465.7</v>
      </c>
      <c r="AO139">
        <f>VLOOKUP($I139,'[1]Table S6'!$A:$AI,33,FALSE)</f>
        <v>0.99106192806980198</v>
      </c>
      <c r="AP139">
        <f>VLOOKUP($I139,'[1]Table S6'!$A:$AI,34,FALSE)</f>
        <v>265.8</v>
      </c>
      <c r="AQ139" t="str">
        <f>VLOOKUP($I139,'[1]Table S6'!$A:$AI,35,FALSE)</f>
        <v>No</v>
      </c>
      <c r="AS139" t="str">
        <f>VLOOKUP($H139,'[2]Table S5'!$A:$K,8,FALSE)</f>
        <v>Resistant</v>
      </c>
      <c r="AT139" t="str">
        <f>VLOOKUP($H139,'[2]Table S5'!$A:$K,9,FALSE)</f>
        <v>Sensitive</v>
      </c>
      <c r="AU139" t="str">
        <f>VLOOKUP($H139,'[2]Table S5'!$A:$K,10,FALSE)</f>
        <v>Resistant</v>
      </c>
      <c r="AV139" t="str">
        <f>VLOOKUP($H139,'[2]Table S5'!$A:$K,11,FALSE)</f>
        <v>Resistant</v>
      </c>
    </row>
    <row r="140" spans="1:48">
      <c r="A140" t="s">
        <v>1056</v>
      </c>
      <c r="B140" t="s">
        <v>1057</v>
      </c>
      <c r="C140" t="s">
        <v>17</v>
      </c>
      <c r="D140" t="s">
        <v>1059</v>
      </c>
      <c r="E140" t="s">
        <v>1060</v>
      </c>
      <c r="F140" t="s">
        <v>1061</v>
      </c>
      <c r="G140" t="s">
        <v>4750</v>
      </c>
      <c r="H140" t="s">
        <v>1053</v>
      </c>
      <c r="I140" t="s">
        <v>1062</v>
      </c>
      <c r="J140">
        <f>VLOOKUP($I140,'[1]Table S6'!$A:$AI,2,FALSE)</f>
        <v>336.8</v>
      </c>
      <c r="K140">
        <f>VLOOKUP($I140,'[1]Table S6'!$A:$AI,3,FALSE)</f>
        <v>0.716748244307299</v>
      </c>
      <c r="L140">
        <f>VLOOKUP($I140,'[1]Table S6'!$A:$AI,4,FALSE)</f>
        <v>4.6479999999999997</v>
      </c>
      <c r="M140" t="str">
        <f>VLOOKUP($I140,'[1]Table S6'!$A:$AI,5,FALSE)</f>
        <v>No</v>
      </c>
      <c r="O140">
        <f>VLOOKUP($I140,'[1]Table S6'!$A:$AI,7,FALSE)</f>
        <v>324.7</v>
      </c>
      <c r="P140">
        <f>VLOOKUP($I140,'[1]Table S6'!$A:$AI,8,FALSE)</f>
        <v>0.69099808469887203</v>
      </c>
      <c r="Q140">
        <f>VLOOKUP($I140,'[1]Table S6'!$A:$AI,9,FALSE)</f>
        <v>2.214</v>
      </c>
      <c r="R140" t="str">
        <f>VLOOKUP($I140,'[1]Table S6'!$A:$AI,10,FALSE)</f>
        <v>Yes</v>
      </c>
      <c r="T140">
        <f>VLOOKUP($I140,'[1]Table S6'!$A:$AI,12,FALSE)</f>
        <v>346.5</v>
      </c>
      <c r="U140">
        <f>VLOOKUP($I140,'[1]Table S6'!$A:$AI,13,FALSE)</f>
        <v>0.73739093424132796</v>
      </c>
      <c r="V140">
        <f>VLOOKUP($I140,'[1]Table S6'!$A:$AI,14,FALSE)</f>
        <v>8.3320000000000007</v>
      </c>
      <c r="W140" t="str">
        <f>VLOOKUP($I140,'[1]Table S6'!$A:$AI,15,FALSE)</f>
        <v>No</v>
      </c>
      <c r="Y140">
        <f>VLOOKUP($I140,'[1]Table S6'!$A:$AI,17,FALSE)</f>
        <v>382.6</v>
      </c>
      <c r="Z140">
        <f>VLOOKUP($I140,'[1]Table S6'!$A:$AI,18,FALSE)</f>
        <v>0.81421579059374305</v>
      </c>
      <c r="AA140">
        <f>VLOOKUP($I140,'[1]Table S6'!$A:$AI,19,FALSE)</f>
        <v>15.34</v>
      </c>
      <c r="AB140" t="str">
        <f>VLOOKUP($I140,'[1]Table S6'!$A:$AI,20,FALSE)</f>
        <v>No</v>
      </c>
      <c r="AD140">
        <f>VLOOKUP($I140,'[1]Table S6'!$A:$AI,22,FALSE)</f>
        <v>342.7</v>
      </c>
      <c r="AE140">
        <f>VLOOKUP($I140,'[1]Table S6'!$A:$AI,23,FALSE)</f>
        <v>0.72930410725686301</v>
      </c>
      <c r="AF140">
        <f>VLOOKUP($I140,'[1]Table S6'!$A:$AI,24,FALSE)</f>
        <v>5.7969999999999997</v>
      </c>
      <c r="AG140" t="str">
        <f>VLOOKUP($I140,'[1]Table S6'!$A:$AI,25,FALSE)</f>
        <v>No</v>
      </c>
      <c r="AI140">
        <f>VLOOKUP($I140,'[1]Table S6'!$A:$AI,27,FALSE)</f>
        <v>445.4</v>
      </c>
      <c r="AJ140">
        <f>VLOOKUP($I140,'[1]Table S6'!$A:$AI,28,FALSE)</f>
        <v>0.947861247073845</v>
      </c>
      <c r="AK140">
        <f>VLOOKUP($I140,'[1]Table S6'!$A:$AI,29,FALSE)</f>
        <v>192.2</v>
      </c>
      <c r="AL140" t="str">
        <f>VLOOKUP($I140,'[1]Table S6'!$A:$AI,30,FALSE)</f>
        <v>No</v>
      </c>
      <c r="AN140">
        <f>VLOOKUP($I140,'[1]Table S6'!$A:$AI,32,FALSE)</f>
        <v>425.4</v>
      </c>
      <c r="AO140">
        <f>VLOOKUP($I140,'[1]Table S6'!$A:$AI,33,FALSE)</f>
        <v>0.90529899978718897</v>
      </c>
      <c r="AP140">
        <f>VLOOKUP($I140,'[1]Table S6'!$A:$AI,34,FALSE)</f>
        <v>289.10000000000002</v>
      </c>
      <c r="AQ140" t="str">
        <f>VLOOKUP($I140,'[1]Table S6'!$A:$AI,35,FALSE)</f>
        <v>No</v>
      </c>
      <c r="AS140" t="str">
        <f>VLOOKUP($H140,'[2]Table S5'!$A:$K,8,FALSE)</f>
        <v>Resistant</v>
      </c>
      <c r="AT140" t="str">
        <f>VLOOKUP($H140,'[2]Table S5'!$A:$K,9,FALSE)</f>
        <v>Sensitive</v>
      </c>
      <c r="AU140" t="str">
        <f>VLOOKUP($H140,'[2]Table S5'!$A:$K,10,FALSE)</f>
        <v>Resistant</v>
      </c>
      <c r="AV140" t="str">
        <f>VLOOKUP($H140,'[2]Table S5'!$A:$K,11,FALSE)</f>
        <v>Resistant</v>
      </c>
    </row>
    <row r="141" spans="1:48">
      <c r="A141" t="s">
        <v>1064</v>
      </c>
      <c r="B141" t="s">
        <v>1065</v>
      </c>
      <c r="C141" t="s">
        <v>17</v>
      </c>
      <c r="D141" t="s">
        <v>1067</v>
      </c>
      <c r="E141" t="s">
        <v>1068</v>
      </c>
      <c r="F141" t="s">
        <v>1069</v>
      </c>
      <c r="G141" t="s">
        <v>4750</v>
      </c>
      <c r="H141" t="s">
        <v>1053</v>
      </c>
      <c r="I141" t="s">
        <v>1070</v>
      </c>
      <c r="J141">
        <f>VLOOKUP($I141,'[1]Table S6'!$A:$AI,2,FALSE)</f>
        <v>287.10000000000002</v>
      </c>
      <c r="K141">
        <f>VLOOKUP($I141,'[1]Table S6'!$A:$AI,3,FALSE)</f>
        <v>0.61098105979995798</v>
      </c>
      <c r="L141">
        <f>VLOOKUP($I141,'[1]Table S6'!$A:$AI,4,FALSE)</f>
        <v>0.80969999999999998</v>
      </c>
      <c r="M141" t="str">
        <f>VLOOKUP($I141,'[1]Table S6'!$A:$AI,5,FALSE)</f>
        <v>Yes</v>
      </c>
      <c r="O141">
        <f>VLOOKUP($I141,'[1]Table S6'!$A:$AI,7,FALSE)</f>
        <v>315.5</v>
      </c>
      <c r="P141">
        <f>VLOOKUP($I141,'[1]Table S6'!$A:$AI,8,FALSE)</f>
        <v>0.67141945094701005</v>
      </c>
      <c r="Q141">
        <f>VLOOKUP($I141,'[1]Table S6'!$A:$AI,9,FALSE)</f>
        <v>1.532</v>
      </c>
      <c r="R141" t="str">
        <f>VLOOKUP($I141,'[1]Table S6'!$A:$AI,10,FALSE)</f>
        <v>Yes</v>
      </c>
      <c r="T141">
        <f>VLOOKUP($I141,'[1]Table S6'!$A:$AI,12,FALSE)</f>
        <v>336.4</v>
      </c>
      <c r="U141">
        <f>VLOOKUP($I141,'[1]Table S6'!$A:$AI,13,FALSE)</f>
        <v>0.71589699936156603</v>
      </c>
      <c r="V141">
        <f>VLOOKUP($I141,'[1]Table S6'!$A:$AI,14,FALSE)</f>
        <v>2.6379999999999999</v>
      </c>
      <c r="W141" t="str">
        <f>VLOOKUP($I141,'[1]Table S6'!$A:$AI,15,FALSE)</f>
        <v>No</v>
      </c>
      <c r="Y141">
        <f>VLOOKUP($I141,'[1]Table S6'!$A:$AI,17,FALSE)</f>
        <v>285</v>
      </c>
      <c r="Z141">
        <f>VLOOKUP($I141,'[1]Table S6'!$A:$AI,18,FALSE)</f>
        <v>0.60651202383485803</v>
      </c>
      <c r="AA141">
        <f>VLOOKUP($I141,'[1]Table S6'!$A:$AI,19,FALSE)</f>
        <v>1.1140000000000001</v>
      </c>
      <c r="AB141" t="str">
        <f>VLOOKUP($I141,'[1]Table S6'!$A:$AI,20,FALSE)</f>
        <v>Yes</v>
      </c>
      <c r="AD141">
        <f>VLOOKUP($I141,'[1]Table S6'!$A:$AI,22,FALSE)</f>
        <v>339</v>
      </c>
      <c r="AE141">
        <f>VLOOKUP($I141,'[1]Table S6'!$A:$AI,23,FALSE)</f>
        <v>0.72143009150883197</v>
      </c>
      <c r="AF141">
        <f>VLOOKUP($I141,'[1]Table S6'!$A:$AI,24,FALSE)</f>
        <v>4.7859999999999996</v>
      </c>
      <c r="AG141" t="str">
        <f>VLOOKUP($I141,'[1]Table S6'!$A:$AI,25,FALSE)</f>
        <v>No</v>
      </c>
      <c r="AI141">
        <f>VLOOKUP($I141,'[1]Table S6'!$A:$AI,27,FALSE)</f>
        <v>396.8</v>
      </c>
      <c r="AJ141">
        <f>VLOOKUP($I141,'[1]Table S6'!$A:$AI,28,FALSE)</f>
        <v>0.84443498616726997</v>
      </c>
      <c r="AK141">
        <f>VLOOKUP($I141,'[1]Table S6'!$A:$AI,29,FALSE)</f>
        <v>112.6</v>
      </c>
      <c r="AL141" t="str">
        <f>VLOOKUP($I141,'[1]Table S6'!$A:$AI,30,FALSE)</f>
        <v>No</v>
      </c>
      <c r="AN141">
        <f>VLOOKUP($I141,'[1]Table S6'!$A:$AI,32,FALSE)</f>
        <v>387.1</v>
      </c>
      <c r="AO141">
        <f>VLOOKUP($I141,'[1]Table S6'!$A:$AI,33,FALSE)</f>
        <v>0.82379229623324102</v>
      </c>
      <c r="AP141">
        <f>VLOOKUP($I141,'[1]Table S6'!$A:$AI,34,FALSE)</f>
        <v>59.07</v>
      </c>
      <c r="AQ141" t="str">
        <f>VLOOKUP($I141,'[1]Table S6'!$A:$AI,35,FALSE)</f>
        <v>No</v>
      </c>
      <c r="AS141" t="str">
        <f>VLOOKUP($H141,'[2]Table S5'!$A:$K,8,FALSE)</f>
        <v>Resistant</v>
      </c>
      <c r="AT141" t="str">
        <f>VLOOKUP($H141,'[2]Table S5'!$A:$K,9,FALSE)</f>
        <v>Sensitive</v>
      </c>
      <c r="AU141" t="str">
        <f>VLOOKUP($H141,'[2]Table S5'!$A:$K,10,FALSE)</f>
        <v>Resistant</v>
      </c>
      <c r="AV141" t="str">
        <f>VLOOKUP($H141,'[2]Table S5'!$A:$K,11,FALSE)</f>
        <v>Resistant</v>
      </c>
    </row>
    <row r="142" spans="1:48">
      <c r="A142" t="s">
        <v>1072</v>
      </c>
      <c r="B142" t="s">
        <v>1073</v>
      </c>
      <c r="C142" t="s">
        <v>17</v>
      </c>
      <c r="D142" t="s">
        <v>1075</v>
      </c>
      <c r="E142" t="s">
        <v>1076</v>
      </c>
      <c r="F142" t="s">
        <v>1077</v>
      </c>
      <c r="G142" t="s">
        <v>4750</v>
      </c>
      <c r="H142" t="s">
        <v>1053</v>
      </c>
      <c r="I142" t="s">
        <v>1078</v>
      </c>
      <c r="J142">
        <f>VLOOKUP($I142,'[1]Table S6'!$A:$AI,2,FALSE)</f>
        <v>358.1</v>
      </c>
      <c r="K142">
        <f>VLOOKUP($I142,'[1]Table S6'!$A:$AI,3,FALSE)</f>
        <v>0.76207703766758905</v>
      </c>
      <c r="L142">
        <f>VLOOKUP($I142,'[1]Table S6'!$A:$AI,4,FALSE)</f>
        <v>8.2159999999999993</v>
      </c>
      <c r="M142" t="str">
        <f>VLOOKUP($I142,'[1]Table S6'!$A:$AI,5,FALSE)</f>
        <v>No</v>
      </c>
      <c r="O142">
        <f>VLOOKUP($I142,'[1]Table S6'!$A:$AI,7,FALSE)</f>
        <v>317.60000000000002</v>
      </c>
      <c r="P142">
        <f>VLOOKUP($I142,'[1]Table S6'!$A:$AI,8,FALSE)</f>
        <v>0.67588848691210901</v>
      </c>
      <c r="Q142">
        <f>VLOOKUP($I142,'[1]Table S6'!$A:$AI,9,FALSE)</f>
        <v>1.8640000000000001</v>
      </c>
      <c r="R142" t="str">
        <f>VLOOKUP($I142,'[1]Table S6'!$A:$AI,10,FALSE)</f>
        <v>Yes</v>
      </c>
      <c r="T142">
        <f>VLOOKUP($I142,'[1]Table S6'!$A:$AI,12,FALSE)</f>
        <v>335.6</v>
      </c>
      <c r="U142">
        <f>VLOOKUP($I142,'[1]Table S6'!$A:$AI,13,FALSE)</f>
        <v>0.71419450947009999</v>
      </c>
      <c r="V142">
        <f>VLOOKUP($I142,'[1]Table S6'!$A:$AI,14,FALSE)</f>
        <v>4.1449999999999996</v>
      </c>
      <c r="W142" t="str">
        <f>VLOOKUP($I142,'[1]Table S6'!$A:$AI,15,FALSE)</f>
        <v>No</v>
      </c>
      <c r="Y142">
        <f>VLOOKUP($I142,'[1]Table S6'!$A:$AI,17,FALSE)</f>
        <v>313.3</v>
      </c>
      <c r="Z142">
        <f>VLOOKUP($I142,'[1]Table S6'!$A:$AI,18,FALSE)</f>
        <v>0.66673760374547797</v>
      </c>
      <c r="AA142">
        <f>VLOOKUP($I142,'[1]Table S6'!$A:$AI,19,FALSE)</f>
        <v>1.855</v>
      </c>
      <c r="AB142" t="str">
        <f>VLOOKUP($I142,'[1]Table S6'!$A:$AI,20,FALSE)</f>
        <v>Yes</v>
      </c>
      <c r="AD142">
        <f>VLOOKUP($I142,'[1]Table S6'!$A:$AI,22,FALSE)</f>
        <v>331.2</v>
      </c>
      <c r="AE142">
        <f>VLOOKUP($I142,'[1]Table S6'!$A:$AI,23,FALSE)</f>
        <v>0.70483081506703604</v>
      </c>
      <c r="AF142">
        <f>VLOOKUP($I142,'[1]Table S6'!$A:$AI,24,FALSE)</f>
        <v>2.6789999999999998</v>
      </c>
      <c r="AG142" t="str">
        <f>VLOOKUP($I142,'[1]Table S6'!$A:$AI,25,FALSE)</f>
        <v>No</v>
      </c>
      <c r="AI142">
        <f>VLOOKUP($I142,'[1]Table S6'!$A:$AI,27,FALSE)</f>
        <v>436.1</v>
      </c>
      <c r="AJ142">
        <f>VLOOKUP($I142,'[1]Table S6'!$A:$AI,28,FALSE)</f>
        <v>0.92806980208555001</v>
      </c>
      <c r="AK142">
        <f>VLOOKUP($I142,'[1]Table S6'!$A:$AI,29,FALSE)</f>
        <v>273.89999999999998</v>
      </c>
      <c r="AL142" t="str">
        <f>VLOOKUP($I142,'[1]Table S6'!$A:$AI,30,FALSE)</f>
        <v>No</v>
      </c>
      <c r="AN142">
        <f>VLOOKUP($I142,'[1]Table S6'!$A:$AI,32,FALSE)</f>
        <v>422.7</v>
      </c>
      <c r="AO142">
        <f>VLOOKUP($I142,'[1]Table S6'!$A:$AI,33,FALSE)</f>
        <v>0.89955309640349002</v>
      </c>
      <c r="AP142">
        <f>VLOOKUP($I142,'[1]Table S6'!$A:$AI,34,FALSE)</f>
        <v>164.7</v>
      </c>
      <c r="AQ142" t="str">
        <f>VLOOKUP($I142,'[1]Table S6'!$A:$AI,35,FALSE)</f>
        <v>No</v>
      </c>
      <c r="AS142" t="str">
        <f>VLOOKUP($H142,'[2]Table S5'!$A:$K,8,FALSE)</f>
        <v>Resistant</v>
      </c>
      <c r="AT142" t="str">
        <f>VLOOKUP($H142,'[2]Table S5'!$A:$K,9,FALSE)</f>
        <v>Sensitive</v>
      </c>
      <c r="AU142" t="str">
        <f>VLOOKUP($H142,'[2]Table S5'!$A:$K,10,FALSE)</f>
        <v>Resistant</v>
      </c>
      <c r="AV142" t="str">
        <f>VLOOKUP($H142,'[2]Table S5'!$A:$K,11,FALSE)</f>
        <v>Resistant</v>
      </c>
    </row>
    <row r="143" spans="1:48">
      <c r="A143" t="s">
        <v>1080</v>
      </c>
      <c r="B143" t="s">
        <v>1081</v>
      </c>
      <c r="C143" t="s">
        <v>17</v>
      </c>
      <c r="D143" t="s">
        <v>1083</v>
      </c>
      <c r="E143" t="s">
        <v>1084</v>
      </c>
      <c r="F143" t="s">
        <v>1085</v>
      </c>
      <c r="G143" t="s">
        <v>4750</v>
      </c>
      <c r="H143" t="s">
        <v>1053</v>
      </c>
      <c r="I143" t="s">
        <v>1086</v>
      </c>
      <c r="J143">
        <f>VLOOKUP($I143,'[1]Table S6'!$A:$AI,2,FALSE)</f>
        <v>329.2</v>
      </c>
      <c r="K143">
        <f>VLOOKUP($I143,'[1]Table S6'!$A:$AI,3,FALSE)</f>
        <v>0.70057459033837</v>
      </c>
      <c r="L143">
        <f>VLOOKUP($I143,'[1]Table S6'!$A:$AI,4,FALSE)</f>
        <v>4.1929999999999996</v>
      </c>
      <c r="M143" t="str">
        <f>VLOOKUP($I143,'[1]Table S6'!$A:$AI,5,FALSE)</f>
        <v>Yes</v>
      </c>
      <c r="O143">
        <f>VLOOKUP($I143,'[1]Table S6'!$A:$AI,7,FALSE)</f>
        <v>324.7</v>
      </c>
      <c r="P143">
        <f>VLOOKUP($I143,'[1]Table S6'!$A:$AI,8,FALSE)</f>
        <v>0.69099808469887203</v>
      </c>
      <c r="Q143">
        <f>VLOOKUP($I143,'[1]Table S6'!$A:$AI,9,FALSE)</f>
        <v>2.206</v>
      </c>
      <c r="R143" t="str">
        <f>VLOOKUP($I143,'[1]Table S6'!$A:$AI,10,FALSE)</f>
        <v>Yes</v>
      </c>
      <c r="T143">
        <f>VLOOKUP($I143,'[1]Table S6'!$A:$AI,12,FALSE)</f>
        <v>368.7</v>
      </c>
      <c r="U143">
        <f>VLOOKUP($I143,'[1]Table S6'!$A:$AI,13,FALSE)</f>
        <v>0.78463502872951696</v>
      </c>
      <c r="V143">
        <f>VLOOKUP($I143,'[1]Table S6'!$A:$AI,14,FALSE)</f>
        <v>9.5579999999999998</v>
      </c>
      <c r="W143" t="str">
        <f>VLOOKUP($I143,'[1]Table S6'!$A:$AI,15,FALSE)</f>
        <v>No</v>
      </c>
      <c r="Y143">
        <f>VLOOKUP($I143,'[1]Table S6'!$A:$AI,17,FALSE)</f>
        <v>383.1</v>
      </c>
      <c r="Z143">
        <f>VLOOKUP($I143,'[1]Table S6'!$A:$AI,18,FALSE)</f>
        <v>0.81527984677591003</v>
      </c>
      <c r="AA143">
        <f>VLOOKUP($I143,'[1]Table S6'!$A:$AI,19,FALSE)</f>
        <v>14.55</v>
      </c>
      <c r="AB143" t="str">
        <f>VLOOKUP($I143,'[1]Table S6'!$A:$AI,20,FALSE)</f>
        <v>No</v>
      </c>
      <c r="AD143">
        <f>VLOOKUP($I143,'[1]Table S6'!$A:$AI,22,FALSE)</f>
        <v>337.4</v>
      </c>
      <c r="AE143">
        <f>VLOOKUP($I143,'[1]Table S6'!$A:$AI,23,FALSE)</f>
        <v>0.718025111725899</v>
      </c>
      <c r="AF143">
        <f>VLOOKUP($I143,'[1]Table S6'!$A:$AI,24,FALSE)</f>
        <v>4.8949999999999996</v>
      </c>
      <c r="AG143" t="str">
        <f>VLOOKUP($I143,'[1]Table S6'!$A:$AI,25,FALSE)</f>
        <v>No</v>
      </c>
      <c r="AI143">
        <f>VLOOKUP($I143,'[1]Table S6'!$A:$AI,27,FALSE)</f>
        <v>412.8</v>
      </c>
      <c r="AJ143">
        <f>VLOOKUP($I143,'[1]Table S6'!$A:$AI,28,FALSE)</f>
        <v>0.87848478399659502</v>
      </c>
      <c r="AK143">
        <f>VLOOKUP($I143,'[1]Table S6'!$A:$AI,29,FALSE)</f>
        <v>121</v>
      </c>
      <c r="AL143" t="str">
        <f>VLOOKUP($I143,'[1]Table S6'!$A:$AI,30,FALSE)</f>
        <v>No</v>
      </c>
      <c r="AN143">
        <f>VLOOKUP($I143,'[1]Table S6'!$A:$AI,32,FALSE)</f>
        <v>397.2</v>
      </c>
      <c r="AO143">
        <f>VLOOKUP($I143,'[1]Table S6'!$A:$AI,33,FALSE)</f>
        <v>0.84528623111300305</v>
      </c>
      <c r="AP143">
        <f>VLOOKUP($I143,'[1]Table S6'!$A:$AI,34,FALSE)</f>
        <v>128.1</v>
      </c>
      <c r="AQ143" t="str">
        <f>VLOOKUP($I143,'[1]Table S6'!$A:$AI,35,FALSE)</f>
        <v>No</v>
      </c>
      <c r="AS143" t="str">
        <f>VLOOKUP($H143,'[2]Table S5'!$A:$K,8,FALSE)</f>
        <v>Resistant</v>
      </c>
      <c r="AT143" t="str">
        <f>VLOOKUP($H143,'[2]Table S5'!$A:$K,9,FALSE)</f>
        <v>Sensitive</v>
      </c>
      <c r="AU143" t="str">
        <f>VLOOKUP($H143,'[2]Table S5'!$A:$K,10,FALSE)</f>
        <v>Resistant</v>
      </c>
      <c r="AV143" t="str">
        <f>VLOOKUP($H143,'[2]Table S5'!$A:$K,11,FALSE)</f>
        <v>Resistant</v>
      </c>
    </row>
    <row r="144" spans="1:48">
      <c r="A144" t="s">
        <v>1088</v>
      </c>
      <c r="B144" t="s">
        <v>1089</v>
      </c>
      <c r="C144" t="s">
        <v>17</v>
      </c>
      <c r="D144" t="s">
        <v>1091</v>
      </c>
      <c r="E144" t="s">
        <v>1092</v>
      </c>
      <c r="F144" t="s">
        <v>1093</v>
      </c>
      <c r="G144" t="s">
        <v>4751</v>
      </c>
      <c r="H144" t="s">
        <v>1053</v>
      </c>
      <c r="I144" t="s">
        <v>1054</v>
      </c>
      <c r="J144">
        <f>VLOOKUP($I144,'[1]Table S6'!$A:$AI,2,FALSE)</f>
        <v>353.7</v>
      </c>
      <c r="K144">
        <f>VLOOKUP($I144,'[1]Table S6'!$A:$AI,3,FALSE)</f>
        <v>0.75271334326452399</v>
      </c>
      <c r="L144">
        <f>VLOOKUP($I144,'[1]Table S6'!$A:$AI,4,FALSE)</f>
        <v>5.1950000000000003</v>
      </c>
      <c r="M144" t="str">
        <f>VLOOKUP($I144,'[1]Table S6'!$A:$AI,5,FALSE)</f>
        <v>No</v>
      </c>
      <c r="O144">
        <f>VLOOKUP($I144,'[1]Table S6'!$A:$AI,7,FALSE)</f>
        <v>316.60000000000002</v>
      </c>
      <c r="P144">
        <f>VLOOKUP($I144,'[1]Table S6'!$A:$AI,8,FALSE)</f>
        <v>0.67376037454777604</v>
      </c>
      <c r="Q144">
        <f>VLOOKUP($I144,'[1]Table S6'!$A:$AI,9,FALSE)</f>
        <v>1.6890000000000001</v>
      </c>
      <c r="R144" t="str">
        <f>VLOOKUP($I144,'[1]Table S6'!$A:$AI,10,FALSE)</f>
        <v>Yes</v>
      </c>
      <c r="T144">
        <f>VLOOKUP($I144,'[1]Table S6'!$A:$AI,12,FALSE)</f>
        <v>332.3</v>
      </c>
      <c r="U144">
        <f>VLOOKUP($I144,'[1]Table S6'!$A:$AI,13,FALSE)</f>
        <v>0.70717173866780203</v>
      </c>
      <c r="V144">
        <f>VLOOKUP($I144,'[1]Table S6'!$A:$AI,14,FALSE)</f>
        <v>5.266</v>
      </c>
      <c r="W144" t="str">
        <f>VLOOKUP($I144,'[1]Table S6'!$A:$AI,15,FALSE)</f>
        <v>No</v>
      </c>
      <c r="Y144">
        <f>VLOOKUP($I144,'[1]Table S6'!$A:$AI,17,FALSE)</f>
        <v>367.1</v>
      </c>
      <c r="Z144">
        <f>VLOOKUP($I144,'[1]Table S6'!$A:$AI,18,FALSE)</f>
        <v>0.78123004894658399</v>
      </c>
      <c r="AA144">
        <f>VLOOKUP($I144,'[1]Table S6'!$A:$AI,19,FALSE)</f>
        <v>6.6520000000000001</v>
      </c>
      <c r="AB144" t="str">
        <f>VLOOKUP($I144,'[1]Table S6'!$A:$AI,20,FALSE)</f>
        <v>No</v>
      </c>
      <c r="AD144">
        <f>VLOOKUP($I144,'[1]Table S6'!$A:$AI,22,FALSE)</f>
        <v>409.2</v>
      </c>
      <c r="AE144">
        <f>VLOOKUP($I144,'[1]Table S6'!$A:$AI,23,FALSE)</f>
        <v>0.870823579484997</v>
      </c>
      <c r="AF144">
        <f>VLOOKUP($I144,'[1]Table S6'!$A:$AI,24,FALSE)</f>
        <v>24.76</v>
      </c>
      <c r="AG144" t="str">
        <f>VLOOKUP($I144,'[1]Table S6'!$A:$AI,25,FALSE)</f>
        <v>No</v>
      </c>
      <c r="AI144">
        <f>VLOOKUP($I144,'[1]Table S6'!$A:$AI,27,FALSE)</f>
        <v>409.1</v>
      </c>
      <c r="AJ144">
        <f>VLOOKUP($I144,'[1]Table S6'!$A:$AI,28,FALSE)</f>
        <v>0.87061076824856398</v>
      </c>
      <c r="AK144">
        <f>VLOOKUP($I144,'[1]Table S6'!$A:$AI,29,FALSE)</f>
        <v>94.93</v>
      </c>
      <c r="AL144" t="str">
        <f>VLOOKUP($I144,'[1]Table S6'!$A:$AI,30,FALSE)</f>
        <v>No</v>
      </c>
      <c r="AN144">
        <f>VLOOKUP($I144,'[1]Table S6'!$A:$AI,32,FALSE)</f>
        <v>465.7</v>
      </c>
      <c r="AO144">
        <f>VLOOKUP($I144,'[1]Table S6'!$A:$AI,33,FALSE)</f>
        <v>0.99106192806980198</v>
      </c>
      <c r="AP144">
        <f>VLOOKUP($I144,'[1]Table S6'!$A:$AI,34,FALSE)</f>
        <v>265.8</v>
      </c>
      <c r="AQ144" t="str">
        <f>VLOOKUP($I144,'[1]Table S6'!$A:$AI,35,FALSE)</f>
        <v>No</v>
      </c>
      <c r="AS144" t="str">
        <f>VLOOKUP($H144,'[2]Table S5'!$A:$K,8,FALSE)</f>
        <v>Resistant</v>
      </c>
      <c r="AT144" t="str">
        <f>VLOOKUP($H144,'[2]Table S5'!$A:$K,9,FALSE)</f>
        <v>Sensitive</v>
      </c>
      <c r="AU144" t="str">
        <f>VLOOKUP($H144,'[2]Table S5'!$A:$K,10,FALSE)</f>
        <v>Resistant</v>
      </c>
      <c r="AV144" t="str">
        <f>VLOOKUP($H144,'[2]Table S5'!$A:$K,11,FALSE)</f>
        <v>Resistant</v>
      </c>
    </row>
    <row r="145" spans="1:48">
      <c r="A145" t="s">
        <v>1095</v>
      </c>
      <c r="B145" t="s">
        <v>1096</v>
      </c>
      <c r="C145" t="s">
        <v>17</v>
      </c>
      <c r="D145" t="s">
        <v>1098</v>
      </c>
      <c r="E145" t="s">
        <v>1099</v>
      </c>
      <c r="F145" t="s">
        <v>1100</v>
      </c>
      <c r="G145" t="s">
        <v>4751</v>
      </c>
      <c r="H145" t="s">
        <v>1053</v>
      </c>
      <c r="I145" t="s">
        <v>1062</v>
      </c>
      <c r="J145">
        <f>VLOOKUP($I145,'[1]Table S6'!$A:$AI,2,FALSE)</f>
        <v>336.8</v>
      </c>
      <c r="K145">
        <f>VLOOKUP($I145,'[1]Table S6'!$A:$AI,3,FALSE)</f>
        <v>0.716748244307299</v>
      </c>
      <c r="L145">
        <f>VLOOKUP($I145,'[1]Table S6'!$A:$AI,4,FALSE)</f>
        <v>4.6479999999999997</v>
      </c>
      <c r="M145" t="str">
        <f>VLOOKUP($I145,'[1]Table S6'!$A:$AI,5,FALSE)</f>
        <v>No</v>
      </c>
      <c r="O145">
        <f>VLOOKUP($I145,'[1]Table S6'!$A:$AI,7,FALSE)</f>
        <v>324.7</v>
      </c>
      <c r="P145">
        <f>VLOOKUP($I145,'[1]Table S6'!$A:$AI,8,FALSE)</f>
        <v>0.69099808469887203</v>
      </c>
      <c r="Q145">
        <f>VLOOKUP($I145,'[1]Table S6'!$A:$AI,9,FALSE)</f>
        <v>2.214</v>
      </c>
      <c r="R145" t="str">
        <f>VLOOKUP($I145,'[1]Table S6'!$A:$AI,10,FALSE)</f>
        <v>Yes</v>
      </c>
      <c r="T145">
        <f>VLOOKUP($I145,'[1]Table S6'!$A:$AI,12,FALSE)</f>
        <v>346.5</v>
      </c>
      <c r="U145">
        <f>VLOOKUP($I145,'[1]Table S6'!$A:$AI,13,FALSE)</f>
        <v>0.73739093424132796</v>
      </c>
      <c r="V145">
        <f>VLOOKUP($I145,'[1]Table S6'!$A:$AI,14,FALSE)</f>
        <v>8.3320000000000007</v>
      </c>
      <c r="W145" t="str">
        <f>VLOOKUP($I145,'[1]Table S6'!$A:$AI,15,FALSE)</f>
        <v>No</v>
      </c>
      <c r="Y145">
        <f>VLOOKUP($I145,'[1]Table S6'!$A:$AI,17,FALSE)</f>
        <v>382.6</v>
      </c>
      <c r="Z145">
        <f>VLOOKUP($I145,'[1]Table S6'!$A:$AI,18,FALSE)</f>
        <v>0.81421579059374305</v>
      </c>
      <c r="AA145">
        <f>VLOOKUP($I145,'[1]Table S6'!$A:$AI,19,FALSE)</f>
        <v>15.34</v>
      </c>
      <c r="AB145" t="str">
        <f>VLOOKUP($I145,'[1]Table S6'!$A:$AI,20,FALSE)</f>
        <v>No</v>
      </c>
      <c r="AD145">
        <f>VLOOKUP($I145,'[1]Table S6'!$A:$AI,22,FALSE)</f>
        <v>342.7</v>
      </c>
      <c r="AE145">
        <f>VLOOKUP($I145,'[1]Table S6'!$A:$AI,23,FALSE)</f>
        <v>0.72930410725686301</v>
      </c>
      <c r="AF145">
        <f>VLOOKUP($I145,'[1]Table S6'!$A:$AI,24,FALSE)</f>
        <v>5.7969999999999997</v>
      </c>
      <c r="AG145" t="str">
        <f>VLOOKUP($I145,'[1]Table S6'!$A:$AI,25,FALSE)</f>
        <v>No</v>
      </c>
      <c r="AI145">
        <f>VLOOKUP($I145,'[1]Table S6'!$A:$AI,27,FALSE)</f>
        <v>445.4</v>
      </c>
      <c r="AJ145">
        <f>VLOOKUP($I145,'[1]Table S6'!$A:$AI,28,FALSE)</f>
        <v>0.947861247073845</v>
      </c>
      <c r="AK145">
        <f>VLOOKUP($I145,'[1]Table S6'!$A:$AI,29,FALSE)</f>
        <v>192.2</v>
      </c>
      <c r="AL145" t="str">
        <f>VLOOKUP($I145,'[1]Table S6'!$A:$AI,30,FALSE)</f>
        <v>No</v>
      </c>
      <c r="AN145">
        <f>VLOOKUP($I145,'[1]Table S6'!$A:$AI,32,FALSE)</f>
        <v>425.4</v>
      </c>
      <c r="AO145">
        <f>VLOOKUP($I145,'[1]Table S6'!$A:$AI,33,FALSE)</f>
        <v>0.90529899978718897</v>
      </c>
      <c r="AP145">
        <f>VLOOKUP($I145,'[1]Table S6'!$A:$AI,34,FALSE)</f>
        <v>289.10000000000002</v>
      </c>
      <c r="AQ145" t="str">
        <f>VLOOKUP($I145,'[1]Table S6'!$A:$AI,35,FALSE)</f>
        <v>No</v>
      </c>
      <c r="AS145" t="str">
        <f>VLOOKUP($H145,'[2]Table S5'!$A:$K,8,FALSE)</f>
        <v>Resistant</v>
      </c>
      <c r="AT145" t="str">
        <f>VLOOKUP($H145,'[2]Table S5'!$A:$K,9,FALSE)</f>
        <v>Sensitive</v>
      </c>
      <c r="AU145" t="str">
        <f>VLOOKUP($H145,'[2]Table S5'!$A:$K,10,FALSE)</f>
        <v>Resistant</v>
      </c>
      <c r="AV145" t="str">
        <f>VLOOKUP($H145,'[2]Table S5'!$A:$K,11,FALSE)</f>
        <v>Resistant</v>
      </c>
    </row>
    <row r="146" spans="1:48">
      <c r="A146" t="s">
        <v>1102</v>
      </c>
      <c r="B146" t="s">
        <v>1103</v>
      </c>
      <c r="C146" t="s">
        <v>17</v>
      </c>
      <c r="D146" t="s">
        <v>1105</v>
      </c>
      <c r="E146" t="s">
        <v>1106</v>
      </c>
      <c r="F146" t="s">
        <v>1107</v>
      </c>
      <c r="G146" t="s">
        <v>4751</v>
      </c>
      <c r="H146" t="s">
        <v>1053</v>
      </c>
      <c r="I146" t="s">
        <v>1070</v>
      </c>
      <c r="J146">
        <f>VLOOKUP($I146,'[1]Table S6'!$A:$AI,2,FALSE)</f>
        <v>287.10000000000002</v>
      </c>
      <c r="K146">
        <f>VLOOKUP($I146,'[1]Table S6'!$A:$AI,3,FALSE)</f>
        <v>0.61098105979995798</v>
      </c>
      <c r="L146">
        <f>VLOOKUP($I146,'[1]Table S6'!$A:$AI,4,FALSE)</f>
        <v>0.80969999999999998</v>
      </c>
      <c r="M146" t="str">
        <f>VLOOKUP($I146,'[1]Table S6'!$A:$AI,5,FALSE)</f>
        <v>Yes</v>
      </c>
      <c r="O146">
        <f>VLOOKUP($I146,'[1]Table S6'!$A:$AI,7,FALSE)</f>
        <v>315.5</v>
      </c>
      <c r="P146">
        <f>VLOOKUP($I146,'[1]Table S6'!$A:$AI,8,FALSE)</f>
        <v>0.67141945094701005</v>
      </c>
      <c r="Q146">
        <f>VLOOKUP($I146,'[1]Table S6'!$A:$AI,9,FALSE)</f>
        <v>1.532</v>
      </c>
      <c r="R146" t="str">
        <f>VLOOKUP($I146,'[1]Table S6'!$A:$AI,10,FALSE)</f>
        <v>Yes</v>
      </c>
      <c r="T146">
        <f>VLOOKUP($I146,'[1]Table S6'!$A:$AI,12,FALSE)</f>
        <v>336.4</v>
      </c>
      <c r="U146">
        <f>VLOOKUP($I146,'[1]Table S6'!$A:$AI,13,FALSE)</f>
        <v>0.71589699936156603</v>
      </c>
      <c r="V146">
        <f>VLOOKUP($I146,'[1]Table S6'!$A:$AI,14,FALSE)</f>
        <v>2.6379999999999999</v>
      </c>
      <c r="W146" t="str">
        <f>VLOOKUP($I146,'[1]Table S6'!$A:$AI,15,FALSE)</f>
        <v>No</v>
      </c>
      <c r="Y146">
        <f>VLOOKUP($I146,'[1]Table S6'!$A:$AI,17,FALSE)</f>
        <v>285</v>
      </c>
      <c r="Z146">
        <f>VLOOKUP($I146,'[1]Table S6'!$A:$AI,18,FALSE)</f>
        <v>0.60651202383485803</v>
      </c>
      <c r="AA146">
        <f>VLOOKUP($I146,'[1]Table S6'!$A:$AI,19,FALSE)</f>
        <v>1.1140000000000001</v>
      </c>
      <c r="AB146" t="str">
        <f>VLOOKUP($I146,'[1]Table S6'!$A:$AI,20,FALSE)</f>
        <v>Yes</v>
      </c>
      <c r="AD146">
        <f>VLOOKUP($I146,'[1]Table S6'!$A:$AI,22,FALSE)</f>
        <v>339</v>
      </c>
      <c r="AE146">
        <f>VLOOKUP($I146,'[1]Table S6'!$A:$AI,23,FALSE)</f>
        <v>0.72143009150883197</v>
      </c>
      <c r="AF146">
        <f>VLOOKUP($I146,'[1]Table S6'!$A:$AI,24,FALSE)</f>
        <v>4.7859999999999996</v>
      </c>
      <c r="AG146" t="str">
        <f>VLOOKUP($I146,'[1]Table S6'!$A:$AI,25,FALSE)</f>
        <v>No</v>
      </c>
      <c r="AI146">
        <f>VLOOKUP($I146,'[1]Table S6'!$A:$AI,27,FALSE)</f>
        <v>396.8</v>
      </c>
      <c r="AJ146">
        <f>VLOOKUP($I146,'[1]Table S6'!$A:$AI,28,FALSE)</f>
        <v>0.84443498616726997</v>
      </c>
      <c r="AK146">
        <f>VLOOKUP($I146,'[1]Table S6'!$A:$AI,29,FALSE)</f>
        <v>112.6</v>
      </c>
      <c r="AL146" t="str">
        <f>VLOOKUP($I146,'[1]Table S6'!$A:$AI,30,FALSE)</f>
        <v>No</v>
      </c>
      <c r="AN146">
        <f>VLOOKUP($I146,'[1]Table S6'!$A:$AI,32,FALSE)</f>
        <v>387.1</v>
      </c>
      <c r="AO146">
        <f>VLOOKUP($I146,'[1]Table S6'!$A:$AI,33,FALSE)</f>
        <v>0.82379229623324102</v>
      </c>
      <c r="AP146">
        <f>VLOOKUP($I146,'[1]Table S6'!$A:$AI,34,FALSE)</f>
        <v>59.07</v>
      </c>
      <c r="AQ146" t="str">
        <f>VLOOKUP($I146,'[1]Table S6'!$A:$AI,35,FALSE)</f>
        <v>No</v>
      </c>
      <c r="AS146" t="str">
        <f>VLOOKUP($H146,'[2]Table S5'!$A:$K,8,FALSE)</f>
        <v>Resistant</v>
      </c>
      <c r="AT146" t="str">
        <f>VLOOKUP($H146,'[2]Table S5'!$A:$K,9,FALSE)</f>
        <v>Sensitive</v>
      </c>
      <c r="AU146" t="str">
        <f>VLOOKUP($H146,'[2]Table S5'!$A:$K,10,FALSE)</f>
        <v>Resistant</v>
      </c>
      <c r="AV146" t="str">
        <f>VLOOKUP($H146,'[2]Table S5'!$A:$K,11,FALSE)</f>
        <v>Resistant</v>
      </c>
    </row>
    <row r="147" spans="1:48">
      <c r="A147" t="s">
        <v>1109</v>
      </c>
      <c r="B147" t="s">
        <v>1110</v>
      </c>
      <c r="C147" t="s">
        <v>17</v>
      </c>
      <c r="D147" t="s">
        <v>1112</v>
      </c>
      <c r="E147" t="s">
        <v>1113</v>
      </c>
      <c r="F147" t="s">
        <v>1114</v>
      </c>
      <c r="G147" t="s">
        <v>4751</v>
      </c>
      <c r="H147" t="s">
        <v>1053</v>
      </c>
      <c r="I147" t="s">
        <v>1078</v>
      </c>
      <c r="J147">
        <f>VLOOKUP($I147,'[1]Table S6'!$A:$AI,2,FALSE)</f>
        <v>358.1</v>
      </c>
      <c r="K147">
        <f>VLOOKUP($I147,'[1]Table S6'!$A:$AI,3,FALSE)</f>
        <v>0.76207703766758905</v>
      </c>
      <c r="L147">
        <f>VLOOKUP($I147,'[1]Table S6'!$A:$AI,4,FALSE)</f>
        <v>8.2159999999999993</v>
      </c>
      <c r="M147" t="str">
        <f>VLOOKUP($I147,'[1]Table S6'!$A:$AI,5,FALSE)</f>
        <v>No</v>
      </c>
      <c r="O147">
        <f>VLOOKUP($I147,'[1]Table S6'!$A:$AI,7,FALSE)</f>
        <v>317.60000000000002</v>
      </c>
      <c r="P147">
        <f>VLOOKUP($I147,'[1]Table S6'!$A:$AI,8,FALSE)</f>
        <v>0.67588848691210901</v>
      </c>
      <c r="Q147">
        <f>VLOOKUP($I147,'[1]Table S6'!$A:$AI,9,FALSE)</f>
        <v>1.8640000000000001</v>
      </c>
      <c r="R147" t="str">
        <f>VLOOKUP($I147,'[1]Table S6'!$A:$AI,10,FALSE)</f>
        <v>Yes</v>
      </c>
      <c r="T147">
        <f>VLOOKUP($I147,'[1]Table S6'!$A:$AI,12,FALSE)</f>
        <v>335.6</v>
      </c>
      <c r="U147">
        <f>VLOOKUP($I147,'[1]Table S6'!$A:$AI,13,FALSE)</f>
        <v>0.71419450947009999</v>
      </c>
      <c r="V147">
        <f>VLOOKUP($I147,'[1]Table S6'!$A:$AI,14,FALSE)</f>
        <v>4.1449999999999996</v>
      </c>
      <c r="W147" t="str">
        <f>VLOOKUP($I147,'[1]Table S6'!$A:$AI,15,FALSE)</f>
        <v>No</v>
      </c>
      <c r="Y147">
        <f>VLOOKUP($I147,'[1]Table S6'!$A:$AI,17,FALSE)</f>
        <v>313.3</v>
      </c>
      <c r="Z147">
        <f>VLOOKUP($I147,'[1]Table S6'!$A:$AI,18,FALSE)</f>
        <v>0.66673760374547797</v>
      </c>
      <c r="AA147">
        <f>VLOOKUP($I147,'[1]Table S6'!$A:$AI,19,FALSE)</f>
        <v>1.855</v>
      </c>
      <c r="AB147" t="str">
        <f>VLOOKUP($I147,'[1]Table S6'!$A:$AI,20,FALSE)</f>
        <v>Yes</v>
      </c>
      <c r="AD147">
        <f>VLOOKUP($I147,'[1]Table S6'!$A:$AI,22,FALSE)</f>
        <v>331.2</v>
      </c>
      <c r="AE147">
        <f>VLOOKUP($I147,'[1]Table S6'!$A:$AI,23,FALSE)</f>
        <v>0.70483081506703604</v>
      </c>
      <c r="AF147">
        <f>VLOOKUP($I147,'[1]Table S6'!$A:$AI,24,FALSE)</f>
        <v>2.6789999999999998</v>
      </c>
      <c r="AG147" t="str">
        <f>VLOOKUP($I147,'[1]Table S6'!$A:$AI,25,FALSE)</f>
        <v>No</v>
      </c>
      <c r="AI147">
        <f>VLOOKUP($I147,'[1]Table S6'!$A:$AI,27,FALSE)</f>
        <v>436.1</v>
      </c>
      <c r="AJ147">
        <f>VLOOKUP($I147,'[1]Table S6'!$A:$AI,28,FALSE)</f>
        <v>0.92806980208555001</v>
      </c>
      <c r="AK147">
        <f>VLOOKUP($I147,'[1]Table S6'!$A:$AI,29,FALSE)</f>
        <v>273.89999999999998</v>
      </c>
      <c r="AL147" t="str">
        <f>VLOOKUP($I147,'[1]Table S6'!$A:$AI,30,FALSE)</f>
        <v>No</v>
      </c>
      <c r="AN147">
        <f>VLOOKUP($I147,'[1]Table S6'!$A:$AI,32,FALSE)</f>
        <v>422.7</v>
      </c>
      <c r="AO147">
        <f>VLOOKUP($I147,'[1]Table S6'!$A:$AI,33,FALSE)</f>
        <v>0.89955309640349002</v>
      </c>
      <c r="AP147">
        <f>VLOOKUP($I147,'[1]Table S6'!$A:$AI,34,FALSE)</f>
        <v>164.7</v>
      </c>
      <c r="AQ147" t="str">
        <f>VLOOKUP($I147,'[1]Table S6'!$A:$AI,35,FALSE)</f>
        <v>No</v>
      </c>
      <c r="AS147" t="str">
        <f>VLOOKUP($H147,'[2]Table S5'!$A:$K,8,FALSE)</f>
        <v>Resistant</v>
      </c>
      <c r="AT147" t="str">
        <f>VLOOKUP($H147,'[2]Table S5'!$A:$K,9,FALSE)</f>
        <v>Sensitive</v>
      </c>
      <c r="AU147" t="str">
        <f>VLOOKUP($H147,'[2]Table S5'!$A:$K,10,FALSE)</f>
        <v>Resistant</v>
      </c>
      <c r="AV147" t="str">
        <f>VLOOKUP($H147,'[2]Table S5'!$A:$K,11,FALSE)</f>
        <v>Resistant</v>
      </c>
    </row>
    <row r="148" spans="1:48">
      <c r="A148" t="s">
        <v>1116</v>
      </c>
      <c r="B148" t="s">
        <v>1117</v>
      </c>
      <c r="C148" t="s">
        <v>17</v>
      </c>
      <c r="D148" t="s">
        <v>1119</v>
      </c>
      <c r="E148" t="s">
        <v>1120</v>
      </c>
      <c r="F148" t="s">
        <v>1121</v>
      </c>
      <c r="G148" t="s">
        <v>4751</v>
      </c>
      <c r="H148" t="s">
        <v>1053</v>
      </c>
      <c r="I148" t="s">
        <v>1086</v>
      </c>
      <c r="J148">
        <f>VLOOKUP($I148,'[1]Table S6'!$A:$AI,2,FALSE)</f>
        <v>329.2</v>
      </c>
      <c r="K148">
        <f>VLOOKUP($I148,'[1]Table S6'!$A:$AI,3,FALSE)</f>
        <v>0.70057459033837</v>
      </c>
      <c r="L148">
        <f>VLOOKUP($I148,'[1]Table S6'!$A:$AI,4,FALSE)</f>
        <v>4.1929999999999996</v>
      </c>
      <c r="M148" t="str">
        <f>VLOOKUP($I148,'[1]Table S6'!$A:$AI,5,FALSE)</f>
        <v>Yes</v>
      </c>
      <c r="O148">
        <f>VLOOKUP($I148,'[1]Table S6'!$A:$AI,7,FALSE)</f>
        <v>324.7</v>
      </c>
      <c r="P148">
        <f>VLOOKUP($I148,'[1]Table S6'!$A:$AI,8,FALSE)</f>
        <v>0.69099808469887203</v>
      </c>
      <c r="Q148">
        <f>VLOOKUP($I148,'[1]Table S6'!$A:$AI,9,FALSE)</f>
        <v>2.206</v>
      </c>
      <c r="R148" t="str">
        <f>VLOOKUP($I148,'[1]Table S6'!$A:$AI,10,FALSE)</f>
        <v>Yes</v>
      </c>
      <c r="T148">
        <f>VLOOKUP($I148,'[1]Table S6'!$A:$AI,12,FALSE)</f>
        <v>368.7</v>
      </c>
      <c r="U148">
        <f>VLOOKUP($I148,'[1]Table S6'!$A:$AI,13,FALSE)</f>
        <v>0.78463502872951696</v>
      </c>
      <c r="V148">
        <f>VLOOKUP($I148,'[1]Table S6'!$A:$AI,14,FALSE)</f>
        <v>9.5579999999999998</v>
      </c>
      <c r="W148" t="str">
        <f>VLOOKUP($I148,'[1]Table S6'!$A:$AI,15,FALSE)</f>
        <v>No</v>
      </c>
      <c r="Y148">
        <f>VLOOKUP($I148,'[1]Table S6'!$A:$AI,17,FALSE)</f>
        <v>383.1</v>
      </c>
      <c r="Z148">
        <f>VLOOKUP($I148,'[1]Table S6'!$A:$AI,18,FALSE)</f>
        <v>0.81527984677591003</v>
      </c>
      <c r="AA148">
        <f>VLOOKUP($I148,'[1]Table S6'!$A:$AI,19,FALSE)</f>
        <v>14.55</v>
      </c>
      <c r="AB148" t="str">
        <f>VLOOKUP($I148,'[1]Table S6'!$A:$AI,20,FALSE)</f>
        <v>No</v>
      </c>
      <c r="AD148">
        <f>VLOOKUP($I148,'[1]Table S6'!$A:$AI,22,FALSE)</f>
        <v>337.4</v>
      </c>
      <c r="AE148">
        <f>VLOOKUP($I148,'[1]Table S6'!$A:$AI,23,FALSE)</f>
        <v>0.718025111725899</v>
      </c>
      <c r="AF148">
        <f>VLOOKUP($I148,'[1]Table S6'!$A:$AI,24,FALSE)</f>
        <v>4.8949999999999996</v>
      </c>
      <c r="AG148" t="str">
        <f>VLOOKUP($I148,'[1]Table S6'!$A:$AI,25,FALSE)</f>
        <v>No</v>
      </c>
      <c r="AI148">
        <f>VLOOKUP($I148,'[1]Table S6'!$A:$AI,27,FALSE)</f>
        <v>412.8</v>
      </c>
      <c r="AJ148">
        <f>VLOOKUP($I148,'[1]Table S6'!$A:$AI,28,FALSE)</f>
        <v>0.87848478399659502</v>
      </c>
      <c r="AK148">
        <f>VLOOKUP($I148,'[1]Table S6'!$A:$AI,29,FALSE)</f>
        <v>121</v>
      </c>
      <c r="AL148" t="str">
        <f>VLOOKUP($I148,'[1]Table S6'!$A:$AI,30,FALSE)</f>
        <v>No</v>
      </c>
      <c r="AN148">
        <f>VLOOKUP($I148,'[1]Table S6'!$A:$AI,32,FALSE)</f>
        <v>397.2</v>
      </c>
      <c r="AO148">
        <f>VLOOKUP($I148,'[1]Table S6'!$A:$AI,33,FALSE)</f>
        <v>0.84528623111300305</v>
      </c>
      <c r="AP148">
        <f>VLOOKUP($I148,'[1]Table S6'!$A:$AI,34,FALSE)</f>
        <v>128.1</v>
      </c>
      <c r="AQ148" t="str">
        <f>VLOOKUP($I148,'[1]Table S6'!$A:$AI,35,FALSE)</f>
        <v>No</v>
      </c>
      <c r="AS148" t="str">
        <f>VLOOKUP($H148,'[2]Table S5'!$A:$K,8,FALSE)</f>
        <v>Resistant</v>
      </c>
      <c r="AT148" t="str">
        <f>VLOOKUP($H148,'[2]Table S5'!$A:$K,9,FALSE)</f>
        <v>Sensitive</v>
      </c>
      <c r="AU148" t="str">
        <f>VLOOKUP($H148,'[2]Table S5'!$A:$K,10,FALSE)</f>
        <v>Resistant</v>
      </c>
      <c r="AV148" t="str">
        <f>VLOOKUP($H148,'[2]Table S5'!$A:$K,11,FALSE)</f>
        <v>Resistant</v>
      </c>
    </row>
    <row r="149" spans="1:48">
      <c r="A149" t="s">
        <v>1123</v>
      </c>
      <c r="B149" t="s">
        <v>1124</v>
      </c>
      <c r="C149" t="s">
        <v>17</v>
      </c>
      <c r="D149" t="s">
        <v>1126</v>
      </c>
      <c r="E149" t="s">
        <v>1127</v>
      </c>
      <c r="F149" t="s">
        <v>1128</v>
      </c>
      <c r="G149" t="s">
        <v>4757</v>
      </c>
      <c r="H149" t="s">
        <v>1053</v>
      </c>
      <c r="I149" t="s">
        <v>1053</v>
      </c>
      <c r="J149" t="e">
        <f>VLOOKUP($I149,'[1]Table S6'!$A:$AI,2,FALSE)</f>
        <v>#N/A</v>
      </c>
      <c r="K149" t="e">
        <f>VLOOKUP($I149,'[1]Table S6'!$A:$AI,3,FALSE)</f>
        <v>#N/A</v>
      </c>
      <c r="L149" t="e">
        <f>VLOOKUP($I149,'[1]Table S6'!$A:$AI,4,FALSE)</f>
        <v>#N/A</v>
      </c>
      <c r="M149" t="e">
        <f>VLOOKUP($I149,'[1]Table S6'!$A:$AI,5,FALSE)</f>
        <v>#N/A</v>
      </c>
      <c r="O149" t="e">
        <f>VLOOKUP($I149,'[1]Table S6'!$A:$AI,7,FALSE)</f>
        <v>#N/A</v>
      </c>
      <c r="P149" t="e">
        <f>VLOOKUP($I149,'[1]Table S6'!$A:$AI,8,FALSE)</f>
        <v>#N/A</v>
      </c>
      <c r="Q149" t="e">
        <f>VLOOKUP($I149,'[1]Table S6'!$A:$AI,9,FALSE)</f>
        <v>#N/A</v>
      </c>
      <c r="R149" t="e">
        <f>VLOOKUP($I149,'[1]Table S6'!$A:$AI,10,FALSE)</f>
        <v>#N/A</v>
      </c>
      <c r="T149" t="e">
        <f>VLOOKUP($I149,'[1]Table S6'!$A:$AI,12,FALSE)</f>
        <v>#N/A</v>
      </c>
      <c r="U149" t="e">
        <f>VLOOKUP($I149,'[1]Table S6'!$A:$AI,13,FALSE)</f>
        <v>#N/A</v>
      </c>
      <c r="V149" t="e">
        <f>VLOOKUP($I149,'[1]Table S6'!$A:$AI,14,FALSE)</f>
        <v>#N/A</v>
      </c>
      <c r="W149" t="e">
        <f>VLOOKUP($I149,'[1]Table S6'!$A:$AI,15,FALSE)</f>
        <v>#N/A</v>
      </c>
      <c r="Y149" t="e">
        <f>VLOOKUP($I149,'[1]Table S6'!$A:$AI,17,FALSE)</f>
        <v>#N/A</v>
      </c>
      <c r="Z149" t="e">
        <f>VLOOKUP($I149,'[1]Table S6'!$A:$AI,18,FALSE)</f>
        <v>#N/A</v>
      </c>
      <c r="AA149" t="e">
        <f>VLOOKUP($I149,'[1]Table S6'!$A:$AI,19,FALSE)</f>
        <v>#N/A</v>
      </c>
      <c r="AB149" t="e">
        <f>VLOOKUP($I149,'[1]Table S6'!$A:$AI,20,FALSE)</f>
        <v>#N/A</v>
      </c>
      <c r="AD149" t="e">
        <f>VLOOKUP($I149,'[1]Table S6'!$A:$AI,22,FALSE)</f>
        <v>#N/A</v>
      </c>
      <c r="AE149" t="e">
        <f>VLOOKUP($I149,'[1]Table S6'!$A:$AI,23,FALSE)</f>
        <v>#N/A</v>
      </c>
      <c r="AF149" t="e">
        <f>VLOOKUP($I149,'[1]Table S6'!$A:$AI,24,FALSE)</f>
        <v>#N/A</v>
      </c>
      <c r="AG149" t="e">
        <f>VLOOKUP($I149,'[1]Table S6'!$A:$AI,25,FALSE)</f>
        <v>#N/A</v>
      </c>
      <c r="AI149" t="e">
        <f>VLOOKUP($I149,'[1]Table S6'!$A:$AI,27,FALSE)</f>
        <v>#N/A</v>
      </c>
      <c r="AJ149" t="e">
        <f>VLOOKUP($I149,'[1]Table S6'!$A:$AI,28,FALSE)</f>
        <v>#N/A</v>
      </c>
      <c r="AK149" t="e">
        <f>VLOOKUP($I149,'[1]Table S6'!$A:$AI,29,FALSE)</f>
        <v>#N/A</v>
      </c>
      <c r="AL149" t="e">
        <f>VLOOKUP($I149,'[1]Table S6'!$A:$AI,30,FALSE)</f>
        <v>#N/A</v>
      </c>
      <c r="AN149" t="e">
        <f>VLOOKUP($I149,'[1]Table S6'!$A:$AI,32,FALSE)</f>
        <v>#N/A</v>
      </c>
      <c r="AO149" t="e">
        <f>VLOOKUP($I149,'[1]Table S6'!$A:$AI,33,FALSE)</f>
        <v>#N/A</v>
      </c>
      <c r="AP149" t="e">
        <f>VLOOKUP($I149,'[1]Table S6'!$A:$AI,34,FALSE)</f>
        <v>#N/A</v>
      </c>
      <c r="AQ149" t="e">
        <f>VLOOKUP($I149,'[1]Table S6'!$A:$AI,35,FALSE)</f>
        <v>#N/A</v>
      </c>
      <c r="AS149" t="str">
        <f>VLOOKUP($H149,'[2]Table S5'!$A:$K,8,FALSE)</f>
        <v>Resistant</v>
      </c>
      <c r="AT149" t="str">
        <f>VLOOKUP($H149,'[2]Table S5'!$A:$K,9,FALSE)</f>
        <v>Sensitive</v>
      </c>
      <c r="AU149" t="str">
        <f>VLOOKUP($H149,'[2]Table S5'!$A:$K,10,FALSE)</f>
        <v>Resistant</v>
      </c>
      <c r="AV149" t="str">
        <f>VLOOKUP($H149,'[2]Table S5'!$A:$K,11,FALSE)</f>
        <v>Resistant</v>
      </c>
    </row>
    <row r="150" spans="1:48">
      <c r="A150" t="s">
        <v>1130</v>
      </c>
      <c r="B150" t="s">
        <v>1131</v>
      </c>
      <c r="C150" t="s">
        <v>17</v>
      </c>
      <c r="D150" t="s">
        <v>1133</v>
      </c>
      <c r="E150" t="s">
        <v>1134</v>
      </c>
      <c r="F150" t="s">
        <v>1135</v>
      </c>
      <c r="G150" t="s">
        <v>4750</v>
      </c>
      <c r="H150" t="s">
        <v>1136</v>
      </c>
      <c r="I150" t="s">
        <v>1137</v>
      </c>
      <c r="J150">
        <f>VLOOKUP($I150,'[1]Table S6'!$A:$AI,2,FALSE)</f>
        <v>295.39999999999998</v>
      </c>
      <c r="K150">
        <f>VLOOKUP($I150,'[1]Table S6'!$A:$AI,3,FALSE)</f>
        <v>0.62864439242392001</v>
      </c>
      <c r="L150">
        <f>VLOOKUP($I150,'[1]Table S6'!$A:$AI,4,FALSE)</f>
        <v>0.94779999999999998</v>
      </c>
      <c r="M150" t="str">
        <f>VLOOKUP($I150,'[1]Table S6'!$A:$AI,5,FALSE)</f>
        <v>Yes</v>
      </c>
      <c r="O150">
        <f>VLOOKUP($I150,'[1]Table S6'!$A:$AI,7,FALSE)</f>
        <v>309.60000000000002</v>
      </c>
      <c r="P150">
        <f>VLOOKUP($I150,'[1]Table S6'!$A:$AI,8,FALSE)</f>
        <v>0.65886358799744604</v>
      </c>
      <c r="Q150">
        <f>VLOOKUP($I150,'[1]Table S6'!$A:$AI,9,FALSE)</f>
        <v>1.409</v>
      </c>
      <c r="R150" t="str">
        <f>VLOOKUP($I150,'[1]Table S6'!$A:$AI,10,FALSE)</f>
        <v>Yes</v>
      </c>
      <c r="T150">
        <f>VLOOKUP($I150,'[1]Table S6'!$A:$AI,12,FALSE)</f>
        <v>317.89999999999998</v>
      </c>
      <c r="U150">
        <f>VLOOKUP($I150,'[1]Table S6'!$A:$AI,13,FALSE)</f>
        <v>0.67652692062140896</v>
      </c>
      <c r="V150">
        <f>VLOOKUP($I150,'[1]Table S6'!$A:$AI,14,FALSE)</f>
        <v>2.0950000000000002</v>
      </c>
      <c r="W150" t="str">
        <f>VLOOKUP($I150,'[1]Table S6'!$A:$AI,15,FALSE)</f>
        <v>Yes</v>
      </c>
      <c r="Y150">
        <f>VLOOKUP($I150,'[1]Table S6'!$A:$AI,17,FALSE)</f>
        <v>307.5</v>
      </c>
      <c r="Z150">
        <f>VLOOKUP($I150,'[1]Table S6'!$A:$AI,18,FALSE)</f>
        <v>0.65439455203234698</v>
      </c>
      <c r="AA150">
        <f>VLOOKUP($I150,'[1]Table S6'!$A:$AI,19,FALSE)</f>
        <v>1.954</v>
      </c>
      <c r="AB150" t="str">
        <f>VLOOKUP($I150,'[1]Table S6'!$A:$AI,20,FALSE)</f>
        <v>Yes</v>
      </c>
      <c r="AD150">
        <f>VLOOKUP($I150,'[1]Table S6'!$A:$AI,22,FALSE)</f>
        <v>342.1</v>
      </c>
      <c r="AE150">
        <f>VLOOKUP($I150,'[1]Table S6'!$A:$AI,23,FALSE)</f>
        <v>0.72802723983826401</v>
      </c>
      <c r="AF150">
        <f>VLOOKUP($I150,'[1]Table S6'!$A:$AI,24,FALSE)</f>
        <v>3.024</v>
      </c>
      <c r="AG150" t="str">
        <f>VLOOKUP($I150,'[1]Table S6'!$A:$AI,25,FALSE)</f>
        <v>No</v>
      </c>
      <c r="AI150">
        <f>VLOOKUP($I150,'[1]Table S6'!$A:$AI,27,FALSE)</f>
        <v>421</v>
      </c>
      <c r="AJ150">
        <f>VLOOKUP($I150,'[1]Table S6'!$A:$AI,28,FALSE)</f>
        <v>0.89593530538412403</v>
      </c>
      <c r="AK150">
        <f>VLOOKUP($I150,'[1]Table S6'!$A:$AI,29,FALSE)</f>
        <v>154.1</v>
      </c>
      <c r="AL150" t="str">
        <f>VLOOKUP($I150,'[1]Table S6'!$A:$AI,30,FALSE)</f>
        <v>No</v>
      </c>
      <c r="AN150">
        <f>VLOOKUP($I150,'[1]Table S6'!$A:$AI,32,FALSE)</f>
        <v>448.4</v>
      </c>
      <c r="AO150">
        <f>VLOOKUP($I150,'[1]Table S6'!$A:$AI,33,FALSE)</f>
        <v>0.95424558416684402</v>
      </c>
      <c r="AP150">
        <f>VLOOKUP($I150,'[1]Table S6'!$A:$AI,34,FALSE)</f>
        <v>207.1</v>
      </c>
      <c r="AQ150" t="str">
        <f>VLOOKUP($I150,'[1]Table S6'!$A:$AI,35,FALSE)</f>
        <v>No</v>
      </c>
      <c r="AS150" t="str">
        <f>VLOOKUP($H150,'[2]Table S5'!$A:$K,8,FALSE)</f>
        <v>Sensitive</v>
      </c>
      <c r="AT150" t="str">
        <f>VLOOKUP($H150,'[2]Table S5'!$A:$K,9,FALSE)</f>
        <v>Sensitive</v>
      </c>
      <c r="AU150" t="str">
        <f>VLOOKUP($H150,'[2]Table S5'!$A:$K,10,FALSE)</f>
        <v>Sensitive</v>
      </c>
      <c r="AV150" t="str">
        <f>VLOOKUP($H150,'[2]Table S5'!$A:$K,11,FALSE)</f>
        <v>Resistant</v>
      </c>
    </row>
    <row r="151" spans="1:48">
      <c r="A151" t="s">
        <v>1139</v>
      </c>
      <c r="B151" t="s">
        <v>1140</v>
      </c>
      <c r="C151" t="s">
        <v>17</v>
      </c>
      <c r="D151" t="s">
        <v>1142</v>
      </c>
      <c r="E151" t="s">
        <v>1143</v>
      </c>
      <c r="F151" t="s">
        <v>1144</v>
      </c>
      <c r="G151" t="s">
        <v>4750</v>
      </c>
      <c r="H151" t="s">
        <v>1136</v>
      </c>
      <c r="I151" t="s">
        <v>1145</v>
      </c>
      <c r="J151">
        <f>VLOOKUP($I151,'[1]Table S6'!$A:$AI,2,FALSE)</f>
        <v>275.2</v>
      </c>
      <c r="K151">
        <f>VLOOKUP($I151,'[1]Table S6'!$A:$AI,3,FALSE)</f>
        <v>0.58565652266439705</v>
      </c>
      <c r="L151">
        <f>VLOOKUP($I151,'[1]Table S6'!$A:$AI,4,FALSE)</f>
        <v>0.57289999999999996</v>
      </c>
      <c r="M151" t="str">
        <f>VLOOKUP($I151,'[1]Table S6'!$A:$AI,5,FALSE)</f>
        <v>Yes</v>
      </c>
      <c r="O151">
        <f>VLOOKUP($I151,'[1]Table S6'!$A:$AI,7,FALSE)</f>
        <v>298.3</v>
      </c>
      <c r="P151">
        <f>VLOOKUP($I151,'[1]Table S6'!$A:$AI,8,FALSE)</f>
        <v>0.634815918280485</v>
      </c>
      <c r="Q151">
        <f>VLOOKUP($I151,'[1]Table S6'!$A:$AI,9,FALSE)</f>
        <v>1.0309999999999999</v>
      </c>
      <c r="R151" t="str">
        <f>VLOOKUP($I151,'[1]Table S6'!$A:$AI,10,FALSE)</f>
        <v>Yes</v>
      </c>
      <c r="T151">
        <f>VLOOKUP($I151,'[1]Table S6'!$A:$AI,12,FALSE)</f>
        <v>322.7</v>
      </c>
      <c r="U151">
        <f>VLOOKUP($I151,'[1]Table S6'!$A:$AI,13,FALSE)</f>
        <v>0.68674185997020598</v>
      </c>
      <c r="V151">
        <f>VLOOKUP($I151,'[1]Table S6'!$A:$AI,14,FALSE)</f>
        <v>2.1110000000000002</v>
      </c>
      <c r="W151" t="str">
        <f>VLOOKUP($I151,'[1]Table S6'!$A:$AI,15,FALSE)</f>
        <v>Yes</v>
      </c>
      <c r="Y151">
        <f>VLOOKUP($I151,'[1]Table S6'!$A:$AI,17,FALSE)</f>
        <v>297.10000000000002</v>
      </c>
      <c r="Z151">
        <f>VLOOKUP($I151,'[1]Table S6'!$A:$AI,18,FALSE)</f>
        <v>0.632262183443286</v>
      </c>
      <c r="AA151">
        <f>VLOOKUP($I151,'[1]Table S6'!$A:$AI,19,FALSE)</f>
        <v>1.2230000000000001</v>
      </c>
      <c r="AB151" t="str">
        <f>VLOOKUP($I151,'[1]Table S6'!$A:$AI,20,FALSE)</f>
        <v>Yes</v>
      </c>
      <c r="AD151">
        <f>VLOOKUP($I151,'[1]Table S6'!$A:$AI,22,FALSE)</f>
        <v>335</v>
      </c>
      <c r="AE151">
        <f>VLOOKUP($I151,'[1]Table S6'!$A:$AI,23,FALSE)</f>
        <v>0.71291764205149999</v>
      </c>
      <c r="AF151">
        <f>VLOOKUP($I151,'[1]Table S6'!$A:$AI,24,FALSE)</f>
        <v>3.4550000000000001</v>
      </c>
      <c r="AG151" t="str">
        <f>VLOOKUP($I151,'[1]Table S6'!$A:$AI,25,FALSE)</f>
        <v>No</v>
      </c>
      <c r="AI151">
        <f>VLOOKUP($I151,'[1]Table S6'!$A:$AI,27,FALSE)</f>
        <v>410.1</v>
      </c>
      <c r="AJ151">
        <f>VLOOKUP($I151,'[1]Table S6'!$A:$AI,28,FALSE)</f>
        <v>0.87273888061289695</v>
      </c>
      <c r="AK151">
        <f>VLOOKUP($I151,'[1]Table S6'!$A:$AI,29,FALSE)</f>
        <v>187.5</v>
      </c>
      <c r="AL151" t="str">
        <f>VLOOKUP($I151,'[1]Table S6'!$A:$AI,30,FALSE)</f>
        <v>No</v>
      </c>
      <c r="AN151">
        <f>VLOOKUP($I151,'[1]Table S6'!$A:$AI,32,FALSE)</f>
        <v>399.4</v>
      </c>
      <c r="AO151">
        <f>VLOOKUP($I151,'[1]Table S6'!$A:$AI,33,FALSE)</f>
        <v>0.84996807831453502</v>
      </c>
      <c r="AP151">
        <f>VLOOKUP($I151,'[1]Table S6'!$A:$AI,34,FALSE)</f>
        <v>171.8</v>
      </c>
      <c r="AQ151" t="str">
        <f>VLOOKUP($I151,'[1]Table S6'!$A:$AI,35,FALSE)</f>
        <v>No</v>
      </c>
      <c r="AS151" t="str">
        <f>VLOOKUP($H151,'[2]Table S5'!$A:$K,8,FALSE)</f>
        <v>Sensitive</v>
      </c>
      <c r="AT151" t="str">
        <f>VLOOKUP($H151,'[2]Table S5'!$A:$K,9,FALSE)</f>
        <v>Sensitive</v>
      </c>
      <c r="AU151" t="str">
        <f>VLOOKUP($H151,'[2]Table S5'!$A:$K,10,FALSE)</f>
        <v>Sensitive</v>
      </c>
      <c r="AV151" t="str">
        <f>VLOOKUP($H151,'[2]Table S5'!$A:$K,11,FALSE)</f>
        <v>Resistant</v>
      </c>
    </row>
    <row r="152" spans="1:48">
      <c r="A152" t="s">
        <v>1147</v>
      </c>
      <c r="B152" t="s">
        <v>1148</v>
      </c>
      <c r="C152" t="s">
        <v>17</v>
      </c>
      <c r="D152" t="s">
        <v>1150</v>
      </c>
      <c r="E152" t="s">
        <v>1151</v>
      </c>
      <c r="F152" t="s">
        <v>1152</v>
      </c>
      <c r="G152" t="s">
        <v>4750</v>
      </c>
      <c r="H152" t="s">
        <v>1136</v>
      </c>
      <c r="I152" t="s">
        <v>1153</v>
      </c>
      <c r="J152">
        <f>VLOOKUP($I152,'[1]Table S6'!$A:$AI,2,FALSE)</f>
        <v>297.39999999999998</v>
      </c>
      <c r="K152">
        <f>VLOOKUP($I152,'[1]Table S6'!$A:$AI,3,FALSE)</f>
        <v>0.63290061715258605</v>
      </c>
      <c r="L152">
        <f>VLOOKUP($I152,'[1]Table S6'!$A:$AI,4,FALSE)</f>
        <v>1.21</v>
      </c>
      <c r="M152" t="str">
        <f>VLOOKUP($I152,'[1]Table S6'!$A:$AI,5,FALSE)</f>
        <v>Yes</v>
      </c>
      <c r="O152">
        <f>VLOOKUP($I152,'[1]Table S6'!$A:$AI,7,FALSE)</f>
        <v>319.5</v>
      </c>
      <c r="P152">
        <f>VLOOKUP($I152,'[1]Table S6'!$A:$AI,8,FALSE)</f>
        <v>0.67993190040434104</v>
      </c>
      <c r="Q152">
        <f>VLOOKUP($I152,'[1]Table S6'!$A:$AI,9,FALSE)</f>
        <v>1.706</v>
      </c>
      <c r="R152" t="str">
        <f>VLOOKUP($I152,'[1]Table S6'!$A:$AI,10,FALSE)</f>
        <v>Yes</v>
      </c>
      <c r="T152">
        <f>VLOOKUP($I152,'[1]Table S6'!$A:$AI,12,FALSE)</f>
        <v>321.60000000000002</v>
      </c>
      <c r="U152">
        <f>VLOOKUP($I152,'[1]Table S6'!$A:$AI,13,FALSE)</f>
        <v>0.68440093636943999</v>
      </c>
      <c r="V152">
        <f>VLOOKUP($I152,'[1]Table S6'!$A:$AI,14,FALSE)</f>
        <v>1.9750000000000001</v>
      </c>
      <c r="W152" t="str">
        <f>VLOOKUP($I152,'[1]Table S6'!$A:$AI,15,FALSE)</f>
        <v>Yes</v>
      </c>
      <c r="Y152">
        <f>VLOOKUP($I152,'[1]Table S6'!$A:$AI,17,FALSE)</f>
        <v>319.5</v>
      </c>
      <c r="Z152">
        <f>VLOOKUP($I152,'[1]Table S6'!$A:$AI,18,FALSE)</f>
        <v>0.67993190040434104</v>
      </c>
      <c r="AA152">
        <f>VLOOKUP($I152,'[1]Table S6'!$A:$AI,19,FALSE)</f>
        <v>3.056</v>
      </c>
      <c r="AB152" t="str">
        <f>VLOOKUP($I152,'[1]Table S6'!$A:$AI,20,FALSE)</f>
        <v>Yes</v>
      </c>
      <c r="AD152">
        <f>VLOOKUP($I152,'[1]Table S6'!$A:$AI,22,FALSE)</f>
        <v>352.7</v>
      </c>
      <c r="AE152">
        <f>VLOOKUP($I152,'[1]Table S6'!$A:$AI,23,FALSE)</f>
        <v>0.75058523090019202</v>
      </c>
      <c r="AF152">
        <f>VLOOKUP($I152,'[1]Table S6'!$A:$AI,24,FALSE)</f>
        <v>6.8369999999999997</v>
      </c>
      <c r="AG152" t="str">
        <f>VLOOKUP($I152,'[1]Table S6'!$A:$AI,25,FALSE)</f>
        <v>No</v>
      </c>
      <c r="AI152">
        <f>VLOOKUP($I152,'[1]Table S6'!$A:$AI,27,FALSE)</f>
        <v>428.1</v>
      </c>
      <c r="AJ152">
        <f>VLOOKUP($I152,'[1]Table S6'!$A:$AI,28,FALSE)</f>
        <v>0.91104490317088704</v>
      </c>
      <c r="AK152">
        <f>VLOOKUP($I152,'[1]Table S6'!$A:$AI,29,FALSE)</f>
        <v>164.7</v>
      </c>
      <c r="AL152" t="str">
        <f>VLOOKUP($I152,'[1]Table S6'!$A:$AI,30,FALSE)</f>
        <v>No</v>
      </c>
      <c r="AN152">
        <f>VLOOKUP($I152,'[1]Table S6'!$A:$AI,32,FALSE)</f>
        <v>391.4</v>
      </c>
      <c r="AO152">
        <f>VLOOKUP($I152,'[1]Table S6'!$A:$AI,33,FALSE)</f>
        <v>0.83294317939987195</v>
      </c>
      <c r="AP152">
        <f>VLOOKUP($I152,'[1]Table S6'!$A:$AI,34,FALSE)</f>
        <v>117.1</v>
      </c>
      <c r="AQ152" t="str">
        <f>VLOOKUP($I152,'[1]Table S6'!$A:$AI,35,FALSE)</f>
        <v>No</v>
      </c>
      <c r="AS152" t="str">
        <f>VLOOKUP($H152,'[2]Table S5'!$A:$K,8,FALSE)</f>
        <v>Sensitive</v>
      </c>
      <c r="AT152" t="str">
        <f>VLOOKUP($H152,'[2]Table S5'!$A:$K,9,FALSE)</f>
        <v>Sensitive</v>
      </c>
      <c r="AU152" t="str">
        <f>VLOOKUP($H152,'[2]Table S5'!$A:$K,10,FALSE)</f>
        <v>Sensitive</v>
      </c>
      <c r="AV152" t="str">
        <f>VLOOKUP($H152,'[2]Table S5'!$A:$K,11,FALSE)</f>
        <v>Resistant</v>
      </c>
    </row>
    <row r="153" spans="1:48">
      <c r="A153" t="s">
        <v>1155</v>
      </c>
      <c r="B153" t="s">
        <v>1156</v>
      </c>
      <c r="C153" t="s">
        <v>17</v>
      </c>
      <c r="D153" t="s">
        <v>1158</v>
      </c>
      <c r="E153" t="s">
        <v>1159</v>
      </c>
      <c r="F153" t="s">
        <v>1160</v>
      </c>
      <c r="G153" t="s">
        <v>4751</v>
      </c>
      <c r="H153" t="s">
        <v>1136</v>
      </c>
      <c r="I153" t="s">
        <v>1137</v>
      </c>
      <c r="J153">
        <f>VLOOKUP($I153,'[1]Table S6'!$A:$AI,2,FALSE)</f>
        <v>295.39999999999998</v>
      </c>
      <c r="K153">
        <f>VLOOKUP($I153,'[1]Table S6'!$A:$AI,3,FALSE)</f>
        <v>0.62864439242392001</v>
      </c>
      <c r="L153">
        <f>VLOOKUP($I153,'[1]Table S6'!$A:$AI,4,FALSE)</f>
        <v>0.94779999999999998</v>
      </c>
      <c r="M153" t="str">
        <f>VLOOKUP($I153,'[1]Table S6'!$A:$AI,5,FALSE)</f>
        <v>Yes</v>
      </c>
      <c r="O153">
        <f>VLOOKUP($I153,'[1]Table S6'!$A:$AI,7,FALSE)</f>
        <v>309.60000000000002</v>
      </c>
      <c r="P153">
        <f>VLOOKUP($I153,'[1]Table S6'!$A:$AI,8,FALSE)</f>
        <v>0.65886358799744604</v>
      </c>
      <c r="Q153">
        <f>VLOOKUP($I153,'[1]Table S6'!$A:$AI,9,FALSE)</f>
        <v>1.409</v>
      </c>
      <c r="R153" t="str">
        <f>VLOOKUP($I153,'[1]Table S6'!$A:$AI,10,FALSE)</f>
        <v>Yes</v>
      </c>
      <c r="T153">
        <f>VLOOKUP($I153,'[1]Table S6'!$A:$AI,12,FALSE)</f>
        <v>317.89999999999998</v>
      </c>
      <c r="U153">
        <f>VLOOKUP($I153,'[1]Table S6'!$A:$AI,13,FALSE)</f>
        <v>0.67652692062140896</v>
      </c>
      <c r="V153">
        <f>VLOOKUP($I153,'[1]Table S6'!$A:$AI,14,FALSE)</f>
        <v>2.0950000000000002</v>
      </c>
      <c r="W153" t="str">
        <f>VLOOKUP($I153,'[1]Table S6'!$A:$AI,15,FALSE)</f>
        <v>Yes</v>
      </c>
      <c r="Y153">
        <f>VLOOKUP($I153,'[1]Table S6'!$A:$AI,17,FALSE)</f>
        <v>307.5</v>
      </c>
      <c r="Z153">
        <f>VLOOKUP($I153,'[1]Table S6'!$A:$AI,18,FALSE)</f>
        <v>0.65439455203234698</v>
      </c>
      <c r="AA153">
        <f>VLOOKUP($I153,'[1]Table S6'!$A:$AI,19,FALSE)</f>
        <v>1.954</v>
      </c>
      <c r="AB153" t="str">
        <f>VLOOKUP($I153,'[1]Table S6'!$A:$AI,20,FALSE)</f>
        <v>Yes</v>
      </c>
      <c r="AD153">
        <f>VLOOKUP($I153,'[1]Table S6'!$A:$AI,22,FALSE)</f>
        <v>342.1</v>
      </c>
      <c r="AE153">
        <f>VLOOKUP($I153,'[1]Table S6'!$A:$AI,23,FALSE)</f>
        <v>0.72802723983826401</v>
      </c>
      <c r="AF153">
        <f>VLOOKUP($I153,'[1]Table S6'!$A:$AI,24,FALSE)</f>
        <v>3.024</v>
      </c>
      <c r="AG153" t="str">
        <f>VLOOKUP($I153,'[1]Table S6'!$A:$AI,25,FALSE)</f>
        <v>No</v>
      </c>
      <c r="AI153">
        <f>VLOOKUP($I153,'[1]Table S6'!$A:$AI,27,FALSE)</f>
        <v>421</v>
      </c>
      <c r="AJ153">
        <f>VLOOKUP($I153,'[1]Table S6'!$A:$AI,28,FALSE)</f>
        <v>0.89593530538412403</v>
      </c>
      <c r="AK153">
        <f>VLOOKUP($I153,'[1]Table S6'!$A:$AI,29,FALSE)</f>
        <v>154.1</v>
      </c>
      <c r="AL153" t="str">
        <f>VLOOKUP($I153,'[1]Table S6'!$A:$AI,30,FALSE)</f>
        <v>No</v>
      </c>
      <c r="AN153">
        <f>VLOOKUP($I153,'[1]Table S6'!$A:$AI,32,FALSE)</f>
        <v>448.4</v>
      </c>
      <c r="AO153">
        <f>VLOOKUP($I153,'[1]Table S6'!$A:$AI,33,FALSE)</f>
        <v>0.95424558416684402</v>
      </c>
      <c r="AP153">
        <f>VLOOKUP($I153,'[1]Table S6'!$A:$AI,34,FALSE)</f>
        <v>207.1</v>
      </c>
      <c r="AQ153" t="str">
        <f>VLOOKUP($I153,'[1]Table S6'!$A:$AI,35,FALSE)</f>
        <v>No</v>
      </c>
      <c r="AS153" t="str">
        <f>VLOOKUP($H153,'[2]Table S5'!$A:$K,8,FALSE)</f>
        <v>Sensitive</v>
      </c>
      <c r="AT153" t="str">
        <f>VLOOKUP($H153,'[2]Table S5'!$A:$K,9,FALSE)</f>
        <v>Sensitive</v>
      </c>
      <c r="AU153" t="str">
        <f>VLOOKUP($H153,'[2]Table S5'!$A:$K,10,FALSE)</f>
        <v>Sensitive</v>
      </c>
      <c r="AV153" t="str">
        <f>VLOOKUP($H153,'[2]Table S5'!$A:$K,11,FALSE)</f>
        <v>Resistant</v>
      </c>
    </row>
    <row r="154" spans="1:48">
      <c r="A154" t="s">
        <v>1162</v>
      </c>
      <c r="B154" t="s">
        <v>1163</v>
      </c>
      <c r="C154" t="s">
        <v>17</v>
      </c>
      <c r="D154" t="s">
        <v>1165</v>
      </c>
      <c r="E154" t="s">
        <v>1166</v>
      </c>
      <c r="F154" t="s">
        <v>1167</v>
      </c>
      <c r="G154" t="s">
        <v>4751</v>
      </c>
      <c r="H154" t="s">
        <v>1136</v>
      </c>
      <c r="I154" t="s">
        <v>1145</v>
      </c>
      <c r="J154">
        <f>VLOOKUP($I154,'[1]Table S6'!$A:$AI,2,FALSE)</f>
        <v>275.2</v>
      </c>
      <c r="K154">
        <f>VLOOKUP($I154,'[1]Table S6'!$A:$AI,3,FALSE)</f>
        <v>0.58565652266439705</v>
      </c>
      <c r="L154">
        <f>VLOOKUP($I154,'[1]Table S6'!$A:$AI,4,FALSE)</f>
        <v>0.57289999999999996</v>
      </c>
      <c r="M154" t="str">
        <f>VLOOKUP($I154,'[1]Table S6'!$A:$AI,5,FALSE)</f>
        <v>Yes</v>
      </c>
      <c r="O154">
        <f>VLOOKUP($I154,'[1]Table S6'!$A:$AI,7,FALSE)</f>
        <v>298.3</v>
      </c>
      <c r="P154">
        <f>VLOOKUP($I154,'[1]Table S6'!$A:$AI,8,FALSE)</f>
        <v>0.634815918280485</v>
      </c>
      <c r="Q154">
        <f>VLOOKUP($I154,'[1]Table S6'!$A:$AI,9,FALSE)</f>
        <v>1.0309999999999999</v>
      </c>
      <c r="R154" t="str">
        <f>VLOOKUP($I154,'[1]Table S6'!$A:$AI,10,FALSE)</f>
        <v>Yes</v>
      </c>
      <c r="T154">
        <f>VLOOKUP($I154,'[1]Table S6'!$A:$AI,12,FALSE)</f>
        <v>322.7</v>
      </c>
      <c r="U154">
        <f>VLOOKUP($I154,'[1]Table S6'!$A:$AI,13,FALSE)</f>
        <v>0.68674185997020598</v>
      </c>
      <c r="V154">
        <f>VLOOKUP($I154,'[1]Table S6'!$A:$AI,14,FALSE)</f>
        <v>2.1110000000000002</v>
      </c>
      <c r="W154" t="str">
        <f>VLOOKUP($I154,'[1]Table S6'!$A:$AI,15,FALSE)</f>
        <v>Yes</v>
      </c>
      <c r="Y154">
        <f>VLOOKUP($I154,'[1]Table S6'!$A:$AI,17,FALSE)</f>
        <v>297.10000000000002</v>
      </c>
      <c r="Z154">
        <f>VLOOKUP($I154,'[1]Table S6'!$A:$AI,18,FALSE)</f>
        <v>0.632262183443286</v>
      </c>
      <c r="AA154">
        <f>VLOOKUP($I154,'[1]Table S6'!$A:$AI,19,FALSE)</f>
        <v>1.2230000000000001</v>
      </c>
      <c r="AB154" t="str">
        <f>VLOOKUP($I154,'[1]Table S6'!$A:$AI,20,FALSE)</f>
        <v>Yes</v>
      </c>
      <c r="AD154">
        <f>VLOOKUP($I154,'[1]Table S6'!$A:$AI,22,FALSE)</f>
        <v>335</v>
      </c>
      <c r="AE154">
        <f>VLOOKUP($I154,'[1]Table S6'!$A:$AI,23,FALSE)</f>
        <v>0.71291764205149999</v>
      </c>
      <c r="AF154">
        <f>VLOOKUP($I154,'[1]Table S6'!$A:$AI,24,FALSE)</f>
        <v>3.4550000000000001</v>
      </c>
      <c r="AG154" t="str">
        <f>VLOOKUP($I154,'[1]Table S6'!$A:$AI,25,FALSE)</f>
        <v>No</v>
      </c>
      <c r="AI154">
        <f>VLOOKUP($I154,'[1]Table S6'!$A:$AI,27,FALSE)</f>
        <v>410.1</v>
      </c>
      <c r="AJ154">
        <f>VLOOKUP($I154,'[1]Table S6'!$A:$AI,28,FALSE)</f>
        <v>0.87273888061289695</v>
      </c>
      <c r="AK154">
        <f>VLOOKUP($I154,'[1]Table S6'!$A:$AI,29,FALSE)</f>
        <v>187.5</v>
      </c>
      <c r="AL154" t="str">
        <f>VLOOKUP($I154,'[1]Table S6'!$A:$AI,30,FALSE)</f>
        <v>No</v>
      </c>
      <c r="AN154">
        <f>VLOOKUP($I154,'[1]Table S6'!$A:$AI,32,FALSE)</f>
        <v>399.4</v>
      </c>
      <c r="AO154">
        <f>VLOOKUP($I154,'[1]Table S6'!$A:$AI,33,FALSE)</f>
        <v>0.84996807831453502</v>
      </c>
      <c r="AP154">
        <f>VLOOKUP($I154,'[1]Table S6'!$A:$AI,34,FALSE)</f>
        <v>171.8</v>
      </c>
      <c r="AQ154" t="str">
        <f>VLOOKUP($I154,'[1]Table S6'!$A:$AI,35,FALSE)</f>
        <v>No</v>
      </c>
      <c r="AS154" t="str">
        <f>VLOOKUP($H154,'[2]Table S5'!$A:$K,8,FALSE)</f>
        <v>Sensitive</v>
      </c>
      <c r="AT154" t="str">
        <f>VLOOKUP($H154,'[2]Table S5'!$A:$K,9,FALSE)</f>
        <v>Sensitive</v>
      </c>
      <c r="AU154" t="str">
        <f>VLOOKUP($H154,'[2]Table S5'!$A:$K,10,FALSE)</f>
        <v>Sensitive</v>
      </c>
      <c r="AV154" t="str">
        <f>VLOOKUP($H154,'[2]Table S5'!$A:$K,11,FALSE)</f>
        <v>Resistant</v>
      </c>
    </row>
    <row r="155" spans="1:48">
      <c r="A155" t="s">
        <v>1169</v>
      </c>
      <c r="B155" t="s">
        <v>1170</v>
      </c>
      <c r="C155" t="s">
        <v>17</v>
      </c>
      <c r="D155" t="s">
        <v>1172</v>
      </c>
      <c r="E155" t="s">
        <v>1173</v>
      </c>
      <c r="F155" t="s">
        <v>1174</v>
      </c>
      <c r="G155" t="s">
        <v>4751</v>
      </c>
      <c r="H155" t="s">
        <v>1136</v>
      </c>
      <c r="I155" t="s">
        <v>1153</v>
      </c>
      <c r="J155">
        <f>VLOOKUP($I155,'[1]Table S6'!$A:$AI,2,FALSE)</f>
        <v>297.39999999999998</v>
      </c>
      <c r="K155">
        <f>VLOOKUP($I155,'[1]Table S6'!$A:$AI,3,FALSE)</f>
        <v>0.63290061715258605</v>
      </c>
      <c r="L155">
        <f>VLOOKUP($I155,'[1]Table S6'!$A:$AI,4,FALSE)</f>
        <v>1.21</v>
      </c>
      <c r="M155" t="str">
        <f>VLOOKUP($I155,'[1]Table S6'!$A:$AI,5,FALSE)</f>
        <v>Yes</v>
      </c>
      <c r="O155">
        <f>VLOOKUP($I155,'[1]Table S6'!$A:$AI,7,FALSE)</f>
        <v>319.5</v>
      </c>
      <c r="P155">
        <f>VLOOKUP($I155,'[1]Table S6'!$A:$AI,8,FALSE)</f>
        <v>0.67993190040434104</v>
      </c>
      <c r="Q155">
        <f>VLOOKUP($I155,'[1]Table S6'!$A:$AI,9,FALSE)</f>
        <v>1.706</v>
      </c>
      <c r="R155" t="str">
        <f>VLOOKUP($I155,'[1]Table S6'!$A:$AI,10,FALSE)</f>
        <v>Yes</v>
      </c>
      <c r="T155">
        <f>VLOOKUP($I155,'[1]Table S6'!$A:$AI,12,FALSE)</f>
        <v>321.60000000000002</v>
      </c>
      <c r="U155">
        <f>VLOOKUP($I155,'[1]Table S6'!$A:$AI,13,FALSE)</f>
        <v>0.68440093636943999</v>
      </c>
      <c r="V155">
        <f>VLOOKUP($I155,'[1]Table S6'!$A:$AI,14,FALSE)</f>
        <v>1.9750000000000001</v>
      </c>
      <c r="W155" t="str">
        <f>VLOOKUP($I155,'[1]Table S6'!$A:$AI,15,FALSE)</f>
        <v>Yes</v>
      </c>
      <c r="Y155">
        <f>VLOOKUP($I155,'[1]Table S6'!$A:$AI,17,FALSE)</f>
        <v>319.5</v>
      </c>
      <c r="Z155">
        <f>VLOOKUP($I155,'[1]Table S6'!$A:$AI,18,FALSE)</f>
        <v>0.67993190040434104</v>
      </c>
      <c r="AA155">
        <f>VLOOKUP($I155,'[1]Table S6'!$A:$AI,19,FALSE)</f>
        <v>3.056</v>
      </c>
      <c r="AB155" t="str">
        <f>VLOOKUP($I155,'[1]Table S6'!$A:$AI,20,FALSE)</f>
        <v>Yes</v>
      </c>
      <c r="AD155">
        <f>VLOOKUP($I155,'[1]Table S6'!$A:$AI,22,FALSE)</f>
        <v>352.7</v>
      </c>
      <c r="AE155">
        <f>VLOOKUP($I155,'[1]Table S6'!$A:$AI,23,FALSE)</f>
        <v>0.75058523090019202</v>
      </c>
      <c r="AF155">
        <f>VLOOKUP($I155,'[1]Table S6'!$A:$AI,24,FALSE)</f>
        <v>6.8369999999999997</v>
      </c>
      <c r="AG155" t="str">
        <f>VLOOKUP($I155,'[1]Table S6'!$A:$AI,25,FALSE)</f>
        <v>No</v>
      </c>
      <c r="AI155">
        <f>VLOOKUP($I155,'[1]Table S6'!$A:$AI,27,FALSE)</f>
        <v>428.1</v>
      </c>
      <c r="AJ155">
        <f>VLOOKUP($I155,'[1]Table S6'!$A:$AI,28,FALSE)</f>
        <v>0.91104490317088704</v>
      </c>
      <c r="AK155">
        <f>VLOOKUP($I155,'[1]Table S6'!$A:$AI,29,FALSE)</f>
        <v>164.7</v>
      </c>
      <c r="AL155" t="str">
        <f>VLOOKUP($I155,'[1]Table S6'!$A:$AI,30,FALSE)</f>
        <v>No</v>
      </c>
      <c r="AN155">
        <f>VLOOKUP($I155,'[1]Table S6'!$A:$AI,32,FALSE)</f>
        <v>391.4</v>
      </c>
      <c r="AO155">
        <f>VLOOKUP($I155,'[1]Table S6'!$A:$AI,33,FALSE)</f>
        <v>0.83294317939987195</v>
      </c>
      <c r="AP155">
        <f>VLOOKUP($I155,'[1]Table S6'!$A:$AI,34,FALSE)</f>
        <v>117.1</v>
      </c>
      <c r="AQ155" t="str">
        <f>VLOOKUP($I155,'[1]Table S6'!$A:$AI,35,FALSE)</f>
        <v>No</v>
      </c>
      <c r="AS155" t="str">
        <f>VLOOKUP($H155,'[2]Table S5'!$A:$K,8,FALSE)</f>
        <v>Sensitive</v>
      </c>
      <c r="AT155" t="str">
        <f>VLOOKUP($H155,'[2]Table S5'!$A:$K,9,FALSE)</f>
        <v>Sensitive</v>
      </c>
      <c r="AU155" t="str">
        <f>VLOOKUP($H155,'[2]Table S5'!$A:$K,10,FALSE)</f>
        <v>Sensitive</v>
      </c>
      <c r="AV155" t="str">
        <f>VLOOKUP($H155,'[2]Table S5'!$A:$K,11,FALSE)</f>
        <v>Resistant</v>
      </c>
    </row>
    <row r="156" spans="1:48">
      <c r="A156" t="s">
        <v>1176</v>
      </c>
      <c r="B156" t="s">
        <v>1177</v>
      </c>
      <c r="C156" t="s">
        <v>17</v>
      </c>
      <c r="D156" t="s">
        <v>1179</v>
      </c>
      <c r="E156" t="s">
        <v>1180</v>
      </c>
      <c r="F156" t="s">
        <v>1181</v>
      </c>
      <c r="G156" t="s">
        <v>4757</v>
      </c>
      <c r="H156" t="s">
        <v>1136</v>
      </c>
      <c r="I156" t="s">
        <v>1136</v>
      </c>
      <c r="J156" t="e">
        <f>VLOOKUP($I156,'[1]Table S6'!$A:$AI,2,FALSE)</f>
        <v>#N/A</v>
      </c>
      <c r="K156" t="e">
        <f>VLOOKUP($I156,'[1]Table S6'!$A:$AI,3,FALSE)</f>
        <v>#N/A</v>
      </c>
      <c r="L156" t="e">
        <f>VLOOKUP($I156,'[1]Table S6'!$A:$AI,4,FALSE)</f>
        <v>#N/A</v>
      </c>
      <c r="M156" t="e">
        <f>VLOOKUP($I156,'[1]Table S6'!$A:$AI,5,FALSE)</f>
        <v>#N/A</v>
      </c>
      <c r="O156" t="e">
        <f>VLOOKUP($I156,'[1]Table S6'!$A:$AI,7,FALSE)</f>
        <v>#N/A</v>
      </c>
      <c r="P156" t="e">
        <f>VLOOKUP($I156,'[1]Table S6'!$A:$AI,8,FALSE)</f>
        <v>#N/A</v>
      </c>
      <c r="Q156" t="e">
        <f>VLOOKUP($I156,'[1]Table S6'!$A:$AI,9,FALSE)</f>
        <v>#N/A</v>
      </c>
      <c r="R156" t="e">
        <f>VLOOKUP($I156,'[1]Table S6'!$A:$AI,10,FALSE)</f>
        <v>#N/A</v>
      </c>
      <c r="T156" t="e">
        <f>VLOOKUP($I156,'[1]Table S6'!$A:$AI,12,FALSE)</f>
        <v>#N/A</v>
      </c>
      <c r="U156" t="e">
        <f>VLOOKUP($I156,'[1]Table S6'!$A:$AI,13,FALSE)</f>
        <v>#N/A</v>
      </c>
      <c r="V156" t="e">
        <f>VLOOKUP($I156,'[1]Table S6'!$A:$AI,14,FALSE)</f>
        <v>#N/A</v>
      </c>
      <c r="W156" t="e">
        <f>VLOOKUP($I156,'[1]Table S6'!$A:$AI,15,FALSE)</f>
        <v>#N/A</v>
      </c>
      <c r="Y156" t="e">
        <f>VLOOKUP($I156,'[1]Table S6'!$A:$AI,17,FALSE)</f>
        <v>#N/A</v>
      </c>
      <c r="Z156" t="e">
        <f>VLOOKUP($I156,'[1]Table S6'!$A:$AI,18,FALSE)</f>
        <v>#N/A</v>
      </c>
      <c r="AA156" t="e">
        <f>VLOOKUP($I156,'[1]Table S6'!$A:$AI,19,FALSE)</f>
        <v>#N/A</v>
      </c>
      <c r="AB156" t="e">
        <f>VLOOKUP($I156,'[1]Table S6'!$A:$AI,20,FALSE)</f>
        <v>#N/A</v>
      </c>
      <c r="AD156" t="e">
        <f>VLOOKUP($I156,'[1]Table S6'!$A:$AI,22,FALSE)</f>
        <v>#N/A</v>
      </c>
      <c r="AE156" t="e">
        <f>VLOOKUP($I156,'[1]Table S6'!$A:$AI,23,FALSE)</f>
        <v>#N/A</v>
      </c>
      <c r="AF156" t="e">
        <f>VLOOKUP($I156,'[1]Table S6'!$A:$AI,24,FALSE)</f>
        <v>#N/A</v>
      </c>
      <c r="AG156" t="e">
        <f>VLOOKUP($I156,'[1]Table S6'!$A:$AI,25,FALSE)</f>
        <v>#N/A</v>
      </c>
      <c r="AI156" t="e">
        <f>VLOOKUP($I156,'[1]Table S6'!$A:$AI,27,FALSE)</f>
        <v>#N/A</v>
      </c>
      <c r="AJ156" t="e">
        <f>VLOOKUP($I156,'[1]Table S6'!$A:$AI,28,FALSE)</f>
        <v>#N/A</v>
      </c>
      <c r="AK156" t="e">
        <f>VLOOKUP($I156,'[1]Table S6'!$A:$AI,29,FALSE)</f>
        <v>#N/A</v>
      </c>
      <c r="AL156" t="e">
        <f>VLOOKUP($I156,'[1]Table S6'!$A:$AI,30,FALSE)</f>
        <v>#N/A</v>
      </c>
      <c r="AN156" t="e">
        <f>VLOOKUP($I156,'[1]Table S6'!$A:$AI,32,FALSE)</f>
        <v>#N/A</v>
      </c>
      <c r="AO156" t="e">
        <f>VLOOKUP($I156,'[1]Table S6'!$A:$AI,33,FALSE)</f>
        <v>#N/A</v>
      </c>
      <c r="AP156" t="e">
        <f>VLOOKUP($I156,'[1]Table S6'!$A:$AI,34,FALSE)</f>
        <v>#N/A</v>
      </c>
      <c r="AQ156" t="e">
        <f>VLOOKUP($I156,'[1]Table S6'!$A:$AI,35,FALSE)</f>
        <v>#N/A</v>
      </c>
      <c r="AS156" t="str">
        <f>VLOOKUP($H156,'[2]Table S5'!$A:$K,8,FALSE)</f>
        <v>Sensitive</v>
      </c>
      <c r="AT156" t="str">
        <f>VLOOKUP($H156,'[2]Table S5'!$A:$K,9,FALSE)</f>
        <v>Sensitive</v>
      </c>
      <c r="AU156" t="str">
        <f>VLOOKUP($H156,'[2]Table S5'!$A:$K,10,FALSE)</f>
        <v>Sensitive</v>
      </c>
      <c r="AV156" t="str">
        <f>VLOOKUP($H156,'[2]Table S5'!$A:$K,11,FALSE)</f>
        <v>Resistant</v>
      </c>
    </row>
    <row r="157" spans="1:48">
      <c r="A157" t="s">
        <v>1183</v>
      </c>
      <c r="B157" t="s">
        <v>1184</v>
      </c>
      <c r="C157" t="s">
        <v>17</v>
      </c>
      <c r="D157" t="s">
        <v>1186</v>
      </c>
      <c r="E157" t="s">
        <v>1187</v>
      </c>
      <c r="F157" t="s">
        <v>1188</v>
      </c>
      <c r="G157" t="s">
        <v>4750</v>
      </c>
      <c r="H157" t="s">
        <v>1189</v>
      </c>
      <c r="I157" t="s">
        <v>1190</v>
      </c>
      <c r="J157">
        <f>VLOOKUP($I157,'[1]Table S6'!$A:$AI,2,FALSE)</f>
        <v>352.6</v>
      </c>
      <c r="K157">
        <f>VLOOKUP($I157,'[1]Table S6'!$A:$AI,3,FALSE)</f>
        <v>0.75037241966375801</v>
      </c>
      <c r="L157">
        <f>VLOOKUP($I157,'[1]Table S6'!$A:$AI,4,FALSE)</f>
        <v>7.8170000000000002</v>
      </c>
      <c r="M157" t="str">
        <f>VLOOKUP($I157,'[1]Table S6'!$A:$AI,5,FALSE)</f>
        <v>No</v>
      </c>
      <c r="O157">
        <f>VLOOKUP($I157,'[1]Table S6'!$A:$AI,7,FALSE)</f>
        <v>397.6</v>
      </c>
      <c r="P157">
        <f>VLOOKUP($I157,'[1]Table S6'!$A:$AI,8,FALSE)</f>
        <v>0.84613747605873602</v>
      </c>
      <c r="Q157">
        <f>VLOOKUP($I157,'[1]Table S6'!$A:$AI,9,FALSE)</f>
        <v>29.4</v>
      </c>
      <c r="R157" t="str">
        <f>VLOOKUP($I157,'[1]Table S6'!$A:$AI,10,FALSE)</f>
        <v>No</v>
      </c>
      <c r="T157">
        <f>VLOOKUP($I157,'[1]Table S6'!$A:$AI,12,FALSE)</f>
        <v>369.5</v>
      </c>
      <c r="U157">
        <f>VLOOKUP($I157,'[1]Table S6'!$A:$AI,13,FALSE)</f>
        <v>0.786337518620983</v>
      </c>
      <c r="V157">
        <f>VLOOKUP($I157,'[1]Table S6'!$A:$AI,14,FALSE)</f>
        <v>8.3190000000000008</v>
      </c>
      <c r="W157" t="str">
        <f>VLOOKUP($I157,'[1]Table S6'!$A:$AI,15,FALSE)</f>
        <v>No</v>
      </c>
      <c r="Y157">
        <f>VLOOKUP($I157,'[1]Table S6'!$A:$AI,17,FALSE)</f>
        <v>381.8</v>
      </c>
      <c r="Z157">
        <f>VLOOKUP($I157,'[1]Table S6'!$A:$AI,18,FALSE)</f>
        <v>0.81251330070227701</v>
      </c>
      <c r="AA157">
        <f>VLOOKUP($I157,'[1]Table S6'!$A:$AI,19,FALSE)</f>
        <v>28.23</v>
      </c>
      <c r="AB157" t="str">
        <f>VLOOKUP($I157,'[1]Table S6'!$A:$AI,20,FALSE)</f>
        <v>No</v>
      </c>
      <c r="AD157">
        <f>VLOOKUP($I157,'[1]Table S6'!$A:$AI,22,FALSE)</f>
        <v>424.4</v>
      </c>
      <c r="AE157">
        <f>VLOOKUP($I157,'[1]Table S6'!$A:$AI,23,FALSE)</f>
        <v>0.90317088742285601</v>
      </c>
      <c r="AF157">
        <f>VLOOKUP($I157,'[1]Table S6'!$A:$AI,24,FALSE)</f>
        <v>39.56</v>
      </c>
      <c r="AG157" t="str">
        <f>VLOOKUP($I157,'[1]Table S6'!$A:$AI,25,FALSE)</f>
        <v>No</v>
      </c>
      <c r="AI157">
        <f>VLOOKUP($I157,'[1]Table S6'!$A:$AI,27,FALSE)</f>
        <v>413</v>
      </c>
      <c r="AJ157">
        <f>VLOOKUP($I157,'[1]Table S6'!$A:$AI,28,FALSE)</f>
        <v>0.87891040646946195</v>
      </c>
      <c r="AK157">
        <f>VLOOKUP($I157,'[1]Table S6'!$A:$AI,29,FALSE)</f>
        <v>23.53</v>
      </c>
      <c r="AL157" t="str">
        <f>VLOOKUP($I157,'[1]Table S6'!$A:$AI,30,FALSE)</f>
        <v>No</v>
      </c>
      <c r="AN157">
        <f>VLOOKUP($I157,'[1]Table S6'!$A:$AI,32,FALSE)</f>
        <v>391.6</v>
      </c>
      <c r="AO157">
        <f>VLOOKUP($I157,'[1]Table S6'!$A:$AI,33,FALSE)</f>
        <v>0.83336880187273898</v>
      </c>
      <c r="AP157">
        <f>VLOOKUP($I157,'[1]Table S6'!$A:$AI,34,FALSE)</f>
        <v>13.98</v>
      </c>
      <c r="AQ157" t="str">
        <f>VLOOKUP($I157,'[1]Table S6'!$A:$AI,35,FALSE)</f>
        <v>No</v>
      </c>
      <c r="AS157" t="str">
        <f>VLOOKUP($H157,'[2]Table S5'!$A:$K,8,FALSE)</f>
        <v>Resistant</v>
      </c>
      <c r="AT157" t="str">
        <f>VLOOKUP($H157,'[2]Table S5'!$A:$K,9,FALSE)</f>
        <v>Resistant</v>
      </c>
      <c r="AU157" t="str">
        <f>VLOOKUP($H157,'[2]Table S5'!$A:$K,10,FALSE)</f>
        <v>Resistant</v>
      </c>
      <c r="AV157" t="str">
        <f>VLOOKUP($H157,'[2]Table S5'!$A:$K,11,FALSE)</f>
        <v>Resistant</v>
      </c>
    </row>
    <row r="158" spans="1:48">
      <c r="A158" t="s">
        <v>1192</v>
      </c>
      <c r="B158" t="s">
        <v>1193</v>
      </c>
      <c r="C158" t="s">
        <v>17</v>
      </c>
      <c r="D158" t="s">
        <v>1195</v>
      </c>
      <c r="E158" t="s">
        <v>1196</v>
      </c>
      <c r="F158" t="s">
        <v>1197</v>
      </c>
      <c r="G158" t="s">
        <v>4750</v>
      </c>
      <c r="H158" t="s">
        <v>1189</v>
      </c>
      <c r="I158" t="s">
        <v>1198</v>
      </c>
      <c r="J158">
        <f>VLOOKUP($I158,'[1]Table S6'!$A:$AI,2,FALSE)</f>
        <v>344.3</v>
      </c>
      <c r="K158">
        <f>VLOOKUP($I158,'[1]Table S6'!$A:$AI,3,FALSE)</f>
        <v>0.73270908703979598</v>
      </c>
      <c r="L158">
        <f>VLOOKUP($I158,'[1]Table S6'!$A:$AI,4,FALSE)</f>
        <v>5.3570000000000002</v>
      </c>
      <c r="M158" t="str">
        <f>VLOOKUP($I158,'[1]Table S6'!$A:$AI,5,FALSE)</f>
        <v>No</v>
      </c>
      <c r="O158">
        <f>VLOOKUP($I158,'[1]Table S6'!$A:$AI,7,FALSE)</f>
        <v>365.8</v>
      </c>
      <c r="P158">
        <f>VLOOKUP($I158,'[1]Table S6'!$A:$AI,8,FALSE)</f>
        <v>0.77846350287295196</v>
      </c>
      <c r="Q158">
        <f>VLOOKUP($I158,'[1]Table S6'!$A:$AI,9,FALSE)</f>
        <v>7.1790000000000003</v>
      </c>
      <c r="R158" t="str">
        <f>VLOOKUP($I158,'[1]Table S6'!$A:$AI,10,FALSE)</f>
        <v>No</v>
      </c>
      <c r="T158">
        <f>VLOOKUP($I158,'[1]Table S6'!$A:$AI,12,FALSE)</f>
        <v>314.8</v>
      </c>
      <c r="U158">
        <f>VLOOKUP($I158,'[1]Table S6'!$A:$AI,13,FALSE)</f>
        <v>0.66992977229197703</v>
      </c>
      <c r="V158">
        <f>VLOOKUP($I158,'[1]Table S6'!$A:$AI,14,FALSE)</f>
        <v>1.8169999999999999</v>
      </c>
      <c r="W158" t="str">
        <f>VLOOKUP($I158,'[1]Table S6'!$A:$AI,15,FALSE)</f>
        <v>Yes</v>
      </c>
      <c r="Y158">
        <f>VLOOKUP($I158,'[1]Table S6'!$A:$AI,17,FALSE)</f>
        <v>386.6</v>
      </c>
      <c r="Z158">
        <f>VLOOKUP($I158,'[1]Table S6'!$A:$AI,18,FALSE)</f>
        <v>0.82272824005107503</v>
      </c>
      <c r="AA158">
        <f>VLOOKUP($I158,'[1]Table S6'!$A:$AI,19,FALSE)</f>
        <v>20.77</v>
      </c>
      <c r="AB158" t="str">
        <f>VLOOKUP($I158,'[1]Table S6'!$A:$AI,20,FALSE)</f>
        <v>No</v>
      </c>
      <c r="AD158">
        <f>VLOOKUP($I158,'[1]Table S6'!$A:$AI,22,FALSE)</f>
        <v>348.6</v>
      </c>
      <c r="AE158">
        <f>VLOOKUP($I158,'[1]Table S6'!$A:$AI,23,FALSE)</f>
        <v>0.74185997020642702</v>
      </c>
      <c r="AF158">
        <f>VLOOKUP($I158,'[1]Table S6'!$A:$AI,24,FALSE)</f>
        <v>7.1840000000000002</v>
      </c>
      <c r="AG158" t="str">
        <f>VLOOKUP($I158,'[1]Table S6'!$A:$AI,25,FALSE)</f>
        <v>No</v>
      </c>
      <c r="AI158">
        <f>VLOOKUP($I158,'[1]Table S6'!$A:$AI,27,FALSE)</f>
        <v>344.3</v>
      </c>
      <c r="AJ158">
        <f>VLOOKUP($I158,'[1]Table S6'!$A:$AI,28,FALSE)</f>
        <v>0.73270908703979598</v>
      </c>
      <c r="AK158">
        <f>VLOOKUP($I158,'[1]Table S6'!$A:$AI,29,FALSE)</f>
        <v>10.49</v>
      </c>
      <c r="AL158" t="str">
        <f>VLOOKUP($I158,'[1]Table S6'!$A:$AI,30,FALSE)</f>
        <v>No</v>
      </c>
      <c r="AN158">
        <f>VLOOKUP($I158,'[1]Table S6'!$A:$AI,32,FALSE)</f>
        <v>389.3</v>
      </c>
      <c r="AO158">
        <f>VLOOKUP($I158,'[1]Table S6'!$A:$AI,33,FALSE)</f>
        <v>0.82847414343477299</v>
      </c>
      <c r="AP158">
        <f>VLOOKUP($I158,'[1]Table S6'!$A:$AI,34,FALSE)</f>
        <v>21.55</v>
      </c>
      <c r="AQ158" t="str">
        <f>VLOOKUP($I158,'[1]Table S6'!$A:$AI,35,FALSE)</f>
        <v>No</v>
      </c>
      <c r="AS158" t="str">
        <f>VLOOKUP($H158,'[2]Table S5'!$A:$K,8,FALSE)</f>
        <v>Resistant</v>
      </c>
      <c r="AT158" t="str">
        <f>VLOOKUP($H158,'[2]Table S5'!$A:$K,9,FALSE)</f>
        <v>Resistant</v>
      </c>
      <c r="AU158" t="str">
        <f>VLOOKUP($H158,'[2]Table S5'!$A:$K,10,FALSE)</f>
        <v>Resistant</v>
      </c>
      <c r="AV158" t="str">
        <f>VLOOKUP($H158,'[2]Table S5'!$A:$K,11,FALSE)</f>
        <v>Resistant</v>
      </c>
    </row>
    <row r="159" spans="1:48">
      <c r="A159" t="s">
        <v>1200</v>
      </c>
      <c r="B159" t="s">
        <v>1201</v>
      </c>
      <c r="C159" t="s">
        <v>17</v>
      </c>
      <c r="D159" t="s">
        <v>1203</v>
      </c>
      <c r="E159" t="s">
        <v>1204</v>
      </c>
      <c r="F159" t="s">
        <v>1205</v>
      </c>
      <c r="G159" t="s">
        <v>4750</v>
      </c>
      <c r="H159" t="s">
        <v>1189</v>
      </c>
      <c r="I159" t="s">
        <v>1206</v>
      </c>
      <c r="J159">
        <f>VLOOKUP($I159,'[1]Table S6'!$A:$AI,2,FALSE)</f>
        <v>319.8</v>
      </c>
      <c r="K159">
        <f>VLOOKUP($I159,'[1]Table S6'!$A:$AI,3,FALSE)</f>
        <v>0.68057033411364098</v>
      </c>
      <c r="L159">
        <f>VLOOKUP($I159,'[1]Table S6'!$A:$AI,4,FALSE)</f>
        <v>2.5750000000000002</v>
      </c>
      <c r="M159" t="str">
        <f>VLOOKUP($I159,'[1]Table S6'!$A:$AI,5,FALSE)</f>
        <v>Yes</v>
      </c>
      <c r="O159">
        <f>VLOOKUP($I159,'[1]Table S6'!$A:$AI,7,FALSE)</f>
        <v>385.6</v>
      </c>
      <c r="P159">
        <f>VLOOKUP($I159,'[1]Table S6'!$A:$AI,8,FALSE)</f>
        <v>0.82060012768674195</v>
      </c>
      <c r="Q159">
        <f>VLOOKUP($I159,'[1]Table S6'!$A:$AI,9,FALSE)</f>
        <v>11.77</v>
      </c>
      <c r="R159" t="str">
        <f>VLOOKUP($I159,'[1]Table S6'!$A:$AI,10,FALSE)</f>
        <v>No</v>
      </c>
      <c r="T159">
        <f>VLOOKUP($I159,'[1]Table S6'!$A:$AI,12,FALSE)</f>
        <v>380.7</v>
      </c>
      <c r="U159">
        <f>VLOOKUP($I159,'[1]Table S6'!$A:$AI,13,FALSE)</f>
        <v>0.81017237710151102</v>
      </c>
      <c r="V159">
        <f>VLOOKUP($I159,'[1]Table S6'!$A:$AI,14,FALSE)</f>
        <v>9.5960000000000001</v>
      </c>
      <c r="W159" t="str">
        <f>VLOOKUP($I159,'[1]Table S6'!$A:$AI,15,FALSE)</f>
        <v>No</v>
      </c>
      <c r="Y159">
        <f>VLOOKUP($I159,'[1]Table S6'!$A:$AI,17,FALSE)</f>
        <v>354.6</v>
      </c>
      <c r="Z159">
        <f>VLOOKUP($I159,'[1]Table S6'!$A:$AI,18,FALSE)</f>
        <v>0.75462864439242405</v>
      </c>
      <c r="AA159">
        <f>VLOOKUP($I159,'[1]Table S6'!$A:$AI,19,FALSE)</f>
        <v>11.18</v>
      </c>
      <c r="AB159" t="str">
        <f>VLOOKUP($I159,'[1]Table S6'!$A:$AI,20,FALSE)</f>
        <v>No</v>
      </c>
      <c r="AD159">
        <f>VLOOKUP($I159,'[1]Table S6'!$A:$AI,22,FALSE)</f>
        <v>347.9</v>
      </c>
      <c r="AE159">
        <f>VLOOKUP($I159,'[1]Table S6'!$A:$AI,23,FALSE)</f>
        <v>0.740370291551394</v>
      </c>
      <c r="AF159">
        <f>VLOOKUP($I159,'[1]Table S6'!$A:$AI,24,FALSE)</f>
        <v>4.9710000000000001</v>
      </c>
      <c r="AG159" t="str">
        <f>VLOOKUP($I159,'[1]Table S6'!$A:$AI,25,FALSE)</f>
        <v>No</v>
      </c>
      <c r="AI159">
        <f>VLOOKUP($I159,'[1]Table S6'!$A:$AI,27,FALSE)</f>
        <v>400.5</v>
      </c>
      <c r="AJ159">
        <f>VLOOKUP($I159,'[1]Table S6'!$A:$AI,28,FALSE)</f>
        <v>0.85230900191530101</v>
      </c>
      <c r="AK159">
        <f>VLOOKUP($I159,'[1]Table S6'!$A:$AI,29,FALSE)</f>
        <v>17.989999999999998</v>
      </c>
      <c r="AL159" t="str">
        <f>VLOOKUP($I159,'[1]Table S6'!$A:$AI,30,FALSE)</f>
        <v>No</v>
      </c>
      <c r="AN159">
        <f>VLOOKUP($I159,'[1]Table S6'!$A:$AI,32,FALSE)</f>
        <v>295.3</v>
      </c>
      <c r="AO159">
        <f>VLOOKUP($I159,'[1]Table S6'!$A:$AI,33,FALSE)</f>
        <v>0.62843158118748699</v>
      </c>
      <c r="AP159">
        <f>VLOOKUP($I159,'[1]Table S6'!$A:$AI,34,FALSE)</f>
        <v>0.93910000000000005</v>
      </c>
      <c r="AQ159" t="str">
        <f>VLOOKUP($I159,'[1]Table S6'!$A:$AI,35,FALSE)</f>
        <v>Yes</v>
      </c>
      <c r="AS159" t="str">
        <f>VLOOKUP($H159,'[2]Table S5'!$A:$K,8,FALSE)</f>
        <v>Resistant</v>
      </c>
      <c r="AT159" t="str">
        <f>VLOOKUP($H159,'[2]Table S5'!$A:$K,9,FALSE)</f>
        <v>Resistant</v>
      </c>
      <c r="AU159" t="str">
        <f>VLOOKUP($H159,'[2]Table S5'!$A:$K,10,FALSE)</f>
        <v>Resistant</v>
      </c>
      <c r="AV159" t="str">
        <f>VLOOKUP($H159,'[2]Table S5'!$A:$K,11,FALSE)</f>
        <v>Resistant</v>
      </c>
    </row>
    <row r="160" spans="1:48">
      <c r="A160" t="s">
        <v>1208</v>
      </c>
      <c r="B160" t="s">
        <v>1209</v>
      </c>
      <c r="C160" t="s">
        <v>17</v>
      </c>
      <c r="D160" t="s">
        <v>1211</v>
      </c>
      <c r="E160" t="s">
        <v>1212</v>
      </c>
      <c r="F160" t="s">
        <v>1213</v>
      </c>
      <c r="G160" t="s">
        <v>4750</v>
      </c>
      <c r="H160" t="s">
        <v>1189</v>
      </c>
      <c r="I160" t="s">
        <v>1214</v>
      </c>
      <c r="J160">
        <f>VLOOKUP($I160,'[1]Table S6'!$A:$AI,2,FALSE)</f>
        <v>272.10000000000002</v>
      </c>
      <c r="K160">
        <f>VLOOKUP($I160,'[1]Table S6'!$A:$AI,3,FALSE)</f>
        <v>0.57905937433496502</v>
      </c>
      <c r="L160">
        <f>VLOOKUP($I160,'[1]Table S6'!$A:$AI,4,FALSE)</f>
        <v>0.59750000000000003</v>
      </c>
      <c r="M160" t="str">
        <f>VLOOKUP($I160,'[1]Table S6'!$A:$AI,5,FALSE)</f>
        <v>Yes</v>
      </c>
      <c r="O160">
        <f>VLOOKUP($I160,'[1]Table S6'!$A:$AI,7,FALSE)</f>
        <v>392.6</v>
      </c>
      <c r="P160">
        <f>VLOOKUP($I160,'[1]Table S6'!$A:$AI,8,FALSE)</f>
        <v>0.83549691423707195</v>
      </c>
      <c r="Q160">
        <f>VLOOKUP($I160,'[1]Table S6'!$A:$AI,9,FALSE)</f>
        <v>22.52</v>
      </c>
      <c r="R160" t="str">
        <f>VLOOKUP($I160,'[1]Table S6'!$A:$AI,10,FALSE)</f>
        <v>No</v>
      </c>
      <c r="T160">
        <f>VLOOKUP($I160,'[1]Table S6'!$A:$AI,12,FALSE)</f>
        <v>305.89999999999998</v>
      </c>
      <c r="U160">
        <f>VLOOKUP($I160,'[1]Table S6'!$A:$AI,13,FALSE)</f>
        <v>0.650989572249415</v>
      </c>
      <c r="V160">
        <f>VLOOKUP($I160,'[1]Table S6'!$A:$AI,14,FALSE)</f>
        <v>1.5109999999999999</v>
      </c>
      <c r="W160" t="str">
        <f>VLOOKUP($I160,'[1]Table S6'!$A:$AI,15,FALSE)</f>
        <v>Yes</v>
      </c>
      <c r="Y160">
        <f>VLOOKUP($I160,'[1]Table S6'!$A:$AI,17,FALSE)</f>
        <v>389.9</v>
      </c>
      <c r="Z160">
        <f>VLOOKUP($I160,'[1]Table S6'!$A:$AI,18,FALSE)</f>
        <v>0.82975101085337299</v>
      </c>
      <c r="AA160">
        <f>VLOOKUP($I160,'[1]Table S6'!$A:$AI,19,FALSE)</f>
        <v>24.34</v>
      </c>
      <c r="AB160" t="str">
        <f>VLOOKUP($I160,'[1]Table S6'!$A:$AI,20,FALSE)</f>
        <v>No</v>
      </c>
      <c r="AD160">
        <f>VLOOKUP($I160,'[1]Table S6'!$A:$AI,22,FALSE)</f>
        <v>326.5</v>
      </c>
      <c r="AE160">
        <f>VLOOKUP($I160,'[1]Table S6'!$A:$AI,23,FALSE)</f>
        <v>0.69482868695467104</v>
      </c>
      <c r="AF160">
        <f>VLOOKUP($I160,'[1]Table S6'!$A:$AI,24,FALSE)</f>
        <v>3.2759999999999998</v>
      </c>
      <c r="AG160" t="str">
        <f>VLOOKUP($I160,'[1]Table S6'!$A:$AI,25,FALSE)</f>
        <v>No</v>
      </c>
      <c r="AI160">
        <f>VLOOKUP($I160,'[1]Table S6'!$A:$AI,27,FALSE)</f>
        <v>338</v>
      </c>
      <c r="AJ160">
        <f>VLOOKUP($I160,'[1]Table S6'!$A:$AI,28,FALSE)</f>
        <v>0.719301979144499</v>
      </c>
      <c r="AK160">
        <f>VLOOKUP($I160,'[1]Table S6'!$A:$AI,29,FALSE)</f>
        <v>5.782</v>
      </c>
      <c r="AL160" t="str">
        <f>VLOOKUP($I160,'[1]Table S6'!$A:$AI,30,FALSE)</f>
        <v>No</v>
      </c>
      <c r="AN160">
        <f>VLOOKUP($I160,'[1]Table S6'!$A:$AI,32,FALSE)</f>
        <v>350.9</v>
      </c>
      <c r="AO160">
        <f>VLOOKUP($I160,'[1]Table S6'!$A:$AI,33,FALSE)</f>
        <v>0.74675462864439202</v>
      </c>
      <c r="AP160">
        <f>VLOOKUP($I160,'[1]Table S6'!$A:$AI,34,FALSE)</f>
        <v>9.984</v>
      </c>
      <c r="AQ160" t="str">
        <f>VLOOKUP($I160,'[1]Table S6'!$A:$AI,35,FALSE)</f>
        <v>No</v>
      </c>
      <c r="AS160" t="str">
        <f>VLOOKUP($H160,'[2]Table S5'!$A:$K,8,FALSE)</f>
        <v>Resistant</v>
      </c>
      <c r="AT160" t="str">
        <f>VLOOKUP($H160,'[2]Table S5'!$A:$K,9,FALSE)</f>
        <v>Resistant</v>
      </c>
      <c r="AU160" t="str">
        <f>VLOOKUP($H160,'[2]Table S5'!$A:$K,10,FALSE)</f>
        <v>Resistant</v>
      </c>
      <c r="AV160" t="str">
        <f>VLOOKUP($H160,'[2]Table S5'!$A:$K,11,FALSE)</f>
        <v>Resistant</v>
      </c>
    </row>
    <row r="161" spans="1:48">
      <c r="A161" t="s">
        <v>1216</v>
      </c>
      <c r="B161" t="s">
        <v>1217</v>
      </c>
      <c r="C161" t="s">
        <v>17</v>
      </c>
      <c r="D161" t="s">
        <v>1219</v>
      </c>
      <c r="E161" t="s">
        <v>1220</v>
      </c>
      <c r="F161" t="s">
        <v>1221</v>
      </c>
      <c r="G161" t="s">
        <v>4757</v>
      </c>
      <c r="H161" t="s">
        <v>1189</v>
      </c>
      <c r="I161" t="s">
        <v>1189</v>
      </c>
      <c r="J161" t="e">
        <f>VLOOKUP($I161,'[1]Table S6'!$A:$AI,2,FALSE)</f>
        <v>#N/A</v>
      </c>
      <c r="K161" t="e">
        <f>VLOOKUP($I161,'[1]Table S6'!$A:$AI,3,FALSE)</f>
        <v>#N/A</v>
      </c>
      <c r="L161" t="e">
        <f>VLOOKUP($I161,'[1]Table S6'!$A:$AI,4,FALSE)</f>
        <v>#N/A</v>
      </c>
      <c r="M161" t="e">
        <f>VLOOKUP($I161,'[1]Table S6'!$A:$AI,5,FALSE)</f>
        <v>#N/A</v>
      </c>
      <c r="O161" t="e">
        <f>VLOOKUP($I161,'[1]Table S6'!$A:$AI,7,FALSE)</f>
        <v>#N/A</v>
      </c>
      <c r="P161" t="e">
        <f>VLOOKUP($I161,'[1]Table S6'!$A:$AI,8,FALSE)</f>
        <v>#N/A</v>
      </c>
      <c r="Q161" t="e">
        <f>VLOOKUP($I161,'[1]Table S6'!$A:$AI,9,FALSE)</f>
        <v>#N/A</v>
      </c>
      <c r="R161" t="e">
        <f>VLOOKUP($I161,'[1]Table S6'!$A:$AI,10,FALSE)</f>
        <v>#N/A</v>
      </c>
      <c r="T161" t="e">
        <f>VLOOKUP($I161,'[1]Table S6'!$A:$AI,12,FALSE)</f>
        <v>#N/A</v>
      </c>
      <c r="U161" t="e">
        <f>VLOOKUP($I161,'[1]Table S6'!$A:$AI,13,FALSE)</f>
        <v>#N/A</v>
      </c>
      <c r="V161" t="e">
        <f>VLOOKUP($I161,'[1]Table S6'!$A:$AI,14,FALSE)</f>
        <v>#N/A</v>
      </c>
      <c r="W161" t="e">
        <f>VLOOKUP($I161,'[1]Table S6'!$A:$AI,15,FALSE)</f>
        <v>#N/A</v>
      </c>
      <c r="Y161" t="e">
        <f>VLOOKUP($I161,'[1]Table S6'!$A:$AI,17,FALSE)</f>
        <v>#N/A</v>
      </c>
      <c r="Z161" t="e">
        <f>VLOOKUP($I161,'[1]Table S6'!$A:$AI,18,FALSE)</f>
        <v>#N/A</v>
      </c>
      <c r="AA161" t="e">
        <f>VLOOKUP($I161,'[1]Table S6'!$A:$AI,19,FALSE)</f>
        <v>#N/A</v>
      </c>
      <c r="AB161" t="e">
        <f>VLOOKUP($I161,'[1]Table S6'!$A:$AI,20,FALSE)</f>
        <v>#N/A</v>
      </c>
      <c r="AD161" t="e">
        <f>VLOOKUP($I161,'[1]Table S6'!$A:$AI,22,FALSE)</f>
        <v>#N/A</v>
      </c>
      <c r="AE161" t="e">
        <f>VLOOKUP($I161,'[1]Table S6'!$A:$AI,23,FALSE)</f>
        <v>#N/A</v>
      </c>
      <c r="AF161" t="e">
        <f>VLOOKUP($I161,'[1]Table S6'!$A:$AI,24,FALSE)</f>
        <v>#N/A</v>
      </c>
      <c r="AG161" t="e">
        <f>VLOOKUP($I161,'[1]Table S6'!$A:$AI,25,FALSE)</f>
        <v>#N/A</v>
      </c>
      <c r="AI161" t="e">
        <f>VLOOKUP($I161,'[1]Table S6'!$A:$AI,27,FALSE)</f>
        <v>#N/A</v>
      </c>
      <c r="AJ161" t="e">
        <f>VLOOKUP($I161,'[1]Table S6'!$A:$AI,28,FALSE)</f>
        <v>#N/A</v>
      </c>
      <c r="AK161" t="e">
        <f>VLOOKUP($I161,'[1]Table S6'!$A:$AI,29,FALSE)</f>
        <v>#N/A</v>
      </c>
      <c r="AL161" t="e">
        <f>VLOOKUP($I161,'[1]Table S6'!$A:$AI,30,FALSE)</f>
        <v>#N/A</v>
      </c>
      <c r="AN161" t="e">
        <f>VLOOKUP($I161,'[1]Table S6'!$A:$AI,32,FALSE)</f>
        <v>#N/A</v>
      </c>
      <c r="AO161" t="e">
        <f>VLOOKUP($I161,'[1]Table S6'!$A:$AI,33,FALSE)</f>
        <v>#N/A</v>
      </c>
      <c r="AP161" t="e">
        <f>VLOOKUP($I161,'[1]Table S6'!$A:$AI,34,FALSE)</f>
        <v>#N/A</v>
      </c>
      <c r="AQ161" t="e">
        <f>VLOOKUP($I161,'[1]Table S6'!$A:$AI,35,FALSE)</f>
        <v>#N/A</v>
      </c>
      <c r="AS161" t="str">
        <f>VLOOKUP($H161,'[2]Table S5'!$A:$K,8,FALSE)</f>
        <v>Resistant</v>
      </c>
      <c r="AT161" t="str">
        <f>VLOOKUP($H161,'[2]Table S5'!$A:$K,9,FALSE)</f>
        <v>Resistant</v>
      </c>
      <c r="AU161" t="str">
        <f>VLOOKUP($H161,'[2]Table S5'!$A:$K,10,FALSE)</f>
        <v>Resistant</v>
      </c>
      <c r="AV161" t="str">
        <f>VLOOKUP($H161,'[2]Table S5'!$A:$K,11,FALSE)</f>
        <v>Resistant</v>
      </c>
    </row>
    <row r="162" spans="1:48">
      <c r="A162" t="s">
        <v>1223</v>
      </c>
      <c r="B162" t="s">
        <v>1224</v>
      </c>
      <c r="C162" t="s">
        <v>17</v>
      </c>
      <c r="D162" t="s">
        <v>1226</v>
      </c>
      <c r="E162" t="s">
        <v>1227</v>
      </c>
      <c r="F162" t="s">
        <v>1228</v>
      </c>
      <c r="G162" t="s">
        <v>4751</v>
      </c>
      <c r="H162" t="s">
        <v>1189</v>
      </c>
      <c r="I162" t="s">
        <v>1190</v>
      </c>
      <c r="J162">
        <f>VLOOKUP($I162,'[1]Table S6'!$A:$AI,2,FALSE)</f>
        <v>352.6</v>
      </c>
      <c r="K162">
        <f>VLOOKUP($I162,'[1]Table S6'!$A:$AI,3,FALSE)</f>
        <v>0.75037241966375801</v>
      </c>
      <c r="L162">
        <f>VLOOKUP($I162,'[1]Table S6'!$A:$AI,4,FALSE)</f>
        <v>7.8170000000000002</v>
      </c>
      <c r="M162" t="str">
        <f>VLOOKUP($I162,'[1]Table S6'!$A:$AI,5,FALSE)</f>
        <v>No</v>
      </c>
      <c r="O162">
        <f>VLOOKUP($I162,'[1]Table S6'!$A:$AI,7,FALSE)</f>
        <v>397.6</v>
      </c>
      <c r="P162">
        <f>VLOOKUP($I162,'[1]Table S6'!$A:$AI,8,FALSE)</f>
        <v>0.84613747605873602</v>
      </c>
      <c r="Q162">
        <f>VLOOKUP($I162,'[1]Table S6'!$A:$AI,9,FALSE)</f>
        <v>29.4</v>
      </c>
      <c r="R162" t="str">
        <f>VLOOKUP($I162,'[1]Table S6'!$A:$AI,10,FALSE)</f>
        <v>No</v>
      </c>
      <c r="T162">
        <f>VLOOKUP($I162,'[1]Table S6'!$A:$AI,12,FALSE)</f>
        <v>369.5</v>
      </c>
      <c r="U162">
        <f>VLOOKUP($I162,'[1]Table S6'!$A:$AI,13,FALSE)</f>
        <v>0.786337518620983</v>
      </c>
      <c r="V162">
        <f>VLOOKUP($I162,'[1]Table S6'!$A:$AI,14,FALSE)</f>
        <v>8.3190000000000008</v>
      </c>
      <c r="W162" t="str">
        <f>VLOOKUP($I162,'[1]Table S6'!$A:$AI,15,FALSE)</f>
        <v>No</v>
      </c>
      <c r="Y162">
        <f>VLOOKUP($I162,'[1]Table S6'!$A:$AI,17,FALSE)</f>
        <v>381.8</v>
      </c>
      <c r="Z162">
        <f>VLOOKUP($I162,'[1]Table S6'!$A:$AI,18,FALSE)</f>
        <v>0.81251330070227701</v>
      </c>
      <c r="AA162">
        <f>VLOOKUP($I162,'[1]Table S6'!$A:$AI,19,FALSE)</f>
        <v>28.23</v>
      </c>
      <c r="AB162" t="str">
        <f>VLOOKUP($I162,'[1]Table S6'!$A:$AI,20,FALSE)</f>
        <v>No</v>
      </c>
      <c r="AD162">
        <f>VLOOKUP($I162,'[1]Table S6'!$A:$AI,22,FALSE)</f>
        <v>424.4</v>
      </c>
      <c r="AE162">
        <f>VLOOKUP($I162,'[1]Table S6'!$A:$AI,23,FALSE)</f>
        <v>0.90317088742285601</v>
      </c>
      <c r="AF162">
        <f>VLOOKUP($I162,'[1]Table S6'!$A:$AI,24,FALSE)</f>
        <v>39.56</v>
      </c>
      <c r="AG162" t="str">
        <f>VLOOKUP($I162,'[1]Table S6'!$A:$AI,25,FALSE)</f>
        <v>No</v>
      </c>
      <c r="AI162">
        <f>VLOOKUP($I162,'[1]Table S6'!$A:$AI,27,FALSE)</f>
        <v>413</v>
      </c>
      <c r="AJ162">
        <f>VLOOKUP($I162,'[1]Table S6'!$A:$AI,28,FALSE)</f>
        <v>0.87891040646946195</v>
      </c>
      <c r="AK162">
        <f>VLOOKUP($I162,'[1]Table S6'!$A:$AI,29,FALSE)</f>
        <v>23.53</v>
      </c>
      <c r="AL162" t="str">
        <f>VLOOKUP($I162,'[1]Table S6'!$A:$AI,30,FALSE)</f>
        <v>No</v>
      </c>
      <c r="AN162">
        <f>VLOOKUP($I162,'[1]Table S6'!$A:$AI,32,FALSE)</f>
        <v>391.6</v>
      </c>
      <c r="AO162">
        <f>VLOOKUP($I162,'[1]Table S6'!$A:$AI,33,FALSE)</f>
        <v>0.83336880187273898</v>
      </c>
      <c r="AP162">
        <f>VLOOKUP($I162,'[1]Table S6'!$A:$AI,34,FALSE)</f>
        <v>13.98</v>
      </c>
      <c r="AQ162" t="str">
        <f>VLOOKUP($I162,'[1]Table S6'!$A:$AI,35,FALSE)</f>
        <v>No</v>
      </c>
      <c r="AS162" t="str">
        <f>VLOOKUP($H162,'[2]Table S5'!$A:$K,8,FALSE)</f>
        <v>Resistant</v>
      </c>
      <c r="AT162" t="str">
        <f>VLOOKUP($H162,'[2]Table S5'!$A:$K,9,FALSE)</f>
        <v>Resistant</v>
      </c>
      <c r="AU162" t="str">
        <f>VLOOKUP($H162,'[2]Table S5'!$A:$K,10,FALSE)</f>
        <v>Resistant</v>
      </c>
      <c r="AV162" t="str">
        <f>VLOOKUP($H162,'[2]Table S5'!$A:$K,11,FALSE)</f>
        <v>Resistant</v>
      </c>
    </row>
    <row r="163" spans="1:48">
      <c r="A163" t="s">
        <v>1230</v>
      </c>
      <c r="B163" t="s">
        <v>1231</v>
      </c>
      <c r="C163" t="s">
        <v>17</v>
      </c>
      <c r="D163" t="s">
        <v>1233</v>
      </c>
      <c r="E163" t="s">
        <v>1234</v>
      </c>
      <c r="F163" t="s">
        <v>1235</v>
      </c>
      <c r="G163" t="s">
        <v>4751</v>
      </c>
      <c r="H163" t="s">
        <v>1189</v>
      </c>
      <c r="I163" t="s">
        <v>1198</v>
      </c>
      <c r="J163">
        <f>VLOOKUP($I163,'[1]Table S6'!$A:$AI,2,FALSE)</f>
        <v>344.3</v>
      </c>
      <c r="K163">
        <f>VLOOKUP($I163,'[1]Table S6'!$A:$AI,3,FALSE)</f>
        <v>0.73270908703979598</v>
      </c>
      <c r="L163">
        <f>VLOOKUP($I163,'[1]Table S6'!$A:$AI,4,FALSE)</f>
        <v>5.3570000000000002</v>
      </c>
      <c r="M163" t="str">
        <f>VLOOKUP($I163,'[1]Table S6'!$A:$AI,5,FALSE)</f>
        <v>No</v>
      </c>
      <c r="O163">
        <f>VLOOKUP($I163,'[1]Table S6'!$A:$AI,7,FALSE)</f>
        <v>365.8</v>
      </c>
      <c r="P163">
        <f>VLOOKUP($I163,'[1]Table S6'!$A:$AI,8,FALSE)</f>
        <v>0.77846350287295196</v>
      </c>
      <c r="Q163">
        <f>VLOOKUP($I163,'[1]Table S6'!$A:$AI,9,FALSE)</f>
        <v>7.1790000000000003</v>
      </c>
      <c r="R163" t="str">
        <f>VLOOKUP($I163,'[1]Table S6'!$A:$AI,10,FALSE)</f>
        <v>No</v>
      </c>
      <c r="T163">
        <f>VLOOKUP($I163,'[1]Table S6'!$A:$AI,12,FALSE)</f>
        <v>314.8</v>
      </c>
      <c r="U163">
        <f>VLOOKUP($I163,'[1]Table S6'!$A:$AI,13,FALSE)</f>
        <v>0.66992977229197703</v>
      </c>
      <c r="V163">
        <f>VLOOKUP($I163,'[1]Table S6'!$A:$AI,14,FALSE)</f>
        <v>1.8169999999999999</v>
      </c>
      <c r="W163" t="str">
        <f>VLOOKUP($I163,'[1]Table S6'!$A:$AI,15,FALSE)</f>
        <v>Yes</v>
      </c>
      <c r="Y163">
        <f>VLOOKUP($I163,'[1]Table S6'!$A:$AI,17,FALSE)</f>
        <v>386.6</v>
      </c>
      <c r="Z163">
        <f>VLOOKUP($I163,'[1]Table S6'!$A:$AI,18,FALSE)</f>
        <v>0.82272824005107503</v>
      </c>
      <c r="AA163">
        <f>VLOOKUP($I163,'[1]Table S6'!$A:$AI,19,FALSE)</f>
        <v>20.77</v>
      </c>
      <c r="AB163" t="str">
        <f>VLOOKUP($I163,'[1]Table S6'!$A:$AI,20,FALSE)</f>
        <v>No</v>
      </c>
      <c r="AD163">
        <f>VLOOKUP($I163,'[1]Table S6'!$A:$AI,22,FALSE)</f>
        <v>348.6</v>
      </c>
      <c r="AE163">
        <f>VLOOKUP($I163,'[1]Table S6'!$A:$AI,23,FALSE)</f>
        <v>0.74185997020642702</v>
      </c>
      <c r="AF163">
        <f>VLOOKUP($I163,'[1]Table S6'!$A:$AI,24,FALSE)</f>
        <v>7.1840000000000002</v>
      </c>
      <c r="AG163" t="str">
        <f>VLOOKUP($I163,'[1]Table S6'!$A:$AI,25,FALSE)</f>
        <v>No</v>
      </c>
      <c r="AI163">
        <f>VLOOKUP($I163,'[1]Table S6'!$A:$AI,27,FALSE)</f>
        <v>344.3</v>
      </c>
      <c r="AJ163">
        <f>VLOOKUP($I163,'[1]Table S6'!$A:$AI,28,FALSE)</f>
        <v>0.73270908703979598</v>
      </c>
      <c r="AK163">
        <f>VLOOKUP($I163,'[1]Table S6'!$A:$AI,29,FALSE)</f>
        <v>10.49</v>
      </c>
      <c r="AL163" t="str">
        <f>VLOOKUP($I163,'[1]Table S6'!$A:$AI,30,FALSE)</f>
        <v>No</v>
      </c>
      <c r="AN163">
        <f>VLOOKUP($I163,'[1]Table S6'!$A:$AI,32,FALSE)</f>
        <v>389.3</v>
      </c>
      <c r="AO163">
        <f>VLOOKUP($I163,'[1]Table S6'!$A:$AI,33,FALSE)</f>
        <v>0.82847414343477299</v>
      </c>
      <c r="AP163">
        <f>VLOOKUP($I163,'[1]Table S6'!$A:$AI,34,FALSE)</f>
        <v>21.55</v>
      </c>
      <c r="AQ163" t="str">
        <f>VLOOKUP($I163,'[1]Table S6'!$A:$AI,35,FALSE)</f>
        <v>No</v>
      </c>
      <c r="AS163" t="str">
        <f>VLOOKUP($H163,'[2]Table S5'!$A:$K,8,FALSE)</f>
        <v>Resistant</v>
      </c>
      <c r="AT163" t="str">
        <f>VLOOKUP($H163,'[2]Table S5'!$A:$K,9,FALSE)</f>
        <v>Resistant</v>
      </c>
      <c r="AU163" t="str">
        <f>VLOOKUP($H163,'[2]Table S5'!$A:$K,10,FALSE)</f>
        <v>Resistant</v>
      </c>
      <c r="AV163" t="str">
        <f>VLOOKUP($H163,'[2]Table S5'!$A:$K,11,FALSE)</f>
        <v>Resistant</v>
      </c>
    </row>
    <row r="164" spans="1:48">
      <c r="A164" t="s">
        <v>1237</v>
      </c>
      <c r="B164" t="s">
        <v>1238</v>
      </c>
      <c r="C164" t="s">
        <v>17</v>
      </c>
      <c r="D164" t="s">
        <v>1240</v>
      </c>
      <c r="E164" t="s">
        <v>1241</v>
      </c>
      <c r="F164" t="s">
        <v>1242</v>
      </c>
      <c r="G164" t="s">
        <v>4751</v>
      </c>
      <c r="H164" t="s">
        <v>1189</v>
      </c>
      <c r="I164" t="s">
        <v>1206</v>
      </c>
      <c r="J164">
        <f>VLOOKUP($I164,'[1]Table S6'!$A:$AI,2,FALSE)</f>
        <v>319.8</v>
      </c>
      <c r="K164">
        <f>VLOOKUP($I164,'[1]Table S6'!$A:$AI,3,FALSE)</f>
        <v>0.68057033411364098</v>
      </c>
      <c r="L164">
        <f>VLOOKUP($I164,'[1]Table S6'!$A:$AI,4,FALSE)</f>
        <v>2.5750000000000002</v>
      </c>
      <c r="M164" t="str">
        <f>VLOOKUP($I164,'[1]Table S6'!$A:$AI,5,FALSE)</f>
        <v>Yes</v>
      </c>
      <c r="O164">
        <f>VLOOKUP($I164,'[1]Table S6'!$A:$AI,7,FALSE)</f>
        <v>385.6</v>
      </c>
      <c r="P164">
        <f>VLOOKUP($I164,'[1]Table S6'!$A:$AI,8,FALSE)</f>
        <v>0.82060012768674195</v>
      </c>
      <c r="Q164">
        <f>VLOOKUP($I164,'[1]Table S6'!$A:$AI,9,FALSE)</f>
        <v>11.77</v>
      </c>
      <c r="R164" t="str">
        <f>VLOOKUP($I164,'[1]Table S6'!$A:$AI,10,FALSE)</f>
        <v>No</v>
      </c>
      <c r="T164">
        <f>VLOOKUP($I164,'[1]Table S6'!$A:$AI,12,FALSE)</f>
        <v>380.7</v>
      </c>
      <c r="U164">
        <f>VLOOKUP($I164,'[1]Table S6'!$A:$AI,13,FALSE)</f>
        <v>0.81017237710151102</v>
      </c>
      <c r="V164">
        <f>VLOOKUP($I164,'[1]Table S6'!$A:$AI,14,FALSE)</f>
        <v>9.5960000000000001</v>
      </c>
      <c r="W164" t="str">
        <f>VLOOKUP($I164,'[1]Table S6'!$A:$AI,15,FALSE)</f>
        <v>No</v>
      </c>
      <c r="Y164">
        <f>VLOOKUP($I164,'[1]Table S6'!$A:$AI,17,FALSE)</f>
        <v>354.6</v>
      </c>
      <c r="Z164">
        <f>VLOOKUP($I164,'[1]Table S6'!$A:$AI,18,FALSE)</f>
        <v>0.75462864439242405</v>
      </c>
      <c r="AA164">
        <f>VLOOKUP($I164,'[1]Table S6'!$A:$AI,19,FALSE)</f>
        <v>11.18</v>
      </c>
      <c r="AB164" t="str">
        <f>VLOOKUP($I164,'[1]Table S6'!$A:$AI,20,FALSE)</f>
        <v>No</v>
      </c>
      <c r="AD164">
        <f>VLOOKUP($I164,'[1]Table S6'!$A:$AI,22,FALSE)</f>
        <v>347.9</v>
      </c>
      <c r="AE164">
        <f>VLOOKUP($I164,'[1]Table S6'!$A:$AI,23,FALSE)</f>
        <v>0.740370291551394</v>
      </c>
      <c r="AF164">
        <f>VLOOKUP($I164,'[1]Table S6'!$A:$AI,24,FALSE)</f>
        <v>4.9710000000000001</v>
      </c>
      <c r="AG164" t="str">
        <f>VLOOKUP($I164,'[1]Table S6'!$A:$AI,25,FALSE)</f>
        <v>No</v>
      </c>
      <c r="AI164">
        <f>VLOOKUP($I164,'[1]Table S6'!$A:$AI,27,FALSE)</f>
        <v>400.5</v>
      </c>
      <c r="AJ164">
        <f>VLOOKUP($I164,'[1]Table S6'!$A:$AI,28,FALSE)</f>
        <v>0.85230900191530101</v>
      </c>
      <c r="AK164">
        <f>VLOOKUP($I164,'[1]Table S6'!$A:$AI,29,FALSE)</f>
        <v>17.989999999999998</v>
      </c>
      <c r="AL164" t="str">
        <f>VLOOKUP($I164,'[1]Table S6'!$A:$AI,30,FALSE)</f>
        <v>No</v>
      </c>
      <c r="AN164">
        <f>VLOOKUP($I164,'[1]Table S6'!$A:$AI,32,FALSE)</f>
        <v>295.3</v>
      </c>
      <c r="AO164">
        <f>VLOOKUP($I164,'[1]Table S6'!$A:$AI,33,FALSE)</f>
        <v>0.62843158118748699</v>
      </c>
      <c r="AP164">
        <f>VLOOKUP($I164,'[1]Table S6'!$A:$AI,34,FALSE)</f>
        <v>0.93910000000000005</v>
      </c>
      <c r="AQ164" t="str">
        <f>VLOOKUP($I164,'[1]Table S6'!$A:$AI,35,FALSE)</f>
        <v>Yes</v>
      </c>
      <c r="AS164" t="str">
        <f>VLOOKUP($H164,'[2]Table S5'!$A:$K,8,FALSE)</f>
        <v>Resistant</v>
      </c>
      <c r="AT164" t="str">
        <f>VLOOKUP($H164,'[2]Table S5'!$A:$K,9,FALSE)</f>
        <v>Resistant</v>
      </c>
      <c r="AU164" t="str">
        <f>VLOOKUP($H164,'[2]Table S5'!$A:$K,10,FALSE)</f>
        <v>Resistant</v>
      </c>
      <c r="AV164" t="str">
        <f>VLOOKUP($H164,'[2]Table S5'!$A:$K,11,FALSE)</f>
        <v>Resistant</v>
      </c>
    </row>
    <row r="165" spans="1:48">
      <c r="A165" t="s">
        <v>1244</v>
      </c>
      <c r="B165" t="s">
        <v>1245</v>
      </c>
      <c r="C165" t="s">
        <v>17</v>
      </c>
      <c r="D165" t="s">
        <v>1247</v>
      </c>
      <c r="E165" t="s">
        <v>1248</v>
      </c>
      <c r="F165" t="s">
        <v>1249</v>
      </c>
      <c r="G165" t="s">
        <v>4751</v>
      </c>
      <c r="H165" t="s">
        <v>1189</v>
      </c>
      <c r="I165" t="s">
        <v>1214</v>
      </c>
      <c r="J165">
        <f>VLOOKUP($I165,'[1]Table S6'!$A:$AI,2,FALSE)</f>
        <v>272.10000000000002</v>
      </c>
      <c r="K165">
        <f>VLOOKUP($I165,'[1]Table S6'!$A:$AI,3,FALSE)</f>
        <v>0.57905937433496502</v>
      </c>
      <c r="L165">
        <f>VLOOKUP($I165,'[1]Table S6'!$A:$AI,4,FALSE)</f>
        <v>0.59750000000000003</v>
      </c>
      <c r="M165" t="str">
        <f>VLOOKUP($I165,'[1]Table S6'!$A:$AI,5,FALSE)</f>
        <v>Yes</v>
      </c>
      <c r="O165">
        <f>VLOOKUP($I165,'[1]Table S6'!$A:$AI,7,FALSE)</f>
        <v>392.6</v>
      </c>
      <c r="P165">
        <f>VLOOKUP($I165,'[1]Table S6'!$A:$AI,8,FALSE)</f>
        <v>0.83549691423707195</v>
      </c>
      <c r="Q165">
        <f>VLOOKUP($I165,'[1]Table S6'!$A:$AI,9,FALSE)</f>
        <v>22.52</v>
      </c>
      <c r="R165" t="str">
        <f>VLOOKUP($I165,'[1]Table S6'!$A:$AI,10,FALSE)</f>
        <v>No</v>
      </c>
      <c r="T165">
        <f>VLOOKUP($I165,'[1]Table S6'!$A:$AI,12,FALSE)</f>
        <v>305.89999999999998</v>
      </c>
      <c r="U165">
        <f>VLOOKUP($I165,'[1]Table S6'!$A:$AI,13,FALSE)</f>
        <v>0.650989572249415</v>
      </c>
      <c r="V165">
        <f>VLOOKUP($I165,'[1]Table S6'!$A:$AI,14,FALSE)</f>
        <v>1.5109999999999999</v>
      </c>
      <c r="W165" t="str">
        <f>VLOOKUP($I165,'[1]Table S6'!$A:$AI,15,FALSE)</f>
        <v>Yes</v>
      </c>
      <c r="Y165">
        <f>VLOOKUP($I165,'[1]Table S6'!$A:$AI,17,FALSE)</f>
        <v>389.9</v>
      </c>
      <c r="Z165">
        <f>VLOOKUP($I165,'[1]Table S6'!$A:$AI,18,FALSE)</f>
        <v>0.82975101085337299</v>
      </c>
      <c r="AA165">
        <f>VLOOKUP($I165,'[1]Table S6'!$A:$AI,19,FALSE)</f>
        <v>24.34</v>
      </c>
      <c r="AB165" t="str">
        <f>VLOOKUP($I165,'[1]Table S6'!$A:$AI,20,FALSE)</f>
        <v>No</v>
      </c>
      <c r="AD165">
        <f>VLOOKUP($I165,'[1]Table S6'!$A:$AI,22,FALSE)</f>
        <v>326.5</v>
      </c>
      <c r="AE165">
        <f>VLOOKUP($I165,'[1]Table S6'!$A:$AI,23,FALSE)</f>
        <v>0.69482868695467104</v>
      </c>
      <c r="AF165">
        <f>VLOOKUP($I165,'[1]Table S6'!$A:$AI,24,FALSE)</f>
        <v>3.2759999999999998</v>
      </c>
      <c r="AG165" t="str">
        <f>VLOOKUP($I165,'[1]Table S6'!$A:$AI,25,FALSE)</f>
        <v>No</v>
      </c>
      <c r="AI165">
        <f>VLOOKUP($I165,'[1]Table S6'!$A:$AI,27,FALSE)</f>
        <v>338</v>
      </c>
      <c r="AJ165">
        <f>VLOOKUP($I165,'[1]Table S6'!$A:$AI,28,FALSE)</f>
        <v>0.719301979144499</v>
      </c>
      <c r="AK165">
        <f>VLOOKUP($I165,'[1]Table S6'!$A:$AI,29,FALSE)</f>
        <v>5.782</v>
      </c>
      <c r="AL165" t="str">
        <f>VLOOKUP($I165,'[1]Table S6'!$A:$AI,30,FALSE)</f>
        <v>No</v>
      </c>
      <c r="AN165">
        <f>VLOOKUP($I165,'[1]Table S6'!$A:$AI,32,FALSE)</f>
        <v>350.9</v>
      </c>
      <c r="AO165">
        <f>VLOOKUP($I165,'[1]Table S6'!$A:$AI,33,FALSE)</f>
        <v>0.74675462864439202</v>
      </c>
      <c r="AP165">
        <f>VLOOKUP($I165,'[1]Table S6'!$A:$AI,34,FALSE)</f>
        <v>9.984</v>
      </c>
      <c r="AQ165" t="str">
        <f>VLOOKUP($I165,'[1]Table S6'!$A:$AI,35,FALSE)</f>
        <v>No</v>
      </c>
      <c r="AS165" t="str">
        <f>VLOOKUP($H165,'[2]Table S5'!$A:$K,8,FALSE)</f>
        <v>Resistant</v>
      </c>
      <c r="AT165" t="str">
        <f>VLOOKUP($H165,'[2]Table S5'!$A:$K,9,FALSE)</f>
        <v>Resistant</v>
      </c>
      <c r="AU165" t="str">
        <f>VLOOKUP($H165,'[2]Table S5'!$A:$K,10,FALSE)</f>
        <v>Resistant</v>
      </c>
      <c r="AV165" t="str">
        <f>VLOOKUP($H165,'[2]Table S5'!$A:$K,11,FALSE)</f>
        <v>Resistant</v>
      </c>
    </row>
    <row r="166" spans="1:48">
      <c r="A166" t="s">
        <v>1251</v>
      </c>
      <c r="B166" t="s">
        <v>1252</v>
      </c>
      <c r="C166" t="s">
        <v>17</v>
      </c>
      <c r="D166" t="s">
        <v>1254</v>
      </c>
      <c r="E166" t="s">
        <v>1255</v>
      </c>
      <c r="F166" t="s">
        <v>1256</v>
      </c>
      <c r="G166" t="s">
        <v>4750</v>
      </c>
      <c r="H166" t="s">
        <v>1257</v>
      </c>
      <c r="I166" t="s">
        <v>1258</v>
      </c>
      <c r="J166">
        <f>VLOOKUP($I166,'[1]Table S6'!$A:$AI,2,FALSE)</f>
        <v>314.89999999999998</v>
      </c>
      <c r="K166">
        <f>VLOOKUP($I166,'[1]Table S6'!$A:$AI,3,FALSE)</f>
        <v>0.67014258352841005</v>
      </c>
      <c r="L166">
        <f>VLOOKUP($I166,'[1]Table S6'!$A:$AI,4,FALSE)</f>
        <v>1.4019999999999999</v>
      </c>
      <c r="M166" t="str">
        <f>VLOOKUP($I166,'[1]Table S6'!$A:$AI,5,FALSE)</f>
        <v>Yes</v>
      </c>
      <c r="O166">
        <f>VLOOKUP($I166,'[1]Table S6'!$A:$AI,7,FALSE)</f>
        <v>314.5</v>
      </c>
      <c r="P166">
        <f>VLOOKUP($I166,'[1]Table S6'!$A:$AI,8,FALSE)</f>
        <v>0.66929133858267698</v>
      </c>
      <c r="Q166">
        <f>VLOOKUP($I166,'[1]Table S6'!$A:$AI,9,FALSE)</f>
        <v>1.99</v>
      </c>
      <c r="R166" t="str">
        <f>VLOOKUP($I166,'[1]Table S6'!$A:$AI,10,FALSE)</f>
        <v>Yes</v>
      </c>
      <c r="T166">
        <f>VLOOKUP($I166,'[1]Table S6'!$A:$AI,12,FALSE)</f>
        <v>393.1</v>
      </c>
      <c r="U166">
        <f>VLOOKUP($I166,'[1]Table S6'!$A:$AI,13,FALSE)</f>
        <v>0.83656097041923805</v>
      </c>
      <c r="V166">
        <f>VLOOKUP($I166,'[1]Table S6'!$A:$AI,14,FALSE)</f>
        <v>20.440000000000001</v>
      </c>
      <c r="W166" t="str">
        <f>VLOOKUP($I166,'[1]Table S6'!$A:$AI,15,FALSE)</f>
        <v>No</v>
      </c>
      <c r="Y166">
        <f>VLOOKUP($I166,'[1]Table S6'!$A:$AI,17,FALSE)</f>
        <v>316.8</v>
      </c>
      <c r="Z166">
        <f>VLOOKUP($I166,'[1]Table S6'!$A:$AI,18,FALSE)</f>
        <v>0.67418599702064297</v>
      </c>
      <c r="AA166">
        <f>VLOOKUP($I166,'[1]Table S6'!$A:$AI,19,FALSE)</f>
        <v>1.456</v>
      </c>
      <c r="AB166" t="str">
        <f>VLOOKUP($I166,'[1]Table S6'!$A:$AI,20,FALSE)</f>
        <v>Yes</v>
      </c>
      <c r="AD166">
        <f>VLOOKUP($I166,'[1]Table S6'!$A:$AI,22,FALSE)</f>
        <v>396</v>
      </c>
      <c r="AE166">
        <f>VLOOKUP($I166,'[1]Table S6'!$A:$AI,23,FALSE)</f>
        <v>0.84273249627580304</v>
      </c>
      <c r="AF166">
        <f>VLOOKUP($I166,'[1]Table S6'!$A:$AI,24,FALSE)</f>
        <v>20.03</v>
      </c>
      <c r="AG166" t="str">
        <f>VLOOKUP($I166,'[1]Table S6'!$A:$AI,25,FALSE)</f>
        <v>No</v>
      </c>
      <c r="AI166">
        <f>VLOOKUP($I166,'[1]Table S6'!$A:$AI,27,FALSE)</f>
        <v>411.7</v>
      </c>
      <c r="AJ166">
        <f>VLOOKUP($I166,'[1]Table S6'!$A:$AI,28,FALSE)</f>
        <v>0.87614386039582903</v>
      </c>
      <c r="AK166">
        <f>VLOOKUP($I166,'[1]Table S6'!$A:$AI,29,FALSE)</f>
        <v>46.63</v>
      </c>
      <c r="AL166" t="str">
        <f>VLOOKUP($I166,'[1]Table S6'!$A:$AI,30,FALSE)</f>
        <v>No</v>
      </c>
      <c r="AN166">
        <f>VLOOKUP($I166,'[1]Table S6'!$A:$AI,32,FALSE)</f>
        <v>413.9</v>
      </c>
      <c r="AO166">
        <f>VLOOKUP($I166,'[1]Table S6'!$A:$AI,33,FALSE)</f>
        <v>0.88082570759736101</v>
      </c>
      <c r="AP166">
        <f>VLOOKUP($I166,'[1]Table S6'!$A:$AI,34,FALSE)</f>
        <v>26.56</v>
      </c>
      <c r="AQ166" t="str">
        <f>VLOOKUP($I166,'[1]Table S6'!$A:$AI,35,FALSE)</f>
        <v>No</v>
      </c>
      <c r="AS166" t="str">
        <f>VLOOKUP($H166,'[2]Table S5'!$A:$K,8,FALSE)</f>
        <v>Resistant</v>
      </c>
      <c r="AT166" t="str">
        <f>VLOOKUP($H166,'[2]Table S5'!$A:$K,9,FALSE)</f>
        <v>Sensitive</v>
      </c>
      <c r="AU166" t="str">
        <f>VLOOKUP($H166,'[2]Table S5'!$A:$K,10,FALSE)</f>
        <v>Resistant</v>
      </c>
      <c r="AV166" t="str">
        <f>VLOOKUP($H166,'[2]Table S5'!$A:$K,11,FALSE)</f>
        <v>Resistant</v>
      </c>
    </row>
    <row r="167" spans="1:48">
      <c r="A167" t="s">
        <v>1260</v>
      </c>
      <c r="B167" t="s">
        <v>1261</v>
      </c>
      <c r="C167" t="s">
        <v>17</v>
      </c>
      <c r="D167" t="s">
        <v>1263</v>
      </c>
      <c r="E167" t="s">
        <v>1264</v>
      </c>
      <c r="F167" t="s">
        <v>1265</v>
      </c>
      <c r="G167" t="s">
        <v>4750</v>
      </c>
      <c r="H167" t="s">
        <v>1257</v>
      </c>
      <c r="I167" t="s">
        <v>1266</v>
      </c>
      <c r="J167">
        <f>VLOOKUP($I167,'[1]Table S6'!$A:$AI,2,FALSE)</f>
        <v>291.8</v>
      </c>
      <c r="K167">
        <f>VLOOKUP($I167,'[1]Table S6'!$A:$AI,3,FALSE)</f>
        <v>0.62098318791232199</v>
      </c>
      <c r="L167">
        <f>VLOOKUP($I167,'[1]Table S6'!$A:$AI,4,FALSE)</f>
        <v>0.83260000000000001</v>
      </c>
      <c r="M167" t="str">
        <f>VLOOKUP($I167,'[1]Table S6'!$A:$AI,5,FALSE)</f>
        <v>Yes</v>
      </c>
      <c r="O167">
        <f>VLOOKUP($I167,'[1]Table S6'!$A:$AI,7,FALSE)</f>
        <v>273.7</v>
      </c>
      <c r="P167">
        <f>VLOOKUP($I167,'[1]Table S6'!$A:$AI,8,FALSE)</f>
        <v>0.58246435411789699</v>
      </c>
      <c r="Q167">
        <f>VLOOKUP($I167,'[1]Table S6'!$A:$AI,9,FALSE)</f>
        <v>0.55689999999999995</v>
      </c>
      <c r="R167" t="str">
        <f>VLOOKUP($I167,'[1]Table S6'!$A:$AI,10,FALSE)</f>
        <v>Yes</v>
      </c>
      <c r="T167">
        <f>VLOOKUP($I167,'[1]Table S6'!$A:$AI,12,FALSE)</f>
        <v>370</v>
      </c>
      <c r="U167">
        <f>VLOOKUP($I167,'[1]Table S6'!$A:$AI,13,FALSE)</f>
        <v>0.78740157480314998</v>
      </c>
      <c r="V167">
        <f>VLOOKUP($I167,'[1]Table S6'!$A:$AI,14,FALSE)</f>
        <v>19.57</v>
      </c>
      <c r="W167" t="str">
        <f>VLOOKUP($I167,'[1]Table S6'!$A:$AI,15,FALSE)</f>
        <v>No</v>
      </c>
      <c r="Y167">
        <f>VLOOKUP($I167,'[1]Table S6'!$A:$AI,17,FALSE)</f>
        <v>383.7</v>
      </c>
      <c r="Z167">
        <f>VLOOKUP($I167,'[1]Table S6'!$A:$AI,18,FALSE)</f>
        <v>0.81655671419450904</v>
      </c>
      <c r="AA167">
        <f>VLOOKUP($I167,'[1]Table S6'!$A:$AI,19,FALSE)</f>
        <v>17.100000000000001</v>
      </c>
      <c r="AB167" t="str">
        <f>VLOOKUP($I167,'[1]Table S6'!$A:$AI,20,FALSE)</f>
        <v>No</v>
      </c>
      <c r="AD167">
        <f>VLOOKUP($I167,'[1]Table S6'!$A:$AI,22,FALSE)</f>
        <v>368.5</v>
      </c>
      <c r="AE167">
        <f>VLOOKUP($I167,'[1]Table S6'!$A:$AI,23,FALSE)</f>
        <v>0.78420940625665003</v>
      </c>
      <c r="AF167">
        <f>VLOOKUP($I167,'[1]Table S6'!$A:$AI,24,FALSE)</f>
        <v>12.35</v>
      </c>
      <c r="AG167" t="str">
        <f>VLOOKUP($I167,'[1]Table S6'!$A:$AI,25,FALSE)</f>
        <v>No</v>
      </c>
      <c r="AI167">
        <f>VLOOKUP($I167,'[1]Table S6'!$A:$AI,27,FALSE)</f>
        <v>407</v>
      </c>
      <c r="AJ167">
        <f>VLOOKUP($I167,'[1]Table S6'!$A:$AI,28,FALSE)</f>
        <v>0.86614173228346503</v>
      </c>
      <c r="AK167">
        <f>VLOOKUP($I167,'[1]Table S6'!$A:$AI,29,FALSE)</f>
        <v>25.8</v>
      </c>
      <c r="AL167" t="str">
        <f>VLOOKUP($I167,'[1]Table S6'!$A:$AI,30,FALSE)</f>
        <v>No</v>
      </c>
      <c r="AN167">
        <f>VLOOKUP($I167,'[1]Table S6'!$A:$AI,32,FALSE)</f>
        <v>371.1</v>
      </c>
      <c r="AO167">
        <f>VLOOKUP($I167,'[1]Table S6'!$A:$AI,33,FALSE)</f>
        <v>0.78974249840391597</v>
      </c>
      <c r="AP167">
        <f>VLOOKUP($I167,'[1]Table S6'!$A:$AI,34,FALSE)</f>
        <v>9.4770000000000003</v>
      </c>
      <c r="AQ167" t="str">
        <f>VLOOKUP($I167,'[1]Table S6'!$A:$AI,35,FALSE)</f>
        <v>No</v>
      </c>
      <c r="AS167" t="str">
        <f>VLOOKUP($H167,'[2]Table S5'!$A:$K,8,FALSE)</f>
        <v>Resistant</v>
      </c>
      <c r="AT167" t="str">
        <f>VLOOKUP($H167,'[2]Table S5'!$A:$K,9,FALSE)</f>
        <v>Sensitive</v>
      </c>
      <c r="AU167" t="str">
        <f>VLOOKUP($H167,'[2]Table S5'!$A:$K,10,FALSE)</f>
        <v>Resistant</v>
      </c>
      <c r="AV167" t="str">
        <f>VLOOKUP($H167,'[2]Table S5'!$A:$K,11,FALSE)</f>
        <v>Resistant</v>
      </c>
    </row>
    <row r="168" spans="1:48">
      <c r="A168" t="s">
        <v>1268</v>
      </c>
      <c r="B168" t="s">
        <v>1269</v>
      </c>
      <c r="C168" t="s">
        <v>17</v>
      </c>
      <c r="D168" t="s">
        <v>1271</v>
      </c>
      <c r="E168" t="s">
        <v>1272</v>
      </c>
      <c r="F168" t="s">
        <v>1273</v>
      </c>
      <c r="G168" t="s">
        <v>4750</v>
      </c>
      <c r="H168" t="s">
        <v>1257</v>
      </c>
      <c r="I168" t="s">
        <v>1274</v>
      </c>
      <c r="J168">
        <f>VLOOKUP($I168,'[1]Table S6'!$A:$AI,2,FALSE)</f>
        <v>327.9</v>
      </c>
      <c r="K168">
        <f>VLOOKUP($I168,'[1]Table S6'!$A:$AI,3,FALSE)</f>
        <v>0.69780804426473697</v>
      </c>
      <c r="L168">
        <f>VLOOKUP($I168,'[1]Table S6'!$A:$AI,4,FALSE)</f>
        <v>1.5820000000000001</v>
      </c>
      <c r="M168" t="str">
        <f>VLOOKUP($I168,'[1]Table S6'!$A:$AI,5,FALSE)</f>
        <v>Yes</v>
      </c>
      <c r="O168">
        <f>VLOOKUP($I168,'[1]Table S6'!$A:$AI,7,FALSE)</f>
        <v>338.5</v>
      </c>
      <c r="P168">
        <f>VLOOKUP($I168,'[1]Table S6'!$A:$AI,8,FALSE)</f>
        <v>0.72036603532666499</v>
      </c>
      <c r="Q168">
        <f>VLOOKUP($I168,'[1]Table S6'!$A:$AI,9,FALSE)</f>
        <v>2.2080000000000002</v>
      </c>
      <c r="R168" t="str">
        <f>VLOOKUP($I168,'[1]Table S6'!$A:$AI,10,FALSE)</f>
        <v>No</v>
      </c>
      <c r="T168">
        <f>VLOOKUP($I168,'[1]Table S6'!$A:$AI,12,FALSE)</f>
        <v>379.7</v>
      </c>
      <c r="U168">
        <f>VLOOKUP($I168,'[1]Table S6'!$A:$AI,13,FALSE)</f>
        <v>0.80804426473717805</v>
      </c>
      <c r="V168">
        <f>VLOOKUP($I168,'[1]Table S6'!$A:$AI,14,FALSE)</f>
        <v>7.7930000000000001</v>
      </c>
      <c r="W168" t="str">
        <f>VLOOKUP($I168,'[1]Table S6'!$A:$AI,15,FALSE)</f>
        <v>No</v>
      </c>
      <c r="Y168">
        <f>VLOOKUP($I168,'[1]Table S6'!$A:$AI,17,FALSE)</f>
        <v>383.4</v>
      </c>
      <c r="Z168">
        <f>VLOOKUP($I168,'[1]Table S6'!$A:$AI,18,FALSE)</f>
        <v>0.81591828048520998</v>
      </c>
      <c r="AA168">
        <f>VLOOKUP($I168,'[1]Table S6'!$A:$AI,19,FALSE)</f>
        <v>15.93</v>
      </c>
      <c r="AB168" t="str">
        <f>VLOOKUP($I168,'[1]Table S6'!$A:$AI,20,FALSE)</f>
        <v>No</v>
      </c>
      <c r="AD168">
        <f>VLOOKUP($I168,'[1]Table S6'!$A:$AI,22,FALSE)</f>
        <v>415.2</v>
      </c>
      <c r="AE168">
        <f>VLOOKUP($I168,'[1]Table S6'!$A:$AI,23,FALSE)</f>
        <v>0.88359225367099403</v>
      </c>
      <c r="AF168">
        <f>VLOOKUP($I168,'[1]Table S6'!$A:$AI,24,FALSE)</f>
        <v>28.96</v>
      </c>
      <c r="AG168" t="str">
        <f>VLOOKUP($I168,'[1]Table S6'!$A:$AI,25,FALSE)</f>
        <v>No</v>
      </c>
      <c r="AI168">
        <f>VLOOKUP($I168,'[1]Table S6'!$A:$AI,27,FALSE)</f>
        <v>437.6</v>
      </c>
      <c r="AJ168">
        <f>VLOOKUP($I168,'[1]Table S6'!$A:$AI,28,FALSE)</f>
        <v>0.93126197063204996</v>
      </c>
      <c r="AK168">
        <f>VLOOKUP($I168,'[1]Table S6'!$A:$AI,29,FALSE)</f>
        <v>70.27</v>
      </c>
      <c r="AL168" t="str">
        <f>VLOOKUP($I168,'[1]Table S6'!$A:$AI,30,FALSE)</f>
        <v>No</v>
      </c>
      <c r="AN168">
        <f>VLOOKUP($I168,'[1]Table S6'!$A:$AI,32,FALSE)</f>
        <v>437.3</v>
      </c>
      <c r="AO168">
        <f>VLOOKUP($I168,'[1]Table S6'!$A:$AI,33,FALSE)</f>
        <v>0.93062353692275002</v>
      </c>
      <c r="AP168">
        <f>VLOOKUP($I168,'[1]Table S6'!$A:$AI,34,FALSE)</f>
        <v>68.95</v>
      </c>
      <c r="AQ168" t="str">
        <f>VLOOKUP($I168,'[1]Table S6'!$A:$AI,35,FALSE)</f>
        <v>No</v>
      </c>
      <c r="AS168" t="str">
        <f>VLOOKUP($H168,'[2]Table S5'!$A:$K,8,FALSE)</f>
        <v>Resistant</v>
      </c>
      <c r="AT168" t="str">
        <f>VLOOKUP($H168,'[2]Table S5'!$A:$K,9,FALSE)</f>
        <v>Sensitive</v>
      </c>
      <c r="AU168" t="str">
        <f>VLOOKUP($H168,'[2]Table S5'!$A:$K,10,FALSE)</f>
        <v>Resistant</v>
      </c>
      <c r="AV168" t="str">
        <f>VLOOKUP($H168,'[2]Table S5'!$A:$K,11,FALSE)</f>
        <v>Resistant</v>
      </c>
    </row>
    <row r="169" spans="1:48">
      <c r="A169" t="s">
        <v>1276</v>
      </c>
      <c r="B169" t="s">
        <v>1277</v>
      </c>
      <c r="C169" t="s">
        <v>17</v>
      </c>
      <c r="D169" t="s">
        <v>1279</v>
      </c>
      <c r="E169" t="s">
        <v>1280</v>
      </c>
      <c r="F169" t="s">
        <v>1281</v>
      </c>
      <c r="G169" t="s">
        <v>4751</v>
      </c>
      <c r="H169" t="s">
        <v>1257</v>
      </c>
      <c r="I169" t="s">
        <v>1258</v>
      </c>
      <c r="J169">
        <f>VLOOKUP($I169,'[1]Table S6'!$A:$AI,2,FALSE)</f>
        <v>314.89999999999998</v>
      </c>
      <c r="K169">
        <f>VLOOKUP($I169,'[1]Table S6'!$A:$AI,3,FALSE)</f>
        <v>0.67014258352841005</v>
      </c>
      <c r="L169">
        <f>VLOOKUP($I169,'[1]Table S6'!$A:$AI,4,FALSE)</f>
        <v>1.4019999999999999</v>
      </c>
      <c r="M169" t="str">
        <f>VLOOKUP($I169,'[1]Table S6'!$A:$AI,5,FALSE)</f>
        <v>Yes</v>
      </c>
      <c r="O169">
        <f>VLOOKUP($I169,'[1]Table S6'!$A:$AI,7,FALSE)</f>
        <v>314.5</v>
      </c>
      <c r="P169">
        <f>VLOOKUP($I169,'[1]Table S6'!$A:$AI,8,FALSE)</f>
        <v>0.66929133858267698</v>
      </c>
      <c r="Q169">
        <f>VLOOKUP($I169,'[1]Table S6'!$A:$AI,9,FALSE)</f>
        <v>1.99</v>
      </c>
      <c r="R169" t="str">
        <f>VLOOKUP($I169,'[1]Table S6'!$A:$AI,10,FALSE)</f>
        <v>Yes</v>
      </c>
      <c r="T169">
        <f>VLOOKUP($I169,'[1]Table S6'!$A:$AI,12,FALSE)</f>
        <v>393.1</v>
      </c>
      <c r="U169">
        <f>VLOOKUP($I169,'[1]Table S6'!$A:$AI,13,FALSE)</f>
        <v>0.83656097041923805</v>
      </c>
      <c r="V169">
        <f>VLOOKUP($I169,'[1]Table S6'!$A:$AI,14,FALSE)</f>
        <v>20.440000000000001</v>
      </c>
      <c r="W169" t="str">
        <f>VLOOKUP($I169,'[1]Table S6'!$A:$AI,15,FALSE)</f>
        <v>No</v>
      </c>
      <c r="Y169">
        <f>VLOOKUP($I169,'[1]Table S6'!$A:$AI,17,FALSE)</f>
        <v>316.8</v>
      </c>
      <c r="Z169">
        <f>VLOOKUP($I169,'[1]Table S6'!$A:$AI,18,FALSE)</f>
        <v>0.67418599702064297</v>
      </c>
      <c r="AA169">
        <f>VLOOKUP($I169,'[1]Table S6'!$A:$AI,19,FALSE)</f>
        <v>1.456</v>
      </c>
      <c r="AB169" t="str">
        <f>VLOOKUP($I169,'[1]Table S6'!$A:$AI,20,FALSE)</f>
        <v>Yes</v>
      </c>
      <c r="AD169">
        <f>VLOOKUP($I169,'[1]Table S6'!$A:$AI,22,FALSE)</f>
        <v>396</v>
      </c>
      <c r="AE169">
        <f>VLOOKUP($I169,'[1]Table S6'!$A:$AI,23,FALSE)</f>
        <v>0.84273249627580304</v>
      </c>
      <c r="AF169">
        <f>VLOOKUP($I169,'[1]Table S6'!$A:$AI,24,FALSE)</f>
        <v>20.03</v>
      </c>
      <c r="AG169" t="str">
        <f>VLOOKUP($I169,'[1]Table S6'!$A:$AI,25,FALSE)</f>
        <v>No</v>
      </c>
      <c r="AI169">
        <f>VLOOKUP($I169,'[1]Table S6'!$A:$AI,27,FALSE)</f>
        <v>411.7</v>
      </c>
      <c r="AJ169">
        <f>VLOOKUP($I169,'[1]Table S6'!$A:$AI,28,FALSE)</f>
        <v>0.87614386039582903</v>
      </c>
      <c r="AK169">
        <f>VLOOKUP($I169,'[1]Table S6'!$A:$AI,29,FALSE)</f>
        <v>46.63</v>
      </c>
      <c r="AL169" t="str">
        <f>VLOOKUP($I169,'[1]Table S6'!$A:$AI,30,FALSE)</f>
        <v>No</v>
      </c>
      <c r="AN169">
        <f>VLOOKUP($I169,'[1]Table S6'!$A:$AI,32,FALSE)</f>
        <v>413.9</v>
      </c>
      <c r="AO169">
        <f>VLOOKUP($I169,'[1]Table S6'!$A:$AI,33,FALSE)</f>
        <v>0.88082570759736101</v>
      </c>
      <c r="AP169">
        <f>VLOOKUP($I169,'[1]Table S6'!$A:$AI,34,FALSE)</f>
        <v>26.56</v>
      </c>
      <c r="AQ169" t="str">
        <f>VLOOKUP($I169,'[1]Table S6'!$A:$AI,35,FALSE)</f>
        <v>No</v>
      </c>
      <c r="AS169" t="str">
        <f>VLOOKUP($H169,'[2]Table S5'!$A:$K,8,FALSE)</f>
        <v>Resistant</v>
      </c>
      <c r="AT169" t="str">
        <f>VLOOKUP($H169,'[2]Table S5'!$A:$K,9,FALSE)</f>
        <v>Sensitive</v>
      </c>
      <c r="AU169" t="str">
        <f>VLOOKUP($H169,'[2]Table S5'!$A:$K,10,FALSE)</f>
        <v>Resistant</v>
      </c>
      <c r="AV169" t="str">
        <f>VLOOKUP($H169,'[2]Table S5'!$A:$K,11,FALSE)</f>
        <v>Resistant</v>
      </c>
    </row>
    <row r="170" spans="1:48">
      <c r="A170" t="s">
        <v>1283</v>
      </c>
      <c r="B170" t="s">
        <v>1284</v>
      </c>
      <c r="C170" t="s">
        <v>17</v>
      </c>
      <c r="D170" t="s">
        <v>1286</v>
      </c>
      <c r="E170" t="s">
        <v>1287</v>
      </c>
      <c r="F170" t="s">
        <v>1288</v>
      </c>
      <c r="G170" t="s">
        <v>4751</v>
      </c>
      <c r="H170" t="s">
        <v>1257</v>
      </c>
      <c r="I170" t="s">
        <v>1266</v>
      </c>
      <c r="J170">
        <f>VLOOKUP($I170,'[1]Table S6'!$A:$AI,2,FALSE)</f>
        <v>291.8</v>
      </c>
      <c r="K170">
        <f>VLOOKUP($I170,'[1]Table S6'!$A:$AI,3,FALSE)</f>
        <v>0.62098318791232199</v>
      </c>
      <c r="L170">
        <f>VLOOKUP($I170,'[1]Table S6'!$A:$AI,4,FALSE)</f>
        <v>0.83260000000000001</v>
      </c>
      <c r="M170" t="str">
        <f>VLOOKUP($I170,'[1]Table S6'!$A:$AI,5,FALSE)</f>
        <v>Yes</v>
      </c>
      <c r="O170">
        <f>VLOOKUP($I170,'[1]Table S6'!$A:$AI,7,FALSE)</f>
        <v>273.7</v>
      </c>
      <c r="P170">
        <f>VLOOKUP($I170,'[1]Table S6'!$A:$AI,8,FALSE)</f>
        <v>0.58246435411789699</v>
      </c>
      <c r="Q170">
        <f>VLOOKUP($I170,'[1]Table S6'!$A:$AI,9,FALSE)</f>
        <v>0.55689999999999995</v>
      </c>
      <c r="R170" t="str">
        <f>VLOOKUP($I170,'[1]Table S6'!$A:$AI,10,FALSE)</f>
        <v>Yes</v>
      </c>
      <c r="T170">
        <f>VLOOKUP($I170,'[1]Table S6'!$A:$AI,12,FALSE)</f>
        <v>370</v>
      </c>
      <c r="U170">
        <f>VLOOKUP($I170,'[1]Table S6'!$A:$AI,13,FALSE)</f>
        <v>0.78740157480314998</v>
      </c>
      <c r="V170">
        <f>VLOOKUP($I170,'[1]Table S6'!$A:$AI,14,FALSE)</f>
        <v>19.57</v>
      </c>
      <c r="W170" t="str">
        <f>VLOOKUP($I170,'[1]Table S6'!$A:$AI,15,FALSE)</f>
        <v>No</v>
      </c>
      <c r="Y170">
        <f>VLOOKUP($I170,'[1]Table S6'!$A:$AI,17,FALSE)</f>
        <v>383.7</v>
      </c>
      <c r="Z170">
        <f>VLOOKUP($I170,'[1]Table S6'!$A:$AI,18,FALSE)</f>
        <v>0.81655671419450904</v>
      </c>
      <c r="AA170">
        <f>VLOOKUP($I170,'[1]Table S6'!$A:$AI,19,FALSE)</f>
        <v>17.100000000000001</v>
      </c>
      <c r="AB170" t="str">
        <f>VLOOKUP($I170,'[1]Table S6'!$A:$AI,20,FALSE)</f>
        <v>No</v>
      </c>
      <c r="AD170">
        <f>VLOOKUP($I170,'[1]Table S6'!$A:$AI,22,FALSE)</f>
        <v>368.5</v>
      </c>
      <c r="AE170">
        <f>VLOOKUP($I170,'[1]Table S6'!$A:$AI,23,FALSE)</f>
        <v>0.78420940625665003</v>
      </c>
      <c r="AF170">
        <f>VLOOKUP($I170,'[1]Table S6'!$A:$AI,24,FALSE)</f>
        <v>12.35</v>
      </c>
      <c r="AG170" t="str">
        <f>VLOOKUP($I170,'[1]Table S6'!$A:$AI,25,FALSE)</f>
        <v>No</v>
      </c>
      <c r="AI170">
        <f>VLOOKUP($I170,'[1]Table S6'!$A:$AI,27,FALSE)</f>
        <v>407</v>
      </c>
      <c r="AJ170">
        <f>VLOOKUP($I170,'[1]Table S6'!$A:$AI,28,FALSE)</f>
        <v>0.86614173228346503</v>
      </c>
      <c r="AK170">
        <f>VLOOKUP($I170,'[1]Table S6'!$A:$AI,29,FALSE)</f>
        <v>25.8</v>
      </c>
      <c r="AL170" t="str">
        <f>VLOOKUP($I170,'[1]Table S6'!$A:$AI,30,FALSE)</f>
        <v>No</v>
      </c>
      <c r="AN170">
        <f>VLOOKUP($I170,'[1]Table S6'!$A:$AI,32,FALSE)</f>
        <v>371.1</v>
      </c>
      <c r="AO170">
        <f>VLOOKUP($I170,'[1]Table S6'!$A:$AI,33,FALSE)</f>
        <v>0.78974249840391597</v>
      </c>
      <c r="AP170">
        <f>VLOOKUP($I170,'[1]Table S6'!$A:$AI,34,FALSE)</f>
        <v>9.4770000000000003</v>
      </c>
      <c r="AQ170" t="str">
        <f>VLOOKUP($I170,'[1]Table S6'!$A:$AI,35,FALSE)</f>
        <v>No</v>
      </c>
      <c r="AS170" t="str">
        <f>VLOOKUP($H170,'[2]Table S5'!$A:$K,8,FALSE)</f>
        <v>Resistant</v>
      </c>
      <c r="AT170" t="str">
        <f>VLOOKUP($H170,'[2]Table S5'!$A:$K,9,FALSE)</f>
        <v>Sensitive</v>
      </c>
      <c r="AU170" t="str">
        <f>VLOOKUP($H170,'[2]Table S5'!$A:$K,10,FALSE)</f>
        <v>Resistant</v>
      </c>
      <c r="AV170" t="str">
        <f>VLOOKUP($H170,'[2]Table S5'!$A:$K,11,FALSE)</f>
        <v>Resistant</v>
      </c>
    </row>
    <row r="171" spans="1:48">
      <c r="A171" t="s">
        <v>1290</v>
      </c>
      <c r="B171" t="s">
        <v>1291</v>
      </c>
      <c r="C171" t="s">
        <v>17</v>
      </c>
      <c r="D171" t="s">
        <v>1293</v>
      </c>
      <c r="E171" t="s">
        <v>1294</v>
      </c>
      <c r="F171" t="s">
        <v>1295</v>
      </c>
      <c r="G171" t="s">
        <v>4751</v>
      </c>
      <c r="H171" t="s">
        <v>1257</v>
      </c>
      <c r="I171" t="s">
        <v>1274</v>
      </c>
      <c r="J171">
        <f>VLOOKUP($I171,'[1]Table S6'!$A:$AI,2,FALSE)</f>
        <v>327.9</v>
      </c>
      <c r="K171">
        <f>VLOOKUP($I171,'[1]Table S6'!$A:$AI,3,FALSE)</f>
        <v>0.69780804426473697</v>
      </c>
      <c r="L171">
        <f>VLOOKUP($I171,'[1]Table S6'!$A:$AI,4,FALSE)</f>
        <v>1.5820000000000001</v>
      </c>
      <c r="M171" t="str">
        <f>VLOOKUP($I171,'[1]Table S6'!$A:$AI,5,FALSE)</f>
        <v>Yes</v>
      </c>
      <c r="O171">
        <f>VLOOKUP($I171,'[1]Table S6'!$A:$AI,7,FALSE)</f>
        <v>338.5</v>
      </c>
      <c r="P171">
        <f>VLOOKUP($I171,'[1]Table S6'!$A:$AI,8,FALSE)</f>
        <v>0.72036603532666499</v>
      </c>
      <c r="Q171">
        <f>VLOOKUP($I171,'[1]Table S6'!$A:$AI,9,FALSE)</f>
        <v>2.2080000000000002</v>
      </c>
      <c r="R171" t="str">
        <f>VLOOKUP($I171,'[1]Table S6'!$A:$AI,10,FALSE)</f>
        <v>No</v>
      </c>
      <c r="T171">
        <f>VLOOKUP($I171,'[1]Table S6'!$A:$AI,12,FALSE)</f>
        <v>379.7</v>
      </c>
      <c r="U171">
        <f>VLOOKUP($I171,'[1]Table S6'!$A:$AI,13,FALSE)</f>
        <v>0.80804426473717805</v>
      </c>
      <c r="V171">
        <f>VLOOKUP($I171,'[1]Table S6'!$A:$AI,14,FALSE)</f>
        <v>7.7930000000000001</v>
      </c>
      <c r="W171" t="str">
        <f>VLOOKUP($I171,'[1]Table S6'!$A:$AI,15,FALSE)</f>
        <v>No</v>
      </c>
      <c r="Y171">
        <f>VLOOKUP($I171,'[1]Table S6'!$A:$AI,17,FALSE)</f>
        <v>383.4</v>
      </c>
      <c r="Z171">
        <f>VLOOKUP($I171,'[1]Table S6'!$A:$AI,18,FALSE)</f>
        <v>0.81591828048520998</v>
      </c>
      <c r="AA171">
        <f>VLOOKUP($I171,'[1]Table S6'!$A:$AI,19,FALSE)</f>
        <v>15.93</v>
      </c>
      <c r="AB171" t="str">
        <f>VLOOKUP($I171,'[1]Table S6'!$A:$AI,20,FALSE)</f>
        <v>No</v>
      </c>
      <c r="AD171">
        <f>VLOOKUP($I171,'[1]Table S6'!$A:$AI,22,FALSE)</f>
        <v>415.2</v>
      </c>
      <c r="AE171">
        <f>VLOOKUP($I171,'[1]Table S6'!$A:$AI,23,FALSE)</f>
        <v>0.88359225367099403</v>
      </c>
      <c r="AF171">
        <f>VLOOKUP($I171,'[1]Table S6'!$A:$AI,24,FALSE)</f>
        <v>28.96</v>
      </c>
      <c r="AG171" t="str">
        <f>VLOOKUP($I171,'[1]Table S6'!$A:$AI,25,FALSE)</f>
        <v>No</v>
      </c>
      <c r="AI171">
        <f>VLOOKUP($I171,'[1]Table S6'!$A:$AI,27,FALSE)</f>
        <v>437.6</v>
      </c>
      <c r="AJ171">
        <f>VLOOKUP($I171,'[1]Table S6'!$A:$AI,28,FALSE)</f>
        <v>0.93126197063204996</v>
      </c>
      <c r="AK171">
        <f>VLOOKUP($I171,'[1]Table S6'!$A:$AI,29,FALSE)</f>
        <v>70.27</v>
      </c>
      <c r="AL171" t="str">
        <f>VLOOKUP($I171,'[1]Table S6'!$A:$AI,30,FALSE)</f>
        <v>No</v>
      </c>
      <c r="AN171">
        <f>VLOOKUP($I171,'[1]Table S6'!$A:$AI,32,FALSE)</f>
        <v>437.3</v>
      </c>
      <c r="AO171">
        <f>VLOOKUP($I171,'[1]Table S6'!$A:$AI,33,FALSE)</f>
        <v>0.93062353692275002</v>
      </c>
      <c r="AP171">
        <f>VLOOKUP($I171,'[1]Table S6'!$A:$AI,34,FALSE)</f>
        <v>68.95</v>
      </c>
      <c r="AQ171" t="str">
        <f>VLOOKUP($I171,'[1]Table S6'!$A:$AI,35,FALSE)</f>
        <v>No</v>
      </c>
      <c r="AS171" t="str">
        <f>VLOOKUP($H171,'[2]Table S5'!$A:$K,8,FALSE)</f>
        <v>Resistant</v>
      </c>
      <c r="AT171" t="str">
        <f>VLOOKUP($H171,'[2]Table S5'!$A:$K,9,FALSE)</f>
        <v>Sensitive</v>
      </c>
      <c r="AU171" t="str">
        <f>VLOOKUP($H171,'[2]Table S5'!$A:$K,10,FALSE)</f>
        <v>Resistant</v>
      </c>
      <c r="AV171" t="str">
        <f>VLOOKUP($H171,'[2]Table S5'!$A:$K,11,FALSE)</f>
        <v>Resistant</v>
      </c>
    </row>
    <row r="172" spans="1:48">
      <c r="A172" t="s">
        <v>1297</v>
      </c>
      <c r="B172" t="s">
        <v>1298</v>
      </c>
      <c r="C172" t="s">
        <v>17</v>
      </c>
      <c r="D172" t="s">
        <v>1300</v>
      </c>
      <c r="E172" t="s">
        <v>1301</v>
      </c>
      <c r="F172" t="s">
        <v>1302</v>
      </c>
      <c r="G172" t="s">
        <v>4757</v>
      </c>
      <c r="H172" t="s">
        <v>1257</v>
      </c>
      <c r="I172" t="s">
        <v>1257</v>
      </c>
      <c r="J172" t="e">
        <f>VLOOKUP($I172,'[1]Table S6'!$A:$AI,2,FALSE)</f>
        <v>#N/A</v>
      </c>
      <c r="K172" t="e">
        <f>VLOOKUP($I172,'[1]Table S6'!$A:$AI,3,FALSE)</f>
        <v>#N/A</v>
      </c>
      <c r="L172" t="e">
        <f>VLOOKUP($I172,'[1]Table S6'!$A:$AI,4,FALSE)</f>
        <v>#N/A</v>
      </c>
      <c r="M172" t="e">
        <f>VLOOKUP($I172,'[1]Table S6'!$A:$AI,5,FALSE)</f>
        <v>#N/A</v>
      </c>
      <c r="O172" t="e">
        <f>VLOOKUP($I172,'[1]Table S6'!$A:$AI,7,FALSE)</f>
        <v>#N/A</v>
      </c>
      <c r="P172" t="e">
        <f>VLOOKUP($I172,'[1]Table S6'!$A:$AI,8,FALSE)</f>
        <v>#N/A</v>
      </c>
      <c r="Q172" t="e">
        <f>VLOOKUP($I172,'[1]Table S6'!$A:$AI,9,FALSE)</f>
        <v>#N/A</v>
      </c>
      <c r="R172" t="e">
        <f>VLOOKUP($I172,'[1]Table S6'!$A:$AI,10,FALSE)</f>
        <v>#N/A</v>
      </c>
      <c r="T172" t="e">
        <f>VLOOKUP($I172,'[1]Table S6'!$A:$AI,12,FALSE)</f>
        <v>#N/A</v>
      </c>
      <c r="U172" t="e">
        <f>VLOOKUP($I172,'[1]Table S6'!$A:$AI,13,FALSE)</f>
        <v>#N/A</v>
      </c>
      <c r="V172" t="e">
        <f>VLOOKUP($I172,'[1]Table S6'!$A:$AI,14,FALSE)</f>
        <v>#N/A</v>
      </c>
      <c r="W172" t="e">
        <f>VLOOKUP($I172,'[1]Table S6'!$A:$AI,15,FALSE)</f>
        <v>#N/A</v>
      </c>
      <c r="Y172" t="e">
        <f>VLOOKUP($I172,'[1]Table S6'!$A:$AI,17,FALSE)</f>
        <v>#N/A</v>
      </c>
      <c r="Z172" t="e">
        <f>VLOOKUP($I172,'[1]Table S6'!$A:$AI,18,FALSE)</f>
        <v>#N/A</v>
      </c>
      <c r="AA172" t="e">
        <f>VLOOKUP($I172,'[1]Table S6'!$A:$AI,19,FALSE)</f>
        <v>#N/A</v>
      </c>
      <c r="AB172" t="e">
        <f>VLOOKUP($I172,'[1]Table S6'!$A:$AI,20,FALSE)</f>
        <v>#N/A</v>
      </c>
      <c r="AD172" t="e">
        <f>VLOOKUP($I172,'[1]Table S6'!$A:$AI,22,FALSE)</f>
        <v>#N/A</v>
      </c>
      <c r="AE172" t="e">
        <f>VLOOKUP($I172,'[1]Table S6'!$A:$AI,23,FALSE)</f>
        <v>#N/A</v>
      </c>
      <c r="AF172" t="e">
        <f>VLOOKUP($I172,'[1]Table S6'!$A:$AI,24,FALSE)</f>
        <v>#N/A</v>
      </c>
      <c r="AG172" t="e">
        <f>VLOOKUP($I172,'[1]Table S6'!$A:$AI,25,FALSE)</f>
        <v>#N/A</v>
      </c>
      <c r="AI172" t="e">
        <f>VLOOKUP($I172,'[1]Table S6'!$A:$AI,27,FALSE)</f>
        <v>#N/A</v>
      </c>
      <c r="AJ172" t="e">
        <f>VLOOKUP($I172,'[1]Table S6'!$A:$AI,28,FALSE)</f>
        <v>#N/A</v>
      </c>
      <c r="AK172" t="e">
        <f>VLOOKUP($I172,'[1]Table S6'!$A:$AI,29,FALSE)</f>
        <v>#N/A</v>
      </c>
      <c r="AL172" t="e">
        <f>VLOOKUP($I172,'[1]Table S6'!$A:$AI,30,FALSE)</f>
        <v>#N/A</v>
      </c>
      <c r="AN172" t="e">
        <f>VLOOKUP($I172,'[1]Table S6'!$A:$AI,32,FALSE)</f>
        <v>#N/A</v>
      </c>
      <c r="AO172" t="e">
        <f>VLOOKUP($I172,'[1]Table S6'!$A:$AI,33,FALSE)</f>
        <v>#N/A</v>
      </c>
      <c r="AP172" t="e">
        <f>VLOOKUP($I172,'[1]Table S6'!$A:$AI,34,FALSE)</f>
        <v>#N/A</v>
      </c>
      <c r="AQ172" t="e">
        <f>VLOOKUP($I172,'[1]Table S6'!$A:$AI,35,FALSE)</f>
        <v>#N/A</v>
      </c>
      <c r="AS172" t="str">
        <f>VLOOKUP($H172,'[2]Table S5'!$A:$K,8,FALSE)</f>
        <v>Resistant</v>
      </c>
      <c r="AT172" t="str">
        <f>VLOOKUP($H172,'[2]Table S5'!$A:$K,9,FALSE)</f>
        <v>Sensitive</v>
      </c>
      <c r="AU172" t="str">
        <f>VLOOKUP($H172,'[2]Table S5'!$A:$K,10,FALSE)</f>
        <v>Resistant</v>
      </c>
      <c r="AV172" t="str">
        <f>VLOOKUP($H172,'[2]Table S5'!$A:$K,11,FALSE)</f>
        <v>Resistant</v>
      </c>
    </row>
    <row r="173" spans="1:48">
      <c r="A173" t="s">
        <v>1304</v>
      </c>
      <c r="B173" t="s">
        <v>1305</v>
      </c>
      <c r="C173" t="s">
        <v>17</v>
      </c>
      <c r="D173" t="s">
        <v>1307</v>
      </c>
      <c r="E173" t="s">
        <v>1308</v>
      </c>
      <c r="F173" t="s">
        <v>1309</v>
      </c>
      <c r="G173" t="s">
        <v>4757</v>
      </c>
      <c r="H173" t="s">
        <v>1310</v>
      </c>
      <c r="I173" t="s">
        <v>1310</v>
      </c>
      <c r="J173" t="e">
        <f>VLOOKUP($I173,'[1]Table S6'!$A:$AI,2,FALSE)</f>
        <v>#N/A</v>
      </c>
      <c r="K173" t="e">
        <f>VLOOKUP($I173,'[1]Table S6'!$A:$AI,3,FALSE)</f>
        <v>#N/A</v>
      </c>
      <c r="L173" t="e">
        <f>VLOOKUP($I173,'[1]Table S6'!$A:$AI,4,FALSE)</f>
        <v>#N/A</v>
      </c>
      <c r="M173" t="e">
        <f>VLOOKUP($I173,'[1]Table S6'!$A:$AI,5,FALSE)</f>
        <v>#N/A</v>
      </c>
      <c r="O173" t="e">
        <f>VLOOKUP($I173,'[1]Table S6'!$A:$AI,7,FALSE)</f>
        <v>#N/A</v>
      </c>
      <c r="P173" t="e">
        <f>VLOOKUP($I173,'[1]Table S6'!$A:$AI,8,FALSE)</f>
        <v>#N/A</v>
      </c>
      <c r="Q173" t="e">
        <f>VLOOKUP($I173,'[1]Table S6'!$A:$AI,9,FALSE)</f>
        <v>#N/A</v>
      </c>
      <c r="R173" t="e">
        <f>VLOOKUP($I173,'[1]Table S6'!$A:$AI,10,FALSE)</f>
        <v>#N/A</v>
      </c>
      <c r="T173" t="e">
        <f>VLOOKUP($I173,'[1]Table S6'!$A:$AI,12,FALSE)</f>
        <v>#N/A</v>
      </c>
      <c r="U173" t="e">
        <f>VLOOKUP($I173,'[1]Table S6'!$A:$AI,13,FALSE)</f>
        <v>#N/A</v>
      </c>
      <c r="V173" t="e">
        <f>VLOOKUP($I173,'[1]Table S6'!$A:$AI,14,FALSE)</f>
        <v>#N/A</v>
      </c>
      <c r="W173" t="e">
        <f>VLOOKUP($I173,'[1]Table S6'!$A:$AI,15,FALSE)</f>
        <v>#N/A</v>
      </c>
      <c r="Y173" t="e">
        <f>VLOOKUP($I173,'[1]Table S6'!$A:$AI,17,FALSE)</f>
        <v>#N/A</v>
      </c>
      <c r="Z173" t="e">
        <f>VLOOKUP($I173,'[1]Table S6'!$A:$AI,18,FALSE)</f>
        <v>#N/A</v>
      </c>
      <c r="AA173" t="e">
        <f>VLOOKUP($I173,'[1]Table S6'!$A:$AI,19,FALSE)</f>
        <v>#N/A</v>
      </c>
      <c r="AB173" t="e">
        <f>VLOOKUP($I173,'[1]Table S6'!$A:$AI,20,FALSE)</f>
        <v>#N/A</v>
      </c>
      <c r="AD173" t="e">
        <f>VLOOKUP($I173,'[1]Table S6'!$A:$AI,22,FALSE)</f>
        <v>#N/A</v>
      </c>
      <c r="AE173" t="e">
        <f>VLOOKUP($I173,'[1]Table S6'!$A:$AI,23,FALSE)</f>
        <v>#N/A</v>
      </c>
      <c r="AF173" t="e">
        <f>VLOOKUP($I173,'[1]Table S6'!$A:$AI,24,FALSE)</f>
        <v>#N/A</v>
      </c>
      <c r="AG173" t="e">
        <f>VLOOKUP($I173,'[1]Table S6'!$A:$AI,25,FALSE)</f>
        <v>#N/A</v>
      </c>
      <c r="AI173" t="e">
        <f>VLOOKUP($I173,'[1]Table S6'!$A:$AI,27,FALSE)</f>
        <v>#N/A</v>
      </c>
      <c r="AJ173" t="e">
        <f>VLOOKUP($I173,'[1]Table S6'!$A:$AI,28,FALSE)</f>
        <v>#N/A</v>
      </c>
      <c r="AK173" t="e">
        <f>VLOOKUP($I173,'[1]Table S6'!$A:$AI,29,FALSE)</f>
        <v>#N/A</v>
      </c>
      <c r="AL173" t="e">
        <f>VLOOKUP($I173,'[1]Table S6'!$A:$AI,30,FALSE)</f>
        <v>#N/A</v>
      </c>
      <c r="AN173" t="e">
        <f>VLOOKUP($I173,'[1]Table S6'!$A:$AI,32,FALSE)</f>
        <v>#N/A</v>
      </c>
      <c r="AO173" t="e">
        <f>VLOOKUP($I173,'[1]Table S6'!$A:$AI,33,FALSE)</f>
        <v>#N/A</v>
      </c>
      <c r="AP173" t="e">
        <f>VLOOKUP($I173,'[1]Table S6'!$A:$AI,34,FALSE)</f>
        <v>#N/A</v>
      </c>
      <c r="AQ173" t="e">
        <f>VLOOKUP($I173,'[1]Table S6'!$A:$AI,35,FALSE)</f>
        <v>#N/A</v>
      </c>
      <c r="AS173" t="str">
        <f>VLOOKUP($H173,'[2]Table S5'!$A:$K,8,FALSE)</f>
        <v>Resistant</v>
      </c>
      <c r="AT173" t="str">
        <f>VLOOKUP($H173,'[2]Table S5'!$A:$K,9,FALSE)</f>
        <v>Resistant</v>
      </c>
      <c r="AU173" t="str">
        <f>VLOOKUP($H173,'[2]Table S5'!$A:$K,10,FALSE)</f>
        <v>Resistant</v>
      </c>
      <c r="AV173" t="str">
        <f>VLOOKUP($H173,'[2]Table S5'!$A:$K,11,FALSE)</f>
        <v>Resistant</v>
      </c>
    </row>
    <row r="174" spans="1:48">
      <c r="A174" t="s">
        <v>1312</v>
      </c>
      <c r="B174" t="s">
        <v>1313</v>
      </c>
      <c r="C174" t="s">
        <v>17</v>
      </c>
      <c r="D174" t="s">
        <v>1315</v>
      </c>
      <c r="E174" t="s">
        <v>1316</v>
      </c>
      <c r="F174" t="s">
        <v>1317</v>
      </c>
      <c r="G174" t="s">
        <v>4750</v>
      </c>
      <c r="H174" t="s">
        <v>1310</v>
      </c>
      <c r="I174" t="s">
        <v>1318</v>
      </c>
      <c r="J174">
        <f>VLOOKUP($I174,'[1]Table S6'!$A:$AI,2,FALSE)</f>
        <v>343.7</v>
      </c>
      <c r="K174">
        <f>VLOOKUP($I174,'[1]Table S6'!$A:$AI,3,FALSE)</f>
        <v>0.73143221962119598</v>
      </c>
      <c r="L174">
        <f>VLOOKUP($I174,'[1]Table S6'!$A:$AI,4,FALSE)</f>
        <v>10.99</v>
      </c>
      <c r="M174" t="str">
        <f>VLOOKUP($I174,'[1]Table S6'!$A:$AI,5,FALSE)</f>
        <v>No</v>
      </c>
      <c r="O174">
        <f>VLOOKUP($I174,'[1]Table S6'!$A:$AI,7,FALSE)</f>
        <v>359.8</v>
      </c>
      <c r="P174">
        <f>VLOOKUP($I174,'[1]Table S6'!$A:$AI,8,FALSE)</f>
        <v>0.76569482868695504</v>
      </c>
      <c r="Q174">
        <f>VLOOKUP($I174,'[1]Table S6'!$A:$AI,9,FALSE)</f>
        <v>5.742</v>
      </c>
      <c r="R174" t="str">
        <f>VLOOKUP($I174,'[1]Table S6'!$A:$AI,10,FALSE)</f>
        <v>No</v>
      </c>
      <c r="T174">
        <f>VLOOKUP($I174,'[1]Table S6'!$A:$AI,12,FALSE)</f>
        <v>398.2</v>
      </c>
      <c r="U174">
        <f>VLOOKUP($I174,'[1]Table S6'!$A:$AI,13,FALSE)</f>
        <v>0.84741434347733602</v>
      </c>
      <c r="V174">
        <f>VLOOKUP($I174,'[1]Table S6'!$A:$AI,14,FALSE)</f>
        <v>26.81</v>
      </c>
      <c r="W174" t="str">
        <f>VLOOKUP($I174,'[1]Table S6'!$A:$AI,15,FALSE)</f>
        <v>No</v>
      </c>
      <c r="Y174">
        <f>VLOOKUP($I174,'[1]Table S6'!$A:$AI,17,FALSE)</f>
        <v>407.2</v>
      </c>
      <c r="Z174">
        <f>VLOOKUP($I174,'[1]Table S6'!$A:$AI,18,FALSE)</f>
        <v>0.86656735475633095</v>
      </c>
      <c r="AA174">
        <f>VLOOKUP($I174,'[1]Table S6'!$A:$AI,19,FALSE)</f>
        <v>28.32</v>
      </c>
      <c r="AB174" t="str">
        <f>VLOOKUP($I174,'[1]Table S6'!$A:$AI,20,FALSE)</f>
        <v>No</v>
      </c>
      <c r="AD174">
        <f>VLOOKUP($I174,'[1]Table S6'!$A:$AI,22,FALSE)</f>
        <v>369.6</v>
      </c>
      <c r="AE174">
        <f>VLOOKUP($I174,'[1]Table S6'!$A:$AI,23,FALSE)</f>
        <v>0.78655032985741702</v>
      </c>
      <c r="AF174">
        <f>VLOOKUP($I174,'[1]Table S6'!$A:$AI,24,FALSE)</f>
        <v>12.5</v>
      </c>
      <c r="AG174" t="str">
        <f>VLOOKUP($I174,'[1]Table S6'!$A:$AI,25,FALSE)</f>
        <v>No</v>
      </c>
      <c r="AI174">
        <f>VLOOKUP($I174,'[1]Table S6'!$A:$AI,27,FALSE)</f>
        <v>329.9</v>
      </c>
      <c r="AJ174">
        <f>VLOOKUP($I174,'[1]Table S6'!$A:$AI,28,FALSE)</f>
        <v>0.70206426899340302</v>
      </c>
      <c r="AK174">
        <f>VLOOKUP($I174,'[1]Table S6'!$A:$AI,29,FALSE)</f>
        <v>2.7829999999999999</v>
      </c>
      <c r="AL174" t="str">
        <f>VLOOKUP($I174,'[1]Table S6'!$A:$AI,30,FALSE)</f>
        <v>No</v>
      </c>
      <c r="AN174">
        <f>VLOOKUP($I174,'[1]Table S6'!$A:$AI,32,FALSE)</f>
        <v>381.4</v>
      </c>
      <c r="AO174">
        <f>VLOOKUP($I174,'[1]Table S6'!$A:$AI,33,FALSE)</f>
        <v>0.81166205575654404</v>
      </c>
      <c r="AP174">
        <f>VLOOKUP($I174,'[1]Table S6'!$A:$AI,34,FALSE)</f>
        <v>12.01</v>
      </c>
      <c r="AQ174" t="str">
        <f>VLOOKUP($I174,'[1]Table S6'!$A:$AI,35,FALSE)</f>
        <v>No</v>
      </c>
      <c r="AS174" t="str">
        <f>VLOOKUP($H174,'[2]Table S5'!$A:$K,8,FALSE)</f>
        <v>Resistant</v>
      </c>
      <c r="AT174" t="str">
        <f>VLOOKUP($H174,'[2]Table S5'!$A:$K,9,FALSE)</f>
        <v>Resistant</v>
      </c>
      <c r="AU174" t="str">
        <f>VLOOKUP($H174,'[2]Table S5'!$A:$K,10,FALSE)</f>
        <v>Resistant</v>
      </c>
      <c r="AV174" t="str">
        <f>VLOOKUP($H174,'[2]Table S5'!$A:$K,11,FALSE)</f>
        <v>Resistant</v>
      </c>
    </row>
    <row r="175" spans="1:48">
      <c r="A175" t="s">
        <v>1320</v>
      </c>
      <c r="B175" t="s">
        <v>1321</v>
      </c>
      <c r="C175" t="s">
        <v>17</v>
      </c>
      <c r="D175" t="s">
        <v>1323</v>
      </c>
      <c r="E175" t="s">
        <v>1324</v>
      </c>
      <c r="F175" t="s">
        <v>1325</v>
      </c>
      <c r="G175" t="s">
        <v>4750</v>
      </c>
      <c r="H175" t="s">
        <v>1310</v>
      </c>
      <c r="I175" t="s">
        <v>1326</v>
      </c>
      <c r="J175">
        <f>VLOOKUP($I175,'[1]Table S6'!$A:$AI,2,FALSE)</f>
        <v>334.6</v>
      </c>
      <c r="K175">
        <f>VLOOKUP($I175,'[1]Table S6'!$A:$AI,3,FALSE)</f>
        <v>0.71206639710576702</v>
      </c>
      <c r="L175">
        <f>VLOOKUP($I175,'[1]Table S6'!$A:$AI,4,FALSE)</f>
        <v>4.9290000000000003</v>
      </c>
      <c r="M175" t="str">
        <f>VLOOKUP($I175,'[1]Table S6'!$A:$AI,5,FALSE)</f>
        <v>No</v>
      </c>
      <c r="O175">
        <f>VLOOKUP($I175,'[1]Table S6'!$A:$AI,7,FALSE)</f>
        <v>361.4</v>
      </c>
      <c r="P175">
        <f>VLOOKUP($I175,'[1]Table S6'!$A:$AI,8,FALSE)</f>
        <v>0.76909980846988701</v>
      </c>
      <c r="Q175">
        <f>VLOOKUP($I175,'[1]Table S6'!$A:$AI,9,FALSE)</f>
        <v>7.8209999999999997</v>
      </c>
      <c r="R175" t="str">
        <f>VLOOKUP($I175,'[1]Table S6'!$A:$AI,10,FALSE)</f>
        <v>No</v>
      </c>
      <c r="T175">
        <f>VLOOKUP($I175,'[1]Table S6'!$A:$AI,12,FALSE)</f>
        <v>351.5</v>
      </c>
      <c r="U175">
        <f>VLOOKUP($I175,'[1]Table S6'!$A:$AI,13,FALSE)</f>
        <v>0.74803149606299202</v>
      </c>
      <c r="V175">
        <f>VLOOKUP($I175,'[1]Table S6'!$A:$AI,14,FALSE)</f>
        <v>7.2729999999999997</v>
      </c>
      <c r="W175" t="str">
        <f>VLOOKUP($I175,'[1]Table S6'!$A:$AI,15,FALSE)</f>
        <v>No</v>
      </c>
      <c r="Y175">
        <f>VLOOKUP($I175,'[1]Table S6'!$A:$AI,17,FALSE)</f>
        <v>413.1</v>
      </c>
      <c r="Z175">
        <f>VLOOKUP($I175,'[1]Table S6'!$A:$AI,18,FALSE)</f>
        <v>0.87912321770589497</v>
      </c>
      <c r="AA175">
        <f>VLOOKUP($I175,'[1]Table S6'!$A:$AI,19,FALSE)</f>
        <v>26.38</v>
      </c>
      <c r="AB175" t="str">
        <f>VLOOKUP($I175,'[1]Table S6'!$A:$AI,20,FALSE)</f>
        <v>No</v>
      </c>
      <c r="AD175">
        <f>VLOOKUP($I175,'[1]Table S6'!$A:$AI,22,FALSE)</f>
        <v>345.7</v>
      </c>
      <c r="AE175">
        <f>VLOOKUP($I175,'[1]Table S6'!$A:$AI,23,FALSE)</f>
        <v>0.73568844434986203</v>
      </c>
      <c r="AF175">
        <f>VLOOKUP($I175,'[1]Table S6'!$A:$AI,24,FALSE)</f>
        <v>7.633</v>
      </c>
      <c r="AG175" t="str">
        <f>VLOOKUP($I175,'[1]Table S6'!$A:$AI,25,FALSE)</f>
        <v>No</v>
      </c>
      <c r="AI175">
        <f>VLOOKUP($I175,'[1]Table S6'!$A:$AI,27,FALSE)</f>
        <v>371.4</v>
      </c>
      <c r="AJ175">
        <f>VLOOKUP($I175,'[1]Table S6'!$A:$AI,28,FALSE)</f>
        <v>0.79038093211321603</v>
      </c>
      <c r="AK175">
        <f>VLOOKUP($I175,'[1]Table S6'!$A:$AI,29,FALSE)</f>
        <v>18.55</v>
      </c>
      <c r="AL175" t="str">
        <f>VLOOKUP($I175,'[1]Table S6'!$A:$AI,30,FALSE)</f>
        <v>No</v>
      </c>
      <c r="AN175">
        <f>VLOOKUP($I175,'[1]Table S6'!$A:$AI,32,FALSE)</f>
        <v>361</v>
      </c>
      <c r="AO175">
        <f>VLOOKUP($I175,'[1]Table S6'!$A:$AI,33,FALSE)</f>
        <v>0.76824856352415405</v>
      </c>
      <c r="AP175">
        <f>VLOOKUP($I175,'[1]Table S6'!$A:$AI,34,FALSE)</f>
        <v>21.68</v>
      </c>
      <c r="AQ175" t="str">
        <f>VLOOKUP($I175,'[1]Table S6'!$A:$AI,35,FALSE)</f>
        <v>No</v>
      </c>
      <c r="AS175" t="str">
        <f>VLOOKUP($H175,'[2]Table S5'!$A:$K,8,FALSE)</f>
        <v>Resistant</v>
      </c>
      <c r="AT175" t="str">
        <f>VLOOKUP($H175,'[2]Table S5'!$A:$K,9,FALSE)</f>
        <v>Resistant</v>
      </c>
      <c r="AU175" t="str">
        <f>VLOOKUP($H175,'[2]Table S5'!$A:$K,10,FALSE)</f>
        <v>Resistant</v>
      </c>
      <c r="AV175" t="str">
        <f>VLOOKUP($H175,'[2]Table S5'!$A:$K,11,FALSE)</f>
        <v>Resistant</v>
      </c>
    </row>
    <row r="176" spans="1:48">
      <c r="A176" t="s">
        <v>1328</v>
      </c>
      <c r="B176" t="s">
        <v>1329</v>
      </c>
      <c r="C176" t="s">
        <v>17</v>
      </c>
      <c r="D176" t="s">
        <v>1331</v>
      </c>
      <c r="E176" t="s">
        <v>1332</v>
      </c>
      <c r="F176" t="s">
        <v>1333</v>
      </c>
      <c r="G176" t="s">
        <v>4750</v>
      </c>
      <c r="H176" t="s">
        <v>1310</v>
      </c>
      <c r="I176" t="s">
        <v>1334</v>
      </c>
      <c r="J176">
        <f>VLOOKUP($I176,'[1]Table S6'!$A:$AI,2,FALSE)</f>
        <v>295.8</v>
      </c>
      <c r="K176">
        <f>VLOOKUP($I176,'[1]Table S6'!$A:$AI,3,FALSE)</f>
        <v>0.62949563736965297</v>
      </c>
      <c r="L176">
        <f>VLOOKUP($I176,'[1]Table S6'!$A:$AI,4,FALSE)</f>
        <v>0.97250000000000003</v>
      </c>
      <c r="M176" t="str">
        <f>VLOOKUP($I176,'[1]Table S6'!$A:$AI,5,FALSE)</f>
        <v>Yes</v>
      </c>
      <c r="O176">
        <f>VLOOKUP($I176,'[1]Table S6'!$A:$AI,7,FALSE)</f>
        <v>290.5</v>
      </c>
      <c r="P176">
        <f>VLOOKUP($I176,'[1]Table S6'!$A:$AI,8,FALSE)</f>
        <v>0.61821664183868896</v>
      </c>
      <c r="Q176">
        <f>VLOOKUP($I176,'[1]Table S6'!$A:$AI,9,FALSE)</f>
        <v>0.8024</v>
      </c>
      <c r="R176" t="str">
        <f>VLOOKUP($I176,'[1]Table S6'!$A:$AI,10,FALSE)</f>
        <v>Yes</v>
      </c>
      <c r="T176">
        <f>VLOOKUP($I176,'[1]Table S6'!$A:$AI,12,FALSE)</f>
        <v>337</v>
      </c>
      <c r="U176">
        <f>VLOOKUP($I176,'[1]Table S6'!$A:$AI,13,FALSE)</f>
        <v>0.71717386678016604</v>
      </c>
      <c r="V176">
        <f>VLOOKUP($I176,'[1]Table S6'!$A:$AI,14,FALSE)</f>
        <v>3.9039999999999999</v>
      </c>
      <c r="W176" t="str">
        <f>VLOOKUP($I176,'[1]Table S6'!$A:$AI,15,FALSE)</f>
        <v>No</v>
      </c>
      <c r="Y176">
        <f>VLOOKUP($I176,'[1]Table S6'!$A:$AI,17,FALSE)</f>
        <v>391.2</v>
      </c>
      <c r="Z176">
        <f>VLOOKUP($I176,'[1]Table S6'!$A:$AI,18,FALSE)</f>
        <v>0.83251755692700602</v>
      </c>
      <c r="AA176">
        <f>VLOOKUP($I176,'[1]Table S6'!$A:$AI,19,FALSE)</f>
        <v>16.579999999999998</v>
      </c>
      <c r="AB176" t="str">
        <f>VLOOKUP($I176,'[1]Table S6'!$A:$AI,20,FALSE)</f>
        <v>No</v>
      </c>
      <c r="AD176">
        <f>VLOOKUP($I176,'[1]Table S6'!$A:$AI,22,FALSE)</f>
        <v>367.2</v>
      </c>
      <c r="AE176">
        <f>VLOOKUP($I176,'[1]Table S6'!$A:$AI,23,FALSE)</f>
        <v>0.78144286018301801</v>
      </c>
      <c r="AF176">
        <f>VLOOKUP($I176,'[1]Table S6'!$A:$AI,24,FALSE)</f>
        <v>8.6120000000000001</v>
      </c>
      <c r="AG176" t="str">
        <f>VLOOKUP($I176,'[1]Table S6'!$A:$AI,25,FALSE)</f>
        <v>No</v>
      </c>
      <c r="AI176">
        <f>VLOOKUP($I176,'[1]Table S6'!$A:$AI,27,FALSE)</f>
        <v>377.4</v>
      </c>
      <c r="AJ176">
        <f>VLOOKUP($I176,'[1]Table S6'!$A:$AI,28,FALSE)</f>
        <v>0.80314960629921295</v>
      </c>
      <c r="AK176">
        <f>VLOOKUP($I176,'[1]Table S6'!$A:$AI,29,FALSE)</f>
        <v>12.63</v>
      </c>
      <c r="AL176" t="str">
        <f>VLOOKUP($I176,'[1]Table S6'!$A:$AI,30,FALSE)</f>
        <v>No</v>
      </c>
      <c r="AN176">
        <f>VLOOKUP($I176,'[1]Table S6'!$A:$AI,32,FALSE)</f>
        <v>383.9</v>
      </c>
      <c r="AO176">
        <f>VLOOKUP($I176,'[1]Table S6'!$A:$AI,33,FALSE)</f>
        <v>0.81698233666737596</v>
      </c>
      <c r="AP176">
        <f>VLOOKUP($I176,'[1]Table S6'!$A:$AI,34,FALSE)</f>
        <v>21.41</v>
      </c>
      <c r="AQ176" t="str">
        <f>VLOOKUP($I176,'[1]Table S6'!$A:$AI,35,FALSE)</f>
        <v>No</v>
      </c>
      <c r="AS176" t="str">
        <f>VLOOKUP($H176,'[2]Table S5'!$A:$K,8,FALSE)</f>
        <v>Resistant</v>
      </c>
      <c r="AT176" t="str">
        <f>VLOOKUP($H176,'[2]Table S5'!$A:$K,9,FALSE)</f>
        <v>Resistant</v>
      </c>
      <c r="AU176" t="str">
        <f>VLOOKUP($H176,'[2]Table S5'!$A:$K,10,FALSE)</f>
        <v>Resistant</v>
      </c>
      <c r="AV176" t="str">
        <f>VLOOKUP($H176,'[2]Table S5'!$A:$K,11,FALSE)</f>
        <v>Resistant</v>
      </c>
    </row>
    <row r="177" spans="1:48">
      <c r="A177" t="s">
        <v>1336</v>
      </c>
      <c r="B177" t="s">
        <v>1337</v>
      </c>
      <c r="C177" t="s">
        <v>17</v>
      </c>
      <c r="D177" t="s">
        <v>1339</v>
      </c>
      <c r="E177" t="s">
        <v>1340</v>
      </c>
      <c r="F177" t="s">
        <v>1341</v>
      </c>
      <c r="G177" t="s">
        <v>4750</v>
      </c>
      <c r="H177" t="s">
        <v>1310</v>
      </c>
      <c r="I177" t="s">
        <v>1342</v>
      </c>
      <c r="J177">
        <f>VLOOKUP($I177,'[1]Table S6'!$A:$AI,2,FALSE)</f>
        <v>299.7</v>
      </c>
      <c r="K177">
        <f>VLOOKUP($I177,'[1]Table S6'!$A:$AI,3,FALSE)</f>
        <v>0.63779527559055105</v>
      </c>
      <c r="L177">
        <f>VLOOKUP($I177,'[1]Table S6'!$A:$AI,4,FALSE)</f>
        <v>0.999</v>
      </c>
      <c r="M177" t="str">
        <f>VLOOKUP($I177,'[1]Table S6'!$A:$AI,5,FALSE)</f>
        <v>Yes</v>
      </c>
      <c r="O177">
        <f>VLOOKUP($I177,'[1]Table S6'!$A:$AI,7,FALSE)</f>
        <v>280.89999999999998</v>
      </c>
      <c r="P177">
        <f>VLOOKUP($I177,'[1]Table S6'!$A:$AI,8,FALSE)</f>
        <v>0.59778676314109402</v>
      </c>
      <c r="Q177">
        <f>VLOOKUP($I177,'[1]Table S6'!$A:$AI,9,FALSE)</f>
        <v>0.71250000000000002</v>
      </c>
      <c r="R177" t="str">
        <f>VLOOKUP($I177,'[1]Table S6'!$A:$AI,10,FALSE)</f>
        <v>Yes</v>
      </c>
      <c r="T177">
        <f>VLOOKUP($I177,'[1]Table S6'!$A:$AI,12,FALSE)</f>
        <v>314.8</v>
      </c>
      <c r="U177">
        <f>VLOOKUP($I177,'[1]Table S6'!$A:$AI,13,FALSE)</f>
        <v>0.66992977229197703</v>
      </c>
      <c r="V177">
        <f>VLOOKUP($I177,'[1]Table S6'!$A:$AI,14,FALSE)</f>
        <v>1.673</v>
      </c>
      <c r="W177" t="str">
        <f>VLOOKUP($I177,'[1]Table S6'!$A:$AI,15,FALSE)</f>
        <v>Yes</v>
      </c>
      <c r="Y177">
        <f>VLOOKUP($I177,'[1]Table S6'!$A:$AI,17,FALSE)</f>
        <v>393.7</v>
      </c>
      <c r="Z177">
        <f>VLOOKUP($I177,'[1]Table S6'!$A:$AI,18,FALSE)</f>
        <v>0.83783783783783805</v>
      </c>
      <c r="AA177">
        <f>VLOOKUP($I177,'[1]Table S6'!$A:$AI,19,FALSE)</f>
        <v>24.96</v>
      </c>
      <c r="AB177" t="str">
        <f>VLOOKUP($I177,'[1]Table S6'!$A:$AI,20,FALSE)</f>
        <v>No</v>
      </c>
      <c r="AD177">
        <f>VLOOKUP($I177,'[1]Table S6'!$A:$AI,22,FALSE)</f>
        <v>383.9</v>
      </c>
      <c r="AE177">
        <f>VLOOKUP($I177,'[1]Table S6'!$A:$AI,23,FALSE)</f>
        <v>0.81698233666737596</v>
      </c>
      <c r="AF177">
        <f>VLOOKUP($I177,'[1]Table S6'!$A:$AI,24,FALSE)</f>
        <v>15.66</v>
      </c>
      <c r="AG177" t="str">
        <f>VLOOKUP($I177,'[1]Table S6'!$A:$AI,25,FALSE)</f>
        <v>No</v>
      </c>
      <c r="AI177">
        <f>VLOOKUP($I177,'[1]Table S6'!$A:$AI,27,FALSE)</f>
        <v>291</v>
      </c>
      <c r="AJ177">
        <f>VLOOKUP($I177,'[1]Table S6'!$A:$AI,28,FALSE)</f>
        <v>0.61928069802085595</v>
      </c>
      <c r="AK177">
        <f>VLOOKUP($I177,'[1]Table S6'!$A:$AI,29,FALSE)</f>
        <v>0.93240000000000001</v>
      </c>
      <c r="AL177" t="str">
        <f>VLOOKUP($I177,'[1]Table S6'!$A:$AI,30,FALSE)</f>
        <v>Yes</v>
      </c>
      <c r="AN177">
        <f>VLOOKUP($I177,'[1]Table S6'!$A:$AI,32,FALSE)</f>
        <v>322.89999999999998</v>
      </c>
      <c r="AO177">
        <f>VLOOKUP($I177,'[1]Table S6'!$A:$AI,33,FALSE)</f>
        <v>0.68716748244307302</v>
      </c>
      <c r="AP177">
        <f>VLOOKUP($I177,'[1]Table S6'!$A:$AI,34,FALSE)</f>
        <v>3.8809999999999998</v>
      </c>
      <c r="AQ177" t="str">
        <f>VLOOKUP($I177,'[1]Table S6'!$A:$AI,35,FALSE)</f>
        <v>No</v>
      </c>
      <c r="AS177" t="str">
        <f>VLOOKUP($H177,'[2]Table S5'!$A:$K,8,FALSE)</f>
        <v>Resistant</v>
      </c>
      <c r="AT177" t="str">
        <f>VLOOKUP($H177,'[2]Table S5'!$A:$K,9,FALSE)</f>
        <v>Resistant</v>
      </c>
      <c r="AU177" t="str">
        <f>VLOOKUP($H177,'[2]Table S5'!$A:$K,10,FALSE)</f>
        <v>Resistant</v>
      </c>
      <c r="AV177" t="str">
        <f>VLOOKUP($H177,'[2]Table S5'!$A:$K,11,FALSE)</f>
        <v>Resistant</v>
      </c>
    </row>
    <row r="178" spans="1:48">
      <c r="A178" t="s">
        <v>1344</v>
      </c>
      <c r="B178" t="s">
        <v>1345</v>
      </c>
      <c r="C178" t="s">
        <v>17</v>
      </c>
      <c r="D178" t="s">
        <v>1347</v>
      </c>
      <c r="E178" t="s">
        <v>1348</v>
      </c>
      <c r="F178" t="s">
        <v>1349</v>
      </c>
      <c r="G178" t="s">
        <v>4751</v>
      </c>
      <c r="H178" t="s">
        <v>1310</v>
      </c>
      <c r="I178" t="s">
        <v>1318</v>
      </c>
      <c r="J178">
        <f>VLOOKUP($I178,'[1]Table S6'!$A:$AI,2,FALSE)</f>
        <v>343.7</v>
      </c>
      <c r="K178">
        <f>VLOOKUP($I178,'[1]Table S6'!$A:$AI,3,FALSE)</f>
        <v>0.73143221962119598</v>
      </c>
      <c r="L178">
        <f>VLOOKUP($I178,'[1]Table S6'!$A:$AI,4,FALSE)</f>
        <v>10.99</v>
      </c>
      <c r="M178" t="str">
        <f>VLOOKUP($I178,'[1]Table S6'!$A:$AI,5,FALSE)</f>
        <v>No</v>
      </c>
      <c r="O178">
        <f>VLOOKUP($I178,'[1]Table S6'!$A:$AI,7,FALSE)</f>
        <v>359.8</v>
      </c>
      <c r="P178">
        <f>VLOOKUP($I178,'[1]Table S6'!$A:$AI,8,FALSE)</f>
        <v>0.76569482868695504</v>
      </c>
      <c r="Q178">
        <f>VLOOKUP($I178,'[1]Table S6'!$A:$AI,9,FALSE)</f>
        <v>5.742</v>
      </c>
      <c r="R178" t="str">
        <f>VLOOKUP($I178,'[1]Table S6'!$A:$AI,10,FALSE)</f>
        <v>No</v>
      </c>
      <c r="T178">
        <f>VLOOKUP($I178,'[1]Table S6'!$A:$AI,12,FALSE)</f>
        <v>398.2</v>
      </c>
      <c r="U178">
        <f>VLOOKUP($I178,'[1]Table S6'!$A:$AI,13,FALSE)</f>
        <v>0.84741434347733602</v>
      </c>
      <c r="V178">
        <f>VLOOKUP($I178,'[1]Table S6'!$A:$AI,14,FALSE)</f>
        <v>26.81</v>
      </c>
      <c r="W178" t="str">
        <f>VLOOKUP($I178,'[1]Table S6'!$A:$AI,15,FALSE)</f>
        <v>No</v>
      </c>
      <c r="Y178">
        <f>VLOOKUP($I178,'[1]Table S6'!$A:$AI,17,FALSE)</f>
        <v>407.2</v>
      </c>
      <c r="Z178">
        <f>VLOOKUP($I178,'[1]Table S6'!$A:$AI,18,FALSE)</f>
        <v>0.86656735475633095</v>
      </c>
      <c r="AA178">
        <f>VLOOKUP($I178,'[1]Table S6'!$A:$AI,19,FALSE)</f>
        <v>28.32</v>
      </c>
      <c r="AB178" t="str">
        <f>VLOOKUP($I178,'[1]Table S6'!$A:$AI,20,FALSE)</f>
        <v>No</v>
      </c>
      <c r="AD178">
        <f>VLOOKUP($I178,'[1]Table S6'!$A:$AI,22,FALSE)</f>
        <v>369.6</v>
      </c>
      <c r="AE178">
        <f>VLOOKUP($I178,'[1]Table S6'!$A:$AI,23,FALSE)</f>
        <v>0.78655032985741702</v>
      </c>
      <c r="AF178">
        <f>VLOOKUP($I178,'[1]Table S6'!$A:$AI,24,FALSE)</f>
        <v>12.5</v>
      </c>
      <c r="AG178" t="str">
        <f>VLOOKUP($I178,'[1]Table S6'!$A:$AI,25,FALSE)</f>
        <v>No</v>
      </c>
      <c r="AI178">
        <f>VLOOKUP($I178,'[1]Table S6'!$A:$AI,27,FALSE)</f>
        <v>329.9</v>
      </c>
      <c r="AJ178">
        <f>VLOOKUP($I178,'[1]Table S6'!$A:$AI,28,FALSE)</f>
        <v>0.70206426899340302</v>
      </c>
      <c r="AK178">
        <f>VLOOKUP($I178,'[1]Table S6'!$A:$AI,29,FALSE)</f>
        <v>2.7829999999999999</v>
      </c>
      <c r="AL178" t="str">
        <f>VLOOKUP($I178,'[1]Table S6'!$A:$AI,30,FALSE)</f>
        <v>No</v>
      </c>
      <c r="AN178">
        <f>VLOOKUP($I178,'[1]Table S6'!$A:$AI,32,FALSE)</f>
        <v>381.4</v>
      </c>
      <c r="AO178">
        <f>VLOOKUP($I178,'[1]Table S6'!$A:$AI,33,FALSE)</f>
        <v>0.81166205575654404</v>
      </c>
      <c r="AP178">
        <f>VLOOKUP($I178,'[1]Table S6'!$A:$AI,34,FALSE)</f>
        <v>12.01</v>
      </c>
      <c r="AQ178" t="str">
        <f>VLOOKUP($I178,'[1]Table S6'!$A:$AI,35,FALSE)</f>
        <v>No</v>
      </c>
      <c r="AS178" t="str">
        <f>VLOOKUP($H178,'[2]Table S5'!$A:$K,8,FALSE)</f>
        <v>Resistant</v>
      </c>
      <c r="AT178" t="str">
        <f>VLOOKUP($H178,'[2]Table S5'!$A:$K,9,FALSE)</f>
        <v>Resistant</v>
      </c>
      <c r="AU178" t="str">
        <f>VLOOKUP($H178,'[2]Table S5'!$A:$K,10,FALSE)</f>
        <v>Resistant</v>
      </c>
      <c r="AV178" t="str">
        <f>VLOOKUP($H178,'[2]Table S5'!$A:$K,11,FALSE)</f>
        <v>Resistant</v>
      </c>
    </row>
    <row r="179" spans="1:48">
      <c r="A179" t="s">
        <v>1351</v>
      </c>
      <c r="B179" t="s">
        <v>1352</v>
      </c>
      <c r="C179" t="s">
        <v>17</v>
      </c>
      <c r="D179" t="s">
        <v>1354</v>
      </c>
      <c r="E179" t="s">
        <v>1355</v>
      </c>
      <c r="F179" t="s">
        <v>1356</v>
      </c>
      <c r="G179" t="s">
        <v>4751</v>
      </c>
      <c r="H179" t="s">
        <v>1310</v>
      </c>
      <c r="I179" t="s">
        <v>1326</v>
      </c>
      <c r="J179">
        <f>VLOOKUP($I179,'[1]Table S6'!$A:$AI,2,FALSE)</f>
        <v>334.6</v>
      </c>
      <c r="K179">
        <f>VLOOKUP($I179,'[1]Table S6'!$A:$AI,3,FALSE)</f>
        <v>0.71206639710576702</v>
      </c>
      <c r="L179">
        <f>VLOOKUP($I179,'[1]Table S6'!$A:$AI,4,FALSE)</f>
        <v>4.9290000000000003</v>
      </c>
      <c r="M179" t="str">
        <f>VLOOKUP($I179,'[1]Table S6'!$A:$AI,5,FALSE)</f>
        <v>No</v>
      </c>
      <c r="O179">
        <f>VLOOKUP($I179,'[1]Table S6'!$A:$AI,7,FALSE)</f>
        <v>361.4</v>
      </c>
      <c r="P179">
        <f>VLOOKUP($I179,'[1]Table S6'!$A:$AI,8,FALSE)</f>
        <v>0.76909980846988701</v>
      </c>
      <c r="Q179">
        <f>VLOOKUP($I179,'[1]Table S6'!$A:$AI,9,FALSE)</f>
        <v>7.8209999999999997</v>
      </c>
      <c r="R179" t="str">
        <f>VLOOKUP($I179,'[1]Table S6'!$A:$AI,10,FALSE)</f>
        <v>No</v>
      </c>
      <c r="T179">
        <f>VLOOKUP($I179,'[1]Table S6'!$A:$AI,12,FALSE)</f>
        <v>351.5</v>
      </c>
      <c r="U179">
        <f>VLOOKUP($I179,'[1]Table S6'!$A:$AI,13,FALSE)</f>
        <v>0.74803149606299202</v>
      </c>
      <c r="V179">
        <f>VLOOKUP($I179,'[1]Table S6'!$A:$AI,14,FALSE)</f>
        <v>7.2729999999999997</v>
      </c>
      <c r="W179" t="str">
        <f>VLOOKUP($I179,'[1]Table S6'!$A:$AI,15,FALSE)</f>
        <v>No</v>
      </c>
      <c r="Y179">
        <f>VLOOKUP($I179,'[1]Table S6'!$A:$AI,17,FALSE)</f>
        <v>413.1</v>
      </c>
      <c r="Z179">
        <f>VLOOKUP($I179,'[1]Table S6'!$A:$AI,18,FALSE)</f>
        <v>0.87912321770589497</v>
      </c>
      <c r="AA179">
        <f>VLOOKUP($I179,'[1]Table S6'!$A:$AI,19,FALSE)</f>
        <v>26.38</v>
      </c>
      <c r="AB179" t="str">
        <f>VLOOKUP($I179,'[1]Table S6'!$A:$AI,20,FALSE)</f>
        <v>No</v>
      </c>
      <c r="AD179">
        <f>VLOOKUP($I179,'[1]Table S6'!$A:$AI,22,FALSE)</f>
        <v>345.7</v>
      </c>
      <c r="AE179">
        <f>VLOOKUP($I179,'[1]Table S6'!$A:$AI,23,FALSE)</f>
        <v>0.73568844434986203</v>
      </c>
      <c r="AF179">
        <f>VLOOKUP($I179,'[1]Table S6'!$A:$AI,24,FALSE)</f>
        <v>7.633</v>
      </c>
      <c r="AG179" t="str">
        <f>VLOOKUP($I179,'[1]Table S6'!$A:$AI,25,FALSE)</f>
        <v>No</v>
      </c>
      <c r="AI179">
        <f>VLOOKUP($I179,'[1]Table S6'!$A:$AI,27,FALSE)</f>
        <v>371.4</v>
      </c>
      <c r="AJ179">
        <f>VLOOKUP($I179,'[1]Table S6'!$A:$AI,28,FALSE)</f>
        <v>0.79038093211321603</v>
      </c>
      <c r="AK179">
        <f>VLOOKUP($I179,'[1]Table S6'!$A:$AI,29,FALSE)</f>
        <v>18.55</v>
      </c>
      <c r="AL179" t="str">
        <f>VLOOKUP($I179,'[1]Table S6'!$A:$AI,30,FALSE)</f>
        <v>No</v>
      </c>
      <c r="AN179">
        <f>VLOOKUP($I179,'[1]Table S6'!$A:$AI,32,FALSE)</f>
        <v>361</v>
      </c>
      <c r="AO179">
        <f>VLOOKUP($I179,'[1]Table S6'!$A:$AI,33,FALSE)</f>
        <v>0.76824856352415405</v>
      </c>
      <c r="AP179">
        <f>VLOOKUP($I179,'[1]Table S6'!$A:$AI,34,FALSE)</f>
        <v>21.68</v>
      </c>
      <c r="AQ179" t="str">
        <f>VLOOKUP($I179,'[1]Table S6'!$A:$AI,35,FALSE)</f>
        <v>No</v>
      </c>
      <c r="AS179" t="str">
        <f>VLOOKUP($H179,'[2]Table S5'!$A:$K,8,FALSE)</f>
        <v>Resistant</v>
      </c>
      <c r="AT179" t="str">
        <f>VLOOKUP($H179,'[2]Table S5'!$A:$K,9,FALSE)</f>
        <v>Resistant</v>
      </c>
      <c r="AU179" t="str">
        <f>VLOOKUP($H179,'[2]Table S5'!$A:$K,10,FALSE)</f>
        <v>Resistant</v>
      </c>
      <c r="AV179" t="str">
        <f>VLOOKUP($H179,'[2]Table S5'!$A:$K,11,FALSE)</f>
        <v>Resistant</v>
      </c>
    </row>
    <row r="180" spans="1:48">
      <c r="A180" t="s">
        <v>1358</v>
      </c>
      <c r="B180" t="s">
        <v>1359</v>
      </c>
      <c r="C180" t="s">
        <v>17</v>
      </c>
      <c r="D180" t="s">
        <v>1361</v>
      </c>
      <c r="E180" t="s">
        <v>1362</v>
      </c>
      <c r="F180" t="s">
        <v>1363</v>
      </c>
      <c r="G180" t="s">
        <v>4751</v>
      </c>
      <c r="H180" t="s">
        <v>1310</v>
      </c>
      <c r="I180" t="s">
        <v>1334</v>
      </c>
      <c r="J180">
        <f>VLOOKUP($I180,'[1]Table S6'!$A:$AI,2,FALSE)</f>
        <v>295.8</v>
      </c>
      <c r="K180">
        <f>VLOOKUP($I180,'[1]Table S6'!$A:$AI,3,FALSE)</f>
        <v>0.62949563736965297</v>
      </c>
      <c r="L180">
        <f>VLOOKUP($I180,'[1]Table S6'!$A:$AI,4,FALSE)</f>
        <v>0.97250000000000003</v>
      </c>
      <c r="M180" t="str">
        <f>VLOOKUP($I180,'[1]Table S6'!$A:$AI,5,FALSE)</f>
        <v>Yes</v>
      </c>
      <c r="O180">
        <f>VLOOKUP($I180,'[1]Table S6'!$A:$AI,7,FALSE)</f>
        <v>290.5</v>
      </c>
      <c r="P180">
        <f>VLOOKUP($I180,'[1]Table S6'!$A:$AI,8,FALSE)</f>
        <v>0.61821664183868896</v>
      </c>
      <c r="Q180">
        <f>VLOOKUP($I180,'[1]Table S6'!$A:$AI,9,FALSE)</f>
        <v>0.8024</v>
      </c>
      <c r="R180" t="str">
        <f>VLOOKUP($I180,'[1]Table S6'!$A:$AI,10,FALSE)</f>
        <v>Yes</v>
      </c>
      <c r="T180">
        <f>VLOOKUP($I180,'[1]Table S6'!$A:$AI,12,FALSE)</f>
        <v>337</v>
      </c>
      <c r="U180">
        <f>VLOOKUP($I180,'[1]Table S6'!$A:$AI,13,FALSE)</f>
        <v>0.71717386678016604</v>
      </c>
      <c r="V180">
        <f>VLOOKUP($I180,'[1]Table S6'!$A:$AI,14,FALSE)</f>
        <v>3.9039999999999999</v>
      </c>
      <c r="W180" t="str">
        <f>VLOOKUP($I180,'[1]Table S6'!$A:$AI,15,FALSE)</f>
        <v>No</v>
      </c>
      <c r="Y180">
        <f>VLOOKUP($I180,'[1]Table S6'!$A:$AI,17,FALSE)</f>
        <v>391.2</v>
      </c>
      <c r="Z180">
        <f>VLOOKUP($I180,'[1]Table S6'!$A:$AI,18,FALSE)</f>
        <v>0.83251755692700602</v>
      </c>
      <c r="AA180">
        <f>VLOOKUP($I180,'[1]Table S6'!$A:$AI,19,FALSE)</f>
        <v>16.579999999999998</v>
      </c>
      <c r="AB180" t="str">
        <f>VLOOKUP($I180,'[1]Table S6'!$A:$AI,20,FALSE)</f>
        <v>No</v>
      </c>
      <c r="AD180">
        <f>VLOOKUP($I180,'[1]Table S6'!$A:$AI,22,FALSE)</f>
        <v>367.2</v>
      </c>
      <c r="AE180">
        <f>VLOOKUP($I180,'[1]Table S6'!$A:$AI,23,FALSE)</f>
        <v>0.78144286018301801</v>
      </c>
      <c r="AF180">
        <f>VLOOKUP($I180,'[1]Table S6'!$A:$AI,24,FALSE)</f>
        <v>8.6120000000000001</v>
      </c>
      <c r="AG180" t="str">
        <f>VLOOKUP($I180,'[1]Table S6'!$A:$AI,25,FALSE)</f>
        <v>No</v>
      </c>
      <c r="AI180">
        <f>VLOOKUP($I180,'[1]Table S6'!$A:$AI,27,FALSE)</f>
        <v>377.4</v>
      </c>
      <c r="AJ180">
        <f>VLOOKUP($I180,'[1]Table S6'!$A:$AI,28,FALSE)</f>
        <v>0.80314960629921295</v>
      </c>
      <c r="AK180">
        <f>VLOOKUP($I180,'[1]Table S6'!$A:$AI,29,FALSE)</f>
        <v>12.63</v>
      </c>
      <c r="AL180" t="str">
        <f>VLOOKUP($I180,'[1]Table S6'!$A:$AI,30,FALSE)</f>
        <v>No</v>
      </c>
      <c r="AN180">
        <f>VLOOKUP($I180,'[1]Table S6'!$A:$AI,32,FALSE)</f>
        <v>383.9</v>
      </c>
      <c r="AO180">
        <f>VLOOKUP($I180,'[1]Table S6'!$A:$AI,33,FALSE)</f>
        <v>0.81698233666737596</v>
      </c>
      <c r="AP180">
        <f>VLOOKUP($I180,'[1]Table S6'!$A:$AI,34,FALSE)</f>
        <v>21.41</v>
      </c>
      <c r="AQ180" t="str">
        <f>VLOOKUP($I180,'[1]Table S6'!$A:$AI,35,FALSE)</f>
        <v>No</v>
      </c>
      <c r="AS180" t="str">
        <f>VLOOKUP($H180,'[2]Table S5'!$A:$K,8,FALSE)</f>
        <v>Resistant</v>
      </c>
      <c r="AT180" t="str">
        <f>VLOOKUP($H180,'[2]Table S5'!$A:$K,9,FALSE)</f>
        <v>Resistant</v>
      </c>
      <c r="AU180" t="str">
        <f>VLOOKUP($H180,'[2]Table S5'!$A:$K,10,FALSE)</f>
        <v>Resistant</v>
      </c>
      <c r="AV180" t="str">
        <f>VLOOKUP($H180,'[2]Table S5'!$A:$K,11,FALSE)</f>
        <v>Resistant</v>
      </c>
    </row>
    <row r="181" spans="1:48">
      <c r="A181" t="s">
        <v>1365</v>
      </c>
      <c r="B181" t="s">
        <v>1366</v>
      </c>
      <c r="C181" t="s">
        <v>17</v>
      </c>
      <c r="D181" t="s">
        <v>1368</v>
      </c>
      <c r="E181" t="s">
        <v>1369</v>
      </c>
      <c r="F181" t="s">
        <v>1370</v>
      </c>
      <c r="G181" t="s">
        <v>4751</v>
      </c>
      <c r="H181" t="s">
        <v>1310</v>
      </c>
      <c r="I181" t="s">
        <v>1342</v>
      </c>
      <c r="J181">
        <f>VLOOKUP($I181,'[1]Table S6'!$A:$AI,2,FALSE)</f>
        <v>299.7</v>
      </c>
      <c r="K181">
        <f>VLOOKUP($I181,'[1]Table S6'!$A:$AI,3,FALSE)</f>
        <v>0.63779527559055105</v>
      </c>
      <c r="L181">
        <f>VLOOKUP($I181,'[1]Table S6'!$A:$AI,4,FALSE)</f>
        <v>0.999</v>
      </c>
      <c r="M181" t="str">
        <f>VLOOKUP($I181,'[1]Table S6'!$A:$AI,5,FALSE)</f>
        <v>Yes</v>
      </c>
      <c r="O181">
        <f>VLOOKUP($I181,'[1]Table S6'!$A:$AI,7,FALSE)</f>
        <v>280.89999999999998</v>
      </c>
      <c r="P181">
        <f>VLOOKUP($I181,'[1]Table S6'!$A:$AI,8,FALSE)</f>
        <v>0.59778676314109402</v>
      </c>
      <c r="Q181">
        <f>VLOOKUP($I181,'[1]Table S6'!$A:$AI,9,FALSE)</f>
        <v>0.71250000000000002</v>
      </c>
      <c r="R181" t="str">
        <f>VLOOKUP($I181,'[1]Table S6'!$A:$AI,10,FALSE)</f>
        <v>Yes</v>
      </c>
      <c r="T181">
        <f>VLOOKUP($I181,'[1]Table S6'!$A:$AI,12,FALSE)</f>
        <v>314.8</v>
      </c>
      <c r="U181">
        <f>VLOOKUP($I181,'[1]Table S6'!$A:$AI,13,FALSE)</f>
        <v>0.66992977229197703</v>
      </c>
      <c r="V181">
        <f>VLOOKUP($I181,'[1]Table S6'!$A:$AI,14,FALSE)</f>
        <v>1.673</v>
      </c>
      <c r="W181" t="str">
        <f>VLOOKUP($I181,'[1]Table S6'!$A:$AI,15,FALSE)</f>
        <v>Yes</v>
      </c>
      <c r="Y181">
        <f>VLOOKUP($I181,'[1]Table S6'!$A:$AI,17,FALSE)</f>
        <v>393.7</v>
      </c>
      <c r="Z181">
        <f>VLOOKUP($I181,'[1]Table S6'!$A:$AI,18,FALSE)</f>
        <v>0.83783783783783805</v>
      </c>
      <c r="AA181">
        <f>VLOOKUP($I181,'[1]Table S6'!$A:$AI,19,FALSE)</f>
        <v>24.96</v>
      </c>
      <c r="AB181" t="str">
        <f>VLOOKUP($I181,'[1]Table S6'!$A:$AI,20,FALSE)</f>
        <v>No</v>
      </c>
      <c r="AD181">
        <f>VLOOKUP($I181,'[1]Table S6'!$A:$AI,22,FALSE)</f>
        <v>383.9</v>
      </c>
      <c r="AE181">
        <f>VLOOKUP($I181,'[1]Table S6'!$A:$AI,23,FALSE)</f>
        <v>0.81698233666737596</v>
      </c>
      <c r="AF181">
        <f>VLOOKUP($I181,'[1]Table S6'!$A:$AI,24,FALSE)</f>
        <v>15.66</v>
      </c>
      <c r="AG181" t="str">
        <f>VLOOKUP($I181,'[1]Table S6'!$A:$AI,25,FALSE)</f>
        <v>No</v>
      </c>
      <c r="AI181">
        <f>VLOOKUP($I181,'[1]Table S6'!$A:$AI,27,FALSE)</f>
        <v>291</v>
      </c>
      <c r="AJ181">
        <f>VLOOKUP($I181,'[1]Table S6'!$A:$AI,28,FALSE)</f>
        <v>0.61928069802085595</v>
      </c>
      <c r="AK181">
        <f>VLOOKUP($I181,'[1]Table S6'!$A:$AI,29,FALSE)</f>
        <v>0.93240000000000001</v>
      </c>
      <c r="AL181" t="str">
        <f>VLOOKUP($I181,'[1]Table S6'!$A:$AI,30,FALSE)</f>
        <v>Yes</v>
      </c>
      <c r="AN181">
        <f>VLOOKUP($I181,'[1]Table S6'!$A:$AI,32,FALSE)</f>
        <v>322.89999999999998</v>
      </c>
      <c r="AO181">
        <f>VLOOKUP($I181,'[1]Table S6'!$A:$AI,33,FALSE)</f>
        <v>0.68716748244307302</v>
      </c>
      <c r="AP181">
        <f>VLOOKUP($I181,'[1]Table S6'!$A:$AI,34,FALSE)</f>
        <v>3.8809999999999998</v>
      </c>
      <c r="AQ181" t="str">
        <f>VLOOKUP($I181,'[1]Table S6'!$A:$AI,35,FALSE)</f>
        <v>No</v>
      </c>
      <c r="AS181" t="str">
        <f>VLOOKUP($H181,'[2]Table S5'!$A:$K,8,FALSE)</f>
        <v>Resistant</v>
      </c>
      <c r="AT181" t="str">
        <f>VLOOKUP($H181,'[2]Table S5'!$A:$K,9,FALSE)</f>
        <v>Resistant</v>
      </c>
      <c r="AU181" t="str">
        <f>VLOOKUP($H181,'[2]Table S5'!$A:$K,10,FALSE)</f>
        <v>Resistant</v>
      </c>
      <c r="AV181" t="str">
        <f>VLOOKUP($H181,'[2]Table S5'!$A:$K,11,FALSE)</f>
        <v>Resistant</v>
      </c>
    </row>
    <row r="182" spans="1:48">
      <c r="A182" t="s">
        <v>1372</v>
      </c>
      <c r="B182" t="s">
        <v>1373</v>
      </c>
      <c r="C182" t="s">
        <v>17</v>
      </c>
      <c r="D182" t="s">
        <v>1375</v>
      </c>
      <c r="E182" t="s">
        <v>1376</v>
      </c>
      <c r="F182" t="s">
        <v>1377</v>
      </c>
      <c r="G182" t="s">
        <v>4750</v>
      </c>
      <c r="H182" t="s">
        <v>1378</v>
      </c>
      <c r="I182" t="s">
        <v>1379</v>
      </c>
      <c r="J182">
        <f>VLOOKUP($I182,'[1]Table S6'!$A:$AI,2,FALSE)</f>
        <v>416.5</v>
      </c>
      <c r="K182">
        <f>VLOOKUP($I182,'[1]Table S6'!$A:$AI,3,FALSE)</f>
        <v>0.88635879974462695</v>
      </c>
      <c r="L182">
        <f>VLOOKUP($I182,'[1]Table S6'!$A:$AI,4,FALSE)</f>
        <v>63.21</v>
      </c>
      <c r="M182" t="str">
        <f>VLOOKUP($I182,'[1]Table S6'!$A:$AI,5,FALSE)</f>
        <v>No</v>
      </c>
      <c r="O182">
        <f>VLOOKUP($I182,'[1]Table S6'!$A:$AI,7,FALSE)</f>
        <v>362.5</v>
      </c>
      <c r="P182">
        <f>VLOOKUP($I182,'[1]Table S6'!$A:$AI,8,FALSE)</f>
        <v>0.771440732070653</v>
      </c>
      <c r="Q182">
        <f>VLOOKUP($I182,'[1]Table S6'!$A:$AI,9,FALSE)</f>
        <v>9.7430000000000003</v>
      </c>
      <c r="R182" t="str">
        <f>VLOOKUP($I182,'[1]Table S6'!$A:$AI,10,FALSE)</f>
        <v>No</v>
      </c>
      <c r="T182">
        <f>VLOOKUP($I182,'[1]Table S6'!$A:$AI,12,FALSE)</f>
        <v>417.4</v>
      </c>
      <c r="U182">
        <f>VLOOKUP($I182,'[1]Table S6'!$A:$AI,13,FALSE)</f>
        <v>0.88827410087252601</v>
      </c>
      <c r="V182">
        <f>VLOOKUP($I182,'[1]Table S6'!$A:$AI,14,FALSE)</f>
        <v>41.53</v>
      </c>
      <c r="W182" t="str">
        <f>VLOOKUP($I182,'[1]Table S6'!$A:$AI,15,FALSE)</f>
        <v>No</v>
      </c>
      <c r="Y182">
        <f>VLOOKUP($I182,'[1]Table S6'!$A:$AI,17,FALSE)</f>
        <v>435</v>
      </c>
      <c r="Z182">
        <f>VLOOKUP($I182,'[1]Table S6'!$A:$AI,18,FALSE)</f>
        <v>0.92572887848478402</v>
      </c>
      <c r="AA182">
        <f>VLOOKUP($I182,'[1]Table S6'!$A:$AI,19,FALSE)</f>
        <v>75.87</v>
      </c>
      <c r="AB182" t="str">
        <f>VLOOKUP($I182,'[1]Table S6'!$A:$AI,20,FALSE)</f>
        <v>No</v>
      </c>
      <c r="AD182">
        <f>VLOOKUP($I182,'[1]Table S6'!$A:$AI,22,FALSE)</f>
        <v>439.9</v>
      </c>
      <c r="AE182">
        <f>VLOOKUP($I182,'[1]Table S6'!$A:$AI,23,FALSE)</f>
        <v>0.93615662907001496</v>
      </c>
      <c r="AF182">
        <f>VLOOKUP($I182,'[1]Table S6'!$A:$AI,24,FALSE)</f>
        <v>299.39999999999998</v>
      </c>
      <c r="AG182" t="str">
        <f>VLOOKUP($I182,'[1]Table S6'!$A:$AI,25,FALSE)</f>
        <v>No</v>
      </c>
      <c r="AI182">
        <f>VLOOKUP($I182,'[1]Table S6'!$A:$AI,27,FALSE)</f>
        <v>397.2</v>
      </c>
      <c r="AJ182">
        <f>VLOOKUP($I182,'[1]Table S6'!$A:$AI,28,FALSE)</f>
        <v>0.84528623111300305</v>
      </c>
      <c r="AK182">
        <f>VLOOKUP($I182,'[1]Table S6'!$A:$AI,29,FALSE)</f>
        <v>14.61</v>
      </c>
      <c r="AL182" t="str">
        <f>VLOOKUP($I182,'[1]Table S6'!$A:$AI,30,FALSE)</f>
        <v>No</v>
      </c>
      <c r="AN182">
        <f>VLOOKUP($I182,'[1]Table S6'!$A:$AI,32,FALSE)</f>
        <v>406.5</v>
      </c>
      <c r="AO182">
        <f>VLOOKUP($I182,'[1]Table S6'!$A:$AI,33,FALSE)</f>
        <v>0.86507767610129804</v>
      </c>
      <c r="AP182">
        <f>VLOOKUP($I182,'[1]Table S6'!$A:$AI,34,FALSE)</f>
        <v>22.8</v>
      </c>
      <c r="AQ182" t="str">
        <f>VLOOKUP($I182,'[1]Table S6'!$A:$AI,35,FALSE)</f>
        <v>No</v>
      </c>
      <c r="AS182" t="e">
        <f>VLOOKUP($H182,'[2]Table S5'!$A:$K,8,FALSE)</f>
        <v>#N/A</v>
      </c>
      <c r="AT182" t="e">
        <f>VLOOKUP($H182,'[2]Table S5'!$A:$K,9,FALSE)</f>
        <v>#N/A</v>
      </c>
      <c r="AU182" t="e">
        <f>VLOOKUP($H182,'[2]Table S5'!$A:$K,10,FALSE)</f>
        <v>#N/A</v>
      </c>
      <c r="AV182" t="e">
        <f>VLOOKUP($H182,'[2]Table S5'!$A:$K,11,FALSE)</f>
        <v>#N/A</v>
      </c>
    </row>
    <row r="183" spans="1:48">
      <c r="A183" t="s">
        <v>1381</v>
      </c>
      <c r="B183" t="s">
        <v>1382</v>
      </c>
      <c r="C183" t="s">
        <v>17</v>
      </c>
      <c r="D183" t="s">
        <v>1384</v>
      </c>
      <c r="E183" t="s">
        <v>1385</v>
      </c>
      <c r="F183" t="s">
        <v>1386</v>
      </c>
      <c r="G183" t="s">
        <v>4751</v>
      </c>
      <c r="H183" t="s">
        <v>1378</v>
      </c>
      <c r="I183" t="s">
        <v>1379</v>
      </c>
      <c r="J183">
        <f>VLOOKUP($I183,'[1]Table S6'!$A:$AI,2,FALSE)</f>
        <v>416.5</v>
      </c>
      <c r="K183">
        <f>VLOOKUP($I183,'[1]Table S6'!$A:$AI,3,FALSE)</f>
        <v>0.88635879974462695</v>
      </c>
      <c r="L183">
        <f>VLOOKUP($I183,'[1]Table S6'!$A:$AI,4,FALSE)</f>
        <v>63.21</v>
      </c>
      <c r="M183" t="str">
        <f>VLOOKUP($I183,'[1]Table S6'!$A:$AI,5,FALSE)</f>
        <v>No</v>
      </c>
      <c r="O183">
        <f>VLOOKUP($I183,'[1]Table S6'!$A:$AI,7,FALSE)</f>
        <v>362.5</v>
      </c>
      <c r="P183">
        <f>VLOOKUP($I183,'[1]Table S6'!$A:$AI,8,FALSE)</f>
        <v>0.771440732070653</v>
      </c>
      <c r="Q183">
        <f>VLOOKUP($I183,'[1]Table S6'!$A:$AI,9,FALSE)</f>
        <v>9.7430000000000003</v>
      </c>
      <c r="R183" t="str">
        <f>VLOOKUP($I183,'[1]Table S6'!$A:$AI,10,FALSE)</f>
        <v>No</v>
      </c>
      <c r="T183">
        <f>VLOOKUP($I183,'[1]Table S6'!$A:$AI,12,FALSE)</f>
        <v>417.4</v>
      </c>
      <c r="U183">
        <f>VLOOKUP($I183,'[1]Table S6'!$A:$AI,13,FALSE)</f>
        <v>0.88827410087252601</v>
      </c>
      <c r="V183">
        <f>VLOOKUP($I183,'[1]Table S6'!$A:$AI,14,FALSE)</f>
        <v>41.53</v>
      </c>
      <c r="W183" t="str">
        <f>VLOOKUP($I183,'[1]Table S6'!$A:$AI,15,FALSE)</f>
        <v>No</v>
      </c>
      <c r="Y183">
        <f>VLOOKUP($I183,'[1]Table S6'!$A:$AI,17,FALSE)</f>
        <v>435</v>
      </c>
      <c r="Z183">
        <f>VLOOKUP($I183,'[1]Table S6'!$A:$AI,18,FALSE)</f>
        <v>0.92572887848478402</v>
      </c>
      <c r="AA183">
        <f>VLOOKUP($I183,'[1]Table S6'!$A:$AI,19,FALSE)</f>
        <v>75.87</v>
      </c>
      <c r="AB183" t="str">
        <f>VLOOKUP($I183,'[1]Table S6'!$A:$AI,20,FALSE)</f>
        <v>No</v>
      </c>
      <c r="AD183">
        <f>VLOOKUP($I183,'[1]Table S6'!$A:$AI,22,FALSE)</f>
        <v>439.9</v>
      </c>
      <c r="AE183">
        <f>VLOOKUP($I183,'[1]Table S6'!$A:$AI,23,FALSE)</f>
        <v>0.93615662907001496</v>
      </c>
      <c r="AF183">
        <f>VLOOKUP($I183,'[1]Table S6'!$A:$AI,24,FALSE)</f>
        <v>299.39999999999998</v>
      </c>
      <c r="AG183" t="str">
        <f>VLOOKUP($I183,'[1]Table S6'!$A:$AI,25,FALSE)</f>
        <v>No</v>
      </c>
      <c r="AI183">
        <f>VLOOKUP($I183,'[1]Table S6'!$A:$AI,27,FALSE)</f>
        <v>397.2</v>
      </c>
      <c r="AJ183">
        <f>VLOOKUP($I183,'[1]Table S6'!$A:$AI,28,FALSE)</f>
        <v>0.84528623111300305</v>
      </c>
      <c r="AK183">
        <f>VLOOKUP($I183,'[1]Table S6'!$A:$AI,29,FALSE)</f>
        <v>14.61</v>
      </c>
      <c r="AL183" t="str">
        <f>VLOOKUP($I183,'[1]Table S6'!$A:$AI,30,FALSE)</f>
        <v>No</v>
      </c>
      <c r="AN183">
        <f>VLOOKUP($I183,'[1]Table S6'!$A:$AI,32,FALSE)</f>
        <v>406.5</v>
      </c>
      <c r="AO183">
        <f>VLOOKUP($I183,'[1]Table S6'!$A:$AI,33,FALSE)</f>
        <v>0.86507767610129804</v>
      </c>
      <c r="AP183">
        <f>VLOOKUP($I183,'[1]Table S6'!$A:$AI,34,FALSE)</f>
        <v>22.8</v>
      </c>
      <c r="AQ183" t="str">
        <f>VLOOKUP($I183,'[1]Table S6'!$A:$AI,35,FALSE)</f>
        <v>No</v>
      </c>
      <c r="AS183" t="e">
        <f>VLOOKUP($H183,'[2]Table S5'!$A:$K,8,FALSE)</f>
        <v>#N/A</v>
      </c>
      <c r="AT183" t="e">
        <f>VLOOKUP($H183,'[2]Table S5'!$A:$K,9,FALSE)</f>
        <v>#N/A</v>
      </c>
      <c r="AU183" t="e">
        <f>VLOOKUP($H183,'[2]Table S5'!$A:$K,10,FALSE)</f>
        <v>#N/A</v>
      </c>
      <c r="AV183" t="e">
        <f>VLOOKUP($H183,'[2]Table S5'!$A:$K,11,FALSE)</f>
        <v>#N/A</v>
      </c>
    </row>
    <row r="184" spans="1:48">
      <c r="A184" t="s">
        <v>1388</v>
      </c>
      <c r="B184" t="s">
        <v>1389</v>
      </c>
      <c r="C184" t="s">
        <v>17</v>
      </c>
      <c r="D184" t="s">
        <v>1391</v>
      </c>
      <c r="E184" t="s">
        <v>1392</v>
      </c>
      <c r="F184" t="s">
        <v>1393</v>
      </c>
      <c r="G184" t="s">
        <v>4757</v>
      </c>
      <c r="H184" t="s">
        <v>1378</v>
      </c>
      <c r="I184" t="s">
        <v>1378</v>
      </c>
      <c r="J184" t="e">
        <f>VLOOKUP($I184,'[1]Table S6'!$A:$AI,2,FALSE)</f>
        <v>#N/A</v>
      </c>
      <c r="K184" t="e">
        <f>VLOOKUP($I184,'[1]Table S6'!$A:$AI,3,FALSE)</f>
        <v>#N/A</v>
      </c>
      <c r="L184" t="e">
        <f>VLOOKUP($I184,'[1]Table S6'!$A:$AI,4,FALSE)</f>
        <v>#N/A</v>
      </c>
      <c r="M184" t="e">
        <f>VLOOKUP($I184,'[1]Table S6'!$A:$AI,5,FALSE)</f>
        <v>#N/A</v>
      </c>
      <c r="O184" t="e">
        <f>VLOOKUP($I184,'[1]Table S6'!$A:$AI,7,FALSE)</f>
        <v>#N/A</v>
      </c>
      <c r="P184" t="e">
        <f>VLOOKUP($I184,'[1]Table S6'!$A:$AI,8,FALSE)</f>
        <v>#N/A</v>
      </c>
      <c r="Q184" t="e">
        <f>VLOOKUP($I184,'[1]Table S6'!$A:$AI,9,FALSE)</f>
        <v>#N/A</v>
      </c>
      <c r="R184" t="e">
        <f>VLOOKUP($I184,'[1]Table S6'!$A:$AI,10,FALSE)</f>
        <v>#N/A</v>
      </c>
      <c r="T184" t="e">
        <f>VLOOKUP($I184,'[1]Table S6'!$A:$AI,12,FALSE)</f>
        <v>#N/A</v>
      </c>
      <c r="U184" t="e">
        <f>VLOOKUP($I184,'[1]Table S6'!$A:$AI,13,FALSE)</f>
        <v>#N/A</v>
      </c>
      <c r="V184" t="e">
        <f>VLOOKUP($I184,'[1]Table S6'!$A:$AI,14,FALSE)</f>
        <v>#N/A</v>
      </c>
      <c r="W184" t="e">
        <f>VLOOKUP($I184,'[1]Table S6'!$A:$AI,15,FALSE)</f>
        <v>#N/A</v>
      </c>
      <c r="Y184" t="e">
        <f>VLOOKUP($I184,'[1]Table S6'!$A:$AI,17,FALSE)</f>
        <v>#N/A</v>
      </c>
      <c r="Z184" t="e">
        <f>VLOOKUP($I184,'[1]Table S6'!$A:$AI,18,FALSE)</f>
        <v>#N/A</v>
      </c>
      <c r="AA184" t="e">
        <f>VLOOKUP($I184,'[1]Table S6'!$A:$AI,19,FALSE)</f>
        <v>#N/A</v>
      </c>
      <c r="AB184" t="e">
        <f>VLOOKUP($I184,'[1]Table S6'!$A:$AI,20,FALSE)</f>
        <v>#N/A</v>
      </c>
      <c r="AD184" t="e">
        <f>VLOOKUP($I184,'[1]Table S6'!$A:$AI,22,FALSE)</f>
        <v>#N/A</v>
      </c>
      <c r="AE184" t="e">
        <f>VLOOKUP($I184,'[1]Table S6'!$A:$AI,23,FALSE)</f>
        <v>#N/A</v>
      </c>
      <c r="AF184" t="e">
        <f>VLOOKUP($I184,'[1]Table S6'!$A:$AI,24,FALSE)</f>
        <v>#N/A</v>
      </c>
      <c r="AG184" t="e">
        <f>VLOOKUP($I184,'[1]Table S6'!$A:$AI,25,FALSE)</f>
        <v>#N/A</v>
      </c>
      <c r="AI184" t="e">
        <f>VLOOKUP($I184,'[1]Table S6'!$A:$AI,27,FALSE)</f>
        <v>#N/A</v>
      </c>
      <c r="AJ184" t="e">
        <f>VLOOKUP($I184,'[1]Table S6'!$A:$AI,28,FALSE)</f>
        <v>#N/A</v>
      </c>
      <c r="AK184" t="e">
        <f>VLOOKUP($I184,'[1]Table S6'!$A:$AI,29,FALSE)</f>
        <v>#N/A</v>
      </c>
      <c r="AL184" t="e">
        <f>VLOOKUP($I184,'[1]Table S6'!$A:$AI,30,FALSE)</f>
        <v>#N/A</v>
      </c>
      <c r="AN184" t="e">
        <f>VLOOKUP($I184,'[1]Table S6'!$A:$AI,32,FALSE)</f>
        <v>#N/A</v>
      </c>
      <c r="AO184" t="e">
        <f>VLOOKUP($I184,'[1]Table S6'!$A:$AI,33,FALSE)</f>
        <v>#N/A</v>
      </c>
      <c r="AP184" t="e">
        <f>VLOOKUP($I184,'[1]Table S6'!$A:$AI,34,FALSE)</f>
        <v>#N/A</v>
      </c>
      <c r="AQ184" t="e">
        <f>VLOOKUP($I184,'[1]Table S6'!$A:$AI,35,FALSE)</f>
        <v>#N/A</v>
      </c>
      <c r="AS184" t="e">
        <f>VLOOKUP($H184,'[2]Table S5'!$A:$K,8,FALSE)</f>
        <v>#N/A</v>
      </c>
      <c r="AT184" t="e">
        <f>VLOOKUP($H184,'[2]Table S5'!$A:$K,9,FALSE)</f>
        <v>#N/A</v>
      </c>
      <c r="AU184" t="e">
        <f>VLOOKUP($H184,'[2]Table S5'!$A:$K,10,FALSE)</f>
        <v>#N/A</v>
      </c>
      <c r="AV184" t="e">
        <f>VLOOKUP($H184,'[2]Table S5'!$A:$K,11,FALSE)</f>
        <v>#N/A</v>
      </c>
    </row>
    <row r="185" spans="1:48">
      <c r="A185" t="s">
        <v>1395</v>
      </c>
      <c r="B185" t="s">
        <v>1396</v>
      </c>
      <c r="C185" t="s">
        <v>17</v>
      </c>
      <c r="D185" t="s">
        <v>1398</v>
      </c>
      <c r="E185" t="s">
        <v>1399</v>
      </c>
      <c r="F185" t="s">
        <v>1400</v>
      </c>
      <c r="G185" t="s">
        <v>4750</v>
      </c>
      <c r="H185" t="s">
        <v>1401</v>
      </c>
      <c r="I185" t="s">
        <v>1402</v>
      </c>
      <c r="J185">
        <f>VLOOKUP($I185,'[1]Table S6'!$A:$AI,2,FALSE)</f>
        <v>351.7</v>
      </c>
      <c r="K185">
        <f>VLOOKUP($I185,'[1]Table S6'!$A:$AI,3,FALSE)</f>
        <v>0.74845711853585895</v>
      </c>
      <c r="L185">
        <f>VLOOKUP($I185,'[1]Table S6'!$A:$AI,4,FALSE)</f>
        <v>7.6639999999999997</v>
      </c>
      <c r="M185" t="str">
        <f>VLOOKUP($I185,'[1]Table S6'!$A:$AI,5,FALSE)</f>
        <v>No</v>
      </c>
      <c r="O185">
        <f>VLOOKUP($I185,'[1]Table S6'!$A:$AI,7,FALSE)</f>
        <v>406.3</v>
      </c>
      <c r="P185">
        <f>VLOOKUP($I185,'[1]Table S6'!$A:$AI,8,FALSE)</f>
        <v>0.864652053628432</v>
      </c>
      <c r="Q185">
        <f>VLOOKUP($I185,'[1]Table S6'!$A:$AI,9,FALSE)</f>
        <v>62.69</v>
      </c>
      <c r="R185" t="str">
        <f>VLOOKUP($I185,'[1]Table S6'!$A:$AI,10,FALSE)</f>
        <v>No</v>
      </c>
      <c r="T185">
        <f>VLOOKUP($I185,'[1]Table S6'!$A:$AI,12,FALSE)</f>
        <v>390.8</v>
      </c>
      <c r="U185">
        <f>VLOOKUP($I185,'[1]Table S6'!$A:$AI,13,FALSE)</f>
        <v>0.83166631198127305</v>
      </c>
      <c r="V185">
        <f>VLOOKUP($I185,'[1]Table S6'!$A:$AI,14,FALSE)</f>
        <v>28.37</v>
      </c>
      <c r="W185" t="str">
        <f>VLOOKUP($I185,'[1]Table S6'!$A:$AI,15,FALSE)</f>
        <v>No</v>
      </c>
      <c r="Y185">
        <f>VLOOKUP($I185,'[1]Table S6'!$A:$AI,17,FALSE)</f>
        <v>375.5</v>
      </c>
      <c r="Z185">
        <f>VLOOKUP($I185,'[1]Table S6'!$A:$AI,18,FALSE)</f>
        <v>0.79910619280698003</v>
      </c>
      <c r="AA185">
        <f>VLOOKUP($I185,'[1]Table S6'!$A:$AI,19,FALSE)</f>
        <v>13.58</v>
      </c>
      <c r="AB185" t="str">
        <f>VLOOKUP($I185,'[1]Table S6'!$A:$AI,20,FALSE)</f>
        <v>No</v>
      </c>
      <c r="AD185">
        <f>VLOOKUP($I185,'[1]Table S6'!$A:$AI,22,FALSE)</f>
        <v>362.5</v>
      </c>
      <c r="AE185">
        <f>VLOOKUP($I185,'[1]Table S6'!$A:$AI,23,FALSE)</f>
        <v>0.771440732070653</v>
      </c>
      <c r="AF185">
        <f>VLOOKUP($I185,'[1]Table S6'!$A:$AI,24,FALSE)</f>
        <v>18.61</v>
      </c>
      <c r="AG185" t="str">
        <f>VLOOKUP($I185,'[1]Table S6'!$A:$AI,25,FALSE)</f>
        <v>No</v>
      </c>
      <c r="AI185">
        <f>VLOOKUP($I185,'[1]Table S6'!$A:$AI,27,FALSE)</f>
        <v>417.3</v>
      </c>
      <c r="AJ185">
        <f>VLOOKUP($I185,'[1]Table S6'!$A:$AI,28,FALSE)</f>
        <v>0.88806128963609299</v>
      </c>
      <c r="AK185">
        <f>VLOOKUP($I185,'[1]Table S6'!$A:$AI,29,FALSE)</f>
        <v>58.75</v>
      </c>
      <c r="AL185" t="str">
        <f>VLOOKUP($I185,'[1]Table S6'!$A:$AI,30,FALSE)</f>
        <v>No</v>
      </c>
      <c r="AN185">
        <f>VLOOKUP($I185,'[1]Table S6'!$A:$AI,32,FALSE)</f>
        <v>398.3</v>
      </c>
      <c r="AO185">
        <f>VLOOKUP($I185,'[1]Table S6'!$A:$AI,33,FALSE)</f>
        <v>0.84762715471376904</v>
      </c>
      <c r="AP185">
        <f>VLOOKUP($I185,'[1]Table S6'!$A:$AI,34,FALSE)</f>
        <v>131.1</v>
      </c>
      <c r="AQ185" t="str">
        <f>VLOOKUP($I185,'[1]Table S6'!$A:$AI,35,FALSE)</f>
        <v>No</v>
      </c>
      <c r="AS185" t="str">
        <f>VLOOKUP($H185,'[2]Table S5'!$A:$K,8,FALSE)</f>
        <v>Resistant</v>
      </c>
      <c r="AT185" t="str">
        <f>VLOOKUP($H185,'[2]Table S5'!$A:$K,9,FALSE)</f>
        <v>Resistant</v>
      </c>
      <c r="AU185" t="str">
        <f>VLOOKUP($H185,'[2]Table S5'!$A:$K,10,FALSE)</f>
        <v>Resistant</v>
      </c>
      <c r="AV185" t="str">
        <f>VLOOKUP($H185,'[2]Table S5'!$A:$K,11,FALSE)</f>
        <v>Resistant</v>
      </c>
    </row>
    <row r="186" spans="1:48">
      <c r="A186" t="s">
        <v>1404</v>
      </c>
      <c r="B186" t="s">
        <v>1405</v>
      </c>
      <c r="C186" t="s">
        <v>17</v>
      </c>
      <c r="D186" t="s">
        <v>1407</v>
      </c>
      <c r="E186" t="s">
        <v>1408</v>
      </c>
      <c r="F186" t="s">
        <v>1409</v>
      </c>
      <c r="G186" t="s">
        <v>4750</v>
      </c>
      <c r="H186" t="s">
        <v>1401</v>
      </c>
      <c r="I186" t="s">
        <v>1410</v>
      </c>
      <c r="J186">
        <f>VLOOKUP($I186,'[1]Table S6'!$A:$AI,2,FALSE)</f>
        <v>306.5</v>
      </c>
      <c r="K186">
        <f>VLOOKUP($I186,'[1]Table S6'!$A:$AI,3,FALSE)</f>
        <v>0.65226643966801401</v>
      </c>
      <c r="L186">
        <f>VLOOKUP($I186,'[1]Table S6'!$A:$AI,4,FALSE)</f>
        <v>1.339</v>
      </c>
      <c r="M186" t="str">
        <f>VLOOKUP($I186,'[1]Table S6'!$A:$AI,5,FALSE)</f>
        <v>Yes</v>
      </c>
      <c r="O186">
        <f>VLOOKUP($I186,'[1]Table S6'!$A:$AI,7,FALSE)</f>
        <v>395.4</v>
      </c>
      <c r="P186">
        <f>VLOOKUP($I186,'[1]Table S6'!$A:$AI,8,FALSE)</f>
        <v>0.84145562885720404</v>
      </c>
      <c r="Q186">
        <f>VLOOKUP($I186,'[1]Table S6'!$A:$AI,9,FALSE)</f>
        <v>33.08</v>
      </c>
      <c r="R186" t="str">
        <f>VLOOKUP($I186,'[1]Table S6'!$A:$AI,10,FALSE)</f>
        <v>No</v>
      </c>
      <c r="T186">
        <f>VLOOKUP($I186,'[1]Table S6'!$A:$AI,12,FALSE)</f>
        <v>367.2</v>
      </c>
      <c r="U186">
        <f>VLOOKUP($I186,'[1]Table S6'!$A:$AI,13,FALSE)</f>
        <v>0.78144286018301801</v>
      </c>
      <c r="V186">
        <f>VLOOKUP($I186,'[1]Table S6'!$A:$AI,14,FALSE)</f>
        <v>14.68</v>
      </c>
      <c r="W186" t="str">
        <f>VLOOKUP($I186,'[1]Table S6'!$A:$AI,15,FALSE)</f>
        <v>No</v>
      </c>
      <c r="Y186">
        <f>VLOOKUP($I186,'[1]Table S6'!$A:$AI,17,FALSE)</f>
        <v>397.1</v>
      </c>
      <c r="Z186">
        <f>VLOOKUP($I186,'[1]Table S6'!$A:$AI,18,FALSE)</f>
        <v>0.84507341987657003</v>
      </c>
      <c r="AA186">
        <f>VLOOKUP($I186,'[1]Table S6'!$A:$AI,19,FALSE)</f>
        <v>21.54</v>
      </c>
      <c r="AB186" t="str">
        <f>VLOOKUP($I186,'[1]Table S6'!$A:$AI,20,FALSE)</f>
        <v>No</v>
      </c>
      <c r="AD186">
        <f>VLOOKUP($I186,'[1]Table S6'!$A:$AI,22,FALSE)</f>
        <v>351.8</v>
      </c>
      <c r="AE186">
        <f>VLOOKUP($I186,'[1]Table S6'!$A:$AI,23,FALSE)</f>
        <v>0.74866992977229196</v>
      </c>
      <c r="AF186">
        <f>VLOOKUP($I186,'[1]Table S6'!$A:$AI,24,FALSE)</f>
        <v>6.0659999999999998</v>
      </c>
      <c r="AG186" t="str">
        <f>VLOOKUP($I186,'[1]Table S6'!$A:$AI,25,FALSE)</f>
        <v>No</v>
      </c>
      <c r="AI186">
        <f>VLOOKUP($I186,'[1]Table S6'!$A:$AI,27,FALSE)</f>
        <v>376.9</v>
      </c>
      <c r="AJ186">
        <f>VLOOKUP($I186,'[1]Table S6'!$A:$AI,28,FALSE)</f>
        <v>0.80208555011704596</v>
      </c>
      <c r="AK186">
        <f>VLOOKUP($I186,'[1]Table S6'!$A:$AI,29,FALSE)</f>
        <v>13.09</v>
      </c>
      <c r="AL186" t="str">
        <f>VLOOKUP($I186,'[1]Table S6'!$A:$AI,30,FALSE)</f>
        <v>No</v>
      </c>
      <c r="AN186">
        <f>VLOOKUP($I186,'[1]Table S6'!$A:$AI,32,FALSE)</f>
        <v>400</v>
      </c>
      <c r="AO186">
        <f>VLOOKUP($I186,'[1]Table S6'!$A:$AI,33,FALSE)</f>
        <v>0.85124494573313503</v>
      </c>
      <c r="AP186">
        <f>VLOOKUP($I186,'[1]Table S6'!$A:$AI,34,FALSE)</f>
        <v>82.86</v>
      </c>
      <c r="AQ186" t="str">
        <f>VLOOKUP($I186,'[1]Table S6'!$A:$AI,35,FALSE)</f>
        <v>No</v>
      </c>
      <c r="AS186" t="str">
        <f>VLOOKUP($H186,'[2]Table S5'!$A:$K,8,FALSE)</f>
        <v>Resistant</v>
      </c>
      <c r="AT186" t="str">
        <f>VLOOKUP($H186,'[2]Table S5'!$A:$K,9,FALSE)</f>
        <v>Resistant</v>
      </c>
      <c r="AU186" t="str">
        <f>VLOOKUP($H186,'[2]Table S5'!$A:$K,10,FALSE)</f>
        <v>Resistant</v>
      </c>
      <c r="AV186" t="str">
        <f>VLOOKUP($H186,'[2]Table S5'!$A:$K,11,FALSE)</f>
        <v>Resistant</v>
      </c>
    </row>
    <row r="187" spans="1:48">
      <c r="A187" t="s">
        <v>1412</v>
      </c>
      <c r="B187" t="s">
        <v>1413</v>
      </c>
      <c r="C187" t="s">
        <v>17</v>
      </c>
      <c r="D187" t="s">
        <v>1415</v>
      </c>
      <c r="E187" t="s">
        <v>1416</v>
      </c>
      <c r="F187" t="s">
        <v>1417</v>
      </c>
      <c r="G187" t="s">
        <v>4751</v>
      </c>
      <c r="H187" t="s">
        <v>1401</v>
      </c>
      <c r="I187" t="s">
        <v>1402</v>
      </c>
      <c r="J187">
        <f>VLOOKUP($I187,'[1]Table S6'!$A:$AI,2,FALSE)</f>
        <v>351.7</v>
      </c>
      <c r="K187">
        <f>VLOOKUP($I187,'[1]Table S6'!$A:$AI,3,FALSE)</f>
        <v>0.74845711853585895</v>
      </c>
      <c r="L187">
        <f>VLOOKUP($I187,'[1]Table S6'!$A:$AI,4,FALSE)</f>
        <v>7.6639999999999997</v>
      </c>
      <c r="M187" t="str">
        <f>VLOOKUP($I187,'[1]Table S6'!$A:$AI,5,FALSE)</f>
        <v>No</v>
      </c>
      <c r="O187">
        <f>VLOOKUP($I187,'[1]Table S6'!$A:$AI,7,FALSE)</f>
        <v>406.3</v>
      </c>
      <c r="P187">
        <f>VLOOKUP($I187,'[1]Table S6'!$A:$AI,8,FALSE)</f>
        <v>0.864652053628432</v>
      </c>
      <c r="Q187">
        <f>VLOOKUP($I187,'[1]Table S6'!$A:$AI,9,FALSE)</f>
        <v>62.69</v>
      </c>
      <c r="R187" t="str">
        <f>VLOOKUP($I187,'[1]Table S6'!$A:$AI,10,FALSE)</f>
        <v>No</v>
      </c>
      <c r="T187">
        <f>VLOOKUP($I187,'[1]Table S6'!$A:$AI,12,FALSE)</f>
        <v>390.8</v>
      </c>
      <c r="U187">
        <f>VLOOKUP($I187,'[1]Table S6'!$A:$AI,13,FALSE)</f>
        <v>0.83166631198127305</v>
      </c>
      <c r="V187">
        <f>VLOOKUP($I187,'[1]Table S6'!$A:$AI,14,FALSE)</f>
        <v>28.37</v>
      </c>
      <c r="W187" t="str">
        <f>VLOOKUP($I187,'[1]Table S6'!$A:$AI,15,FALSE)</f>
        <v>No</v>
      </c>
      <c r="Y187">
        <f>VLOOKUP($I187,'[1]Table S6'!$A:$AI,17,FALSE)</f>
        <v>375.5</v>
      </c>
      <c r="Z187">
        <f>VLOOKUP($I187,'[1]Table S6'!$A:$AI,18,FALSE)</f>
        <v>0.79910619280698003</v>
      </c>
      <c r="AA187">
        <f>VLOOKUP($I187,'[1]Table S6'!$A:$AI,19,FALSE)</f>
        <v>13.58</v>
      </c>
      <c r="AB187" t="str">
        <f>VLOOKUP($I187,'[1]Table S6'!$A:$AI,20,FALSE)</f>
        <v>No</v>
      </c>
      <c r="AD187">
        <f>VLOOKUP($I187,'[1]Table S6'!$A:$AI,22,FALSE)</f>
        <v>362.5</v>
      </c>
      <c r="AE187">
        <f>VLOOKUP($I187,'[1]Table S6'!$A:$AI,23,FALSE)</f>
        <v>0.771440732070653</v>
      </c>
      <c r="AF187">
        <f>VLOOKUP($I187,'[1]Table S6'!$A:$AI,24,FALSE)</f>
        <v>18.61</v>
      </c>
      <c r="AG187" t="str">
        <f>VLOOKUP($I187,'[1]Table S6'!$A:$AI,25,FALSE)</f>
        <v>No</v>
      </c>
      <c r="AI187">
        <f>VLOOKUP($I187,'[1]Table S6'!$A:$AI,27,FALSE)</f>
        <v>417.3</v>
      </c>
      <c r="AJ187">
        <f>VLOOKUP($I187,'[1]Table S6'!$A:$AI,28,FALSE)</f>
        <v>0.88806128963609299</v>
      </c>
      <c r="AK187">
        <f>VLOOKUP($I187,'[1]Table S6'!$A:$AI,29,FALSE)</f>
        <v>58.75</v>
      </c>
      <c r="AL187" t="str">
        <f>VLOOKUP($I187,'[1]Table S6'!$A:$AI,30,FALSE)</f>
        <v>No</v>
      </c>
      <c r="AN187">
        <f>VLOOKUP($I187,'[1]Table S6'!$A:$AI,32,FALSE)</f>
        <v>398.3</v>
      </c>
      <c r="AO187">
        <f>VLOOKUP($I187,'[1]Table S6'!$A:$AI,33,FALSE)</f>
        <v>0.84762715471376904</v>
      </c>
      <c r="AP187">
        <f>VLOOKUP($I187,'[1]Table S6'!$A:$AI,34,FALSE)</f>
        <v>131.1</v>
      </c>
      <c r="AQ187" t="str">
        <f>VLOOKUP($I187,'[1]Table S6'!$A:$AI,35,FALSE)</f>
        <v>No</v>
      </c>
      <c r="AS187" t="str">
        <f>VLOOKUP($H187,'[2]Table S5'!$A:$K,8,FALSE)</f>
        <v>Resistant</v>
      </c>
      <c r="AT187" t="str">
        <f>VLOOKUP($H187,'[2]Table S5'!$A:$K,9,FALSE)</f>
        <v>Resistant</v>
      </c>
      <c r="AU187" t="str">
        <f>VLOOKUP($H187,'[2]Table S5'!$A:$K,10,FALSE)</f>
        <v>Resistant</v>
      </c>
      <c r="AV187" t="str">
        <f>VLOOKUP($H187,'[2]Table S5'!$A:$K,11,FALSE)</f>
        <v>Resistant</v>
      </c>
    </row>
    <row r="188" spans="1:48">
      <c r="A188" t="s">
        <v>1419</v>
      </c>
      <c r="B188" t="s">
        <v>1420</v>
      </c>
      <c r="C188" t="s">
        <v>17</v>
      </c>
      <c r="D188" t="s">
        <v>1422</v>
      </c>
      <c r="E188" t="s">
        <v>1423</v>
      </c>
      <c r="F188" t="s">
        <v>1424</v>
      </c>
      <c r="G188" t="s">
        <v>4751</v>
      </c>
      <c r="H188" t="s">
        <v>1401</v>
      </c>
      <c r="I188" t="s">
        <v>1410</v>
      </c>
      <c r="J188">
        <f>VLOOKUP($I188,'[1]Table S6'!$A:$AI,2,FALSE)</f>
        <v>306.5</v>
      </c>
      <c r="K188">
        <f>VLOOKUP($I188,'[1]Table S6'!$A:$AI,3,FALSE)</f>
        <v>0.65226643966801401</v>
      </c>
      <c r="L188">
        <f>VLOOKUP($I188,'[1]Table S6'!$A:$AI,4,FALSE)</f>
        <v>1.339</v>
      </c>
      <c r="M188" t="str">
        <f>VLOOKUP($I188,'[1]Table S6'!$A:$AI,5,FALSE)</f>
        <v>Yes</v>
      </c>
      <c r="O188">
        <f>VLOOKUP($I188,'[1]Table S6'!$A:$AI,7,FALSE)</f>
        <v>395.4</v>
      </c>
      <c r="P188">
        <f>VLOOKUP($I188,'[1]Table S6'!$A:$AI,8,FALSE)</f>
        <v>0.84145562885720404</v>
      </c>
      <c r="Q188">
        <f>VLOOKUP($I188,'[1]Table S6'!$A:$AI,9,FALSE)</f>
        <v>33.08</v>
      </c>
      <c r="R188" t="str">
        <f>VLOOKUP($I188,'[1]Table S6'!$A:$AI,10,FALSE)</f>
        <v>No</v>
      </c>
      <c r="T188">
        <f>VLOOKUP($I188,'[1]Table S6'!$A:$AI,12,FALSE)</f>
        <v>367.2</v>
      </c>
      <c r="U188">
        <f>VLOOKUP($I188,'[1]Table S6'!$A:$AI,13,FALSE)</f>
        <v>0.78144286018301801</v>
      </c>
      <c r="V188">
        <f>VLOOKUP($I188,'[1]Table S6'!$A:$AI,14,FALSE)</f>
        <v>14.68</v>
      </c>
      <c r="W188" t="str">
        <f>VLOOKUP($I188,'[1]Table S6'!$A:$AI,15,FALSE)</f>
        <v>No</v>
      </c>
      <c r="Y188">
        <f>VLOOKUP($I188,'[1]Table S6'!$A:$AI,17,FALSE)</f>
        <v>397.1</v>
      </c>
      <c r="Z188">
        <f>VLOOKUP($I188,'[1]Table S6'!$A:$AI,18,FALSE)</f>
        <v>0.84507341987657003</v>
      </c>
      <c r="AA188">
        <f>VLOOKUP($I188,'[1]Table S6'!$A:$AI,19,FALSE)</f>
        <v>21.54</v>
      </c>
      <c r="AB188" t="str">
        <f>VLOOKUP($I188,'[1]Table S6'!$A:$AI,20,FALSE)</f>
        <v>No</v>
      </c>
      <c r="AD188">
        <f>VLOOKUP($I188,'[1]Table S6'!$A:$AI,22,FALSE)</f>
        <v>351.8</v>
      </c>
      <c r="AE188">
        <f>VLOOKUP($I188,'[1]Table S6'!$A:$AI,23,FALSE)</f>
        <v>0.74866992977229196</v>
      </c>
      <c r="AF188">
        <f>VLOOKUP($I188,'[1]Table S6'!$A:$AI,24,FALSE)</f>
        <v>6.0659999999999998</v>
      </c>
      <c r="AG188" t="str">
        <f>VLOOKUP($I188,'[1]Table S6'!$A:$AI,25,FALSE)</f>
        <v>No</v>
      </c>
      <c r="AI188">
        <f>VLOOKUP($I188,'[1]Table S6'!$A:$AI,27,FALSE)</f>
        <v>376.9</v>
      </c>
      <c r="AJ188">
        <f>VLOOKUP($I188,'[1]Table S6'!$A:$AI,28,FALSE)</f>
        <v>0.80208555011704596</v>
      </c>
      <c r="AK188">
        <f>VLOOKUP($I188,'[1]Table S6'!$A:$AI,29,FALSE)</f>
        <v>13.09</v>
      </c>
      <c r="AL188" t="str">
        <f>VLOOKUP($I188,'[1]Table S6'!$A:$AI,30,FALSE)</f>
        <v>No</v>
      </c>
      <c r="AN188">
        <f>VLOOKUP($I188,'[1]Table S6'!$A:$AI,32,FALSE)</f>
        <v>400</v>
      </c>
      <c r="AO188">
        <f>VLOOKUP($I188,'[1]Table S6'!$A:$AI,33,FALSE)</f>
        <v>0.85124494573313503</v>
      </c>
      <c r="AP188">
        <f>VLOOKUP($I188,'[1]Table S6'!$A:$AI,34,FALSE)</f>
        <v>82.86</v>
      </c>
      <c r="AQ188" t="str">
        <f>VLOOKUP($I188,'[1]Table S6'!$A:$AI,35,FALSE)</f>
        <v>No</v>
      </c>
      <c r="AS188" t="str">
        <f>VLOOKUP($H188,'[2]Table S5'!$A:$K,8,FALSE)</f>
        <v>Resistant</v>
      </c>
      <c r="AT188" t="str">
        <f>VLOOKUP($H188,'[2]Table S5'!$A:$K,9,FALSE)</f>
        <v>Resistant</v>
      </c>
      <c r="AU188" t="str">
        <f>VLOOKUP($H188,'[2]Table S5'!$A:$K,10,FALSE)</f>
        <v>Resistant</v>
      </c>
      <c r="AV188" t="str">
        <f>VLOOKUP($H188,'[2]Table S5'!$A:$K,11,FALSE)</f>
        <v>Resistant</v>
      </c>
    </row>
    <row r="189" spans="1:48">
      <c r="A189" t="s">
        <v>1426</v>
      </c>
      <c r="B189" t="s">
        <v>1427</v>
      </c>
      <c r="C189" t="s">
        <v>17</v>
      </c>
      <c r="D189" t="s">
        <v>1429</v>
      </c>
      <c r="E189" t="s">
        <v>1430</v>
      </c>
      <c r="F189" t="s">
        <v>1431</v>
      </c>
      <c r="G189" t="s">
        <v>4757</v>
      </c>
      <c r="H189" t="s">
        <v>1401</v>
      </c>
      <c r="I189" t="s">
        <v>1401</v>
      </c>
      <c r="J189" t="e">
        <f>VLOOKUP($I189,'[1]Table S6'!$A:$AI,2,FALSE)</f>
        <v>#N/A</v>
      </c>
      <c r="K189" t="e">
        <f>VLOOKUP($I189,'[1]Table S6'!$A:$AI,3,FALSE)</f>
        <v>#N/A</v>
      </c>
      <c r="L189" t="e">
        <f>VLOOKUP($I189,'[1]Table S6'!$A:$AI,4,FALSE)</f>
        <v>#N/A</v>
      </c>
      <c r="M189" t="e">
        <f>VLOOKUP($I189,'[1]Table S6'!$A:$AI,5,FALSE)</f>
        <v>#N/A</v>
      </c>
      <c r="O189" t="e">
        <f>VLOOKUP($I189,'[1]Table S6'!$A:$AI,7,FALSE)</f>
        <v>#N/A</v>
      </c>
      <c r="P189" t="e">
        <f>VLOOKUP($I189,'[1]Table S6'!$A:$AI,8,FALSE)</f>
        <v>#N/A</v>
      </c>
      <c r="Q189" t="e">
        <f>VLOOKUP($I189,'[1]Table S6'!$A:$AI,9,FALSE)</f>
        <v>#N/A</v>
      </c>
      <c r="R189" t="e">
        <f>VLOOKUP($I189,'[1]Table S6'!$A:$AI,10,FALSE)</f>
        <v>#N/A</v>
      </c>
      <c r="T189" t="e">
        <f>VLOOKUP($I189,'[1]Table S6'!$A:$AI,12,FALSE)</f>
        <v>#N/A</v>
      </c>
      <c r="U189" t="e">
        <f>VLOOKUP($I189,'[1]Table S6'!$A:$AI,13,FALSE)</f>
        <v>#N/A</v>
      </c>
      <c r="V189" t="e">
        <f>VLOOKUP($I189,'[1]Table S6'!$A:$AI,14,FALSE)</f>
        <v>#N/A</v>
      </c>
      <c r="W189" t="e">
        <f>VLOOKUP($I189,'[1]Table S6'!$A:$AI,15,FALSE)</f>
        <v>#N/A</v>
      </c>
      <c r="Y189" t="e">
        <f>VLOOKUP($I189,'[1]Table S6'!$A:$AI,17,FALSE)</f>
        <v>#N/A</v>
      </c>
      <c r="Z189" t="e">
        <f>VLOOKUP($I189,'[1]Table S6'!$A:$AI,18,FALSE)</f>
        <v>#N/A</v>
      </c>
      <c r="AA189" t="e">
        <f>VLOOKUP($I189,'[1]Table S6'!$A:$AI,19,FALSE)</f>
        <v>#N/A</v>
      </c>
      <c r="AB189" t="e">
        <f>VLOOKUP($I189,'[1]Table S6'!$A:$AI,20,FALSE)</f>
        <v>#N/A</v>
      </c>
      <c r="AD189" t="e">
        <f>VLOOKUP($I189,'[1]Table S6'!$A:$AI,22,FALSE)</f>
        <v>#N/A</v>
      </c>
      <c r="AE189" t="e">
        <f>VLOOKUP($I189,'[1]Table S6'!$A:$AI,23,FALSE)</f>
        <v>#N/A</v>
      </c>
      <c r="AF189" t="e">
        <f>VLOOKUP($I189,'[1]Table S6'!$A:$AI,24,FALSE)</f>
        <v>#N/A</v>
      </c>
      <c r="AG189" t="e">
        <f>VLOOKUP($I189,'[1]Table S6'!$A:$AI,25,FALSE)</f>
        <v>#N/A</v>
      </c>
      <c r="AI189" t="e">
        <f>VLOOKUP($I189,'[1]Table S6'!$A:$AI,27,FALSE)</f>
        <v>#N/A</v>
      </c>
      <c r="AJ189" t="e">
        <f>VLOOKUP($I189,'[1]Table S6'!$A:$AI,28,FALSE)</f>
        <v>#N/A</v>
      </c>
      <c r="AK189" t="e">
        <f>VLOOKUP($I189,'[1]Table S6'!$A:$AI,29,FALSE)</f>
        <v>#N/A</v>
      </c>
      <c r="AL189" t="e">
        <f>VLOOKUP($I189,'[1]Table S6'!$A:$AI,30,FALSE)</f>
        <v>#N/A</v>
      </c>
      <c r="AN189" t="e">
        <f>VLOOKUP($I189,'[1]Table S6'!$A:$AI,32,FALSE)</f>
        <v>#N/A</v>
      </c>
      <c r="AO189" t="e">
        <f>VLOOKUP($I189,'[1]Table S6'!$A:$AI,33,FALSE)</f>
        <v>#N/A</v>
      </c>
      <c r="AP189" t="e">
        <f>VLOOKUP($I189,'[1]Table S6'!$A:$AI,34,FALSE)</f>
        <v>#N/A</v>
      </c>
      <c r="AQ189" t="e">
        <f>VLOOKUP($I189,'[1]Table S6'!$A:$AI,35,FALSE)</f>
        <v>#N/A</v>
      </c>
      <c r="AS189" t="str">
        <f>VLOOKUP($H189,'[2]Table S5'!$A:$K,8,FALSE)</f>
        <v>Resistant</v>
      </c>
      <c r="AT189" t="str">
        <f>VLOOKUP($H189,'[2]Table S5'!$A:$K,9,FALSE)</f>
        <v>Resistant</v>
      </c>
      <c r="AU189" t="str">
        <f>VLOOKUP($H189,'[2]Table S5'!$A:$K,10,FALSE)</f>
        <v>Resistant</v>
      </c>
      <c r="AV189" t="str">
        <f>VLOOKUP($H189,'[2]Table S5'!$A:$K,11,FALSE)</f>
        <v>Resistant</v>
      </c>
    </row>
    <row r="190" spans="1:48">
      <c r="A190" t="s">
        <v>1433</v>
      </c>
      <c r="B190" t="s">
        <v>1434</v>
      </c>
      <c r="C190" t="s">
        <v>17</v>
      </c>
      <c r="D190" t="s">
        <v>1436</v>
      </c>
      <c r="E190" t="s">
        <v>1437</v>
      </c>
      <c r="F190" t="s">
        <v>1438</v>
      </c>
      <c r="G190" t="s">
        <v>4758</v>
      </c>
      <c r="H190" t="s">
        <v>1439</v>
      </c>
      <c r="I190" t="s">
        <v>1439</v>
      </c>
      <c r="J190" t="e">
        <f>VLOOKUP($I190,'[1]Table S6'!$A:$AI,2,FALSE)</f>
        <v>#N/A</v>
      </c>
      <c r="K190" t="e">
        <f>VLOOKUP($I190,'[1]Table S6'!$A:$AI,3,FALSE)</f>
        <v>#N/A</v>
      </c>
      <c r="L190" t="e">
        <f>VLOOKUP($I190,'[1]Table S6'!$A:$AI,4,FALSE)</f>
        <v>#N/A</v>
      </c>
      <c r="M190" t="e">
        <f>VLOOKUP($I190,'[1]Table S6'!$A:$AI,5,FALSE)</f>
        <v>#N/A</v>
      </c>
      <c r="O190" t="e">
        <f>VLOOKUP($I190,'[1]Table S6'!$A:$AI,7,FALSE)</f>
        <v>#N/A</v>
      </c>
      <c r="P190" t="e">
        <f>VLOOKUP($I190,'[1]Table S6'!$A:$AI,8,FALSE)</f>
        <v>#N/A</v>
      </c>
      <c r="Q190" t="e">
        <f>VLOOKUP($I190,'[1]Table S6'!$A:$AI,9,FALSE)</f>
        <v>#N/A</v>
      </c>
      <c r="R190" t="e">
        <f>VLOOKUP($I190,'[1]Table S6'!$A:$AI,10,FALSE)</f>
        <v>#N/A</v>
      </c>
      <c r="T190" t="e">
        <f>VLOOKUP($I190,'[1]Table S6'!$A:$AI,12,FALSE)</f>
        <v>#N/A</v>
      </c>
      <c r="U190" t="e">
        <f>VLOOKUP($I190,'[1]Table S6'!$A:$AI,13,FALSE)</f>
        <v>#N/A</v>
      </c>
      <c r="V190" t="e">
        <f>VLOOKUP($I190,'[1]Table S6'!$A:$AI,14,FALSE)</f>
        <v>#N/A</v>
      </c>
      <c r="W190" t="e">
        <f>VLOOKUP($I190,'[1]Table S6'!$A:$AI,15,FALSE)</f>
        <v>#N/A</v>
      </c>
      <c r="Y190" t="e">
        <f>VLOOKUP($I190,'[1]Table S6'!$A:$AI,17,FALSE)</f>
        <v>#N/A</v>
      </c>
      <c r="Z190" t="e">
        <f>VLOOKUP($I190,'[1]Table S6'!$A:$AI,18,FALSE)</f>
        <v>#N/A</v>
      </c>
      <c r="AA190" t="e">
        <f>VLOOKUP($I190,'[1]Table S6'!$A:$AI,19,FALSE)</f>
        <v>#N/A</v>
      </c>
      <c r="AB190" t="e">
        <f>VLOOKUP($I190,'[1]Table S6'!$A:$AI,20,FALSE)</f>
        <v>#N/A</v>
      </c>
      <c r="AD190" t="e">
        <f>VLOOKUP($I190,'[1]Table S6'!$A:$AI,22,FALSE)</f>
        <v>#N/A</v>
      </c>
      <c r="AE190" t="e">
        <f>VLOOKUP($I190,'[1]Table S6'!$A:$AI,23,FALSE)</f>
        <v>#N/A</v>
      </c>
      <c r="AF190" t="e">
        <f>VLOOKUP($I190,'[1]Table S6'!$A:$AI,24,FALSE)</f>
        <v>#N/A</v>
      </c>
      <c r="AG190" t="e">
        <f>VLOOKUP($I190,'[1]Table S6'!$A:$AI,25,FALSE)</f>
        <v>#N/A</v>
      </c>
      <c r="AI190" t="e">
        <f>VLOOKUP($I190,'[1]Table S6'!$A:$AI,27,FALSE)</f>
        <v>#N/A</v>
      </c>
      <c r="AJ190" t="e">
        <f>VLOOKUP($I190,'[1]Table S6'!$A:$AI,28,FALSE)</f>
        <v>#N/A</v>
      </c>
      <c r="AK190" t="e">
        <f>VLOOKUP($I190,'[1]Table S6'!$A:$AI,29,FALSE)</f>
        <v>#N/A</v>
      </c>
      <c r="AL190" t="e">
        <f>VLOOKUP($I190,'[1]Table S6'!$A:$AI,30,FALSE)</f>
        <v>#N/A</v>
      </c>
      <c r="AN190" t="e">
        <f>VLOOKUP($I190,'[1]Table S6'!$A:$AI,32,FALSE)</f>
        <v>#N/A</v>
      </c>
      <c r="AO190" t="e">
        <f>VLOOKUP($I190,'[1]Table S6'!$A:$AI,33,FALSE)</f>
        <v>#N/A</v>
      </c>
      <c r="AP190" t="e">
        <f>VLOOKUP($I190,'[1]Table S6'!$A:$AI,34,FALSE)</f>
        <v>#N/A</v>
      </c>
      <c r="AQ190" t="e">
        <f>VLOOKUP($I190,'[1]Table S6'!$A:$AI,35,FALSE)</f>
        <v>#N/A</v>
      </c>
      <c r="AS190" t="str">
        <f>VLOOKUP($H190,'[2]Table S5'!$A:$K,8,FALSE)</f>
        <v>Resistant</v>
      </c>
      <c r="AT190" t="str">
        <f>VLOOKUP($H190,'[2]Table S5'!$A:$K,9,FALSE)</f>
        <v>Resistant</v>
      </c>
      <c r="AU190" t="str">
        <f>VLOOKUP($H190,'[2]Table S5'!$A:$K,10,FALSE)</f>
        <v>Resistant</v>
      </c>
      <c r="AV190" t="str">
        <f>VLOOKUP($H190,'[2]Table S5'!$A:$K,11,FALSE)</f>
        <v>Resistant</v>
      </c>
    </row>
    <row r="191" spans="1:48">
      <c r="A191" t="s">
        <v>1441</v>
      </c>
      <c r="B191" t="s">
        <v>1442</v>
      </c>
      <c r="C191" t="s">
        <v>17</v>
      </c>
      <c r="D191" t="s">
        <v>1444</v>
      </c>
      <c r="E191" t="s">
        <v>1445</v>
      </c>
      <c r="F191" t="s">
        <v>1446</v>
      </c>
      <c r="G191" t="s">
        <v>4750</v>
      </c>
      <c r="H191" t="s">
        <v>1439</v>
      </c>
      <c r="I191" t="s">
        <v>1447</v>
      </c>
      <c r="J191">
        <f>VLOOKUP($I191,'[1]Table S6'!$A:$AI,2,FALSE)</f>
        <v>276.5</v>
      </c>
      <c r="K191">
        <f>VLOOKUP($I191,'[1]Table S6'!$A:$AI,3,FALSE)</f>
        <v>0.58842306873802896</v>
      </c>
      <c r="L191">
        <f>VLOOKUP($I191,'[1]Table S6'!$A:$AI,4,FALSE)</f>
        <v>0.75770000000000004</v>
      </c>
      <c r="M191" t="str">
        <f>VLOOKUP($I191,'[1]Table S6'!$A:$AI,5,FALSE)</f>
        <v>Yes</v>
      </c>
      <c r="O191">
        <f>VLOOKUP($I191,'[1]Table S6'!$A:$AI,7,FALSE)</f>
        <v>390.5</v>
      </c>
      <c r="P191">
        <f>VLOOKUP($I191,'[1]Table S6'!$A:$AI,8,FALSE)</f>
        <v>0.831027878271973</v>
      </c>
      <c r="Q191">
        <f>VLOOKUP($I191,'[1]Table S6'!$A:$AI,9,FALSE)</f>
        <v>21.43</v>
      </c>
      <c r="R191" t="str">
        <f>VLOOKUP($I191,'[1]Table S6'!$A:$AI,10,FALSE)</f>
        <v>No</v>
      </c>
      <c r="T191">
        <f>VLOOKUP($I191,'[1]Table S6'!$A:$AI,12,FALSE)</f>
        <v>382.4</v>
      </c>
      <c r="U191">
        <f>VLOOKUP($I191,'[1]Table S6'!$A:$AI,13,FALSE)</f>
        <v>0.81379016812087701</v>
      </c>
      <c r="V191">
        <f>VLOOKUP($I191,'[1]Table S6'!$A:$AI,14,FALSE)</f>
        <v>13.99</v>
      </c>
      <c r="W191" t="str">
        <f>VLOOKUP($I191,'[1]Table S6'!$A:$AI,15,FALSE)</f>
        <v>No</v>
      </c>
      <c r="Y191">
        <f>VLOOKUP($I191,'[1]Table S6'!$A:$AI,17,FALSE)</f>
        <v>401.6</v>
      </c>
      <c r="Z191">
        <f>VLOOKUP($I191,'[1]Table S6'!$A:$AI,18,FALSE)</f>
        <v>0.854649925516067</v>
      </c>
      <c r="AA191">
        <f>VLOOKUP($I191,'[1]Table S6'!$A:$AI,19,FALSE)</f>
        <v>35.43</v>
      </c>
      <c r="AB191" t="str">
        <f>VLOOKUP($I191,'[1]Table S6'!$A:$AI,20,FALSE)</f>
        <v>No</v>
      </c>
      <c r="AD191">
        <f>VLOOKUP($I191,'[1]Table S6'!$A:$AI,22,FALSE)</f>
        <v>340.8</v>
      </c>
      <c r="AE191">
        <f>VLOOKUP($I191,'[1]Table S6'!$A:$AI,23,FALSE)</f>
        <v>0.72526069376463098</v>
      </c>
      <c r="AF191">
        <f>VLOOKUP($I191,'[1]Table S6'!$A:$AI,24,FALSE)</f>
        <v>8.0120000000000005</v>
      </c>
      <c r="AG191" t="str">
        <f>VLOOKUP($I191,'[1]Table S6'!$A:$AI,25,FALSE)</f>
        <v>No</v>
      </c>
      <c r="AI191">
        <f>VLOOKUP($I191,'[1]Table S6'!$A:$AI,27,FALSE)</f>
        <v>423.9</v>
      </c>
      <c r="AJ191">
        <f>VLOOKUP($I191,'[1]Table S6'!$A:$AI,28,FALSE)</f>
        <v>0.90210683124068902</v>
      </c>
      <c r="AK191">
        <f>VLOOKUP($I191,'[1]Table S6'!$A:$AI,29,FALSE)</f>
        <v>87.84</v>
      </c>
      <c r="AL191" t="str">
        <f>VLOOKUP($I191,'[1]Table S6'!$A:$AI,30,FALSE)</f>
        <v>No</v>
      </c>
      <c r="AN191">
        <f>VLOOKUP($I191,'[1]Table S6'!$A:$AI,32,FALSE)</f>
        <v>381.5</v>
      </c>
      <c r="AO191">
        <f>VLOOKUP($I191,'[1]Table S6'!$A:$AI,33,FALSE)</f>
        <v>0.81187486699297695</v>
      </c>
      <c r="AP191">
        <f>VLOOKUP($I191,'[1]Table S6'!$A:$AI,34,FALSE)</f>
        <v>38.76</v>
      </c>
      <c r="AQ191" t="str">
        <f>VLOOKUP($I191,'[1]Table S6'!$A:$AI,35,FALSE)</f>
        <v>No</v>
      </c>
      <c r="AS191" t="str">
        <f>VLOOKUP($H191,'[2]Table S5'!$A:$K,8,FALSE)</f>
        <v>Resistant</v>
      </c>
      <c r="AT191" t="str">
        <f>VLOOKUP($H191,'[2]Table S5'!$A:$K,9,FALSE)</f>
        <v>Resistant</v>
      </c>
      <c r="AU191" t="str">
        <f>VLOOKUP($H191,'[2]Table S5'!$A:$K,10,FALSE)</f>
        <v>Resistant</v>
      </c>
      <c r="AV191" t="str">
        <f>VLOOKUP($H191,'[2]Table S5'!$A:$K,11,FALSE)</f>
        <v>Resistant</v>
      </c>
    </row>
    <row r="192" spans="1:48">
      <c r="A192" t="s">
        <v>1449</v>
      </c>
      <c r="B192" t="s">
        <v>1450</v>
      </c>
      <c r="C192" t="s">
        <v>17</v>
      </c>
      <c r="D192" t="s">
        <v>1452</v>
      </c>
      <c r="E192" t="s">
        <v>1453</v>
      </c>
      <c r="F192" t="s">
        <v>1454</v>
      </c>
      <c r="G192" t="s">
        <v>4750</v>
      </c>
      <c r="H192" t="s">
        <v>1439</v>
      </c>
      <c r="I192" t="s">
        <v>1455</v>
      </c>
      <c r="J192">
        <f>VLOOKUP($I192,'[1]Table S6'!$A:$AI,2,FALSE)</f>
        <v>262.3</v>
      </c>
      <c r="K192">
        <f>VLOOKUP($I192,'[1]Table S6'!$A:$AI,3,FALSE)</f>
        <v>0.55820387316450304</v>
      </c>
      <c r="L192">
        <f>VLOOKUP($I192,'[1]Table S6'!$A:$AI,4,FALSE)</f>
        <v>0.56269999999999998</v>
      </c>
      <c r="M192" t="str">
        <f>VLOOKUP($I192,'[1]Table S6'!$A:$AI,5,FALSE)</f>
        <v>Yes</v>
      </c>
      <c r="O192">
        <f>VLOOKUP($I192,'[1]Table S6'!$A:$AI,7,FALSE)</f>
        <v>406.6</v>
      </c>
      <c r="P192">
        <f>VLOOKUP($I192,'[1]Table S6'!$A:$AI,8,FALSE)</f>
        <v>0.86529048733773195</v>
      </c>
      <c r="Q192">
        <f>VLOOKUP($I192,'[1]Table S6'!$A:$AI,9,FALSE)</f>
        <v>34.869999999999997</v>
      </c>
      <c r="R192" t="str">
        <f>VLOOKUP($I192,'[1]Table S6'!$A:$AI,10,FALSE)</f>
        <v>No</v>
      </c>
      <c r="T192">
        <f>VLOOKUP($I192,'[1]Table S6'!$A:$AI,12,FALSE)</f>
        <v>321.39999999999998</v>
      </c>
      <c r="U192">
        <f>VLOOKUP($I192,'[1]Table S6'!$A:$AI,13,FALSE)</f>
        <v>0.68397531389657396</v>
      </c>
      <c r="V192">
        <f>VLOOKUP($I192,'[1]Table S6'!$A:$AI,14,FALSE)</f>
        <v>2.4630000000000001</v>
      </c>
      <c r="W192" t="str">
        <f>VLOOKUP($I192,'[1]Table S6'!$A:$AI,15,FALSE)</f>
        <v>Yes</v>
      </c>
      <c r="Y192">
        <f>VLOOKUP($I192,'[1]Table S6'!$A:$AI,17,FALSE)</f>
        <v>390.5</v>
      </c>
      <c r="Z192">
        <f>VLOOKUP($I192,'[1]Table S6'!$A:$AI,18,FALSE)</f>
        <v>0.831027878271973</v>
      </c>
      <c r="AA192">
        <f>VLOOKUP($I192,'[1]Table S6'!$A:$AI,19,FALSE)</f>
        <v>20.55</v>
      </c>
      <c r="AB192" t="str">
        <f>VLOOKUP($I192,'[1]Table S6'!$A:$AI,20,FALSE)</f>
        <v>No</v>
      </c>
      <c r="AD192">
        <f>VLOOKUP($I192,'[1]Table S6'!$A:$AI,22,FALSE)</f>
        <v>359.8</v>
      </c>
      <c r="AE192">
        <f>VLOOKUP($I192,'[1]Table S6'!$A:$AI,23,FALSE)</f>
        <v>0.76569482868695504</v>
      </c>
      <c r="AF192">
        <f>VLOOKUP($I192,'[1]Table S6'!$A:$AI,24,FALSE)</f>
        <v>9.4489999999999998</v>
      </c>
      <c r="AG192" t="str">
        <f>VLOOKUP($I192,'[1]Table S6'!$A:$AI,25,FALSE)</f>
        <v>No</v>
      </c>
      <c r="AI192">
        <f>VLOOKUP($I192,'[1]Table S6'!$A:$AI,27,FALSE)</f>
        <v>393.8</v>
      </c>
      <c r="AJ192">
        <f>VLOOKUP($I192,'[1]Table S6'!$A:$AI,28,FALSE)</f>
        <v>0.83805064907427096</v>
      </c>
      <c r="AK192">
        <f>VLOOKUP($I192,'[1]Table S6'!$A:$AI,29,FALSE)</f>
        <v>22.88</v>
      </c>
      <c r="AL192" t="str">
        <f>VLOOKUP($I192,'[1]Table S6'!$A:$AI,30,FALSE)</f>
        <v>No</v>
      </c>
      <c r="AN192">
        <f>VLOOKUP($I192,'[1]Table S6'!$A:$AI,32,FALSE)</f>
        <v>373.9</v>
      </c>
      <c r="AO192">
        <f>VLOOKUP($I192,'[1]Table S6'!$A:$AI,33,FALSE)</f>
        <v>0.79570121302404795</v>
      </c>
      <c r="AP192">
        <f>VLOOKUP($I192,'[1]Table S6'!$A:$AI,34,FALSE)</f>
        <v>64.62</v>
      </c>
      <c r="AQ192" t="str">
        <f>VLOOKUP($I192,'[1]Table S6'!$A:$AI,35,FALSE)</f>
        <v>No</v>
      </c>
      <c r="AS192" t="str">
        <f>VLOOKUP($H192,'[2]Table S5'!$A:$K,8,FALSE)</f>
        <v>Resistant</v>
      </c>
      <c r="AT192" t="str">
        <f>VLOOKUP($H192,'[2]Table S5'!$A:$K,9,FALSE)</f>
        <v>Resistant</v>
      </c>
      <c r="AU192" t="str">
        <f>VLOOKUP($H192,'[2]Table S5'!$A:$K,10,FALSE)</f>
        <v>Resistant</v>
      </c>
      <c r="AV192" t="str">
        <f>VLOOKUP($H192,'[2]Table S5'!$A:$K,11,FALSE)</f>
        <v>Resistant</v>
      </c>
    </row>
    <row r="193" spans="1:48">
      <c r="A193" t="s">
        <v>1457</v>
      </c>
      <c r="B193" t="s">
        <v>1458</v>
      </c>
      <c r="C193" t="s">
        <v>17</v>
      </c>
      <c r="D193" t="s">
        <v>1460</v>
      </c>
      <c r="E193" t="s">
        <v>1461</v>
      </c>
      <c r="F193" t="s">
        <v>1462</v>
      </c>
      <c r="G193" t="s">
        <v>4751</v>
      </c>
      <c r="H193" t="s">
        <v>1439</v>
      </c>
      <c r="I193" t="s">
        <v>1447</v>
      </c>
      <c r="J193">
        <f>VLOOKUP($I193,'[1]Table S6'!$A:$AI,2,FALSE)</f>
        <v>276.5</v>
      </c>
      <c r="K193">
        <f>VLOOKUP($I193,'[1]Table S6'!$A:$AI,3,FALSE)</f>
        <v>0.58842306873802896</v>
      </c>
      <c r="L193">
        <f>VLOOKUP($I193,'[1]Table S6'!$A:$AI,4,FALSE)</f>
        <v>0.75770000000000004</v>
      </c>
      <c r="M193" t="str">
        <f>VLOOKUP($I193,'[1]Table S6'!$A:$AI,5,FALSE)</f>
        <v>Yes</v>
      </c>
      <c r="O193">
        <f>VLOOKUP($I193,'[1]Table S6'!$A:$AI,7,FALSE)</f>
        <v>390.5</v>
      </c>
      <c r="P193">
        <f>VLOOKUP($I193,'[1]Table S6'!$A:$AI,8,FALSE)</f>
        <v>0.831027878271973</v>
      </c>
      <c r="Q193">
        <f>VLOOKUP($I193,'[1]Table S6'!$A:$AI,9,FALSE)</f>
        <v>21.43</v>
      </c>
      <c r="R193" t="str">
        <f>VLOOKUP($I193,'[1]Table S6'!$A:$AI,10,FALSE)</f>
        <v>No</v>
      </c>
      <c r="T193">
        <f>VLOOKUP($I193,'[1]Table S6'!$A:$AI,12,FALSE)</f>
        <v>382.4</v>
      </c>
      <c r="U193">
        <f>VLOOKUP($I193,'[1]Table S6'!$A:$AI,13,FALSE)</f>
        <v>0.81379016812087701</v>
      </c>
      <c r="V193">
        <f>VLOOKUP($I193,'[1]Table S6'!$A:$AI,14,FALSE)</f>
        <v>13.99</v>
      </c>
      <c r="W193" t="str">
        <f>VLOOKUP($I193,'[1]Table S6'!$A:$AI,15,FALSE)</f>
        <v>No</v>
      </c>
      <c r="Y193">
        <f>VLOOKUP($I193,'[1]Table S6'!$A:$AI,17,FALSE)</f>
        <v>401.6</v>
      </c>
      <c r="Z193">
        <f>VLOOKUP($I193,'[1]Table S6'!$A:$AI,18,FALSE)</f>
        <v>0.854649925516067</v>
      </c>
      <c r="AA193">
        <f>VLOOKUP($I193,'[1]Table S6'!$A:$AI,19,FALSE)</f>
        <v>35.43</v>
      </c>
      <c r="AB193" t="str">
        <f>VLOOKUP($I193,'[1]Table S6'!$A:$AI,20,FALSE)</f>
        <v>No</v>
      </c>
      <c r="AD193">
        <f>VLOOKUP($I193,'[1]Table S6'!$A:$AI,22,FALSE)</f>
        <v>340.8</v>
      </c>
      <c r="AE193">
        <f>VLOOKUP($I193,'[1]Table S6'!$A:$AI,23,FALSE)</f>
        <v>0.72526069376463098</v>
      </c>
      <c r="AF193">
        <f>VLOOKUP($I193,'[1]Table S6'!$A:$AI,24,FALSE)</f>
        <v>8.0120000000000005</v>
      </c>
      <c r="AG193" t="str">
        <f>VLOOKUP($I193,'[1]Table S6'!$A:$AI,25,FALSE)</f>
        <v>No</v>
      </c>
      <c r="AI193">
        <f>VLOOKUP($I193,'[1]Table S6'!$A:$AI,27,FALSE)</f>
        <v>423.9</v>
      </c>
      <c r="AJ193">
        <f>VLOOKUP($I193,'[1]Table S6'!$A:$AI,28,FALSE)</f>
        <v>0.90210683124068902</v>
      </c>
      <c r="AK193">
        <f>VLOOKUP($I193,'[1]Table S6'!$A:$AI,29,FALSE)</f>
        <v>87.84</v>
      </c>
      <c r="AL193" t="str">
        <f>VLOOKUP($I193,'[1]Table S6'!$A:$AI,30,FALSE)</f>
        <v>No</v>
      </c>
      <c r="AN193">
        <f>VLOOKUP($I193,'[1]Table S6'!$A:$AI,32,FALSE)</f>
        <v>381.5</v>
      </c>
      <c r="AO193">
        <f>VLOOKUP($I193,'[1]Table S6'!$A:$AI,33,FALSE)</f>
        <v>0.81187486699297695</v>
      </c>
      <c r="AP193">
        <f>VLOOKUP($I193,'[1]Table S6'!$A:$AI,34,FALSE)</f>
        <v>38.76</v>
      </c>
      <c r="AQ193" t="str">
        <f>VLOOKUP($I193,'[1]Table S6'!$A:$AI,35,FALSE)</f>
        <v>No</v>
      </c>
      <c r="AS193" t="str">
        <f>VLOOKUP($H193,'[2]Table S5'!$A:$K,8,FALSE)</f>
        <v>Resistant</v>
      </c>
      <c r="AT193" t="str">
        <f>VLOOKUP($H193,'[2]Table S5'!$A:$K,9,FALSE)</f>
        <v>Resistant</v>
      </c>
      <c r="AU193" t="str">
        <f>VLOOKUP($H193,'[2]Table S5'!$A:$K,10,FALSE)</f>
        <v>Resistant</v>
      </c>
      <c r="AV193" t="str">
        <f>VLOOKUP($H193,'[2]Table S5'!$A:$K,11,FALSE)</f>
        <v>Resistant</v>
      </c>
    </row>
    <row r="194" spans="1:48">
      <c r="A194" t="s">
        <v>1464</v>
      </c>
      <c r="B194" t="s">
        <v>1465</v>
      </c>
      <c r="C194" t="s">
        <v>17</v>
      </c>
      <c r="D194" t="s">
        <v>1467</v>
      </c>
      <c r="E194" t="s">
        <v>1468</v>
      </c>
      <c r="F194" t="s">
        <v>1469</v>
      </c>
      <c r="G194" t="s">
        <v>4751</v>
      </c>
      <c r="H194" t="s">
        <v>1439</v>
      </c>
      <c r="I194" t="s">
        <v>1455</v>
      </c>
      <c r="J194">
        <f>VLOOKUP($I194,'[1]Table S6'!$A:$AI,2,FALSE)</f>
        <v>262.3</v>
      </c>
      <c r="K194">
        <f>VLOOKUP($I194,'[1]Table S6'!$A:$AI,3,FALSE)</f>
        <v>0.55820387316450304</v>
      </c>
      <c r="L194">
        <f>VLOOKUP($I194,'[1]Table S6'!$A:$AI,4,FALSE)</f>
        <v>0.56269999999999998</v>
      </c>
      <c r="M194" t="str">
        <f>VLOOKUP($I194,'[1]Table S6'!$A:$AI,5,FALSE)</f>
        <v>Yes</v>
      </c>
      <c r="O194">
        <f>VLOOKUP($I194,'[1]Table S6'!$A:$AI,7,FALSE)</f>
        <v>406.6</v>
      </c>
      <c r="P194">
        <f>VLOOKUP($I194,'[1]Table S6'!$A:$AI,8,FALSE)</f>
        <v>0.86529048733773195</v>
      </c>
      <c r="Q194">
        <f>VLOOKUP($I194,'[1]Table S6'!$A:$AI,9,FALSE)</f>
        <v>34.869999999999997</v>
      </c>
      <c r="R194" t="str">
        <f>VLOOKUP($I194,'[1]Table S6'!$A:$AI,10,FALSE)</f>
        <v>No</v>
      </c>
      <c r="T194">
        <f>VLOOKUP($I194,'[1]Table S6'!$A:$AI,12,FALSE)</f>
        <v>321.39999999999998</v>
      </c>
      <c r="U194">
        <f>VLOOKUP($I194,'[1]Table S6'!$A:$AI,13,FALSE)</f>
        <v>0.68397531389657396</v>
      </c>
      <c r="V194">
        <f>VLOOKUP($I194,'[1]Table S6'!$A:$AI,14,FALSE)</f>
        <v>2.4630000000000001</v>
      </c>
      <c r="W194" t="str">
        <f>VLOOKUP($I194,'[1]Table S6'!$A:$AI,15,FALSE)</f>
        <v>Yes</v>
      </c>
      <c r="Y194">
        <f>VLOOKUP($I194,'[1]Table S6'!$A:$AI,17,FALSE)</f>
        <v>390.5</v>
      </c>
      <c r="Z194">
        <f>VLOOKUP($I194,'[1]Table S6'!$A:$AI,18,FALSE)</f>
        <v>0.831027878271973</v>
      </c>
      <c r="AA194">
        <f>VLOOKUP($I194,'[1]Table S6'!$A:$AI,19,FALSE)</f>
        <v>20.55</v>
      </c>
      <c r="AB194" t="str">
        <f>VLOOKUP($I194,'[1]Table S6'!$A:$AI,20,FALSE)</f>
        <v>No</v>
      </c>
      <c r="AD194">
        <f>VLOOKUP($I194,'[1]Table S6'!$A:$AI,22,FALSE)</f>
        <v>359.8</v>
      </c>
      <c r="AE194">
        <f>VLOOKUP($I194,'[1]Table S6'!$A:$AI,23,FALSE)</f>
        <v>0.76569482868695504</v>
      </c>
      <c r="AF194">
        <f>VLOOKUP($I194,'[1]Table S6'!$A:$AI,24,FALSE)</f>
        <v>9.4489999999999998</v>
      </c>
      <c r="AG194" t="str">
        <f>VLOOKUP($I194,'[1]Table S6'!$A:$AI,25,FALSE)</f>
        <v>No</v>
      </c>
      <c r="AI194">
        <f>VLOOKUP($I194,'[1]Table S6'!$A:$AI,27,FALSE)</f>
        <v>393.8</v>
      </c>
      <c r="AJ194">
        <f>VLOOKUP($I194,'[1]Table S6'!$A:$AI,28,FALSE)</f>
        <v>0.83805064907427096</v>
      </c>
      <c r="AK194">
        <f>VLOOKUP($I194,'[1]Table S6'!$A:$AI,29,FALSE)</f>
        <v>22.88</v>
      </c>
      <c r="AL194" t="str">
        <f>VLOOKUP($I194,'[1]Table S6'!$A:$AI,30,FALSE)</f>
        <v>No</v>
      </c>
      <c r="AN194">
        <f>VLOOKUP($I194,'[1]Table S6'!$A:$AI,32,FALSE)</f>
        <v>373.9</v>
      </c>
      <c r="AO194">
        <f>VLOOKUP($I194,'[1]Table S6'!$A:$AI,33,FALSE)</f>
        <v>0.79570121302404795</v>
      </c>
      <c r="AP194">
        <f>VLOOKUP($I194,'[1]Table S6'!$A:$AI,34,FALSE)</f>
        <v>64.62</v>
      </c>
      <c r="AQ194" t="str">
        <f>VLOOKUP($I194,'[1]Table S6'!$A:$AI,35,FALSE)</f>
        <v>No</v>
      </c>
      <c r="AS194" t="str">
        <f>VLOOKUP($H194,'[2]Table S5'!$A:$K,8,FALSE)</f>
        <v>Resistant</v>
      </c>
      <c r="AT194" t="str">
        <f>VLOOKUP($H194,'[2]Table S5'!$A:$K,9,FALSE)</f>
        <v>Resistant</v>
      </c>
      <c r="AU194" t="str">
        <f>VLOOKUP($H194,'[2]Table S5'!$A:$K,10,FALSE)</f>
        <v>Resistant</v>
      </c>
      <c r="AV194" t="str">
        <f>VLOOKUP($H194,'[2]Table S5'!$A:$K,11,FALSE)</f>
        <v>Resistant</v>
      </c>
    </row>
    <row r="195" spans="1:48">
      <c r="A195" t="s">
        <v>1471</v>
      </c>
      <c r="B195" t="s">
        <v>1472</v>
      </c>
      <c r="C195" t="s">
        <v>17</v>
      </c>
      <c r="D195" t="s">
        <v>1474</v>
      </c>
      <c r="E195" t="s">
        <v>1475</v>
      </c>
      <c r="F195" t="s">
        <v>1476</v>
      </c>
      <c r="G195" t="s">
        <v>4758</v>
      </c>
      <c r="H195" t="s">
        <v>1477</v>
      </c>
      <c r="I195" t="s">
        <v>1477</v>
      </c>
      <c r="J195" t="e">
        <f>VLOOKUP($I195,'[1]Table S6'!$A:$AI,2,FALSE)</f>
        <v>#N/A</v>
      </c>
      <c r="K195" t="e">
        <f>VLOOKUP($I195,'[1]Table S6'!$A:$AI,3,FALSE)</f>
        <v>#N/A</v>
      </c>
      <c r="L195" t="e">
        <f>VLOOKUP($I195,'[1]Table S6'!$A:$AI,4,FALSE)</f>
        <v>#N/A</v>
      </c>
      <c r="M195" t="e">
        <f>VLOOKUP($I195,'[1]Table S6'!$A:$AI,5,FALSE)</f>
        <v>#N/A</v>
      </c>
      <c r="O195" t="e">
        <f>VLOOKUP($I195,'[1]Table S6'!$A:$AI,7,FALSE)</f>
        <v>#N/A</v>
      </c>
      <c r="P195" t="e">
        <f>VLOOKUP($I195,'[1]Table S6'!$A:$AI,8,FALSE)</f>
        <v>#N/A</v>
      </c>
      <c r="Q195" t="e">
        <f>VLOOKUP($I195,'[1]Table S6'!$A:$AI,9,FALSE)</f>
        <v>#N/A</v>
      </c>
      <c r="R195" t="e">
        <f>VLOOKUP($I195,'[1]Table S6'!$A:$AI,10,FALSE)</f>
        <v>#N/A</v>
      </c>
      <c r="T195" t="e">
        <f>VLOOKUP($I195,'[1]Table S6'!$A:$AI,12,FALSE)</f>
        <v>#N/A</v>
      </c>
      <c r="U195" t="e">
        <f>VLOOKUP($I195,'[1]Table S6'!$A:$AI,13,FALSE)</f>
        <v>#N/A</v>
      </c>
      <c r="V195" t="e">
        <f>VLOOKUP($I195,'[1]Table S6'!$A:$AI,14,FALSE)</f>
        <v>#N/A</v>
      </c>
      <c r="W195" t="e">
        <f>VLOOKUP($I195,'[1]Table S6'!$A:$AI,15,FALSE)</f>
        <v>#N/A</v>
      </c>
      <c r="Y195" t="e">
        <f>VLOOKUP($I195,'[1]Table S6'!$A:$AI,17,FALSE)</f>
        <v>#N/A</v>
      </c>
      <c r="Z195" t="e">
        <f>VLOOKUP($I195,'[1]Table S6'!$A:$AI,18,FALSE)</f>
        <v>#N/A</v>
      </c>
      <c r="AA195" t="e">
        <f>VLOOKUP($I195,'[1]Table S6'!$A:$AI,19,FALSE)</f>
        <v>#N/A</v>
      </c>
      <c r="AB195" t="e">
        <f>VLOOKUP($I195,'[1]Table S6'!$A:$AI,20,FALSE)</f>
        <v>#N/A</v>
      </c>
      <c r="AD195" t="e">
        <f>VLOOKUP($I195,'[1]Table S6'!$A:$AI,22,FALSE)</f>
        <v>#N/A</v>
      </c>
      <c r="AE195" t="e">
        <f>VLOOKUP($I195,'[1]Table S6'!$A:$AI,23,FALSE)</f>
        <v>#N/A</v>
      </c>
      <c r="AF195" t="e">
        <f>VLOOKUP($I195,'[1]Table S6'!$A:$AI,24,FALSE)</f>
        <v>#N/A</v>
      </c>
      <c r="AG195" t="e">
        <f>VLOOKUP($I195,'[1]Table S6'!$A:$AI,25,FALSE)</f>
        <v>#N/A</v>
      </c>
      <c r="AI195" t="e">
        <f>VLOOKUP($I195,'[1]Table S6'!$A:$AI,27,FALSE)</f>
        <v>#N/A</v>
      </c>
      <c r="AJ195" t="e">
        <f>VLOOKUP($I195,'[1]Table S6'!$A:$AI,28,FALSE)</f>
        <v>#N/A</v>
      </c>
      <c r="AK195" t="e">
        <f>VLOOKUP($I195,'[1]Table S6'!$A:$AI,29,FALSE)</f>
        <v>#N/A</v>
      </c>
      <c r="AL195" t="e">
        <f>VLOOKUP($I195,'[1]Table S6'!$A:$AI,30,FALSE)</f>
        <v>#N/A</v>
      </c>
      <c r="AN195" t="e">
        <f>VLOOKUP($I195,'[1]Table S6'!$A:$AI,32,FALSE)</f>
        <v>#N/A</v>
      </c>
      <c r="AO195" t="e">
        <f>VLOOKUP($I195,'[1]Table S6'!$A:$AI,33,FALSE)</f>
        <v>#N/A</v>
      </c>
      <c r="AP195" t="e">
        <f>VLOOKUP($I195,'[1]Table S6'!$A:$AI,34,FALSE)</f>
        <v>#N/A</v>
      </c>
      <c r="AQ195" t="e">
        <f>VLOOKUP($I195,'[1]Table S6'!$A:$AI,35,FALSE)</f>
        <v>#N/A</v>
      </c>
      <c r="AS195" t="str">
        <f>VLOOKUP($H195,'[2]Table S5'!$A:$K,8,FALSE)</f>
        <v>Resistant</v>
      </c>
      <c r="AT195" t="str">
        <f>VLOOKUP($H195,'[2]Table S5'!$A:$K,9,FALSE)</f>
        <v>Resistant</v>
      </c>
      <c r="AU195" t="str">
        <f>VLOOKUP($H195,'[2]Table S5'!$A:$K,10,FALSE)</f>
        <v>Resistant</v>
      </c>
      <c r="AV195" t="str">
        <f>VLOOKUP($H195,'[2]Table S5'!$A:$K,11,FALSE)</f>
        <v>Resistant</v>
      </c>
    </row>
    <row r="196" spans="1:48">
      <c r="A196" t="s">
        <v>1479</v>
      </c>
      <c r="B196" t="s">
        <v>1480</v>
      </c>
      <c r="C196" t="s">
        <v>17</v>
      </c>
      <c r="D196" t="s">
        <v>1482</v>
      </c>
      <c r="E196" t="s">
        <v>1483</v>
      </c>
      <c r="F196" t="s">
        <v>1484</v>
      </c>
      <c r="G196" t="s">
        <v>4750</v>
      </c>
      <c r="H196" t="s">
        <v>1477</v>
      </c>
      <c r="I196" t="s">
        <v>1485</v>
      </c>
      <c r="J196">
        <f>VLOOKUP($I196,'[1]Table S6'!$A:$AI,2,FALSE)</f>
        <v>356.7</v>
      </c>
      <c r="K196">
        <f>VLOOKUP($I196,'[1]Table S6'!$A:$AI,3,FALSE)</f>
        <v>0.75909768035752301</v>
      </c>
      <c r="L196">
        <f>VLOOKUP($I196,'[1]Table S6'!$A:$AI,4,FALSE)</f>
        <v>5.79</v>
      </c>
      <c r="M196" t="str">
        <f>VLOOKUP($I196,'[1]Table S6'!$A:$AI,5,FALSE)</f>
        <v>No</v>
      </c>
      <c r="O196">
        <f>VLOOKUP($I196,'[1]Table S6'!$A:$AI,7,FALSE)</f>
        <v>408.8</v>
      </c>
      <c r="P196">
        <f>VLOOKUP($I196,'[1]Table S6'!$A:$AI,8,FALSE)</f>
        <v>0.86997233453926404</v>
      </c>
      <c r="Q196">
        <f>VLOOKUP($I196,'[1]Table S6'!$A:$AI,9,FALSE)</f>
        <v>40.1</v>
      </c>
      <c r="R196" t="str">
        <f>VLOOKUP($I196,'[1]Table S6'!$A:$AI,10,FALSE)</f>
        <v>No</v>
      </c>
      <c r="T196">
        <f>VLOOKUP($I196,'[1]Table S6'!$A:$AI,12,FALSE)</f>
        <v>423.9</v>
      </c>
      <c r="U196">
        <f>VLOOKUP($I196,'[1]Table S6'!$A:$AI,13,FALSE)</f>
        <v>0.90210683124068902</v>
      </c>
      <c r="V196">
        <f>VLOOKUP($I196,'[1]Table S6'!$A:$AI,14,FALSE)</f>
        <v>34.82</v>
      </c>
      <c r="W196" t="str">
        <f>VLOOKUP($I196,'[1]Table S6'!$A:$AI,15,FALSE)</f>
        <v>No</v>
      </c>
      <c r="Y196">
        <f>VLOOKUP($I196,'[1]Table S6'!$A:$AI,17,FALSE)</f>
        <v>408.2</v>
      </c>
      <c r="Z196">
        <f>VLOOKUP($I196,'[1]Table S6'!$A:$AI,18,FALSE)</f>
        <v>0.86869546712066403</v>
      </c>
      <c r="AA196">
        <f>VLOOKUP($I196,'[1]Table S6'!$A:$AI,19,FALSE)</f>
        <v>26.44</v>
      </c>
      <c r="AB196" t="str">
        <f>VLOOKUP($I196,'[1]Table S6'!$A:$AI,20,FALSE)</f>
        <v>No</v>
      </c>
      <c r="AD196">
        <f>VLOOKUP($I196,'[1]Table S6'!$A:$AI,22,FALSE)</f>
        <v>393.8</v>
      </c>
      <c r="AE196">
        <f>VLOOKUP($I196,'[1]Table S6'!$A:$AI,23,FALSE)</f>
        <v>0.83805064907427096</v>
      </c>
      <c r="AF196">
        <f>VLOOKUP($I196,'[1]Table S6'!$A:$AI,24,FALSE)</f>
        <v>22.98</v>
      </c>
      <c r="AG196" t="str">
        <f>VLOOKUP($I196,'[1]Table S6'!$A:$AI,25,FALSE)</f>
        <v>No</v>
      </c>
      <c r="AI196">
        <f>VLOOKUP($I196,'[1]Table S6'!$A:$AI,27,FALSE)</f>
        <v>425.9</v>
      </c>
      <c r="AJ196">
        <f>VLOOKUP($I196,'[1]Table S6'!$A:$AI,28,FALSE)</f>
        <v>0.90636305596935496</v>
      </c>
      <c r="AK196">
        <f>VLOOKUP($I196,'[1]Table S6'!$A:$AI,29,FALSE)</f>
        <v>91.47</v>
      </c>
      <c r="AL196" t="str">
        <f>VLOOKUP($I196,'[1]Table S6'!$A:$AI,30,FALSE)</f>
        <v>No</v>
      </c>
      <c r="AN196">
        <f>VLOOKUP($I196,'[1]Table S6'!$A:$AI,32,FALSE)</f>
        <v>439.5</v>
      </c>
      <c r="AO196">
        <f>VLOOKUP($I196,'[1]Table S6'!$A:$AI,33,FALSE)</f>
        <v>0.93530538412428199</v>
      </c>
      <c r="AP196">
        <f>VLOOKUP($I196,'[1]Table S6'!$A:$AI,34,FALSE)</f>
        <v>230.7</v>
      </c>
      <c r="AQ196" t="str">
        <f>VLOOKUP($I196,'[1]Table S6'!$A:$AI,35,FALSE)</f>
        <v>No</v>
      </c>
      <c r="AS196" t="str">
        <f>VLOOKUP($H196,'[2]Table S5'!$A:$K,8,FALSE)</f>
        <v>Resistant</v>
      </c>
      <c r="AT196" t="str">
        <f>VLOOKUP($H196,'[2]Table S5'!$A:$K,9,FALSE)</f>
        <v>Resistant</v>
      </c>
      <c r="AU196" t="str">
        <f>VLOOKUP($H196,'[2]Table S5'!$A:$K,10,FALSE)</f>
        <v>Resistant</v>
      </c>
      <c r="AV196" t="str">
        <f>VLOOKUP($H196,'[2]Table S5'!$A:$K,11,FALSE)</f>
        <v>Resistant</v>
      </c>
    </row>
    <row r="197" spans="1:48">
      <c r="A197" t="s">
        <v>1487</v>
      </c>
      <c r="B197" t="s">
        <v>1488</v>
      </c>
      <c r="C197" t="s">
        <v>17</v>
      </c>
      <c r="D197" t="s">
        <v>1490</v>
      </c>
      <c r="E197" t="s">
        <v>1491</v>
      </c>
      <c r="F197" t="s">
        <v>1492</v>
      </c>
      <c r="G197" t="s">
        <v>4750</v>
      </c>
      <c r="H197" t="s">
        <v>1477</v>
      </c>
      <c r="I197" t="s">
        <v>1493</v>
      </c>
      <c r="J197">
        <f>VLOOKUP($I197,'[1]Table S6'!$A:$AI,2,FALSE)</f>
        <v>370.8</v>
      </c>
      <c r="K197">
        <f>VLOOKUP($I197,'[1]Table S6'!$A:$AI,3,FALSE)</f>
        <v>0.78910406469461603</v>
      </c>
      <c r="L197">
        <f>VLOOKUP($I197,'[1]Table S6'!$A:$AI,4,FALSE)</f>
        <v>10.35</v>
      </c>
      <c r="M197" t="str">
        <f>VLOOKUP($I197,'[1]Table S6'!$A:$AI,5,FALSE)</f>
        <v>No</v>
      </c>
      <c r="O197">
        <f>VLOOKUP($I197,'[1]Table S6'!$A:$AI,7,FALSE)</f>
        <v>414.6</v>
      </c>
      <c r="P197">
        <f>VLOOKUP($I197,'[1]Table S6'!$A:$AI,8,FALSE)</f>
        <v>0.88231538625239403</v>
      </c>
      <c r="Q197">
        <f>VLOOKUP($I197,'[1]Table S6'!$A:$AI,9,FALSE)</f>
        <v>57.39</v>
      </c>
      <c r="R197" t="str">
        <f>VLOOKUP($I197,'[1]Table S6'!$A:$AI,10,FALSE)</f>
        <v>No</v>
      </c>
      <c r="T197">
        <f>VLOOKUP($I197,'[1]Table S6'!$A:$AI,12,FALSE)</f>
        <v>409.6</v>
      </c>
      <c r="U197">
        <f>VLOOKUP($I197,'[1]Table S6'!$A:$AI,13,FALSE)</f>
        <v>0.87167482443072997</v>
      </c>
      <c r="V197">
        <f>VLOOKUP($I197,'[1]Table S6'!$A:$AI,14,FALSE)</f>
        <v>27.69</v>
      </c>
      <c r="W197" t="str">
        <f>VLOOKUP($I197,'[1]Table S6'!$A:$AI,15,FALSE)</f>
        <v>No</v>
      </c>
      <c r="Y197">
        <f>VLOOKUP($I197,'[1]Table S6'!$A:$AI,17,FALSE)</f>
        <v>377.6</v>
      </c>
      <c r="Z197">
        <f>VLOOKUP($I197,'[1]Table S6'!$A:$AI,18,FALSE)</f>
        <v>0.80357522877207899</v>
      </c>
      <c r="AA197">
        <f>VLOOKUP($I197,'[1]Table S6'!$A:$AI,19,FALSE)</f>
        <v>15.59</v>
      </c>
      <c r="AB197" t="str">
        <f>VLOOKUP($I197,'[1]Table S6'!$A:$AI,20,FALSE)</f>
        <v>No</v>
      </c>
      <c r="AD197">
        <f>VLOOKUP($I197,'[1]Table S6'!$A:$AI,22,FALSE)</f>
        <v>382.5</v>
      </c>
      <c r="AE197">
        <f>VLOOKUP($I197,'[1]Table S6'!$A:$AI,23,FALSE)</f>
        <v>0.81400297935731003</v>
      </c>
      <c r="AF197">
        <f>VLOOKUP($I197,'[1]Table S6'!$A:$AI,24,FALSE)</f>
        <v>14.86</v>
      </c>
      <c r="AG197" t="str">
        <f>VLOOKUP($I197,'[1]Table S6'!$A:$AI,25,FALSE)</f>
        <v>No</v>
      </c>
      <c r="AI197">
        <f>VLOOKUP($I197,'[1]Table S6'!$A:$AI,27,FALSE)</f>
        <v>424.5</v>
      </c>
      <c r="AJ197">
        <f>VLOOKUP($I197,'[1]Table S6'!$A:$AI,28,FALSE)</f>
        <v>0.90338369865928903</v>
      </c>
      <c r="AK197">
        <f>VLOOKUP($I197,'[1]Table S6'!$A:$AI,29,FALSE)</f>
        <v>81.72</v>
      </c>
      <c r="AL197" t="str">
        <f>VLOOKUP($I197,'[1]Table S6'!$A:$AI,30,FALSE)</f>
        <v>No</v>
      </c>
      <c r="AN197">
        <f>VLOOKUP($I197,'[1]Table S6'!$A:$AI,32,FALSE)</f>
        <v>323.60000000000002</v>
      </c>
      <c r="AO197">
        <f>VLOOKUP($I197,'[1]Table S6'!$A:$AI,33,FALSE)</f>
        <v>0.68865716109810604</v>
      </c>
      <c r="AP197">
        <f>VLOOKUP($I197,'[1]Table S6'!$A:$AI,34,FALSE)</f>
        <v>2.29</v>
      </c>
      <c r="AQ197" t="str">
        <f>VLOOKUP($I197,'[1]Table S6'!$A:$AI,35,FALSE)</f>
        <v>No</v>
      </c>
      <c r="AS197" t="str">
        <f>VLOOKUP($H197,'[2]Table S5'!$A:$K,8,FALSE)</f>
        <v>Resistant</v>
      </c>
      <c r="AT197" t="str">
        <f>VLOOKUP($H197,'[2]Table S5'!$A:$K,9,FALSE)</f>
        <v>Resistant</v>
      </c>
      <c r="AU197" t="str">
        <f>VLOOKUP($H197,'[2]Table S5'!$A:$K,10,FALSE)</f>
        <v>Resistant</v>
      </c>
      <c r="AV197" t="str">
        <f>VLOOKUP($H197,'[2]Table S5'!$A:$K,11,FALSE)</f>
        <v>Resistant</v>
      </c>
    </row>
    <row r="198" spans="1:48">
      <c r="A198" t="s">
        <v>1495</v>
      </c>
      <c r="B198" t="s">
        <v>1496</v>
      </c>
      <c r="C198" t="s">
        <v>17</v>
      </c>
      <c r="D198" t="s">
        <v>1498</v>
      </c>
      <c r="E198" t="s">
        <v>1499</v>
      </c>
      <c r="F198" t="s">
        <v>1500</v>
      </c>
      <c r="G198" t="s">
        <v>4750</v>
      </c>
      <c r="H198" t="s">
        <v>1477</v>
      </c>
      <c r="I198" t="s">
        <v>1501</v>
      </c>
      <c r="J198">
        <f>VLOOKUP($I198,'[1]Table S6'!$A:$AI,2,FALSE)</f>
        <v>398.2</v>
      </c>
      <c r="K198">
        <f>VLOOKUP($I198,'[1]Table S6'!$A:$AI,3,FALSE)</f>
        <v>0.84741434347733602</v>
      </c>
      <c r="L198">
        <f>VLOOKUP($I198,'[1]Table S6'!$A:$AI,4,FALSE)</f>
        <v>19.34</v>
      </c>
      <c r="M198" t="str">
        <f>VLOOKUP($I198,'[1]Table S6'!$A:$AI,5,FALSE)</f>
        <v>No</v>
      </c>
      <c r="O198">
        <f>VLOOKUP($I198,'[1]Table S6'!$A:$AI,7,FALSE)</f>
        <v>418.3</v>
      </c>
      <c r="P198">
        <f>VLOOKUP($I198,'[1]Table S6'!$A:$AI,8,FALSE)</f>
        <v>0.89018940200042596</v>
      </c>
      <c r="Q198">
        <f>VLOOKUP($I198,'[1]Table S6'!$A:$AI,9,FALSE)</f>
        <v>68.099999999999994</v>
      </c>
      <c r="R198" t="str">
        <f>VLOOKUP($I198,'[1]Table S6'!$A:$AI,10,FALSE)</f>
        <v>No</v>
      </c>
      <c r="T198">
        <f>VLOOKUP($I198,'[1]Table S6'!$A:$AI,12,FALSE)</f>
        <v>381.1</v>
      </c>
      <c r="U198">
        <f>VLOOKUP($I198,'[1]Table S6'!$A:$AI,13,FALSE)</f>
        <v>0.81102362204724399</v>
      </c>
      <c r="V198">
        <f>VLOOKUP($I198,'[1]Table S6'!$A:$AI,14,FALSE)</f>
        <v>15.65</v>
      </c>
      <c r="W198" t="str">
        <f>VLOOKUP($I198,'[1]Table S6'!$A:$AI,15,FALSE)</f>
        <v>No</v>
      </c>
      <c r="Y198">
        <f>VLOOKUP($I198,'[1]Table S6'!$A:$AI,17,FALSE)</f>
        <v>392.2</v>
      </c>
      <c r="Z198">
        <f>VLOOKUP($I198,'[1]Table S6'!$A:$AI,18,FALSE)</f>
        <v>0.83464566929133899</v>
      </c>
      <c r="AA198">
        <f>VLOOKUP($I198,'[1]Table S6'!$A:$AI,19,FALSE)</f>
        <v>19.29</v>
      </c>
      <c r="AB198" t="str">
        <f>VLOOKUP($I198,'[1]Table S6'!$A:$AI,20,FALSE)</f>
        <v>No</v>
      </c>
      <c r="AD198">
        <f>VLOOKUP($I198,'[1]Table S6'!$A:$AI,22,FALSE)</f>
        <v>391</v>
      </c>
      <c r="AE198">
        <f>VLOOKUP($I198,'[1]Table S6'!$A:$AI,23,FALSE)</f>
        <v>0.83209193445413898</v>
      </c>
      <c r="AF198">
        <f>VLOOKUP($I198,'[1]Table S6'!$A:$AI,24,FALSE)</f>
        <v>18.09</v>
      </c>
      <c r="AG198" t="str">
        <f>VLOOKUP($I198,'[1]Table S6'!$A:$AI,25,FALSE)</f>
        <v>No</v>
      </c>
      <c r="AI198">
        <f>VLOOKUP($I198,'[1]Table S6'!$A:$AI,27,FALSE)</f>
        <v>427.2</v>
      </c>
      <c r="AJ198">
        <f>VLOOKUP($I198,'[1]Table S6'!$A:$AI,28,FALSE)</f>
        <v>0.90912960204298798</v>
      </c>
      <c r="AK198">
        <f>VLOOKUP($I198,'[1]Table S6'!$A:$AI,29,FALSE)</f>
        <v>132.19999999999999</v>
      </c>
      <c r="AL198" t="str">
        <f>VLOOKUP($I198,'[1]Table S6'!$A:$AI,30,FALSE)</f>
        <v>No</v>
      </c>
      <c r="AN198">
        <f>VLOOKUP($I198,'[1]Table S6'!$A:$AI,32,FALSE)</f>
        <v>329</v>
      </c>
      <c r="AO198">
        <f>VLOOKUP($I198,'[1]Table S6'!$A:$AI,33,FALSE)</f>
        <v>0.70014896786550296</v>
      </c>
      <c r="AP198">
        <f>VLOOKUP($I198,'[1]Table S6'!$A:$AI,34,FALSE)</f>
        <v>2.1739999999999999</v>
      </c>
      <c r="AQ198" t="str">
        <f>VLOOKUP($I198,'[1]Table S6'!$A:$AI,35,FALSE)</f>
        <v>No</v>
      </c>
      <c r="AS198" t="str">
        <f>VLOOKUP($H198,'[2]Table S5'!$A:$K,8,FALSE)</f>
        <v>Resistant</v>
      </c>
      <c r="AT198" t="str">
        <f>VLOOKUP($H198,'[2]Table S5'!$A:$K,9,FALSE)</f>
        <v>Resistant</v>
      </c>
      <c r="AU198" t="str">
        <f>VLOOKUP($H198,'[2]Table S5'!$A:$K,10,FALSE)</f>
        <v>Resistant</v>
      </c>
      <c r="AV198" t="str">
        <f>VLOOKUP($H198,'[2]Table S5'!$A:$K,11,FALSE)</f>
        <v>Resistant</v>
      </c>
    </row>
    <row r="199" spans="1:48">
      <c r="A199" t="s">
        <v>1503</v>
      </c>
      <c r="B199" t="s">
        <v>1504</v>
      </c>
      <c r="C199" t="s">
        <v>17</v>
      </c>
      <c r="D199" t="s">
        <v>1506</v>
      </c>
      <c r="E199" t="s">
        <v>1507</v>
      </c>
      <c r="F199" t="s">
        <v>1508</v>
      </c>
      <c r="G199" t="s">
        <v>4751</v>
      </c>
      <c r="H199" t="s">
        <v>1477</v>
      </c>
      <c r="I199" t="s">
        <v>1485</v>
      </c>
      <c r="J199">
        <f>VLOOKUP($I199,'[1]Table S6'!$A:$AI,2,FALSE)</f>
        <v>356.7</v>
      </c>
      <c r="K199">
        <f>VLOOKUP($I199,'[1]Table S6'!$A:$AI,3,FALSE)</f>
        <v>0.75909768035752301</v>
      </c>
      <c r="L199">
        <f>VLOOKUP($I199,'[1]Table S6'!$A:$AI,4,FALSE)</f>
        <v>5.79</v>
      </c>
      <c r="M199" t="str">
        <f>VLOOKUP($I199,'[1]Table S6'!$A:$AI,5,FALSE)</f>
        <v>No</v>
      </c>
      <c r="O199">
        <f>VLOOKUP($I199,'[1]Table S6'!$A:$AI,7,FALSE)</f>
        <v>408.8</v>
      </c>
      <c r="P199">
        <f>VLOOKUP($I199,'[1]Table S6'!$A:$AI,8,FALSE)</f>
        <v>0.86997233453926404</v>
      </c>
      <c r="Q199">
        <f>VLOOKUP($I199,'[1]Table S6'!$A:$AI,9,FALSE)</f>
        <v>40.1</v>
      </c>
      <c r="R199" t="str">
        <f>VLOOKUP($I199,'[1]Table S6'!$A:$AI,10,FALSE)</f>
        <v>No</v>
      </c>
      <c r="T199">
        <f>VLOOKUP($I199,'[1]Table S6'!$A:$AI,12,FALSE)</f>
        <v>423.9</v>
      </c>
      <c r="U199">
        <f>VLOOKUP($I199,'[1]Table S6'!$A:$AI,13,FALSE)</f>
        <v>0.90210683124068902</v>
      </c>
      <c r="V199">
        <f>VLOOKUP($I199,'[1]Table S6'!$A:$AI,14,FALSE)</f>
        <v>34.82</v>
      </c>
      <c r="W199" t="str">
        <f>VLOOKUP($I199,'[1]Table S6'!$A:$AI,15,FALSE)</f>
        <v>No</v>
      </c>
      <c r="Y199">
        <f>VLOOKUP($I199,'[1]Table S6'!$A:$AI,17,FALSE)</f>
        <v>408.2</v>
      </c>
      <c r="Z199">
        <f>VLOOKUP($I199,'[1]Table S6'!$A:$AI,18,FALSE)</f>
        <v>0.86869546712066403</v>
      </c>
      <c r="AA199">
        <f>VLOOKUP($I199,'[1]Table S6'!$A:$AI,19,FALSE)</f>
        <v>26.44</v>
      </c>
      <c r="AB199" t="str">
        <f>VLOOKUP($I199,'[1]Table S6'!$A:$AI,20,FALSE)</f>
        <v>No</v>
      </c>
      <c r="AD199">
        <f>VLOOKUP($I199,'[1]Table S6'!$A:$AI,22,FALSE)</f>
        <v>393.8</v>
      </c>
      <c r="AE199">
        <f>VLOOKUP($I199,'[1]Table S6'!$A:$AI,23,FALSE)</f>
        <v>0.83805064907427096</v>
      </c>
      <c r="AF199">
        <f>VLOOKUP($I199,'[1]Table S6'!$A:$AI,24,FALSE)</f>
        <v>22.98</v>
      </c>
      <c r="AG199" t="str">
        <f>VLOOKUP($I199,'[1]Table S6'!$A:$AI,25,FALSE)</f>
        <v>No</v>
      </c>
      <c r="AI199">
        <f>VLOOKUP($I199,'[1]Table S6'!$A:$AI,27,FALSE)</f>
        <v>425.9</v>
      </c>
      <c r="AJ199">
        <f>VLOOKUP($I199,'[1]Table S6'!$A:$AI,28,FALSE)</f>
        <v>0.90636305596935496</v>
      </c>
      <c r="AK199">
        <f>VLOOKUP($I199,'[1]Table S6'!$A:$AI,29,FALSE)</f>
        <v>91.47</v>
      </c>
      <c r="AL199" t="str">
        <f>VLOOKUP($I199,'[1]Table S6'!$A:$AI,30,FALSE)</f>
        <v>No</v>
      </c>
      <c r="AN199">
        <f>VLOOKUP($I199,'[1]Table S6'!$A:$AI,32,FALSE)</f>
        <v>439.5</v>
      </c>
      <c r="AO199">
        <f>VLOOKUP($I199,'[1]Table S6'!$A:$AI,33,FALSE)</f>
        <v>0.93530538412428199</v>
      </c>
      <c r="AP199">
        <f>VLOOKUP($I199,'[1]Table S6'!$A:$AI,34,FALSE)</f>
        <v>230.7</v>
      </c>
      <c r="AQ199" t="str">
        <f>VLOOKUP($I199,'[1]Table S6'!$A:$AI,35,FALSE)</f>
        <v>No</v>
      </c>
      <c r="AS199" t="str">
        <f>VLOOKUP($H199,'[2]Table S5'!$A:$K,8,FALSE)</f>
        <v>Resistant</v>
      </c>
      <c r="AT199" t="str">
        <f>VLOOKUP($H199,'[2]Table S5'!$A:$K,9,FALSE)</f>
        <v>Resistant</v>
      </c>
      <c r="AU199" t="str">
        <f>VLOOKUP($H199,'[2]Table S5'!$A:$K,10,FALSE)</f>
        <v>Resistant</v>
      </c>
      <c r="AV199" t="str">
        <f>VLOOKUP($H199,'[2]Table S5'!$A:$K,11,FALSE)</f>
        <v>Resistant</v>
      </c>
    </row>
    <row r="200" spans="1:48">
      <c r="A200" t="s">
        <v>1510</v>
      </c>
      <c r="B200" t="s">
        <v>1511</v>
      </c>
      <c r="C200" t="s">
        <v>17</v>
      </c>
      <c r="D200" t="s">
        <v>1513</v>
      </c>
      <c r="E200" t="s">
        <v>1514</v>
      </c>
      <c r="F200" t="s">
        <v>1515</v>
      </c>
      <c r="G200" t="s">
        <v>4751</v>
      </c>
      <c r="H200" t="s">
        <v>1477</v>
      </c>
      <c r="I200" t="s">
        <v>1493</v>
      </c>
      <c r="J200">
        <f>VLOOKUP($I200,'[1]Table S6'!$A:$AI,2,FALSE)</f>
        <v>370.8</v>
      </c>
      <c r="K200">
        <f>VLOOKUP($I200,'[1]Table S6'!$A:$AI,3,FALSE)</f>
        <v>0.78910406469461603</v>
      </c>
      <c r="L200">
        <f>VLOOKUP($I200,'[1]Table S6'!$A:$AI,4,FALSE)</f>
        <v>10.35</v>
      </c>
      <c r="M200" t="str">
        <f>VLOOKUP($I200,'[1]Table S6'!$A:$AI,5,FALSE)</f>
        <v>No</v>
      </c>
      <c r="O200">
        <f>VLOOKUP($I200,'[1]Table S6'!$A:$AI,7,FALSE)</f>
        <v>414.6</v>
      </c>
      <c r="P200">
        <f>VLOOKUP($I200,'[1]Table S6'!$A:$AI,8,FALSE)</f>
        <v>0.88231538625239403</v>
      </c>
      <c r="Q200">
        <f>VLOOKUP($I200,'[1]Table S6'!$A:$AI,9,FALSE)</f>
        <v>57.39</v>
      </c>
      <c r="R200" t="str">
        <f>VLOOKUP($I200,'[1]Table S6'!$A:$AI,10,FALSE)</f>
        <v>No</v>
      </c>
      <c r="T200">
        <f>VLOOKUP($I200,'[1]Table S6'!$A:$AI,12,FALSE)</f>
        <v>409.6</v>
      </c>
      <c r="U200">
        <f>VLOOKUP($I200,'[1]Table S6'!$A:$AI,13,FALSE)</f>
        <v>0.87167482443072997</v>
      </c>
      <c r="V200">
        <f>VLOOKUP($I200,'[1]Table S6'!$A:$AI,14,FALSE)</f>
        <v>27.69</v>
      </c>
      <c r="W200" t="str">
        <f>VLOOKUP($I200,'[1]Table S6'!$A:$AI,15,FALSE)</f>
        <v>No</v>
      </c>
      <c r="Y200">
        <f>VLOOKUP($I200,'[1]Table S6'!$A:$AI,17,FALSE)</f>
        <v>377.6</v>
      </c>
      <c r="Z200">
        <f>VLOOKUP($I200,'[1]Table S6'!$A:$AI,18,FALSE)</f>
        <v>0.80357522877207899</v>
      </c>
      <c r="AA200">
        <f>VLOOKUP($I200,'[1]Table S6'!$A:$AI,19,FALSE)</f>
        <v>15.59</v>
      </c>
      <c r="AB200" t="str">
        <f>VLOOKUP($I200,'[1]Table S6'!$A:$AI,20,FALSE)</f>
        <v>No</v>
      </c>
      <c r="AD200">
        <f>VLOOKUP($I200,'[1]Table S6'!$A:$AI,22,FALSE)</f>
        <v>382.5</v>
      </c>
      <c r="AE200">
        <f>VLOOKUP($I200,'[1]Table S6'!$A:$AI,23,FALSE)</f>
        <v>0.81400297935731003</v>
      </c>
      <c r="AF200">
        <f>VLOOKUP($I200,'[1]Table S6'!$A:$AI,24,FALSE)</f>
        <v>14.86</v>
      </c>
      <c r="AG200" t="str">
        <f>VLOOKUP($I200,'[1]Table S6'!$A:$AI,25,FALSE)</f>
        <v>No</v>
      </c>
      <c r="AI200">
        <f>VLOOKUP($I200,'[1]Table S6'!$A:$AI,27,FALSE)</f>
        <v>424.5</v>
      </c>
      <c r="AJ200">
        <f>VLOOKUP($I200,'[1]Table S6'!$A:$AI,28,FALSE)</f>
        <v>0.90338369865928903</v>
      </c>
      <c r="AK200">
        <f>VLOOKUP($I200,'[1]Table S6'!$A:$AI,29,FALSE)</f>
        <v>81.72</v>
      </c>
      <c r="AL200" t="str">
        <f>VLOOKUP($I200,'[1]Table S6'!$A:$AI,30,FALSE)</f>
        <v>No</v>
      </c>
      <c r="AN200">
        <f>VLOOKUP($I200,'[1]Table S6'!$A:$AI,32,FALSE)</f>
        <v>323.60000000000002</v>
      </c>
      <c r="AO200">
        <f>VLOOKUP($I200,'[1]Table S6'!$A:$AI,33,FALSE)</f>
        <v>0.68865716109810604</v>
      </c>
      <c r="AP200">
        <f>VLOOKUP($I200,'[1]Table S6'!$A:$AI,34,FALSE)</f>
        <v>2.29</v>
      </c>
      <c r="AQ200" t="str">
        <f>VLOOKUP($I200,'[1]Table S6'!$A:$AI,35,FALSE)</f>
        <v>No</v>
      </c>
      <c r="AS200" t="str">
        <f>VLOOKUP($H200,'[2]Table S5'!$A:$K,8,FALSE)</f>
        <v>Resistant</v>
      </c>
      <c r="AT200" t="str">
        <f>VLOOKUP($H200,'[2]Table S5'!$A:$K,9,FALSE)</f>
        <v>Resistant</v>
      </c>
      <c r="AU200" t="str">
        <f>VLOOKUP($H200,'[2]Table S5'!$A:$K,10,FALSE)</f>
        <v>Resistant</v>
      </c>
      <c r="AV200" t="str">
        <f>VLOOKUP($H200,'[2]Table S5'!$A:$K,11,FALSE)</f>
        <v>Resistant</v>
      </c>
    </row>
    <row r="201" spans="1:48">
      <c r="A201" t="s">
        <v>1517</v>
      </c>
      <c r="B201" t="s">
        <v>1518</v>
      </c>
      <c r="C201" t="s">
        <v>17</v>
      </c>
      <c r="D201" t="s">
        <v>1520</v>
      </c>
      <c r="E201" t="s">
        <v>1521</v>
      </c>
      <c r="F201" t="s">
        <v>1522</v>
      </c>
      <c r="G201" t="s">
        <v>4751</v>
      </c>
      <c r="H201" t="s">
        <v>1477</v>
      </c>
      <c r="I201" t="s">
        <v>1501</v>
      </c>
      <c r="J201">
        <f>VLOOKUP($I201,'[1]Table S6'!$A:$AI,2,FALSE)</f>
        <v>398.2</v>
      </c>
      <c r="K201">
        <f>VLOOKUP($I201,'[1]Table S6'!$A:$AI,3,FALSE)</f>
        <v>0.84741434347733602</v>
      </c>
      <c r="L201">
        <f>VLOOKUP($I201,'[1]Table S6'!$A:$AI,4,FALSE)</f>
        <v>19.34</v>
      </c>
      <c r="M201" t="str">
        <f>VLOOKUP($I201,'[1]Table S6'!$A:$AI,5,FALSE)</f>
        <v>No</v>
      </c>
      <c r="O201">
        <f>VLOOKUP($I201,'[1]Table S6'!$A:$AI,7,FALSE)</f>
        <v>418.3</v>
      </c>
      <c r="P201">
        <f>VLOOKUP($I201,'[1]Table S6'!$A:$AI,8,FALSE)</f>
        <v>0.89018940200042596</v>
      </c>
      <c r="Q201">
        <f>VLOOKUP($I201,'[1]Table S6'!$A:$AI,9,FALSE)</f>
        <v>68.099999999999994</v>
      </c>
      <c r="R201" t="str">
        <f>VLOOKUP($I201,'[1]Table S6'!$A:$AI,10,FALSE)</f>
        <v>No</v>
      </c>
      <c r="T201">
        <f>VLOOKUP($I201,'[1]Table S6'!$A:$AI,12,FALSE)</f>
        <v>381.1</v>
      </c>
      <c r="U201">
        <f>VLOOKUP($I201,'[1]Table S6'!$A:$AI,13,FALSE)</f>
        <v>0.81102362204724399</v>
      </c>
      <c r="V201">
        <f>VLOOKUP($I201,'[1]Table S6'!$A:$AI,14,FALSE)</f>
        <v>15.65</v>
      </c>
      <c r="W201" t="str">
        <f>VLOOKUP($I201,'[1]Table S6'!$A:$AI,15,FALSE)</f>
        <v>No</v>
      </c>
      <c r="Y201">
        <f>VLOOKUP($I201,'[1]Table S6'!$A:$AI,17,FALSE)</f>
        <v>392.2</v>
      </c>
      <c r="Z201">
        <f>VLOOKUP($I201,'[1]Table S6'!$A:$AI,18,FALSE)</f>
        <v>0.83464566929133899</v>
      </c>
      <c r="AA201">
        <f>VLOOKUP($I201,'[1]Table S6'!$A:$AI,19,FALSE)</f>
        <v>19.29</v>
      </c>
      <c r="AB201" t="str">
        <f>VLOOKUP($I201,'[1]Table S6'!$A:$AI,20,FALSE)</f>
        <v>No</v>
      </c>
      <c r="AD201">
        <f>VLOOKUP($I201,'[1]Table S6'!$A:$AI,22,FALSE)</f>
        <v>391</v>
      </c>
      <c r="AE201">
        <f>VLOOKUP($I201,'[1]Table S6'!$A:$AI,23,FALSE)</f>
        <v>0.83209193445413898</v>
      </c>
      <c r="AF201">
        <f>VLOOKUP($I201,'[1]Table S6'!$A:$AI,24,FALSE)</f>
        <v>18.09</v>
      </c>
      <c r="AG201" t="str">
        <f>VLOOKUP($I201,'[1]Table S6'!$A:$AI,25,FALSE)</f>
        <v>No</v>
      </c>
      <c r="AI201">
        <f>VLOOKUP($I201,'[1]Table S6'!$A:$AI,27,FALSE)</f>
        <v>427.2</v>
      </c>
      <c r="AJ201">
        <f>VLOOKUP($I201,'[1]Table S6'!$A:$AI,28,FALSE)</f>
        <v>0.90912960204298798</v>
      </c>
      <c r="AK201">
        <f>VLOOKUP($I201,'[1]Table S6'!$A:$AI,29,FALSE)</f>
        <v>132.19999999999999</v>
      </c>
      <c r="AL201" t="str">
        <f>VLOOKUP($I201,'[1]Table S6'!$A:$AI,30,FALSE)</f>
        <v>No</v>
      </c>
      <c r="AN201">
        <f>VLOOKUP($I201,'[1]Table S6'!$A:$AI,32,FALSE)</f>
        <v>329</v>
      </c>
      <c r="AO201">
        <f>VLOOKUP($I201,'[1]Table S6'!$A:$AI,33,FALSE)</f>
        <v>0.70014896786550296</v>
      </c>
      <c r="AP201">
        <f>VLOOKUP($I201,'[1]Table S6'!$A:$AI,34,FALSE)</f>
        <v>2.1739999999999999</v>
      </c>
      <c r="AQ201" t="str">
        <f>VLOOKUP($I201,'[1]Table S6'!$A:$AI,35,FALSE)</f>
        <v>No</v>
      </c>
      <c r="AS201" t="str">
        <f>VLOOKUP($H201,'[2]Table S5'!$A:$K,8,FALSE)</f>
        <v>Resistant</v>
      </c>
      <c r="AT201" t="str">
        <f>VLOOKUP($H201,'[2]Table S5'!$A:$K,9,FALSE)</f>
        <v>Resistant</v>
      </c>
      <c r="AU201" t="str">
        <f>VLOOKUP($H201,'[2]Table S5'!$A:$K,10,FALSE)</f>
        <v>Resistant</v>
      </c>
      <c r="AV201" t="str">
        <f>VLOOKUP($H201,'[2]Table S5'!$A:$K,11,FALSE)</f>
        <v>Resistant</v>
      </c>
    </row>
    <row r="202" spans="1:48">
      <c r="A202" t="s">
        <v>1524</v>
      </c>
      <c r="B202" t="s">
        <v>1525</v>
      </c>
      <c r="C202" t="s">
        <v>17</v>
      </c>
      <c r="D202" t="s">
        <v>1527</v>
      </c>
      <c r="E202" t="s">
        <v>1528</v>
      </c>
      <c r="F202" t="s">
        <v>1529</v>
      </c>
      <c r="G202" t="s">
        <v>4758</v>
      </c>
      <c r="H202" t="s">
        <v>1530</v>
      </c>
      <c r="I202" t="s">
        <v>1530</v>
      </c>
      <c r="J202" t="e">
        <f>VLOOKUP($I202,'[1]Table S6'!$A:$AI,2,FALSE)</f>
        <v>#N/A</v>
      </c>
      <c r="K202" t="e">
        <f>VLOOKUP($I202,'[1]Table S6'!$A:$AI,3,FALSE)</f>
        <v>#N/A</v>
      </c>
      <c r="L202" t="e">
        <f>VLOOKUP($I202,'[1]Table S6'!$A:$AI,4,FALSE)</f>
        <v>#N/A</v>
      </c>
      <c r="M202" t="e">
        <f>VLOOKUP($I202,'[1]Table S6'!$A:$AI,5,FALSE)</f>
        <v>#N/A</v>
      </c>
      <c r="O202" t="e">
        <f>VLOOKUP($I202,'[1]Table S6'!$A:$AI,7,FALSE)</f>
        <v>#N/A</v>
      </c>
      <c r="P202" t="e">
        <f>VLOOKUP($I202,'[1]Table S6'!$A:$AI,8,FALSE)</f>
        <v>#N/A</v>
      </c>
      <c r="Q202" t="e">
        <f>VLOOKUP($I202,'[1]Table S6'!$A:$AI,9,FALSE)</f>
        <v>#N/A</v>
      </c>
      <c r="R202" t="e">
        <f>VLOOKUP($I202,'[1]Table S6'!$A:$AI,10,FALSE)</f>
        <v>#N/A</v>
      </c>
      <c r="T202" t="e">
        <f>VLOOKUP($I202,'[1]Table S6'!$A:$AI,12,FALSE)</f>
        <v>#N/A</v>
      </c>
      <c r="U202" t="e">
        <f>VLOOKUP($I202,'[1]Table S6'!$A:$AI,13,FALSE)</f>
        <v>#N/A</v>
      </c>
      <c r="V202" t="e">
        <f>VLOOKUP($I202,'[1]Table S6'!$A:$AI,14,FALSE)</f>
        <v>#N/A</v>
      </c>
      <c r="W202" t="e">
        <f>VLOOKUP($I202,'[1]Table S6'!$A:$AI,15,FALSE)</f>
        <v>#N/A</v>
      </c>
      <c r="Y202" t="e">
        <f>VLOOKUP($I202,'[1]Table S6'!$A:$AI,17,FALSE)</f>
        <v>#N/A</v>
      </c>
      <c r="Z202" t="e">
        <f>VLOOKUP($I202,'[1]Table S6'!$A:$AI,18,FALSE)</f>
        <v>#N/A</v>
      </c>
      <c r="AA202" t="e">
        <f>VLOOKUP($I202,'[1]Table S6'!$A:$AI,19,FALSE)</f>
        <v>#N/A</v>
      </c>
      <c r="AB202" t="e">
        <f>VLOOKUP($I202,'[1]Table S6'!$A:$AI,20,FALSE)</f>
        <v>#N/A</v>
      </c>
      <c r="AD202" t="e">
        <f>VLOOKUP($I202,'[1]Table S6'!$A:$AI,22,FALSE)</f>
        <v>#N/A</v>
      </c>
      <c r="AE202" t="e">
        <f>VLOOKUP($I202,'[1]Table S6'!$A:$AI,23,FALSE)</f>
        <v>#N/A</v>
      </c>
      <c r="AF202" t="e">
        <f>VLOOKUP($I202,'[1]Table S6'!$A:$AI,24,FALSE)</f>
        <v>#N/A</v>
      </c>
      <c r="AG202" t="e">
        <f>VLOOKUP($I202,'[1]Table S6'!$A:$AI,25,FALSE)</f>
        <v>#N/A</v>
      </c>
      <c r="AI202" t="e">
        <f>VLOOKUP($I202,'[1]Table S6'!$A:$AI,27,FALSE)</f>
        <v>#N/A</v>
      </c>
      <c r="AJ202" t="e">
        <f>VLOOKUP($I202,'[1]Table S6'!$A:$AI,28,FALSE)</f>
        <v>#N/A</v>
      </c>
      <c r="AK202" t="e">
        <f>VLOOKUP($I202,'[1]Table S6'!$A:$AI,29,FALSE)</f>
        <v>#N/A</v>
      </c>
      <c r="AL202" t="e">
        <f>VLOOKUP($I202,'[1]Table S6'!$A:$AI,30,FALSE)</f>
        <v>#N/A</v>
      </c>
      <c r="AN202" t="e">
        <f>VLOOKUP($I202,'[1]Table S6'!$A:$AI,32,FALSE)</f>
        <v>#N/A</v>
      </c>
      <c r="AO202" t="e">
        <f>VLOOKUP($I202,'[1]Table S6'!$A:$AI,33,FALSE)</f>
        <v>#N/A</v>
      </c>
      <c r="AP202" t="e">
        <f>VLOOKUP($I202,'[1]Table S6'!$A:$AI,34,FALSE)</f>
        <v>#N/A</v>
      </c>
      <c r="AQ202" t="e">
        <f>VLOOKUP($I202,'[1]Table S6'!$A:$AI,35,FALSE)</f>
        <v>#N/A</v>
      </c>
      <c r="AS202" t="e">
        <f>VLOOKUP($H202,'[2]Table S5'!$A:$K,8,FALSE)</f>
        <v>#N/A</v>
      </c>
      <c r="AT202" t="e">
        <f>VLOOKUP($H202,'[2]Table S5'!$A:$K,9,FALSE)</f>
        <v>#N/A</v>
      </c>
      <c r="AU202" t="e">
        <f>VLOOKUP($H202,'[2]Table S5'!$A:$K,10,FALSE)</f>
        <v>#N/A</v>
      </c>
      <c r="AV202" t="e">
        <f>VLOOKUP($H202,'[2]Table S5'!$A:$K,11,FALSE)</f>
        <v>#N/A</v>
      </c>
    </row>
    <row r="203" spans="1:48">
      <c r="A203" t="s">
        <v>1532</v>
      </c>
      <c r="B203" t="s">
        <v>1533</v>
      </c>
      <c r="C203" t="s">
        <v>17</v>
      </c>
      <c r="D203" t="s">
        <v>1535</v>
      </c>
      <c r="E203" t="s">
        <v>1536</v>
      </c>
      <c r="F203" t="s">
        <v>1537</v>
      </c>
      <c r="G203" t="s">
        <v>4750</v>
      </c>
      <c r="H203" t="s">
        <v>1530</v>
      </c>
      <c r="I203" t="s">
        <v>1538</v>
      </c>
      <c r="J203">
        <f>VLOOKUP($I203,'[1]Table S6'!$A:$AI,2,FALSE)</f>
        <v>418</v>
      </c>
      <c r="K203">
        <f>VLOOKUP($I203,'[1]Table S6'!$A:$AI,3,FALSE)</f>
        <v>0.88955096829112601</v>
      </c>
      <c r="L203">
        <f>VLOOKUP($I203,'[1]Table S6'!$A:$AI,4,FALSE)</f>
        <v>84.48</v>
      </c>
      <c r="M203" t="str">
        <f>VLOOKUP($I203,'[1]Table S6'!$A:$AI,5,FALSE)</f>
        <v>No</v>
      </c>
      <c r="O203">
        <f>VLOOKUP($I203,'[1]Table S6'!$A:$AI,7,FALSE)</f>
        <v>389.6</v>
      </c>
      <c r="P203">
        <f>VLOOKUP($I203,'[1]Table S6'!$A:$AI,8,FALSE)</f>
        <v>0.82911257714407305</v>
      </c>
      <c r="Q203">
        <f>VLOOKUP($I203,'[1]Table S6'!$A:$AI,9,FALSE)</f>
        <v>16.940000000000001</v>
      </c>
      <c r="R203" t="str">
        <f>VLOOKUP($I203,'[1]Table S6'!$A:$AI,10,FALSE)</f>
        <v>No</v>
      </c>
      <c r="T203">
        <f>VLOOKUP($I203,'[1]Table S6'!$A:$AI,12,FALSE)</f>
        <v>387.4</v>
      </c>
      <c r="U203">
        <f>VLOOKUP($I203,'[1]Table S6'!$A:$AI,13,FALSE)</f>
        <v>0.82443072994254096</v>
      </c>
      <c r="V203">
        <f>VLOOKUP($I203,'[1]Table S6'!$A:$AI,14,FALSE)</f>
        <v>18.96</v>
      </c>
      <c r="W203" t="str">
        <f>VLOOKUP($I203,'[1]Table S6'!$A:$AI,15,FALSE)</f>
        <v>No</v>
      </c>
      <c r="Y203">
        <f>VLOOKUP($I203,'[1]Table S6'!$A:$AI,17,FALSE)</f>
        <v>409.4</v>
      </c>
      <c r="Z203">
        <f>VLOOKUP($I203,'[1]Table S6'!$A:$AI,18,FALSE)</f>
        <v>0.87124920195786304</v>
      </c>
      <c r="AA203">
        <f>VLOOKUP($I203,'[1]Table S6'!$A:$AI,19,FALSE)</f>
        <v>51.78</v>
      </c>
      <c r="AB203" t="str">
        <f>VLOOKUP($I203,'[1]Table S6'!$A:$AI,20,FALSE)</f>
        <v>No</v>
      </c>
      <c r="AD203">
        <f>VLOOKUP($I203,'[1]Table S6'!$A:$AI,22,FALSE)</f>
        <v>390.8</v>
      </c>
      <c r="AE203">
        <f>VLOOKUP($I203,'[1]Table S6'!$A:$AI,23,FALSE)</f>
        <v>0.83166631198127305</v>
      </c>
      <c r="AF203">
        <f>VLOOKUP($I203,'[1]Table S6'!$A:$AI,24,FALSE)</f>
        <v>15.81</v>
      </c>
      <c r="AG203" t="str">
        <f>VLOOKUP($I203,'[1]Table S6'!$A:$AI,25,FALSE)</f>
        <v>No</v>
      </c>
      <c r="AI203">
        <f>VLOOKUP($I203,'[1]Table S6'!$A:$AI,27,FALSE)</f>
        <v>438.7</v>
      </c>
      <c r="AJ203">
        <f>VLOOKUP($I203,'[1]Table S6'!$A:$AI,28,FALSE)</f>
        <v>0.93360289423281595</v>
      </c>
      <c r="AK203">
        <f>VLOOKUP($I203,'[1]Table S6'!$A:$AI,29,FALSE)</f>
        <v>154.6</v>
      </c>
      <c r="AL203" t="str">
        <f>VLOOKUP($I203,'[1]Table S6'!$A:$AI,30,FALSE)</f>
        <v>No</v>
      </c>
      <c r="AN203">
        <f>VLOOKUP($I203,'[1]Table S6'!$A:$AI,32,FALSE)</f>
        <v>421</v>
      </c>
      <c r="AO203">
        <f>VLOOKUP($I203,'[1]Table S6'!$A:$AI,33,FALSE)</f>
        <v>0.89593530538412403</v>
      </c>
      <c r="AP203">
        <f>VLOOKUP($I203,'[1]Table S6'!$A:$AI,34,FALSE)</f>
        <v>129.69999999999999</v>
      </c>
      <c r="AQ203" t="str">
        <f>VLOOKUP($I203,'[1]Table S6'!$A:$AI,35,FALSE)</f>
        <v>No</v>
      </c>
      <c r="AS203" t="e">
        <f>VLOOKUP($H203,'[2]Table S5'!$A:$K,8,FALSE)</f>
        <v>#N/A</v>
      </c>
      <c r="AT203" t="e">
        <f>VLOOKUP($H203,'[2]Table S5'!$A:$K,9,FALSE)</f>
        <v>#N/A</v>
      </c>
      <c r="AU203" t="e">
        <f>VLOOKUP($H203,'[2]Table S5'!$A:$K,10,FALSE)</f>
        <v>#N/A</v>
      </c>
      <c r="AV203" t="e">
        <f>VLOOKUP($H203,'[2]Table S5'!$A:$K,11,FALSE)</f>
        <v>#N/A</v>
      </c>
    </row>
    <row r="204" spans="1:48">
      <c r="A204" t="s">
        <v>1540</v>
      </c>
      <c r="B204" t="s">
        <v>1541</v>
      </c>
      <c r="C204" t="s">
        <v>17</v>
      </c>
      <c r="D204" t="s">
        <v>1543</v>
      </c>
      <c r="E204" t="s">
        <v>1544</v>
      </c>
      <c r="F204" t="s">
        <v>1545</v>
      </c>
      <c r="G204" t="s">
        <v>4751</v>
      </c>
      <c r="H204" t="s">
        <v>1530</v>
      </c>
      <c r="I204" t="s">
        <v>1538</v>
      </c>
      <c r="J204">
        <f>VLOOKUP($I204,'[1]Table S6'!$A:$AI,2,FALSE)</f>
        <v>418</v>
      </c>
      <c r="K204">
        <f>VLOOKUP($I204,'[1]Table S6'!$A:$AI,3,FALSE)</f>
        <v>0.88955096829112601</v>
      </c>
      <c r="L204">
        <f>VLOOKUP($I204,'[1]Table S6'!$A:$AI,4,FALSE)</f>
        <v>84.48</v>
      </c>
      <c r="M204" t="str">
        <f>VLOOKUP($I204,'[1]Table S6'!$A:$AI,5,FALSE)</f>
        <v>No</v>
      </c>
      <c r="O204">
        <f>VLOOKUP($I204,'[1]Table S6'!$A:$AI,7,FALSE)</f>
        <v>389.6</v>
      </c>
      <c r="P204">
        <f>VLOOKUP($I204,'[1]Table S6'!$A:$AI,8,FALSE)</f>
        <v>0.82911257714407305</v>
      </c>
      <c r="Q204">
        <f>VLOOKUP($I204,'[1]Table S6'!$A:$AI,9,FALSE)</f>
        <v>16.940000000000001</v>
      </c>
      <c r="R204" t="str">
        <f>VLOOKUP($I204,'[1]Table S6'!$A:$AI,10,FALSE)</f>
        <v>No</v>
      </c>
      <c r="T204">
        <f>VLOOKUP($I204,'[1]Table S6'!$A:$AI,12,FALSE)</f>
        <v>387.4</v>
      </c>
      <c r="U204">
        <f>VLOOKUP($I204,'[1]Table S6'!$A:$AI,13,FALSE)</f>
        <v>0.82443072994254096</v>
      </c>
      <c r="V204">
        <f>VLOOKUP($I204,'[1]Table S6'!$A:$AI,14,FALSE)</f>
        <v>18.96</v>
      </c>
      <c r="W204" t="str">
        <f>VLOOKUP($I204,'[1]Table S6'!$A:$AI,15,FALSE)</f>
        <v>No</v>
      </c>
      <c r="Y204">
        <f>VLOOKUP($I204,'[1]Table S6'!$A:$AI,17,FALSE)</f>
        <v>409.4</v>
      </c>
      <c r="Z204">
        <f>VLOOKUP($I204,'[1]Table S6'!$A:$AI,18,FALSE)</f>
        <v>0.87124920195786304</v>
      </c>
      <c r="AA204">
        <f>VLOOKUP($I204,'[1]Table S6'!$A:$AI,19,FALSE)</f>
        <v>51.78</v>
      </c>
      <c r="AB204" t="str">
        <f>VLOOKUP($I204,'[1]Table S6'!$A:$AI,20,FALSE)</f>
        <v>No</v>
      </c>
      <c r="AD204">
        <f>VLOOKUP($I204,'[1]Table S6'!$A:$AI,22,FALSE)</f>
        <v>390.8</v>
      </c>
      <c r="AE204">
        <f>VLOOKUP($I204,'[1]Table S6'!$A:$AI,23,FALSE)</f>
        <v>0.83166631198127305</v>
      </c>
      <c r="AF204">
        <f>VLOOKUP($I204,'[1]Table S6'!$A:$AI,24,FALSE)</f>
        <v>15.81</v>
      </c>
      <c r="AG204" t="str">
        <f>VLOOKUP($I204,'[1]Table S6'!$A:$AI,25,FALSE)</f>
        <v>No</v>
      </c>
      <c r="AI204">
        <f>VLOOKUP($I204,'[1]Table S6'!$A:$AI,27,FALSE)</f>
        <v>438.7</v>
      </c>
      <c r="AJ204">
        <f>VLOOKUP($I204,'[1]Table S6'!$A:$AI,28,FALSE)</f>
        <v>0.93360289423281595</v>
      </c>
      <c r="AK204">
        <f>VLOOKUP($I204,'[1]Table S6'!$A:$AI,29,FALSE)</f>
        <v>154.6</v>
      </c>
      <c r="AL204" t="str">
        <f>VLOOKUP($I204,'[1]Table S6'!$A:$AI,30,FALSE)</f>
        <v>No</v>
      </c>
      <c r="AN204">
        <f>VLOOKUP($I204,'[1]Table S6'!$A:$AI,32,FALSE)</f>
        <v>421</v>
      </c>
      <c r="AO204">
        <f>VLOOKUP($I204,'[1]Table S6'!$A:$AI,33,FALSE)</f>
        <v>0.89593530538412403</v>
      </c>
      <c r="AP204">
        <f>VLOOKUP($I204,'[1]Table S6'!$A:$AI,34,FALSE)</f>
        <v>129.69999999999999</v>
      </c>
      <c r="AQ204" t="str">
        <f>VLOOKUP($I204,'[1]Table S6'!$A:$AI,35,FALSE)</f>
        <v>No</v>
      </c>
      <c r="AS204" t="e">
        <f>VLOOKUP($H204,'[2]Table S5'!$A:$K,8,FALSE)</f>
        <v>#N/A</v>
      </c>
      <c r="AT204" t="e">
        <f>VLOOKUP($H204,'[2]Table S5'!$A:$K,9,FALSE)</f>
        <v>#N/A</v>
      </c>
      <c r="AU204" t="e">
        <f>VLOOKUP($H204,'[2]Table S5'!$A:$K,10,FALSE)</f>
        <v>#N/A</v>
      </c>
      <c r="AV204" t="e">
        <f>VLOOKUP($H204,'[2]Table S5'!$A:$K,11,FALSE)</f>
        <v>#N/A</v>
      </c>
    </row>
    <row r="205" spans="1:48">
      <c r="A205" t="s">
        <v>1547</v>
      </c>
      <c r="B205" t="s">
        <v>1548</v>
      </c>
      <c r="C205" t="s">
        <v>17</v>
      </c>
      <c r="D205" t="s">
        <v>1550</v>
      </c>
      <c r="E205" t="s">
        <v>1551</v>
      </c>
      <c r="F205" t="s">
        <v>1552</v>
      </c>
      <c r="G205" t="s">
        <v>4757</v>
      </c>
      <c r="H205" t="s">
        <v>1553</v>
      </c>
      <c r="I205" t="s">
        <v>1553</v>
      </c>
      <c r="J205" t="e">
        <f>VLOOKUP($I205,'[1]Table S6'!$A:$AI,2,FALSE)</f>
        <v>#N/A</v>
      </c>
      <c r="K205" t="e">
        <f>VLOOKUP($I205,'[1]Table S6'!$A:$AI,3,FALSE)</f>
        <v>#N/A</v>
      </c>
      <c r="L205" t="e">
        <f>VLOOKUP($I205,'[1]Table S6'!$A:$AI,4,FALSE)</f>
        <v>#N/A</v>
      </c>
      <c r="M205" t="e">
        <f>VLOOKUP($I205,'[1]Table S6'!$A:$AI,5,FALSE)</f>
        <v>#N/A</v>
      </c>
      <c r="O205" t="e">
        <f>VLOOKUP($I205,'[1]Table S6'!$A:$AI,7,FALSE)</f>
        <v>#N/A</v>
      </c>
      <c r="P205" t="e">
        <f>VLOOKUP($I205,'[1]Table S6'!$A:$AI,8,FALSE)</f>
        <v>#N/A</v>
      </c>
      <c r="Q205" t="e">
        <f>VLOOKUP($I205,'[1]Table S6'!$A:$AI,9,FALSE)</f>
        <v>#N/A</v>
      </c>
      <c r="R205" t="e">
        <f>VLOOKUP($I205,'[1]Table S6'!$A:$AI,10,FALSE)</f>
        <v>#N/A</v>
      </c>
      <c r="T205" t="e">
        <f>VLOOKUP($I205,'[1]Table S6'!$A:$AI,12,FALSE)</f>
        <v>#N/A</v>
      </c>
      <c r="U205" t="e">
        <f>VLOOKUP($I205,'[1]Table S6'!$A:$AI,13,FALSE)</f>
        <v>#N/A</v>
      </c>
      <c r="V205" t="e">
        <f>VLOOKUP($I205,'[1]Table S6'!$A:$AI,14,FALSE)</f>
        <v>#N/A</v>
      </c>
      <c r="W205" t="e">
        <f>VLOOKUP($I205,'[1]Table S6'!$A:$AI,15,FALSE)</f>
        <v>#N/A</v>
      </c>
      <c r="Y205" t="e">
        <f>VLOOKUP($I205,'[1]Table S6'!$A:$AI,17,FALSE)</f>
        <v>#N/A</v>
      </c>
      <c r="Z205" t="e">
        <f>VLOOKUP($I205,'[1]Table S6'!$A:$AI,18,FALSE)</f>
        <v>#N/A</v>
      </c>
      <c r="AA205" t="e">
        <f>VLOOKUP($I205,'[1]Table S6'!$A:$AI,19,FALSE)</f>
        <v>#N/A</v>
      </c>
      <c r="AB205" t="e">
        <f>VLOOKUP($I205,'[1]Table S6'!$A:$AI,20,FALSE)</f>
        <v>#N/A</v>
      </c>
      <c r="AD205" t="e">
        <f>VLOOKUP($I205,'[1]Table S6'!$A:$AI,22,FALSE)</f>
        <v>#N/A</v>
      </c>
      <c r="AE205" t="e">
        <f>VLOOKUP($I205,'[1]Table S6'!$A:$AI,23,FALSE)</f>
        <v>#N/A</v>
      </c>
      <c r="AF205" t="e">
        <f>VLOOKUP($I205,'[1]Table S6'!$A:$AI,24,FALSE)</f>
        <v>#N/A</v>
      </c>
      <c r="AG205" t="e">
        <f>VLOOKUP($I205,'[1]Table S6'!$A:$AI,25,FALSE)</f>
        <v>#N/A</v>
      </c>
      <c r="AI205" t="e">
        <f>VLOOKUP($I205,'[1]Table S6'!$A:$AI,27,FALSE)</f>
        <v>#N/A</v>
      </c>
      <c r="AJ205" t="e">
        <f>VLOOKUP($I205,'[1]Table S6'!$A:$AI,28,FALSE)</f>
        <v>#N/A</v>
      </c>
      <c r="AK205" t="e">
        <f>VLOOKUP($I205,'[1]Table S6'!$A:$AI,29,FALSE)</f>
        <v>#N/A</v>
      </c>
      <c r="AL205" t="e">
        <f>VLOOKUP($I205,'[1]Table S6'!$A:$AI,30,FALSE)</f>
        <v>#N/A</v>
      </c>
      <c r="AN205" t="e">
        <f>VLOOKUP($I205,'[1]Table S6'!$A:$AI,32,FALSE)</f>
        <v>#N/A</v>
      </c>
      <c r="AO205" t="e">
        <f>VLOOKUP($I205,'[1]Table S6'!$A:$AI,33,FALSE)</f>
        <v>#N/A</v>
      </c>
      <c r="AP205" t="e">
        <f>VLOOKUP($I205,'[1]Table S6'!$A:$AI,34,FALSE)</f>
        <v>#N/A</v>
      </c>
      <c r="AQ205" t="e">
        <f>VLOOKUP($I205,'[1]Table S6'!$A:$AI,35,FALSE)</f>
        <v>#N/A</v>
      </c>
      <c r="AS205" t="str">
        <f>VLOOKUP($H205,'[2]Table S5'!$A:$K,8,FALSE)</f>
        <v>Resistant</v>
      </c>
      <c r="AT205" t="str">
        <f>VLOOKUP($H205,'[2]Table S5'!$A:$K,9,FALSE)</f>
        <v>Resistant</v>
      </c>
      <c r="AU205" t="str">
        <f>VLOOKUP($H205,'[2]Table S5'!$A:$K,10,FALSE)</f>
        <v>Resistant</v>
      </c>
      <c r="AV205" t="str">
        <f>VLOOKUP($H205,'[2]Table S5'!$A:$K,11,FALSE)</f>
        <v>Resistant</v>
      </c>
    </row>
    <row r="206" spans="1:48">
      <c r="A206" t="s">
        <v>1555</v>
      </c>
      <c r="B206" t="s">
        <v>1556</v>
      </c>
      <c r="C206" t="s">
        <v>17</v>
      </c>
      <c r="D206" t="s">
        <v>1558</v>
      </c>
      <c r="E206" t="s">
        <v>1559</v>
      </c>
      <c r="F206" t="s">
        <v>1560</v>
      </c>
      <c r="G206" t="s">
        <v>4750</v>
      </c>
      <c r="H206" t="s">
        <v>1553</v>
      </c>
      <c r="I206" t="s">
        <v>1561</v>
      </c>
      <c r="J206">
        <f>VLOOKUP($I206,'[1]Table S6'!$A:$AI,2,FALSE)</f>
        <v>372.7</v>
      </c>
      <c r="K206">
        <f>VLOOKUP($I206,'[1]Table S6'!$A:$AI,3,FALSE)</f>
        <v>0.79314747818684805</v>
      </c>
      <c r="L206">
        <f>VLOOKUP($I206,'[1]Table S6'!$A:$AI,4,FALSE)</f>
        <v>11.15</v>
      </c>
      <c r="M206" t="str">
        <f>VLOOKUP($I206,'[1]Table S6'!$A:$AI,5,FALSE)</f>
        <v>No</v>
      </c>
      <c r="O206">
        <f>VLOOKUP($I206,'[1]Table S6'!$A:$AI,7,FALSE)</f>
        <v>325.2</v>
      </c>
      <c r="P206">
        <f>VLOOKUP($I206,'[1]Table S6'!$A:$AI,8,FALSE)</f>
        <v>0.69206214088103901</v>
      </c>
      <c r="Q206">
        <f>VLOOKUP($I206,'[1]Table S6'!$A:$AI,9,FALSE)</f>
        <v>1.905</v>
      </c>
      <c r="R206" t="str">
        <f>VLOOKUP($I206,'[1]Table S6'!$A:$AI,10,FALSE)</f>
        <v>Yes</v>
      </c>
      <c r="T206">
        <f>VLOOKUP($I206,'[1]Table S6'!$A:$AI,12,FALSE)</f>
        <v>381.2</v>
      </c>
      <c r="U206">
        <f>VLOOKUP($I206,'[1]Table S6'!$A:$AI,13,FALSE)</f>
        <v>0.81123643328367701</v>
      </c>
      <c r="V206">
        <f>VLOOKUP($I206,'[1]Table S6'!$A:$AI,14,FALSE)</f>
        <v>20.5</v>
      </c>
      <c r="W206" t="str">
        <f>VLOOKUP($I206,'[1]Table S6'!$A:$AI,15,FALSE)</f>
        <v>No</v>
      </c>
      <c r="Y206">
        <f>VLOOKUP($I206,'[1]Table S6'!$A:$AI,17,FALSE)</f>
        <v>388.3</v>
      </c>
      <c r="Z206">
        <f>VLOOKUP($I206,'[1]Table S6'!$A:$AI,18,FALSE)</f>
        <v>0.82634603107044102</v>
      </c>
      <c r="AA206">
        <f>VLOOKUP($I206,'[1]Table S6'!$A:$AI,19,FALSE)</f>
        <v>17.82</v>
      </c>
      <c r="AB206" t="str">
        <f>VLOOKUP($I206,'[1]Table S6'!$A:$AI,20,FALSE)</f>
        <v>No</v>
      </c>
      <c r="AD206">
        <f>VLOOKUP($I206,'[1]Table S6'!$A:$AI,22,FALSE)</f>
        <v>418</v>
      </c>
      <c r="AE206">
        <f>VLOOKUP($I206,'[1]Table S6'!$A:$AI,23,FALSE)</f>
        <v>0.88955096829112601</v>
      </c>
      <c r="AF206">
        <f>VLOOKUP($I206,'[1]Table S6'!$A:$AI,24,FALSE)</f>
        <v>52.82</v>
      </c>
      <c r="AG206" t="str">
        <f>VLOOKUP($I206,'[1]Table S6'!$A:$AI,25,FALSE)</f>
        <v>No</v>
      </c>
      <c r="AI206">
        <f>VLOOKUP($I206,'[1]Table S6'!$A:$AI,27,FALSE)</f>
        <v>389.9</v>
      </c>
      <c r="AJ206">
        <f>VLOOKUP($I206,'[1]Table S6'!$A:$AI,28,FALSE)</f>
        <v>0.82975101085337299</v>
      </c>
      <c r="AK206">
        <f>VLOOKUP($I206,'[1]Table S6'!$A:$AI,29,FALSE)</f>
        <v>20.61</v>
      </c>
      <c r="AL206" t="str">
        <f>VLOOKUP($I206,'[1]Table S6'!$A:$AI,30,FALSE)</f>
        <v>No</v>
      </c>
      <c r="AN206">
        <f>VLOOKUP($I206,'[1]Table S6'!$A:$AI,32,FALSE)</f>
        <v>425.5</v>
      </c>
      <c r="AO206">
        <f>VLOOKUP($I206,'[1]Table S6'!$A:$AI,33,FALSE)</f>
        <v>0.90551181102362199</v>
      </c>
      <c r="AP206">
        <f>VLOOKUP($I206,'[1]Table S6'!$A:$AI,34,FALSE)</f>
        <v>110.3</v>
      </c>
      <c r="AQ206" t="str">
        <f>VLOOKUP($I206,'[1]Table S6'!$A:$AI,35,FALSE)</f>
        <v>No</v>
      </c>
      <c r="AS206" t="str">
        <f>VLOOKUP($H206,'[2]Table S5'!$A:$K,8,FALSE)</f>
        <v>Resistant</v>
      </c>
      <c r="AT206" t="str">
        <f>VLOOKUP($H206,'[2]Table S5'!$A:$K,9,FALSE)</f>
        <v>Resistant</v>
      </c>
      <c r="AU206" t="str">
        <f>VLOOKUP($H206,'[2]Table S5'!$A:$K,10,FALSE)</f>
        <v>Resistant</v>
      </c>
      <c r="AV206" t="str">
        <f>VLOOKUP($H206,'[2]Table S5'!$A:$K,11,FALSE)</f>
        <v>Resistant</v>
      </c>
    </row>
    <row r="207" spans="1:48">
      <c r="A207" t="s">
        <v>1563</v>
      </c>
      <c r="B207" t="s">
        <v>1564</v>
      </c>
      <c r="C207" t="s">
        <v>17</v>
      </c>
      <c r="D207" t="s">
        <v>1566</v>
      </c>
      <c r="E207" t="s">
        <v>1567</v>
      </c>
      <c r="F207" t="s">
        <v>1568</v>
      </c>
      <c r="G207" t="s">
        <v>4750</v>
      </c>
      <c r="H207" t="s">
        <v>1553</v>
      </c>
      <c r="I207" t="s">
        <v>1569</v>
      </c>
      <c r="J207">
        <f>VLOOKUP($I207,'[1]Table S6'!$A:$AI,2,FALSE)</f>
        <v>354.6</v>
      </c>
      <c r="K207">
        <f>VLOOKUP($I207,'[1]Table S6'!$A:$AI,3,FALSE)</f>
        <v>0.75462864439242405</v>
      </c>
      <c r="L207">
        <f>VLOOKUP($I207,'[1]Table S6'!$A:$AI,4,FALSE)</f>
        <v>7.16</v>
      </c>
      <c r="M207" t="str">
        <f>VLOOKUP($I207,'[1]Table S6'!$A:$AI,5,FALSE)</f>
        <v>No</v>
      </c>
      <c r="O207">
        <f>VLOOKUP($I207,'[1]Table S6'!$A:$AI,7,FALSE)</f>
        <v>343.4</v>
      </c>
      <c r="P207">
        <f>VLOOKUP($I207,'[1]Table S6'!$A:$AI,8,FALSE)</f>
        <v>0.73079378591189603</v>
      </c>
      <c r="Q207">
        <f>VLOOKUP($I207,'[1]Table S6'!$A:$AI,9,FALSE)</f>
        <v>4.1210000000000004</v>
      </c>
      <c r="R207" t="str">
        <f>VLOOKUP($I207,'[1]Table S6'!$A:$AI,10,FALSE)</f>
        <v>No</v>
      </c>
      <c r="T207">
        <f>VLOOKUP($I207,'[1]Table S6'!$A:$AI,12,FALSE)</f>
        <v>376</v>
      </c>
      <c r="U207">
        <f>VLOOKUP($I207,'[1]Table S6'!$A:$AI,13,FALSE)</f>
        <v>0.80017024898914701</v>
      </c>
      <c r="V207">
        <f>VLOOKUP($I207,'[1]Table S6'!$A:$AI,14,FALSE)</f>
        <v>19.8</v>
      </c>
      <c r="W207" t="str">
        <f>VLOOKUP($I207,'[1]Table S6'!$A:$AI,15,FALSE)</f>
        <v>No</v>
      </c>
      <c r="Y207">
        <f>VLOOKUP($I207,'[1]Table S6'!$A:$AI,17,FALSE)</f>
        <v>357.9</v>
      </c>
      <c r="Z207">
        <f>VLOOKUP($I207,'[1]Table S6'!$A:$AI,18,FALSE)</f>
        <v>0.76165141519472201</v>
      </c>
      <c r="AA207">
        <f>VLOOKUP($I207,'[1]Table S6'!$A:$AI,19,FALSE)</f>
        <v>11.92</v>
      </c>
      <c r="AB207" t="str">
        <f>VLOOKUP($I207,'[1]Table S6'!$A:$AI,20,FALSE)</f>
        <v>No</v>
      </c>
      <c r="AD207">
        <f>VLOOKUP($I207,'[1]Table S6'!$A:$AI,22,FALSE)</f>
        <v>408.3</v>
      </c>
      <c r="AE207">
        <f>VLOOKUP($I207,'[1]Table S6'!$A:$AI,23,FALSE)</f>
        <v>0.86890827835709705</v>
      </c>
      <c r="AF207">
        <f>VLOOKUP($I207,'[1]Table S6'!$A:$AI,24,FALSE)</f>
        <v>39.479999999999997</v>
      </c>
      <c r="AG207" t="str">
        <f>VLOOKUP($I207,'[1]Table S6'!$A:$AI,25,FALSE)</f>
        <v>No</v>
      </c>
      <c r="AI207">
        <f>VLOOKUP($I207,'[1]Table S6'!$A:$AI,27,FALSE)</f>
        <v>421</v>
      </c>
      <c r="AJ207">
        <f>VLOOKUP($I207,'[1]Table S6'!$A:$AI,28,FALSE)</f>
        <v>0.89593530538412403</v>
      </c>
      <c r="AK207">
        <f>VLOOKUP($I207,'[1]Table S6'!$A:$AI,29,FALSE)</f>
        <v>34.520000000000003</v>
      </c>
      <c r="AL207" t="str">
        <f>VLOOKUP($I207,'[1]Table S6'!$A:$AI,30,FALSE)</f>
        <v>No</v>
      </c>
      <c r="AN207">
        <f>VLOOKUP($I207,'[1]Table S6'!$A:$AI,32,FALSE)</f>
        <v>443.9</v>
      </c>
      <c r="AO207">
        <f>VLOOKUP($I207,'[1]Table S6'!$A:$AI,33,FALSE)</f>
        <v>0.94466907852734605</v>
      </c>
      <c r="AP207">
        <f>VLOOKUP($I207,'[1]Table S6'!$A:$AI,34,FALSE)</f>
        <v>120.6</v>
      </c>
      <c r="AQ207" t="str">
        <f>VLOOKUP($I207,'[1]Table S6'!$A:$AI,35,FALSE)</f>
        <v>No</v>
      </c>
      <c r="AS207" t="str">
        <f>VLOOKUP($H207,'[2]Table S5'!$A:$K,8,FALSE)</f>
        <v>Resistant</v>
      </c>
      <c r="AT207" t="str">
        <f>VLOOKUP($H207,'[2]Table S5'!$A:$K,9,FALSE)</f>
        <v>Resistant</v>
      </c>
      <c r="AU207" t="str">
        <f>VLOOKUP($H207,'[2]Table S5'!$A:$K,10,FALSE)</f>
        <v>Resistant</v>
      </c>
      <c r="AV207" t="str">
        <f>VLOOKUP($H207,'[2]Table S5'!$A:$K,11,FALSE)</f>
        <v>Resistant</v>
      </c>
    </row>
    <row r="208" spans="1:48">
      <c r="A208" t="s">
        <v>1571</v>
      </c>
      <c r="B208" t="s">
        <v>1572</v>
      </c>
      <c r="C208" t="s">
        <v>17</v>
      </c>
      <c r="D208" t="s">
        <v>1574</v>
      </c>
      <c r="E208" t="s">
        <v>1575</v>
      </c>
      <c r="F208" t="s">
        <v>1576</v>
      </c>
      <c r="G208" t="s">
        <v>4751</v>
      </c>
      <c r="H208" t="s">
        <v>1553</v>
      </c>
      <c r="I208" t="s">
        <v>1561</v>
      </c>
      <c r="J208">
        <f>VLOOKUP($I208,'[1]Table S6'!$A:$AI,2,FALSE)</f>
        <v>372.7</v>
      </c>
      <c r="K208">
        <f>VLOOKUP($I208,'[1]Table S6'!$A:$AI,3,FALSE)</f>
        <v>0.79314747818684805</v>
      </c>
      <c r="L208">
        <f>VLOOKUP($I208,'[1]Table S6'!$A:$AI,4,FALSE)</f>
        <v>11.15</v>
      </c>
      <c r="M208" t="str">
        <f>VLOOKUP($I208,'[1]Table S6'!$A:$AI,5,FALSE)</f>
        <v>No</v>
      </c>
      <c r="O208">
        <f>VLOOKUP($I208,'[1]Table S6'!$A:$AI,7,FALSE)</f>
        <v>325.2</v>
      </c>
      <c r="P208">
        <f>VLOOKUP($I208,'[1]Table S6'!$A:$AI,8,FALSE)</f>
        <v>0.69206214088103901</v>
      </c>
      <c r="Q208">
        <f>VLOOKUP($I208,'[1]Table S6'!$A:$AI,9,FALSE)</f>
        <v>1.905</v>
      </c>
      <c r="R208" t="str">
        <f>VLOOKUP($I208,'[1]Table S6'!$A:$AI,10,FALSE)</f>
        <v>Yes</v>
      </c>
      <c r="T208">
        <f>VLOOKUP($I208,'[1]Table S6'!$A:$AI,12,FALSE)</f>
        <v>381.2</v>
      </c>
      <c r="U208">
        <f>VLOOKUP($I208,'[1]Table S6'!$A:$AI,13,FALSE)</f>
        <v>0.81123643328367701</v>
      </c>
      <c r="V208">
        <f>VLOOKUP($I208,'[1]Table S6'!$A:$AI,14,FALSE)</f>
        <v>20.5</v>
      </c>
      <c r="W208" t="str">
        <f>VLOOKUP($I208,'[1]Table S6'!$A:$AI,15,FALSE)</f>
        <v>No</v>
      </c>
      <c r="Y208">
        <f>VLOOKUP($I208,'[1]Table S6'!$A:$AI,17,FALSE)</f>
        <v>388.3</v>
      </c>
      <c r="Z208">
        <f>VLOOKUP($I208,'[1]Table S6'!$A:$AI,18,FALSE)</f>
        <v>0.82634603107044102</v>
      </c>
      <c r="AA208">
        <f>VLOOKUP($I208,'[1]Table S6'!$A:$AI,19,FALSE)</f>
        <v>17.82</v>
      </c>
      <c r="AB208" t="str">
        <f>VLOOKUP($I208,'[1]Table S6'!$A:$AI,20,FALSE)</f>
        <v>No</v>
      </c>
      <c r="AD208">
        <f>VLOOKUP($I208,'[1]Table S6'!$A:$AI,22,FALSE)</f>
        <v>418</v>
      </c>
      <c r="AE208">
        <f>VLOOKUP($I208,'[1]Table S6'!$A:$AI,23,FALSE)</f>
        <v>0.88955096829112601</v>
      </c>
      <c r="AF208">
        <f>VLOOKUP($I208,'[1]Table S6'!$A:$AI,24,FALSE)</f>
        <v>52.82</v>
      </c>
      <c r="AG208" t="str">
        <f>VLOOKUP($I208,'[1]Table S6'!$A:$AI,25,FALSE)</f>
        <v>No</v>
      </c>
      <c r="AI208">
        <f>VLOOKUP($I208,'[1]Table S6'!$A:$AI,27,FALSE)</f>
        <v>389.9</v>
      </c>
      <c r="AJ208">
        <f>VLOOKUP($I208,'[1]Table S6'!$A:$AI,28,FALSE)</f>
        <v>0.82975101085337299</v>
      </c>
      <c r="AK208">
        <f>VLOOKUP($I208,'[1]Table S6'!$A:$AI,29,FALSE)</f>
        <v>20.61</v>
      </c>
      <c r="AL208" t="str">
        <f>VLOOKUP($I208,'[1]Table S6'!$A:$AI,30,FALSE)</f>
        <v>No</v>
      </c>
      <c r="AN208">
        <f>VLOOKUP($I208,'[1]Table S6'!$A:$AI,32,FALSE)</f>
        <v>425.5</v>
      </c>
      <c r="AO208">
        <f>VLOOKUP($I208,'[1]Table S6'!$A:$AI,33,FALSE)</f>
        <v>0.90551181102362199</v>
      </c>
      <c r="AP208">
        <f>VLOOKUP($I208,'[1]Table S6'!$A:$AI,34,FALSE)</f>
        <v>110.3</v>
      </c>
      <c r="AQ208" t="str">
        <f>VLOOKUP($I208,'[1]Table S6'!$A:$AI,35,FALSE)</f>
        <v>No</v>
      </c>
      <c r="AS208" t="str">
        <f>VLOOKUP($H208,'[2]Table S5'!$A:$K,8,FALSE)</f>
        <v>Resistant</v>
      </c>
      <c r="AT208" t="str">
        <f>VLOOKUP($H208,'[2]Table S5'!$A:$K,9,FALSE)</f>
        <v>Resistant</v>
      </c>
      <c r="AU208" t="str">
        <f>VLOOKUP($H208,'[2]Table S5'!$A:$K,10,FALSE)</f>
        <v>Resistant</v>
      </c>
      <c r="AV208" t="str">
        <f>VLOOKUP($H208,'[2]Table S5'!$A:$K,11,FALSE)</f>
        <v>Resistant</v>
      </c>
    </row>
    <row r="209" spans="1:48">
      <c r="A209" t="s">
        <v>1578</v>
      </c>
      <c r="B209" t="s">
        <v>1579</v>
      </c>
      <c r="C209" t="s">
        <v>17</v>
      </c>
      <c r="D209" t="s">
        <v>1581</v>
      </c>
      <c r="E209" t="s">
        <v>1582</v>
      </c>
      <c r="F209" t="s">
        <v>1583</v>
      </c>
      <c r="G209" t="s">
        <v>4751</v>
      </c>
      <c r="H209" t="s">
        <v>1553</v>
      </c>
      <c r="I209" t="s">
        <v>1569</v>
      </c>
      <c r="J209">
        <f>VLOOKUP($I209,'[1]Table S6'!$A:$AI,2,FALSE)</f>
        <v>354.6</v>
      </c>
      <c r="K209">
        <f>VLOOKUP($I209,'[1]Table S6'!$A:$AI,3,FALSE)</f>
        <v>0.75462864439242405</v>
      </c>
      <c r="L209">
        <f>VLOOKUP($I209,'[1]Table S6'!$A:$AI,4,FALSE)</f>
        <v>7.16</v>
      </c>
      <c r="M209" t="str">
        <f>VLOOKUP($I209,'[1]Table S6'!$A:$AI,5,FALSE)</f>
        <v>No</v>
      </c>
      <c r="O209">
        <f>VLOOKUP($I209,'[1]Table S6'!$A:$AI,7,FALSE)</f>
        <v>343.4</v>
      </c>
      <c r="P209">
        <f>VLOOKUP($I209,'[1]Table S6'!$A:$AI,8,FALSE)</f>
        <v>0.73079378591189603</v>
      </c>
      <c r="Q209">
        <f>VLOOKUP($I209,'[1]Table S6'!$A:$AI,9,FALSE)</f>
        <v>4.1210000000000004</v>
      </c>
      <c r="R209" t="str">
        <f>VLOOKUP($I209,'[1]Table S6'!$A:$AI,10,FALSE)</f>
        <v>No</v>
      </c>
      <c r="T209">
        <f>VLOOKUP($I209,'[1]Table S6'!$A:$AI,12,FALSE)</f>
        <v>376</v>
      </c>
      <c r="U209">
        <f>VLOOKUP($I209,'[1]Table S6'!$A:$AI,13,FALSE)</f>
        <v>0.80017024898914701</v>
      </c>
      <c r="V209">
        <f>VLOOKUP($I209,'[1]Table S6'!$A:$AI,14,FALSE)</f>
        <v>19.8</v>
      </c>
      <c r="W209" t="str">
        <f>VLOOKUP($I209,'[1]Table S6'!$A:$AI,15,FALSE)</f>
        <v>No</v>
      </c>
      <c r="Y209">
        <f>VLOOKUP($I209,'[1]Table S6'!$A:$AI,17,FALSE)</f>
        <v>357.9</v>
      </c>
      <c r="Z209">
        <f>VLOOKUP($I209,'[1]Table S6'!$A:$AI,18,FALSE)</f>
        <v>0.76165141519472201</v>
      </c>
      <c r="AA209">
        <f>VLOOKUP($I209,'[1]Table S6'!$A:$AI,19,FALSE)</f>
        <v>11.92</v>
      </c>
      <c r="AB209" t="str">
        <f>VLOOKUP($I209,'[1]Table S6'!$A:$AI,20,FALSE)</f>
        <v>No</v>
      </c>
      <c r="AD209">
        <f>VLOOKUP($I209,'[1]Table S6'!$A:$AI,22,FALSE)</f>
        <v>408.3</v>
      </c>
      <c r="AE209">
        <f>VLOOKUP($I209,'[1]Table S6'!$A:$AI,23,FALSE)</f>
        <v>0.86890827835709705</v>
      </c>
      <c r="AF209">
        <f>VLOOKUP($I209,'[1]Table S6'!$A:$AI,24,FALSE)</f>
        <v>39.479999999999997</v>
      </c>
      <c r="AG209" t="str">
        <f>VLOOKUP($I209,'[1]Table S6'!$A:$AI,25,FALSE)</f>
        <v>No</v>
      </c>
      <c r="AI209">
        <f>VLOOKUP($I209,'[1]Table S6'!$A:$AI,27,FALSE)</f>
        <v>421</v>
      </c>
      <c r="AJ209">
        <f>VLOOKUP($I209,'[1]Table S6'!$A:$AI,28,FALSE)</f>
        <v>0.89593530538412403</v>
      </c>
      <c r="AK209">
        <f>VLOOKUP($I209,'[1]Table S6'!$A:$AI,29,FALSE)</f>
        <v>34.520000000000003</v>
      </c>
      <c r="AL209" t="str">
        <f>VLOOKUP($I209,'[1]Table S6'!$A:$AI,30,FALSE)</f>
        <v>No</v>
      </c>
      <c r="AN209">
        <f>VLOOKUP($I209,'[1]Table S6'!$A:$AI,32,FALSE)</f>
        <v>443.9</v>
      </c>
      <c r="AO209">
        <f>VLOOKUP($I209,'[1]Table S6'!$A:$AI,33,FALSE)</f>
        <v>0.94466907852734605</v>
      </c>
      <c r="AP209">
        <f>VLOOKUP($I209,'[1]Table S6'!$A:$AI,34,FALSE)</f>
        <v>120.6</v>
      </c>
      <c r="AQ209" t="str">
        <f>VLOOKUP($I209,'[1]Table S6'!$A:$AI,35,FALSE)</f>
        <v>No</v>
      </c>
      <c r="AS209" t="str">
        <f>VLOOKUP($H209,'[2]Table S5'!$A:$K,8,FALSE)</f>
        <v>Resistant</v>
      </c>
      <c r="AT209" t="str">
        <f>VLOOKUP($H209,'[2]Table S5'!$A:$K,9,FALSE)</f>
        <v>Resistant</v>
      </c>
      <c r="AU209" t="str">
        <f>VLOOKUP($H209,'[2]Table S5'!$A:$K,10,FALSE)</f>
        <v>Resistant</v>
      </c>
      <c r="AV209" t="str">
        <f>VLOOKUP($H209,'[2]Table S5'!$A:$K,11,FALSE)</f>
        <v>Resistant</v>
      </c>
    </row>
    <row r="210" spans="1:48">
      <c r="A210" t="s">
        <v>1585</v>
      </c>
      <c r="B210" t="s">
        <v>1586</v>
      </c>
      <c r="C210" t="s">
        <v>17</v>
      </c>
      <c r="D210" t="s">
        <v>1588</v>
      </c>
      <c r="E210" t="s">
        <v>1589</v>
      </c>
      <c r="F210" t="s">
        <v>1590</v>
      </c>
      <c r="G210" t="s">
        <v>4750</v>
      </c>
      <c r="H210" t="s">
        <v>1591</v>
      </c>
      <c r="I210" t="s">
        <v>1592</v>
      </c>
      <c r="J210">
        <f>VLOOKUP($I210,'[1]Table S6'!$A:$AI,2,FALSE)</f>
        <v>281.10000000000002</v>
      </c>
      <c r="K210">
        <f>VLOOKUP($I210,'[1]Table S6'!$A:$AI,3,FALSE)</f>
        <v>0.59821238561396095</v>
      </c>
      <c r="L210">
        <f>VLOOKUP($I210,'[1]Table S6'!$A:$AI,4,FALSE)</f>
        <v>0.63690000000000002</v>
      </c>
      <c r="M210" t="str">
        <f>VLOOKUP($I210,'[1]Table S6'!$A:$AI,5,FALSE)</f>
        <v>Yes</v>
      </c>
      <c r="O210">
        <f>VLOOKUP($I210,'[1]Table S6'!$A:$AI,7,FALSE)</f>
        <v>282.2</v>
      </c>
      <c r="P210">
        <f>VLOOKUP($I210,'[1]Table S6'!$A:$AI,8,FALSE)</f>
        <v>0.60055330921472605</v>
      </c>
      <c r="Q210">
        <f>VLOOKUP($I210,'[1]Table S6'!$A:$AI,9,FALSE)</f>
        <v>0.84440000000000004</v>
      </c>
      <c r="R210" t="str">
        <f>VLOOKUP($I210,'[1]Table S6'!$A:$AI,10,FALSE)</f>
        <v>Yes</v>
      </c>
      <c r="T210">
        <f>VLOOKUP($I210,'[1]Table S6'!$A:$AI,12,FALSE)</f>
        <v>289.3</v>
      </c>
      <c r="U210">
        <f>VLOOKUP($I210,'[1]Table S6'!$A:$AI,13,FALSE)</f>
        <v>0.61566290700148996</v>
      </c>
      <c r="V210">
        <f>VLOOKUP($I210,'[1]Table S6'!$A:$AI,14,FALSE)</f>
        <v>0.67879999999999996</v>
      </c>
      <c r="W210" t="str">
        <f>VLOOKUP($I210,'[1]Table S6'!$A:$AI,15,FALSE)</f>
        <v>Yes</v>
      </c>
      <c r="Y210">
        <f>VLOOKUP($I210,'[1]Table S6'!$A:$AI,17,FALSE)</f>
        <v>310.10000000000002</v>
      </c>
      <c r="Z210">
        <f>VLOOKUP($I210,'[1]Table S6'!$A:$AI,18,FALSE)</f>
        <v>0.65992764417961303</v>
      </c>
      <c r="AA210">
        <f>VLOOKUP($I210,'[1]Table S6'!$A:$AI,19,FALSE)</f>
        <v>1.5069999999999999</v>
      </c>
      <c r="AB210" t="str">
        <f>VLOOKUP($I210,'[1]Table S6'!$A:$AI,20,FALSE)</f>
        <v>Yes</v>
      </c>
      <c r="AD210">
        <f>VLOOKUP($I210,'[1]Table S6'!$A:$AI,22,FALSE)</f>
        <v>305.39999999999998</v>
      </c>
      <c r="AE210">
        <f>VLOOKUP($I210,'[1]Table S6'!$A:$AI,23,FALSE)</f>
        <v>0.64992551606724802</v>
      </c>
      <c r="AF210">
        <f>VLOOKUP($I210,'[1]Table S6'!$A:$AI,24,FALSE)</f>
        <v>1.2450000000000001</v>
      </c>
      <c r="AG210" t="str">
        <f>VLOOKUP($I210,'[1]Table S6'!$A:$AI,25,FALSE)</f>
        <v>Yes</v>
      </c>
      <c r="AI210">
        <f>VLOOKUP($I210,'[1]Table S6'!$A:$AI,27,FALSE)</f>
        <v>388.2</v>
      </c>
      <c r="AJ210">
        <f>VLOOKUP($I210,'[1]Table S6'!$A:$AI,28,FALSE)</f>
        <v>0.826133219834007</v>
      </c>
      <c r="AK210">
        <f>VLOOKUP($I210,'[1]Table S6'!$A:$AI,29,FALSE)</f>
        <v>49.89</v>
      </c>
      <c r="AL210" t="str">
        <f>VLOOKUP($I210,'[1]Table S6'!$A:$AI,30,FALSE)</f>
        <v>No</v>
      </c>
      <c r="AN210">
        <f>VLOOKUP($I210,'[1]Table S6'!$A:$AI,32,FALSE)</f>
        <v>449.2</v>
      </c>
      <c r="AO210">
        <f>VLOOKUP($I210,'[1]Table S6'!$A:$AI,33,FALSE)</f>
        <v>0.95594807405830995</v>
      </c>
      <c r="AP210">
        <f>VLOOKUP($I210,'[1]Table S6'!$A:$AI,34,FALSE)</f>
        <v>125.1</v>
      </c>
      <c r="AQ210" t="str">
        <f>VLOOKUP($I210,'[1]Table S6'!$A:$AI,35,FALSE)</f>
        <v>No</v>
      </c>
      <c r="AS210" t="e">
        <f>VLOOKUP($H210,'[2]Table S5'!$A:$K,8,FALSE)</f>
        <v>#N/A</v>
      </c>
      <c r="AT210" t="e">
        <f>VLOOKUP($H210,'[2]Table S5'!$A:$K,9,FALSE)</f>
        <v>#N/A</v>
      </c>
      <c r="AU210" t="e">
        <f>VLOOKUP($H210,'[2]Table S5'!$A:$K,10,FALSE)</f>
        <v>#N/A</v>
      </c>
      <c r="AV210" t="e">
        <f>VLOOKUP($H210,'[2]Table S5'!$A:$K,11,FALSE)</f>
        <v>#N/A</v>
      </c>
    </row>
    <row r="211" spans="1:48">
      <c r="A211" t="s">
        <v>1594</v>
      </c>
      <c r="B211" t="s">
        <v>1595</v>
      </c>
      <c r="C211" t="s">
        <v>17</v>
      </c>
      <c r="D211" t="s">
        <v>1597</v>
      </c>
      <c r="E211" t="s">
        <v>1598</v>
      </c>
      <c r="F211" t="s">
        <v>1599</v>
      </c>
      <c r="G211" t="s">
        <v>4750</v>
      </c>
      <c r="H211" t="s">
        <v>1591</v>
      </c>
      <c r="I211" t="s">
        <v>1600</v>
      </c>
      <c r="J211">
        <f>VLOOKUP($I211,'[1]Table S6'!$A:$AI,2,FALSE)</f>
        <v>336.4</v>
      </c>
      <c r="K211">
        <f>VLOOKUP($I211,'[1]Table S6'!$A:$AI,3,FALSE)</f>
        <v>0.71589699936156603</v>
      </c>
      <c r="L211">
        <f>VLOOKUP($I211,'[1]Table S6'!$A:$AI,4,FALSE)</f>
        <v>2.8969999999999998</v>
      </c>
      <c r="M211" t="str">
        <f>VLOOKUP($I211,'[1]Table S6'!$A:$AI,5,FALSE)</f>
        <v>No</v>
      </c>
      <c r="O211">
        <f>VLOOKUP($I211,'[1]Table S6'!$A:$AI,7,FALSE)</f>
        <v>329.9</v>
      </c>
      <c r="P211">
        <f>VLOOKUP($I211,'[1]Table S6'!$A:$AI,8,FALSE)</f>
        <v>0.70206426899340302</v>
      </c>
      <c r="Q211">
        <f>VLOOKUP($I211,'[1]Table S6'!$A:$AI,9,FALSE)</f>
        <v>2.0939999999999999</v>
      </c>
      <c r="R211" t="str">
        <f>VLOOKUP($I211,'[1]Table S6'!$A:$AI,10,FALSE)</f>
        <v>No</v>
      </c>
      <c r="T211">
        <f>VLOOKUP($I211,'[1]Table S6'!$A:$AI,12,FALSE)</f>
        <v>329.3</v>
      </c>
      <c r="U211">
        <f>VLOOKUP($I211,'[1]Table S6'!$A:$AI,13,FALSE)</f>
        <v>0.70078740157480301</v>
      </c>
      <c r="V211">
        <f>VLOOKUP($I211,'[1]Table S6'!$A:$AI,14,FALSE)</f>
        <v>2.2250000000000001</v>
      </c>
      <c r="W211" t="str">
        <f>VLOOKUP($I211,'[1]Table S6'!$A:$AI,15,FALSE)</f>
        <v>Yes</v>
      </c>
      <c r="Y211">
        <f>VLOOKUP($I211,'[1]Table S6'!$A:$AI,17,FALSE)</f>
        <v>342.7</v>
      </c>
      <c r="Z211">
        <f>VLOOKUP($I211,'[1]Table S6'!$A:$AI,18,FALSE)</f>
        <v>0.72930410725686301</v>
      </c>
      <c r="AA211">
        <f>VLOOKUP($I211,'[1]Table S6'!$A:$AI,19,FALSE)</f>
        <v>5.694</v>
      </c>
      <c r="AB211" t="str">
        <f>VLOOKUP($I211,'[1]Table S6'!$A:$AI,20,FALSE)</f>
        <v>No</v>
      </c>
      <c r="AD211">
        <f>VLOOKUP($I211,'[1]Table S6'!$A:$AI,22,FALSE)</f>
        <v>330</v>
      </c>
      <c r="AE211">
        <f>VLOOKUP($I211,'[1]Table S6'!$A:$AI,23,FALSE)</f>
        <v>0.70227708022983604</v>
      </c>
      <c r="AF211">
        <f>VLOOKUP($I211,'[1]Table S6'!$A:$AI,24,FALSE)</f>
        <v>4.0309999999999997</v>
      </c>
      <c r="AG211" t="str">
        <f>VLOOKUP($I211,'[1]Table S6'!$A:$AI,25,FALSE)</f>
        <v>No</v>
      </c>
      <c r="AI211">
        <f>VLOOKUP($I211,'[1]Table S6'!$A:$AI,27,FALSE)</f>
        <v>469.2</v>
      </c>
      <c r="AJ211">
        <f>VLOOKUP($I211,'[1]Table S6'!$A:$AI,28,FALSE)</f>
        <v>0.99851032134496698</v>
      </c>
      <c r="AK211">
        <f>VLOOKUP($I211,'[1]Table S6'!$A:$AI,29,FALSE)</f>
        <v>330.9</v>
      </c>
      <c r="AL211" t="str">
        <f>VLOOKUP($I211,'[1]Table S6'!$A:$AI,30,FALSE)</f>
        <v>No</v>
      </c>
      <c r="AN211">
        <f>VLOOKUP($I211,'[1]Table S6'!$A:$AI,32,FALSE)</f>
        <v>444.4</v>
      </c>
      <c r="AO211">
        <f>VLOOKUP($I211,'[1]Table S6'!$A:$AI,33,FALSE)</f>
        <v>0.94573313470951303</v>
      </c>
      <c r="AP211">
        <f>VLOOKUP($I211,'[1]Table S6'!$A:$AI,34,FALSE)</f>
        <v>283.8</v>
      </c>
      <c r="AQ211" t="str">
        <f>VLOOKUP($I211,'[1]Table S6'!$A:$AI,35,FALSE)</f>
        <v>No</v>
      </c>
      <c r="AS211" t="e">
        <f>VLOOKUP($H211,'[2]Table S5'!$A:$K,8,FALSE)</f>
        <v>#N/A</v>
      </c>
      <c r="AT211" t="e">
        <f>VLOOKUP($H211,'[2]Table S5'!$A:$K,9,FALSE)</f>
        <v>#N/A</v>
      </c>
      <c r="AU211" t="e">
        <f>VLOOKUP($H211,'[2]Table S5'!$A:$K,10,FALSE)</f>
        <v>#N/A</v>
      </c>
      <c r="AV211" t="e">
        <f>VLOOKUP($H211,'[2]Table S5'!$A:$K,11,FALSE)</f>
        <v>#N/A</v>
      </c>
    </row>
    <row r="212" spans="1:48">
      <c r="A212" t="s">
        <v>1602</v>
      </c>
      <c r="B212" t="s">
        <v>1603</v>
      </c>
      <c r="C212" t="s">
        <v>17</v>
      </c>
      <c r="D212" t="s">
        <v>1605</v>
      </c>
      <c r="E212" t="s">
        <v>1606</v>
      </c>
      <c r="F212" t="s">
        <v>1607</v>
      </c>
      <c r="G212" t="s">
        <v>4751</v>
      </c>
      <c r="H212" t="s">
        <v>1591</v>
      </c>
      <c r="I212" t="s">
        <v>1592</v>
      </c>
      <c r="J212">
        <f>VLOOKUP($I212,'[1]Table S6'!$A:$AI,2,FALSE)</f>
        <v>281.10000000000002</v>
      </c>
      <c r="K212">
        <f>VLOOKUP($I212,'[1]Table S6'!$A:$AI,3,FALSE)</f>
        <v>0.59821238561396095</v>
      </c>
      <c r="L212">
        <f>VLOOKUP($I212,'[1]Table S6'!$A:$AI,4,FALSE)</f>
        <v>0.63690000000000002</v>
      </c>
      <c r="M212" t="str">
        <f>VLOOKUP($I212,'[1]Table S6'!$A:$AI,5,FALSE)</f>
        <v>Yes</v>
      </c>
      <c r="O212">
        <f>VLOOKUP($I212,'[1]Table S6'!$A:$AI,7,FALSE)</f>
        <v>282.2</v>
      </c>
      <c r="P212">
        <f>VLOOKUP($I212,'[1]Table S6'!$A:$AI,8,FALSE)</f>
        <v>0.60055330921472605</v>
      </c>
      <c r="Q212">
        <f>VLOOKUP($I212,'[1]Table S6'!$A:$AI,9,FALSE)</f>
        <v>0.84440000000000004</v>
      </c>
      <c r="R212" t="str">
        <f>VLOOKUP($I212,'[1]Table S6'!$A:$AI,10,FALSE)</f>
        <v>Yes</v>
      </c>
      <c r="T212">
        <f>VLOOKUP($I212,'[1]Table S6'!$A:$AI,12,FALSE)</f>
        <v>289.3</v>
      </c>
      <c r="U212">
        <f>VLOOKUP($I212,'[1]Table S6'!$A:$AI,13,FALSE)</f>
        <v>0.61566290700148996</v>
      </c>
      <c r="V212">
        <f>VLOOKUP($I212,'[1]Table S6'!$A:$AI,14,FALSE)</f>
        <v>0.67879999999999996</v>
      </c>
      <c r="W212" t="str">
        <f>VLOOKUP($I212,'[1]Table S6'!$A:$AI,15,FALSE)</f>
        <v>Yes</v>
      </c>
      <c r="Y212">
        <f>VLOOKUP($I212,'[1]Table S6'!$A:$AI,17,FALSE)</f>
        <v>310.10000000000002</v>
      </c>
      <c r="Z212">
        <f>VLOOKUP($I212,'[1]Table S6'!$A:$AI,18,FALSE)</f>
        <v>0.65992764417961303</v>
      </c>
      <c r="AA212">
        <f>VLOOKUP($I212,'[1]Table S6'!$A:$AI,19,FALSE)</f>
        <v>1.5069999999999999</v>
      </c>
      <c r="AB212" t="str">
        <f>VLOOKUP($I212,'[1]Table S6'!$A:$AI,20,FALSE)</f>
        <v>Yes</v>
      </c>
      <c r="AD212">
        <f>VLOOKUP($I212,'[1]Table S6'!$A:$AI,22,FALSE)</f>
        <v>305.39999999999998</v>
      </c>
      <c r="AE212">
        <f>VLOOKUP($I212,'[1]Table S6'!$A:$AI,23,FALSE)</f>
        <v>0.64992551606724802</v>
      </c>
      <c r="AF212">
        <f>VLOOKUP($I212,'[1]Table S6'!$A:$AI,24,FALSE)</f>
        <v>1.2450000000000001</v>
      </c>
      <c r="AG212" t="str">
        <f>VLOOKUP($I212,'[1]Table S6'!$A:$AI,25,FALSE)</f>
        <v>Yes</v>
      </c>
      <c r="AI212">
        <f>VLOOKUP($I212,'[1]Table S6'!$A:$AI,27,FALSE)</f>
        <v>388.2</v>
      </c>
      <c r="AJ212">
        <f>VLOOKUP($I212,'[1]Table S6'!$A:$AI,28,FALSE)</f>
        <v>0.826133219834007</v>
      </c>
      <c r="AK212">
        <f>VLOOKUP($I212,'[1]Table S6'!$A:$AI,29,FALSE)</f>
        <v>49.89</v>
      </c>
      <c r="AL212" t="str">
        <f>VLOOKUP($I212,'[1]Table S6'!$A:$AI,30,FALSE)</f>
        <v>No</v>
      </c>
      <c r="AN212">
        <f>VLOOKUP($I212,'[1]Table S6'!$A:$AI,32,FALSE)</f>
        <v>449.2</v>
      </c>
      <c r="AO212">
        <f>VLOOKUP($I212,'[1]Table S6'!$A:$AI,33,FALSE)</f>
        <v>0.95594807405830995</v>
      </c>
      <c r="AP212">
        <f>VLOOKUP($I212,'[1]Table S6'!$A:$AI,34,FALSE)</f>
        <v>125.1</v>
      </c>
      <c r="AQ212" t="str">
        <f>VLOOKUP($I212,'[1]Table S6'!$A:$AI,35,FALSE)</f>
        <v>No</v>
      </c>
      <c r="AS212" t="e">
        <f>VLOOKUP($H212,'[2]Table S5'!$A:$K,8,FALSE)</f>
        <v>#N/A</v>
      </c>
      <c r="AT212" t="e">
        <f>VLOOKUP($H212,'[2]Table S5'!$A:$K,9,FALSE)</f>
        <v>#N/A</v>
      </c>
      <c r="AU212" t="e">
        <f>VLOOKUP($H212,'[2]Table S5'!$A:$K,10,FALSE)</f>
        <v>#N/A</v>
      </c>
      <c r="AV212" t="e">
        <f>VLOOKUP($H212,'[2]Table S5'!$A:$K,11,FALSE)</f>
        <v>#N/A</v>
      </c>
    </row>
    <row r="213" spans="1:48">
      <c r="A213" t="s">
        <v>1609</v>
      </c>
      <c r="B213" t="s">
        <v>1610</v>
      </c>
      <c r="C213" t="s">
        <v>17</v>
      </c>
      <c r="D213" t="s">
        <v>1612</v>
      </c>
      <c r="E213" t="s">
        <v>1613</v>
      </c>
      <c r="F213" t="s">
        <v>1614</v>
      </c>
      <c r="G213" t="s">
        <v>4751</v>
      </c>
      <c r="H213" t="s">
        <v>1591</v>
      </c>
      <c r="I213" t="s">
        <v>1600</v>
      </c>
      <c r="J213">
        <f>VLOOKUP($I213,'[1]Table S6'!$A:$AI,2,FALSE)</f>
        <v>336.4</v>
      </c>
      <c r="K213">
        <f>VLOOKUP($I213,'[1]Table S6'!$A:$AI,3,FALSE)</f>
        <v>0.71589699936156603</v>
      </c>
      <c r="L213">
        <f>VLOOKUP($I213,'[1]Table S6'!$A:$AI,4,FALSE)</f>
        <v>2.8969999999999998</v>
      </c>
      <c r="M213" t="str">
        <f>VLOOKUP($I213,'[1]Table S6'!$A:$AI,5,FALSE)</f>
        <v>No</v>
      </c>
      <c r="O213">
        <f>VLOOKUP($I213,'[1]Table S6'!$A:$AI,7,FALSE)</f>
        <v>329.9</v>
      </c>
      <c r="P213">
        <f>VLOOKUP($I213,'[1]Table S6'!$A:$AI,8,FALSE)</f>
        <v>0.70206426899340302</v>
      </c>
      <c r="Q213">
        <f>VLOOKUP($I213,'[1]Table S6'!$A:$AI,9,FALSE)</f>
        <v>2.0939999999999999</v>
      </c>
      <c r="R213" t="str">
        <f>VLOOKUP($I213,'[1]Table S6'!$A:$AI,10,FALSE)</f>
        <v>No</v>
      </c>
      <c r="T213">
        <f>VLOOKUP($I213,'[1]Table S6'!$A:$AI,12,FALSE)</f>
        <v>329.3</v>
      </c>
      <c r="U213">
        <f>VLOOKUP($I213,'[1]Table S6'!$A:$AI,13,FALSE)</f>
        <v>0.70078740157480301</v>
      </c>
      <c r="V213">
        <f>VLOOKUP($I213,'[1]Table S6'!$A:$AI,14,FALSE)</f>
        <v>2.2250000000000001</v>
      </c>
      <c r="W213" t="str">
        <f>VLOOKUP($I213,'[1]Table S6'!$A:$AI,15,FALSE)</f>
        <v>Yes</v>
      </c>
      <c r="Y213">
        <f>VLOOKUP($I213,'[1]Table S6'!$A:$AI,17,FALSE)</f>
        <v>342.7</v>
      </c>
      <c r="Z213">
        <f>VLOOKUP($I213,'[1]Table S6'!$A:$AI,18,FALSE)</f>
        <v>0.72930410725686301</v>
      </c>
      <c r="AA213">
        <f>VLOOKUP($I213,'[1]Table S6'!$A:$AI,19,FALSE)</f>
        <v>5.694</v>
      </c>
      <c r="AB213" t="str">
        <f>VLOOKUP($I213,'[1]Table S6'!$A:$AI,20,FALSE)</f>
        <v>No</v>
      </c>
      <c r="AD213">
        <f>VLOOKUP($I213,'[1]Table S6'!$A:$AI,22,FALSE)</f>
        <v>330</v>
      </c>
      <c r="AE213">
        <f>VLOOKUP($I213,'[1]Table S6'!$A:$AI,23,FALSE)</f>
        <v>0.70227708022983604</v>
      </c>
      <c r="AF213">
        <f>VLOOKUP($I213,'[1]Table S6'!$A:$AI,24,FALSE)</f>
        <v>4.0309999999999997</v>
      </c>
      <c r="AG213" t="str">
        <f>VLOOKUP($I213,'[1]Table S6'!$A:$AI,25,FALSE)</f>
        <v>No</v>
      </c>
      <c r="AI213">
        <f>VLOOKUP($I213,'[1]Table S6'!$A:$AI,27,FALSE)</f>
        <v>469.2</v>
      </c>
      <c r="AJ213">
        <f>VLOOKUP($I213,'[1]Table S6'!$A:$AI,28,FALSE)</f>
        <v>0.99851032134496698</v>
      </c>
      <c r="AK213">
        <f>VLOOKUP($I213,'[1]Table S6'!$A:$AI,29,FALSE)</f>
        <v>330.9</v>
      </c>
      <c r="AL213" t="str">
        <f>VLOOKUP($I213,'[1]Table S6'!$A:$AI,30,FALSE)</f>
        <v>No</v>
      </c>
      <c r="AN213">
        <f>VLOOKUP($I213,'[1]Table S6'!$A:$AI,32,FALSE)</f>
        <v>444.4</v>
      </c>
      <c r="AO213">
        <f>VLOOKUP($I213,'[1]Table S6'!$A:$AI,33,FALSE)</f>
        <v>0.94573313470951303</v>
      </c>
      <c r="AP213">
        <f>VLOOKUP($I213,'[1]Table S6'!$A:$AI,34,FALSE)</f>
        <v>283.8</v>
      </c>
      <c r="AQ213" t="str">
        <f>VLOOKUP($I213,'[1]Table S6'!$A:$AI,35,FALSE)</f>
        <v>No</v>
      </c>
      <c r="AS213" t="e">
        <f>VLOOKUP($H213,'[2]Table S5'!$A:$K,8,FALSE)</f>
        <v>#N/A</v>
      </c>
      <c r="AT213" t="e">
        <f>VLOOKUP($H213,'[2]Table S5'!$A:$K,9,FALSE)</f>
        <v>#N/A</v>
      </c>
      <c r="AU213" t="e">
        <f>VLOOKUP($H213,'[2]Table S5'!$A:$K,10,FALSE)</f>
        <v>#N/A</v>
      </c>
      <c r="AV213" t="e">
        <f>VLOOKUP($H213,'[2]Table S5'!$A:$K,11,FALSE)</f>
        <v>#N/A</v>
      </c>
    </row>
    <row r="214" spans="1:48">
      <c r="A214" t="s">
        <v>1616</v>
      </c>
      <c r="B214" t="s">
        <v>1617</v>
      </c>
      <c r="C214" t="s">
        <v>17</v>
      </c>
      <c r="D214" t="s">
        <v>1619</v>
      </c>
      <c r="E214" t="s">
        <v>1620</v>
      </c>
      <c r="F214" t="s">
        <v>1621</v>
      </c>
      <c r="G214" t="s">
        <v>4757</v>
      </c>
      <c r="H214" t="s">
        <v>1591</v>
      </c>
      <c r="I214" t="s">
        <v>1591</v>
      </c>
      <c r="J214" t="e">
        <f>VLOOKUP($I214,'[1]Table S6'!$A:$AI,2,FALSE)</f>
        <v>#N/A</v>
      </c>
      <c r="K214" t="e">
        <f>VLOOKUP($I214,'[1]Table S6'!$A:$AI,3,FALSE)</f>
        <v>#N/A</v>
      </c>
      <c r="L214" t="e">
        <f>VLOOKUP($I214,'[1]Table S6'!$A:$AI,4,FALSE)</f>
        <v>#N/A</v>
      </c>
      <c r="M214" t="e">
        <f>VLOOKUP($I214,'[1]Table S6'!$A:$AI,5,FALSE)</f>
        <v>#N/A</v>
      </c>
      <c r="O214" t="e">
        <f>VLOOKUP($I214,'[1]Table S6'!$A:$AI,7,FALSE)</f>
        <v>#N/A</v>
      </c>
      <c r="P214" t="e">
        <f>VLOOKUP($I214,'[1]Table S6'!$A:$AI,8,FALSE)</f>
        <v>#N/A</v>
      </c>
      <c r="Q214" t="e">
        <f>VLOOKUP($I214,'[1]Table S6'!$A:$AI,9,FALSE)</f>
        <v>#N/A</v>
      </c>
      <c r="R214" t="e">
        <f>VLOOKUP($I214,'[1]Table S6'!$A:$AI,10,FALSE)</f>
        <v>#N/A</v>
      </c>
      <c r="T214" t="e">
        <f>VLOOKUP($I214,'[1]Table S6'!$A:$AI,12,FALSE)</f>
        <v>#N/A</v>
      </c>
      <c r="U214" t="e">
        <f>VLOOKUP($I214,'[1]Table S6'!$A:$AI,13,FALSE)</f>
        <v>#N/A</v>
      </c>
      <c r="V214" t="e">
        <f>VLOOKUP($I214,'[1]Table S6'!$A:$AI,14,FALSE)</f>
        <v>#N/A</v>
      </c>
      <c r="W214" t="e">
        <f>VLOOKUP($I214,'[1]Table S6'!$A:$AI,15,FALSE)</f>
        <v>#N/A</v>
      </c>
      <c r="Y214" t="e">
        <f>VLOOKUP($I214,'[1]Table S6'!$A:$AI,17,FALSE)</f>
        <v>#N/A</v>
      </c>
      <c r="Z214" t="e">
        <f>VLOOKUP($I214,'[1]Table S6'!$A:$AI,18,FALSE)</f>
        <v>#N/A</v>
      </c>
      <c r="AA214" t="e">
        <f>VLOOKUP($I214,'[1]Table S6'!$A:$AI,19,FALSE)</f>
        <v>#N/A</v>
      </c>
      <c r="AB214" t="e">
        <f>VLOOKUP($I214,'[1]Table S6'!$A:$AI,20,FALSE)</f>
        <v>#N/A</v>
      </c>
      <c r="AD214" t="e">
        <f>VLOOKUP($I214,'[1]Table S6'!$A:$AI,22,FALSE)</f>
        <v>#N/A</v>
      </c>
      <c r="AE214" t="e">
        <f>VLOOKUP($I214,'[1]Table S6'!$A:$AI,23,FALSE)</f>
        <v>#N/A</v>
      </c>
      <c r="AF214" t="e">
        <f>VLOOKUP($I214,'[1]Table S6'!$A:$AI,24,FALSE)</f>
        <v>#N/A</v>
      </c>
      <c r="AG214" t="e">
        <f>VLOOKUP($I214,'[1]Table S6'!$A:$AI,25,FALSE)</f>
        <v>#N/A</v>
      </c>
      <c r="AI214" t="e">
        <f>VLOOKUP($I214,'[1]Table S6'!$A:$AI,27,FALSE)</f>
        <v>#N/A</v>
      </c>
      <c r="AJ214" t="e">
        <f>VLOOKUP($I214,'[1]Table S6'!$A:$AI,28,FALSE)</f>
        <v>#N/A</v>
      </c>
      <c r="AK214" t="e">
        <f>VLOOKUP($I214,'[1]Table S6'!$A:$AI,29,FALSE)</f>
        <v>#N/A</v>
      </c>
      <c r="AL214" t="e">
        <f>VLOOKUP($I214,'[1]Table S6'!$A:$AI,30,FALSE)</f>
        <v>#N/A</v>
      </c>
      <c r="AN214" t="e">
        <f>VLOOKUP($I214,'[1]Table S6'!$A:$AI,32,FALSE)</f>
        <v>#N/A</v>
      </c>
      <c r="AO214" t="e">
        <f>VLOOKUP($I214,'[1]Table S6'!$A:$AI,33,FALSE)</f>
        <v>#N/A</v>
      </c>
      <c r="AP214" t="e">
        <f>VLOOKUP($I214,'[1]Table S6'!$A:$AI,34,FALSE)</f>
        <v>#N/A</v>
      </c>
      <c r="AQ214" t="e">
        <f>VLOOKUP($I214,'[1]Table S6'!$A:$AI,35,FALSE)</f>
        <v>#N/A</v>
      </c>
      <c r="AS214" t="e">
        <f>VLOOKUP($H214,'[2]Table S5'!$A:$K,8,FALSE)</f>
        <v>#N/A</v>
      </c>
      <c r="AT214" t="e">
        <f>VLOOKUP($H214,'[2]Table S5'!$A:$K,9,FALSE)</f>
        <v>#N/A</v>
      </c>
      <c r="AU214" t="e">
        <f>VLOOKUP($H214,'[2]Table S5'!$A:$K,10,FALSE)</f>
        <v>#N/A</v>
      </c>
      <c r="AV214" t="e">
        <f>VLOOKUP($H214,'[2]Table S5'!$A:$K,11,FALSE)</f>
        <v>#N/A</v>
      </c>
    </row>
    <row r="215" spans="1:48">
      <c r="A215" t="s">
        <v>1623</v>
      </c>
      <c r="B215" t="s">
        <v>1624</v>
      </c>
      <c r="C215" t="s">
        <v>17</v>
      </c>
      <c r="D215" t="s">
        <v>1626</v>
      </c>
      <c r="E215" t="s">
        <v>1627</v>
      </c>
      <c r="F215" t="s">
        <v>1628</v>
      </c>
      <c r="G215" t="s">
        <v>4754</v>
      </c>
      <c r="H215" t="s">
        <v>1629</v>
      </c>
      <c r="I215" t="s">
        <v>1630</v>
      </c>
      <c r="J215">
        <f>VLOOKUP($I215,'[1]Table S6'!$A:$AI,2,FALSE)</f>
        <v>395.6</v>
      </c>
      <c r="K215">
        <f>VLOOKUP($I215,'[1]Table S6'!$A:$AI,3,FALSE)</f>
        <v>0.84188125133006997</v>
      </c>
      <c r="L215">
        <f>VLOOKUP($I215,'[1]Table S6'!$A:$AI,4,FALSE)</f>
        <v>19.91</v>
      </c>
      <c r="M215" t="str">
        <f>VLOOKUP($I215,'[1]Table S6'!$A:$AI,5,FALSE)</f>
        <v>No</v>
      </c>
      <c r="O215">
        <f>VLOOKUP($I215,'[1]Table S6'!$A:$AI,7,FALSE)</f>
        <v>324.7</v>
      </c>
      <c r="P215">
        <f>VLOOKUP($I215,'[1]Table S6'!$A:$AI,8,FALSE)</f>
        <v>0.69099808469887203</v>
      </c>
      <c r="Q215">
        <f>VLOOKUP($I215,'[1]Table S6'!$A:$AI,9,FALSE)</f>
        <v>2.109</v>
      </c>
      <c r="R215" t="str">
        <f>VLOOKUP($I215,'[1]Table S6'!$A:$AI,10,FALSE)</f>
        <v>Yes</v>
      </c>
      <c r="T215">
        <f>VLOOKUP($I215,'[1]Table S6'!$A:$AI,12,FALSE)</f>
        <v>326.60000000000002</v>
      </c>
      <c r="U215">
        <f>VLOOKUP($I215,'[1]Table S6'!$A:$AI,13,FALSE)</f>
        <v>0.69504149819110495</v>
      </c>
      <c r="V215">
        <f>VLOOKUP($I215,'[1]Table S6'!$A:$AI,14,FALSE)</f>
        <v>2.3380000000000001</v>
      </c>
      <c r="W215" t="str">
        <f>VLOOKUP($I215,'[1]Table S6'!$A:$AI,15,FALSE)</f>
        <v>Yes</v>
      </c>
      <c r="Y215">
        <f>VLOOKUP($I215,'[1]Table S6'!$A:$AI,17,FALSE)</f>
        <v>321.5</v>
      </c>
      <c r="Z215">
        <f>VLOOKUP($I215,'[1]Table S6'!$A:$AI,18,FALSE)</f>
        <v>0.68418812513300697</v>
      </c>
      <c r="AA215">
        <f>VLOOKUP($I215,'[1]Table S6'!$A:$AI,19,FALSE)</f>
        <v>1.81</v>
      </c>
      <c r="AB215" t="str">
        <f>VLOOKUP($I215,'[1]Table S6'!$A:$AI,20,FALSE)</f>
        <v>Yes</v>
      </c>
      <c r="AD215">
        <f>VLOOKUP($I215,'[1]Table S6'!$A:$AI,22,FALSE)</f>
        <v>404.9</v>
      </c>
      <c r="AE215">
        <f>VLOOKUP($I215,'[1]Table S6'!$A:$AI,23,FALSE)</f>
        <v>0.86167269631836596</v>
      </c>
      <c r="AF215">
        <f>VLOOKUP($I215,'[1]Table S6'!$A:$AI,24,FALSE)</f>
        <v>36.71</v>
      </c>
      <c r="AG215" t="str">
        <f>VLOOKUP($I215,'[1]Table S6'!$A:$AI,25,FALSE)</f>
        <v>No</v>
      </c>
      <c r="AI215">
        <f>VLOOKUP($I215,'[1]Table S6'!$A:$AI,27,FALSE)</f>
        <v>413.1</v>
      </c>
      <c r="AJ215">
        <f>VLOOKUP($I215,'[1]Table S6'!$A:$AI,28,FALSE)</f>
        <v>0.87912321770589497</v>
      </c>
      <c r="AK215">
        <f>VLOOKUP($I215,'[1]Table S6'!$A:$AI,29,FALSE)</f>
        <v>58.85</v>
      </c>
      <c r="AL215" t="str">
        <f>VLOOKUP($I215,'[1]Table S6'!$A:$AI,30,FALSE)</f>
        <v>No</v>
      </c>
      <c r="AN215">
        <f>VLOOKUP($I215,'[1]Table S6'!$A:$AI,32,FALSE)</f>
        <v>411.3</v>
      </c>
      <c r="AO215">
        <f>VLOOKUP($I215,'[1]Table S6'!$A:$AI,33,FALSE)</f>
        <v>0.87529261545009596</v>
      </c>
      <c r="AP215">
        <f>VLOOKUP($I215,'[1]Table S6'!$A:$AI,34,FALSE)</f>
        <v>45.32</v>
      </c>
      <c r="AQ215" t="str">
        <f>VLOOKUP($I215,'[1]Table S6'!$A:$AI,35,FALSE)</f>
        <v>No</v>
      </c>
      <c r="AS215" t="e">
        <f>VLOOKUP($H215,'[2]Table S5'!$A:$K,8,FALSE)</f>
        <v>#N/A</v>
      </c>
      <c r="AT215" t="e">
        <f>VLOOKUP($H215,'[2]Table S5'!$A:$K,9,FALSE)</f>
        <v>#N/A</v>
      </c>
      <c r="AU215" t="e">
        <f>VLOOKUP($H215,'[2]Table S5'!$A:$K,10,FALSE)</f>
        <v>#N/A</v>
      </c>
      <c r="AV215" t="e">
        <f>VLOOKUP($H215,'[2]Table S5'!$A:$K,11,FALSE)</f>
        <v>#N/A</v>
      </c>
    </row>
    <row r="216" spans="1:48">
      <c r="A216" t="s">
        <v>1632</v>
      </c>
      <c r="B216" t="s">
        <v>1633</v>
      </c>
      <c r="C216" t="s">
        <v>17</v>
      </c>
      <c r="D216" t="s">
        <v>1635</v>
      </c>
      <c r="E216" t="s">
        <v>1636</v>
      </c>
      <c r="F216" t="s">
        <v>1637</v>
      </c>
      <c r="G216" t="s">
        <v>4755</v>
      </c>
      <c r="H216" t="s">
        <v>1629</v>
      </c>
      <c r="I216" t="s">
        <v>1630</v>
      </c>
      <c r="J216">
        <f>VLOOKUP($I216,'[1]Table S6'!$A:$AI,2,FALSE)</f>
        <v>395.6</v>
      </c>
      <c r="K216">
        <f>VLOOKUP($I216,'[1]Table S6'!$A:$AI,3,FALSE)</f>
        <v>0.84188125133006997</v>
      </c>
      <c r="L216">
        <f>VLOOKUP($I216,'[1]Table S6'!$A:$AI,4,FALSE)</f>
        <v>19.91</v>
      </c>
      <c r="M216" t="str">
        <f>VLOOKUP($I216,'[1]Table S6'!$A:$AI,5,FALSE)</f>
        <v>No</v>
      </c>
      <c r="O216">
        <f>VLOOKUP($I216,'[1]Table S6'!$A:$AI,7,FALSE)</f>
        <v>324.7</v>
      </c>
      <c r="P216">
        <f>VLOOKUP($I216,'[1]Table S6'!$A:$AI,8,FALSE)</f>
        <v>0.69099808469887203</v>
      </c>
      <c r="Q216">
        <f>VLOOKUP($I216,'[1]Table S6'!$A:$AI,9,FALSE)</f>
        <v>2.109</v>
      </c>
      <c r="R216" t="str">
        <f>VLOOKUP($I216,'[1]Table S6'!$A:$AI,10,FALSE)</f>
        <v>Yes</v>
      </c>
      <c r="T216">
        <f>VLOOKUP($I216,'[1]Table S6'!$A:$AI,12,FALSE)</f>
        <v>326.60000000000002</v>
      </c>
      <c r="U216">
        <f>VLOOKUP($I216,'[1]Table S6'!$A:$AI,13,FALSE)</f>
        <v>0.69504149819110495</v>
      </c>
      <c r="V216">
        <f>VLOOKUP($I216,'[1]Table S6'!$A:$AI,14,FALSE)</f>
        <v>2.3380000000000001</v>
      </c>
      <c r="W216" t="str">
        <f>VLOOKUP($I216,'[1]Table S6'!$A:$AI,15,FALSE)</f>
        <v>Yes</v>
      </c>
      <c r="Y216">
        <f>VLOOKUP($I216,'[1]Table S6'!$A:$AI,17,FALSE)</f>
        <v>321.5</v>
      </c>
      <c r="Z216">
        <f>VLOOKUP($I216,'[1]Table S6'!$A:$AI,18,FALSE)</f>
        <v>0.68418812513300697</v>
      </c>
      <c r="AA216">
        <f>VLOOKUP($I216,'[1]Table S6'!$A:$AI,19,FALSE)</f>
        <v>1.81</v>
      </c>
      <c r="AB216" t="str">
        <f>VLOOKUP($I216,'[1]Table S6'!$A:$AI,20,FALSE)</f>
        <v>Yes</v>
      </c>
      <c r="AD216">
        <f>VLOOKUP($I216,'[1]Table S6'!$A:$AI,22,FALSE)</f>
        <v>404.9</v>
      </c>
      <c r="AE216">
        <f>VLOOKUP($I216,'[1]Table S6'!$A:$AI,23,FALSE)</f>
        <v>0.86167269631836596</v>
      </c>
      <c r="AF216">
        <f>VLOOKUP($I216,'[1]Table S6'!$A:$AI,24,FALSE)</f>
        <v>36.71</v>
      </c>
      <c r="AG216" t="str">
        <f>VLOOKUP($I216,'[1]Table S6'!$A:$AI,25,FALSE)</f>
        <v>No</v>
      </c>
      <c r="AI216">
        <f>VLOOKUP($I216,'[1]Table S6'!$A:$AI,27,FALSE)</f>
        <v>413.1</v>
      </c>
      <c r="AJ216">
        <f>VLOOKUP($I216,'[1]Table S6'!$A:$AI,28,FALSE)</f>
        <v>0.87912321770589497</v>
      </c>
      <c r="AK216">
        <f>VLOOKUP($I216,'[1]Table S6'!$A:$AI,29,FALSE)</f>
        <v>58.85</v>
      </c>
      <c r="AL216" t="str">
        <f>VLOOKUP($I216,'[1]Table S6'!$A:$AI,30,FALSE)</f>
        <v>No</v>
      </c>
      <c r="AN216">
        <f>VLOOKUP($I216,'[1]Table S6'!$A:$AI,32,FALSE)</f>
        <v>411.3</v>
      </c>
      <c r="AO216">
        <f>VLOOKUP($I216,'[1]Table S6'!$A:$AI,33,FALSE)</f>
        <v>0.87529261545009596</v>
      </c>
      <c r="AP216">
        <f>VLOOKUP($I216,'[1]Table S6'!$A:$AI,34,FALSE)</f>
        <v>45.32</v>
      </c>
      <c r="AQ216" t="str">
        <f>VLOOKUP($I216,'[1]Table S6'!$A:$AI,35,FALSE)</f>
        <v>No</v>
      </c>
      <c r="AS216" t="e">
        <f>VLOOKUP($H216,'[2]Table S5'!$A:$K,8,FALSE)</f>
        <v>#N/A</v>
      </c>
      <c r="AT216" t="e">
        <f>VLOOKUP($H216,'[2]Table S5'!$A:$K,9,FALSE)</f>
        <v>#N/A</v>
      </c>
      <c r="AU216" t="e">
        <f>VLOOKUP($H216,'[2]Table S5'!$A:$K,10,FALSE)</f>
        <v>#N/A</v>
      </c>
      <c r="AV216" t="e">
        <f>VLOOKUP($H216,'[2]Table S5'!$A:$K,11,FALSE)</f>
        <v>#N/A</v>
      </c>
    </row>
    <row r="217" spans="1:48">
      <c r="A217" t="s">
        <v>1639</v>
      </c>
      <c r="B217" t="s">
        <v>1640</v>
      </c>
      <c r="C217" t="s">
        <v>17</v>
      </c>
      <c r="D217" t="s">
        <v>1642</v>
      </c>
      <c r="E217" t="s">
        <v>1643</v>
      </c>
      <c r="F217" t="s">
        <v>1644</v>
      </c>
      <c r="G217" t="s">
        <v>4751</v>
      </c>
      <c r="H217" t="s">
        <v>1629</v>
      </c>
      <c r="I217" t="s">
        <v>1630</v>
      </c>
      <c r="J217">
        <f>VLOOKUP($I217,'[1]Table S6'!$A:$AI,2,FALSE)</f>
        <v>395.6</v>
      </c>
      <c r="K217">
        <f>VLOOKUP($I217,'[1]Table S6'!$A:$AI,3,FALSE)</f>
        <v>0.84188125133006997</v>
      </c>
      <c r="L217">
        <f>VLOOKUP($I217,'[1]Table S6'!$A:$AI,4,FALSE)</f>
        <v>19.91</v>
      </c>
      <c r="M217" t="str">
        <f>VLOOKUP($I217,'[1]Table S6'!$A:$AI,5,FALSE)</f>
        <v>No</v>
      </c>
      <c r="O217">
        <f>VLOOKUP($I217,'[1]Table S6'!$A:$AI,7,FALSE)</f>
        <v>324.7</v>
      </c>
      <c r="P217">
        <f>VLOOKUP($I217,'[1]Table S6'!$A:$AI,8,FALSE)</f>
        <v>0.69099808469887203</v>
      </c>
      <c r="Q217">
        <f>VLOOKUP($I217,'[1]Table S6'!$A:$AI,9,FALSE)</f>
        <v>2.109</v>
      </c>
      <c r="R217" t="str">
        <f>VLOOKUP($I217,'[1]Table S6'!$A:$AI,10,FALSE)</f>
        <v>Yes</v>
      </c>
      <c r="T217">
        <f>VLOOKUP($I217,'[1]Table S6'!$A:$AI,12,FALSE)</f>
        <v>326.60000000000002</v>
      </c>
      <c r="U217">
        <f>VLOOKUP($I217,'[1]Table S6'!$A:$AI,13,FALSE)</f>
        <v>0.69504149819110495</v>
      </c>
      <c r="V217">
        <f>VLOOKUP($I217,'[1]Table S6'!$A:$AI,14,FALSE)</f>
        <v>2.3380000000000001</v>
      </c>
      <c r="W217" t="str">
        <f>VLOOKUP($I217,'[1]Table S6'!$A:$AI,15,FALSE)</f>
        <v>Yes</v>
      </c>
      <c r="Y217">
        <f>VLOOKUP($I217,'[1]Table S6'!$A:$AI,17,FALSE)</f>
        <v>321.5</v>
      </c>
      <c r="Z217">
        <f>VLOOKUP($I217,'[1]Table S6'!$A:$AI,18,FALSE)</f>
        <v>0.68418812513300697</v>
      </c>
      <c r="AA217">
        <f>VLOOKUP($I217,'[1]Table S6'!$A:$AI,19,FALSE)</f>
        <v>1.81</v>
      </c>
      <c r="AB217" t="str">
        <f>VLOOKUP($I217,'[1]Table S6'!$A:$AI,20,FALSE)</f>
        <v>Yes</v>
      </c>
      <c r="AD217">
        <f>VLOOKUP($I217,'[1]Table S6'!$A:$AI,22,FALSE)</f>
        <v>404.9</v>
      </c>
      <c r="AE217">
        <f>VLOOKUP($I217,'[1]Table S6'!$A:$AI,23,FALSE)</f>
        <v>0.86167269631836596</v>
      </c>
      <c r="AF217">
        <f>VLOOKUP($I217,'[1]Table S6'!$A:$AI,24,FALSE)</f>
        <v>36.71</v>
      </c>
      <c r="AG217" t="str">
        <f>VLOOKUP($I217,'[1]Table S6'!$A:$AI,25,FALSE)</f>
        <v>No</v>
      </c>
      <c r="AI217">
        <f>VLOOKUP($I217,'[1]Table S6'!$A:$AI,27,FALSE)</f>
        <v>413.1</v>
      </c>
      <c r="AJ217">
        <f>VLOOKUP($I217,'[1]Table S6'!$A:$AI,28,FALSE)</f>
        <v>0.87912321770589497</v>
      </c>
      <c r="AK217">
        <f>VLOOKUP($I217,'[1]Table S6'!$A:$AI,29,FALSE)</f>
        <v>58.85</v>
      </c>
      <c r="AL217" t="str">
        <f>VLOOKUP($I217,'[1]Table S6'!$A:$AI,30,FALSE)</f>
        <v>No</v>
      </c>
      <c r="AN217">
        <f>VLOOKUP($I217,'[1]Table S6'!$A:$AI,32,FALSE)</f>
        <v>411.3</v>
      </c>
      <c r="AO217">
        <f>VLOOKUP($I217,'[1]Table S6'!$A:$AI,33,FALSE)</f>
        <v>0.87529261545009596</v>
      </c>
      <c r="AP217">
        <f>VLOOKUP($I217,'[1]Table S6'!$A:$AI,34,FALSE)</f>
        <v>45.32</v>
      </c>
      <c r="AQ217" t="str">
        <f>VLOOKUP($I217,'[1]Table S6'!$A:$AI,35,FALSE)</f>
        <v>No</v>
      </c>
      <c r="AS217" t="e">
        <f>VLOOKUP($H217,'[2]Table S5'!$A:$K,8,FALSE)</f>
        <v>#N/A</v>
      </c>
      <c r="AT217" t="e">
        <f>VLOOKUP($H217,'[2]Table S5'!$A:$K,9,FALSE)</f>
        <v>#N/A</v>
      </c>
      <c r="AU217" t="e">
        <f>VLOOKUP($H217,'[2]Table S5'!$A:$K,10,FALSE)</f>
        <v>#N/A</v>
      </c>
      <c r="AV217" t="e">
        <f>VLOOKUP($H217,'[2]Table S5'!$A:$K,11,FALSE)</f>
        <v>#N/A</v>
      </c>
    </row>
    <row r="218" spans="1:48">
      <c r="A218" t="s">
        <v>1646</v>
      </c>
      <c r="B218" t="s">
        <v>1647</v>
      </c>
      <c r="C218" t="s">
        <v>17</v>
      </c>
      <c r="D218" t="s">
        <v>1649</v>
      </c>
      <c r="E218" t="s">
        <v>1650</v>
      </c>
      <c r="F218" t="s">
        <v>1651</v>
      </c>
      <c r="G218" t="s">
        <v>4754</v>
      </c>
      <c r="H218" t="s">
        <v>1629</v>
      </c>
      <c r="I218" t="s">
        <v>1652</v>
      </c>
      <c r="J218">
        <f>VLOOKUP($I218,'[1]Table S6'!$A:$AI,2,FALSE)</f>
        <v>397</v>
      </c>
      <c r="K218">
        <f>VLOOKUP($I218,'[1]Table S6'!$A:$AI,3,FALSE)</f>
        <v>0.84486060864013601</v>
      </c>
      <c r="L218">
        <f>VLOOKUP($I218,'[1]Table S6'!$A:$AI,4,FALSE)</f>
        <v>23.04</v>
      </c>
      <c r="M218" t="str">
        <f>VLOOKUP($I218,'[1]Table S6'!$A:$AI,5,FALSE)</f>
        <v>No</v>
      </c>
      <c r="O218">
        <f>VLOOKUP($I218,'[1]Table S6'!$A:$AI,7,FALSE)</f>
        <v>393.4</v>
      </c>
      <c r="P218">
        <f>VLOOKUP($I218,'[1]Table S6'!$A:$AI,8,FALSE)</f>
        <v>0.83719940412853799</v>
      </c>
      <c r="Q218">
        <f>VLOOKUP($I218,'[1]Table S6'!$A:$AI,9,FALSE)</f>
        <v>20.97</v>
      </c>
      <c r="R218" t="str">
        <f>VLOOKUP($I218,'[1]Table S6'!$A:$AI,10,FALSE)</f>
        <v>No</v>
      </c>
      <c r="T218">
        <f>VLOOKUP($I218,'[1]Table S6'!$A:$AI,12,FALSE)</f>
        <v>388.3</v>
      </c>
      <c r="U218">
        <f>VLOOKUP($I218,'[1]Table S6'!$A:$AI,13,FALSE)</f>
        <v>0.82634603107044102</v>
      </c>
      <c r="V218">
        <f>VLOOKUP($I218,'[1]Table S6'!$A:$AI,14,FALSE)</f>
        <v>15.9</v>
      </c>
      <c r="W218" t="str">
        <f>VLOOKUP($I218,'[1]Table S6'!$A:$AI,15,FALSE)</f>
        <v>No</v>
      </c>
      <c r="Y218">
        <f>VLOOKUP($I218,'[1]Table S6'!$A:$AI,17,FALSE)</f>
        <v>379.9</v>
      </c>
      <c r="Z218">
        <f>VLOOKUP($I218,'[1]Table S6'!$A:$AI,18,FALSE)</f>
        <v>0.80846988721004498</v>
      </c>
      <c r="AA218">
        <f>VLOOKUP($I218,'[1]Table S6'!$A:$AI,19,FALSE)</f>
        <v>14.56</v>
      </c>
      <c r="AB218" t="str">
        <f>VLOOKUP($I218,'[1]Table S6'!$A:$AI,20,FALSE)</f>
        <v>No</v>
      </c>
      <c r="AD218">
        <f>VLOOKUP($I218,'[1]Table S6'!$A:$AI,22,FALSE)</f>
        <v>411</v>
      </c>
      <c r="AE218">
        <f>VLOOKUP($I218,'[1]Table S6'!$A:$AI,23,FALSE)</f>
        <v>0.87465418174079601</v>
      </c>
      <c r="AF218">
        <f>VLOOKUP($I218,'[1]Table S6'!$A:$AI,24,FALSE)</f>
        <v>49.34</v>
      </c>
      <c r="AG218" t="str">
        <f>VLOOKUP($I218,'[1]Table S6'!$A:$AI,25,FALSE)</f>
        <v>No</v>
      </c>
      <c r="AI218">
        <f>VLOOKUP($I218,'[1]Table S6'!$A:$AI,27,FALSE)</f>
        <v>417.5</v>
      </c>
      <c r="AJ218">
        <f>VLOOKUP($I218,'[1]Table S6'!$A:$AI,28,FALSE)</f>
        <v>0.88848691210895903</v>
      </c>
      <c r="AK218">
        <f>VLOOKUP($I218,'[1]Table S6'!$A:$AI,29,FALSE)</f>
        <v>63.33</v>
      </c>
      <c r="AL218" t="str">
        <f>VLOOKUP($I218,'[1]Table S6'!$A:$AI,30,FALSE)</f>
        <v>No</v>
      </c>
      <c r="AN218">
        <f>VLOOKUP($I218,'[1]Table S6'!$A:$AI,32,FALSE)</f>
        <v>385.4</v>
      </c>
      <c r="AO218">
        <f>VLOOKUP($I218,'[1]Table S6'!$A:$AI,33,FALSE)</f>
        <v>0.82017450521387503</v>
      </c>
      <c r="AP218">
        <f>VLOOKUP($I218,'[1]Table S6'!$A:$AI,34,FALSE)</f>
        <v>17.11</v>
      </c>
      <c r="AQ218" t="str">
        <f>VLOOKUP($I218,'[1]Table S6'!$A:$AI,35,FALSE)</f>
        <v>No</v>
      </c>
      <c r="AS218" t="e">
        <f>VLOOKUP($H218,'[2]Table S5'!$A:$K,8,FALSE)</f>
        <v>#N/A</v>
      </c>
      <c r="AT218" t="e">
        <f>VLOOKUP($H218,'[2]Table S5'!$A:$K,9,FALSE)</f>
        <v>#N/A</v>
      </c>
      <c r="AU218" t="e">
        <f>VLOOKUP($H218,'[2]Table S5'!$A:$K,10,FALSE)</f>
        <v>#N/A</v>
      </c>
      <c r="AV218" t="e">
        <f>VLOOKUP($H218,'[2]Table S5'!$A:$K,11,FALSE)</f>
        <v>#N/A</v>
      </c>
    </row>
    <row r="219" spans="1:48">
      <c r="A219" t="s">
        <v>1654</v>
      </c>
      <c r="B219" t="s">
        <v>1655</v>
      </c>
      <c r="C219" t="s">
        <v>17</v>
      </c>
      <c r="D219" t="s">
        <v>1657</v>
      </c>
      <c r="E219" t="s">
        <v>1658</v>
      </c>
      <c r="F219" t="s">
        <v>1659</v>
      </c>
      <c r="G219" t="s">
        <v>4755</v>
      </c>
      <c r="H219" t="s">
        <v>1629</v>
      </c>
      <c r="I219" t="s">
        <v>1652</v>
      </c>
      <c r="J219">
        <f>VLOOKUP($I219,'[1]Table S6'!$A:$AI,2,FALSE)</f>
        <v>397</v>
      </c>
      <c r="K219">
        <f>VLOOKUP($I219,'[1]Table S6'!$A:$AI,3,FALSE)</f>
        <v>0.84486060864013601</v>
      </c>
      <c r="L219">
        <f>VLOOKUP($I219,'[1]Table S6'!$A:$AI,4,FALSE)</f>
        <v>23.04</v>
      </c>
      <c r="M219" t="str">
        <f>VLOOKUP($I219,'[1]Table S6'!$A:$AI,5,FALSE)</f>
        <v>No</v>
      </c>
      <c r="O219">
        <f>VLOOKUP($I219,'[1]Table S6'!$A:$AI,7,FALSE)</f>
        <v>393.4</v>
      </c>
      <c r="P219">
        <f>VLOOKUP($I219,'[1]Table S6'!$A:$AI,8,FALSE)</f>
        <v>0.83719940412853799</v>
      </c>
      <c r="Q219">
        <f>VLOOKUP($I219,'[1]Table S6'!$A:$AI,9,FALSE)</f>
        <v>20.97</v>
      </c>
      <c r="R219" t="str">
        <f>VLOOKUP($I219,'[1]Table S6'!$A:$AI,10,FALSE)</f>
        <v>No</v>
      </c>
      <c r="T219">
        <f>VLOOKUP($I219,'[1]Table S6'!$A:$AI,12,FALSE)</f>
        <v>388.3</v>
      </c>
      <c r="U219">
        <f>VLOOKUP($I219,'[1]Table S6'!$A:$AI,13,FALSE)</f>
        <v>0.82634603107044102</v>
      </c>
      <c r="V219">
        <f>VLOOKUP($I219,'[1]Table S6'!$A:$AI,14,FALSE)</f>
        <v>15.9</v>
      </c>
      <c r="W219" t="str">
        <f>VLOOKUP($I219,'[1]Table S6'!$A:$AI,15,FALSE)</f>
        <v>No</v>
      </c>
      <c r="Y219">
        <f>VLOOKUP($I219,'[1]Table S6'!$A:$AI,17,FALSE)</f>
        <v>379.9</v>
      </c>
      <c r="Z219">
        <f>VLOOKUP($I219,'[1]Table S6'!$A:$AI,18,FALSE)</f>
        <v>0.80846988721004498</v>
      </c>
      <c r="AA219">
        <f>VLOOKUP($I219,'[1]Table S6'!$A:$AI,19,FALSE)</f>
        <v>14.56</v>
      </c>
      <c r="AB219" t="str">
        <f>VLOOKUP($I219,'[1]Table S6'!$A:$AI,20,FALSE)</f>
        <v>No</v>
      </c>
      <c r="AD219">
        <f>VLOOKUP($I219,'[1]Table S6'!$A:$AI,22,FALSE)</f>
        <v>411</v>
      </c>
      <c r="AE219">
        <f>VLOOKUP($I219,'[1]Table S6'!$A:$AI,23,FALSE)</f>
        <v>0.87465418174079601</v>
      </c>
      <c r="AF219">
        <f>VLOOKUP($I219,'[1]Table S6'!$A:$AI,24,FALSE)</f>
        <v>49.34</v>
      </c>
      <c r="AG219" t="str">
        <f>VLOOKUP($I219,'[1]Table S6'!$A:$AI,25,FALSE)</f>
        <v>No</v>
      </c>
      <c r="AI219">
        <f>VLOOKUP($I219,'[1]Table S6'!$A:$AI,27,FALSE)</f>
        <v>417.5</v>
      </c>
      <c r="AJ219">
        <f>VLOOKUP($I219,'[1]Table S6'!$A:$AI,28,FALSE)</f>
        <v>0.88848691210895903</v>
      </c>
      <c r="AK219">
        <f>VLOOKUP($I219,'[1]Table S6'!$A:$AI,29,FALSE)</f>
        <v>63.33</v>
      </c>
      <c r="AL219" t="str">
        <f>VLOOKUP($I219,'[1]Table S6'!$A:$AI,30,FALSE)</f>
        <v>No</v>
      </c>
      <c r="AN219">
        <f>VLOOKUP($I219,'[1]Table S6'!$A:$AI,32,FALSE)</f>
        <v>385.4</v>
      </c>
      <c r="AO219">
        <f>VLOOKUP($I219,'[1]Table S6'!$A:$AI,33,FALSE)</f>
        <v>0.82017450521387503</v>
      </c>
      <c r="AP219">
        <f>VLOOKUP($I219,'[1]Table S6'!$A:$AI,34,FALSE)</f>
        <v>17.11</v>
      </c>
      <c r="AQ219" t="str">
        <f>VLOOKUP($I219,'[1]Table S6'!$A:$AI,35,FALSE)</f>
        <v>No</v>
      </c>
      <c r="AS219" t="e">
        <f>VLOOKUP($H219,'[2]Table S5'!$A:$K,8,FALSE)</f>
        <v>#N/A</v>
      </c>
      <c r="AT219" t="e">
        <f>VLOOKUP($H219,'[2]Table S5'!$A:$K,9,FALSE)</f>
        <v>#N/A</v>
      </c>
      <c r="AU219" t="e">
        <f>VLOOKUP($H219,'[2]Table S5'!$A:$K,10,FALSE)</f>
        <v>#N/A</v>
      </c>
      <c r="AV219" t="e">
        <f>VLOOKUP($H219,'[2]Table S5'!$A:$K,11,FALSE)</f>
        <v>#N/A</v>
      </c>
    </row>
    <row r="220" spans="1:48">
      <c r="A220" t="s">
        <v>1661</v>
      </c>
      <c r="B220" t="s">
        <v>1662</v>
      </c>
      <c r="C220" t="s">
        <v>17</v>
      </c>
      <c r="D220" t="s">
        <v>1664</v>
      </c>
      <c r="E220" t="s">
        <v>1665</v>
      </c>
      <c r="F220" t="s">
        <v>1666</v>
      </c>
      <c r="G220" t="s">
        <v>4751</v>
      </c>
      <c r="H220" t="s">
        <v>1629</v>
      </c>
      <c r="I220" t="s">
        <v>1652</v>
      </c>
      <c r="J220">
        <f>VLOOKUP($I220,'[1]Table S6'!$A:$AI,2,FALSE)</f>
        <v>397</v>
      </c>
      <c r="K220">
        <f>VLOOKUP($I220,'[1]Table S6'!$A:$AI,3,FALSE)</f>
        <v>0.84486060864013601</v>
      </c>
      <c r="L220">
        <f>VLOOKUP($I220,'[1]Table S6'!$A:$AI,4,FALSE)</f>
        <v>23.04</v>
      </c>
      <c r="M220" t="str">
        <f>VLOOKUP($I220,'[1]Table S6'!$A:$AI,5,FALSE)</f>
        <v>No</v>
      </c>
      <c r="O220">
        <f>VLOOKUP($I220,'[1]Table S6'!$A:$AI,7,FALSE)</f>
        <v>393.4</v>
      </c>
      <c r="P220">
        <f>VLOOKUP($I220,'[1]Table S6'!$A:$AI,8,FALSE)</f>
        <v>0.83719940412853799</v>
      </c>
      <c r="Q220">
        <f>VLOOKUP($I220,'[1]Table S6'!$A:$AI,9,FALSE)</f>
        <v>20.97</v>
      </c>
      <c r="R220" t="str">
        <f>VLOOKUP($I220,'[1]Table S6'!$A:$AI,10,FALSE)</f>
        <v>No</v>
      </c>
      <c r="T220">
        <f>VLOOKUP($I220,'[1]Table S6'!$A:$AI,12,FALSE)</f>
        <v>388.3</v>
      </c>
      <c r="U220">
        <f>VLOOKUP($I220,'[1]Table S6'!$A:$AI,13,FALSE)</f>
        <v>0.82634603107044102</v>
      </c>
      <c r="V220">
        <f>VLOOKUP($I220,'[1]Table S6'!$A:$AI,14,FALSE)</f>
        <v>15.9</v>
      </c>
      <c r="W220" t="str">
        <f>VLOOKUP($I220,'[1]Table S6'!$A:$AI,15,FALSE)</f>
        <v>No</v>
      </c>
      <c r="Y220">
        <f>VLOOKUP($I220,'[1]Table S6'!$A:$AI,17,FALSE)</f>
        <v>379.9</v>
      </c>
      <c r="Z220">
        <f>VLOOKUP($I220,'[1]Table S6'!$A:$AI,18,FALSE)</f>
        <v>0.80846988721004498</v>
      </c>
      <c r="AA220">
        <f>VLOOKUP($I220,'[1]Table S6'!$A:$AI,19,FALSE)</f>
        <v>14.56</v>
      </c>
      <c r="AB220" t="str">
        <f>VLOOKUP($I220,'[1]Table S6'!$A:$AI,20,FALSE)</f>
        <v>No</v>
      </c>
      <c r="AD220">
        <f>VLOOKUP($I220,'[1]Table S6'!$A:$AI,22,FALSE)</f>
        <v>411</v>
      </c>
      <c r="AE220">
        <f>VLOOKUP($I220,'[1]Table S6'!$A:$AI,23,FALSE)</f>
        <v>0.87465418174079601</v>
      </c>
      <c r="AF220">
        <f>VLOOKUP($I220,'[1]Table S6'!$A:$AI,24,FALSE)</f>
        <v>49.34</v>
      </c>
      <c r="AG220" t="str">
        <f>VLOOKUP($I220,'[1]Table S6'!$A:$AI,25,FALSE)</f>
        <v>No</v>
      </c>
      <c r="AI220">
        <f>VLOOKUP($I220,'[1]Table S6'!$A:$AI,27,FALSE)</f>
        <v>417.5</v>
      </c>
      <c r="AJ220">
        <f>VLOOKUP($I220,'[1]Table S6'!$A:$AI,28,FALSE)</f>
        <v>0.88848691210895903</v>
      </c>
      <c r="AK220">
        <f>VLOOKUP($I220,'[1]Table S6'!$A:$AI,29,FALSE)</f>
        <v>63.33</v>
      </c>
      <c r="AL220" t="str">
        <f>VLOOKUP($I220,'[1]Table S6'!$A:$AI,30,FALSE)</f>
        <v>No</v>
      </c>
      <c r="AN220">
        <f>VLOOKUP($I220,'[1]Table S6'!$A:$AI,32,FALSE)</f>
        <v>385.4</v>
      </c>
      <c r="AO220">
        <f>VLOOKUP($I220,'[1]Table S6'!$A:$AI,33,FALSE)</f>
        <v>0.82017450521387503</v>
      </c>
      <c r="AP220">
        <f>VLOOKUP($I220,'[1]Table S6'!$A:$AI,34,FALSE)</f>
        <v>17.11</v>
      </c>
      <c r="AQ220" t="str">
        <f>VLOOKUP($I220,'[1]Table S6'!$A:$AI,35,FALSE)</f>
        <v>No</v>
      </c>
      <c r="AS220" t="e">
        <f>VLOOKUP($H220,'[2]Table S5'!$A:$K,8,FALSE)</f>
        <v>#N/A</v>
      </c>
      <c r="AT220" t="e">
        <f>VLOOKUP($H220,'[2]Table S5'!$A:$K,9,FALSE)</f>
        <v>#N/A</v>
      </c>
      <c r="AU220" t="e">
        <f>VLOOKUP($H220,'[2]Table S5'!$A:$K,10,FALSE)</f>
        <v>#N/A</v>
      </c>
      <c r="AV220" t="e">
        <f>VLOOKUP($H220,'[2]Table S5'!$A:$K,11,FALSE)</f>
        <v>#N/A</v>
      </c>
    </row>
    <row r="221" spans="1:48">
      <c r="A221" t="s">
        <v>1668</v>
      </c>
      <c r="B221" t="s">
        <v>1669</v>
      </c>
      <c r="C221" t="s">
        <v>17</v>
      </c>
      <c r="D221" t="s">
        <v>1671</v>
      </c>
      <c r="E221" t="s">
        <v>1672</v>
      </c>
      <c r="F221" t="s">
        <v>1673</v>
      </c>
      <c r="G221" t="s">
        <v>4757</v>
      </c>
      <c r="H221" t="s">
        <v>1629</v>
      </c>
      <c r="I221" t="s">
        <v>1629</v>
      </c>
      <c r="J221" t="e">
        <f>VLOOKUP($I221,'[1]Table S6'!$A:$AI,2,FALSE)</f>
        <v>#N/A</v>
      </c>
      <c r="K221" t="e">
        <f>VLOOKUP($I221,'[1]Table S6'!$A:$AI,3,FALSE)</f>
        <v>#N/A</v>
      </c>
      <c r="L221" t="e">
        <f>VLOOKUP($I221,'[1]Table S6'!$A:$AI,4,FALSE)</f>
        <v>#N/A</v>
      </c>
      <c r="M221" t="e">
        <f>VLOOKUP($I221,'[1]Table S6'!$A:$AI,5,FALSE)</f>
        <v>#N/A</v>
      </c>
      <c r="O221" t="e">
        <f>VLOOKUP($I221,'[1]Table S6'!$A:$AI,7,FALSE)</f>
        <v>#N/A</v>
      </c>
      <c r="P221" t="e">
        <f>VLOOKUP($I221,'[1]Table S6'!$A:$AI,8,FALSE)</f>
        <v>#N/A</v>
      </c>
      <c r="Q221" t="e">
        <f>VLOOKUP($I221,'[1]Table S6'!$A:$AI,9,FALSE)</f>
        <v>#N/A</v>
      </c>
      <c r="R221" t="e">
        <f>VLOOKUP($I221,'[1]Table S6'!$A:$AI,10,FALSE)</f>
        <v>#N/A</v>
      </c>
      <c r="T221" t="e">
        <f>VLOOKUP($I221,'[1]Table S6'!$A:$AI,12,FALSE)</f>
        <v>#N/A</v>
      </c>
      <c r="U221" t="e">
        <f>VLOOKUP($I221,'[1]Table S6'!$A:$AI,13,FALSE)</f>
        <v>#N/A</v>
      </c>
      <c r="V221" t="e">
        <f>VLOOKUP($I221,'[1]Table S6'!$A:$AI,14,FALSE)</f>
        <v>#N/A</v>
      </c>
      <c r="W221" t="e">
        <f>VLOOKUP($I221,'[1]Table S6'!$A:$AI,15,FALSE)</f>
        <v>#N/A</v>
      </c>
      <c r="Y221" t="e">
        <f>VLOOKUP($I221,'[1]Table S6'!$A:$AI,17,FALSE)</f>
        <v>#N/A</v>
      </c>
      <c r="Z221" t="e">
        <f>VLOOKUP($I221,'[1]Table S6'!$A:$AI,18,FALSE)</f>
        <v>#N/A</v>
      </c>
      <c r="AA221" t="e">
        <f>VLOOKUP($I221,'[1]Table S6'!$A:$AI,19,FALSE)</f>
        <v>#N/A</v>
      </c>
      <c r="AB221" t="e">
        <f>VLOOKUP($I221,'[1]Table S6'!$A:$AI,20,FALSE)</f>
        <v>#N/A</v>
      </c>
      <c r="AD221" t="e">
        <f>VLOOKUP($I221,'[1]Table S6'!$A:$AI,22,FALSE)</f>
        <v>#N/A</v>
      </c>
      <c r="AE221" t="e">
        <f>VLOOKUP($I221,'[1]Table S6'!$A:$AI,23,FALSE)</f>
        <v>#N/A</v>
      </c>
      <c r="AF221" t="e">
        <f>VLOOKUP($I221,'[1]Table S6'!$A:$AI,24,FALSE)</f>
        <v>#N/A</v>
      </c>
      <c r="AG221" t="e">
        <f>VLOOKUP($I221,'[1]Table S6'!$A:$AI,25,FALSE)</f>
        <v>#N/A</v>
      </c>
      <c r="AI221" t="e">
        <f>VLOOKUP($I221,'[1]Table S6'!$A:$AI,27,FALSE)</f>
        <v>#N/A</v>
      </c>
      <c r="AJ221" t="e">
        <f>VLOOKUP($I221,'[1]Table S6'!$A:$AI,28,FALSE)</f>
        <v>#N/A</v>
      </c>
      <c r="AK221" t="e">
        <f>VLOOKUP($I221,'[1]Table S6'!$A:$AI,29,FALSE)</f>
        <v>#N/A</v>
      </c>
      <c r="AL221" t="e">
        <f>VLOOKUP($I221,'[1]Table S6'!$A:$AI,30,FALSE)</f>
        <v>#N/A</v>
      </c>
      <c r="AN221" t="e">
        <f>VLOOKUP($I221,'[1]Table S6'!$A:$AI,32,FALSE)</f>
        <v>#N/A</v>
      </c>
      <c r="AO221" t="e">
        <f>VLOOKUP($I221,'[1]Table S6'!$A:$AI,33,FALSE)</f>
        <v>#N/A</v>
      </c>
      <c r="AP221" t="e">
        <f>VLOOKUP($I221,'[1]Table S6'!$A:$AI,34,FALSE)</f>
        <v>#N/A</v>
      </c>
      <c r="AQ221" t="e">
        <f>VLOOKUP($I221,'[1]Table S6'!$A:$AI,35,FALSE)</f>
        <v>#N/A</v>
      </c>
      <c r="AS221" t="e">
        <f>VLOOKUP($H221,'[2]Table S5'!$A:$K,8,FALSE)</f>
        <v>#N/A</v>
      </c>
      <c r="AT221" t="e">
        <f>VLOOKUP($H221,'[2]Table S5'!$A:$K,9,FALSE)</f>
        <v>#N/A</v>
      </c>
      <c r="AU221" t="e">
        <f>VLOOKUP($H221,'[2]Table S5'!$A:$K,10,FALSE)</f>
        <v>#N/A</v>
      </c>
      <c r="AV221" t="e">
        <f>VLOOKUP($H221,'[2]Table S5'!$A:$K,11,FALSE)</f>
        <v>#N/A</v>
      </c>
    </row>
    <row r="222" spans="1:48">
      <c r="A222" t="s">
        <v>1675</v>
      </c>
      <c r="B222" t="s">
        <v>1676</v>
      </c>
      <c r="C222" t="s">
        <v>17</v>
      </c>
      <c r="D222" t="s">
        <v>1678</v>
      </c>
      <c r="E222" t="s">
        <v>1679</v>
      </c>
      <c r="F222" t="s">
        <v>1680</v>
      </c>
      <c r="G222" t="s">
        <v>4754</v>
      </c>
      <c r="H222" t="s">
        <v>1681</v>
      </c>
      <c r="I222" t="s">
        <v>1682</v>
      </c>
      <c r="J222">
        <f>VLOOKUP($I222,'[1]Table S6'!$A:$AI,2,FALSE)</f>
        <v>398.5</v>
      </c>
      <c r="K222">
        <f>VLOOKUP($I222,'[1]Table S6'!$A:$AI,3,FALSE)</f>
        <v>0.84805277718663596</v>
      </c>
      <c r="L222">
        <f>VLOOKUP($I222,'[1]Table S6'!$A:$AI,4,FALSE)</f>
        <v>24.52</v>
      </c>
      <c r="M222" t="str">
        <f>VLOOKUP($I222,'[1]Table S6'!$A:$AI,5,FALSE)</f>
        <v>No</v>
      </c>
      <c r="O222">
        <f>VLOOKUP($I222,'[1]Table S6'!$A:$AI,7,FALSE)</f>
        <v>361.9</v>
      </c>
      <c r="P222">
        <f>VLOOKUP($I222,'[1]Table S6'!$A:$AI,8,FALSE)</f>
        <v>0.770163864652054</v>
      </c>
      <c r="Q222">
        <f>VLOOKUP($I222,'[1]Table S6'!$A:$AI,9,FALSE)</f>
        <v>7.8929999999999998</v>
      </c>
      <c r="R222" t="str">
        <f>VLOOKUP($I222,'[1]Table S6'!$A:$AI,10,FALSE)</f>
        <v>No</v>
      </c>
      <c r="T222">
        <f>VLOOKUP($I222,'[1]Table S6'!$A:$AI,12,FALSE)</f>
        <v>397.2</v>
      </c>
      <c r="U222">
        <f>VLOOKUP($I222,'[1]Table S6'!$A:$AI,13,FALSE)</f>
        <v>0.84528623111300305</v>
      </c>
      <c r="V222">
        <f>VLOOKUP($I222,'[1]Table S6'!$A:$AI,14,FALSE)</f>
        <v>26.74</v>
      </c>
      <c r="W222" t="str">
        <f>VLOOKUP($I222,'[1]Table S6'!$A:$AI,15,FALSE)</f>
        <v>No</v>
      </c>
      <c r="Y222">
        <f>VLOOKUP($I222,'[1]Table S6'!$A:$AI,17,FALSE)</f>
        <v>397.4</v>
      </c>
      <c r="Z222">
        <f>VLOOKUP($I222,'[1]Table S6'!$A:$AI,18,FALSE)</f>
        <v>0.84571185358586898</v>
      </c>
      <c r="AA222">
        <f>VLOOKUP($I222,'[1]Table S6'!$A:$AI,19,FALSE)</f>
        <v>25.13</v>
      </c>
      <c r="AB222" t="str">
        <f>VLOOKUP($I222,'[1]Table S6'!$A:$AI,20,FALSE)</f>
        <v>No</v>
      </c>
      <c r="AD222">
        <f>VLOOKUP($I222,'[1]Table S6'!$A:$AI,22,FALSE)</f>
        <v>383.7</v>
      </c>
      <c r="AE222">
        <f>VLOOKUP($I222,'[1]Table S6'!$A:$AI,23,FALSE)</f>
        <v>0.81655671419450904</v>
      </c>
      <c r="AF222">
        <f>VLOOKUP($I222,'[1]Table S6'!$A:$AI,24,FALSE)</f>
        <v>15.65</v>
      </c>
      <c r="AG222" t="str">
        <f>VLOOKUP($I222,'[1]Table S6'!$A:$AI,25,FALSE)</f>
        <v>No</v>
      </c>
      <c r="AI222">
        <f>VLOOKUP($I222,'[1]Table S6'!$A:$AI,27,FALSE)</f>
        <v>405.1</v>
      </c>
      <c r="AJ222">
        <f>VLOOKUP($I222,'[1]Table S6'!$A:$AI,28,FALSE)</f>
        <v>0.862098318791232</v>
      </c>
      <c r="AK222">
        <f>VLOOKUP($I222,'[1]Table S6'!$A:$AI,29,FALSE)</f>
        <v>37.85</v>
      </c>
      <c r="AL222" t="str">
        <f>VLOOKUP($I222,'[1]Table S6'!$A:$AI,30,FALSE)</f>
        <v>No</v>
      </c>
      <c r="AN222">
        <f>VLOOKUP($I222,'[1]Table S6'!$A:$AI,32,FALSE)</f>
        <v>390.2</v>
      </c>
      <c r="AO222">
        <f>VLOOKUP($I222,'[1]Table S6'!$A:$AI,33,FALSE)</f>
        <v>0.83038944456267305</v>
      </c>
      <c r="AP222">
        <f>VLOOKUP($I222,'[1]Table S6'!$A:$AI,34,FALSE)</f>
        <v>17.93</v>
      </c>
      <c r="AQ222" t="str">
        <f>VLOOKUP($I222,'[1]Table S6'!$A:$AI,35,FALSE)</f>
        <v>No</v>
      </c>
      <c r="AS222" t="e">
        <f>VLOOKUP($H222,'[2]Table S5'!$A:$K,8,FALSE)</f>
        <v>#N/A</v>
      </c>
      <c r="AT222" t="e">
        <f>VLOOKUP($H222,'[2]Table S5'!$A:$K,9,FALSE)</f>
        <v>#N/A</v>
      </c>
      <c r="AU222" t="e">
        <f>VLOOKUP($H222,'[2]Table S5'!$A:$K,10,FALSE)</f>
        <v>#N/A</v>
      </c>
      <c r="AV222" t="e">
        <f>VLOOKUP($H222,'[2]Table S5'!$A:$K,11,FALSE)</f>
        <v>#N/A</v>
      </c>
    </row>
    <row r="223" spans="1:48">
      <c r="A223" t="s">
        <v>1684</v>
      </c>
      <c r="B223" t="s">
        <v>1685</v>
      </c>
      <c r="C223" t="s">
        <v>17</v>
      </c>
      <c r="D223" t="s">
        <v>1687</v>
      </c>
      <c r="E223" t="s">
        <v>1688</v>
      </c>
      <c r="F223" t="s">
        <v>1689</v>
      </c>
      <c r="G223" t="s">
        <v>4755</v>
      </c>
      <c r="H223" t="s">
        <v>1681</v>
      </c>
      <c r="I223" t="s">
        <v>1682</v>
      </c>
      <c r="J223">
        <f>VLOOKUP($I223,'[1]Table S6'!$A:$AI,2,FALSE)</f>
        <v>398.5</v>
      </c>
      <c r="K223">
        <f>VLOOKUP($I223,'[1]Table S6'!$A:$AI,3,FALSE)</f>
        <v>0.84805277718663596</v>
      </c>
      <c r="L223">
        <f>VLOOKUP($I223,'[1]Table S6'!$A:$AI,4,FALSE)</f>
        <v>24.52</v>
      </c>
      <c r="M223" t="str">
        <f>VLOOKUP($I223,'[1]Table S6'!$A:$AI,5,FALSE)</f>
        <v>No</v>
      </c>
      <c r="O223">
        <f>VLOOKUP($I223,'[1]Table S6'!$A:$AI,7,FALSE)</f>
        <v>361.9</v>
      </c>
      <c r="P223">
        <f>VLOOKUP($I223,'[1]Table S6'!$A:$AI,8,FALSE)</f>
        <v>0.770163864652054</v>
      </c>
      <c r="Q223">
        <f>VLOOKUP($I223,'[1]Table S6'!$A:$AI,9,FALSE)</f>
        <v>7.8929999999999998</v>
      </c>
      <c r="R223" t="str">
        <f>VLOOKUP($I223,'[1]Table S6'!$A:$AI,10,FALSE)</f>
        <v>No</v>
      </c>
      <c r="T223">
        <f>VLOOKUP($I223,'[1]Table S6'!$A:$AI,12,FALSE)</f>
        <v>397.2</v>
      </c>
      <c r="U223">
        <f>VLOOKUP($I223,'[1]Table S6'!$A:$AI,13,FALSE)</f>
        <v>0.84528623111300305</v>
      </c>
      <c r="V223">
        <f>VLOOKUP($I223,'[1]Table S6'!$A:$AI,14,FALSE)</f>
        <v>26.74</v>
      </c>
      <c r="W223" t="str">
        <f>VLOOKUP($I223,'[1]Table S6'!$A:$AI,15,FALSE)</f>
        <v>No</v>
      </c>
      <c r="Y223">
        <f>VLOOKUP($I223,'[1]Table S6'!$A:$AI,17,FALSE)</f>
        <v>397.4</v>
      </c>
      <c r="Z223">
        <f>VLOOKUP($I223,'[1]Table S6'!$A:$AI,18,FALSE)</f>
        <v>0.84571185358586898</v>
      </c>
      <c r="AA223">
        <f>VLOOKUP($I223,'[1]Table S6'!$A:$AI,19,FALSE)</f>
        <v>25.13</v>
      </c>
      <c r="AB223" t="str">
        <f>VLOOKUP($I223,'[1]Table S6'!$A:$AI,20,FALSE)</f>
        <v>No</v>
      </c>
      <c r="AD223">
        <f>VLOOKUP($I223,'[1]Table S6'!$A:$AI,22,FALSE)</f>
        <v>383.7</v>
      </c>
      <c r="AE223">
        <f>VLOOKUP($I223,'[1]Table S6'!$A:$AI,23,FALSE)</f>
        <v>0.81655671419450904</v>
      </c>
      <c r="AF223">
        <f>VLOOKUP($I223,'[1]Table S6'!$A:$AI,24,FALSE)</f>
        <v>15.65</v>
      </c>
      <c r="AG223" t="str">
        <f>VLOOKUP($I223,'[1]Table S6'!$A:$AI,25,FALSE)</f>
        <v>No</v>
      </c>
      <c r="AI223">
        <f>VLOOKUP($I223,'[1]Table S6'!$A:$AI,27,FALSE)</f>
        <v>405.1</v>
      </c>
      <c r="AJ223">
        <f>VLOOKUP($I223,'[1]Table S6'!$A:$AI,28,FALSE)</f>
        <v>0.862098318791232</v>
      </c>
      <c r="AK223">
        <f>VLOOKUP($I223,'[1]Table S6'!$A:$AI,29,FALSE)</f>
        <v>37.85</v>
      </c>
      <c r="AL223" t="str">
        <f>VLOOKUP($I223,'[1]Table S6'!$A:$AI,30,FALSE)</f>
        <v>No</v>
      </c>
      <c r="AN223">
        <f>VLOOKUP($I223,'[1]Table S6'!$A:$AI,32,FALSE)</f>
        <v>390.2</v>
      </c>
      <c r="AO223">
        <f>VLOOKUP($I223,'[1]Table S6'!$A:$AI,33,FALSE)</f>
        <v>0.83038944456267305</v>
      </c>
      <c r="AP223">
        <f>VLOOKUP($I223,'[1]Table S6'!$A:$AI,34,FALSE)</f>
        <v>17.93</v>
      </c>
      <c r="AQ223" t="str">
        <f>VLOOKUP($I223,'[1]Table S6'!$A:$AI,35,FALSE)</f>
        <v>No</v>
      </c>
      <c r="AS223" t="e">
        <f>VLOOKUP($H223,'[2]Table S5'!$A:$K,8,FALSE)</f>
        <v>#N/A</v>
      </c>
      <c r="AT223" t="e">
        <f>VLOOKUP($H223,'[2]Table S5'!$A:$K,9,FALSE)</f>
        <v>#N/A</v>
      </c>
      <c r="AU223" t="e">
        <f>VLOOKUP($H223,'[2]Table S5'!$A:$K,10,FALSE)</f>
        <v>#N/A</v>
      </c>
      <c r="AV223" t="e">
        <f>VLOOKUP($H223,'[2]Table S5'!$A:$K,11,FALSE)</f>
        <v>#N/A</v>
      </c>
    </row>
    <row r="224" spans="1:48">
      <c r="A224" t="s">
        <v>1691</v>
      </c>
      <c r="B224" t="s">
        <v>1692</v>
      </c>
      <c r="C224" t="s">
        <v>17</v>
      </c>
      <c r="D224" t="s">
        <v>1694</v>
      </c>
      <c r="E224" t="s">
        <v>1695</v>
      </c>
      <c r="F224" t="s">
        <v>1696</v>
      </c>
      <c r="G224" t="s">
        <v>4751</v>
      </c>
      <c r="H224" t="s">
        <v>1681</v>
      </c>
      <c r="I224" t="s">
        <v>1682</v>
      </c>
      <c r="J224">
        <f>VLOOKUP($I224,'[1]Table S6'!$A:$AI,2,FALSE)</f>
        <v>398.5</v>
      </c>
      <c r="K224">
        <f>VLOOKUP($I224,'[1]Table S6'!$A:$AI,3,FALSE)</f>
        <v>0.84805277718663596</v>
      </c>
      <c r="L224">
        <f>VLOOKUP($I224,'[1]Table S6'!$A:$AI,4,FALSE)</f>
        <v>24.52</v>
      </c>
      <c r="M224" t="str">
        <f>VLOOKUP($I224,'[1]Table S6'!$A:$AI,5,FALSE)</f>
        <v>No</v>
      </c>
      <c r="O224">
        <f>VLOOKUP($I224,'[1]Table S6'!$A:$AI,7,FALSE)</f>
        <v>361.9</v>
      </c>
      <c r="P224">
        <f>VLOOKUP($I224,'[1]Table S6'!$A:$AI,8,FALSE)</f>
        <v>0.770163864652054</v>
      </c>
      <c r="Q224">
        <f>VLOOKUP($I224,'[1]Table S6'!$A:$AI,9,FALSE)</f>
        <v>7.8929999999999998</v>
      </c>
      <c r="R224" t="str">
        <f>VLOOKUP($I224,'[1]Table S6'!$A:$AI,10,FALSE)</f>
        <v>No</v>
      </c>
      <c r="T224">
        <f>VLOOKUP($I224,'[1]Table S6'!$A:$AI,12,FALSE)</f>
        <v>397.2</v>
      </c>
      <c r="U224">
        <f>VLOOKUP($I224,'[1]Table S6'!$A:$AI,13,FALSE)</f>
        <v>0.84528623111300305</v>
      </c>
      <c r="V224">
        <f>VLOOKUP($I224,'[1]Table S6'!$A:$AI,14,FALSE)</f>
        <v>26.74</v>
      </c>
      <c r="W224" t="str">
        <f>VLOOKUP($I224,'[1]Table S6'!$A:$AI,15,FALSE)</f>
        <v>No</v>
      </c>
      <c r="Y224">
        <f>VLOOKUP($I224,'[1]Table S6'!$A:$AI,17,FALSE)</f>
        <v>397.4</v>
      </c>
      <c r="Z224">
        <f>VLOOKUP($I224,'[1]Table S6'!$A:$AI,18,FALSE)</f>
        <v>0.84571185358586898</v>
      </c>
      <c r="AA224">
        <f>VLOOKUP($I224,'[1]Table S6'!$A:$AI,19,FALSE)</f>
        <v>25.13</v>
      </c>
      <c r="AB224" t="str">
        <f>VLOOKUP($I224,'[1]Table S6'!$A:$AI,20,FALSE)</f>
        <v>No</v>
      </c>
      <c r="AD224">
        <f>VLOOKUP($I224,'[1]Table S6'!$A:$AI,22,FALSE)</f>
        <v>383.7</v>
      </c>
      <c r="AE224">
        <f>VLOOKUP($I224,'[1]Table S6'!$A:$AI,23,FALSE)</f>
        <v>0.81655671419450904</v>
      </c>
      <c r="AF224">
        <f>VLOOKUP($I224,'[1]Table S6'!$A:$AI,24,FALSE)</f>
        <v>15.65</v>
      </c>
      <c r="AG224" t="str">
        <f>VLOOKUP($I224,'[1]Table S6'!$A:$AI,25,FALSE)</f>
        <v>No</v>
      </c>
      <c r="AI224">
        <f>VLOOKUP($I224,'[1]Table S6'!$A:$AI,27,FALSE)</f>
        <v>405.1</v>
      </c>
      <c r="AJ224">
        <f>VLOOKUP($I224,'[1]Table S6'!$A:$AI,28,FALSE)</f>
        <v>0.862098318791232</v>
      </c>
      <c r="AK224">
        <f>VLOOKUP($I224,'[1]Table S6'!$A:$AI,29,FALSE)</f>
        <v>37.85</v>
      </c>
      <c r="AL224" t="str">
        <f>VLOOKUP($I224,'[1]Table S6'!$A:$AI,30,FALSE)</f>
        <v>No</v>
      </c>
      <c r="AN224">
        <f>VLOOKUP($I224,'[1]Table S6'!$A:$AI,32,FALSE)</f>
        <v>390.2</v>
      </c>
      <c r="AO224">
        <f>VLOOKUP($I224,'[1]Table S6'!$A:$AI,33,FALSE)</f>
        <v>0.83038944456267305</v>
      </c>
      <c r="AP224">
        <f>VLOOKUP($I224,'[1]Table S6'!$A:$AI,34,FALSE)</f>
        <v>17.93</v>
      </c>
      <c r="AQ224" t="str">
        <f>VLOOKUP($I224,'[1]Table S6'!$A:$AI,35,FALSE)</f>
        <v>No</v>
      </c>
      <c r="AS224" t="e">
        <f>VLOOKUP($H224,'[2]Table S5'!$A:$K,8,FALSE)</f>
        <v>#N/A</v>
      </c>
      <c r="AT224" t="e">
        <f>VLOOKUP($H224,'[2]Table S5'!$A:$K,9,FALSE)</f>
        <v>#N/A</v>
      </c>
      <c r="AU224" t="e">
        <f>VLOOKUP($H224,'[2]Table S5'!$A:$K,10,FALSE)</f>
        <v>#N/A</v>
      </c>
      <c r="AV224" t="e">
        <f>VLOOKUP($H224,'[2]Table S5'!$A:$K,11,FALSE)</f>
        <v>#N/A</v>
      </c>
    </row>
    <row r="225" spans="1:48">
      <c r="A225" t="s">
        <v>1698</v>
      </c>
      <c r="B225" t="s">
        <v>1699</v>
      </c>
      <c r="C225" t="s">
        <v>17</v>
      </c>
      <c r="D225" t="s">
        <v>1701</v>
      </c>
      <c r="E225" t="s">
        <v>1702</v>
      </c>
      <c r="F225" t="s">
        <v>1703</v>
      </c>
      <c r="G225" t="s">
        <v>4757</v>
      </c>
      <c r="H225" t="s">
        <v>1681</v>
      </c>
      <c r="I225" t="s">
        <v>1681</v>
      </c>
      <c r="J225" t="e">
        <f>VLOOKUP($I225,'[1]Table S6'!$A:$AI,2,FALSE)</f>
        <v>#N/A</v>
      </c>
      <c r="K225" t="e">
        <f>VLOOKUP($I225,'[1]Table S6'!$A:$AI,3,FALSE)</f>
        <v>#N/A</v>
      </c>
      <c r="L225" t="e">
        <f>VLOOKUP($I225,'[1]Table S6'!$A:$AI,4,FALSE)</f>
        <v>#N/A</v>
      </c>
      <c r="M225" t="e">
        <f>VLOOKUP($I225,'[1]Table S6'!$A:$AI,5,FALSE)</f>
        <v>#N/A</v>
      </c>
      <c r="O225" t="e">
        <f>VLOOKUP($I225,'[1]Table S6'!$A:$AI,7,FALSE)</f>
        <v>#N/A</v>
      </c>
      <c r="P225" t="e">
        <f>VLOOKUP($I225,'[1]Table S6'!$A:$AI,8,FALSE)</f>
        <v>#N/A</v>
      </c>
      <c r="Q225" t="e">
        <f>VLOOKUP($I225,'[1]Table S6'!$A:$AI,9,FALSE)</f>
        <v>#N/A</v>
      </c>
      <c r="R225" t="e">
        <f>VLOOKUP($I225,'[1]Table S6'!$A:$AI,10,FALSE)</f>
        <v>#N/A</v>
      </c>
      <c r="T225" t="e">
        <f>VLOOKUP($I225,'[1]Table S6'!$A:$AI,12,FALSE)</f>
        <v>#N/A</v>
      </c>
      <c r="U225" t="e">
        <f>VLOOKUP($I225,'[1]Table S6'!$A:$AI,13,FALSE)</f>
        <v>#N/A</v>
      </c>
      <c r="V225" t="e">
        <f>VLOOKUP($I225,'[1]Table S6'!$A:$AI,14,FALSE)</f>
        <v>#N/A</v>
      </c>
      <c r="W225" t="e">
        <f>VLOOKUP($I225,'[1]Table S6'!$A:$AI,15,FALSE)</f>
        <v>#N/A</v>
      </c>
      <c r="Y225" t="e">
        <f>VLOOKUP($I225,'[1]Table S6'!$A:$AI,17,FALSE)</f>
        <v>#N/A</v>
      </c>
      <c r="Z225" t="e">
        <f>VLOOKUP($I225,'[1]Table S6'!$A:$AI,18,FALSE)</f>
        <v>#N/A</v>
      </c>
      <c r="AA225" t="e">
        <f>VLOOKUP($I225,'[1]Table S6'!$A:$AI,19,FALSE)</f>
        <v>#N/A</v>
      </c>
      <c r="AB225" t="e">
        <f>VLOOKUP($I225,'[1]Table S6'!$A:$AI,20,FALSE)</f>
        <v>#N/A</v>
      </c>
      <c r="AD225" t="e">
        <f>VLOOKUP($I225,'[1]Table S6'!$A:$AI,22,FALSE)</f>
        <v>#N/A</v>
      </c>
      <c r="AE225" t="e">
        <f>VLOOKUP($I225,'[1]Table S6'!$A:$AI,23,FALSE)</f>
        <v>#N/A</v>
      </c>
      <c r="AF225" t="e">
        <f>VLOOKUP($I225,'[1]Table S6'!$A:$AI,24,FALSE)</f>
        <v>#N/A</v>
      </c>
      <c r="AG225" t="e">
        <f>VLOOKUP($I225,'[1]Table S6'!$A:$AI,25,FALSE)</f>
        <v>#N/A</v>
      </c>
      <c r="AI225" t="e">
        <f>VLOOKUP($I225,'[1]Table S6'!$A:$AI,27,FALSE)</f>
        <v>#N/A</v>
      </c>
      <c r="AJ225" t="e">
        <f>VLOOKUP($I225,'[1]Table S6'!$A:$AI,28,FALSE)</f>
        <v>#N/A</v>
      </c>
      <c r="AK225" t="e">
        <f>VLOOKUP($I225,'[1]Table S6'!$A:$AI,29,FALSE)</f>
        <v>#N/A</v>
      </c>
      <c r="AL225" t="e">
        <f>VLOOKUP($I225,'[1]Table S6'!$A:$AI,30,FALSE)</f>
        <v>#N/A</v>
      </c>
      <c r="AN225" t="e">
        <f>VLOOKUP($I225,'[1]Table S6'!$A:$AI,32,FALSE)</f>
        <v>#N/A</v>
      </c>
      <c r="AO225" t="e">
        <f>VLOOKUP($I225,'[1]Table S6'!$A:$AI,33,FALSE)</f>
        <v>#N/A</v>
      </c>
      <c r="AP225" t="e">
        <f>VLOOKUP($I225,'[1]Table S6'!$A:$AI,34,FALSE)</f>
        <v>#N/A</v>
      </c>
      <c r="AQ225" t="e">
        <f>VLOOKUP($I225,'[1]Table S6'!$A:$AI,35,FALSE)</f>
        <v>#N/A</v>
      </c>
      <c r="AS225" t="e">
        <f>VLOOKUP($H225,'[2]Table S5'!$A:$K,8,FALSE)</f>
        <v>#N/A</v>
      </c>
      <c r="AT225" t="e">
        <f>VLOOKUP($H225,'[2]Table S5'!$A:$K,9,FALSE)</f>
        <v>#N/A</v>
      </c>
      <c r="AU225" t="e">
        <f>VLOOKUP($H225,'[2]Table S5'!$A:$K,10,FALSE)</f>
        <v>#N/A</v>
      </c>
      <c r="AV225" t="e">
        <f>VLOOKUP($H225,'[2]Table S5'!$A:$K,11,FALSE)</f>
        <v>#N/A</v>
      </c>
    </row>
    <row r="226" spans="1:48">
      <c r="A226" t="s">
        <v>1705</v>
      </c>
      <c r="B226" t="s">
        <v>1706</v>
      </c>
      <c r="C226" t="s">
        <v>17</v>
      </c>
      <c r="D226" t="s">
        <v>1708</v>
      </c>
      <c r="E226" t="s">
        <v>1709</v>
      </c>
      <c r="F226" t="s">
        <v>1710</v>
      </c>
      <c r="G226" t="s">
        <v>4754</v>
      </c>
      <c r="H226" t="s">
        <v>1711</v>
      </c>
      <c r="I226" t="s">
        <v>1712</v>
      </c>
      <c r="J226">
        <f>VLOOKUP($I226,'[1]Table S6'!$A:$AI,2,FALSE)</f>
        <v>379.3</v>
      </c>
      <c r="K226">
        <f>VLOOKUP($I226,'[1]Table S6'!$A:$AI,3,FALSE)</f>
        <v>0.80719301979144498</v>
      </c>
      <c r="L226">
        <f>VLOOKUP($I226,'[1]Table S6'!$A:$AI,4,FALSE)</f>
        <v>13.15</v>
      </c>
      <c r="M226" t="str">
        <f>VLOOKUP($I226,'[1]Table S6'!$A:$AI,5,FALSE)</f>
        <v>No</v>
      </c>
      <c r="O226">
        <f>VLOOKUP($I226,'[1]Table S6'!$A:$AI,7,FALSE)</f>
        <v>400.4</v>
      </c>
      <c r="P226">
        <f>VLOOKUP($I226,'[1]Table S6'!$A:$AI,8,FALSE)</f>
        <v>0.85209619067886799</v>
      </c>
      <c r="Q226">
        <f>VLOOKUP($I226,'[1]Table S6'!$A:$AI,9,FALSE)</f>
        <v>28.42</v>
      </c>
      <c r="R226" t="str">
        <f>VLOOKUP($I226,'[1]Table S6'!$A:$AI,10,FALSE)</f>
        <v>No</v>
      </c>
      <c r="T226">
        <f>VLOOKUP($I226,'[1]Table S6'!$A:$AI,12,FALSE)</f>
        <v>408.9</v>
      </c>
      <c r="U226">
        <f>VLOOKUP($I226,'[1]Table S6'!$A:$AI,13,FALSE)</f>
        <v>0.87018514577569706</v>
      </c>
      <c r="V226">
        <f>VLOOKUP($I226,'[1]Table S6'!$A:$AI,14,FALSE)</f>
        <v>33.5</v>
      </c>
      <c r="W226" t="str">
        <f>VLOOKUP($I226,'[1]Table S6'!$A:$AI,15,FALSE)</f>
        <v>No</v>
      </c>
      <c r="Y226">
        <f>VLOOKUP($I226,'[1]Table S6'!$A:$AI,17,FALSE)</f>
        <v>376.9</v>
      </c>
      <c r="Z226">
        <f>VLOOKUP($I226,'[1]Table S6'!$A:$AI,18,FALSE)</f>
        <v>0.80208555011704596</v>
      </c>
      <c r="AA226">
        <f>VLOOKUP($I226,'[1]Table S6'!$A:$AI,19,FALSE)</f>
        <v>12.58</v>
      </c>
      <c r="AB226" t="str">
        <f>VLOOKUP($I226,'[1]Table S6'!$A:$AI,20,FALSE)</f>
        <v>No</v>
      </c>
      <c r="AD226">
        <f>VLOOKUP($I226,'[1]Table S6'!$A:$AI,22,FALSE)</f>
        <v>388.6</v>
      </c>
      <c r="AE226">
        <f>VLOOKUP($I226,'[1]Table S6'!$A:$AI,23,FALSE)</f>
        <v>0.82698446477973997</v>
      </c>
      <c r="AF226">
        <f>VLOOKUP($I226,'[1]Table S6'!$A:$AI,24,FALSE)</f>
        <v>18.55</v>
      </c>
      <c r="AG226" t="str">
        <f>VLOOKUP($I226,'[1]Table S6'!$A:$AI,25,FALSE)</f>
        <v>No</v>
      </c>
      <c r="AI226">
        <f>VLOOKUP($I226,'[1]Table S6'!$A:$AI,27,FALSE)</f>
        <v>392.5</v>
      </c>
      <c r="AJ226">
        <f>VLOOKUP($I226,'[1]Table S6'!$A:$AI,28,FALSE)</f>
        <v>0.83528410300063805</v>
      </c>
      <c r="AK226">
        <f>VLOOKUP($I226,'[1]Table S6'!$A:$AI,29,FALSE)</f>
        <v>21.55</v>
      </c>
      <c r="AL226" t="str">
        <f>VLOOKUP($I226,'[1]Table S6'!$A:$AI,30,FALSE)</f>
        <v>No</v>
      </c>
      <c r="AN226">
        <f>VLOOKUP($I226,'[1]Table S6'!$A:$AI,32,FALSE)</f>
        <v>399.2</v>
      </c>
      <c r="AO226">
        <f>VLOOKUP($I226,'[1]Table S6'!$A:$AI,33,FALSE)</f>
        <v>0.84954245584166799</v>
      </c>
      <c r="AP226">
        <f>VLOOKUP($I226,'[1]Table S6'!$A:$AI,34,FALSE)</f>
        <v>33.76</v>
      </c>
      <c r="AQ226" t="str">
        <f>VLOOKUP($I226,'[1]Table S6'!$A:$AI,35,FALSE)</f>
        <v>No</v>
      </c>
      <c r="AS226" t="e">
        <f>VLOOKUP($H226,'[2]Table S5'!$A:$K,8,FALSE)</f>
        <v>#N/A</v>
      </c>
      <c r="AT226" t="e">
        <f>VLOOKUP($H226,'[2]Table S5'!$A:$K,9,FALSE)</f>
        <v>#N/A</v>
      </c>
      <c r="AU226" t="e">
        <f>VLOOKUP($H226,'[2]Table S5'!$A:$K,10,FALSE)</f>
        <v>#N/A</v>
      </c>
      <c r="AV226" t="e">
        <f>VLOOKUP($H226,'[2]Table S5'!$A:$K,11,FALSE)</f>
        <v>#N/A</v>
      </c>
    </row>
    <row r="227" spans="1:48">
      <c r="A227" t="s">
        <v>1714</v>
      </c>
      <c r="B227" t="s">
        <v>1715</v>
      </c>
      <c r="C227" t="s">
        <v>17</v>
      </c>
      <c r="D227" t="s">
        <v>1717</v>
      </c>
      <c r="E227" t="s">
        <v>1718</v>
      </c>
      <c r="F227" t="s">
        <v>1719</v>
      </c>
      <c r="G227" t="s">
        <v>4755</v>
      </c>
      <c r="H227" t="s">
        <v>1711</v>
      </c>
      <c r="I227" t="s">
        <v>1712</v>
      </c>
      <c r="J227">
        <f>VLOOKUP($I227,'[1]Table S6'!$A:$AI,2,FALSE)</f>
        <v>379.3</v>
      </c>
      <c r="K227">
        <f>VLOOKUP($I227,'[1]Table S6'!$A:$AI,3,FALSE)</f>
        <v>0.80719301979144498</v>
      </c>
      <c r="L227">
        <f>VLOOKUP($I227,'[1]Table S6'!$A:$AI,4,FALSE)</f>
        <v>13.15</v>
      </c>
      <c r="M227" t="str">
        <f>VLOOKUP($I227,'[1]Table S6'!$A:$AI,5,FALSE)</f>
        <v>No</v>
      </c>
      <c r="O227">
        <f>VLOOKUP($I227,'[1]Table S6'!$A:$AI,7,FALSE)</f>
        <v>400.4</v>
      </c>
      <c r="P227">
        <f>VLOOKUP($I227,'[1]Table S6'!$A:$AI,8,FALSE)</f>
        <v>0.85209619067886799</v>
      </c>
      <c r="Q227">
        <f>VLOOKUP($I227,'[1]Table S6'!$A:$AI,9,FALSE)</f>
        <v>28.42</v>
      </c>
      <c r="R227" t="str">
        <f>VLOOKUP($I227,'[1]Table S6'!$A:$AI,10,FALSE)</f>
        <v>No</v>
      </c>
      <c r="T227">
        <f>VLOOKUP($I227,'[1]Table S6'!$A:$AI,12,FALSE)</f>
        <v>408.9</v>
      </c>
      <c r="U227">
        <f>VLOOKUP($I227,'[1]Table S6'!$A:$AI,13,FALSE)</f>
        <v>0.87018514577569706</v>
      </c>
      <c r="V227">
        <f>VLOOKUP($I227,'[1]Table S6'!$A:$AI,14,FALSE)</f>
        <v>33.5</v>
      </c>
      <c r="W227" t="str">
        <f>VLOOKUP($I227,'[1]Table S6'!$A:$AI,15,FALSE)</f>
        <v>No</v>
      </c>
      <c r="Y227">
        <f>VLOOKUP($I227,'[1]Table S6'!$A:$AI,17,FALSE)</f>
        <v>376.9</v>
      </c>
      <c r="Z227">
        <f>VLOOKUP($I227,'[1]Table S6'!$A:$AI,18,FALSE)</f>
        <v>0.80208555011704596</v>
      </c>
      <c r="AA227">
        <f>VLOOKUP($I227,'[1]Table S6'!$A:$AI,19,FALSE)</f>
        <v>12.58</v>
      </c>
      <c r="AB227" t="str">
        <f>VLOOKUP($I227,'[1]Table S6'!$A:$AI,20,FALSE)</f>
        <v>No</v>
      </c>
      <c r="AD227">
        <f>VLOOKUP($I227,'[1]Table S6'!$A:$AI,22,FALSE)</f>
        <v>388.6</v>
      </c>
      <c r="AE227">
        <f>VLOOKUP($I227,'[1]Table S6'!$A:$AI,23,FALSE)</f>
        <v>0.82698446477973997</v>
      </c>
      <c r="AF227">
        <f>VLOOKUP($I227,'[1]Table S6'!$A:$AI,24,FALSE)</f>
        <v>18.55</v>
      </c>
      <c r="AG227" t="str">
        <f>VLOOKUP($I227,'[1]Table S6'!$A:$AI,25,FALSE)</f>
        <v>No</v>
      </c>
      <c r="AI227">
        <f>VLOOKUP($I227,'[1]Table S6'!$A:$AI,27,FALSE)</f>
        <v>392.5</v>
      </c>
      <c r="AJ227">
        <f>VLOOKUP($I227,'[1]Table S6'!$A:$AI,28,FALSE)</f>
        <v>0.83528410300063805</v>
      </c>
      <c r="AK227">
        <f>VLOOKUP($I227,'[1]Table S6'!$A:$AI,29,FALSE)</f>
        <v>21.55</v>
      </c>
      <c r="AL227" t="str">
        <f>VLOOKUP($I227,'[1]Table S6'!$A:$AI,30,FALSE)</f>
        <v>No</v>
      </c>
      <c r="AN227">
        <f>VLOOKUP($I227,'[1]Table S6'!$A:$AI,32,FALSE)</f>
        <v>399.2</v>
      </c>
      <c r="AO227">
        <f>VLOOKUP($I227,'[1]Table S6'!$A:$AI,33,FALSE)</f>
        <v>0.84954245584166799</v>
      </c>
      <c r="AP227">
        <f>VLOOKUP($I227,'[1]Table S6'!$A:$AI,34,FALSE)</f>
        <v>33.76</v>
      </c>
      <c r="AQ227" t="str">
        <f>VLOOKUP($I227,'[1]Table S6'!$A:$AI,35,FALSE)</f>
        <v>No</v>
      </c>
      <c r="AS227" t="e">
        <f>VLOOKUP($H227,'[2]Table S5'!$A:$K,8,FALSE)</f>
        <v>#N/A</v>
      </c>
      <c r="AT227" t="e">
        <f>VLOOKUP($H227,'[2]Table S5'!$A:$K,9,FALSE)</f>
        <v>#N/A</v>
      </c>
      <c r="AU227" t="e">
        <f>VLOOKUP($H227,'[2]Table S5'!$A:$K,10,FALSE)</f>
        <v>#N/A</v>
      </c>
      <c r="AV227" t="e">
        <f>VLOOKUP($H227,'[2]Table S5'!$A:$K,11,FALSE)</f>
        <v>#N/A</v>
      </c>
    </row>
    <row r="228" spans="1:48">
      <c r="A228" t="s">
        <v>1721</v>
      </c>
      <c r="B228" t="s">
        <v>1722</v>
      </c>
      <c r="C228" t="s">
        <v>17</v>
      </c>
      <c r="D228" t="s">
        <v>1724</v>
      </c>
      <c r="E228" t="s">
        <v>1725</v>
      </c>
      <c r="F228" t="s">
        <v>1726</v>
      </c>
      <c r="G228" t="s">
        <v>4751</v>
      </c>
      <c r="H228" t="s">
        <v>1711</v>
      </c>
      <c r="I228" t="s">
        <v>1712</v>
      </c>
      <c r="J228">
        <f>VLOOKUP($I228,'[1]Table S6'!$A:$AI,2,FALSE)</f>
        <v>379.3</v>
      </c>
      <c r="K228">
        <f>VLOOKUP($I228,'[1]Table S6'!$A:$AI,3,FALSE)</f>
        <v>0.80719301979144498</v>
      </c>
      <c r="L228">
        <f>VLOOKUP($I228,'[1]Table S6'!$A:$AI,4,FALSE)</f>
        <v>13.15</v>
      </c>
      <c r="M228" t="str">
        <f>VLOOKUP($I228,'[1]Table S6'!$A:$AI,5,FALSE)</f>
        <v>No</v>
      </c>
      <c r="O228">
        <f>VLOOKUP($I228,'[1]Table S6'!$A:$AI,7,FALSE)</f>
        <v>400.4</v>
      </c>
      <c r="P228">
        <f>VLOOKUP($I228,'[1]Table S6'!$A:$AI,8,FALSE)</f>
        <v>0.85209619067886799</v>
      </c>
      <c r="Q228">
        <f>VLOOKUP($I228,'[1]Table S6'!$A:$AI,9,FALSE)</f>
        <v>28.42</v>
      </c>
      <c r="R228" t="str">
        <f>VLOOKUP($I228,'[1]Table S6'!$A:$AI,10,FALSE)</f>
        <v>No</v>
      </c>
      <c r="T228">
        <f>VLOOKUP($I228,'[1]Table S6'!$A:$AI,12,FALSE)</f>
        <v>408.9</v>
      </c>
      <c r="U228">
        <f>VLOOKUP($I228,'[1]Table S6'!$A:$AI,13,FALSE)</f>
        <v>0.87018514577569706</v>
      </c>
      <c r="V228">
        <f>VLOOKUP($I228,'[1]Table S6'!$A:$AI,14,FALSE)</f>
        <v>33.5</v>
      </c>
      <c r="W228" t="str">
        <f>VLOOKUP($I228,'[1]Table S6'!$A:$AI,15,FALSE)</f>
        <v>No</v>
      </c>
      <c r="Y228">
        <f>VLOOKUP($I228,'[1]Table S6'!$A:$AI,17,FALSE)</f>
        <v>376.9</v>
      </c>
      <c r="Z228">
        <f>VLOOKUP($I228,'[1]Table S6'!$A:$AI,18,FALSE)</f>
        <v>0.80208555011704596</v>
      </c>
      <c r="AA228">
        <f>VLOOKUP($I228,'[1]Table S6'!$A:$AI,19,FALSE)</f>
        <v>12.58</v>
      </c>
      <c r="AB228" t="str">
        <f>VLOOKUP($I228,'[1]Table S6'!$A:$AI,20,FALSE)</f>
        <v>No</v>
      </c>
      <c r="AD228">
        <f>VLOOKUP($I228,'[1]Table S6'!$A:$AI,22,FALSE)</f>
        <v>388.6</v>
      </c>
      <c r="AE228">
        <f>VLOOKUP($I228,'[1]Table S6'!$A:$AI,23,FALSE)</f>
        <v>0.82698446477973997</v>
      </c>
      <c r="AF228">
        <f>VLOOKUP($I228,'[1]Table S6'!$A:$AI,24,FALSE)</f>
        <v>18.55</v>
      </c>
      <c r="AG228" t="str">
        <f>VLOOKUP($I228,'[1]Table S6'!$A:$AI,25,FALSE)</f>
        <v>No</v>
      </c>
      <c r="AI228">
        <f>VLOOKUP($I228,'[1]Table S6'!$A:$AI,27,FALSE)</f>
        <v>392.5</v>
      </c>
      <c r="AJ228">
        <f>VLOOKUP($I228,'[1]Table S6'!$A:$AI,28,FALSE)</f>
        <v>0.83528410300063805</v>
      </c>
      <c r="AK228">
        <f>VLOOKUP($I228,'[1]Table S6'!$A:$AI,29,FALSE)</f>
        <v>21.55</v>
      </c>
      <c r="AL228" t="str">
        <f>VLOOKUP($I228,'[1]Table S6'!$A:$AI,30,FALSE)</f>
        <v>No</v>
      </c>
      <c r="AN228">
        <f>VLOOKUP($I228,'[1]Table S6'!$A:$AI,32,FALSE)</f>
        <v>399.2</v>
      </c>
      <c r="AO228">
        <f>VLOOKUP($I228,'[1]Table S6'!$A:$AI,33,FALSE)</f>
        <v>0.84954245584166799</v>
      </c>
      <c r="AP228">
        <f>VLOOKUP($I228,'[1]Table S6'!$A:$AI,34,FALSE)</f>
        <v>33.76</v>
      </c>
      <c r="AQ228" t="str">
        <f>VLOOKUP($I228,'[1]Table S6'!$A:$AI,35,FALSE)</f>
        <v>No</v>
      </c>
      <c r="AS228" t="e">
        <f>VLOOKUP($H228,'[2]Table S5'!$A:$K,8,FALSE)</f>
        <v>#N/A</v>
      </c>
      <c r="AT228" t="e">
        <f>VLOOKUP($H228,'[2]Table S5'!$A:$K,9,FALSE)</f>
        <v>#N/A</v>
      </c>
      <c r="AU228" t="e">
        <f>VLOOKUP($H228,'[2]Table S5'!$A:$K,10,FALSE)</f>
        <v>#N/A</v>
      </c>
      <c r="AV228" t="e">
        <f>VLOOKUP($H228,'[2]Table S5'!$A:$K,11,FALSE)</f>
        <v>#N/A</v>
      </c>
    </row>
    <row r="229" spans="1:48">
      <c r="A229" t="s">
        <v>1728</v>
      </c>
      <c r="B229" t="s">
        <v>1729</v>
      </c>
      <c r="C229" t="s">
        <v>17</v>
      </c>
      <c r="D229" t="s">
        <v>1731</v>
      </c>
      <c r="E229" t="s">
        <v>1732</v>
      </c>
      <c r="F229" t="s">
        <v>1733</v>
      </c>
      <c r="G229" t="s">
        <v>4757</v>
      </c>
      <c r="H229" t="s">
        <v>1711</v>
      </c>
      <c r="I229" t="s">
        <v>1711</v>
      </c>
      <c r="J229" t="e">
        <f>VLOOKUP($I229,'[1]Table S6'!$A:$AI,2,FALSE)</f>
        <v>#N/A</v>
      </c>
      <c r="K229" t="e">
        <f>VLOOKUP($I229,'[1]Table S6'!$A:$AI,3,FALSE)</f>
        <v>#N/A</v>
      </c>
      <c r="L229" t="e">
        <f>VLOOKUP($I229,'[1]Table S6'!$A:$AI,4,FALSE)</f>
        <v>#N/A</v>
      </c>
      <c r="M229" t="e">
        <f>VLOOKUP($I229,'[1]Table S6'!$A:$AI,5,FALSE)</f>
        <v>#N/A</v>
      </c>
      <c r="O229" t="e">
        <f>VLOOKUP($I229,'[1]Table S6'!$A:$AI,7,FALSE)</f>
        <v>#N/A</v>
      </c>
      <c r="P229" t="e">
        <f>VLOOKUP($I229,'[1]Table S6'!$A:$AI,8,FALSE)</f>
        <v>#N/A</v>
      </c>
      <c r="Q229" t="e">
        <f>VLOOKUP($I229,'[1]Table S6'!$A:$AI,9,FALSE)</f>
        <v>#N/A</v>
      </c>
      <c r="R229" t="e">
        <f>VLOOKUP($I229,'[1]Table S6'!$A:$AI,10,FALSE)</f>
        <v>#N/A</v>
      </c>
      <c r="T229" t="e">
        <f>VLOOKUP($I229,'[1]Table S6'!$A:$AI,12,FALSE)</f>
        <v>#N/A</v>
      </c>
      <c r="U229" t="e">
        <f>VLOOKUP($I229,'[1]Table S6'!$A:$AI,13,FALSE)</f>
        <v>#N/A</v>
      </c>
      <c r="V229" t="e">
        <f>VLOOKUP($I229,'[1]Table S6'!$A:$AI,14,FALSE)</f>
        <v>#N/A</v>
      </c>
      <c r="W229" t="e">
        <f>VLOOKUP($I229,'[1]Table S6'!$A:$AI,15,FALSE)</f>
        <v>#N/A</v>
      </c>
      <c r="Y229" t="e">
        <f>VLOOKUP($I229,'[1]Table S6'!$A:$AI,17,FALSE)</f>
        <v>#N/A</v>
      </c>
      <c r="Z229" t="e">
        <f>VLOOKUP($I229,'[1]Table S6'!$A:$AI,18,FALSE)</f>
        <v>#N/A</v>
      </c>
      <c r="AA229" t="e">
        <f>VLOOKUP($I229,'[1]Table S6'!$A:$AI,19,FALSE)</f>
        <v>#N/A</v>
      </c>
      <c r="AB229" t="e">
        <f>VLOOKUP($I229,'[1]Table S6'!$A:$AI,20,FALSE)</f>
        <v>#N/A</v>
      </c>
      <c r="AD229" t="e">
        <f>VLOOKUP($I229,'[1]Table S6'!$A:$AI,22,FALSE)</f>
        <v>#N/A</v>
      </c>
      <c r="AE229" t="e">
        <f>VLOOKUP($I229,'[1]Table S6'!$A:$AI,23,FALSE)</f>
        <v>#N/A</v>
      </c>
      <c r="AF229" t="e">
        <f>VLOOKUP($I229,'[1]Table S6'!$A:$AI,24,FALSE)</f>
        <v>#N/A</v>
      </c>
      <c r="AG229" t="e">
        <f>VLOOKUP($I229,'[1]Table S6'!$A:$AI,25,FALSE)</f>
        <v>#N/A</v>
      </c>
      <c r="AI229" t="e">
        <f>VLOOKUP($I229,'[1]Table S6'!$A:$AI,27,FALSE)</f>
        <v>#N/A</v>
      </c>
      <c r="AJ229" t="e">
        <f>VLOOKUP($I229,'[1]Table S6'!$A:$AI,28,FALSE)</f>
        <v>#N/A</v>
      </c>
      <c r="AK229" t="e">
        <f>VLOOKUP($I229,'[1]Table S6'!$A:$AI,29,FALSE)</f>
        <v>#N/A</v>
      </c>
      <c r="AL229" t="e">
        <f>VLOOKUP($I229,'[1]Table S6'!$A:$AI,30,FALSE)</f>
        <v>#N/A</v>
      </c>
      <c r="AN229" t="e">
        <f>VLOOKUP($I229,'[1]Table S6'!$A:$AI,32,FALSE)</f>
        <v>#N/A</v>
      </c>
      <c r="AO229" t="e">
        <f>VLOOKUP($I229,'[1]Table S6'!$A:$AI,33,FALSE)</f>
        <v>#N/A</v>
      </c>
      <c r="AP229" t="e">
        <f>VLOOKUP($I229,'[1]Table S6'!$A:$AI,34,FALSE)</f>
        <v>#N/A</v>
      </c>
      <c r="AQ229" t="e">
        <f>VLOOKUP($I229,'[1]Table S6'!$A:$AI,35,FALSE)</f>
        <v>#N/A</v>
      </c>
      <c r="AS229" t="e">
        <f>VLOOKUP($H229,'[2]Table S5'!$A:$K,8,FALSE)</f>
        <v>#N/A</v>
      </c>
      <c r="AT229" t="e">
        <f>VLOOKUP($H229,'[2]Table S5'!$A:$K,9,FALSE)</f>
        <v>#N/A</v>
      </c>
      <c r="AU229" t="e">
        <f>VLOOKUP($H229,'[2]Table S5'!$A:$K,10,FALSE)</f>
        <v>#N/A</v>
      </c>
      <c r="AV229" t="e">
        <f>VLOOKUP($H229,'[2]Table S5'!$A:$K,11,FALSE)</f>
        <v>#N/A</v>
      </c>
    </row>
    <row r="230" spans="1:48">
      <c r="A230" t="s">
        <v>1735</v>
      </c>
      <c r="B230" t="s">
        <v>1736</v>
      </c>
      <c r="C230" t="s">
        <v>17</v>
      </c>
      <c r="D230" t="s">
        <v>1738</v>
      </c>
      <c r="E230" t="s">
        <v>1739</v>
      </c>
      <c r="F230" t="s">
        <v>1740</v>
      </c>
      <c r="G230" t="s">
        <v>4754</v>
      </c>
      <c r="H230" t="s">
        <v>1741</v>
      </c>
      <c r="I230" t="s">
        <v>1742</v>
      </c>
      <c r="J230">
        <f>VLOOKUP($I230,'[1]Table S6'!$A:$AI,2,FALSE)</f>
        <v>354</v>
      </c>
      <c r="K230">
        <f>VLOOKUP($I230,'[1]Table S6'!$A:$AI,3,FALSE)</f>
        <v>0.75335177697382405</v>
      </c>
      <c r="L230">
        <f>VLOOKUP($I230,'[1]Table S6'!$A:$AI,4,FALSE)</f>
        <v>5.6849999999999996</v>
      </c>
      <c r="M230" t="str">
        <f>VLOOKUP($I230,'[1]Table S6'!$A:$AI,5,FALSE)</f>
        <v>No</v>
      </c>
      <c r="O230">
        <f>VLOOKUP($I230,'[1]Table S6'!$A:$AI,7,FALSE)</f>
        <v>404.5</v>
      </c>
      <c r="P230">
        <f>VLOOKUP($I230,'[1]Table S6'!$A:$AI,8,FALSE)</f>
        <v>0.860821451372633</v>
      </c>
      <c r="Q230">
        <f>VLOOKUP($I230,'[1]Table S6'!$A:$AI,9,FALSE)</f>
        <v>34.31</v>
      </c>
      <c r="R230" t="str">
        <f>VLOOKUP($I230,'[1]Table S6'!$A:$AI,10,FALSE)</f>
        <v>No</v>
      </c>
      <c r="T230">
        <f>VLOOKUP($I230,'[1]Table S6'!$A:$AI,12,FALSE)</f>
        <v>336.7</v>
      </c>
      <c r="U230">
        <f>VLOOKUP($I230,'[1]Table S6'!$A:$AI,13,FALSE)</f>
        <v>0.71653543307086598</v>
      </c>
      <c r="V230">
        <f>VLOOKUP($I230,'[1]Table S6'!$A:$AI,14,FALSE)</f>
        <v>3.2090000000000001</v>
      </c>
      <c r="W230" t="str">
        <f>VLOOKUP($I230,'[1]Table S6'!$A:$AI,15,FALSE)</f>
        <v>No</v>
      </c>
      <c r="Y230">
        <f>VLOOKUP($I230,'[1]Table S6'!$A:$AI,17,FALSE)</f>
        <v>337</v>
      </c>
      <c r="Z230">
        <f>VLOOKUP($I230,'[1]Table S6'!$A:$AI,18,FALSE)</f>
        <v>0.71717386678016604</v>
      </c>
      <c r="AA230">
        <f>VLOOKUP($I230,'[1]Table S6'!$A:$AI,19,FALSE)</f>
        <v>3.581</v>
      </c>
      <c r="AB230" t="str">
        <f>VLOOKUP($I230,'[1]Table S6'!$A:$AI,20,FALSE)</f>
        <v>No</v>
      </c>
      <c r="AD230">
        <f>VLOOKUP($I230,'[1]Table S6'!$A:$AI,22,FALSE)</f>
        <v>406.7</v>
      </c>
      <c r="AE230">
        <f>VLOOKUP($I230,'[1]Table S6'!$A:$AI,23,FALSE)</f>
        <v>0.86550329857416497</v>
      </c>
      <c r="AF230">
        <f>VLOOKUP($I230,'[1]Table S6'!$A:$AI,24,FALSE)</f>
        <v>35.590000000000003</v>
      </c>
      <c r="AG230" t="str">
        <f>VLOOKUP($I230,'[1]Table S6'!$A:$AI,25,FALSE)</f>
        <v>No</v>
      </c>
      <c r="AI230">
        <f>VLOOKUP($I230,'[1]Table S6'!$A:$AI,27,FALSE)</f>
        <v>406</v>
      </c>
      <c r="AJ230">
        <f>VLOOKUP($I230,'[1]Table S6'!$A:$AI,28,FALSE)</f>
        <v>0.86401361991913195</v>
      </c>
      <c r="AK230">
        <f>VLOOKUP($I230,'[1]Table S6'!$A:$AI,29,FALSE)</f>
        <v>35.159999999999997</v>
      </c>
      <c r="AL230" t="str">
        <f>VLOOKUP($I230,'[1]Table S6'!$A:$AI,30,FALSE)</f>
        <v>No</v>
      </c>
      <c r="AN230">
        <f>VLOOKUP($I230,'[1]Table S6'!$A:$AI,32,FALSE)</f>
        <v>395.1</v>
      </c>
      <c r="AO230">
        <f>VLOOKUP($I230,'[1]Table S6'!$A:$AI,33,FALSE)</f>
        <v>0.84081719514790398</v>
      </c>
      <c r="AP230">
        <f>VLOOKUP($I230,'[1]Table S6'!$A:$AI,34,FALSE)</f>
        <v>25.01</v>
      </c>
      <c r="AQ230" t="str">
        <f>VLOOKUP($I230,'[1]Table S6'!$A:$AI,35,FALSE)</f>
        <v>No</v>
      </c>
      <c r="AS230" t="e">
        <f>VLOOKUP($H230,'[2]Table S5'!$A:$K,8,FALSE)</f>
        <v>#N/A</v>
      </c>
      <c r="AT230" t="e">
        <f>VLOOKUP($H230,'[2]Table S5'!$A:$K,9,FALSE)</f>
        <v>#N/A</v>
      </c>
      <c r="AU230" t="e">
        <f>VLOOKUP($H230,'[2]Table S5'!$A:$K,10,FALSE)</f>
        <v>#N/A</v>
      </c>
      <c r="AV230" t="e">
        <f>VLOOKUP($H230,'[2]Table S5'!$A:$K,11,FALSE)</f>
        <v>#N/A</v>
      </c>
    </row>
    <row r="231" spans="1:48">
      <c r="A231" t="s">
        <v>1744</v>
      </c>
      <c r="B231" t="s">
        <v>1745</v>
      </c>
      <c r="C231" t="s">
        <v>17</v>
      </c>
      <c r="D231" t="s">
        <v>1747</v>
      </c>
      <c r="E231" t="s">
        <v>1748</v>
      </c>
      <c r="F231" t="s">
        <v>1749</v>
      </c>
      <c r="G231" t="s">
        <v>4755</v>
      </c>
      <c r="H231" t="s">
        <v>1741</v>
      </c>
      <c r="I231" t="s">
        <v>1742</v>
      </c>
      <c r="J231">
        <f>VLOOKUP($I231,'[1]Table S6'!$A:$AI,2,FALSE)</f>
        <v>354</v>
      </c>
      <c r="K231">
        <f>VLOOKUP($I231,'[1]Table S6'!$A:$AI,3,FALSE)</f>
        <v>0.75335177697382405</v>
      </c>
      <c r="L231">
        <f>VLOOKUP($I231,'[1]Table S6'!$A:$AI,4,FALSE)</f>
        <v>5.6849999999999996</v>
      </c>
      <c r="M231" t="str">
        <f>VLOOKUP($I231,'[1]Table S6'!$A:$AI,5,FALSE)</f>
        <v>No</v>
      </c>
      <c r="O231">
        <f>VLOOKUP($I231,'[1]Table S6'!$A:$AI,7,FALSE)</f>
        <v>404.5</v>
      </c>
      <c r="P231">
        <f>VLOOKUP($I231,'[1]Table S6'!$A:$AI,8,FALSE)</f>
        <v>0.860821451372633</v>
      </c>
      <c r="Q231">
        <f>VLOOKUP($I231,'[1]Table S6'!$A:$AI,9,FALSE)</f>
        <v>34.31</v>
      </c>
      <c r="R231" t="str">
        <f>VLOOKUP($I231,'[1]Table S6'!$A:$AI,10,FALSE)</f>
        <v>No</v>
      </c>
      <c r="T231">
        <f>VLOOKUP($I231,'[1]Table S6'!$A:$AI,12,FALSE)</f>
        <v>336.7</v>
      </c>
      <c r="U231">
        <f>VLOOKUP($I231,'[1]Table S6'!$A:$AI,13,FALSE)</f>
        <v>0.71653543307086598</v>
      </c>
      <c r="V231">
        <f>VLOOKUP($I231,'[1]Table S6'!$A:$AI,14,FALSE)</f>
        <v>3.2090000000000001</v>
      </c>
      <c r="W231" t="str">
        <f>VLOOKUP($I231,'[1]Table S6'!$A:$AI,15,FALSE)</f>
        <v>No</v>
      </c>
      <c r="Y231">
        <f>VLOOKUP($I231,'[1]Table S6'!$A:$AI,17,FALSE)</f>
        <v>337</v>
      </c>
      <c r="Z231">
        <f>VLOOKUP($I231,'[1]Table S6'!$A:$AI,18,FALSE)</f>
        <v>0.71717386678016604</v>
      </c>
      <c r="AA231">
        <f>VLOOKUP($I231,'[1]Table S6'!$A:$AI,19,FALSE)</f>
        <v>3.581</v>
      </c>
      <c r="AB231" t="str">
        <f>VLOOKUP($I231,'[1]Table S6'!$A:$AI,20,FALSE)</f>
        <v>No</v>
      </c>
      <c r="AD231">
        <f>VLOOKUP($I231,'[1]Table S6'!$A:$AI,22,FALSE)</f>
        <v>406.7</v>
      </c>
      <c r="AE231">
        <f>VLOOKUP($I231,'[1]Table S6'!$A:$AI,23,FALSE)</f>
        <v>0.86550329857416497</v>
      </c>
      <c r="AF231">
        <f>VLOOKUP($I231,'[1]Table S6'!$A:$AI,24,FALSE)</f>
        <v>35.590000000000003</v>
      </c>
      <c r="AG231" t="str">
        <f>VLOOKUP($I231,'[1]Table S6'!$A:$AI,25,FALSE)</f>
        <v>No</v>
      </c>
      <c r="AI231">
        <f>VLOOKUP($I231,'[1]Table S6'!$A:$AI,27,FALSE)</f>
        <v>406</v>
      </c>
      <c r="AJ231">
        <f>VLOOKUP($I231,'[1]Table S6'!$A:$AI,28,FALSE)</f>
        <v>0.86401361991913195</v>
      </c>
      <c r="AK231">
        <f>VLOOKUP($I231,'[1]Table S6'!$A:$AI,29,FALSE)</f>
        <v>35.159999999999997</v>
      </c>
      <c r="AL231" t="str">
        <f>VLOOKUP($I231,'[1]Table S6'!$A:$AI,30,FALSE)</f>
        <v>No</v>
      </c>
      <c r="AN231">
        <f>VLOOKUP($I231,'[1]Table S6'!$A:$AI,32,FALSE)</f>
        <v>395.1</v>
      </c>
      <c r="AO231">
        <f>VLOOKUP($I231,'[1]Table S6'!$A:$AI,33,FALSE)</f>
        <v>0.84081719514790398</v>
      </c>
      <c r="AP231">
        <f>VLOOKUP($I231,'[1]Table S6'!$A:$AI,34,FALSE)</f>
        <v>25.01</v>
      </c>
      <c r="AQ231" t="str">
        <f>VLOOKUP($I231,'[1]Table S6'!$A:$AI,35,FALSE)</f>
        <v>No</v>
      </c>
      <c r="AS231" t="e">
        <f>VLOOKUP($H231,'[2]Table S5'!$A:$K,8,FALSE)</f>
        <v>#N/A</v>
      </c>
      <c r="AT231" t="e">
        <f>VLOOKUP($H231,'[2]Table S5'!$A:$K,9,FALSE)</f>
        <v>#N/A</v>
      </c>
      <c r="AU231" t="e">
        <f>VLOOKUP($H231,'[2]Table S5'!$A:$K,10,FALSE)</f>
        <v>#N/A</v>
      </c>
      <c r="AV231" t="e">
        <f>VLOOKUP($H231,'[2]Table S5'!$A:$K,11,FALSE)</f>
        <v>#N/A</v>
      </c>
    </row>
    <row r="232" spans="1:48">
      <c r="A232" t="s">
        <v>1751</v>
      </c>
      <c r="B232" t="s">
        <v>1752</v>
      </c>
      <c r="C232" t="s">
        <v>17</v>
      </c>
      <c r="D232" t="s">
        <v>1754</v>
      </c>
      <c r="E232" t="s">
        <v>1755</v>
      </c>
      <c r="F232" t="s">
        <v>1756</v>
      </c>
      <c r="G232" t="s">
        <v>4751</v>
      </c>
      <c r="H232" t="s">
        <v>1741</v>
      </c>
      <c r="I232" t="s">
        <v>1742</v>
      </c>
      <c r="J232">
        <f>VLOOKUP($I232,'[1]Table S6'!$A:$AI,2,FALSE)</f>
        <v>354</v>
      </c>
      <c r="K232">
        <f>VLOOKUP($I232,'[1]Table S6'!$A:$AI,3,FALSE)</f>
        <v>0.75335177697382405</v>
      </c>
      <c r="L232">
        <f>VLOOKUP($I232,'[1]Table S6'!$A:$AI,4,FALSE)</f>
        <v>5.6849999999999996</v>
      </c>
      <c r="M232" t="str">
        <f>VLOOKUP($I232,'[1]Table S6'!$A:$AI,5,FALSE)</f>
        <v>No</v>
      </c>
      <c r="O232">
        <f>VLOOKUP($I232,'[1]Table S6'!$A:$AI,7,FALSE)</f>
        <v>404.5</v>
      </c>
      <c r="P232">
        <f>VLOOKUP($I232,'[1]Table S6'!$A:$AI,8,FALSE)</f>
        <v>0.860821451372633</v>
      </c>
      <c r="Q232">
        <f>VLOOKUP($I232,'[1]Table S6'!$A:$AI,9,FALSE)</f>
        <v>34.31</v>
      </c>
      <c r="R232" t="str">
        <f>VLOOKUP($I232,'[1]Table S6'!$A:$AI,10,FALSE)</f>
        <v>No</v>
      </c>
      <c r="T232">
        <f>VLOOKUP($I232,'[1]Table S6'!$A:$AI,12,FALSE)</f>
        <v>336.7</v>
      </c>
      <c r="U232">
        <f>VLOOKUP($I232,'[1]Table S6'!$A:$AI,13,FALSE)</f>
        <v>0.71653543307086598</v>
      </c>
      <c r="V232">
        <f>VLOOKUP($I232,'[1]Table S6'!$A:$AI,14,FALSE)</f>
        <v>3.2090000000000001</v>
      </c>
      <c r="W232" t="str">
        <f>VLOOKUP($I232,'[1]Table S6'!$A:$AI,15,FALSE)</f>
        <v>No</v>
      </c>
      <c r="Y232">
        <f>VLOOKUP($I232,'[1]Table S6'!$A:$AI,17,FALSE)</f>
        <v>337</v>
      </c>
      <c r="Z232">
        <f>VLOOKUP($I232,'[1]Table S6'!$A:$AI,18,FALSE)</f>
        <v>0.71717386678016604</v>
      </c>
      <c r="AA232">
        <f>VLOOKUP($I232,'[1]Table S6'!$A:$AI,19,FALSE)</f>
        <v>3.581</v>
      </c>
      <c r="AB232" t="str">
        <f>VLOOKUP($I232,'[1]Table S6'!$A:$AI,20,FALSE)</f>
        <v>No</v>
      </c>
      <c r="AD232">
        <f>VLOOKUP($I232,'[1]Table S6'!$A:$AI,22,FALSE)</f>
        <v>406.7</v>
      </c>
      <c r="AE232">
        <f>VLOOKUP($I232,'[1]Table S6'!$A:$AI,23,FALSE)</f>
        <v>0.86550329857416497</v>
      </c>
      <c r="AF232">
        <f>VLOOKUP($I232,'[1]Table S6'!$A:$AI,24,FALSE)</f>
        <v>35.590000000000003</v>
      </c>
      <c r="AG232" t="str">
        <f>VLOOKUP($I232,'[1]Table S6'!$A:$AI,25,FALSE)</f>
        <v>No</v>
      </c>
      <c r="AI232">
        <f>VLOOKUP($I232,'[1]Table S6'!$A:$AI,27,FALSE)</f>
        <v>406</v>
      </c>
      <c r="AJ232">
        <f>VLOOKUP($I232,'[1]Table S6'!$A:$AI,28,FALSE)</f>
        <v>0.86401361991913195</v>
      </c>
      <c r="AK232">
        <f>VLOOKUP($I232,'[1]Table S6'!$A:$AI,29,FALSE)</f>
        <v>35.159999999999997</v>
      </c>
      <c r="AL232" t="str">
        <f>VLOOKUP($I232,'[1]Table S6'!$A:$AI,30,FALSE)</f>
        <v>No</v>
      </c>
      <c r="AN232">
        <f>VLOOKUP($I232,'[1]Table S6'!$A:$AI,32,FALSE)</f>
        <v>395.1</v>
      </c>
      <c r="AO232">
        <f>VLOOKUP($I232,'[1]Table S6'!$A:$AI,33,FALSE)</f>
        <v>0.84081719514790398</v>
      </c>
      <c r="AP232">
        <f>VLOOKUP($I232,'[1]Table S6'!$A:$AI,34,FALSE)</f>
        <v>25.01</v>
      </c>
      <c r="AQ232" t="str">
        <f>VLOOKUP($I232,'[1]Table S6'!$A:$AI,35,FALSE)</f>
        <v>No</v>
      </c>
      <c r="AS232" t="e">
        <f>VLOOKUP($H232,'[2]Table S5'!$A:$K,8,FALSE)</f>
        <v>#N/A</v>
      </c>
      <c r="AT232" t="e">
        <f>VLOOKUP($H232,'[2]Table S5'!$A:$K,9,FALSE)</f>
        <v>#N/A</v>
      </c>
      <c r="AU232" t="e">
        <f>VLOOKUP($H232,'[2]Table S5'!$A:$K,10,FALSE)</f>
        <v>#N/A</v>
      </c>
      <c r="AV232" t="e">
        <f>VLOOKUP($H232,'[2]Table S5'!$A:$K,11,FALSE)</f>
        <v>#N/A</v>
      </c>
    </row>
    <row r="233" spans="1:48">
      <c r="A233" t="s">
        <v>1758</v>
      </c>
      <c r="B233" t="s">
        <v>1759</v>
      </c>
      <c r="C233" t="s">
        <v>17</v>
      </c>
      <c r="D233" t="s">
        <v>1761</v>
      </c>
      <c r="E233" t="s">
        <v>1762</v>
      </c>
      <c r="F233" t="s">
        <v>1763</v>
      </c>
      <c r="G233" t="s">
        <v>4754</v>
      </c>
      <c r="H233" t="s">
        <v>1741</v>
      </c>
      <c r="I233" t="s">
        <v>1764</v>
      </c>
      <c r="J233">
        <f>VLOOKUP($I233,'[1]Table S6'!$A:$AI,2,FALSE)</f>
        <v>338</v>
      </c>
      <c r="K233">
        <f>VLOOKUP($I233,'[1]Table S6'!$A:$AI,3,FALSE)</f>
        <v>0.719301979144499</v>
      </c>
      <c r="L233">
        <f>VLOOKUP($I233,'[1]Table S6'!$A:$AI,4,FALSE)</f>
        <v>3.6880000000000002</v>
      </c>
      <c r="M233" t="str">
        <f>VLOOKUP($I233,'[1]Table S6'!$A:$AI,5,FALSE)</f>
        <v>No</v>
      </c>
      <c r="O233">
        <f>VLOOKUP($I233,'[1]Table S6'!$A:$AI,7,FALSE)</f>
        <v>400.8</v>
      </c>
      <c r="P233">
        <f>VLOOKUP($I233,'[1]Table S6'!$A:$AI,8,FALSE)</f>
        <v>0.85294743562460096</v>
      </c>
      <c r="Q233">
        <f>VLOOKUP($I233,'[1]Table S6'!$A:$AI,9,FALSE)</f>
        <v>32.46</v>
      </c>
      <c r="R233" t="str">
        <f>VLOOKUP($I233,'[1]Table S6'!$A:$AI,10,FALSE)</f>
        <v>No</v>
      </c>
      <c r="T233">
        <f>VLOOKUP($I233,'[1]Table S6'!$A:$AI,12,FALSE)</f>
        <v>314.8</v>
      </c>
      <c r="U233">
        <f>VLOOKUP($I233,'[1]Table S6'!$A:$AI,13,FALSE)</f>
        <v>0.66992977229197703</v>
      </c>
      <c r="V233">
        <f>VLOOKUP($I233,'[1]Table S6'!$A:$AI,14,FALSE)</f>
        <v>1.69</v>
      </c>
      <c r="W233" t="str">
        <f>VLOOKUP($I233,'[1]Table S6'!$A:$AI,15,FALSE)</f>
        <v>Yes</v>
      </c>
      <c r="Y233">
        <f>VLOOKUP($I233,'[1]Table S6'!$A:$AI,17,FALSE)</f>
        <v>377.6</v>
      </c>
      <c r="Z233">
        <f>VLOOKUP($I233,'[1]Table S6'!$A:$AI,18,FALSE)</f>
        <v>0.80357522877207899</v>
      </c>
      <c r="AA233">
        <f>VLOOKUP($I233,'[1]Table S6'!$A:$AI,19,FALSE)</f>
        <v>12.17</v>
      </c>
      <c r="AB233" t="str">
        <f>VLOOKUP($I233,'[1]Table S6'!$A:$AI,20,FALSE)</f>
        <v>No</v>
      </c>
      <c r="AD233">
        <f>VLOOKUP($I233,'[1]Table S6'!$A:$AI,22,FALSE)</f>
        <v>395.6</v>
      </c>
      <c r="AE233">
        <f>VLOOKUP($I233,'[1]Table S6'!$A:$AI,23,FALSE)</f>
        <v>0.84188125133006997</v>
      </c>
      <c r="AF233">
        <f>VLOOKUP($I233,'[1]Table S6'!$A:$AI,24,FALSE)</f>
        <v>25.05</v>
      </c>
      <c r="AG233" t="str">
        <f>VLOOKUP($I233,'[1]Table S6'!$A:$AI,25,FALSE)</f>
        <v>No</v>
      </c>
      <c r="AI233">
        <f>VLOOKUP($I233,'[1]Table S6'!$A:$AI,27,FALSE)</f>
        <v>420.5</v>
      </c>
      <c r="AJ233">
        <f>VLOOKUP($I233,'[1]Table S6'!$A:$AI,28,FALSE)</f>
        <v>0.89487124920195804</v>
      </c>
      <c r="AK233">
        <f>VLOOKUP($I233,'[1]Table S6'!$A:$AI,29,FALSE)</f>
        <v>63.93</v>
      </c>
      <c r="AL233" t="str">
        <f>VLOOKUP($I233,'[1]Table S6'!$A:$AI,30,FALSE)</f>
        <v>No</v>
      </c>
      <c r="AN233">
        <f>VLOOKUP($I233,'[1]Table S6'!$A:$AI,32,FALSE)</f>
        <v>400.6</v>
      </c>
      <c r="AO233">
        <f>VLOOKUP($I233,'[1]Table S6'!$A:$AI,33,FALSE)</f>
        <v>0.85252181315173403</v>
      </c>
      <c r="AP233">
        <f>VLOOKUP($I233,'[1]Table S6'!$A:$AI,34,FALSE)</f>
        <v>27.04</v>
      </c>
      <c r="AQ233" t="str">
        <f>VLOOKUP($I233,'[1]Table S6'!$A:$AI,35,FALSE)</f>
        <v>No</v>
      </c>
      <c r="AS233" t="e">
        <f>VLOOKUP($H233,'[2]Table S5'!$A:$K,8,FALSE)</f>
        <v>#N/A</v>
      </c>
      <c r="AT233" t="e">
        <f>VLOOKUP($H233,'[2]Table S5'!$A:$K,9,FALSE)</f>
        <v>#N/A</v>
      </c>
      <c r="AU233" t="e">
        <f>VLOOKUP($H233,'[2]Table S5'!$A:$K,10,FALSE)</f>
        <v>#N/A</v>
      </c>
      <c r="AV233" t="e">
        <f>VLOOKUP($H233,'[2]Table S5'!$A:$K,11,FALSE)</f>
        <v>#N/A</v>
      </c>
    </row>
    <row r="234" spans="1:48">
      <c r="A234" t="s">
        <v>1766</v>
      </c>
      <c r="B234" t="s">
        <v>1767</v>
      </c>
      <c r="C234" t="s">
        <v>17</v>
      </c>
      <c r="D234" t="s">
        <v>1769</v>
      </c>
      <c r="E234" t="s">
        <v>1770</v>
      </c>
      <c r="F234" t="s">
        <v>1771</v>
      </c>
      <c r="G234" t="s">
        <v>4755</v>
      </c>
      <c r="H234" t="s">
        <v>1741</v>
      </c>
      <c r="I234" t="s">
        <v>1764</v>
      </c>
      <c r="J234">
        <f>VLOOKUP($I234,'[1]Table S6'!$A:$AI,2,FALSE)</f>
        <v>338</v>
      </c>
      <c r="K234">
        <f>VLOOKUP($I234,'[1]Table S6'!$A:$AI,3,FALSE)</f>
        <v>0.719301979144499</v>
      </c>
      <c r="L234">
        <f>VLOOKUP($I234,'[1]Table S6'!$A:$AI,4,FALSE)</f>
        <v>3.6880000000000002</v>
      </c>
      <c r="M234" t="str">
        <f>VLOOKUP($I234,'[1]Table S6'!$A:$AI,5,FALSE)</f>
        <v>No</v>
      </c>
      <c r="O234">
        <f>VLOOKUP($I234,'[1]Table S6'!$A:$AI,7,FALSE)</f>
        <v>400.8</v>
      </c>
      <c r="P234">
        <f>VLOOKUP($I234,'[1]Table S6'!$A:$AI,8,FALSE)</f>
        <v>0.85294743562460096</v>
      </c>
      <c r="Q234">
        <f>VLOOKUP($I234,'[1]Table S6'!$A:$AI,9,FALSE)</f>
        <v>32.46</v>
      </c>
      <c r="R234" t="str">
        <f>VLOOKUP($I234,'[1]Table S6'!$A:$AI,10,FALSE)</f>
        <v>No</v>
      </c>
      <c r="T234">
        <f>VLOOKUP($I234,'[1]Table S6'!$A:$AI,12,FALSE)</f>
        <v>314.8</v>
      </c>
      <c r="U234">
        <f>VLOOKUP($I234,'[1]Table S6'!$A:$AI,13,FALSE)</f>
        <v>0.66992977229197703</v>
      </c>
      <c r="V234">
        <f>VLOOKUP($I234,'[1]Table S6'!$A:$AI,14,FALSE)</f>
        <v>1.69</v>
      </c>
      <c r="W234" t="str">
        <f>VLOOKUP($I234,'[1]Table S6'!$A:$AI,15,FALSE)</f>
        <v>Yes</v>
      </c>
      <c r="Y234">
        <f>VLOOKUP($I234,'[1]Table S6'!$A:$AI,17,FALSE)</f>
        <v>377.6</v>
      </c>
      <c r="Z234">
        <f>VLOOKUP($I234,'[1]Table S6'!$A:$AI,18,FALSE)</f>
        <v>0.80357522877207899</v>
      </c>
      <c r="AA234">
        <f>VLOOKUP($I234,'[1]Table S6'!$A:$AI,19,FALSE)</f>
        <v>12.17</v>
      </c>
      <c r="AB234" t="str">
        <f>VLOOKUP($I234,'[1]Table S6'!$A:$AI,20,FALSE)</f>
        <v>No</v>
      </c>
      <c r="AD234">
        <f>VLOOKUP($I234,'[1]Table S6'!$A:$AI,22,FALSE)</f>
        <v>395.6</v>
      </c>
      <c r="AE234">
        <f>VLOOKUP($I234,'[1]Table S6'!$A:$AI,23,FALSE)</f>
        <v>0.84188125133006997</v>
      </c>
      <c r="AF234">
        <f>VLOOKUP($I234,'[1]Table S6'!$A:$AI,24,FALSE)</f>
        <v>25.05</v>
      </c>
      <c r="AG234" t="str">
        <f>VLOOKUP($I234,'[1]Table S6'!$A:$AI,25,FALSE)</f>
        <v>No</v>
      </c>
      <c r="AI234">
        <f>VLOOKUP($I234,'[1]Table S6'!$A:$AI,27,FALSE)</f>
        <v>420.5</v>
      </c>
      <c r="AJ234">
        <f>VLOOKUP($I234,'[1]Table S6'!$A:$AI,28,FALSE)</f>
        <v>0.89487124920195804</v>
      </c>
      <c r="AK234">
        <f>VLOOKUP($I234,'[1]Table S6'!$A:$AI,29,FALSE)</f>
        <v>63.93</v>
      </c>
      <c r="AL234" t="str">
        <f>VLOOKUP($I234,'[1]Table S6'!$A:$AI,30,FALSE)</f>
        <v>No</v>
      </c>
      <c r="AN234">
        <f>VLOOKUP($I234,'[1]Table S6'!$A:$AI,32,FALSE)</f>
        <v>400.6</v>
      </c>
      <c r="AO234">
        <f>VLOOKUP($I234,'[1]Table S6'!$A:$AI,33,FALSE)</f>
        <v>0.85252181315173403</v>
      </c>
      <c r="AP234">
        <f>VLOOKUP($I234,'[1]Table S6'!$A:$AI,34,FALSE)</f>
        <v>27.04</v>
      </c>
      <c r="AQ234" t="str">
        <f>VLOOKUP($I234,'[1]Table S6'!$A:$AI,35,FALSE)</f>
        <v>No</v>
      </c>
      <c r="AS234" t="e">
        <f>VLOOKUP($H234,'[2]Table S5'!$A:$K,8,FALSE)</f>
        <v>#N/A</v>
      </c>
      <c r="AT234" t="e">
        <f>VLOOKUP($H234,'[2]Table S5'!$A:$K,9,FALSE)</f>
        <v>#N/A</v>
      </c>
      <c r="AU234" t="e">
        <f>VLOOKUP($H234,'[2]Table S5'!$A:$K,10,FALSE)</f>
        <v>#N/A</v>
      </c>
      <c r="AV234" t="e">
        <f>VLOOKUP($H234,'[2]Table S5'!$A:$K,11,FALSE)</f>
        <v>#N/A</v>
      </c>
    </row>
    <row r="235" spans="1:48">
      <c r="A235" t="s">
        <v>1773</v>
      </c>
      <c r="B235" t="s">
        <v>1774</v>
      </c>
      <c r="C235" t="s">
        <v>17</v>
      </c>
      <c r="D235" t="s">
        <v>1776</v>
      </c>
      <c r="E235" t="s">
        <v>1777</v>
      </c>
      <c r="F235" t="s">
        <v>1778</v>
      </c>
      <c r="G235" t="s">
        <v>4751</v>
      </c>
      <c r="H235" t="s">
        <v>1741</v>
      </c>
      <c r="I235" t="s">
        <v>1764</v>
      </c>
      <c r="J235">
        <f>VLOOKUP($I235,'[1]Table S6'!$A:$AI,2,FALSE)</f>
        <v>338</v>
      </c>
      <c r="K235">
        <f>VLOOKUP($I235,'[1]Table S6'!$A:$AI,3,FALSE)</f>
        <v>0.719301979144499</v>
      </c>
      <c r="L235">
        <f>VLOOKUP($I235,'[1]Table S6'!$A:$AI,4,FALSE)</f>
        <v>3.6880000000000002</v>
      </c>
      <c r="M235" t="str">
        <f>VLOOKUP($I235,'[1]Table S6'!$A:$AI,5,FALSE)</f>
        <v>No</v>
      </c>
      <c r="O235">
        <f>VLOOKUP($I235,'[1]Table S6'!$A:$AI,7,FALSE)</f>
        <v>400.8</v>
      </c>
      <c r="P235">
        <f>VLOOKUP($I235,'[1]Table S6'!$A:$AI,8,FALSE)</f>
        <v>0.85294743562460096</v>
      </c>
      <c r="Q235">
        <f>VLOOKUP($I235,'[1]Table S6'!$A:$AI,9,FALSE)</f>
        <v>32.46</v>
      </c>
      <c r="R235" t="str">
        <f>VLOOKUP($I235,'[1]Table S6'!$A:$AI,10,FALSE)</f>
        <v>No</v>
      </c>
      <c r="T235">
        <f>VLOOKUP($I235,'[1]Table S6'!$A:$AI,12,FALSE)</f>
        <v>314.8</v>
      </c>
      <c r="U235">
        <f>VLOOKUP($I235,'[1]Table S6'!$A:$AI,13,FALSE)</f>
        <v>0.66992977229197703</v>
      </c>
      <c r="V235">
        <f>VLOOKUP($I235,'[1]Table S6'!$A:$AI,14,FALSE)</f>
        <v>1.69</v>
      </c>
      <c r="W235" t="str">
        <f>VLOOKUP($I235,'[1]Table S6'!$A:$AI,15,FALSE)</f>
        <v>Yes</v>
      </c>
      <c r="Y235">
        <f>VLOOKUP($I235,'[1]Table S6'!$A:$AI,17,FALSE)</f>
        <v>377.6</v>
      </c>
      <c r="Z235">
        <f>VLOOKUP($I235,'[1]Table S6'!$A:$AI,18,FALSE)</f>
        <v>0.80357522877207899</v>
      </c>
      <c r="AA235">
        <f>VLOOKUP($I235,'[1]Table S6'!$A:$AI,19,FALSE)</f>
        <v>12.17</v>
      </c>
      <c r="AB235" t="str">
        <f>VLOOKUP($I235,'[1]Table S6'!$A:$AI,20,FALSE)</f>
        <v>No</v>
      </c>
      <c r="AD235">
        <f>VLOOKUP($I235,'[1]Table S6'!$A:$AI,22,FALSE)</f>
        <v>395.6</v>
      </c>
      <c r="AE235">
        <f>VLOOKUP($I235,'[1]Table S6'!$A:$AI,23,FALSE)</f>
        <v>0.84188125133006997</v>
      </c>
      <c r="AF235">
        <f>VLOOKUP($I235,'[1]Table S6'!$A:$AI,24,FALSE)</f>
        <v>25.05</v>
      </c>
      <c r="AG235" t="str">
        <f>VLOOKUP($I235,'[1]Table S6'!$A:$AI,25,FALSE)</f>
        <v>No</v>
      </c>
      <c r="AI235">
        <f>VLOOKUP($I235,'[1]Table S6'!$A:$AI,27,FALSE)</f>
        <v>420.5</v>
      </c>
      <c r="AJ235">
        <f>VLOOKUP($I235,'[1]Table S6'!$A:$AI,28,FALSE)</f>
        <v>0.89487124920195804</v>
      </c>
      <c r="AK235">
        <f>VLOOKUP($I235,'[1]Table S6'!$A:$AI,29,FALSE)</f>
        <v>63.93</v>
      </c>
      <c r="AL235" t="str">
        <f>VLOOKUP($I235,'[1]Table S6'!$A:$AI,30,FALSE)</f>
        <v>No</v>
      </c>
      <c r="AN235">
        <f>VLOOKUP($I235,'[1]Table S6'!$A:$AI,32,FALSE)</f>
        <v>400.6</v>
      </c>
      <c r="AO235">
        <f>VLOOKUP($I235,'[1]Table S6'!$A:$AI,33,FALSE)</f>
        <v>0.85252181315173403</v>
      </c>
      <c r="AP235">
        <f>VLOOKUP($I235,'[1]Table S6'!$A:$AI,34,FALSE)</f>
        <v>27.04</v>
      </c>
      <c r="AQ235" t="str">
        <f>VLOOKUP($I235,'[1]Table S6'!$A:$AI,35,FALSE)</f>
        <v>No</v>
      </c>
      <c r="AS235" t="e">
        <f>VLOOKUP($H235,'[2]Table S5'!$A:$K,8,FALSE)</f>
        <v>#N/A</v>
      </c>
      <c r="AT235" t="e">
        <f>VLOOKUP($H235,'[2]Table S5'!$A:$K,9,FALSE)</f>
        <v>#N/A</v>
      </c>
      <c r="AU235" t="e">
        <f>VLOOKUP($H235,'[2]Table S5'!$A:$K,10,FALSE)</f>
        <v>#N/A</v>
      </c>
      <c r="AV235" t="e">
        <f>VLOOKUP($H235,'[2]Table S5'!$A:$K,11,FALSE)</f>
        <v>#N/A</v>
      </c>
    </row>
    <row r="236" spans="1:48">
      <c r="A236" t="s">
        <v>1780</v>
      </c>
      <c r="B236" t="s">
        <v>1781</v>
      </c>
      <c r="C236" t="s">
        <v>17</v>
      </c>
      <c r="D236" t="s">
        <v>1783</v>
      </c>
      <c r="E236" t="s">
        <v>1784</v>
      </c>
      <c r="F236" t="s">
        <v>1785</v>
      </c>
      <c r="G236" t="s">
        <v>4754</v>
      </c>
      <c r="H236" t="s">
        <v>1741</v>
      </c>
      <c r="I236" t="s">
        <v>1786</v>
      </c>
      <c r="J236">
        <f>VLOOKUP($I236,'[1]Table S6'!$A:$AI,2,FALSE)</f>
        <v>394.9</v>
      </c>
      <c r="K236">
        <f>VLOOKUP($I236,'[1]Table S6'!$A:$AI,3,FALSE)</f>
        <v>0.84039157267503695</v>
      </c>
      <c r="L236">
        <f>VLOOKUP($I236,'[1]Table S6'!$A:$AI,4,FALSE)</f>
        <v>25.17</v>
      </c>
      <c r="M236" t="str">
        <f>VLOOKUP($I236,'[1]Table S6'!$A:$AI,5,FALSE)</f>
        <v>No</v>
      </c>
      <c r="O236">
        <f>VLOOKUP($I236,'[1]Table S6'!$A:$AI,7,FALSE)</f>
        <v>407.9</v>
      </c>
      <c r="P236">
        <f>VLOOKUP($I236,'[1]Table S6'!$A:$AI,8,FALSE)</f>
        <v>0.86805703341136398</v>
      </c>
      <c r="Q236">
        <f>VLOOKUP($I236,'[1]Table S6'!$A:$AI,9,FALSE)</f>
        <v>42.59</v>
      </c>
      <c r="R236" t="str">
        <f>VLOOKUP($I236,'[1]Table S6'!$A:$AI,10,FALSE)</f>
        <v>No</v>
      </c>
      <c r="T236">
        <f>VLOOKUP($I236,'[1]Table S6'!$A:$AI,12,FALSE)</f>
        <v>378.8</v>
      </c>
      <c r="U236">
        <f>VLOOKUP($I236,'[1]Table S6'!$A:$AI,13,FALSE)</f>
        <v>0.80612896360927899</v>
      </c>
      <c r="V236">
        <f>VLOOKUP($I236,'[1]Table S6'!$A:$AI,14,FALSE)</f>
        <v>12.3</v>
      </c>
      <c r="W236" t="str">
        <f>VLOOKUP($I236,'[1]Table S6'!$A:$AI,15,FALSE)</f>
        <v>No</v>
      </c>
      <c r="Y236">
        <f>VLOOKUP($I236,'[1]Table S6'!$A:$AI,17,FALSE)</f>
        <v>352</v>
      </c>
      <c r="Z236">
        <f>VLOOKUP($I236,'[1]Table S6'!$A:$AI,18,FALSE)</f>
        <v>0.749095552245159</v>
      </c>
      <c r="AA236">
        <f>VLOOKUP($I236,'[1]Table S6'!$A:$AI,19,FALSE)</f>
        <v>5.9779999999999998</v>
      </c>
      <c r="AB236" t="str">
        <f>VLOOKUP($I236,'[1]Table S6'!$A:$AI,20,FALSE)</f>
        <v>No</v>
      </c>
      <c r="AD236">
        <f>VLOOKUP($I236,'[1]Table S6'!$A:$AI,22,FALSE)</f>
        <v>377.1</v>
      </c>
      <c r="AE236">
        <f>VLOOKUP($I236,'[1]Table S6'!$A:$AI,23,FALSE)</f>
        <v>0.802511172589913</v>
      </c>
      <c r="AF236">
        <f>VLOOKUP($I236,'[1]Table S6'!$A:$AI,24,FALSE)</f>
        <v>11.72</v>
      </c>
      <c r="AG236" t="str">
        <f>VLOOKUP($I236,'[1]Table S6'!$A:$AI,25,FALSE)</f>
        <v>No</v>
      </c>
      <c r="AI236">
        <f>VLOOKUP($I236,'[1]Table S6'!$A:$AI,27,FALSE)</f>
        <v>410.6</v>
      </c>
      <c r="AJ236">
        <f>VLOOKUP($I236,'[1]Table S6'!$A:$AI,28,FALSE)</f>
        <v>0.87380293679506305</v>
      </c>
      <c r="AK236">
        <f>VLOOKUP($I236,'[1]Table S6'!$A:$AI,29,FALSE)</f>
        <v>50.77</v>
      </c>
      <c r="AL236" t="str">
        <f>VLOOKUP($I236,'[1]Table S6'!$A:$AI,30,FALSE)</f>
        <v>No</v>
      </c>
      <c r="AN236">
        <f>VLOOKUP($I236,'[1]Table S6'!$A:$AI,32,FALSE)</f>
        <v>338.9</v>
      </c>
      <c r="AO236">
        <f>VLOOKUP($I236,'[1]Table S6'!$A:$AI,33,FALSE)</f>
        <v>0.72121728027239795</v>
      </c>
      <c r="AP236">
        <f>VLOOKUP($I236,'[1]Table S6'!$A:$AI,34,FALSE)</f>
        <v>3.4740000000000002</v>
      </c>
      <c r="AQ236" t="str">
        <f>VLOOKUP($I236,'[1]Table S6'!$A:$AI,35,FALSE)</f>
        <v>No</v>
      </c>
      <c r="AS236" t="e">
        <f>VLOOKUP($H236,'[2]Table S5'!$A:$K,8,FALSE)</f>
        <v>#N/A</v>
      </c>
      <c r="AT236" t="e">
        <f>VLOOKUP($H236,'[2]Table S5'!$A:$K,9,FALSE)</f>
        <v>#N/A</v>
      </c>
      <c r="AU236" t="e">
        <f>VLOOKUP($H236,'[2]Table S5'!$A:$K,10,FALSE)</f>
        <v>#N/A</v>
      </c>
      <c r="AV236" t="e">
        <f>VLOOKUP($H236,'[2]Table S5'!$A:$K,11,FALSE)</f>
        <v>#N/A</v>
      </c>
    </row>
    <row r="237" spans="1:48">
      <c r="A237" t="s">
        <v>1788</v>
      </c>
      <c r="B237" t="s">
        <v>1789</v>
      </c>
      <c r="C237" t="s">
        <v>17</v>
      </c>
      <c r="D237" t="s">
        <v>1791</v>
      </c>
      <c r="E237" t="s">
        <v>1792</v>
      </c>
      <c r="F237" t="s">
        <v>1793</v>
      </c>
      <c r="G237" t="s">
        <v>4755</v>
      </c>
      <c r="H237" t="s">
        <v>1741</v>
      </c>
      <c r="I237" t="s">
        <v>1786</v>
      </c>
      <c r="J237">
        <f>VLOOKUP($I237,'[1]Table S6'!$A:$AI,2,FALSE)</f>
        <v>394.9</v>
      </c>
      <c r="K237">
        <f>VLOOKUP($I237,'[1]Table S6'!$A:$AI,3,FALSE)</f>
        <v>0.84039157267503695</v>
      </c>
      <c r="L237">
        <f>VLOOKUP($I237,'[1]Table S6'!$A:$AI,4,FALSE)</f>
        <v>25.17</v>
      </c>
      <c r="M237" t="str">
        <f>VLOOKUP($I237,'[1]Table S6'!$A:$AI,5,FALSE)</f>
        <v>No</v>
      </c>
      <c r="O237">
        <f>VLOOKUP($I237,'[1]Table S6'!$A:$AI,7,FALSE)</f>
        <v>407.9</v>
      </c>
      <c r="P237">
        <f>VLOOKUP($I237,'[1]Table S6'!$A:$AI,8,FALSE)</f>
        <v>0.86805703341136398</v>
      </c>
      <c r="Q237">
        <f>VLOOKUP($I237,'[1]Table S6'!$A:$AI,9,FALSE)</f>
        <v>42.59</v>
      </c>
      <c r="R237" t="str">
        <f>VLOOKUP($I237,'[1]Table S6'!$A:$AI,10,FALSE)</f>
        <v>No</v>
      </c>
      <c r="T237">
        <f>VLOOKUP($I237,'[1]Table S6'!$A:$AI,12,FALSE)</f>
        <v>378.8</v>
      </c>
      <c r="U237">
        <f>VLOOKUP($I237,'[1]Table S6'!$A:$AI,13,FALSE)</f>
        <v>0.80612896360927899</v>
      </c>
      <c r="V237">
        <f>VLOOKUP($I237,'[1]Table S6'!$A:$AI,14,FALSE)</f>
        <v>12.3</v>
      </c>
      <c r="W237" t="str">
        <f>VLOOKUP($I237,'[1]Table S6'!$A:$AI,15,FALSE)</f>
        <v>No</v>
      </c>
      <c r="Y237">
        <f>VLOOKUP($I237,'[1]Table S6'!$A:$AI,17,FALSE)</f>
        <v>352</v>
      </c>
      <c r="Z237">
        <f>VLOOKUP($I237,'[1]Table S6'!$A:$AI,18,FALSE)</f>
        <v>0.749095552245159</v>
      </c>
      <c r="AA237">
        <f>VLOOKUP($I237,'[1]Table S6'!$A:$AI,19,FALSE)</f>
        <v>5.9779999999999998</v>
      </c>
      <c r="AB237" t="str">
        <f>VLOOKUP($I237,'[1]Table S6'!$A:$AI,20,FALSE)</f>
        <v>No</v>
      </c>
      <c r="AD237">
        <f>VLOOKUP($I237,'[1]Table S6'!$A:$AI,22,FALSE)</f>
        <v>377.1</v>
      </c>
      <c r="AE237">
        <f>VLOOKUP($I237,'[1]Table S6'!$A:$AI,23,FALSE)</f>
        <v>0.802511172589913</v>
      </c>
      <c r="AF237">
        <f>VLOOKUP($I237,'[1]Table S6'!$A:$AI,24,FALSE)</f>
        <v>11.72</v>
      </c>
      <c r="AG237" t="str">
        <f>VLOOKUP($I237,'[1]Table S6'!$A:$AI,25,FALSE)</f>
        <v>No</v>
      </c>
      <c r="AI237">
        <f>VLOOKUP($I237,'[1]Table S6'!$A:$AI,27,FALSE)</f>
        <v>410.6</v>
      </c>
      <c r="AJ237">
        <f>VLOOKUP($I237,'[1]Table S6'!$A:$AI,28,FALSE)</f>
        <v>0.87380293679506305</v>
      </c>
      <c r="AK237">
        <f>VLOOKUP($I237,'[1]Table S6'!$A:$AI,29,FALSE)</f>
        <v>50.77</v>
      </c>
      <c r="AL237" t="str">
        <f>VLOOKUP($I237,'[1]Table S6'!$A:$AI,30,FALSE)</f>
        <v>No</v>
      </c>
      <c r="AN237">
        <f>VLOOKUP($I237,'[1]Table S6'!$A:$AI,32,FALSE)</f>
        <v>338.9</v>
      </c>
      <c r="AO237">
        <f>VLOOKUP($I237,'[1]Table S6'!$A:$AI,33,FALSE)</f>
        <v>0.72121728027239795</v>
      </c>
      <c r="AP237">
        <f>VLOOKUP($I237,'[1]Table S6'!$A:$AI,34,FALSE)</f>
        <v>3.4740000000000002</v>
      </c>
      <c r="AQ237" t="str">
        <f>VLOOKUP($I237,'[1]Table S6'!$A:$AI,35,FALSE)</f>
        <v>No</v>
      </c>
      <c r="AS237" t="e">
        <f>VLOOKUP($H237,'[2]Table S5'!$A:$K,8,FALSE)</f>
        <v>#N/A</v>
      </c>
      <c r="AT237" t="e">
        <f>VLOOKUP($H237,'[2]Table S5'!$A:$K,9,FALSE)</f>
        <v>#N/A</v>
      </c>
      <c r="AU237" t="e">
        <f>VLOOKUP($H237,'[2]Table S5'!$A:$K,10,FALSE)</f>
        <v>#N/A</v>
      </c>
      <c r="AV237" t="e">
        <f>VLOOKUP($H237,'[2]Table S5'!$A:$K,11,FALSE)</f>
        <v>#N/A</v>
      </c>
    </row>
    <row r="238" spans="1:48">
      <c r="A238" t="s">
        <v>1795</v>
      </c>
      <c r="B238" t="s">
        <v>1796</v>
      </c>
      <c r="C238" t="s">
        <v>17</v>
      </c>
      <c r="D238" t="s">
        <v>1798</v>
      </c>
      <c r="E238" t="s">
        <v>1799</v>
      </c>
      <c r="F238" t="s">
        <v>1800</v>
      </c>
      <c r="G238" t="s">
        <v>4751</v>
      </c>
      <c r="H238" t="s">
        <v>1741</v>
      </c>
      <c r="I238" t="s">
        <v>1786</v>
      </c>
      <c r="J238">
        <f>VLOOKUP($I238,'[1]Table S6'!$A:$AI,2,FALSE)</f>
        <v>394.9</v>
      </c>
      <c r="K238">
        <f>VLOOKUP($I238,'[1]Table S6'!$A:$AI,3,FALSE)</f>
        <v>0.84039157267503695</v>
      </c>
      <c r="L238">
        <f>VLOOKUP($I238,'[1]Table S6'!$A:$AI,4,FALSE)</f>
        <v>25.17</v>
      </c>
      <c r="M238" t="str">
        <f>VLOOKUP($I238,'[1]Table S6'!$A:$AI,5,FALSE)</f>
        <v>No</v>
      </c>
      <c r="O238">
        <f>VLOOKUP($I238,'[1]Table S6'!$A:$AI,7,FALSE)</f>
        <v>407.9</v>
      </c>
      <c r="P238">
        <f>VLOOKUP($I238,'[1]Table S6'!$A:$AI,8,FALSE)</f>
        <v>0.86805703341136398</v>
      </c>
      <c r="Q238">
        <f>VLOOKUP($I238,'[1]Table S6'!$A:$AI,9,FALSE)</f>
        <v>42.59</v>
      </c>
      <c r="R238" t="str">
        <f>VLOOKUP($I238,'[1]Table S6'!$A:$AI,10,FALSE)</f>
        <v>No</v>
      </c>
      <c r="T238">
        <f>VLOOKUP($I238,'[1]Table S6'!$A:$AI,12,FALSE)</f>
        <v>378.8</v>
      </c>
      <c r="U238">
        <f>VLOOKUP($I238,'[1]Table S6'!$A:$AI,13,FALSE)</f>
        <v>0.80612896360927899</v>
      </c>
      <c r="V238">
        <f>VLOOKUP($I238,'[1]Table S6'!$A:$AI,14,FALSE)</f>
        <v>12.3</v>
      </c>
      <c r="W238" t="str">
        <f>VLOOKUP($I238,'[1]Table S6'!$A:$AI,15,FALSE)</f>
        <v>No</v>
      </c>
      <c r="Y238">
        <f>VLOOKUP($I238,'[1]Table S6'!$A:$AI,17,FALSE)</f>
        <v>352</v>
      </c>
      <c r="Z238">
        <f>VLOOKUP($I238,'[1]Table S6'!$A:$AI,18,FALSE)</f>
        <v>0.749095552245159</v>
      </c>
      <c r="AA238">
        <f>VLOOKUP($I238,'[1]Table S6'!$A:$AI,19,FALSE)</f>
        <v>5.9779999999999998</v>
      </c>
      <c r="AB238" t="str">
        <f>VLOOKUP($I238,'[1]Table S6'!$A:$AI,20,FALSE)</f>
        <v>No</v>
      </c>
      <c r="AD238">
        <f>VLOOKUP($I238,'[1]Table S6'!$A:$AI,22,FALSE)</f>
        <v>377.1</v>
      </c>
      <c r="AE238">
        <f>VLOOKUP($I238,'[1]Table S6'!$A:$AI,23,FALSE)</f>
        <v>0.802511172589913</v>
      </c>
      <c r="AF238">
        <f>VLOOKUP($I238,'[1]Table S6'!$A:$AI,24,FALSE)</f>
        <v>11.72</v>
      </c>
      <c r="AG238" t="str">
        <f>VLOOKUP($I238,'[1]Table S6'!$A:$AI,25,FALSE)</f>
        <v>No</v>
      </c>
      <c r="AI238">
        <f>VLOOKUP($I238,'[1]Table S6'!$A:$AI,27,FALSE)</f>
        <v>410.6</v>
      </c>
      <c r="AJ238">
        <f>VLOOKUP($I238,'[1]Table S6'!$A:$AI,28,FALSE)</f>
        <v>0.87380293679506305</v>
      </c>
      <c r="AK238">
        <f>VLOOKUP($I238,'[1]Table S6'!$A:$AI,29,FALSE)</f>
        <v>50.77</v>
      </c>
      <c r="AL238" t="str">
        <f>VLOOKUP($I238,'[1]Table S6'!$A:$AI,30,FALSE)</f>
        <v>No</v>
      </c>
      <c r="AN238">
        <f>VLOOKUP($I238,'[1]Table S6'!$A:$AI,32,FALSE)</f>
        <v>338.9</v>
      </c>
      <c r="AO238">
        <f>VLOOKUP($I238,'[1]Table S6'!$A:$AI,33,FALSE)</f>
        <v>0.72121728027239795</v>
      </c>
      <c r="AP238">
        <f>VLOOKUP($I238,'[1]Table S6'!$A:$AI,34,FALSE)</f>
        <v>3.4740000000000002</v>
      </c>
      <c r="AQ238" t="str">
        <f>VLOOKUP($I238,'[1]Table S6'!$A:$AI,35,FALSE)</f>
        <v>No</v>
      </c>
      <c r="AS238" t="e">
        <f>VLOOKUP($H238,'[2]Table S5'!$A:$K,8,FALSE)</f>
        <v>#N/A</v>
      </c>
      <c r="AT238" t="e">
        <f>VLOOKUP($H238,'[2]Table S5'!$A:$K,9,FALSE)</f>
        <v>#N/A</v>
      </c>
      <c r="AU238" t="e">
        <f>VLOOKUP($H238,'[2]Table S5'!$A:$K,10,FALSE)</f>
        <v>#N/A</v>
      </c>
      <c r="AV238" t="e">
        <f>VLOOKUP($H238,'[2]Table S5'!$A:$K,11,FALSE)</f>
        <v>#N/A</v>
      </c>
    </row>
    <row r="239" spans="1:48">
      <c r="A239" t="s">
        <v>1802</v>
      </c>
      <c r="B239" t="s">
        <v>1803</v>
      </c>
      <c r="C239" t="s">
        <v>17</v>
      </c>
      <c r="D239" t="s">
        <v>1805</v>
      </c>
      <c r="E239" t="s">
        <v>1806</v>
      </c>
      <c r="F239" t="s">
        <v>1807</v>
      </c>
      <c r="G239" t="s">
        <v>4757</v>
      </c>
      <c r="H239" t="s">
        <v>1741</v>
      </c>
      <c r="I239" t="s">
        <v>1741</v>
      </c>
      <c r="J239" t="e">
        <f>VLOOKUP($I239,'[1]Table S6'!$A:$AI,2,FALSE)</f>
        <v>#N/A</v>
      </c>
      <c r="K239" t="e">
        <f>VLOOKUP($I239,'[1]Table S6'!$A:$AI,3,FALSE)</f>
        <v>#N/A</v>
      </c>
      <c r="L239" t="e">
        <f>VLOOKUP($I239,'[1]Table S6'!$A:$AI,4,FALSE)</f>
        <v>#N/A</v>
      </c>
      <c r="M239" t="e">
        <f>VLOOKUP($I239,'[1]Table S6'!$A:$AI,5,FALSE)</f>
        <v>#N/A</v>
      </c>
      <c r="O239" t="e">
        <f>VLOOKUP($I239,'[1]Table S6'!$A:$AI,7,FALSE)</f>
        <v>#N/A</v>
      </c>
      <c r="P239" t="e">
        <f>VLOOKUP($I239,'[1]Table S6'!$A:$AI,8,FALSE)</f>
        <v>#N/A</v>
      </c>
      <c r="Q239" t="e">
        <f>VLOOKUP($I239,'[1]Table S6'!$A:$AI,9,FALSE)</f>
        <v>#N/A</v>
      </c>
      <c r="R239" t="e">
        <f>VLOOKUP($I239,'[1]Table S6'!$A:$AI,10,FALSE)</f>
        <v>#N/A</v>
      </c>
      <c r="T239" t="e">
        <f>VLOOKUP($I239,'[1]Table S6'!$A:$AI,12,FALSE)</f>
        <v>#N/A</v>
      </c>
      <c r="U239" t="e">
        <f>VLOOKUP($I239,'[1]Table S6'!$A:$AI,13,FALSE)</f>
        <v>#N/A</v>
      </c>
      <c r="V239" t="e">
        <f>VLOOKUP($I239,'[1]Table S6'!$A:$AI,14,FALSE)</f>
        <v>#N/A</v>
      </c>
      <c r="W239" t="e">
        <f>VLOOKUP($I239,'[1]Table S6'!$A:$AI,15,FALSE)</f>
        <v>#N/A</v>
      </c>
      <c r="Y239" t="e">
        <f>VLOOKUP($I239,'[1]Table S6'!$A:$AI,17,FALSE)</f>
        <v>#N/A</v>
      </c>
      <c r="Z239" t="e">
        <f>VLOOKUP($I239,'[1]Table S6'!$A:$AI,18,FALSE)</f>
        <v>#N/A</v>
      </c>
      <c r="AA239" t="e">
        <f>VLOOKUP($I239,'[1]Table S6'!$A:$AI,19,FALSE)</f>
        <v>#N/A</v>
      </c>
      <c r="AB239" t="e">
        <f>VLOOKUP($I239,'[1]Table S6'!$A:$AI,20,FALSE)</f>
        <v>#N/A</v>
      </c>
      <c r="AD239" t="e">
        <f>VLOOKUP($I239,'[1]Table S6'!$A:$AI,22,FALSE)</f>
        <v>#N/A</v>
      </c>
      <c r="AE239" t="e">
        <f>VLOOKUP($I239,'[1]Table S6'!$A:$AI,23,FALSE)</f>
        <v>#N/A</v>
      </c>
      <c r="AF239" t="e">
        <f>VLOOKUP($I239,'[1]Table S6'!$A:$AI,24,FALSE)</f>
        <v>#N/A</v>
      </c>
      <c r="AG239" t="e">
        <f>VLOOKUP($I239,'[1]Table S6'!$A:$AI,25,FALSE)</f>
        <v>#N/A</v>
      </c>
      <c r="AI239" t="e">
        <f>VLOOKUP($I239,'[1]Table S6'!$A:$AI,27,FALSE)</f>
        <v>#N/A</v>
      </c>
      <c r="AJ239" t="e">
        <f>VLOOKUP($I239,'[1]Table S6'!$A:$AI,28,FALSE)</f>
        <v>#N/A</v>
      </c>
      <c r="AK239" t="e">
        <f>VLOOKUP($I239,'[1]Table S6'!$A:$AI,29,FALSE)</f>
        <v>#N/A</v>
      </c>
      <c r="AL239" t="e">
        <f>VLOOKUP($I239,'[1]Table S6'!$A:$AI,30,FALSE)</f>
        <v>#N/A</v>
      </c>
      <c r="AN239" t="e">
        <f>VLOOKUP($I239,'[1]Table S6'!$A:$AI,32,FALSE)</f>
        <v>#N/A</v>
      </c>
      <c r="AO239" t="e">
        <f>VLOOKUP($I239,'[1]Table S6'!$A:$AI,33,FALSE)</f>
        <v>#N/A</v>
      </c>
      <c r="AP239" t="e">
        <f>VLOOKUP($I239,'[1]Table S6'!$A:$AI,34,FALSE)</f>
        <v>#N/A</v>
      </c>
      <c r="AQ239" t="e">
        <f>VLOOKUP($I239,'[1]Table S6'!$A:$AI,35,FALSE)</f>
        <v>#N/A</v>
      </c>
      <c r="AS239" t="e">
        <f>VLOOKUP($H239,'[2]Table S5'!$A:$K,8,FALSE)</f>
        <v>#N/A</v>
      </c>
      <c r="AT239" t="e">
        <f>VLOOKUP($H239,'[2]Table S5'!$A:$K,9,FALSE)</f>
        <v>#N/A</v>
      </c>
      <c r="AU239" t="e">
        <f>VLOOKUP($H239,'[2]Table S5'!$A:$K,10,FALSE)</f>
        <v>#N/A</v>
      </c>
      <c r="AV239" t="e">
        <f>VLOOKUP($H239,'[2]Table S5'!$A:$K,11,FALSE)</f>
        <v>#N/A</v>
      </c>
    </row>
    <row r="240" spans="1:48">
      <c r="A240" t="s">
        <v>1809</v>
      </c>
      <c r="B240" t="s">
        <v>1810</v>
      </c>
      <c r="C240" t="s">
        <v>17</v>
      </c>
      <c r="D240" t="s">
        <v>1812</v>
      </c>
      <c r="E240" t="s">
        <v>1813</v>
      </c>
      <c r="F240" t="s">
        <v>1814</v>
      </c>
      <c r="G240" t="s">
        <v>4754</v>
      </c>
      <c r="H240" t="s">
        <v>1815</v>
      </c>
      <c r="I240" t="s">
        <v>1816</v>
      </c>
      <c r="J240">
        <f>VLOOKUP($I240,'[1]Table S6'!$A:$AI,2,FALSE)</f>
        <v>353.1</v>
      </c>
      <c r="K240">
        <f>VLOOKUP($I240,'[1]Table S6'!$A:$AI,3,FALSE)</f>
        <v>0.75143647584592499</v>
      </c>
      <c r="L240">
        <f>VLOOKUP($I240,'[1]Table S6'!$A:$AI,4,FALSE)</f>
        <v>6.13</v>
      </c>
      <c r="M240" t="str">
        <f>VLOOKUP($I240,'[1]Table S6'!$A:$AI,5,FALSE)</f>
        <v>No</v>
      </c>
      <c r="O240">
        <f>VLOOKUP($I240,'[1]Table S6'!$A:$AI,7,FALSE)</f>
        <v>352.1</v>
      </c>
      <c r="P240">
        <f>VLOOKUP($I240,'[1]Table S6'!$A:$AI,8,FALSE)</f>
        <v>0.74930836348159202</v>
      </c>
      <c r="Q240">
        <f>VLOOKUP($I240,'[1]Table S6'!$A:$AI,9,FALSE)</f>
        <v>5.86</v>
      </c>
      <c r="R240" t="str">
        <f>VLOOKUP($I240,'[1]Table S6'!$A:$AI,10,FALSE)</f>
        <v>No</v>
      </c>
      <c r="T240">
        <f>VLOOKUP($I240,'[1]Table S6'!$A:$AI,12,FALSE)</f>
        <v>380.2</v>
      </c>
      <c r="U240">
        <f>VLOOKUP($I240,'[1]Table S6'!$A:$AI,13,FALSE)</f>
        <v>0.80910832091934504</v>
      </c>
      <c r="V240">
        <f>VLOOKUP($I240,'[1]Table S6'!$A:$AI,14,FALSE)</f>
        <v>14.39</v>
      </c>
      <c r="W240" t="str">
        <f>VLOOKUP($I240,'[1]Table S6'!$A:$AI,15,FALSE)</f>
        <v>No</v>
      </c>
      <c r="Y240">
        <f>VLOOKUP($I240,'[1]Table S6'!$A:$AI,17,FALSE)</f>
        <v>379.4</v>
      </c>
      <c r="Z240">
        <f>VLOOKUP($I240,'[1]Table S6'!$A:$AI,18,FALSE)</f>
        <v>0.807405831027878</v>
      </c>
      <c r="AA240">
        <f>VLOOKUP($I240,'[1]Table S6'!$A:$AI,19,FALSE)</f>
        <v>12.83</v>
      </c>
      <c r="AB240" t="str">
        <f>VLOOKUP($I240,'[1]Table S6'!$A:$AI,20,FALSE)</f>
        <v>No</v>
      </c>
      <c r="AD240">
        <f>VLOOKUP($I240,'[1]Table S6'!$A:$AI,22,FALSE)</f>
        <v>399.2</v>
      </c>
      <c r="AE240">
        <f>VLOOKUP($I240,'[1]Table S6'!$A:$AI,23,FALSE)</f>
        <v>0.84954245584166799</v>
      </c>
      <c r="AF240">
        <f>VLOOKUP($I240,'[1]Table S6'!$A:$AI,24,FALSE)</f>
        <v>29.84</v>
      </c>
      <c r="AG240" t="str">
        <f>VLOOKUP($I240,'[1]Table S6'!$A:$AI,25,FALSE)</f>
        <v>No</v>
      </c>
      <c r="AI240">
        <f>VLOOKUP($I240,'[1]Table S6'!$A:$AI,27,FALSE)</f>
        <v>411.8</v>
      </c>
      <c r="AJ240">
        <f>VLOOKUP($I240,'[1]Table S6'!$A:$AI,28,FALSE)</f>
        <v>0.87635667163226205</v>
      </c>
      <c r="AK240">
        <f>VLOOKUP($I240,'[1]Table S6'!$A:$AI,29,FALSE)</f>
        <v>43.58</v>
      </c>
      <c r="AL240" t="str">
        <f>VLOOKUP($I240,'[1]Table S6'!$A:$AI,30,FALSE)</f>
        <v>No</v>
      </c>
      <c r="AN240">
        <f>VLOOKUP($I240,'[1]Table S6'!$A:$AI,32,FALSE)</f>
        <v>396.8</v>
      </c>
      <c r="AO240">
        <f>VLOOKUP($I240,'[1]Table S6'!$A:$AI,33,FALSE)</f>
        <v>0.84443498616726997</v>
      </c>
      <c r="AP240">
        <f>VLOOKUP($I240,'[1]Table S6'!$A:$AI,34,FALSE)</f>
        <v>21.5</v>
      </c>
      <c r="AQ240" t="str">
        <f>VLOOKUP($I240,'[1]Table S6'!$A:$AI,35,FALSE)</f>
        <v>No</v>
      </c>
      <c r="AS240" t="e">
        <f>VLOOKUP($H240,'[2]Table S5'!$A:$K,8,FALSE)</f>
        <v>#N/A</v>
      </c>
      <c r="AT240" t="e">
        <f>VLOOKUP($H240,'[2]Table S5'!$A:$K,9,FALSE)</f>
        <v>#N/A</v>
      </c>
      <c r="AU240" t="e">
        <f>VLOOKUP($H240,'[2]Table S5'!$A:$K,10,FALSE)</f>
        <v>#N/A</v>
      </c>
      <c r="AV240" t="e">
        <f>VLOOKUP($H240,'[2]Table S5'!$A:$K,11,FALSE)</f>
        <v>#N/A</v>
      </c>
    </row>
    <row r="241" spans="1:48">
      <c r="A241" t="s">
        <v>1818</v>
      </c>
      <c r="B241" t="s">
        <v>1819</v>
      </c>
      <c r="C241" t="s">
        <v>17</v>
      </c>
      <c r="D241" t="s">
        <v>1821</v>
      </c>
      <c r="E241" t="s">
        <v>1822</v>
      </c>
      <c r="F241" t="s">
        <v>1823</v>
      </c>
      <c r="G241" t="s">
        <v>4755</v>
      </c>
      <c r="H241" t="s">
        <v>1815</v>
      </c>
      <c r="I241" t="s">
        <v>1816</v>
      </c>
      <c r="J241">
        <f>VLOOKUP($I241,'[1]Table S6'!$A:$AI,2,FALSE)</f>
        <v>353.1</v>
      </c>
      <c r="K241">
        <f>VLOOKUP($I241,'[1]Table S6'!$A:$AI,3,FALSE)</f>
        <v>0.75143647584592499</v>
      </c>
      <c r="L241">
        <f>VLOOKUP($I241,'[1]Table S6'!$A:$AI,4,FALSE)</f>
        <v>6.13</v>
      </c>
      <c r="M241" t="str">
        <f>VLOOKUP($I241,'[1]Table S6'!$A:$AI,5,FALSE)</f>
        <v>No</v>
      </c>
      <c r="O241">
        <f>VLOOKUP($I241,'[1]Table S6'!$A:$AI,7,FALSE)</f>
        <v>352.1</v>
      </c>
      <c r="P241">
        <f>VLOOKUP($I241,'[1]Table S6'!$A:$AI,8,FALSE)</f>
        <v>0.74930836348159202</v>
      </c>
      <c r="Q241">
        <f>VLOOKUP($I241,'[1]Table S6'!$A:$AI,9,FALSE)</f>
        <v>5.86</v>
      </c>
      <c r="R241" t="str">
        <f>VLOOKUP($I241,'[1]Table S6'!$A:$AI,10,FALSE)</f>
        <v>No</v>
      </c>
      <c r="T241">
        <f>VLOOKUP($I241,'[1]Table S6'!$A:$AI,12,FALSE)</f>
        <v>380.2</v>
      </c>
      <c r="U241">
        <f>VLOOKUP($I241,'[1]Table S6'!$A:$AI,13,FALSE)</f>
        <v>0.80910832091934504</v>
      </c>
      <c r="V241">
        <f>VLOOKUP($I241,'[1]Table S6'!$A:$AI,14,FALSE)</f>
        <v>14.39</v>
      </c>
      <c r="W241" t="str">
        <f>VLOOKUP($I241,'[1]Table S6'!$A:$AI,15,FALSE)</f>
        <v>No</v>
      </c>
      <c r="Y241">
        <f>VLOOKUP($I241,'[1]Table S6'!$A:$AI,17,FALSE)</f>
        <v>379.4</v>
      </c>
      <c r="Z241">
        <f>VLOOKUP($I241,'[1]Table S6'!$A:$AI,18,FALSE)</f>
        <v>0.807405831027878</v>
      </c>
      <c r="AA241">
        <f>VLOOKUP($I241,'[1]Table S6'!$A:$AI,19,FALSE)</f>
        <v>12.83</v>
      </c>
      <c r="AB241" t="str">
        <f>VLOOKUP($I241,'[1]Table S6'!$A:$AI,20,FALSE)</f>
        <v>No</v>
      </c>
      <c r="AD241">
        <f>VLOOKUP($I241,'[1]Table S6'!$A:$AI,22,FALSE)</f>
        <v>399.2</v>
      </c>
      <c r="AE241">
        <f>VLOOKUP($I241,'[1]Table S6'!$A:$AI,23,FALSE)</f>
        <v>0.84954245584166799</v>
      </c>
      <c r="AF241">
        <f>VLOOKUP($I241,'[1]Table S6'!$A:$AI,24,FALSE)</f>
        <v>29.84</v>
      </c>
      <c r="AG241" t="str">
        <f>VLOOKUP($I241,'[1]Table S6'!$A:$AI,25,FALSE)</f>
        <v>No</v>
      </c>
      <c r="AI241">
        <f>VLOOKUP($I241,'[1]Table S6'!$A:$AI,27,FALSE)</f>
        <v>411.8</v>
      </c>
      <c r="AJ241">
        <f>VLOOKUP($I241,'[1]Table S6'!$A:$AI,28,FALSE)</f>
        <v>0.87635667163226205</v>
      </c>
      <c r="AK241">
        <f>VLOOKUP($I241,'[1]Table S6'!$A:$AI,29,FALSE)</f>
        <v>43.58</v>
      </c>
      <c r="AL241" t="str">
        <f>VLOOKUP($I241,'[1]Table S6'!$A:$AI,30,FALSE)</f>
        <v>No</v>
      </c>
      <c r="AN241">
        <f>VLOOKUP($I241,'[1]Table S6'!$A:$AI,32,FALSE)</f>
        <v>396.8</v>
      </c>
      <c r="AO241">
        <f>VLOOKUP($I241,'[1]Table S6'!$A:$AI,33,FALSE)</f>
        <v>0.84443498616726997</v>
      </c>
      <c r="AP241">
        <f>VLOOKUP($I241,'[1]Table S6'!$A:$AI,34,FALSE)</f>
        <v>21.5</v>
      </c>
      <c r="AQ241" t="str">
        <f>VLOOKUP($I241,'[1]Table S6'!$A:$AI,35,FALSE)</f>
        <v>No</v>
      </c>
      <c r="AS241" t="e">
        <f>VLOOKUP($H241,'[2]Table S5'!$A:$K,8,FALSE)</f>
        <v>#N/A</v>
      </c>
      <c r="AT241" t="e">
        <f>VLOOKUP($H241,'[2]Table S5'!$A:$K,9,FALSE)</f>
        <v>#N/A</v>
      </c>
      <c r="AU241" t="e">
        <f>VLOOKUP($H241,'[2]Table S5'!$A:$K,10,FALSE)</f>
        <v>#N/A</v>
      </c>
      <c r="AV241" t="e">
        <f>VLOOKUP($H241,'[2]Table S5'!$A:$K,11,FALSE)</f>
        <v>#N/A</v>
      </c>
    </row>
    <row r="242" spans="1:48">
      <c r="A242" t="s">
        <v>1825</v>
      </c>
      <c r="B242" t="s">
        <v>1826</v>
      </c>
      <c r="C242" t="s">
        <v>17</v>
      </c>
      <c r="D242" t="s">
        <v>1828</v>
      </c>
      <c r="E242" t="s">
        <v>1829</v>
      </c>
      <c r="F242" t="s">
        <v>1830</v>
      </c>
      <c r="G242" t="s">
        <v>4751</v>
      </c>
      <c r="H242" t="s">
        <v>1815</v>
      </c>
      <c r="I242" t="s">
        <v>1816</v>
      </c>
      <c r="J242">
        <f>VLOOKUP($I242,'[1]Table S6'!$A:$AI,2,FALSE)</f>
        <v>353.1</v>
      </c>
      <c r="K242">
        <f>VLOOKUP($I242,'[1]Table S6'!$A:$AI,3,FALSE)</f>
        <v>0.75143647584592499</v>
      </c>
      <c r="L242">
        <f>VLOOKUP($I242,'[1]Table S6'!$A:$AI,4,FALSE)</f>
        <v>6.13</v>
      </c>
      <c r="M242" t="str">
        <f>VLOOKUP($I242,'[1]Table S6'!$A:$AI,5,FALSE)</f>
        <v>No</v>
      </c>
      <c r="O242">
        <f>VLOOKUP($I242,'[1]Table S6'!$A:$AI,7,FALSE)</f>
        <v>352.1</v>
      </c>
      <c r="P242">
        <f>VLOOKUP($I242,'[1]Table S6'!$A:$AI,8,FALSE)</f>
        <v>0.74930836348159202</v>
      </c>
      <c r="Q242">
        <f>VLOOKUP($I242,'[1]Table S6'!$A:$AI,9,FALSE)</f>
        <v>5.86</v>
      </c>
      <c r="R242" t="str">
        <f>VLOOKUP($I242,'[1]Table S6'!$A:$AI,10,FALSE)</f>
        <v>No</v>
      </c>
      <c r="T242">
        <f>VLOOKUP($I242,'[1]Table S6'!$A:$AI,12,FALSE)</f>
        <v>380.2</v>
      </c>
      <c r="U242">
        <f>VLOOKUP($I242,'[1]Table S6'!$A:$AI,13,FALSE)</f>
        <v>0.80910832091934504</v>
      </c>
      <c r="V242">
        <f>VLOOKUP($I242,'[1]Table S6'!$A:$AI,14,FALSE)</f>
        <v>14.39</v>
      </c>
      <c r="W242" t="str">
        <f>VLOOKUP($I242,'[1]Table S6'!$A:$AI,15,FALSE)</f>
        <v>No</v>
      </c>
      <c r="Y242">
        <f>VLOOKUP($I242,'[1]Table S6'!$A:$AI,17,FALSE)</f>
        <v>379.4</v>
      </c>
      <c r="Z242">
        <f>VLOOKUP($I242,'[1]Table S6'!$A:$AI,18,FALSE)</f>
        <v>0.807405831027878</v>
      </c>
      <c r="AA242">
        <f>VLOOKUP($I242,'[1]Table S6'!$A:$AI,19,FALSE)</f>
        <v>12.83</v>
      </c>
      <c r="AB242" t="str">
        <f>VLOOKUP($I242,'[1]Table S6'!$A:$AI,20,FALSE)</f>
        <v>No</v>
      </c>
      <c r="AD242">
        <f>VLOOKUP($I242,'[1]Table S6'!$A:$AI,22,FALSE)</f>
        <v>399.2</v>
      </c>
      <c r="AE242">
        <f>VLOOKUP($I242,'[1]Table S6'!$A:$AI,23,FALSE)</f>
        <v>0.84954245584166799</v>
      </c>
      <c r="AF242">
        <f>VLOOKUP($I242,'[1]Table S6'!$A:$AI,24,FALSE)</f>
        <v>29.84</v>
      </c>
      <c r="AG242" t="str">
        <f>VLOOKUP($I242,'[1]Table S6'!$A:$AI,25,FALSE)</f>
        <v>No</v>
      </c>
      <c r="AI242">
        <f>VLOOKUP($I242,'[1]Table S6'!$A:$AI,27,FALSE)</f>
        <v>411.8</v>
      </c>
      <c r="AJ242">
        <f>VLOOKUP($I242,'[1]Table S6'!$A:$AI,28,FALSE)</f>
        <v>0.87635667163226205</v>
      </c>
      <c r="AK242">
        <f>VLOOKUP($I242,'[1]Table S6'!$A:$AI,29,FALSE)</f>
        <v>43.58</v>
      </c>
      <c r="AL242" t="str">
        <f>VLOOKUP($I242,'[1]Table S6'!$A:$AI,30,FALSE)</f>
        <v>No</v>
      </c>
      <c r="AN242">
        <f>VLOOKUP($I242,'[1]Table S6'!$A:$AI,32,FALSE)</f>
        <v>396.8</v>
      </c>
      <c r="AO242">
        <f>VLOOKUP($I242,'[1]Table S6'!$A:$AI,33,FALSE)</f>
        <v>0.84443498616726997</v>
      </c>
      <c r="AP242">
        <f>VLOOKUP($I242,'[1]Table S6'!$A:$AI,34,FALSE)</f>
        <v>21.5</v>
      </c>
      <c r="AQ242" t="str">
        <f>VLOOKUP($I242,'[1]Table S6'!$A:$AI,35,FALSE)</f>
        <v>No</v>
      </c>
      <c r="AS242" t="e">
        <f>VLOOKUP($H242,'[2]Table S5'!$A:$K,8,FALSE)</f>
        <v>#N/A</v>
      </c>
      <c r="AT242" t="e">
        <f>VLOOKUP($H242,'[2]Table S5'!$A:$K,9,FALSE)</f>
        <v>#N/A</v>
      </c>
      <c r="AU242" t="e">
        <f>VLOOKUP($H242,'[2]Table S5'!$A:$K,10,FALSE)</f>
        <v>#N/A</v>
      </c>
      <c r="AV242" t="e">
        <f>VLOOKUP($H242,'[2]Table S5'!$A:$K,11,FALSE)</f>
        <v>#N/A</v>
      </c>
    </row>
    <row r="243" spans="1:48">
      <c r="A243" t="s">
        <v>1832</v>
      </c>
      <c r="B243" t="s">
        <v>1833</v>
      </c>
      <c r="C243" t="s">
        <v>17</v>
      </c>
      <c r="D243" t="s">
        <v>1835</v>
      </c>
      <c r="E243" t="s">
        <v>1836</v>
      </c>
      <c r="F243" t="s">
        <v>1837</v>
      </c>
      <c r="G243" t="s">
        <v>4757</v>
      </c>
      <c r="H243" t="s">
        <v>1815</v>
      </c>
      <c r="I243" t="s">
        <v>1815</v>
      </c>
      <c r="J243" t="e">
        <f>VLOOKUP($I243,'[1]Table S6'!$A:$AI,2,FALSE)</f>
        <v>#N/A</v>
      </c>
      <c r="K243" t="e">
        <f>VLOOKUP($I243,'[1]Table S6'!$A:$AI,3,FALSE)</f>
        <v>#N/A</v>
      </c>
      <c r="L243" t="e">
        <f>VLOOKUP($I243,'[1]Table S6'!$A:$AI,4,FALSE)</f>
        <v>#N/A</v>
      </c>
      <c r="M243" t="e">
        <f>VLOOKUP($I243,'[1]Table S6'!$A:$AI,5,FALSE)</f>
        <v>#N/A</v>
      </c>
      <c r="O243" t="e">
        <f>VLOOKUP($I243,'[1]Table S6'!$A:$AI,7,FALSE)</f>
        <v>#N/A</v>
      </c>
      <c r="P243" t="e">
        <f>VLOOKUP($I243,'[1]Table S6'!$A:$AI,8,FALSE)</f>
        <v>#N/A</v>
      </c>
      <c r="Q243" t="e">
        <f>VLOOKUP($I243,'[1]Table S6'!$A:$AI,9,FALSE)</f>
        <v>#N/A</v>
      </c>
      <c r="R243" t="e">
        <f>VLOOKUP($I243,'[1]Table S6'!$A:$AI,10,FALSE)</f>
        <v>#N/A</v>
      </c>
      <c r="T243" t="e">
        <f>VLOOKUP($I243,'[1]Table S6'!$A:$AI,12,FALSE)</f>
        <v>#N/A</v>
      </c>
      <c r="U243" t="e">
        <f>VLOOKUP($I243,'[1]Table S6'!$A:$AI,13,FALSE)</f>
        <v>#N/A</v>
      </c>
      <c r="V243" t="e">
        <f>VLOOKUP($I243,'[1]Table S6'!$A:$AI,14,FALSE)</f>
        <v>#N/A</v>
      </c>
      <c r="W243" t="e">
        <f>VLOOKUP($I243,'[1]Table S6'!$A:$AI,15,FALSE)</f>
        <v>#N/A</v>
      </c>
      <c r="Y243" t="e">
        <f>VLOOKUP($I243,'[1]Table S6'!$A:$AI,17,FALSE)</f>
        <v>#N/A</v>
      </c>
      <c r="Z243" t="e">
        <f>VLOOKUP($I243,'[1]Table S6'!$A:$AI,18,FALSE)</f>
        <v>#N/A</v>
      </c>
      <c r="AA243" t="e">
        <f>VLOOKUP($I243,'[1]Table S6'!$A:$AI,19,FALSE)</f>
        <v>#N/A</v>
      </c>
      <c r="AB243" t="e">
        <f>VLOOKUP($I243,'[1]Table S6'!$A:$AI,20,FALSE)</f>
        <v>#N/A</v>
      </c>
      <c r="AD243" t="e">
        <f>VLOOKUP($I243,'[1]Table S6'!$A:$AI,22,FALSE)</f>
        <v>#N/A</v>
      </c>
      <c r="AE243" t="e">
        <f>VLOOKUP($I243,'[1]Table S6'!$A:$AI,23,FALSE)</f>
        <v>#N/A</v>
      </c>
      <c r="AF243" t="e">
        <f>VLOOKUP($I243,'[1]Table S6'!$A:$AI,24,FALSE)</f>
        <v>#N/A</v>
      </c>
      <c r="AG243" t="e">
        <f>VLOOKUP($I243,'[1]Table S6'!$A:$AI,25,FALSE)</f>
        <v>#N/A</v>
      </c>
      <c r="AI243" t="e">
        <f>VLOOKUP($I243,'[1]Table S6'!$A:$AI,27,FALSE)</f>
        <v>#N/A</v>
      </c>
      <c r="AJ243" t="e">
        <f>VLOOKUP($I243,'[1]Table S6'!$A:$AI,28,FALSE)</f>
        <v>#N/A</v>
      </c>
      <c r="AK243" t="e">
        <f>VLOOKUP($I243,'[1]Table S6'!$A:$AI,29,FALSE)</f>
        <v>#N/A</v>
      </c>
      <c r="AL243" t="e">
        <f>VLOOKUP($I243,'[1]Table S6'!$A:$AI,30,FALSE)</f>
        <v>#N/A</v>
      </c>
      <c r="AN243" t="e">
        <f>VLOOKUP($I243,'[1]Table S6'!$A:$AI,32,FALSE)</f>
        <v>#N/A</v>
      </c>
      <c r="AO243" t="e">
        <f>VLOOKUP($I243,'[1]Table S6'!$A:$AI,33,FALSE)</f>
        <v>#N/A</v>
      </c>
      <c r="AP243" t="e">
        <f>VLOOKUP($I243,'[1]Table S6'!$A:$AI,34,FALSE)</f>
        <v>#N/A</v>
      </c>
      <c r="AQ243" t="e">
        <f>VLOOKUP($I243,'[1]Table S6'!$A:$AI,35,FALSE)</f>
        <v>#N/A</v>
      </c>
      <c r="AS243" t="e">
        <f>VLOOKUP($H243,'[2]Table S5'!$A:$K,8,FALSE)</f>
        <v>#N/A</v>
      </c>
      <c r="AT243" t="e">
        <f>VLOOKUP($H243,'[2]Table S5'!$A:$K,9,FALSE)</f>
        <v>#N/A</v>
      </c>
      <c r="AU243" t="e">
        <f>VLOOKUP($H243,'[2]Table S5'!$A:$K,10,FALSE)</f>
        <v>#N/A</v>
      </c>
      <c r="AV243" t="e">
        <f>VLOOKUP($H243,'[2]Table S5'!$A:$K,11,FALSE)</f>
        <v>#N/A</v>
      </c>
    </row>
    <row r="244" spans="1:48">
      <c r="A244" t="s">
        <v>1839</v>
      </c>
      <c r="B244" t="s">
        <v>1840</v>
      </c>
      <c r="C244" t="s">
        <v>17</v>
      </c>
      <c r="D244" t="s">
        <v>1842</v>
      </c>
      <c r="E244" t="s">
        <v>1843</v>
      </c>
      <c r="F244" t="s">
        <v>1844</v>
      </c>
      <c r="G244" t="s">
        <v>4754</v>
      </c>
      <c r="H244" t="s">
        <v>1845</v>
      </c>
      <c r="I244" t="s">
        <v>1846</v>
      </c>
      <c r="J244">
        <f>VLOOKUP($I244,'[1]Table S6'!$A:$AI,2,FALSE)</f>
        <v>368.3</v>
      </c>
      <c r="K244">
        <f>VLOOKUP($I244,'[1]Table S6'!$A:$AI,3,FALSE)</f>
        <v>0.78378378378378399</v>
      </c>
      <c r="L244">
        <f>VLOOKUP($I244,'[1]Table S6'!$A:$AI,4,FALSE)</f>
        <v>9.5289999999999999</v>
      </c>
      <c r="M244" t="str">
        <f>VLOOKUP($I244,'[1]Table S6'!$A:$AI,5,FALSE)</f>
        <v>No</v>
      </c>
      <c r="O244">
        <f>VLOOKUP($I244,'[1]Table S6'!$A:$AI,7,FALSE)</f>
        <v>376.4</v>
      </c>
      <c r="P244">
        <f>VLOOKUP($I244,'[1]Table S6'!$A:$AI,8,FALSE)</f>
        <v>0.80102149393487998</v>
      </c>
      <c r="Q244">
        <f>VLOOKUP($I244,'[1]Table S6'!$A:$AI,9,FALSE)</f>
        <v>13.22</v>
      </c>
      <c r="R244" t="str">
        <f>VLOOKUP($I244,'[1]Table S6'!$A:$AI,10,FALSE)</f>
        <v>No</v>
      </c>
      <c r="T244">
        <f>VLOOKUP($I244,'[1]Table S6'!$A:$AI,12,FALSE)</f>
        <v>389.9</v>
      </c>
      <c r="U244">
        <f>VLOOKUP($I244,'[1]Table S6'!$A:$AI,13,FALSE)</f>
        <v>0.82975101085337299</v>
      </c>
      <c r="V244">
        <f>VLOOKUP($I244,'[1]Table S6'!$A:$AI,14,FALSE)</f>
        <v>17.64</v>
      </c>
      <c r="W244" t="str">
        <f>VLOOKUP($I244,'[1]Table S6'!$A:$AI,15,FALSE)</f>
        <v>No</v>
      </c>
      <c r="Y244">
        <f>VLOOKUP($I244,'[1]Table S6'!$A:$AI,17,FALSE)</f>
        <v>379.9</v>
      </c>
      <c r="Z244">
        <f>VLOOKUP($I244,'[1]Table S6'!$A:$AI,18,FALSE)</f>
        <v>0.80846988721004498</v>
      </c>
      <c r="AA244">
        <f>VLOOKUP($I244,'[1]Table S6'!$A:$AI,19,FALSE)</f>
        <v>13.1</v>
      </c>
      <c r="AB244" t="str">
        <f>VLOOKUP($I244,'[1]Table S6'!$A:$AI,20,FALSE)</f>
        <v>No</v>
      </c>
      <c r="AD244">
        <f>VLOOKUP($I244,'[1]Table S6'!$A:$AI,22,FALSE)</f>
        <v>327.9</v>
      </c>
      <c r="AE244">
        <f>VLOOKUP($I244,'[1]Table S6'!$A:$AI,23,FALSE)</f>
        <v>0.69780804426473697</v>
      </c>
      <c r="AF244">
        <f>VLOOKUP($I244,'[1]Table S6'!$A:$AI,24,FALSE)</f>
        <v>2.4980000000000002</v>
      </c>
      <c r="AG244" t="str">
        <f>VLOOKUP($I244,'[1]Table S6'!$A:$AI,25,FALSE)</f>
        <v>No</v>
      </c>
      <c r="AI244">
        <f>VLOOKUP($I244,'[1]Table S6'!$A:$AI,27,FALSE)</f>
        <v>399.3</v>
      </c>
      <c r="AJ244">
        <f>VLOOKUP($I244,'[1]Table S6'!$A:$AI,28,FALSE)</f>
        <v>0.84975526707810201</v>
      </c>
      <c r="AK244">
        <f>VLOOKUP($I244,'[1]Table S6'!$A:$AI,29,FALSE)</f>
        <v>27.7</v>
      </c>
      <c r="AL244" t="str">
        <f>VLOOKUP($I244,'[1]Table S6'!$A:$AI,30,FALSE)</f>
        <v>No</v>
      </c>
      <c r="AN244">
        <f>VLOOKUP($I244,'[1]Table S6'!$A:$AI,32,FALSE)</f>
        <v>397.9</v>
      </c>
      <c r="AO244">
        <f>VLOOKUP($I244,'[1]Table S6'!$A:$AI,33,FALSE)</f>
        <v>0.84677590976803596</v>
      </c>
      <c r="AP244">
        <f>VLOOKUP($I244,'[1]Table S6'!$A:$AI,34,FALSE)</f>
        <v>23.59</v>
      </c>
      <c r="AQ244" t="str">
        <f>VLOOKUP($I244,'[1]Table S6'!$A:$AI,35,FALSE)</f>
        <v>No</v>
      </c>
      <c r="AS244" t="e">
        <f>VLOOKUP($H244,'[2]Table S5'!$A:$K,8,FALSE)</f>
        <v>#N/A</v>
      </c>
      <c r="AT244" t="e">
        <f>VLOOKUP($H244,'[2]Table S5'!$A:$K,9,FALSE)</f>
        <v>#N/A</v>
      </c>
      <c r="AU244" t="e">
        <f>VLOOKUP($H244,'[2]Table S5'!$A:$K,10,FALSE)</f>
        <v>#N/A</v>
      </c>
      <c r="AV244" t="e">
        <f>VLOOKUP($H244,'[2]Table S5'!$A:$K,11,FALSE)</f>
        <v>#N/A</v>
      </c>
    </row>
    <row r="245" spans="1:48">
      <c r="A245" t="s">
        <v>1848</v>
      </c>
      <c r="B245" t="s">
        <v>1849</v>
      </c>
      <c r="C245" t="s">
        <v>17</v>
      </c>
      <c r="D245" t="s">
        <v>1851</v>
      </c>
      <c r="E245" t="s">
        <v>1852</v>
      </c>
      <c r="F245" t="s">
        <v>1853</v>
      </c>
      <c r="G245" t="s">
        <v>4755</v>
      </c>
      <c r="H245" t="s">
        <v>1845</v>
      </c>
      <c r="I245" t="s">
        <v>1846</v>
      </c>
      <c r="J245">
        <f>VLOOKUP($I245,'[1]Table S6'!$A:$AI,2,FALSE)</f>
        <v>368.3</v>
      </c>
      <c r="K245">
        <f>VLOOKUP($I245,'[1]Table S6'!$A:$AI,3,FALSE)</f>
        <v>0.78378378378378399</v>
      </c>
      <c r="L245">
        <f>VLOOKUP($I245,'[1]Table S6'!$A:$AI,4,FALSE)</f>
        <v>9.5289999999999999</v>
      </c>
      <c r="M245" t="str">
        <f>VLOOKUP($I245,'[1]Table S6'!$A:$AI,5,FALSE)</f>
        <v>No</v>
      </c>
      <c r="O245">
        <f>VLOOKUP($I245,'[1]Table S6'!$A:$AI,7,FALSE)</f>
        <v>376.4</v>
      </c>
      <c r="P245">
        <f>VLOOKUP($I245,'[1]Table S6'!$A:$AI,8,FALSE)</f>
        <v>0.80102149393487998</v>
      </c>
      <c r="Q245">
        <f>VLOOKUP($I245,'[1]Table S6'!$A:$AI,9,FALSE)</f>
        <v>13.22</v>
      </c>
      <c r="R245" t="str">
        <f>VLOOKUP($I245,'[1]Table S6'!$A:$AI,10,FALSE)</f>
        <v>No</v>
      </c>
      <c r="T245">
        <f>VLOOKUP($I245,'[1]Table S6'!$A:$AI,12,FALSE)</f>
        <v>389.9</v>
      </c>
      <c r="U245">
        <f>VLOOKUP($I245,'[1]Table S6'!$A:$AI,13,FALSE)</f>
        <v>0.82975101085337299</v>
      </c>
      <c r="V245">
        <f>VLOOKUP($I245,'[1]Table S6'!$A:$AI,14,FALSE)</f>
        <v>17.64</v>
      </c>
      <c r="W245" t="str">
        <f>VLOOKUP($I245,'[1]Table S6'!$A:$AI,15,FALSE)</f>
        <v>No</v>
      </c>
      <c r="Y245">
        <f>VLOOKUP($I245,'[1]Table S6'!$A:$AI,17,FALSE)</f>
        <v>379.9</v>
      </c>
      <c r="Z245">
        <f>VLOOKUP($I245,'[1]Table S6'!$A:$AI,18,FALSE)</f>
        <v>0.80846988721004498</v>
      </c>
      <c r="AA245">
        <f>VLOOKUP($I245,'[1]Table S6'!$A:$AI,19,FALSE)</f>
        <v>13.1</v>
      </c>
      <c r="AB245" t="str">
        <f>VLOOKUP($I245,'[1]Table S6'!$A:$AI,20,FALSE)</f>
        <v>No</v>
      </c>
      <c r="AD245">
        <f>VLOOKUP($I245,'[1]Table S6'!$A:$AI,22,FALSE)</f>
        <v>327.9</v>
      </c>
      <c r="AE245">
        <f>VLOOKUP($I245,'[1]Table S6'!$A:$AI,23,FALSE)</f>
        <v>0.69780804426473697</v>
      </c>
      <c r="AF245">
        <f>VLOOKUP($I245,'[1]Table S6'!$A:$AI,24,FALSE)</f>
        <v>2.4980000000000002</v>
      </c>
      <c r="AG245" t="str">
        <f>VLOOKUP($I245,'[1]Table S6'!$A:$AI,25,FALSE)</f>
        <v>No</v>
      </c>
      <c r="AI245">
        <f>VLOOKUP($I245,'[1]Table S6'!$A:$AI,27,FALSE)</f>
        <v>399.3</v>
      </c>
      <c r="AJ245">
        <f>VLOOKUP($I245,'[1]Table S6'!$A:$AI,28,FALSE)</f>
        <v>0.84975526707810201</v>
      </c>
      <c r="AK245">
        <f>VLOOKUP($I245,'[1]Table S6'!$A:$AI,29,FALSE)</f>
        <v>27.7</v>
      </c>
      <c r="AL245" t="str">
        <f>VLOOKUP($I245,'[1]Table S6'!$A:$AI,30,FALSE)</f>
        <v>No</v>
      </c>
      <c r="AN245">
        <f>VLOOKUP($I245,'[1]Table S6'!$A:$AI,32,FALSE)</f>
        <v>397.9</v>
      </c>
      <c r="AO245">
        <f>VLOOKUP($I245,'[1]Table S6'!$A:$AI,33,FALSE)</f>
        <v>0.84677590976803596</v>
      </c>
      <c r="AP245">
        <f>VLOOKUP($I245,'[1]Table S6'!$A:$AI,34,FALSE)</f>
        <v>23.59</v>
      </c>
      <c r="AQ245" t="str">
        <f>VLOOKUP($I245,'[1]Table S6'!$A:$AI,35,FALSE)</f>
        <v>No</v>
      </c>
      <c r="AS245" t="e">
        <f>VLOOKUP($H245,'[2]Table S5'!$A:$K,8,FALSE)</f>
        <v>#N/A</v>
      </c>
      <c r="AT245" t="e">
        <f>VLOOKUP($H245,'[2]Table S5'!$A:$K,9,FALSE)</f>
        <v>#N/A</v>
      </c>
      <c r="AU245" t="e">
        <f>VLOOKUP($H245,'[2]Table S5'!$A:$K,10,FALSE)</f>
        <v>#N/A</v>
      </c>
      <c r="AV245" t="e">
        <f>VLOOKUP($H245,'[2]Table S5'!$A:$K,11,FALSE)</f>
        <v>#N/A</v>
      </c>
    </row>
    <row r="246" spans="1:48">
      <c r="A246" t="s">
        <v>1855</v>
      </c>
      <c r="B246" t="s">
        <v>1856</v>
      </c>
      <c r="C246" t="s">
        <v>17</v>
      </c>
      <c r="D246" t="s">
        <v>1858</v>
      </c>
      <c r="E246" t="s">
        <v>1859</v>
      </c>
      <c r="F246" t="s">
        <v>1860</v>
      </c>
      <c r="G246" t="s">
        <v>4751</v>
      </c>
      <c r="H246" t="s">
        <v>1845</v>
      </c>
      <c r="I246" t="s">
        <v>1846</v>
      </c>
      <c r="J246">
        <f>VLOOKUP($I246,'[1]Table S6'!$A:$AI,2,FALSE)</f>
        <v>368.3</v>
      </c>
      <c r="K246">
        <f>VLOOKUP($I246,'[1]Table S6'!$A:$AI,3,FALSE)</f>
        <v>0.78378378378378399</v>
      </c>
      <c r="L246">
        <f>VLOOKUP($I246,'[1]Table S6'!$A:$AI,4,FALSE)</f>
        <v>9.5289999999999999</v>
      </c>
      <c r="M246" t="str">
        <f>VLOOKUP($I246,'[1]Table S6'!$A:$AI,5,FALSE)</f>
        <v>No</v>
      </c>
      <c r="O246">
        <f>VLOOKUP($I246,'[1]Table S6'!$A:$AI,7,FALSE)</f>
        <v>376.4</v>
      </c>
      <c r="P246">
        <f>VLOOKUP($I246,'[1]Table S6'!$A:$AI,8,FALSE)</f>
        <v>0.80102149393487998</v>
      </c>
      <c r="Q246">
        <f>VLOOKUP($I246,'[1]Table S6'!$A:$AI,9,FALSE)</f>
        <v>13.22</v>
      </c>
      <c r="R246" t="str">
        <f>VLOOKUP($I246,'[1]Table S6'!$A:$AI,10,FALSE)</f>
        <v>No</v>
      </c>
      <c r="T246">
        <f>VLOOKUP($I246,'[1]Table S6'!$A:$AI,12,FALSE)</f>
        <v>389.9</v>
      </c>
      <c r="U246">
        <f>VLOOKUP($I246,'[1]Table S6'!$A:$AI,13,FALSE)</f>
        <v>0.82975101085337299</v>
      </c>
      <c r="V246">
        <f>VLOOKUP($I246,'[1]Table S6'!$A:$AI,14,FALSE)</f>
        <v>17.64</v>
      </c>
      <c r="W246" t="str">
        <f>VLOOKUP($I246,'[1]Table S6'!$A:$AI,15,FALSE)</f>
        <v>No</v>
      </c>
      <c r="Y246">
        <f>VLOOKUP($I246,'[1]Table S6'!$A:$AI,17,FALSE)</f>
        <v>379.9</v>
      </c>
      <c r="Z246">
        <f>VLOOKUP($I246,'[1]Table S6'!$A:$AI,18,FALSE)</f>
        <v>0.80846988721004498</v>
      </c>
      <c r="AA246">
        <f>VLOOKUP($I246,'[1]Table S6'!$A:$AI,19,FALSE)</f>
        <v>13.1</v>
      </c>
      <c r="AB246" t="str">
        <f>VLOOKUP($I246,'[1]Table S6'!$A:$AI,20,FALSE)</f>
        <v>No</v>
      </c>
      <c r="AD246">
        <f>VLOOKUP($I246,'[1]Table S6'!$A:$AI,22,FALSE)</f>
        <v>327.9</v>
      </c>
      <c r="AE246">
        <f>VLOOKUP($I246,'[1]Table S6'!$A:$AI,23,FALSE)</f>
        <v>0.69780804426473697</v>
      </c>
      <c r="AF246">
        <f>VLOOKUP($I246,'[1]Table S6'!$A:$AI,24,FALSE)</f>
        <v>2.4980000000000002</v>
      </c>
      <c r="AG246" t="str">
        <f>VLOOKUP($I246,'[1]Table S6'!$A:$AI,25,FALSE)</f>
        <v>No</v>
      </c>
      <c r="AI246">
        <f>VLOOKUP($I246,'[1]Table S6'!$A:$AI,27,FALSE)</f>
        <v>399.3</v>
      </c>
      <c r="AJ246">
        <f>VLOOKUP($I246,'[1]Table S6'!$A:$AI,28,FALSE)</f>
        <v>0.84975526707810201</v>
      </c>
      <c r="AK246">
        <f>VLOOKUP($I246,'[1]Table S6'!$A:$AI,29,FALSE)</f>
        <v>27.7</v>
      </c>
      <c r="AL246" t="str">
        <f>VLOOKUP($I246,'[1]Table S6'!$A:$AI,30,FALSE)</f>
        <v>No</v>
      </c>
      <c r="AN246">
        <f>VLOOKUP($I246,'[1]Table S6'!$A:$AI,32,FALSE)</f>
        <v>397.9</v>
      </c>
      <c r="AO246">
        <f>VLOOKUP($I246,'[1]Table S6'!$A:$AI,33,FALSE)</f>
        <v>0.84677590976803596</v>
      </c>
      <c r="AP246">
        <f>VLOOKUP($I246,'[1]Table S6'!$A:$AI,34,FALSE)</f>
        <v>23.59</v>
      </c>
      <c r="AQ246" t="str">
        <f>VLOOKUP($I246,'[1]Table S6'!$A:$AI,35,FALSE)</f>
        <v>No</v>
      </c>
      <c r="AS246" t="e">
        <f>VLOOKUP($H246,'[2]Table S5'!$A:$K,8,FALSE)</f>
        <v>#N/A</v>
      </c>
      <c r="AT246" t="e">
        <f>VLOOKUP($H246,'[2]Table S5'!$A:$K,9,FALSE)</f>
        <v>#N/A</v>
      </c>
      <c r="AU246" t="e">
        <f>VLOOKUP($H246,'[2]Table S5'!$A:$K,10,FALSE)</f>
        <v>#N/A</v>
      </c>
      <c r="AV246" t="e">
        <f>VLOOKUP($H246,'[2]Table S5'!$A:$K,11,FALSE)</f>
        <v>#N/A</v>
      </c>
    </row>
    <row r="247" spans="1:48">
      <c r="A247" t="s">
        <v>1862</v>
      </c>
      <c r="B247" t="s">
        <v>1863</v>
      </c>
      <c r="C247" t="s">
        <v>17</v>
      </c>
      <c r="D247" t="s">
        <v>1865</v>
      </c>
      <c r="E247" t="s">
        <v>1866</v>
      </c>
      <c r="F247" t="s">
        <v>1867</v>
      </c>
      <c r="G247" t="s">
        <v>4757</v>
      </c>
      <c r="H247" t="s">
        <v>1845</v>
      </c>
      <c r="I247" t="s">
        <v>1845</v>
      </c>
      <c r="J247" t="e">
        <f>VLOOKUP($I247,'[1]Table S6'!$A:$AI,2,FALSE)</f>
        <v>#N/A</v>
      </c>
      <c r="K247" t="e">
        <f>VLOOKUP($I247,'[1]Table S6'!$A:$AI,3,FALSE)</f>
        <v>#N/A</v>
      </c>
      <c r="L247" t="e">
        <f>VLOOKUP($I247,'[1]Table S6'!$A:$AI,4,FALSE)</f>
        <v>#N/A</v>
      </c>
      <c r="M247" t="e">
        <f>VLOOKUP($I247,'[1]Table S6'!$A:$AI,5,FALSE)</f>
        <v>#N/A</v>
      </c>
      <c r="O247" t="e">
        <f>VLOOKUP($I247,'[1]Table S6'!$A:$AI,7,FALSE)</f>
        <v>#N/A</v>
      </c>
      <c r="P247" t="e">
        <f>VLOOKUP($I247,'[1]Table S6'!$A:$AI,8,FALSE)</f>
        <v>#N/A</v>
      </c>
      <c r="Q247" t="e">
        <f>VLOOKUP($I247,'[1]Table S6'!$A:$AI,9,FALSE)</f>
        <v>#N/A</v>
      </c>
      <c r="R247" t="e">
        <f>VLOOKUP($I247,'[1]Table S6'!$A:$AI,10,FALSE)</f>
        <v>#N/A</v>
      </c>
      <c r="T247" t="e">
        <f>VLOOKUP($I247,'[1]Table S6'!$A:$AI,12,FALSE)</f>
        <v>#N/A</v>
      </c>
      <c r="U247" t="e">
        <f>VLOOKUP($I247,'[1]Table S6'!$A:$AI,13,FALSE)</f>
        <v>#N/A</v>
      </c>
      <c r="V247" t="e">
        <f>VLOOKUP($I247,'[1]Table S6'!$A:$AI,14,FALSE)</f>
        <v>#N/A</v>
      </c>
      <c r="W247" t="e">
        <f>VLOOKUP($I247,'[1]Table S6'!$A:$AI,15,FALSE)</f>
        <v>#N/A</v>
      </c>
      <c r="Y247" t="e">
        <f>VLOOKUP($I247,'[1]Table S6'!$A:$AI,17,FALSE)</f>
        <v>#N/A</v>
      </c>
      <c r="Z247" t="e">
        <f>VLOOKUP($I247,'[1]Table S6'!$A:$AI,18,FALSE)</f>
        <v>#N/A</v>
      </c>
      <c r="AA247" t="e">
        <f>VLOOKUP($I247,'[1]Table S6'!$A:$AI,19,FALSE)</f>
        <v>#N/A</v>
      </c>
      <c r="AB247" t="e">
        <f>VLOOKUP($I247,'[1]Table S6'!$A:$AI,20,FALSE)</f>
        <v>#N/A</v>
      </c>
      <c r="AD247" t="e">
        <f>VLOOKUP($I247,'[1]Table S6'!$A:$AI,22,FALSE)</f>
        <v>#N/A</v>
      </c>
      <c r="AE247" t="e">
        <f>VLOOKUP($I247,'[1]Table S6'!$A:$AI,23,FALSE)</f>
        <v>#N/A</v>
      </c>
      <c r="AF247" t="e">
        <f>VLOOKUP($I247,'[1]Table S6'!$A:$AI,24,FALSE)</f>
        <v>#N/A</v>
      </c>
      <c r="AG247" t="e">
        <f>VLOOKUP($I247,'[1]Table S6'!$A:$AI,25,FALSE)</f>
        <v>#N/A</v>
      </c>
      <c r="AI247" t="e">
        <f>VLOOKUP($I247,'[1]Table S6'!$A:$AI,27,FALSE)</f>
        <v>#N/A</v>
      </c>
      <c r="AJ247" t="e">
        <f>VLOOKUP($I247,'[1]Table S6'!$A:$AI,28,FALSE)</f>
        <v>#N/A</v>
      </c>
      <c r="AK247" t="e">
        <f>VLOOKUP($I247,'[1]Table S6'!$A:$AI,29,FALSE)</f>
        <v>#N/A</v>
      </c>
      <c r="AL247" t="e">
        <f>VLOOKUP($I247,'[1]Table S6'!$A:$AI,30,FALSE)</f>
        <v>#N/A</v>
      </c>
      <c r="AN247" t="e">
        <f>VLOOKUP($I247,'[1]Table S6'!$A:$AI,32,FALSE)</f>
        <v>#N/A</v>
      </c>
      <c r="AO247" t="e">
        <f>VLOOKUP($I247,'[1]Table S6'!$A:$AI,33,FALSE)</f>
        <v>#N/A</v>
      </c>
      <c r="AP247" t="e">
        <f>VLOOKUP($I247,'[1]Table S6'!$A:$AI,34,FALSE)</f>
        <v>#N/A</v>
      </c>
      <c r="AQ247" t="e">
        <f>VLOOKUP($I247,'[1]Table S6'!$A:$AI,35,FALSE)</f>
        <v>#N/A</v>
      </c>
      <c r="AS247" t="e">
        <f>VLOOKUP($H247,'[2]Table S5'!$A:$K,8,FALSE)</f>
        <v>#N/A</v>
      </c>
      <c r="AT247" t="e">
        <f>VLOOKUP($H247,'[2]Table S5'!$A:$K,9,FALSE)</f>
        <v>#N/A</v>
      </c>
      <c r="AU247" t="e">
        <f>VLOOKUP($H247,'[2]Table S5'!$A:$K,10,FALSE)</f>
        <v>#N/A</v>
      </c>
      <c r="AV247" t="e">
        <f>VLOOKUP($H247,'[2]Table S5'!$A:$K,11,FALSE)</f>
        <v>#N/A</v>
      </c>
    </row>
    <row r="248" spans="1:48">
      <c r="A248" t="s">
        <v>1869</v>
      </c>
      <c r="B248" t="s">
        <v>1870</v>
      </c>
      <c r="C248" t="s">
        <v>17</v>
      </c>
      <c r="D248" t="s">
        <v>1872</v>
      </c>
      <c r="E248" t="s">
        <v>1873</v>
      </c>
      <c r="F248" t="s">
        <v>1874</v>
      </c>
      <c r="G248" t="s">
        <v>4754</v>
      </c>
      <c r="H248" t="s">
        <v>1875</v>
      </c>
      <c r="I248" t="s">
        <v>1876</v>
      </c>
      <c r="J248">
        <f>VLOOKUP($I248,'[1]Table S6'!$A:$AI,2,FALSE)</f>
        <v>347.5</v>
      </c>
      <c r="K248">
        <f>VLOOKUP($I248,'[1]Table S6'!$A:$AI,3,FALSE)</f>
        <v>0.73951904660566103</v>
      </c>
      <c r="L248">
        <f>VLOOKUP($I248,'[1]Table S6'!$A:$AI,4,FALSE)</f>
        <v>4.9109999999999996</v>
      </c>
      <c r="M248" t="str">
        <f>VLOOKUP($I248,'[1]Table S6'!$A:$AI,5,FALSE)</f>
        <v>No</v>
      </c>
      <c r="O248">
        <f>VLOOKUP($I248,'[1]Table S6'!$A:$AI,7,FALSE)</f>
        <v>341.8</v>
      </c>
      <c r="P248">
        <f>VLOOKUP($I248,'[1]Table S6'!$A:$AI,8,FALSE)</f>
        <v>0.72738880612896395</v>
      </c>
      <c r="Q248">
        <f>VLOOKUP($I248,'[1]Table S6'!$A:$AI,9,FALSE)</f>
        <v>3.91</v>
      </c>
      <c r="R248" t="str">
        <f>VLOOKUP($I248,'[1]Table S6'!$A:$AI,10,FALSE)</f>
        <v>No</v>
      </c>
      <c r="T248">
        <f>VLOOKUP($I248,'[1]Table S6'!$A:$AI,12,FALSE)</f>
        <v>322.7</v>
      </c>
      <c r="U248">
        <f>VLOOKUP($I248,'[1]Table S6'!$A:$AI,13,FALSE)</f>
        <v>0.68674185997020598</v>
      </c>
      <c r="V248">
        <f>VLOOKUP($I248,'[1]Table S6'!$A:$AI,14,FALSE)</f>
        <v>1.9810000000000001</v>
      </c>
      <c r="W248" t="str">
        <f>VLOOKUP($I248,'[1]Table S6'!$A:$AI,15,FALSE)</f>
        <v>Yes</v>
      </c>
      <c r="Y248">
        <f>VLOOKUP($I248,'[1]Table S6'!$A:$AI,17,FALSE)</f>
        <v>322.60000000000002</v>
      </c>
      <c r="Z248">
        <f>VLOOKUP($I248,'[1]Table S6'!$A:$AI,18,FALSE)</f>
        <v>0.68652904873377296</v>
      </c>
      <c r="AA248">
        <f>VLOOKUP($I248,'[1]Table S6'!$A:$AI,19,FALSE)</f>
        <v>2.21</v>
      </c>
      <c r="AB248" t="str">
        <f>VLOOKUP($I248,'[1]Table S6'!$A:$AI,20,FALSE)</f>
        <v>Yes</v>
      </c>
      <c r="AD248">
        <f>VLOOKUP($I248,'[1]Table S6'!$A:$AI,22,FALSE)</f>
        <v>427.5</v>
      </c>
      <c r="AE248">
        <f>VLOOKUP($I248,'[1]Table S6'!$A:$AI,23,FALSE)</f>
        <v>0.90976803575228804</v>
      </c>
      <c r="AF248">
        <f>VLOOKUP($I248,'[1]Table S6'!$A:$AI,24,FALSE)</f>
        <v>98.19</v>
      </c>
      <c r="AG248" t="str">
        <f>VLOOKUP($I248,'[1]Table S6'!$A:$AI,25,FALSE)</f>
        <v>No</v>
      </c>
      <c r="AI248">
        <f>VLOOKUP($I248,'[1]Table S6'!$A:$AI,27,FALSE)</f>
        <v>425.2</v>
      </c>
      <c r="AJ248">
        <f>VLOOKUP($I248,'[1]Table S6'!$A:$AI,28,FALSE)</f>
        <v>0.90487337731432205</v>
      </c>
      <c r="AK248">
        <f>VLOOKUP($I248,'[1]Table S6'!$A:$AI,29,FALSE)</f>
        <v>72.319999999999993</v>
      </c>
      <c r="AL248" t="str">
        <f>VLOOKUP($I248,'[1]Table S6'!$A:$AI,30,FALSE)</f>
        <v>No</v>
      </c>
      <c r="AN248">
        <f>VLOOKUP($I248,'[1]Table S6'!$A:$AI,32,FALSE)</f>
        <v>419.7</v>
      </c>
      <c r="AO248">
        <f>VLOOKUP($I248,'[1]Table S6'!$A:$AI,33,FALSE)</f>
        <v>0.893168759310492</v>
      </c>
      <c r="AP248">
        <f>VLOOKUP($I248,'[1]Table S6'!$A:$AI,34,FALSE)</f>
        <v>67.319999999999993</v>
      </c>
      <c r="AQ248" t="str">
        <f>VLOOKUP($I248,'[1]Table S6'!$A:$AI,35,FALSE)</f>
        <v>No</v>
      </c>
      <c r="AS248" t="e">
        <f>VLOOKUP($H248,'[2]Table S5'!$A:$K,8,FALSE)</f>
        <v>#N/A</v>
      </c>
      <c r="AT248" t="e">
        <f>VLOOKUP($H248,'[2]Table S5'!$A:$K,9,FALSE)</f>
        <v>#N/A</v>
      </c>
      <c r="AU248" t="e">
        <f>VLOOKUP($H248,'[2]Table S5'!$A:$K,10,FALSE)</f>
        <v>#N/A</v>
      </c>
      <c r="AV248" t="e">
        <f>VLOOKUP($H248,'[2]Table S5'!$A:$K,11,FALSE)</f>
        <v>#N/A</v>
      </c>
    </row>
    <row r="249" spans="1:48">
      <c r="A249" t="s">
        <v>1878</v>
      </c>
      <c r="B249" t="s">
        <v>1879</v>
      </c>
      <c r="C249" t="s">
        <v>17</v>
      </c>
      <c r="D249" t="s">
        <v>1881</v>
      </c>
      <c r="E249" t="s">
        <v>1882</v>
      </c>
      <c r="F249" t="s">
        <v>1883</v>
      </c>
      <c r="G249" t="s">
        <v>4755</v>
      </c>
      <c r="H249" t="s">
        <v>1875</v>
      </c>
      <c r="I249" t="s">
        <v>1876</v>
      </c>
      <c r="J249">
        <f>VLOOKUP($I249,'[1]Table S6'!$A:$AI,2,FALSE)</f>
        <v>347.5</v>
      </c>
      <c r="K249">
        <f>VLOOKUP($I249,'[1]Table S6'!$A:$AI,3,FALSE)</f>
        <v>0.73951904660566103</v>
      </c>
      <c r="L249">
        <f>VLOOKUP($I249,'[1]Table S6'!$A:$AI,4,FALSE)</f>
        <v>4.9109999999999996</v>
      </c>
      <c r="M249" t="str">
        <f>VLOOKUP($I249,'[1]Table S6'!$A:$AI,5,FALSE)</f>
        <v>No</v>
      </c>
      <c r="O249">
        <f>VLOOKUP($I249,'[1]Table S6'!$A:$AI,7,FALSE)</f>
        <v>341.8</v>
      </c>
      <c r="P249">
        <f>VLOOKUP($I249,'[1]Table S6'!$A:$AI,8,FALSE)</f>
        <v>0.72738880612896395</v>
      </c>
      <c r="Q249">
        <f>VLOOKUP($I249,'[1]Table S6'!$A:$AI,9,FALSE)</f>
        <v>3.91</v>
      </c>
      <c r="R249" t="str">
        <f>VLOOKUP($I249,'[1]Table S6'!$A:$AI,10,FALSE)</f>
        <v>No</v>
      </c>
      <c r="T249">
        <f>VLOOKUP($I249,'[1]Table S6'!$A:$AI,12,FALSE)</f>
        <v>322.7</v>
      </c>
      <c r="U249">
        <f>VLOOKUP($I249,'[1]Table S6'!$A:$AI,13,FALSE)</f>
        <v>0.68674185997020598</v>
      </c>
      <c r="V249">
        <f>VLOOKUP($I249,'[1]Table S6'!$A:$AI,14,FALSE)</f>
        <v>1.9810000000000001</v>
      </c>
      <c r="W249" t="str">
        <f>VLOOKUP($I249,'[1]Table S6'!$A:$AI,15,FALSE)</f>
        <v>Yes</v>
      </c>
      <c r="Y249">
        <f>VLOOKUP($I249,'[1]Table S6'!$A:$AI,17,FALSE)</f>
        <v>322.60000000000002</v>
      </c>
      <c r="Z249">
        <f>VLOOKUP($I249,'[1]Table S6'!$A:$AI,18,FALSE)</f>
        <v>0.68652904873377296</v>
      </c>
      <c r="AA249">
        <f>VLOOKUP($I249,'[1]Table S6'!$A:$AI,19,FALSE)</f>
        <v>2.21</v>
      </c>
      <c r="AB249" t="str">
        <f>VLOOKUP($I249,'[1]Table S6'!$A:$AI,20,FALSE)</f>
        <v>Yes</v>
      </c>
      <c r="AD249">
        <f>VLOOKUP($I249,'[1]Table S6'!$A:$AI,22,FALSE)</f>
        <v>427.5</v>
      </c>
      <c r="AE249">
        <f>VLOOKUP($I249,'[1]Table S6'!$A:$AI,23,FALSE)</f>
        <v>0.90976803575228804</v>
      </c>
      <c r="AF249">
        <f>VLOOKUP($I249,'[1]Table S6'!$A:$AI,24,FALSE)</f>
        <v>98.19</v>
      </c>
      <c r="AG249" t="str">
        <f>VLOOKUP($I249,'[1]Table S6'!$A:$AI,25,FALSE)</f>
        <v>No</v>
      </c>
      <c r="AI249">
        <f>VLOOKUP($I249,'[1]Table S6'!$A:$AI,27,FALSE)</f>
        <v>425.2</v>
      </c>
      <c r="AJ249">
        <f>VLOOKUP($I249,'[1]Table S6'!$A:$AI,28,FALSE)</f>
        <v>0.90487337731432205</v>
      </c>
      <c r="AK249">
        <f>VLOOKUP($I249,'[1]Table S6'!$A:$AI,29,FALSE)</f>
        <v>72.319999999999993</v>
      </c>
      <c r="AL249" t="str">
        <f>VLOOKUP($I249,'[1]Table S6'!$A:$AI,30,FALSE)</f>
        <v>No</v>
      </c>
      <c r="AN249">
        <f>VLOOKUP($I249,'[1]Table S6'!$A:$AI,32,FALSE)</f>
        <v>419.7</v>
      </c>
      <c r="AO249">
        <f>VLOOKUP($I249,'[1]Table S6'!$A:$AI,33,FALSE)</f>
        <v>0.893168759310492</v>
      </c>
      <c r="AP249">
        <f>VLOOKUP($I249,'[1]Table S6'!$A:$AI,34,FALSE)</f>
        <v>67.319999999999993</v>
      </c>
      <c r="AQ249" t="str">
        <f>VLOOKUP($I249,'[1]Table S6'!$A:$AI,35,FALSE)</f>
        <v>No</v>
      </c>
      <c r="AS249" t="e">
        <f>VLOOKUP($H249,'[2]Table S5'!$A:$K,8,FALSE)</f>
        <v>#N/A</v>
      </c>
      <c r="AT249" t="e">
        <f>VLOOKUP($H249,'[2]Table S5'!$A:$K,9,FALSE)</f>
        <v>#N/A</v>
      </c>
      <c r="AU249" t="e">
        <f>VLOOKUP($H249,'[2]Table S5'!$A:$K,10,FALSE)</f>
        <v>#N/A</v>
      </c>
      <c r="AV249" t="e">
        <f>VLOOKUP($H249,'[2]Table S5'!$A:$K,11,FALSE)</f>
        <v>#N/A</v>
      </c>
    </row>
    <row r="250" spans="1:48">
      <c r="A250" t="s">
        <v>1885</v>
      </c>
      <c r="B250" t="s">
        <v>1886</v>
      </c>
      <c r="C250" t="s">
        <v>17</v>
      </c>
      <c r="D250" t="s">
        <v>1888</v>
      </c>
      <c r="E250" t="s">
        <v>1889</v>
      </c>
      <c r="F250" t="s">
        <v>1890</v>
      </c>
      <c r="G250" t="s">
        <v>4751</v>
      </c>
      <c r="H250" t="s">
        <v>1875</v>
      </c>
      <c r="I250" t="s">
        <v>1876</v>
      </c>
      <c r="J250">
        <f>VLOOKUP($I250,'[1]Table S6'!$A:$AI,2,FALSE)</f>
        <v>347.5</v>
      </c>
      <c r="K250">
        <f>VLOOKUP($I250,'[1]Table S6'!$A:$AI,3,FALSE)</f>
        <v>0.73951904660566103</v>
      </c>
      <c r="L250">
        <f>VLOOKUP($I250,'[1]Table S6'!$A:$AI,4,FALSE)</f>
        <v>4.9109999999999996</v>
      </c>
      <c r="M250" t="str">
        <f>VLOOKUP($I250,'[1]Table S6'!$A:$AI,5,FALSE)</f>
        <v>No</v>
      </c>
      <c r="O250">
        <f>VLOOKUP($I250,'[1]Table S6'!$A:$AI,7,FALSE)</f>
        <v>341.8</v>
      </c>
      <c r="P250">
        <f>VLOOKUP($I250,'[1]Table S6'!$A:$AI,8,FALSE)</f>
        <v>0.72738880612896395</v>
      </c>
      <c r="Q250">
        <f>VLOOKUP($I250,'[1]Table S6'!$A:$AI,9,FALSE)</f>
        <v>3.91</v>
      </c>
      <c r="R250" t="str">
        <f>VLOOKUP($I250,'[1]Table S6'!$A:$AI,10,FALSE)</f>
        <v>No</v>
      </c>
      <c r="T250">
        <f>VLOOKUP($I250,'[1]Table S6'!$A:$AI,12,FALSE)</f>
        <v>322.7</v>
      </c>
      <c r="U250">
        <f>VLOOKUP($I250,'[1]Table S6'!$A:$AI,13,FALSE)</f>
        <v>0.68674185997020598</v>
      </c>
      <c r="V250">
        <f>VLOOKUP($I250,'[1]Table S6'!$A:$AI,14,FALSE)</f>
        <v>1.9810000000000001</v>
      </c>
      <c r="W250" t="str">
        <f>VLOOKUP($I250,'[1]Table S6'!$A:$AI,15,FALSE)</f>
        <v>Yes</v>
      </c>
      <c r="Y250">
        <f>VLOOKUP($I250,'[1]Table S6'!$A:$AI,17,FALSE)</f>
        <v>322.60000000000002</v>
      </c>
      <c r="Z250">
        <f>VLOOKUP($I250,'[1]Table S6'!$A:$AI,18,FALSE)</f>
        <v>0.68652904873377296</v>
      </c>
      <c r="AA250">
        <f>VLOOKUP($I250,'[1]Table S6'!$A:$AI,19,FALSE)</f>
        <v>2.21</v>
      </c>
      <c r="AB250" t="str">
        <f>VLOOKUP($I250,'[1]Table S6'!$A:$AI,20,FALSE)</f>
        <v>Yes</v>
      </c>
      <c r="AD250">
        <f>VLOOKUP($I250,'[1]Table S6'!$A:$AI,22,FALSE)</f>
        <v>427.5</v>
      </c>
      <c r="AE250">
        <f>VLOOKUP($I250,'[1]Table S6'!$A:$AI,23,FALSE)</f>
        <v>0.90976803575228804</v>
      </c>
      <c r="AF250">
        <f>VLOOKUP($I250,'[1]Table S6'!$A:$AI,24,FALSE)</f>
        <v>98.19</v>
      </c>
      <c r="AG250" t="str">
        <f>VLOOKUP($I250,'[1]Table S6'!$A:$AI,25,FALSE)</f>
        <v>No</v>
      </c>
      <c r="AI250">
        <f>VLOOKUP($I250,'[1]Table S6'!$A:$AI,27,FALSE)</f>
        <v>425.2</v>
      </c>
      <c r="AJ250">
        <f>VLOOKUP($I250,'[1]Table S6'!$A:$AI,28,FALSE)</f>
        <v>0.90487337731432205</v>
      </c>
      <c r="AK250">
        <f>VLOOKUP($I250,'[1]Table S6'!$A:$AI,29,FALSE)</f>
        <v>72.319999999999993</v>
      </c>
      <c r="AL250" t="str">
        <f>VLOOKUP($I250,'[1]Table S6'!$A:$AI,30,FALSE)</f>
        <v>No</v>
      </c>
      <c r="AN250">
        <f>VLOOKUP($I250,'[1]Table S6'!$A:$AI,32,FALSE)</f>
        <v>419.7</v>
      </c>
      <c r="AO250">
        <f>VLOOKUP($I250,'[1]Table S6'!$A:$AI,33,FALSE)</f>
        <v>0.893168759310492</v>
      </c>
      <c r="AP250">
        <f>VLOOKUP($I250,'[1]Table S6'!$A:$AI,34,FALSE)</f>
        <v>67.319999999999993</v>
      </c>
      <c r="AQ250" t="str">
        <f>VLOOKUP($I250,'[1]Table S6'!$A:$AI,35,FALSE)</f>
        <v>No</v>
      </c>
      <c r="AS250" t="e">
        <f>VLOOKUP($H250,'[2]Table S5'!$A:$K,8,FALSE)</f>
        <v>#N/A</v>
      </c>
      <c r="AT250" t="e">
        <f>VLOOKUP($H250,'[2]Table S5'!$A:$K,9,FALSE)</f>
        <v>#N/A</v>
      </c>
      <c r="AU250" t="e">
        <f>VLOOKUP($H250,'[2]Table S5'!$A:$K,10,FALSE)</f>
        <v>#N/A</v>
      </c>
      <c r="AV250" t="e">
        <f>VLOOKUP($H250,'[2]Table S5'!$A:$K,11,FALSE)</f>
        <v>#N/A</v>
      </c>
    </row>
    <row r="251" spans="1:48">
      <c r="A251" t="s">
        <v>1892</v>
      </c>
      <c r="B251" t="s">
        <v>1893</v>
      </c>
      <c r="C251" t="s">
        <v>17</v>
      </c>
      <c r="D251" t="s">
        <v>1895</v>
      </c>
      <c r="E251" t="s">
        <v>1896</v>
      </c>
      <c r="F251" t="s">
        <v>1897</v>
      </c>
      <c r="G251" t="s">
        <v>4757</v>
      </c>
      <c r="H251" t="s">
        <v>1875</v>
      </c>
      <c r="I251" t="s">
        <v>1875</v>
      </c>
      <c r="J251" t="e">
        <f>VLOOKUP($I251,'[1]Table S6'!$A:$AI,2,FALSE)</f>
        <v>#N/A</v>
      </c>
      <c r="K251" t="e">
        <f>VLOOKUP($I251,'[1]Table S6'!$A:$AI,3,FALSE)</f>
        <v>#N/A</v>
      </c>
      <c r="L251" t="e">
        <f>VLOOKUP($I251,'[1]Table S6'!$A:$AI,4,FALSE)</f>
        <v>#N/A</v>
      </c>
      <c r="M251" t="e">
        <f>VLOOKUP($I251,'[1]Table S6'!$A:$AI,5,FALSE)</f>
        <v>#N/A</v>
      </c>
      <c r="O251" t="e">
        <f>VLOOKUP($I251,'[1]Table S6'!$A:$AI,7,FALSE)</f>
        <v>#N/A</v>
      </c>
      <c r="P251" t="e">
        <f>VLOOKUP($I251,'[1]Table S6'!$A:$AI,8,FALSE)</f>
        <v>#N/A</v>
      </c>
      <c r="Q251" t="e">
        <f>VLOOKUP($I251,'[1]Table S6'!$A:$AI,9,FALSE)</f>
        <v>#N/A</v>
      </c>
      <c r="R251" t="e">
        <f>VLOOKUP($I251,'[1]Table S6'!$A:$AI,10,FALSE)</f>
        <v>#N/A</v>
      </c>
      <c r="T251" t="e">
        <f>VLOOKUP($I251,'[1]Table S6'!$A:$AI,12,FALSE)</f>
        <v>#N/A</v>
      </c>
      <c r="U251" t="e">
        <f>VLOOKUP($I251,'[1]Table S6'!$A:$AI,13,FALSE)</f>
        <v>#N/A</v>
      </c>
      <c r="V251" t="e">
        <f>VLOOKUP($I251,'[1]Table S6'!$A:$AI,14,FALSE)</f>
        <v>#N/A</v>
      </c>
      <c r="W251" t="e">
        <f>VLOOKUP($I251,'[1]Table S6'!$A:$AI,15,FALSE)</f>
        <v>#N/A</v>
      </c>
      <c r="Y251" t="e">
        <f>VLOOKUP($I251,'[1]Table S6'!$A:$AI,17,FALSE)</f>
        <v>#N/A</v>
      </c>
      <c r="Z251" t="e">
        <f>VLOOKUP($I251,'[1]Table S6'!$A:$AI,18,FALSE)</f>
        <v>#N/A</v>
      </c>
      <c r="AA251" t="e">
        <f>VLOOKUP($I251,'[1]Table S6'!$A:$AI,19,FALSE)</f>
        <v>#N/A</v>
      </c>
      <c r="AB251" t="e">
        <f>VLOOKUP($I251,'[1]Table S6'!$A:$AI,20,FALSE)</f>
        <v>#N/A</v>
      </c>
      <c r="AD251" t="e">
        <f>VLOOKUP($I251,'[1]Table S6'!$A:$AI,22,FALSE)</f>
        <v>#N/A</v>
      </c>
      <c r="AE251" t="e">
        <f>VLOOKUP($I251,'[1]Table S6'!$A:$AI,23,FALSE)</f>
        <v>#N/A</v>
      </c>
      <c r="AF251" t="e">
        <f>VLOOKUP($I251,'[1]Table S6'!$A:$AI,24,FALSE)</f>
        <v>#N/A</v>
      </c>
      <c r="AG251" t="e">
        <f>VLOOKUP($I251,'[1]Table S6'!$A:$AI,25,FALSE)</f>
        <v>#N/A</v>
      </c>
      <c r="AI251" t="e">
        <f>VLOOKUP($I251,'[1]Table S6'!$A:$AI,27,FALSE)</f>
        <v>#N/A</v>
      </c>
      <c r="AJ251" t="e">
        <f>VLOOKUP($I251,'[1]Table S6'!$A:$AI,28,FALSE)</f>
        <v>#N/A</v>
      </c>
      <c r="AK251" t="e">
        <f>VLOOKUP($I251,'[1]Table S6'!$A:$AI,29,FALSE)</f>
        <v>#N/A</v>
      </c>
      <c r="AL251" t="e">
        <f>VLOOKUP($I251,'[1]Table S6'!$A:$AI,30,FALSE)</f>
        <v>#N/A</v>
      </c>
      <c r="AN251" t="e">
        <f>VLOOKUP($I251,'[1]Table S6'!$A:$AI,32,FALSE)</f>
        <v>#N/A</v>
      </c>
      <c r="AO251" t="e">
        <f>VLOOKUP($I251,'[1]Table S6'!$A:$AI,33,FALSE)</f>
        <v>#N/A</v>
      </c>
      <c r="AP251" t="e">
        <f>VLOOKUP($I251,'[1]Table S6'!$A:$AI,34,FALSE)</f>
        <v>#N/A</v>
      </c>
      <c r="AQ251" t="e">
        <f>VLOOKUP($I251,'[1]Table S6'!$A:$AI,35,FALSE)</f>
        <v>#N/A</v>
      </c>
      <c r="AS251" t="e">
        <f>VLOOKUP($H251,'[2]Table S5'!$A:$K,8,FALSE)</f>
        <v>#N/A</v>
      </c>
      <c r="AT251" t="e">
        <f>VLOOKUP($H251,'[2]Table S5'!$A:$K,9,FALSE)</f>
        <v>#N/A</v>
      </c>
      <c r="AU251" t="e">
        <f>VLOOKUP($H251,'[2]Table S5'!$A:$K,10,FALSE)</f>
        <v>#N/A</v>
      </c>
      <c r="AV251" t="e">
        <f>VLOOKUP($H251,'[2]Table S5'!$A:$K,11,FALSE)</f>
        <v>#N/A</v>
      </c>
    </row>
    <row r="252" spans="1:48">
      <c r="A252" t="s">
        <v>1899</v>
      </c>
      <c r="B252" t="s">
        <v>1900</v>
      </c>
      <c r="C252" t="s">
        <v>17</v>
      </c>
      <c r="D252" t="s">
        <v>1902</v>
      </c>
      <c r="E252" t="s">
        <v>1903</v>
      </c>
      <c r="F252" t="s">
        <v>1904</v>
      </c>
      <c r="G252" t="s">
        <v>4757</v>
      </c>
      <c r="H252" t="s">
        <v>1905</v>
      </c>
      <c r="I252" t="s">
        <v>1905</v>
      </c>
      <c r="J252" t="e">
        <f>VLOOKUP($I252,'[1]Table S6'!$A:$AI,2,FALSE)</f>
        <v>#N/A</v>
      </c>
      <c r="K252" t="e">
        <f>VLOOKUP($I252,'[1]Table S6'!$A:$AI,3,FALSE)</f>
        <v>#N/A</v>
      </c>
      <c r="L252" t="e">
        <f>VLOOKUP($I252,'[1]Table S6'!$A:$AI,4,FALSE)</f>
        <v>#N/A</v>
      </c>
      <c r="M252" t="e">
        <f>VLOOKUP($I252,'[1]Table S6'!$A:$AI,5,FALSE)</f>
        <v>#N/A</v>
      </c>
      <c r="O252" t="e">
        <f>VLOOKUP($I252,'[1]Table S6'!$A:$AI,7,FALSE)</f>
        <v>#N/A</v>
      </c>
      <c r="P252" t="e">
        <f>VLOOKUP($I252,'[1]Table S6'!$A:$AI,8,FALSE)</f>
        <v>#N/A</v>
      </c>
      <c r="Q252" t="e">
        <f>VLOOKUP($I252,'[1]Table S6'!$A:$AI,9,FALSE)</f>
        <v>#N/A</v>
      </c>
      <c r="R252" t="e">
        <f>VLOOKUP($I252,'[1]Table S6'!$A:$AI,10,FALSE)</f>
        <v>#N/A</v>
      </c>
      <c r="T252" t="e">
        <f>VLOOKUP($I252,'[1]Table S6'!$A:$AI,12,FALSE)</f>
        <v>#N/A</v>
      </c>
      <c r="U252" t="e">
        <f>VLOOKUP($I252,'[1]Table S6'!$A:$AI,13,FALSE)</f>
        <v>#N/A</v>
      </c>
      <c r="V252" t="e">
        <f>VLOOKUP($I252,'[1]Table S6'!$A:$AI,14,FALSE)</f>
        <v>#N/A</v>
      </c>
      <c r="W252" t="e">
        <f>VLOOKUP($I252,'[1]Table S6'!$A:$AI,15,FALSE)</f>
        <v>#N/A</v>
      </c>
      <c r="Y252" t="e">
        <f>VLOOKUP($I252,'[1]Table S6'!$A:$AI,17,FALSE)</f>
        <v>#N/A</v>
      </c>
      <c r="Z252" t="e">
        <f>VLOOKUP($I252,'[1]Table S6'!$A:$AI,18,FALSE)</f>
        <v>#N/A</v>
      </c>
      <c r="AA252" t="e">
        <f>VLOOKUP($I252,'[1]Table S6'!$A:$AI,19,FALSE)</f>
        <v>#N/A</v>
      </c>
      <c r="AB252" t="e">
        <f>VLOOKUP($I252,'[1]Table S6'!$A:$AI,20,FALSE)</f>
        <v>#N/A</v>
      </c>
      <c r="AD252" t="e">
        <f>VLOOKUP($I252,'[1]Table S6'!$A:$AI,22,FALSE)</f>
        <v>#N/A</v>
      </c>
      <c r="AE252" t="e">
        <f>VLOOKUP($I252,'[1]Table S6'!$A:$AI,23,FALSE)</f>
        <v>#N/A</v>
      </c>
      <c r="AF252" t="e">
        <f>VLOOKUP($I252,'[1]Table S6'!$A:$AI,24,FALSE)</f>
        <v>#N/A</v>
      </c>
      <c r="AG252" t="e">
        <f>VLOOKUP($I252,'[1]Table S6'!$A:$AI,25,FALSE)</f>
        <v>#N/A</v>
      </c>
      <c r="AI252" t="e">
        <f>VLOOKUP($I252,'[1]Table S6'!$A:$AI,27,FALSE)</f>
        <v>#N/A</v>
      </c>
      <c r="AJ252" t="e">
        <f>VLOOKUP($I252,'[1]Table S6'!$A:$AI,28,FALSE)</f>
        <v>#N/A</v>
      </c>
      <c r="AK252" t="e">
        <f>VLOOKUP($I252,'[1]Table S6'!$A:$AI,29,FALSE)</f>
        <v>#N/A</v>
      </c>
      <c r="AL252" t="e">
        <f>VLOOKUP($I252,'[1]Table S6'!$A:$AI,30,FALSE)</f>
        <v>#N/A</v>
      </c>
      <c r="AN252" t="e">
        <f>VLOOKUP($I252,'[1]Table S6'!$A:$AI,32,FALSE)</f>
        <v>#N/A</v>
      </c>
      <c r="AO252" t="e">
        <f>VLOOKUP($I252,'[1]Table S6'!$A:$AI,33,FALSE)</f>
        <v>#N/A</v>
      </c>
      <c r="AP252" t="e">
        <f>VLOOKUP($I252,'[1]Table S6'!$A:$AI,34,FALSE)</f>
        <v>#N/A</v>
      </c>
      <c r="AQ252" t="e">
        <f>VLOOKUP($I252,'[1]Table S6'!$A:$AI,35,FALSE)</f>
        <v>#N/A</v>
      </c>
      <c r="AS252" t="e">
        <f>VLOOKUP($H252,'[2]Table S5'!$A:$K,8,FALSE)</f>
        <v>#N/A</v>
      </c>
      <c r="AT252" t="e">
        <f>VLOOKUP($H252,'[2]Table S5'!$A:$K,9,FALSE)</f>
        <v>#N/A</v>
      </c>
      <c r="AU252" t="e">
        <f>VLOOKUP($H252,'[2]Table S5'!$A:$K,10,FALSE)</f>
        <v>#N/A</v>
      </c>
      <c r="AV252" t="e">
        <f>VLOOKUP($H252,'[2]Table S5'!$A:$K,11,FALSE)</f>
        <v>#N/A</v>
      </c>
    </row>
    <row r="253" spans="1:48">
      <c r="A253" t="s">
        <v>1907</v>
      </c>
      <c r="B253" t="s">
        <v>1908</v>
      </c>
      <c r="C253" t="s">
        <v>17</v>
      </c>
      <c r="D253" t="s">
        <v>1910</v>
      </c>
      <c r="E253" t="s">
        <v>1911</v>
      </c>
      <c r="F253" t="s">
        <v>1912</v>
      </c>
      <c r="G253" t="s">
        <v>4751</v>
      </c>
      <c r="H253" t="s">
        <v>1905</v>
      </c>
      <c r="I253" t="s">
        <v>1913</v>
      </c>
      <c r="J253">
        <f>VLOOKUP($I253,'[1]Table S6'!$A:$AI,2,FALSE)</f>
        <v>325</v>
      </c>
      <c r="K253">
        <f>VLOOKUP($I253,'[1]Table S6'!$A:$AI,3,FALSE)</f>
        <v>0.69163651840817197</v>
      </c>
      <c r="L253">
        <f>VLOOKUP($I253,'[1]Table S6'!$A:$AI,4,FALSE)</f>
        <v>2.3159999999999998</v>
      </c>
      <c r="M253" t="str">
        <f>VLOOKUP($I253,'[1]Table S6'!$A:$AI,5,FALSE)</f>
        <v>Yes</v>
      </c>
      <c r="O253">
        <f>VLOOKUP($I253,'[1]Table S6'!$A:$AI,7,FALSE)</f>
        <v>323.5</v>
      </c>
      <c r="P253">
        <f>VLOOKUP($I253,'[1]Table S6'!$A:$AI,8,FALSE)</f>
        <v>0.68844434986167302</v>
      </c>
      <c r="Q253">
        <f>VLOOKUP($I253,'[1]Table S6'!$A:$AI,9,FALSE)</f>
        <v>2.133</v>
      </c>
      <c r="R253" t="str">
        <f>VLOOKUP($I253,'[1]Table S6'!$A:$AI,10,FALSE)</f>
        <v>Yes</v>
      </c>
      <c r="T253">
        <f>VLOOKUP($I253,'[1]Table S6'!$A:$AI,12,FALSE)</f>
        <v>341.6</v>
      </c>
      <c r="U253">
        <f>VLOOKUP($I253,'[1]Table S6'!$A:$AI,13,FALSE)</f>
        <v>0.72696318365609702</v>
      </c>
      <c r="V253">
        <f>VLOOKUP($I253,'[1]Table S6'!$A:$AI,14,FALSE)</f>
        <v>5.2990000000000004</v>
      </c>
      <c r="W253" t="str">
        <f>VLOOKUP($I253,'[1]Table S6'!$A:$AI,15,FALSE)</f>
        <v>No</v>
      </c>
      <c r="Y253">
        <f>VLOOKUP($I253,'[1]Table S6'!$A:$AI,17,FALSE)</f>
        <v>326.60000000000002</v>
      </c>
      <c r="Z253">
        <f>VLOOKUP($I253,'[1]Table S6'!$A:$AI,18,FALSE)</f>
        <v>0.69504149819110495</v>
      </c>
      <c r="AA253">
        <f>VLOOKUP($I253,'[1]Table S6'!$A:$AI,19,FALSE)</f>
        <v>2.3660000000000001</v>
      </c>
      <c r="AB253" t="str">
        <f>VLOOKUP($I253,'[1]Table S6'!$A:$AI,20,FALSE)</f>
        <v>No</v>
      </c>
      <c r="AD253">
        <f>VLOOKUP($I253,'[1]Table S6'!$A:$AI,22,FALSE)</f>
        <v>368</v>
      </c>
      <c r="AE253">
        <f>VLOOKUP($I253,'[1]Table S6'!$A:$AI,23,FALSE)</f>
        <v>0.78314535007448405</v>
      </c>
      <c r="AF253">
        <f>VLOOKUP($I253,'[1]Table S6'!$A:$AI,24,FALSE)</f>
        <v>20.9</v>
      </c>
      <c r="AG253" t="str">
        <f>VLOOKUP($I253,'[1]Table S6'!$A:$AI,25,FALSE)</f>
        <v>No</v>
      </c>
      <c r="AI253">
        <f>VLOOKUP($I253,'[1]Table S6'!$A:$AI,27,FALSE)</f>
        <v>400.4</v>
      </c>
      <c r="AJ253">
        <f>VLOOKUP($I253,'[1]Table S6'!$A:$AI,28,FALSE)</f>
        <v>0.85209619067886799</v>
      </c>
      <c r="AK253">
        <f>VLOOKUP($I253,'[1]Table S6'!$A:$AI,29,FALSE)</f>
        <v>78.099999999999994</v>
      </c>
      <c r="AL253" t="str">
        <f>VLOOKUP($I253,'[1]Table S6'!$A:$AI,30,FALSE)</f>
        <v>No</v>
      </c>
      <c r="AN253">
        <f>VLOOKUP($I253,'[1]Table S6'!$A:$AI,32,FALSE)</f>
        <v>372.8</v>
      </c>
      <c r="AO253">
        <f>VLOOKUP($I253,'[1]Table S6'!$A:$AI,33,FALSE)</f>
        <v>0.79336028942328196</v>
      </c>
      <c r="AP253">
        <f>VLOOKUP($I253,'[1]Table S6'!$A:$AI,34,FALSE)</f>
        <v>68.849999999999994</v>
      </c>
      <c r="AQ253" t="str">
        <f>VLOOKUP($I253,'[1]Table S6'!$A:$AI,35,FALSE)</f>
        <v>No</v>
      </c>
      <c r="AS253" t="e">
        <f>VLOOKUP($H253,'[2]Table S5'!$A:$K,8,FALSE)</f>
        <v>#N/A</v>
      </c>
      <c r="AT253" t="e">
        <f>VLOOKUP($H253,'[2]Table S5'!$A:$K,9,FALSE)</f>
        <v>#N/A</v>
      </c>
      <c r="AU253" t="e">
        <f>VLOOKUP($H253,'[2]Table S5'!$A:$K,10,FALSE)</f>
        <v>#N/A</v>
      </c>
      <c r="AV253" t="e">
        <f>VLOOKUP($H253,'[2]Table S5'!$A:$K,11,FALSE)</f>
        <v>#N/A</v>
      </c>
    </row>
    <row r="254" spans="1:48">
      <c r="A254" t="s">
        <v>1915</v>
      </c>
      <c r="B254" t="s">
        <v>1916</v>
      </c>
      <c r="C254" t="s">
        <v>17</v>
      </c>
      <c r="D254" t="s">
        <v>1918</v>
      </c>
      <c r="E254" t="s">
        <v>1919</v>
      </c>
      <c r="F254" t="s">
        <v>1920</v>
      </c>
      <c r="G254" t="s">
        <v>4751</v>
      </c>
      <c r="H254" t="s">
        <v>1905</v>
      </c>
      <c r="I254" t="s">
        <v>1921</v>
      </c>
      <c r="J254">
        <f>VLOOKUP($I254,'[1]Table S6'!$A:$AI,2,FALSE)</f>
        <v>318</v>
      </c>
      <c r="K254">
        <f>VLOOKUP($I254,'[1]Table S6'!$A:$AI,3,FALSE)</f>
        <v>0.67673973185784198</v>
      </c>
      <c r="L254">
        <f>VLOOKUP($I254,'[1]Table S6'!$A:$AI,4,FALSE)</f>
        <v>3.665</v>
      </c>
      <c r="M254" t="str">
        <f>VLOOKUP($I254,'[1]Table S6'!$A:$AI,5,FALSE)</f>
        <v>Yes</v>
      </c>
      <c r="O254">
        <f>VLOOKUP($I254,'[1]Table S6'!$A:$AI,7,FALSE)</f>
        <v>298.10000000000002</v>
      </c>
      <c r="P254">
        <f>VLOOKUP($I254,'[1]Table S6'!$A:$AI,8,FALSE)</f>
        <v>0.63439029580761896</v>
      </c>
      <c r="Q254">
        <f>VLOOKUP($I254,'[1]Table S6'!$A:$AI,9,FALSE)</f>
        <v>1.2410000000000001</v>
      </c>
      <c r="R254" t="str">
        <f>VLOOKUP($I254,'[1]Table S6'!$A:$AI,10,FALSE)</f>
        <v>Yes</v>
      </c>
      <c r="T254">
        <f>VLOOKUP($I254,'[1]Table S6'!$A:$AI,12,FALSE)</f>
        <v>299.39999999999998</v>
      </c>
      <c r="U254">
        <f>VLOOKUP($I254,'[1]Table S6'!$A:$AI,13,FALSE)</f>
        <v>0.63715684188125099</v>
      </c>
      <c r="V254">
        <f>VLOOKUP($I254,'[1]Table S6'!$A:$AI,14,FALSE)</f>
        <v>1.8720000000000001</v>
      </c>
      <c r="W254" t="str">
        <f>VLOOKUP($I254,'[1]Table S6'!$A:$AI,15,FALSE)</f>
        <v>Yes</v>
      </c>
      <c r="Y254">
        <f>VLOOKUP($I254,'[1]Table S6'!$A:$AI,17,FALSE)</f>
        <v>295.8</v>
      </c>
      <c r="Z254">
        <f>VLOOKUP($I254,'[1]Table S6'!$A:$AI,18,FALSE)</f>
        <v>0.62949563736965297</v>
      </c>
      <c r="AA254">
        <f>VLOOKUP($I254,'[1]Table S6'!$A:$AI,19,FALSE)</f>
        <v>1.7450000000000001</v>
      </c>
      <c r="AB254" t="str">
        <f>VLOOKUP($I254,'[1]Table S6'!$A:$AI,20,FALSE)</f>
        <v>Yes</v>
      </c>
      <c r="AD254">
        <f>VLOOKUP($I254,'[1]Table S6'!$A:$AI,22,FALSE)</f>
        <v>328.6</v>
      </c>
      <c r="AE254">
        <f>VLOOKUP($I254,'[1]Table S6'!$A:$AI,23,FALSE)</f>
        <v>0.69929772291976999</v>
      </c>
      <c r="AF254">
        <f>VLOOKUP($I254,'[1]Table S6'!$A:$AI,24,FALSE)</f>
        <v>3.6419999999999999</v>
      </c>
      <c r="AG254" t="str">
        <f>VLOOKUP($I254,'[1]Table S6'!$A:$AI,25,FALSE)</f>
        <v>No</v>
      </c>
      <c r="AI254">
        <f>VLOOKUP($I254,'[1]Table S6'!$A:$AI,27,FALSE)</f>
        <v>324</v>
      </c>
      <c r="AJ254">
        <f>VLOOKUP($I254,'[1]Table S6'!$A:$AI,28,FALSE)</f>
        <v>0.68950840604383901</v>
      </c>
      <c r="AK254">
        <f>VLOOKUP($I254,'[1]Table S6'!$A:$AI,29,FALSE)</f>
        <v>6.3689999999999998</v>
      </c>
      <c r="AL254" t="str">
        <f>VLOOKUP($I254,'[1]Table S6'!$A:$AI,30,FALSE)</f>
        <v>No</v>
      </c>
      <c r="AN254">
        <f>VLOOKUP($I254,'[1]Table S6'!$A:$AI,32,FALSE)</f>
        <v>306.5</v>
      </c>
      <c r="AO254">
        <f>VLOOKUP($I254,'[1]Table S6'!$A:$AI,33,FALSE)</f>
        <v>0.65226643966801401</v>
      </c>
      <c r="AP254">
        <f>VLOOKUP($I254,'[1]Table S6'!$A:$AI,34,FALSE)</f>
        <v>1.425</v>
      </c>
      <c r="AQ254" t="str">
        <f>VLOOKUP($I254,'[1]Table S6'!$A:$AI,35,FALSE)</f>
        <v>Yes</v>
      </c>
      <c r="AS254" t="e">
        <f>VLOOKUP($H254,'[2]Table S5'!$A:$K,8,FALSE)</f>
        <v>#N/A</v>
      </c>
      <c r="AT254" t="e">
        <f>VLOOKUP($H254,'[2]Table S5'!$A:$K,9,FALSE)</f>
        <v>#N/A</v>
      </c>
      <c r="AU254" t="e">
        <f>VLOOKUP($H254,'[2]Table S5'!$A:$K,10,FALSE)</f>
        <v>#N/A</v>
      </c>
      <c r="AV254" t="e">
        <f>VLOOKUP($H254,'[2]Table S5'!$A:$K,11,FALSE)</f>
        <v>#N/A</v>
      </c>
    </row>
    <row r="255" spans="1:48">
      <c r="A255" t="s">
        <v>1923</v>
      </c>
      <c r="B255" t="s">
        <v>1924</v>
      </c>
      <c r="C255" t="s">
        <v>17</v>
      </c>
      <c r="D255" t="s">
        <v>1926</v>
      </c>
      <c r="E255" t="s">
        <v>1927</v>
      </c>
      <c r="F255" t="s">
        <v>1928</v>
      </c>
      <c r="G255" t="s">
        <v>4751</v>
      </c>
      <c r="H255" t="s">
        <v>1905</v>
      </c>
      <c r="I255" t="s">
        <v>1929</v>
      </c>
      <c r="J255">
        <f>VLOOKUP($I255,'[1]Table S6'!$A:$AI,2,FALSE)</f>
        <v>354</v>
      </c>
      <c r="K255">
        <f>VLOOKUP($I255,'[1]Table S6'!$A:$AI,3,FALSE)</f>
        <v>0.75335177697382405</v>
      </c>
      <c r="L255">
        <f>VLOOKUP($I255,'[1]Table S6'!$A:$AI,4,FALSE)</f>
        <v>5.41</v>
      </c>
      <c r="M255" t="str">
        <f>VLOOKUP($I255,'[1]Table S6'!$A:$AI,5,FALSE)</f>
        <v>No</v>
      </c>
      <c r="O255">
        <f>VLOOKUP($I255,'[1]Table S6'!$A:$AI,7,FALSE)</f>
        <v>357.4</v>
      </c>
      <c r="P255">
        <f>VLOOKUP($I255,'[1]Table S6'!$A:$AI,8,FALSE)</f>
        <v>0.76058735901255603</v>
      </c>
      <c r="Q255">
        <f>VLOOKUP($I255,'[1]Table S6'!$A:$AI,9,FALSE)</f>
        <v>5.0869999999999997</v>
      </c>
      <c r="R255" t="str">
        <f>VLOOKUP($I255,'[1]Table S6'!$A:$AI,10,FALSE)</f>
        <v>No</v>
      </c>
      <c r="T255">
        <f>VLOOKUP($I255,'[1]Table S6'!$A:$AI,12,FALSE)</f>
        <v>358.3</v>
      </c>
      <c r="U255">
        <f>VLOOKUP($I255,'[1]Table S6'!$A:$AI,13,FALSE)</f>
        <v>0.76250266014045498</v>
      </c>
      <c r="V255">
        <f>VLOOKUP($I255,'[1]Table S6'!$A:$AI,14,FALSE)</f>
        <v>5.782</v>
      </c>
      <c r="W255" t="str">
        <f>VLOOKUP($I255,'[1]Table S6'!$A:$AI,15,FALSE)</f>
        <v>No</v>
      </c>
      <c r="Y255">
        <f>VLOOKUP($I255,'[1]Table S6'!$A:$AI,17,FALSE)</f>
        <v>314.7</v>
      </c>
      <c r="Z255">
        <f>VLOOKUP($I255,'[1]Table S6'!$A:$AI,18,FALSE)</f>
        <v>0.66971696105554401</v>
      </c>
      <c r="AA255">
        <f>VLOOKUP($I255,'[1]Table S6'!$A:$AI,19,FALSE)</f>
        <v>1.33</v>
      </c>
      <c r="AB255" t="str">
        <f>VLOOKUP($I255,'[1]Table S6'!$A:$AI,20,FALSE)</f>
        <v>Yes</v>
      </c>
      <c r="AD255">
        <f>VLOOKUP($I255,'[1]Table S6'!$A:$AI,22,FALSE)</f>
        <v>387.7</v>
      </c>
      <c r="AE255">
        <f>VLOOKUP($I255,'[1]Table S6'!$A:$AI,23,FALSE)</f>
        <v>0.82506916365184102</v>
      </c>
      <c r="AF255">
        <f>VLOOKUP($I255,'[1]Table S6'!$A:$AI,24,FALSE)</f>
        <v>16.79</v>
      </c>
      <c r="AG255" t="str">
        <f>VLOOKUP($I255,'[1]Table S6'!$A:$AI,25,FALSE)</f>
        <v>No</v>
      </c>
      <c r="AI255">
        <f>VLOOKUP($I255,'[1]Table S6'!$A:$AI,27,FALSE)</f>
        <v>360.5</v>
      </c>
      <c r="AJ255">
        <f>VLOOKUP($I255,'[1]Table S6'!$A:$AI,28,FALSE)</f>
        <v>0.76718450734198795</v>
      </c>
      <c r="AK255">
        <f>VLOOKUP($I255,'[1]Table S6'!$A:$AI,29,FALSE)</f>
        <v>7.4450000000000003</v>
      </c>
      <c r="AL255" t="str">
        <f>VLOOKUP($I255,'[1]Table S6'!$A:$AI,30,FALSE)</f>
        <v>No</v>
      </c>
      <c r="AN255">
        <f>VLOOKUP($I255,'[1]Table S6'!$A:$AI,32,FALSE)</f>
        <v>354.5</v>
      </c>
      <c r="AO255">
        <f>VLOOKUP($I255,'[1]Table S6'!$A:$AI,33,FALSE)</f>
        <v>0.75441583315599103</v>
      </c>
      <c r="AP255">
        <f>VLOOKUP($I255,'[1]Table S6'!$A:$AI,34,FALSE)</f>
        <v>6.5540000000000003</v>
      </c>
      <c r="AQ255" t="str">
        <f>VLOOKUP($I255,'[1]Table S6'!$A:$AI,35,FALSE)</f>
        <v>No</v>
      </c>
      <c r="AS255" t="e">
        <f>VLOOKUP($H255,'[2]Table S5'!$A:$K,8,FALSE)</f>
        <v>#N/A</v>
      </c>
      <c r="AT255" t="e">
        <f>VLOOKUP($H255,'[2]Table S5'!$A:$K,9,FALSE)</f>
        <v>#N/A</v>
      </c>
      <c r="AU255" t="e">
        <f>VLOOKUP($H255,'[2]Table S5'!$A:$K,10,FALSE)</f>
        <v>#N/A</v>
      </c>
      <c r="AV255" t="e">
        <f>VLOOKUP($H255,'[2]Table S5'!$A:$K,11,FALSE)</f>
        <v>#N/A</v>
      </c>
    </row>
    <row r="256" spans="1:48">
      <c r="A256" t="s">
        <v>1931</v>
      </c>
      <c r="B256" t="s">
        <v>1932</v>
      </c>
      <c r="C256" t="s">
        <v>17</v>
      </c>
      <c r="D256" t="s">
        <v>1934</v>
      </c>
      <c r="E256" t="s">
        <v>1935</v>
      </c>
      <c r="F256" t="s">
        <v>1936</v>
      </c>
      <c r="G256" t="s">
        <v>4751</v>
      </c>
      <c r="H256" t="s">
        <v>1937</v>
      </c>
      <c r="I256" t="s">
        <v>1938</v>
      </c>
      <c r="J256">
        <f>VLOOKUP($I256,'[1]Table S6'!$A:$AI,2,FALSE)</f>
        <v>347.4</v>
      </c>
      <c r="K256">
        <f>VLOOKUP($I256,'[1]Table S6'!$A:$AI,3,FALSE)</f>
        <v>0.73930623536922702</v>
      </c>
      <c r="L256">
        <f>VLOOKUP($I256,'[1]Table S6'!$A:$AI,4,FALSE)</f>
        <v>4.8490000000000002</v>
      </c>
      <c r="M256" t="str">
        <f>VLOOKUP($I256,'[1]Table S6'!$A:$AI,5,FALSE)</f>
        <v>No</v>
      </c>
      <c r="O256">
        <f>VLOOKUP($I256,'[1]Table S6'!$A:$AI,7,FALSE)</f>
        <v>354.8</v>
      </c>
      <c r="P256">
        <f>VLOOKUP($I256,'[1]Table S6'!$A:$AI,8,FALSE)</f>
        <v>0.75505426686529098</v>
      </c>
      <c r="Q256">
        <f>VLOOKUP($I256,'[1]Table S6'!$A:$AI,9,FALSE)</f>
        <v>6.5359999999999996</v>
      </c>
      <c r="R256" t="str">
        <f>VLOOKUP($I256,'[1]Table S6'!$A:$AI,10,FALSE)</f>
        <v>No</v>
      </c>
      <c r="T256">
        <f>VLOOKUP($I256,'[1]Table S6'!$A:$AI,12,FALSE)</f>
        <v>366.6</v>
      </c>
      <c r="U256">
        <f>VLOOKUP($I256,'[1]Table S6'!$A:$AI,13,FALSE)</f>
        <v>0.780165992764418</v>
      </c>
      <c r="V256">
        <f>VLOOKUP($I256,'[1]Table S6'!$A:$AI,14,FALSE)</f>
        <v>8.9209999999999994</v>
      </c>
      <c r="W256" t="str">
        <f>VLOOKUP($I256,'[1]Table S6'!$A:$AI,15,FALSE)</f>
        <v>No</v>
      </c>
      <c r="Y256">
        <f>VLOOKUP($I256,'[1]Table S6'!$A:$AI,17,FALSE)</f>
        <v>350.2</v>
      </c>
      <c r="Z256">
        <f>VLOOKUP($I256,'[1]Table S6'!$A:$AI,18,FALSE)</f>
        <v>0.74526494998935899</v>
      </c>
      <c r="AA256">
        <f>VLOOKUP($I256,'[1]Table S6'!$A:$AI,19,FALSE)</f>
        <v>5.532</v>
      </c>
      <c r="AB256" t="str">
        <f>VLOOKUP($I256,'[1]Table S6'!$A:$AI,20,FALSE)</f>
        <v>No</v>
      </c>
      <c r="AD256">
        <f>VLOOKUP($I256,'[1]Table S6'!$A:$AI,22,FALSE)</f>
        <v>390.3</v>
      </c>
      <c r="AE256">
        <f>VLOOKUP($I256,'[1]Table S6'!$A:$AI,23,FALSE)</f>
        <v>0.83060225579910596</v>
      </c>
      <c r="AF256">
        <f>VLOOKUP($I256,'[1]Table S6'!$A:$AI,24,FALSE)</f>
        <v>20.170000000000002</v>
      </c>
      <c r="AG256" t="str">
        <f>VLOOKUP($I256,'[1]Table S6'!$A:$AI,25,FALSE)</f>
        <v>No</v>
      </c>
      <c r="AI256">
        <f>VLOOKUP($I256,'[1]Table S6'!$A:$AI,27,FALSE)</f>
        <v>395.9</v>
      </c>
      <c r="AJ256">
        <f>VLOOKUP($I256,'[1]Table S6'!$A:$AI,28,FALSE)</f>
        <v>0.84251968503937003</v>
      </c>
      <c r="AK256">
        <f>VLOOKUP($I256,'[1]Table S6'!$A:$AI,29,FALSE)</f>
        <v>23.55</v>
      </c>
      <c r="AL256" t="str">
        <f>VLOOKUP($I256,'[1]Table S6'!$A:$AI,30,FALSE)</f>
        <v>No</v>
      </c>
      <c r="AN256">
        <f>VLOOKUP($I256,'[1]Table S6'!$A:$AI,32,FALSE)</f>
        <v>409</v>
      </c>
      <c r="AO256">
        <f>VLOOKUP($I256,'[1]Table S6'!$A:$AI,33,FALSE)</f>
        <v>0.87039795701212996</v>
      </c>
      <c r="AP256">
        <f>VLOOKUP($I256,'[1]Table S6'!$A:$AI,34,FALSE)</f>
        <v>41.59</v>
      </c>
      <c r="AQ256" t="str">
        <f>VLOOKUP($I256,'[1]Table S6'!$A:$AI,35,FALSE)</f>
        <v>No</v>
      </c>
      <c r="AS256" t="e">
        <f>VLOOKUP($H256,'[2]Table S5'!$A:$K,8,FALSE)</f>
        <v>#N/A</v>
      </c>
      <c r="AT256" t="e">
        <f>VLOOKUP($H256,'[2]Table S5'!$A:$K,9,FALSE)</f>
        <v>#N/A</v>
      </c>
      <c r="AU256" t="e">
        <f>VLOOKUP($H256,'[2]Table S5'!$A:$K,10,FALSE)</f>
        <v>#N/A</v>
      </c>
      <c r="AV256" t="e">
        <f>VLOOKUP($H256,'[2]Table S5'!$A:$K,11,FALSE)</f>
        <v>#N/A</v>
      </c>
    </row>
    <row r="257" spans="1:48">
      <c r="A257" t="s">
        <v>1940</v>
      </c>
      <c r="B257" t="s">
        <v>1941</v>
      </c>
      <c r="C257" t="s">
        <v>17</v>
      </c>
      <c r="D257" t="s">
        <v>1943</v>
      </c>
      <c r="E257" t="s">
        <v>1944</v>
      </c>
      <c r="F257" t="s">
        <v>1945</v>
      </c>
      <c r="G257" t="s">
        <v>4751</v>
      </c>
      <c r="H257" t="s">
        <v>1937</v>
      </c>
      <c r="I257" t="s">
        <v>1946</v>
      </c>
      <c r="J257">
        <f>VLOOKUP($I257,'[1]Table S6'!$A:$AI,2,FALSE)</f>
        <v>380.1</v>
      </c>
      <c r="K257">
        <f>VLOOKUP($I257,'[1]Table S6'!$A:$AI,3,FALSE)</f>
        <v>0.80889550968291102</v>
      </c>
      <c r="L257">
        <f>VLOOKUP($I257,'[1]Table S6'!$A:$AI,4,FALSE)</f>
        <v>13.46</v>
      </c>
      <c r="M257" t="str">
        <f>VLOOKUP($I257,'[1]Table S6'!$A:$AI,5,FALSE)</f>
        <v>No</v>
      </c>
      <c r="O257">
        <f>VLOOKUP($I257,'[1]Table S6'!$A:$AI,7,FALSE)</f>
        <v>379.5</v>
      </c>
      <c r="P257">
        <f>VLOOKUP($I257,'[1]Table S6'!$A:$AI,8,FALSE)</f>
        <v>0.80761864226431201</v>
      </c>
      <c r="Q257">
        <f>VLOOKUP($I257,'[1]Table S6'!$A:$AI,9,FALSE)</f>
        <v>8.8249999999999993</v>
      </c>
      <c r="R257" t="str">
        <f>VLOOKUP($I257,'[1]Table S6'!$A:$AI,10,FALSE)</f>
        <v>No</v>
      </c>
      <c r="T257">
        <f>VLOOKUP($I257,'[1]Table S6'!$A:$AI,12,FALSE)</f>
        <v>394.5</v>
      </c>
      <c r="U257">
        <f>VLOOKUP($I257,'[1]Table S6'!$A:$AI,13,FALSE)</f>
        <v>0.83954032772930398</v>
      </c>
      <c r="V257">
        <f>VLOOKUP($I257,'[1]Table S6'!$A:$AI,14,FALSE)</f>
        <v>19.98</v>
      </c>
      <c r="W257" t="str">
        <f>VLOOKUP($I257,'[1]Table S6'!$A:$AI,15,FALSE)</f>
        <v>No</v>
      </c>
      <c r="Y257">
        <f>VLOOKUP($I257,'[1]Table S6'!$A:$AI,17,FALSE)</f>
        <v>373.3</v>
      </c>
      <c r="Z257">
        <f>VLOOKUP($I257,'[1]Table S6'!$A:$AI,18,FALSE)</f>
        <v>0.79442434560544795</v>
      </c>
      <c r="AA257">
        <f>VLOOKUP($I257,'[1]Table S6'!$A:$AI,19,FALSE)</f>
        <v>12.13</v>
      </c>
      <c r="AB257" t="str">
        <f>VLOOKUP($I257,'[1]Table S6'!$A:$AI,20,FALSE)</f>
        <v>No</v>
      </c>
      <c r="AD257">
        <f>VLOOKUP($I257,'[1]Table S6'!$A:$AI,22,FALSE)</f>
        <v>413.5</v>
      </c>
      <c r="AE257">
        <f>VLOOKUP($I257,'[1]Table S6'!$A:$AI,23,FALSE)</f>
        <v>0.87997446265162804</v>
      </c>
      <c r="AF257">
        <f>VLOOKUP($I257,'[1]Table S6'!$A:$AI,24,FALSE)</f>
        <v>28.67</v>
      </c>
      <c r="AG257" t="str">
        <f>VLOOKUP($I257,'[1]Table S6'!$A:$AI,25,FALSE)</f>
        <v>No</v>
      </c>
      <c r="AI257">
        <f>VLOOKUP($I257,'[1]Table S6'!$A:$AI,27,FALSE)</f>
        <v>424.7</v>
      </c>
      <c r="AJ257">
        <f>VLOOKUP($I257,'[1]Table S6'!$A:$AI,28,FALSE)</f>
        <v>0.90380932113215595</v>
      </c>
      <c r="AK257">
        <f>VLOOKUP($I257,'[1]Table S6'!$A:$AI,29,FALSE)</f>
        <v>37.479999999999997</v>
      </c>
      <c r="AL257" t="str">
        <f>VLOOKUP($I257,'[1]Table S6'!$A:$AI,30,FALSE)</f>
        <v>No</v>
      </c>
      <c r="AN257">
        <f>VLOOKUP($I257,'[1]Table S6'!$A:$AI,32,FALSE)</f>
        <v>421.9</v>
      </c>
      <c r="AO257">
        <f>VLOOKUP($I257,'[1]Table S6'!$A:$AI,33,FALSE)</f>
        <v>0.89785060651202397</v>
      </c>
      <c r="AP257">
        <f>VLOOKUP($I257,'[1]Table S6'!$A:$AI,34,FALSE)</f>
        <v>41.52</v>
      </c>
      <c r="AQ257" t="str">
        <f>VLOOKUP($I257,'[1]Table S6'!$A:$AI,35,FALSE)</f>
        <v>No</v>
      </c>
      <c r="AS257" t="e">
        <f>VLOOKUP($H257,'[2]Table S5'!$A:$K,8,FALSE)</f>
        <v>#N/A</v>
      </c>
      <c r="AT257" t="e">
        <f>VLOOKUP($H257,'[2]Table S5'!$A:$K,9,FALSE)</f>
        <v>#N/A</v>
      </c>
      <c r="AU257" t="e">
        <f>VLOOKUP($H257,'[2]Table S5'!$A:$K,10,FALSE)</f>
        <v>#N/A</v>
      </c>
      <c r="AV257" t="e">
        <f>VLOOKUP($H257,'[2]Table S5'!$A:$K,11,FALSE)</f>
        <v>#N/A</v>
      </c>
    </row>
    <row r="258" spans="1:48">
      <c r="A258" t="s">
        <v>1948</v>
      </c>
      <c r="B258" t="s">
        <v>1949</v>
      </c>
      <c r="C258" t="s">
        <v>17</v>
      </c>
      <c r="D258" t="s">
        <v>1951</v>
      </c>
      <c r="E258" t="s">
        <v>1952</v>
      </c>
      <c r="F258" t="s">
        <v>1953</v>
      </c>
      <c r="G258" t="s">
        <v>4751</v>
      </c>
      <c r="H258" t="s">
        <v>1937</v>
      </c>
      <c r="I258" t="s">
        <v>1954</v>
      </c>
      <c r="J258">
        <f>VLOOKUP($I258,'[1]Table S6'!$A:$AI,2,FALSE)</f>
        <v>359.2</v>
      </c>
      <c r="K258">
        <f>VLOOKUP($I258,'[1]Table S6'!$A:$AI,3,FALSE)</f>
        <v>0.76441796126835504</v>
      </c>
      <c r="L258">
        <f>VLOOKUP($I258,'[1]Table S6'!$A:$AI,4,FALSE)</f>
        <v>6.7089999999999996</v>
      </c>
      <c r="M258" t="str">
        <f>VLOOKUP($I258,'[1]Table S6'!$A:$AI,5,FALSE)</f>
        <v>No</v>
      </c>
      <c r="O258">
        <f>VLOOKUP($I258,'[1]Table S6'!$A:$AI,7,FALSE)</f>
        <v>352</v>
      </c>
      <c r="P258">
        <f>VLOOKUP($I258,'[1]Table S6'!$A:$AI,8,FALSE)</f>
        <v>0.749095552245159</v>
      </c>
      <c r="Q258">
        <f>VLOOKUP($I258,'[1]Table S6'!$A:$AI,9,FALSE)</f>
        <v>5.58</v>
      </c>
      <c r="R258" t="str">
        <f>VLOOKUP($I258,'[1]Table S6'!$A:$AI,10,FALSE)</f>
        <v>No</v>
      </c>
      <c r="T258">
        <f>VLOOKUP($I258,'[1]Table S6'!$A:$AI,12,FALSE)</f>
        <v>346.7</v>
      </c>
      <c r="U258">
        <f>VLOOKUP($I258,'[1]Table S6'!$A:$AI,13,FALSE)</f>
        <v>0.73781655671419499</v>
      </c>
      <c r="V258">
        <f>VLOOKUP($I258,'[1]Table S6'!$A:$AI,14,FALSE)</f>
        <v>4.7089999999999996</v>
      </c>
      <c r="W258" t="str">
        <f>VLOOKUP($I258,'[1]Table S6'!$A:$AI,15,FALSE)</f>
        <v>No</v>
      </c>
      <c r="Y258">
        <f>VLOOKUP($I258,'[1]Table S6'!$A:$AI,17,FALSE)</f>
        <v>321.7</v>
      </c>
      <c r="Z258">
        <f>VLOOKUP($I258,'[1]Table S6'!$A:$AI,18,FALSE)</f>
        <v>0.68461374760587401</v>
      </c>
      <c r="AA258">
        <f>VLOOKUP($I258,'[1]Table S6'!$A:$AI,19,FALSE)</f>
        <v>1.87</v>
      </c>
      <c r="AB258" t="str">
        <f>VLOOKUP($I258,'[1]Table S6'!$A:$AI,20,FALSE)</f>
        <v>Yes</v>
      </c>
      <c r="AD258">
        <f>VLOOKUP($I258,'[1]Table S6'!$A:$AI,22,FALSE)</f>
        <v>373.7</v>
      </c>
      <c r="AE258">
        <f>VLOOKUP($I258,'[1]Table S6'!$A:$AI,23,FALSE)</f>
        <v>0.79527559055118102</v>
      </c>
      <c r="AF258">
        <f>VLOOKUP($I258,'[1]Table S6'!$A:$AI,24,FALSE)</f>
        <v>10.210000000000001</v>
      </c>
      <c r="AG258" t="str">
        <f>VLOOKUP($I258,'[1]Table S6'!$A:$AI,25,FALSE)</f>
        <v>No</v>
      </c>
      <c r="AI258">
        <f>VLOOKUP($I258,'[1]Table S6'!$A:$AI,27,FALSE)</f>
        <v>373.6</v>
      </c>
      <c r="AJ258">
        <f>VLOOKUP($I258,'[1]Table S6'!$A:$AI,28,FALSE)</f>
        <v>0.795062779314748</v>
      </c>
      <c r="AK258">
        <f>VLOOKUP($I258,'[1]Table S6'!$A:$AI,29,FALSE)</f>
        <v>11.4</v>
      </c>
      <c r="AL258" t="str">
        <f>VLOOKUP($I258,'[1]Table S6'!$A:$AI,30,FALSE)</f>
        <v>No</v>
      </c>
      <c r="AN258">
        <f>VLOOKUP($I258,'[1]Table S6'!$A:$AI,32,FALSE)</f>
        <v>393.7</v>
      </c>
      <c r="AO258">
        <f>VLOOKUP($I258,'[1]Table S6'!$A:$AI,33,FALSE)</f>
        <v>0.83783783783783805</v>
      </c>
      <c r="AP258">
        <f>VLOOKUP($I258,'[1]Table S6'!$A:$AI,34,FALSE)</f>
        <v>20.93</v>
      </c>
      <c r="AQ258" t="str">
        <f>VLOOKUP($I258,'[1]Table S6'!$A:$AI,35,FALSE)</f>
        <v>No</v>
      </c>
      <c r="AS258" t="e">
        <f>VLOOKUP($H258,'[2]Table S5'!$A:$K,8,FALSE)</f>
        <v>#N/A</v>
      </c>
      <c r="AT258" t="e">
        <f>VLOOKUP($H258,'[2]Table S5'!$A:$K,9,FALSE)</f>
        <v>#N/A</v>
      </c>
      <c r="AU258" t="e">
        <f>VLOOKUP($H258,'[2]Table S5'!$A:$K,10,FALSE)</f>
        <v>#N/A</v>
      </c>
      <c r="AV258" t="e">
        <f>VLOOKUP($H258,'[2]Table S5'!$A:$K,11,FALSE)</f>
        <v>#N/A</v>
      </c>
    </row>
    <row r="259" spans="1:48">
      <c r="A259" t="s">
        <v>1956</v>
      </c>
      <c r="B259" t="s">
        <v>1957</v>
      </c>
      <c r="C259" t="s">
        <v>17</v>
      </c>
      <c r="D259" t="s">
        <v>1959</v>
      </c>
      <c r="E259" t="s">
        <v>1960</v>
      </c>
      <c r="F259" t="s">
        <v>1961</v>
      </c>
      <c r="G259" t="s">
        <v>4757</v>
      </c>
      <c r="H259" t="s">
        <v>1937</v>
      </c>
      <c r="I259" t="s">
        <v>1937</v>
      </c>
      <c r="J259" t="e">
        <f>VLOOKUP($I259,'[1]Table S6'!$A:$AI,2,FALSE)</f>
        <v>#N/A</v>
      </c>
      <c r="K259" t="e">
        <f>VLOOKUP($I259,'[1]Table S6'!$A:$AI,3,FALSE)</f>
        <v>#N/A</v>
      </c>
      <c r="L259" t="e">
        <f>VLOOKUP($I259,'[1]Table S6'!$A:$AI,4,FALSE)</f>
        <v>#N/A</v>
      </c>
      <c r="M259" t="e">
        <f>VLOOKUP($I259,'[1]Table S6'!$A:$AI,5,FALSE)</f>
        <v>#N/A</v>
      </c>
      <c r="O259" t="e">
        <f>VLOOKUP($I259,'[1]Table S6'!$A:$AI,7,FALSE)</f>
        <v>#N/A</v>
      </c>
      <c r="P259" t="e">
        <f>VLOOKUP($I259,'[1]Table S6'!$A:$AI,8,FALSE)</f>
        <v>#N/A</v>
      </c>
      <c r="Q259" t="e">
        <f>VLOOKUP($I259,'[1]Table S6'!$A:$AI,9,FALSE)</f>
        <v>#N/A</v>
      </c>
      <c r="R259" t="e">
        <f>VLOOKUP($I259,'[1]Table S6'!$A:$AI,10,FALSE)</f>
        <v>#N/A</v>
      </c>
      <c r="T259" t="e">
        <f>VLOOKUP($I259,'[1]Table S6'!$A:$AI,12,FALSE)</f>
        <v>#N/A</v>
      </c>
      <c r="U259" t="e">
        <f>VLOOKUP($I259,'[1]Table S6'!$A:$AI,13,FALSE)</f>
        <v>#N/A</v>
      </c>
      <c r="V259" t="e">
        <f>VLOOKUP($I259,'[1]Table S6'!$A:$AI,14,FALSE)</f>
        <v>#N/A</v>
      </c>
      <c r="W259" t="e">
        <f>VLOOKUP($I259,'[1]Table S6'!$A:$AI,15,FALSE)</f>
        <v>#N/A</v>
      </c>
      <c r="Y259" t="e">
        <f>VLOOKUP($I259,'[1]Table S6'!$A:$AI,17,FALSE)</f>
        <v>#N/A</v>
      </c>
      <c r="Z259" t="e">
        <f>VLOOKUP($I259,'[1]Table S6'!$A:$AI,18,FALSE)</f>
        <v>#N/A</v>
      </c>
      <c r="AA259" t="e">
        <f>VLOOKUP($I259,'[1]Table S6'!$A:$AI,19,FALSE)</f>
        <v>#N/A</v>
      </c>
      <c r="AB259" t="e">
        <f>VLOOKUP($I259,'[1]Table S6'!$A:$AI,20,FALSE)</f>
        <v>#N/A</v>
      </c>
      <c r="AD259" t="e">
        <f>VLOOKUP($I259,'[1]Table S6'!$A:$AI,22,FALSE)</f>
        <v>#N/A</v>
      </c>
      <c r="AE259" t="e">
        <f>VLOOKUP($I259,'[1]Table S6'!$A:$AI,23,FALSE)</f>
        <v>#N/A</v>
      </c>
      <c r="AF259" t="e">
        <f>VLOOKUP($I259,'[1]Table S6'!$A:$AI,24,FALSE)</f>
        <v>#N/A</v>
      </c>
      <c r="AG259" t="e">
        <f>VLOOKUP($I259,'[1]Table S6'!$A:$AI,25,FALSE)</f>
        <v>#N/A</v>
      </c>
      <c r="AI259" t="e">
        <f>VLOOKUP($I259,'[1]Table S6'!$A:$AI,27,FALSE)</f>
        <v>#N/A</v>
      </c>
      <c r="AJ259" t="e">
        <f>VLOOKUP($I259,'[1]Table S6'!$A:$AI,28,FALSE)</f>
        <v>#N/A</v>
      </c>
      <c r="AK259" t="e">
        <f>VLOOKUP($I259,'[1]Table S6'!$A:$AI,29,FALSE)</f>
        <v>#N/A</v>
      </c>
      <c r="AL259" t="e">
        <f>VLOOKUP($I259,'[1]Table S6'!$A:$AI,30,FALSE)</f>
        <v>#N/A</v>
      </c>
      <c r="AN259" t="e">
        <f>VLOOKUP($I259,'[1]Table S6'!$A:$AI,32,FALSE)</f>
        <v>#N/A</v>
      </c>
      <c r="AO259" t="e">
        <f>VLOOKUP($I259,'[1]Table S6'!$A:$AI,33,FALSE)</f>
        <v>#N/A</v>
      </c>
      <c r="AP259" t="e">
        <f>VLOOKUP($I259,'[1]Table S6'!$A:$AI,34,FALSE)</f>
        <v>#N/A</v>
      </c>
      <c r="AQ259" t="e">
        <f>VLOOKUP($I259,'[1]Table S6'!$A:$AI,35,FALSE)</f>
        <v>#N/A</v>
      </c>
      <c r="AS259" t="e">
        <f>VLOOKUP($H259,'[2]Table S5'!$A:$K,8,FALSE)</f>
        <v>#N/A</v>
      </c>
      <c r="AT259" t="e">
        <f>VLOOKUP($H259,'[2]Table S5'!$A:$K,9,FALSE)</f>
        <v>#N/A</v>
      </c>
      <c r="AU259" t="e">
        <f>VLOOKUP($H259,'[2]Table S5'!$A:$K,10,FALSE)</f>
        <v>#N/A</v>
      </c>
      <c r="AV259" t="e">
        <f>VLOOKUP($H259,'[2]Table S5'!$A:$K,11,FALSE)</f>
        <v>#N/A</v>
      </c>
    </row>
    <row r="260" spans="1:48">
      <c r="A260" t="s">
        <v>1963</v>
      </c>
      <c r="B260" t="s">
        <v>1964</v>
      </c>
      <c r="C260" t="s">
        <v>17</v>
      </c>
      <c r="D260" t="s">
        <v>1966</v>
      </c>
      <c r="E260" t="s">
        <v>1967</v>
      </c>
      <c r="F260" t="s">
        <v>1968</v>
      </c>
      <c r="G260" t="s">
        <v>4757</v>
      </c>
      <c r="H260" t="s">
        <v>1969</v>
      </c>
      <c r="I260" t="s">
        <v>1969</v>
      </c>
      <c r="J260" t="e">
        <f>VLOOKUP($I260,'[1]Table S6'!$A:$AI,2,FALSE)</f>
        <v>#N/A</v>
      </c>
      <c r="K260" t="e">
        <f>VLOOKUP($I260,'[1]Table S6'!$A:$AI,3,FALSE)</f>
        <v>#N/A</v>
      </c>
      <c r="L260" t="e">
        <f>VLOOKUP($I260,'[1]Table S6'!$A:$AI,4,FALSE)</f>
        <v>#N/A</v>
      </c>
      <c r="M260" t="e">
        <f>VLOOKUP($I260,'[1]Table S6'!$A:$AI,5,FALSE)</f>
        <v>#N/A</v>
      </c>
      <c r="O260" t="e">
        <f>VLOOKUP($I260,'[1]Table S6'!$A:$AI,7,FALSE)</f>
        <v>#N/A</v>
      </c>
      <c r="P260" t="e">
        <f>VLOOKUP($I260,'[1]Table S6'!$A:$AI,8,FALSE)</f>
        <v>#N/A</v>
      </c>
      <c r="Q260" t="e">
        <f>VLOOKUP($I260,'[1]Table S6'!$A:$AI,9,FALSE)</f>
        <v>#N/A</v>
      </c>
      <c r="R260" t="e">
        <f>VLOOKUP($I260,'[1]Table S6'!$A:$AI,10,FALSE)</f>
        <v>#N/A</v>
      </c>
      <c r="T260" t="e">
        <f>VLOOKUP($I260,'[1]Table S6'!$A:$AI,12,FALSE)</f>
        <v>#N/A</v>
      </c>
      <c r="U260" t="e">
        <f>VLOOKUP($I260,'[1]Table S6'!$A:$AI,13,FALSE)</f>
        <v>#N/A</v>
      </c>
      <c r="V260" t="e">
        <f>VLOOKUP($I260,'[1]Table S6'!$A:$AI,14,FALSE)</f>
        <v>#N/A</v>
      </c>
      <c r="W260" t="e">
        <f>VLOOKUP($I260,'[1]Table S6'!$A:$AI,15,FALSE)</f>
        <v>#N/A</v>
      </c>
      <c r="Y260" t="e">
        <f>VLOOKUP($I260,'[1]Table S6'!$A:$AI,17,FALSE)</f>
        <v>#N/A</v>
      </c>
      <c r="Z260" t="e">
        <f>VLOOKUP($I260,'[1]Table S6'!$A:$AI,18,FALSE)</f>
        <v>#N/A</v>
      </c>
      <c r="AA260" t="e">
        <f>VLOOKUP($I260,'[1]Table S6'!$A:$AI,19,FALSE)</f>
        <v>#N/A</v>
      </c>
      <c r="AB260" t="e">
        <f>VLOOKUP($I260,'[1]Table S6'!$A:$AI,20,FALSE)</f>
        <v>#N/A</v>
      </c>
      <c r="AD260" t="e">
        <f>VLOOKUP($I260,'[1]Table S6'!$A:$AI,22,FALSE)</f>
        <v>#N/A</v>
      </c>
      <c r="AE260" t="e">
        <f>VLOOKUP($I260,'[1]Table S6'!$A:$AI,23,FALSE)</f>
        <v>#N/A</v>
      </c>
      <c r="AF260" t="e">
        <f>VLOOKUP($I260,'[1]Table S6'!$A:$AI,24,FALSE)</f>
        <v>#N/A</v>
      </c>
      <c r="AG260" t="e">
        <f>VLOOKUP($I260,'[1]Table S6'!$A:$AI,25,FALSE)</f>
        <v>#N/A</v>
      </c>
      <c r="AI260" t="e">
        <f>VLOOKUP($I260,'[1]Table S6'!$A:$AI,27,FALSE)</f>
        <v>#N/A</v>
      </c>
      <c r="AJ260" t="e">
        <f>VLOOKUP($I260,'[1]Table S6'!$A:$AI,28,FALSE)</f>
        <v>#N/A</v>
      </c>
      <c r="AK260" t="e">
        <f>VLOOKUP($I260,'[1]Table S6'!$A:$AI,29,FALSE)</f>
        <v>#N/A</v>
      </c>
      <c r="AL260" t="e">
        <f>VLOOKUP($I260,'[1]Table S6'!$A:$AI,30,FALSE)</f>
        <v>#N/A</v>
      </c>
      <c r="AN260" t="e">
        <f>VLOOKUP($I260,'[1]Table S6'!$A:$AI,32,FALSE)</f>
        <v>#N/A</v>
      </c>
      <c r="AO260" t="e">
        <f>VLOOKUP($I260,'[1]Table S6'!$A:$AI,33,FALSE)</f>
        <v>#N/A</v>
      </c>
      <c r="AP260" t="e">
        <f>VLOOKUP($I260,'[1]Table S6'!$A:$AI,34,FALSE)</f>
        <v>#N/A</v>
      </c>
      <c r="AQ260" t="e">
        <f>VLOOKUP($I260,'[1]Table S6'!$A:$AI,35,FALSE)</f>
        <v>#N/A</v>
      </c>
      <c r="AS260" t="e">
        <f>VLOOKUP($H260,'[2]Table S5'!$A:$K,8,FALSE)</f>
        <v>#N/A</v>
      </c>
      <c r="AT260" t="e">
        <f>VLOOKUP($H260,'[2]Table S5'!$A:$K,9,FALSE)</f>
        <v>#N/A</v>
      </c>
      <c r="AU260" t="e">
        <f>VLOOKUP($H260,'[2]Table S5'!$A:$K,10,FALSE)</f>
        <v>#N/A</v>
      </c>
      <c r="AV260" t="e">
        <f>VLOOKUP($H260,'[2]Table S5'!$A:$K,11,FALSE)</f>
        <v>#N/A</v>
      </c>
    </row>
    <row r="261" spans="1:48">
      <c r="A261" t="s">
        <v>1971</v>
      </c>
      <c r="B261" t="s">
        <v>1972</v>
      </c>
      <c r="C261" t="s">
        <v>17</v>
      </c>
      <c r="D261" t="s">
        <v>1974</v>
      </c>
      <c r="E261" t="s">
        <v>1975</v>
      </c>
      <c r="F261" t="s">
        <v>1976</v>
      </c>
      <c r="G261" t="s">
        <v>4751</v>
      </c>
      <c r="H261" t="s">
        <v>1969</v>
      </c>
      <c r="I261" t="s">
        <v>1977</v>
      </c>
      <c r="J261">
        <f>VLOOKUP($I261,'[1]Table S6'!$A:$AI,2,FALSE)</f>
        <v>353.5</v>
      </c>
      <c r="K261">
        <f>VLOOKUP($I261,'[1]Table S6'!$A:$AI,3,FALSE)</f>
        <v>0.75228772079165795</v>
      </c>
      <c r="L261">
        <f>VLOOKUP($I261,'[1]Table S6'!$A:$AI,4,FALSE)</f>
        <v>5.702</v>
      </c>
      <c r="M261" t="str">
        <f>VLOOKUP($I261,'[1]Table S6'!$A:$AI,5,FALSE)</f>
        <v>No</v>
      </c>
      <c r="O261">
        <f>VLOOKUP($I261,'[1]Table S6'!$A:$AI,7,FALSE)</f>
        <v>378.6</v>
      </c>
      <c r="P261">
        <f>VLOOKUP($I261,'[1]Table S6'!$A:$AI,8,FALSE)</f>
        <v>0.80570334113641195</v>
      </c>
      <c r="Q261">
        <f>VLOOKUP($I261,'[1]Table S6'!$A:$AI,9,FALSE)</f>
        <v>9.8680000000000003</v>
      </c>
      <c r="R261" t="str">
        <f>VLOOKUP($I261,'[1]Table S6'!$A:$AI,10,FALSE)</f>
        <v>No</v>
      </c>
      <c r="T261">
        <f>VLOOKUP($I261,'[1]Table S6'!$A:$AI,12,FALSE)</f>
        <v>346.5</v>
      </c>
      <c r="U261">
        <f>VLOOKUP($I261,'[1]Table S6'!$A:$AI,13,FALSE)</f>
        <v>0.73739093424132796</v>
      </c>
      <c r="V261">
        <f>VLOOKUP($I261,'[1]Table S6'!$A:$AI,14,FALSE)</f>
        <v>4.2539999999999996</v>
      </c>
      <c r="W261" t="str">
        <f>VLOOKUP($I261,'[1]Table S6'!$A:$AI,15,FALSE)</f>
        <v>No</v>
      </c>
      <c r="Y261">
        <f>VLOOKUP($I261,'[1]Table S6'!$A:$AI,17,FALSE)</f>
        <v>355.2</v>
      </c>
      <c r="Z261">
        <f>VLOOKUP($I261,'[1]Table S6'!$A:$AI,18,FALSE)</f>
        <v>0.75590551181102394</v>
      </c>
      <c r="AA261">
        <f>VLOOKUP($I261,'[1]Table S6'!$A:$AI,19,FALSE)</f>
        <v>6.4610000000000003</v>
      </c>
      <c r="AB261" t="str">
        <f>VLOOKUP($I261,'[1]Table S6'!$A:$AI,20,FALSE)</f>
        <v>No</v>
      </c>
      <c r="AD261">
        <f>VLOOKUP($I261,'[1]Table S6'!$A:$AI,22,FALSE)</f>
        <v>349.2</v>
      </c>
      <c r="AE261">
        <f>VLOOKUP($I261,'[1]Table S6'!$A:$AI,23,FALSE)</f>
        <v>0.74313683762502702</v>
      </c>
      <c r="AF261">
        <f>VLOOKUP($I261,'[1]Table S6'!$A:$AI,24,FALSE)</f>
        <v>9.3819999999999997</v>
      </c>
      <c r="AG261" t="str">
        <f>VLOOKUP($I261,'[1]Table S6'!$A:$AI,25,FALSE)</f>
        <v>No</v>
      </c>
      <c r="AI261">
        <f>VLOOKUP($I261,'[1]Table S6'!$A:$AI,27,FALSE)</f>
        <v>398.4</v>
      </c>
      <c r="AJ261">
        <f>VLOOKUP($I261,'[1]Table S6'!$A:$AI,28,FALSE)</f>
        <v>0.84783996595020195</v>
      </c>
      <c r="AK261">
        <f>VLOOKUP($I261,'[1]Table S6'!$A:$AI,29,FALSE)</f>
        <v>42.85</v>
      </c>
      <c r="AL261" t="str">
        <f>VLOOKUP($I261,'[1]Table S6'!$A:$AI,30,FALSE)</f>
        <v>No</v>
      </c>
      <c r="AN261">
        <f>VLOOKUP($I261,'[1]Table S6'!$A:$AI,32,FALSE)</f>
        <v>451.8</v>
      </c>
      <c r="AO261">
        <f>VLOOKUP($I261,'[1]Table S6'!$A:$AI,33,FALSE)</f>
        <v>0.961481166205576</v>
      </c>
      <c r="AP261">
        <f>VLOOKUP($I261,'[1]Table S6'!$A:$AI,34,FALSE)</f>
        <v>407.4</v>
      </c>
      <c r="AQ261" t="str">
        <f>VLOOKUP($I261,'[1]Table S6'!$A:$AI,35,FALSE)</f>
        <v>No</v>
      </c>
      <c r="AS261" t="e">
        <f>VLOOKUP($H261,'[2]Table S5'!$A:$K,8,FALSE)</f>
        <v>#N/A</v>
      </c>
      <c r="AT261" t="e">
        <f>VLOOKUP($H261,'[2]Table S5'!$A:$K,9,FALSE)</f>
        <v>#N/A</v>
      </c>
      <c r="AU261" t="e">
        <f>VLOOKUP($H261,'[2]Table S5'!$A:$K,10,FALSE)</f>
        <v>#N/A</v>
      </c>
      <c r="AV261" t="e">
        <f>VLOOKUP($H261,'[2]Table S5'!$A:$K,11,FALSE)</f>
        <v>#N/A</v>
      </c>
    </row>
    <row r="262" spans="1:48">
      <c r="A262" t="s">
        <v>1979</v>
      </c>
      <c r="B262" t="s">
        <v>1980</v>
      </c>
      <c r="C262" t="s">
        <v>17</v>
      </c>
      <c r="D262" t="s">
        <v>1982</v>
      </c>
      <c r="E262" t="s">
        <v>1983</v>
      </c>
      <c r="F262" t="s">
        <v>1984</v>
      </c>
      <c r="G262" t="s">
        <v>4751</v>
      </c>
      <c r="H262" t="s">
        <v>1969</v>
      </c>
      <c r="I262" t="s">
        <v>1985</v>
      </c>
      <c r="J262">
        <f>VLOOKUP($I262,'[1]Table S6'!$A:$AI,2,FALSE)</f>
        <v>407</v>
      </c>
      <c r="K262">
        <f>VLOOKUP($I262,'[1]Table S6'!$A:$AI,3,FALSE)</f>
        <v>0.86614173228346503</v>
      </c>
      <c r="L262">
        <f>VLOOKUP($I262,'[1]Table S6'!$A:$AI,4,FALSE)</f>
        <v>25.73</v>
      </c>
      <c r="M262" t="str">
        <f>VLOOKUP($I262,'[1]Table S6'!$A:$AI,5,FALSE)</f>
        <v>No</v>
      </c>
      <c r="O262">
        <f>VLOOKUP($I262,'[1]Table S6'!$A:$AI,7,FALSE)</f>
        <v>369.1</v>
      </c>
      <c r="P262">
        <f>VLOOKUP($I262,'[1]Table S6'!$A:$AI,8,FALSE)</f>
        <v>0.78548627367525004</v>
      </c>
      <c r="Q262">
        <f>VLOOKUP($I262,'[1]Table S6'!$A:$AI,9,FALSE)</f>
        <v>12.35</v>
      </c>
      <c r="R262" t="str">
        <f>VLOOKUP($I262,'[1]Table S6'!$A:$AI,10,FALSE)</f>
        <v>No</v>
      </c>
      <c r="T262">
        <f>VLOOKUP($I262,'[1]Table S6'!$A:$AI,12,FALSE)</f>
        <v>377.8</v>
      </c>
      <c r="U262">
        <f>VLOOKUP($I262,'[1]Table S6'!$A:$AI,13,FALSE)</f>
        <v>0.80400085124494602</v>
      </c>
      <c r="V262">
        <f>VLOOKUP($I262,'[1]Table S6'!$A:$AI,14,FALSE)</f>
        <v>13.65</v>
      </c>
      <c r="W262" t="str">
        <f>VLOOKUP($I262,'[1]Table S6'!$A:$AI,15,FALSE)</f>
        <v>No</v>
      </c>
      <c r="Y262">
        <f>VLOOKUP($I262,'[1]Table S6'!$A:$AI,17,FALSE)</f>
        <v>390.5</v>
      </c>
      <c r="Z262">
        <f>VLOOKUP($I262,'[1]Table S6'!$A:$AI,18,FALSE)</f>
        <v>0.831027878271973</v>
      </c>
      <c r="AA262">
        <f>VLOOKUP($I262,'[1]Table S6'!$A:$AI,19,FALSE)</f>
        <v>18.649999999999999</v>
      </c>
      <c r="AB262" t="str">
        <f>VLOOKUP($I262,'[1]Table S6'!$A:$AI,20,FALSE)</f>
        <v>No</v>
      </c>
      <c r="AD262">
        <f>VLOOKUP($I262,'[1]Table S6'!$A:$AI,22,FALSE)</f>
        <v>372.3</v>
      </c>
      <c r="AE262">
        <f>VLOOKUP($I262,'[1]Table S6'!$A:$AI,23,FALSE)</f>
        <v>0.79229623324111498</v>
      </c>
      <c r="AF262">
        <f>VLOOKUP($I262,'[1]Table S6'!$A:$AI,24,FALSE)</f>
        <v>16.82</v>
      </c>
      <c r="AG262" t="str">
        <f>VLOOKUP($I262,'[1]Table S6'!$A:$AI,25,FALSE)</f>
        <v>No</v>
      </c>
      <c r="AI262">
        <f>VLOOKUP($I262,'[1]Table S6'!$A:$AI,27,FALSE)</f>
        <v>371.6</v>
      </c>
      <c r="AJ262">
        <f>VLOOKUP($I262,'[1]Table S6'!$A:$AI,28,FALSE)</f>
        <v>0.79080655458608196</v>
      </c>
      <c r="AK262">
        <f>VLOOKUP($I262,'[1]Table S6'!$A:$AI,29,FALSE)</f>
        <v>19.149999999999999</v>
      </c>
      <c r="AL262" t="str">
        <f>VLOOKUP($I262,'[1]Table S6'!$A:$AI,30,FALSE)</f>
        <v>No</v>
      </c>
      <c r="AN262">
        <f>VLOOKUP($I262,'[1]Table S6'!$A:$AI,32,FALSE)</f>
        <v>444.1</v>
      </c>
      <c r="AO262">
        <f>VLOOKUP($I262,'[1]Table S6'!$A:$AI,33,FALSE)</f>
        <v>0.94509470100021298</v>
      </c>
      <c r="AP262">
        <f>VLOOKUP($I262,'[1]Table S6'!$A:$AI,34,FALSE)</f>
        <v>307.7</v>
      </c>
      <c r="AQ262" t="str">
        <f>VLOOKUP($I262,'[1]Table S6'!$A:$AI,35,FALSE)</f>
        <v>No</v>
      </c>
      <c r="AS262" t="e">
        <f>VLOOKUP($H262,'[2]Table S5'!$A:$K,8,FALSE)</f>
        <v>#N/A</v>
      </c>
      <c r="AT262" t="e">
        <f>VLOOKUP($H262,'[2]Table S5'!$A:$K,9,FALSE)</f>
        <v>#N/A</v>
      </c>
      <c r="AU262" t="e">
        <f>VLOOKUP($H262,'[2]Table S5'!$A:$K,10,FALSE)</f>
        <v>#N/A</v>
      </c>
      <c r="AV262" t="e">
        <f>VLOOKUP($H262,'[2]Table S5'!$A:$K,11,FALSE)</f>
        <v>#N/A</v>
      </c>
    </row>
    <row r="263" spans="1:48">
      <c r="A263" t="s">
        <v>1987</v>
      </c>
      <c r="B263" t="s">
        <v>1988</v>
      </c>
      <c r="C263" t="s">
        <v>17</v>
      </c>
      <c r="D263" t="s">
        <v>1990</v>
      </c>
      <c r="E263" t="s">
        <v>1991</v>
      </c>
      <c r="F263" t="s">
        <v>1992</v>
      </c>
      <c r="G263" t="s">
        <v>4751</v>
      </c>
      <c r="H263" t="s">
        <v>1969</v>
      </c>
      <c r="I263" t="s">
        <v>1993</v>
      </c>
      <c r="J263">
        <f>VLOOKUP($I263,'[1]Table S6'!$A:$AI,2,FALSE)</f>
        <v>313.2</v>
      </c>
      <c r="K263">
        <f>VLOOKUP($I263,'[1]Table S6'!$A:$AI,3,FALSE)</f>
        <v>0.66652479250904495</v>
      </c>
      <c r="L263">
        <f>VLOOKUP($I263,'[1]Table S6'!$A:$AI,4,FALSE)</f>
        <v>1.5129999999999999</v>
      </c>
      <c r="M263" t="str">
        <f>VLOOKUP($I263,'[1]Table S6'!$A:$AI,5,FALSE)</f>
        <v>Yes</v>
      </c>
      <c r="O263">
        <f>VLOOKUP($I263,'[1]Table S6'!$A:$AI,7,FALSE)</f>
        <v>355</v>
      </c>
      <c r="P263">
        <f>VLOOKUP($I263,'[1]Table S6'!$A:$AI,8,FALSE)</f>
        <v>0.75547988933815702</v>
      </c>
      <c r="Q263">
        <f>VLOOKUP($I263,'[1]Table S6'!$A:$AI,9,FALSE)</f>
        <v>5.2779999999999996</v>
      </c>
      <c r="R263" t="str">
        <f>VLOOKUP($I263,'[1]Table S6'!$A:$AI,10,FALSE)</f>
        <v>No</v>
      </c>
      <c r="T263">
        <f>VLOOKUP($I263,'[1]Table S6'!$A:$AI,12,FALSE)</f>
        <v>313</v>
      </c>
      <c r="U263">
        <f>VLOOKUP($I263,'[1]Table S6'!$A:$AI,13,FALSE)</f>
        <v>0.66609917003617802</v>
      </c>
      <c r="V263">
        <f>VLOOKUP($I263,'[1]Table S6'!$A:$AI,14,FALSE)</f>
        <v>1.82</v>
      </c>
      <c r="W263" t="str">
        <f>VLOOKUP($I263,'[1]Table S6'!$A:$AI,15,FALSE)</f>
        <v>Yes</v>
      </c>
      <c r="Y263">
        <f>VLOOKUP($I263,'[1]Table S6'!$A:$AI,17,FALSE)</f>
        <v>358.9</v>
      </c>
      <c r="Z263">
        <f>VLOOKUP($I263,'[1]Table S6'!$A:$AI,18,FALSE)</f>
        <v>0.76377952755905498</v>
      </c>
      <c r="AA263">
        <f>VLOOKUP($I263,'[1]Table S6'!$A:$AI,19,FALSE)</f>
        <v>4.9969999999999999</v>
      </c>
      <c r="AB263" t="str">
        <f>VLOOKUP($I263,'[1]Table S6'!$A:$AI,20,FALSE)</f>
        <v>No</v>
      </c>
      <c r="AD263">
        <f>VLOOKUP($I263,'[1]Table S6'!$A:$AI,22,FALSE)</f>
        <v>301.89999999999998</v>
      </c>
      <c r="AE263">
        <f>VLOOKUP($I263,'[1]Table S6'!$A:$AI,23,FALSE)</f>
        <v>0.64247712279208302</v>
      </c>
      <c r="AF263">
        <f>VLOOKUP($I263,'[1]Table S6'!$A:$AI,24,FALSE)</f>
        <v>1.3580000000000001</v>
      </c>
      <c r="AG263" t="str">
        <f>VLOOKUP($I263,'[1]Table S6'!$A:$AI,25,FALSE)</f>
        <v>Yes</v>
      </c>
      <c r="AI263">
        <f>VLOOKUP($I263,'[1]Table S6'!$A:$AI,27,FALSE)</f>
        <v>382</v>
      </c>
      <c r="AJ263">
        <f>VLOOKUP($I263,'[1]Table S6'!$A:$AI,28,FALSE)</f>
        <v>0.81293892317514405</v>
      </c>
      <c r="AK263">
        <f>VLOOKUP($I263,'[1]Table S6'!$A:$AI,29,FALSE)</f>
        <v>17.79</v>
      </c>
      <c r="AL263" t="str">
        <f>VLOOKUP($I263,'[1]Table S6'!$A:$AI,30,FALSE)</f>
        <v>No</v>
      </c>
      <c r="AN263">
        <f>VLOOKUP($I263,'[1]Table S6'!$A:$AI,32,FALSE)</f>
        <v>413.8</v>
      </c>
      <c r="AO263">
        <f>VLOOKUP($I263,'[1]Table S6'!$A:$AI,33,FALSE)</f>
        <v>0.88061289636092799</v>
      </c>
      <c r="AP263">
        <f>VLOOKUP($I263,'[1]Table S6'!$A:$AI,34,FALSE)</f>
        <v>151</v>
      </c>
      <c r="AQ263" t="str">
        <f>VLOOKUP($I263,'[1]Table S6'!$A:$AI,35,FALSE)</f>
        <v>No</v>
      </c>
      <c r="AS263" t="e">
        <f>VLOOKUP($H263,'[2]Table S5'!$A:$K,8,FALSE)</f>
        <v>#N/A</v>
      </c>
      <c r="AT263" t="e">
        <f>VLOOKUP($H263,'[2]Table S5'!$A:$K,9,FALSE)</f>
        <v>#N/A</v>
      </c>
      <c r="AU263" t="e">
        <f>VLOOKUP($H263,'[2]Table S5'!$A:$K,10,FALSE)</f>
        <v>#N/A</v>
      </c>
      <c r="AV263" t="e">
        <f>VLOOKUP($H263,'[2]Table S5'!$A:$K,11,FALSE)</f>
        <v>#N/A</v>
      </c>
    </row>
    <row r="264" spans="1:48">
      <c r="A264" t="s">
        <v>1995</v>
      </c>
      <c r="B264" t="s">
        <v>1996</v>
      </c>
      <c r="C264" t="s">
        <v>17</v>
      </c>
      <c r="D264" t="s">
        <v>1998</v>
      </c>
      <c r="E264" t="s">
        <v>1999</v>
      </c>
      <c r="F264" t="s">
        <v>2000</v>
      </c>
      <c r="G264" t="s">
        <v>4751</v>
      </c>
      <c r="H264" t="s">
        <v>1969</v>
      </c>
      <c r="I264" t="s">
        <v>2001</v>
      </c>
      <c r="J264">
        <f>VLOOKUP($I264,'[1]Table S6'!$A:$AI,2,FALSE)</f>
        <v>356.7</v>
      </c>
      <c r="K264">
        <f>VLOOKUP($I264,'[1]Table S6'!$A:$AI,3,FALSE)</f>
        <v>0.75909768035752301</v>
      </c>
      <c r="L264">
        <f>VLOOKUP($I264,'[1]Table S6'!$A:$AI,4,FALSE)</f>
        <v>6.2530000000000001</v>
      </c>
      <c r="M264" t="str">
        <f>VLOOKUP($I264,'[1]Table S6'!$A:$AI,5,FALSE)</f>
        <v>No</v>
      </c>
      <c r="O264">
        <f>VLOOKUP($I264,'[1]Table S6'!$A:$AI,7,FALSE)</f>
        <v>352</v>
      </c>
      <c r="P264">
        <f>VLOOKUP($I264,'[1]Table S6'!$A:$AI,8,FALSE)</f>
        <v>0.749095552245159</v>
      </c>
      <c r="Q264">
        <f>VLOOKUP($I264,'[1]Table S6'!$A:$AI,9,FALSE)</f>
        <v>6.1639999999999997</v>
      </c>
      <c r="R264" t="str">
        <f>VLOOKUP($I264,'[1]Table S6'!$A:$AI,10,FALSE)</f>
        <v>No</v>
      </c>
      <c r="T264">
        <f>VLOOKUP($I264,'[1]Table S6'!$A:$AI,12,FALSE)</f>
        <v>311.39999999999998</v>
      </c>
      <c r="U264">
        <f>VLOOKUP($I264,'[1]Table S6'!$A:$AI,13,FALSE)</f>
        <v>0.66269419025324505</v>
      </c>
      <c r="V264">
        <f>VLOOKUP($I264,'[1]Table S6'!$A:$AI,14,FALSE)</f>
        <v>1.109</v>
      </c>
      <c r="W264" t="str">
        <f>VLOOKUP($I264,'[1]Table S6'!$A:$AI,15,FALSE)</f>
        <v>Yes</v>
      </c>
      <c r="Y264">
        <f>VLOOKUP($I264,'[1]Table S6'!$A:$AI,17,FALSE)</f>
        <v>351.6</v>
      </c>
      <c r="Z264">
        <f>VLOOKUP($I264,'[1]Table S6'!$A:$AI,18,FALSE)</f>
        <v>0.74824430729942504</v>
      </c>
      <c r="AA264">
        <f>VLOOKUP($I264,'[1]Table S6'!$A:$AI,19,FALSE)</f>
        <v>5.5890000000000004</v>
      </c>
      <c r="AB264" t="str">
        <f>VLOOKUP($I264,'[1]Table S6'!$A:$AI,20,FALSE)</f>
        <v>No</v>
      </c>
      <c r="AD264">
        <f>VLOOKUP($I264,'[1]Table S6'!$A:$AI,22,FALSE)</f>
        <v>326.8</v>
      </c>
      <c r="AE264">
        <f>VLOOKUP($I264,'[1]Table S6'!$A:$AI,23,FALSE)</f>
        <v>0.69546712066397098</v>
      </c>
      <c r="AF264">
        <f>VLOOKUP($I264,'[1]Table S6'!$A:$AI,24,FALSE)</f>
        <v>2.5579999999999998</v>
      </c>
      <c r="AG264" t="str">
        <f>VLOOKUP($I264,'[1]Table S6'!$A:$AI,25,FALSE)</f>
        <v>No</v>
      </c>
      <c r="AI264">
        <f>VLOOKUP($I264,'[1]Table S6'!$A:$AI,27,FALSE)</f>
        <v>397.6</v>
      </c>
      <c r="AJ264">
        <f>VLOOKUP($I264,'[1]Table S6'!$A:$AI,28,FALSE)</f>
        <v>0.84613747605873602</v>
      </c>
      <c r="AK264">
        <f>VLOOKUP($I264,'[1]Table S6'!$A:$AI,29,FALSE)</f>
        <v>25.67</v>
      </c>
      <c r="AL264" t="str">
        <f>VLOOKUP($I264,'[1]Table S6'!$A:$AI,30,FALSE)</f>
        <v>No</v>
      </c>
      <c r="AN264">
        <f>VLOOKUP($I264,'[1]Table S6'!$A:$AI,32,FALSE)</f>
        <v>427.9</v>
      </c>
      <c r="AO264">
        <f>VLOOKUP($I264,'[1]Table S6'!$A:$AI,33,FALSE)</f>
        <v>0.91061928069802101</v>
      </c>
      <c r="AP264">
        <f>VLOOKUP($I264,'[1]Table S6'!$A:$AI,34,FALSE)</f>
        <v>145.30000000000001</v>
      </c>
      <c r="AQ264" t="str">
        <f>VLOOKUP($I264,'[1]Table S6'!$A:$AI,35,FALSE)</f>
        <v>No</v>
      </c>
      <c r="AS264" t="e">
        <f>VLOOKUP($H264,'[2]Table S5'!$A:$K,8,FALSE)</f>
        <v>#N/A</v>
      </c>
      <c r="AT264" t="e">
        <f>VLOOKUP($H264,'[2]Table S5'!$A:$K,9,FALSE)</f>
        <v>#N/A</v>
      </c>
      <c r="AU264" t="e">
        <f>VLOOKUP($H264,'[2]Table S5'!$A:$K,10,FALSE)</f>
        <v>#N/A</v>
      </c>
      <c r="AV264" t="e">
        <f>VLOOKUP($H264,'[2]Table S5'!$A:$K,11,FALSE)</f>
        <v>#N/A</v>
      </c>
    </row>
    <row r="265" spans="1:48">
      <c r="A265" t="s">
        <v>2003</v>
      </c>
      <c r="B265" t="s">
        <v>2004</v>
      </c>
      <c r="C265" t="s">
        <v>17</v>
      </c>
      <c r="D265" t="s">
        <v>2006</v>
      </c>
      <c r="E265" t="s">
        <v>2007</v>
      </c>
      <c r="F265" t="s">
        <v>2008</v>
      </c>
      <c r="G265" t="s">
        <v>4757</v>
      </c>
      <c r="H265" t="s">
        <v>2009</v>
      </c>
      <c r="I265" t="s">
        <v>2009</v>
      </c>
      <c r="J265" t="e">
        <f>VLOOKUP($I265,'[1]Table S6'!$A:$AI,2,FALSE)</f>
        <v>#N/A</v>
      </c>
      <c r="K265" t="e">
        <f>VLOOKUP($I265,'[1]Table S6'!$A:$AI,3,FALSE)</f>
        <v>#N/A</v>
      </c>
      <c r="L265" t="e">
        <f>VLOOKUP($I265,'[1]Table S6'!$A:$AI,4,FALSE)</f>
        <v>#N/A</v>
      </c>
      <c r="M265" t="e">
        <f>VLOOKUP($I265,'[1]Table S6'!$A:$AI,5,FALSE)</f>
        <v>#N/A</v>
      </c>
      <c r="O265" t="e">
        <f>VLOOKUP($I265,'[1]Table S6'!$A:$AI,7,FALSE)</f>
        <v>#N/A</v>
      </c>
      <c r="P265" t="e">
        <f>VLOOKUP($I265,'[1]Table S6'!$A:$AI,8,FALSE)</f>
        <v>#N/A</v>
      </c>
      <c r="Q265" t="e">
        <f>VLOOKUP($I265,'[1]Table S6'!$A:$AI,9,FALSE)</f>
        <v>#N/A</v>
      </c>
      <c r="R265" t="e">
        <f>VLOOKUP($I265,'[1]Table S6'!$A:$AI,10,FALSE)</f>
        <v>#N/A</v>
      </c>
      <c r="T265" t="e">
        <f>VLOOKUP($I265,'[1]Table S6'!$A:$AI,12,FALSE)</f>
        <v>#N/A</v>
      </c>
      <c r="U265" t="e">
        <f>VLOOKUP($I265,'[1]Table S6'!$A:$AI,13,FALSE)</f>
        <v>#N/A</v>
      </c>
      <c r="V265" t="e">
        <f>VLOOKUP($I265,'[1]Table S6'!$A:$AI,14,FALSE)</f>
        <v>#N/A</v>
      </c>
      <c r="W265" t="e">
        <f>VLOOKUP($I265,'[1]Table S6'!$A:$AI,15,FALSE)</f>
        <v>#N/A</v>
      </c>
      <c r="Y265" t="e">
        <f>VLOOKUP($I265,'[1]Table S6'!$A:$AI,17,FALSE)</f>
        <v>#N/A</v>
      </c>
      <c r="Z265" t="e">
        <f>VLOOKUP($I265,'[1]Table S6'!$A:$AI,18,FALSE)</f>
        <v>#N/A</v>
      </c>
      <c r="AA265" t="e">
        <f>VLOOKUP($I265,'[1]Table S6'!$A:$AI,19,FALSE)</f>
        <v>#N/A</v>
      </c>
      <c r="AB265" t="e">
        <f>VLOOKUP($I265,'[1]Table S6'!$A:$AI,20,FALSE)</f>
        <v>#N/A</v>
      </c>
      <c r="AD265" t="e">
        <f>VLOOKUP($I265,'[1]Table S6'!$A:$AI,22,FALSE)</f>
        <v>#N/A</v>
      </c>
      <c r="AE265" t="e">
        <f>VLOOKUP($I265,'[1]Table S6'!$A:$AI,23,FALSE)</f>
        <v>#N/A</v>
      </c>
      <c r="AF265" t="e">
        <f>VLOOKUP($I265,'[1]Table S6'!$A:$AI,24,FALSE)</f>
        <v>#N/A</v>
      </c>
      <c r="AG265" t="e">
        <f>VLOOKUP($I265,'[1]Table S6'!$A:$AI,25,FALSE)</f>
        <v>#N/A</v>
      </c>
      <c r="AI265" t="e">
        <f>VLOOKUP($I265,'[1]Table S6'!$A:$AI,27,FALSE)</f>
        <v>#N/A</v>
      </c>
      <c r="AJ265" t="e">
        <f>VLOOKUP($I265,'[1]Table S6'!$A:$AI,28,FALSE)</f>
        <v>#N/A</v>
      </c>
      <c r="AK265" t="e">
        <f>VLOOKUP($I265,'[1]Table S6'!$A:$AI,29,FALSE)</f>
        <v>#N/A</v>
      </c>
      <c r="AL265" t="e">
        <f>VLOOKUP($I265,'[1]Table S6'!$A:$AI,30,FALSE)</f>
        <v>#N/A</v>
      </c>
      <c r="AN265" t="e">
        <f>VLOOKUP($I265,'[1]Table S6'!$A:$AI,32,FALSE)</f>
        <v>#N/A</v>
      </c>
      <c r="AO265" t="e">
        <f>VLOOKUP($I265,'[1]Table S6'!$A:$AI,33,FALSE)</f>
        <v>#N/A</v>
      </c>
      <c r="AP265" t="e">
        <f>VLOOKUP($I265,'[1]Table S6'!$A:$AI,34,FALSE)</f>
        <v>#N/A</v>
      </c>
      <c r="AQ265" t="e">
        <f>VLOOKUP($I265,'[1]Table S6'!$A:$AI,35,FALSE)</f>
        <v>#N/A</v>
      </c>
      <c r="AS265" t="e">
        <f>VLOOKUP($H265,'[2]Table S5'!$A:$K,8,FALSE)</f>
        <v>#N/A</v>
      </c>
      <c r="AT265" t="e">
        <f>VLOOKUP($H265,'[2]Table S5'!$A:$K,9,FALSE)</f>
        <v>#N/A</v>
      </c>
      <c r="AU265" t="e">
        <f>VLOOKUP($H265,'[2]Table S5'!$A:$K,10,FALSE)</f>
        <v>#N/A</v>
      </c>
      <c r="AV265" t="e">
        <f>VLOOKUP($H265,'[2]Table S5'!$A:$K,11,FALSE)</f>
        <v>#N/A</v>
      </c>
    </row>
    <row r="266" spans="1:48">
      <c r="A266" t="s">
        <v>2011</v>
      </c>
      <c r="B266" t="s">
        <v>2012</v>
      </c>
      <c r="C266" t="s">
        <v>17</v>
      </c>
      <c r="D266" t="s">
        <v>2014</v>
      </c>
      <c r="E266" t="s">
        <v>2015</v>
      </c>
      <c r="F266" t="s">
        <v>2016</v>
      </c>
      <c r="G266" t="s">
        <v>4751</v>
      </c>
      <c r="H266" t="s">
        <v>2009</v>
      </c>
      <c r="I266" t="s">
        <v>2017</v>
      </c>
      <c r="J266">
        <f>VLOOKUP($I266,'[1]Table S6'!$A:$AI,2,FALSE)</f>
        <v>382.5</v>
      </c>
      <c r="K266">
        <f>VLOOKUP($I266,'[1]Table S6'!$A:$AI,3,FALSE)</f>
        <v>0.81400297935731003</v>
      </c>
      <c r="L266">
        <f>VLOOKUP($I266,'[1]Table S6'!$A:$AI,4,FALSE)</f>
        <v>10.32</v>
      </c>
      <c r="M266" t="str">
        <f>VLOOKUP($I266,'[1]Table S6'!$A:$AI,5,FALSE)</f>
        <v>No</v>
      </c>
      <c r="O266">
        <f>VLOOKUP($I266,'[1]Table S6'!$A:$AI,7,FALSE)</f>
        <v>378.7</v>
      </c>
      <c r="P266">
        <f>VLOOKUP($I266,'[1]Table S6'!$A:$AI,8,FALSE)</f>
        <v>0.80591615237284497</v>
      </c>
      <c r="Q266">
        <f>VLOOKUP($I266,'[1]Table S6'!$A:$AI,9,FALSE)</f>
        <v>7.1669999999999998</v>
      </c>
      <c r="R266" t="str">
        <f>VLOOKUP($I266,'[1]Table S6'!$A:$AI,10,FALSE)</f>
        <v>No</v>
      </c>
      <c r="T266">
        <f>VLOOKUP($I266,'[1]Table S6'!$A:$AI,12,FALSE)</f>
        <v>338.2</v>
      </c>
      <c r="U266">
        <f>VLOOKUP($I266,'[1]Table S6'!$A:$AI,13,FALSE)</f>
        <v>0.71972760161736504</v>
      </c>
      <c r="V266">
        <f>VLOOKUP($I266,'[1]Table S6'!$A:$AI,14,FALSE)</f>
        <v>4.3369999999999997</v>
      </c>
      <c r="W266" t="str">
        <f>VLOOKUP($I266,'[1]Table S6'!$A:$AI,15,FALSE)</f>
        <v>No</v>
      </c>
      <c r="Y266">
        <f>VLOOKUP($I266,'[1]Table S6'!$A:$AI,17,FALSE)</f>
        <v>364.9</v>
      </c>
      <c r="Z266">
        <f>VLOOKUP($I266,'[1]Table S6'!$A:$AI,18,FALSE)</f>
        <v>0.77654820174505201</v>
      </c>
      <c r="AA266">
        <f>VLOOKUP($I266,'[1]Table S6'!$A:$AI,19,FALSE)</f>
        <v>8.9700000000000006</v>
      </c>
      <c r="AB266" t="str">
        <f>VLOOKUP($I266,'[1]Table S6'!$A:$AI,20,FALSE)</f>
        <v>No</v>
      </c>
      <c r="AD266">
        <f>VLOOKUP($I266,'[1]Table S6'!$A:$AI,22,FALSE)</f>
        <v>372.3</v>
      </c>
      <c r="AE266">
        <f>VLOOKUP($I266,'[1]Table S6'!$A:$AI,23,FALSE)</f>
        <v>0.79229623324111498</v>
      </c>
      <c r="AF266">
        <f>VLOOKUP($I266,'[1]Table S6'!$A:$AI,24,FALSE)</f>
        <v>10.62</v>
      </c>
      <c r="AG266" t="str">
        <f>VLOOKUP($I266,'[1]Table S6'!$A:$AI,25,FALSE)</f>
        <v>No</v>
      </c>
      <c r="AI266">
        <f>VLOOKUP($I266,'[1]Table S6'!$A:$AI,27,FALSE)</f>
        <v>384.5</v>
      </c>
      <c r="AJ266">
        <f>VLOOKUP($I266,'[1]Table S6'!$A:$AI,28,FALSE)</f>
        <v>0.81825920408597597</v>
      </c>
      <c r="AK266">
        <f>VLOOKUP($I266,'[1]Table S6'!$A:$AI,29,FALSE)</f>
        <v>9.3510000000000009</v>
      </c>
      <c r="AL266" t="str">
        <f>VLOOKUP($I266,'[1]Table S6'!$A:$AI,30,FALSE)</f>
        <v>No</v>
      </c>
      <c r="AN266">
        <f>VLOOKUP($I266,'[1]Table S6'!$A:$AI,32,FALSE)</f>
        <v>375.1</v>
      </c>
      <c r="AO266">
        <f>VLOOKUP($I266,'[1]Table S6'!$A:$AI,33,FALSE)</f>
        <v>0.79825494786124696</v>
      </c>
      <c r="AP266">
        <f>VLOOKUP($I266,'[1]Table S6'!$A:$AI,34,FALSE)</f>
        <v>8.0960000000000001</v>
      </c>
      <c r="AQ266" t="str">
        <f>VLOOKUP($I266,'[1]Table S6'!$A:$AI,35,FALSE)</f>
        <v>No</v>
      </c>
      <c r="AS266" t="e">
        <f>VLOOKUP($H266,'[2]Table S5'!$A:$K,8,FALSE)</f>
        <v>#N/A</v>
      </c>
      <c r="AT266" t="e">
        <f>VLOOKUP($H266,'[2]Table S5'!$A:$K,9,FALSE)</f>
        <v>#N/A</v>
      </c>
      <c r="AU266" t="e">
        <f>VLOOKUP($H266,'[2]Table S5'!$A:$K,10,FALSE)</f>
        <v>#N/A</v>
      </c>
      <c r="AV266" t="e">
        <f>VLOOKUP($H266,'[2]Table S5'!$A:$K,11,FALSE)</f>
        <v>#N/A</v>
      </c>
    </row>
    <row r="267" spans="1:48">
      <c r="A267" t="s">
        <v>2019</v>
      </c>
      <c r="B267" t="s">
        <v>2020</v>
      </c>
      <c r="C267" t="s">
        <v>17</v>
      </c>
      <c r="D267" t="s">
        <v>2022</v>
      </c>
      <c r="E267" t="s">
        <v>2023</v>
      </c>
      <c r="F267" t="s">
        <v>2024</v>
      </c>
      <c r="G267" t="s">
        <v>4751</v>
      </c>
      <c r="H267" t="s">
        <v>2009</v>
      </c>
      <c r="I267" t="s">
        <v>2025</v>
      </c>
      <c r="J267">
        <f>VLOOKUP($I267,'[1]Table S6'!$A:$AI,2,FALSE)</f>
        <v>359.4</v>
      </c>
      <c r="K267">
        <f>VLOOKUP($I267,'[1]Table S6'!$A:$AI,3,FALSE)</f>
        <v>0.76484358374122197</v>
      </c>
      <c r="L267">
        <f>VLOOKUP($I267,'[1]Table S6'!$A:$AI,4,FALSE)</f>
        <v>6.9829999999999997</v>
      </c>
      <c r="M267" t="str">
        <f>VLOOKUP($I267,'[1]Table S6'!$A:$AI,5,FALSE)</f>
        <v>No</v>
      </c>
      <c r="O267">
        <f>VLOOKUP($I267,'[1]Table S6'!$A:$AI,7,FALSE)</f>
        <v>364</v>
      </c>
      <c r="P267">
        <f>VLOOKUP($I267,'[1]Table S6'!$A:$AI,8,FALSE)</f>
        <v>0.77463290061715295</v>
      </c>
      <c r="Q267">
        <f>VLOOKUP($I267,'[1]Table S6'!$A:$AI,9,FALSE)</f>
        <v>6.8979999999999997</v>
      </c>
      <c r="R267" t="str">
        <f>VLOOKUP($I267,'[1]Table S6'!$A:$AI,10,FALSE)</f>
        <v>No</v>
      </c>
      <c r="T267">
        <f>VLOOKUP($I267,'[1]Table S6'!$A:$AI,12,FALSE)</f>
        <v>350.2</v>
      </c>
      <c r="U267">
        <f>VLOOKUP($I267,'[1]Table S6'!$A:$AI,13,FALSE)</f>
        <v>0.74526494998935899</v>
      </c>
      <c r="V267">
        <f>VLOOKUP($I267,'[1]Table S6'!$A:$AI,14,FALSE)</f>
        <v>5.6139999999999999</v>
      </c>
      <c r="W267" t="str">
        <f>VLOOKUP($I267,'[1]Table S6'!$A:$AI,15,FALSE)</f>
        <v>No</v>
      </c>
      <c r="Y267">
        <f>VLOOKUP($I267,'[1]Table S6'!$A:$AI,17,FALSE)</f>
        <v>326.10000000000002</v>
      </c>
      <c r="Z267">
        <f>VLOOKUP($I267,'[1]Table S6'!$A:$AI,18,FALSE)</f>
        <v>0.69397744200893796</v>
      </c>
      <c r="AA267">
        <f>VLOOKUP($I267,'[1]Table S6'!$A:$AI,19,FALSE)</f>
        <v>2.3580000000000001</v>
      </c>
      <c r="AB267" t="str">
        <f>VLOOKUP($I267,'[1]Table S6'!$A:$AI,20,FALSE)</f>
        <v>Yes</v>
      </c>
      <c r="AD267">
        <f>VLOOKUP($I267,'[1]Table S6'!$A:$AI,22,FALSE)</f>
        <v>403.9</v>
      </c>
      <c r="AE267">
        <f>VLOOKUP($I267,'[1]Table S6'!$A:$AI,23,FALSE)</f>
        <v>0.85954458395403299</v>
      </c>
      <c r="AF267">
        <f>VLOOKUP($I267,'[1]Table S6'!$A:$AI,24,FALSE)</f>
        <v>16.43</v>
      </c>
      <c r="AG267" t="str">
        <f>VLOOKUP($I267,'[1]Table S6'!$A:$AI,25,FALSE)</f>
        <v>No</v>
      </c>
      <c r="AI267">
        <f>VLOOKUP($I267,'[1]Table S6'!$A:$AI,27,FALSE)</f>
        <v>408.7</v>
      </c>
      <c r="AJ267">
        <f>VLOOKUP($I267,'[1]Table S6'!$A:$AI,28,FALSE)</f>
        <v>0.86975952330283002</v>
      </c>
      <c r="AK267">
        <f>VLOOKUP($I267,'[1]Table S6'!$A:$AI,29,FALSE)</f>
        <v>116</v>
      </c>
      <c r="AL267" t="str">
        <f>VLOOKUP($I267,'[1]Table S6'!$A:$AI,30,FALSE)</f>
        <v>No</v>
      </c>
      <c r="AN267">
        <f>VLOOKUP($I267,'[1]Table S6'!$A:$AI,32,FALSE)</f>
        <v>424.3</v>
      </c>
      <c r="AO267">
        <f>VLOOKUP($I267,'[1]Table S6'!$A:$AI,33,FALSE)</f>
        <v>0.90295807618642299</v>
      </c>
      <c r="AP267">
        <f>VLOOKUP($I267,'[1]Table S6'!$A:$AI,34,FALSE)</f>
        <v>163.4</v>
      </c>
      <c r="AQ267" t="str">
        <f>VLOOKUP($I267,'[1]Table S6'!$A:$AI,35,FALSE)</f>
        <v>No</v>
      </c>
      <c r="AS267" t="e">
        <f>VLOOKUP($H267,'[2]Table S5'!$A:$K,8,FALSE)</f>
        <v>#N/A</v>
      </c>
      <c r="AT267" t="e">
        <f>VLOOKUP($H267,'[2]Table S5'!$A:$K,9,FALSE)</f>
        <v>#N/A</v>
      </c>
      <c r="AU267" t="e">
        <f>VLOOKUP($H267,'[2]Table S5'!$A:$K,10,FALSE)</f>
        <v>#N/A</v>
      </c>
      <c r="AV267" t="e">
        <f>VLOOKUP($H267,'[2]Table S5'!$A:$K,11,FALSE)</f>
        <v>#N/A</v>
      </c>
    </row>
    <row r="268" spans="1:48">
      <c r="A268" t="s">
        <v>2027</v>
      </c>
      <c r="B268" t="s">
        <v>2028</v>
      </c>
      <c r="C268" t="s">
        <v>17</v>
      </c>
      <c r="D268" t="s">
        <v>2030</v>
      </c>
      <c r="E268" t="s">
        <v>2031</v>
      </c>
      <c r="F268" t="s">
        <v>2032</v>
      </c>
      <c r="G268" t="s">
        <v>4751</v>
      </c>
      <c r="H268" t="s">
        <v>2009</v>
      </c>
      <c r="I268" t="s">
        <v>2033</v>
      </c>
      <c r="J268">
        <f>VLOOKUP($I268,'[1]Table S6'!$A:$AI,2,FALSE)</f>
        <v>345.5</v>
      </c>
      <c r="K268">
        <f>VLOOKUP($I268,'[1]Table S6'!$A:$AI,3,FALSE)</f>
        <v>0.73526282187699499</v>
      </c>
      <c r="L268">
        <f>VLOOKUP($I268,'[1]Table S6'!$A:$AI,4,FALSE)</f>
        <v>7.5060000000000002</v>
      </c>
      <c r="M268" t="str">
        <f>VLOOKUP($I268,'[1]Table S6'!$A:$AI,5,FALSE)</f>
        <v>No</v>
      </c>
      <c r="O268">
        <f>VLOOKUP($I268,'[1]Table S6'!$A:$AI,7,FALSE)</f>
        <v>388</v>
      </c>
      <c r="P268">
        <f>VLOOKUP($I268,'[1]Table S6'!$A:$AI,8,FALSE)</f>
        <v>0.82570759736114097</v>
      </c>
      <c r="Q268">
        <f>VLOOKUP($I268,'[1]Table S6'!$A:$AI,9,FALSE)</f>
        <v>7.0460000000000003</v>
      </c>
      <c r="R268" t="str">
        <f>VLOOKUP($I268,'[1]Table S6'!$A:$AI,10,FALSE)</f>
        <v>No</v>
      </c>
      <c r="T268">
        <f>VLOOKUP($I268,'[1]Table S6'!$A:$AI,12,FALSE)</f>
        <v>388.5</v>
      </c>
      <c r="U268">
        <f>VLOOKUP($I268,'[1]Table S6'!$A:$AI,13,FALSE)</f>
        <v>0.82677165354330695</v>
      </c>
      <c r="V268">
        <f>VLOOKUP($I268,'[1]Table S6'!$A:$AI,14,FALSE)</f>
        <v>14.95</v>
      </c>
      <c r="W268" t="str">
        <f>VLOOKUP($I268,'[1]Table S6'!$A:$AI,15,FALSE)</f>
        <v>No</v>
      </c>
      <c r="Y268">
        <f>VLOOKUP($I268,'[1]Table S6'!$A:$AI,17,FALSE)</f>
        <v>369</v>
      </c>
      <c r="Z268">
        <f>VLOOKUP($I268,'[1]Table S6'!$A:$AI,18,FALSE)</f>
        <v>0.78527346243881702</v>
      </c>
      <c r="AA268">
        <f>VLOOKUP($I268,'[1]Table S6'!$A:$AI,19,FALSE)</f>
        <v>11.05</v>
      </c>
      <c r="AB268" t="str">
        <f>VLOOKUP($I268,'[1]Table S6'!$A:$AI,20,FALSE)</f>
        <v>No</v>
      </c>
      <c r="AD268">
        <f>VLOOKUP($I268,'[1]Table S6'!$A:$AI,22,FALSE)</f>
        <v>366.8</v>
      </c>
      <c r="AE268">
        <f>VLOOKUP($I268,'[1]Table S6'!$A:$AI,23,FALSE)</f>
        <v>0.78059161523728504</v>
      </c>
      <c r="AF268">
        <f>VLOOKUP($I268,'[1]Table S6'!$A:$AI,24,FALSE)</f>
        <v>9.423</v>
      </c>
      <c r="AG268" t="str">
        <f>VLOOKUP($I268,'[1]Table S6'!$A:$AI,25,FALSE)</f>
        <v>No</v>
      </c>
      <c r="AI268">
        <f>VLOOKUP($I268,'[1]Table S6'!$A:$AI,27,FALSE)</f>
        <v>377.1</v>
      </c>
      <c r="AJ268">
        <f>VLOOKUP($I268,'[1]Table S6'!$A:$AI,28,FALSE)</f>
        <v>0.802511172589913</v>
      </c>
      <c r="AK268">
        <f>VLOOKUP($I268,'[1]Table S6'!$A:$AI,29,FALSE)</f>
        <v>16.29</v>
      </c>
      <c r="AL268" t="str">
        <f>VLOOKUP($I268,'[1]Table S6'!$A:$AI,30,FALSE)</f>
        <v>No</v>
      </c>
      <c r="AN268">
        <f>VLOOKUP($I268,'[1]Table S6'!$A:$AI,32,FALSE)</f>
        <v>386.6</v>
      </c>
      <c r="AO268">
        <f>VLOOKUP($I268,'[1]Table S6'!$A:$AI,33,FALSE)</f>
        <v>0.82272824005107503</v>
      </c>
      <c r="AP268">
        <f>VLOOKUP($I268,'[1]Table S6'!$A:$AI,34,FALSE)</f>
        <v>17.05</v>
      </c>
      <c r="AQ268" t="str">
        <f>VLOOKUP($I268,'[1]Table S6'!$A:$AI,35,FALSE)</f>
        <v>No</v>
      </c>
      <c r="AS268" t="e">
        <f>VLOOKUP($H268,'[2]Table S5'!$A:$K,8,FALSE)</f>
        <v>#N/A</v>
      </c>
      <c r="AT268" t="e">
        <f>VLOOKUP($H268,'[2]Table S5'!$A:$K,9,FALSE)</f>
        <v>#N/A</v>
      </c>
      <c r="AU268" t="e">
        <f>VLOOKUP($H268,'[2]Table S5'!$A:$K,10,FALSE)</f>
        <v>#N/A</v>
      </c>
      <c r="AV268" t="e">
        <f>VLOOKUP($H268,'[2]Table S5'!$A:$K,11,FALSE)</f>
        <v>#N/A</v>
      </c>
    </row>
    <row r="269" spans="1:48">
      <c r="A269" t="s">
        <v>2035</v>
      </c>
      <c r="B269" t="s">
        <v>2036</v>
      </c>
      <c r="C269" t="s">
        <v>17</v>
      </c>
      <c r="D269" t="s">
        <v>2038</v>
      </c>
      <c r="E269" t="s">
        <v>2039</v>
      </c>
      <c r="F269" t="s">
        <v>2040</v>
      </c>
      <c r="G269" t="s">
        <v>4757</v>
      </c>
      <c r="H269" t="s">
        <v>2041</v>
      </c>
      <c r="I269" t="s">
        <v>2042</v>
      </c>
      <c r="J269">
        <f>VLOOKUP($I269,'[1]Table S6'!$A:$AI,2,FALSE)</f>
        <v>359.6</v>
      </c>
      <c r="K269">
        <f>VLOOKUP($I269,'[1]Table S6'!$A:$AI,3,FALSE)</f>
        <v>0.765269206214088</v>
      </c>
      <c r="L269">
        <f>VLOOKUP($I269,'[1]Table S6'!$A:$AI,4,FALSE)</f>
        <v>6.2859999999999996</v>
      </c>
      <c r="M269" t="str">
        <f>VLOOKUP($I269,'[1]Table S6'!$A:$AI,5,FALSE)</f>
        <v>No</v>
      </c>
      <c r="O269">
        <f>VLOOKUP($I269,'[1]Table S6'!$A:$AI,7,FALSE)</f>
        <v>354.2</v>
      </c>
      <c r="P269">
        <f>VLOOKUP($I269,'[1]Table S6'!$A:$AI,8,FALSE)</f>
        <v>0.75377739944669098</v>
      </c>
      <c r="Q269">
        <f>VLOOKUP($I269,'[1]Table S6'!$A:$AI,9,FALSE)</f>
        <v>6.992</v>
      </c>
      <c r="R269" t="str">
        <f>VLOOKUP($I269,'[1]Table S6'!$A:$AI,10,FALSE)</f>
        <v>No</v>
      </c>
      <c r="T269">
        <f>VLOOKUP($I269,'[1]Table S6'!$A:$AI,12,FALSE)</f>
        <v>381.7</v>
      </c>
      <c r="U269">
        <f>VLOOKUP($I269,'[1]Table S6'!$A:$AI,13,FALSE)</f>
        <v>0.81230048946584399</v>
      </c>
      <c r="V269">
        <f>VLOOKUP($I269,'[1]Table S6'!$A:$AI,14,FALSE)</f>
        <v>8.7309999999999999</v>
      </c>
      <c r="W269" t="str">
        <f>VLOOKUP($I269,'[1]Table S6'!$A:$AI,15,FALSE)</f>
        <v>No</v>
      </c>
      <c r="Y269">
        <f>VLOOKUP($I269,'[1]Table S6'!$A:$AI,17,FALSE)</f>
        <v>395.2</v>
      </c>
      <c r="Z269">
        <f>VLOOKUP($I269,'[1]Table S6'!$A:$AI,18,FALSE)</f>
        <v>0.841030006384337</v>
      </c>
      <c r="AA269">
        <f>VLOOKUP($I269,'[1]Table S6'!$A:$AI,19,FALSE)</f>
        <v>24.62</v>
      </c>
      <c r="AB269" t="str">
        <f>VLOOKUP($I269,'[1]Table S6'!$A:$AI,20,FALSE)</f>
        <v>No</v>
      </c>
      <c r="AD269">
        <f>VLOOKUP($I269,'[1]Table S6'!$A:$AI,22,FALSE)</f>
        <v>383</v>
      </c>
      <c r="AE269">
        <f>VLOOKUP($I269,'[1]Table S6'!$A:$AI,23,FALSE)</f>
        <v>0.81506703553947701</v>
      </c>
      <c r="AF269">
        <f>VLOOKUP($I269,'[1]Table S6'!$A:$AI,24,FALSE)</f>
        <v>14.69</v>
      </c>
      <c r="AG269" t="str">
        <f>VLOOKUP($I269,'[1]Table S6'!$A:$AI,25,FALSE)</f>
        <v>No</v>
      </c>
      <c r="AI269">
        <f>VLOOKUP($I269,'[1]Table S6'!$A:$AI,27,FALSE)</f>
        <v>422.6</v>
      </c>
      <c r="AJ269">
        <f>VLOOKUP($I269,'[1]Table S6'!$A:$AI,28,FALSE)</f>
        <v>0.899340285167057</v>
      </c>
      <c r="AK269">
        <f>VLOOKUP($I269,'[1]Table S6'!$A:$AI,29,FALSE)</f>
        <v>90.72</v>
      </c>
      <c r="AL269" t="str">
        <f>VLOOKUP($I269,'[1]Table S6'!$A:$AI,30,FALSE)</f>
        <v>No</v>
      </c>
      <c r="AN269">
        <f>VLOOKUP($I269,'[1]Table S6'!$A:$AI,32,FALSE)</f>
        <v>433.8</v>
      </c>
      <c r="AO269">
        <f>VLOOKUP($I269,'[1]Table S6'!$A:$AI,33,FALSE)</f>
        <v>0.92317514364758502</v>
      </c>
      <c r="AP269">
        <f>VLOOKUP($I269,'[1]Table S6'!$A:$AI,34,FALSE)</f>
        <v>110.2</v>
      </c>
      <c r="AQ269" t="str">
        <f>VLOOKUP($I269,'[1]Table S6'!$A:$AI,35,FALSE)</f>
        <v>No</v>
      </c>
      <c r="AS269" t="e">
        <f>VLOOKUP($H269,'[2]Table S5'!$A:$K,8,FALSE)</f>
        <v>#N/A</v>
      </c>
      <c r="AT269" t="e">
        <f>VLOOKUP($H269,'[2]Table S5'!$A:$K,9,FALSE)</f>
        <v>#N/A</v>
      </c>
      <c r="AU269" t="e">
        <f>VLOOKUP($H269,'[2]Table S5'!$A:$K,10,FALSE)</f>
        <v>#N/A</v>
      </c>
      <c r="AV269" t="e">
        <f>VLOOKUP($H269,'[2]Table S5'!$A:$K,11,FALSE)</f>
        <v>#N/A</v>
      </c>
    </row>
    <row r="270" spans="1:48">
      <c r="A270" t="s">
        <v>2044</v>
      </c>
      <c r="B270" t="s">
        <v>2045</v>
      </c>
      <c r="C270" t="s">
        <v>17</v>
      </c>
      <c r="D270" t="s">
        <v>2047</v>
      </c>
      <c r="E270" t="s">
        <v>2048</v>
      </c>
      <c r="F270" t="s">
        <v>2049</v>
      </c>
      <c r="G270" t="s">
        <v>4751</v>
      </c>
      <c r="H270" t="s">
        <v>2041</v>
      </c>
      <c r="I270" t="s">
        <v>2042</v>
      </c>
      <c r="J270">
        <f>VLOOKUP($I270,'[1]Table S6'!$A:$AI,2,FALSE)</f>
        <v>359.6</v>
      </c>
      <c r="K270">
        <f>VLOOKUP($I270,'[1]Table S6'!$A:$AI,3,FALSE)</f>
        <v>0.765269206214088</v>
      </c>
      <c r="L270">
        <f>VLOOKUP($I270,'[1]Table S6'!$A:$AI,4,FALSE)</f>
        <v>6.2859999999999996</v>
      </c>
      <c r="M270" t="str">
        <f>VLOOKUP($I270,'[1]Table S6'!$A:$AI,5,FALSE)</f>
        <v>No</v>
      </c>
      <c r="O270">
        <f>VLOOKUP($I270,'[1]Table S6'!$A:$AI,7,FALSE)</f>
        <v>354.2</v>
      </c>
      <c r="P270">
        <f>VLOOKUP($I270,'[1]Table S6'!$A:$AI,8,FALSE)</f>
        <v>0.75377739944669098</v>
      </c>
      <c r="Q270">
        <f>VLOOKUP($I270,'[1]Table S6'!$A:$AI,9,FALSE)</f>
        <v>6.992</v>
      </c>
      <c r="R270" t="str">
        <f>VLOOKUP($I270,'[1]Table S6'!$A:$AI,10,FALSE)</f>
        <v>No</v>
      </c>
      <c r="T270">
        <f>VLOOKUP($I270,'[1]Table S6'!$A:$AI,12,FALSE)</f>
        <v>381.7</v>
      </c>
      <c r="U270">
        <f>VLOOKUP($I270,'[1]Table S6'!$A:$AI,13,FALSE)</f>
        <v>0.81230048946584399</v>
      </c>
      <c r="V270">
        <f>VLOOKUP($I270,'[1]Table S6'!$A:$AI,14,FALSE)</f>
        <v>8.7309999999999999</v>
      </c>
      <c r="W270" t="str">
        <f>VLOOKUP($I270,'[1]Table S6'!$A:$AI,15,FALSE)</f>
        <v>No</v>
      </c>
      <c r="Y270">
        <f>VLOOKUP($I270,'[1]Table S6'!$A:$AI,17,FALSE)</f>
        <v>395.2</v>
      </c>
      <c r="Z270">
        <f>VLOOKUP($I270,'[1]Table S6'!$A:$AI,18,FALSE)</f>
        <v>0.841030006384337</v>
      </c>
      <c r="AA270">
        <f>VLOOKUP($I270,'[1]Table S6'!$A:$AI,19,FALSE)</f>
        <v>24.62</v>
      </c>
      <c r="AB270" t="str">
        <f>VLOOKUP($I270,'[1]Table S6'!$A:$AI,20,FALSE)</f>
        <v>No</v>
      </c>
      <c r="AD270">
        <f>VLOOKUP($I270,'[1]Table S6'!$A:$AI,22,FALSE)</f>
        <v>383</v>
      </c>
      <c r="AE270">
        <f>VLOOKUP($I270,'[1]Table S6'!$A:$AI,23,FALSE)</f>
        <v>0.81506703553947701</v>
      </c>
      <c r="AF270">
        <f>VLOOKUP($I270,'[1]Table S6'!$A:$AI,24,FALSE)</f>
        <v>14.69</v>
      </c>
      <c r="AG270" t="str">
        <f>VLOOKUP($I270,'[1]Table S6'!$A:$AI,25,FALSE)</f>
        <v>No</v>
      </c>
      <c r="AI270">
        <f>VLOOKUP($I270,'[1]Table S6'!$A:$AI,27,FALSE)</f>
        <v>422.6</v>
      </c>
      <c r="AJ270">
        <f>VLOOKUP($I270,'[1]Table S6'!$A:$AI,28,FALSE)</f>
        <v>0.899340285167057</v>
      </c>
      <c r="AK270">
        <f>VLOOKUP($I270,'[1]Table S6'!$A:$AI,29,FALSE)</f>
        <v>90.72</v>
      </c>
      <c r="AL270" t="str">
        <f>VLOOKUP($I270,'[1]Table S6'!$A:$AI,30,FALSE)</f>
        <v>No</v>
      </c>
      <c r="AN270">
        <f>VLOOKUP($I270,'[1]Table S6'!$A:$AI,32,FALSE)</f>
        <v>433.8</v>
      </c>
      <c r="AO270">
        <f>VLOOKUP($I270,'[1]Table S6'!$A:$AI,33,FALSE)</f>
        <v>0.92317514364758502</v>
      </c>
      <c r="AP270">
        <f>VLOOKUP($I270,'[1]Table S6'!$A:$AI,34,FALSE)</f>
        <v>110.2</v>
      </c>
      <c r="AQ270" t="str">
        <f>VLOOKUP($I270,'[1]Table S6'!$A:$AI,35,FALSE)</f>
        <v>No</v>
      </c>
      <c r="AS270" t="e">
        <f>VLOOKUP($H270,'[2]Table S5'!$A:$K,8,FALSE)</f>
        <v>#N/A</v>
      </c>
      <c r="AT270" t="e">
        <f>VLOOKUP($H270,'[2]Table S5'!$A:$K,9,FALSE)</f>
        <v>#N/A</v>
      </c>
      <c r="AU270" t="e">
        <f>VLOOKUP($H270,'[2]Table S5'!$A:$K,10,FALSE)</f>
        <v>#N/A</v>
      </c>
      <c r="AV270" t="e">
        <f>VLOOKUP($H270,'[2]Table S5'!$A:$K,11,FALSE)</f>
        <v>#N/A</v>
      </c>
    </row>
    <row r="271" spans="1:48">
      <c r="A271" t="s">
        <v>2051</v>
      </c>
      <c r="B271" t="s">
        <v>2052</v>
      </c>
      <c r="C271" t="s">
        <v>17</v>
      </c>
      <c r="D271" t="s">
        <v>2054</v>
      </c>
      <c r="E271" t="s">
        <v>2055</v>
      </c>
      <c r="F271" t="s">
        <v>2056</v>
      </c>
      <c r="G271" t="s">
        <v>4754</v>
      </c>
      <c r="H271" t="s">
        <v>2041</v>
      </c>
      <c r="I271" t="s">
        <v>2042</v>
      </c>
      <c r="J271">
        <f>VLOOKUP($I271,'[1]Table S6'!$A:$AI,2,FALSE)</f>
        <v>359.6</v>
      </c>
      <c r="K271">
        <f>VLOOKUP($I271,'[1]Table S6'!$A:$AI,3,FALSE)</f>
        <v>0.765269206214088</v>
      </c>
      <c r="L271">
        <f>VLOOKUP($I271,'[1]Table S6'!$A:$AI,4,FALSE)</f>
        <v>6.2859999999999996</v>
      </c>
      <c r="M271" t="str">
        <f>VLOOKUP($I271,'[1]Table S6'!$A:$AI,5,FALSE)</f>
        <v>No</v>
      </c>
      <c r="O271">
        <f>VLOOKUP($I271,'[1]Table S6'!$A:$AI,7,FALSE)</f>
        <v>354.2</v>
      </c>
      <c r="P271">
        <f>VLOOKUP($I271,'[1]Table S6'!$A:$AI,8,FALSE)</f>
        <v>0.75377739944669098</v>
      </c>
      <c r="Q271">
        <f>VLOOKUP($I271,'[1]Table S6'!$A:$AI,9,FALSE)</f>
        <v>6.992</v>
      </c>
      <c r="R271" t="str">
        <f>VLOOKUP($I271,'[1]Table S6'!$A:$AI,10,FALSE)</f>
        <v>No</v>
      </c>
      <c r="T271">
        <f>VLOOKUP($I271,'[1]Table S6'!$A:$AI,12,FALSE)</f>
        <v>381.7</v>
      </c>
      <c r="U271">
        <f>VLOOKUP($I271,'[1]Table S6'!$A:$AI,13,FALSE)</f>
        <v>0.81230048946584399</v>
      </c>
      <c r="V271">
        <f>VLOOKUP($I271,'[1]Table S6'!$A:$AI,14,FALSE)</f>
        <v>8.7309999999999999</v>
      </c>
      <c r="W271" t="str">
        <f>VLOOKUP($I271,'[1]Table S6'!$A:$AI,15,FALSE)</f>
        <v>No</v>
      </c>
      <c r="Y271">
        <f>VLOOKUP($I271,'[1]Table S6'!$A:$AI,17,FALSE)</f>
        <v>395.2</v>
      </c>
      <c r="Z271">
        <f>VLOOKUP($I271,'[1]Table S6'!$A:$AI,18,FALSE)</f>
        <v>0.841030006384337</v>
      </c>
      <c r="AA271">
        <f>VLOOKUP($I271,'[1]Table S6'!$A:$AI,19,FALSE)</f>
        <v>24.62</v>
      </c>
      <c r="AB271" t="str">
        <f>VLOOKUP($I271,'[1]Table S6'!$A:$AI,20,FALSE)</f>
        <v>No</v>
      </c>
      <c r="AD271">
        <f>VLOOKUP($I271,'[1]Table S6'!$A:$AI,22,FALSE)</f>
        <v>383</v>
      </c>
      <c r="AE271">
        <f>VLOOKUP($I271,'[1]Table S6'!$A:$AI,23,FALSE)</f>
        <v>0.81506703553947701</v>
      </c>
      <c r="AF271">
        <f>VLOOKUP($I271,'[1]Table S6'!$A:$AI,24,FALSE)</f>
        <v>14.69</v>
      </c>
      <c r="AG271" t="str">
        <f>VLOOKUP($I271,'[1]Table S6'!$A:$AI,25,FALSE)</f>
        <v>No</v>
      </c>
      <c r="AI271">
        <f>VLOOKUP($I271,'[1]Table S6'!$A:$AI,27,FALSE)</f>
        <v>422.6</v>
      </c>
      <c r="AJ271">
        <f>VLOOKUP($I271,'[1]Table S6'!$A:$AI,28,FALSE)</f>
        <v>0.899340285167057</v>
      </c>
      <c r="AK271">
        <f>VLOOKUP($I271,'[1]Table S6'!$A:$AI,29,FALSE)</f>
        <v>90.72</v>
      </c>
      <c r="AL271" t="str">
        <f>VLOOKUP($I271,'[1]Table S6'!$A:$AI,30,FALSE)</f>
        <v>No</v>
      </c>
      <c r="AN271">
        <f>VLOOKUP($I271,'[1]Table S6'!$A:$AI,32,FALSE)</f>
        <v>433.8</v>
      </c>
      <c r="AO271">
        <f>VLOOKUP($I271,'[1]Table S6'!$A:$AI,33,FALSE)</f>
        <v>0.92317514364758502</v>
      </c>
      <c r="AP271">
        <f>VLOOKUP($I271,'[1]Table S6'!$A:$AI,34,FALSE)</f>
        <v>110.2</v>
      </c>
      <c r="AQ271" t="str">
        <f>VLOOKUP($I271,'[1]Table S6'!$A:$AI,35,FALSE)</f>
        <v>No</v>
      </c>
      <c r="AS271" t="e">
        <f>VLOOKUP($H271,'[2]Table S5'!$A:$K,8,FALSE)</f>
        <v>#N/A</v>
      </c>
      <c r="AT271" t="e">
        <f>VLOOKUP($H271,'[2]Table S5'!$A:$K,9,FALSE)</f>
        <v>#N/A</v>
      </c>
      <c r="AU271" t="e">
        <f>VLOOKUP($H271,'[2]Table S5'!$A:$K,10,FALSE)</f>
        <v>#N/A</v>
      </c>
      <c r="AV271" t="e">
        <f>VLOOKUP($H271,'[2]Table S5'!$A:$K,11,FALSE)</f>
        <v>#N/A</v>
      </c>
    </row>
    <row r="272" spans="1:48">
      <c r="A272" t="s">
        <v>2058</v>
      </c>
      <c r="B272" t="s">
        <v>2059</v>
      </c>
      <c r="C272" t="s">
        <v>17</v>
      </c>
      <c r="D272" t="s">
        <v>2061</v>
      </c>
      <c r="E272" t="s">
        <v>2062</v>
      </c>
      <c r="F272" t="s">
        <v>2063</v>
      </c>
      <c r="G272" t="s">
        <v>4755</v>
      </c>
      <c r="H272" t="s">
        <v>2041</v>
      </c>
      <c r="I272" t="s">
        <v>2042</v>
      </c>
      <c r="J272">
        <f>VLOOKUP($I272,'[1]Table S6'!$A:$AI,2,FALSE)</f>
        <v>359.6</v>
      </c>
      <c r="K272">
        <f>VLOOKUP($I272,'[1]Table S6'!$A:$AI,3,FALSE)</f>
        <v>0.765269206214088</v>
      </c>
      <c r="L272">
        <f>VLOOKUP($I272,'[1]Table S6'!$A:$AI,4,FALSE)</f>
        <v>6.2859999999999996</v>
      </c>
      <c r="M272" t="str">
        <f>VLOOKUP($I272,'[1]Table S6'!$A:$AI,5,FALSE)</f>
        <v>No</v>
      </c>
      <c r="O272">
        <f>VLOOKUP($I272,'[1]Table S6'!$A:$AI,7,FALSE)</f>
        <v>354.2</v>
      </c>
      <c r="P272">
        <f>VLOOKUP($I272,'[1]Table S6'!$A:$AI,8,FALSE)</f>
        <v>0.75377739944669098</v>
      </c>
      <c r="Q272">
        <f>VLOOKUP($I272,'[1]Table S6'!$A:$AI,9,FALSE)</f>
        <v>6.992</v>
      </c>
      <c r="R272" t="str">
        <f>VLOOKUP($I272,'[1]Table S6'!$A:$AI,10,FALSE)</f>
        <v>No</v>
      </c>
      <c r="T272">
        <f>VLOOKUP($I272,'[1]Table S6'!$A:$AI,12,FALSE)</f>
        <v>381.7</v>
      </c>
      <c r="U272">
        <f>VLOOKUP($I272,'[1]Table S6'!$A:$AI,13,FALSE)</f>
        <v>0.81230048946584399</v>
      </c>
      <c r="V272">
        <f>VLOOKUP($I272,'[1]Table S6'!$A:$AI,14,FALSE)</f>
        <v>8.7309999999999999</v>
      </c>
      <c r="W272" t="str">
        <f>VLOOKUP($I272,'[1]Table S6'!$A:$AI,15,FALSE)</f>
        <v>No</v>
      </c>
      <c r="Y272">
        <f>VLOOKUP($I272,'[1]Table S6'!$A:$AI,17,FALSE)</f>
        <v>395.2</v>
      </c>
      <c r="Z272">
        <f>VLOOKUP($I272,'[1]Table S6'!$A:$AI,18,FALSE)</f>
        <v>0.841030006384337</v>
      </c>
      <c r="AA272">
        <f>VLOOKUP($I272,'[1]Table S6'!$A:$AI,19,FALSE)</f>
        <v>24.62</v>
      </c>
      <c r="AB272" t="str">
        <f>VLOOKUP($I272,'[1]Table S6'!$A:$AI,20,FALSE)</f>
        <v>No</v>
      </c>
      <c r="AD272">
        <f>VLOOKUP($I272,'[1]Table S6'!$A:$AI,22,FALSE)</f>
        <v>383</v>
      </c>
      <c r="AE272">
        <f>VLOOKUP($I272,'[1]Table S6'!$A:$AI,23,FALSE)</f>
        <v>0.81506703553947701</v>
      </c>
      <c r="AF272">
        <f>VLOOKUP($I272,'[1]Table S6'!$A:$AI,24,FALSE)</f>
        <v>14.69</v>
      </c>
      <c r="AG272" t="str">
        <f>VLOOKUP($I272,'[1]Table S6'!$A:$AI,25,FALSE)</f>
        <v>No</v>
      </c>
      <c r="AI272">
        <f>VLOOKUP($I272,'[1]Table S6'!$A:$AI,27,FALSE)</f>
        <v>422.6</v>
      </c>
      <c r="AJ272">
        <f>VLOOKUP($I272,'[1]Table S6'!$A:$AI,28,FALSE)</f>
        <v>0.899340285167057</v>
      </c>
      <c r="AK272">
        <f>VLOOKUP($I272,'[1]Table S6'!$A:$AI,29,FALSE)</f>
        <v>90.72</v>
      </c>
      <c r="AL272" t="str">
        <f>VLOOKUP($I272,'[1]Table S6'!$A:$AI,30,FALSE)</f>
        <v>No</v>
      </c>
      <c r="AN272">
        <f>VLOOKUP($I272,'[1]Table S6'!$A:$AI,32,FALSE)</f>
        <v>433.8</v>
      </c>
      <c r="AO272">
        <f>VLOOKUP($I272,'[1]Table S6'!$A:$AI,33,FALSE)</f>
        <v>0.92317514364758502</v>
      </c>
      <c r="AP272">
        <f>VLOOKUP($I272,'[1]Table S6'!$A:$AI,34,FALSE)</f>
        <v>110.2</v>
      </c>
      <c r="AQ272" t="str">
        <f>VLOOKUP($I272,'[1]Table S6'!$A:$AI,35,FALSE)</f>
        <v>No</v>
      </c>
      <c r="AS272" t="e">
        <f>VLOOKUP($H272,'[2]Table S5'!$A:$K,8,FALSE)</f>
        <v>#N/A</v>
      </c>
      <c r="AT272" t="e">
        <f>VLOOKUP($H272,'[2]Table S5'!$A:$K,9,FALSE)</f>
        <v>#N/A</v>
      </c>
      <c r="AU272" t="e">
        <f>VLOOKUP($H272,'[2]Table S5'!$A:$K,10,FALSE)</f>
        <v>#N/A</v>
      </c>
      <c r="AV272" t="e">
        <f>VLOOKUP($H272,'[2]Table S5'!$A:$K,11,FALSE)</f>
        <v>#N/A</v>
      </c>
    </row>
    <row r="273" spans="1:48">
      <c r="A273" t="s">
        <v>2065</v>
      </c>
      <c r="B273" t="s">
        <v>2066</v>
      </c>
      <c r="C273" t="s">
        <v>17</v>
      </c>
      <c r="D273" t="s">
        <v>2068</v>
      </c>
      <c r="E273" t="s">
        <v>2069</v>
      </c>
      <c r="F273" t="s">
        <v>2070</v>
      </c>
      <c r="G273" t="s">
        <v>4757</v>
      </c>
      <c r="H273" t="s">
        <v>2071</v>
      </c>
      <c r="I273" t="s">
        <v>2071</v>
      </c>
      <c r="J273" t="e">
        <f>VLOOKUP($I273,'[1]Table S6'!$A:$AI,2,FALSE)</f>
        <v>#N/A</v>
      </c>
      <c r="K273" t="e">
        <f>VLOOKUP($I273,'[1]Table S6'!$A:$AI,3,FALSE)</f>
        <v>#N/A</v>
      </c>
      <c r="L273" t="e">
        <f>VLOOKUP($I273,'[1]Table S6'!$A:$AI,4,FALSE)</f>
        <v>#N/A</v>
      </c>
      <c r="M273" t="e">
        <f>VLOOKUP($I273,'[1]Table S6'!$A:$AI,5,FALSE)</f>
        <v>#N/A</v>
      </c>
      <c r="O273" t="e">
        <f>VLOOKUP($I273,'[1]Table S6'!$A:$AI,7,FALSE)</f>
        <v>#N/A</v>
      </c>
      <c r="P273" t="e">
        <f>VLOOKUP($I273,'[1]Table S6'!$A:$AI,8,FALSE)</f>
        <v>#N/A</v>
      </c>
      <c r="Q273" t="e">
        <f>VLOOKUP($I273,'[1]Table S6'!$A:$AI,9,FALSE)</f>
        <v>#N/A</v>
      </c>
      <c r="R273" t="e">
        <f>VLOOKUP($I273,'[1]Table S6'!$A:$AI,10,FALSE)</f>
        <v>#N/A</v>
      </c>
      <c r="T273" t="e">
        <f>VLOOKUP($I273,'[1]Table S6'!$A:$AI,12,FALSE)</f>
        <v>#N/A</v>
      </c>
      <c r="U273" t="e">
        <f>VLOOKUP($I273,'[1]Table S6'!$A:$AI,13,FALSE)</f>
        <v>#N/A</v>
      </c>
      <c r="V273" t="e">
        <f>VLOOKUP($I273,'[1]Table S6'!$A:$AI,14,FALSE)</f>
        <v>#N/A</v>
      </c>
      <c r="W273" t="e">
        <f>VLOOKUP($I273,'[1]Table S6'!$A:$AI,15,FALSE)</f>
        <v>#N/A</v>
      </c>
      <c r="Y273" t="e">
        <f>VLOOKUP($I273,'[1]Table S6'!$A:$AI,17,FALSE)</f>
        <v>#N/A</v>
      </c>
      <c r="Z273" t="e">
        <f>VLOOKUP($I273,'[1]Table S6'!$A:$AI,18,FALSE)</f>
        <v>#N/A</v>
      </c>
      <c r="AA273" t="e">
        <f>VLOOKUP($I273,'[1]Table S6'!$A:$AI,19,FALSE)</f>
        <v>#N/A</v>
      </c>
      <c r="AB273" t="e">
        <f>VLOOKUP($I273,'[1]Table S6'!$A:$AI,20,FALSE)</f>
        <v>#N/A</v>
      </c>
      <c r="AD273" t="e">
        <f>VLOOKUP($I273,'[1]Table S6'!$A:$AI,22,FALSE)</f>
        <v>#N/A</v>
      </c>
      <c r="AE273" t="e">
        <f>VLOOKUP($I273,'[1]Table S6'!$A:$AI,23,FALSE)</f>
        <v>#N/A</v>
      </c>
      <c r="AF273" t="e">
        <f>VLOOKUP($I273,'[1]Table S6'!$A:$AI,24,FALSE)</f>
        <v>#N/A</v>
      </c>
      <c r="AG273" t="e">
        <f>VLOOKUP($I273,'[1]Table S6'!$A:$AI,25,FALSE)</f>
        <v>#N/A</v>
      </c>
      <c r="AI273" t="e">
        <f>VLOOKUP($I273,'[1]Table S6'!$A:$AI,27,FALSE)</f>
        <v>#N/A</v>
      </c>
      <c r="AJ273" t="e">
        <f>VLOOKUP($I273,'[1]Table S6'!$A:$AI,28,FALSE)</f>
        <v>#N/A</v>
      </c>
      <c r="AK273" t="e">
        <f>VLOOKUP($I273,'[1]Table S6'!$A:$AI,29,FALSE)</f>
        <v>#N/A</v>
      </c>
      <c r="AL273" t="e">
        <f>VLOOKUP($I273,'[1]Table S6'!$A:$AI,30,FALSE)</f>
        <v>#N/A</v>
      </c>
      <c r="AN273" t="e">
        <f>VLOOKUP($I273,'[1]Table S6'!$A:$AI,32,FALSE)</f>
        <v>#N/A</v>
      </c>
      <c r="AO273" t="e">
        <f>VLOOKUP($I273,'[1]Table S6'!$A:$AI,33,FALSE)</f>
        <v>#N/A</v>
      </c>
      <c r="AP273" t="e">
        <f>VLOOKUP($I273,'[1]Table S6'!$A:$AI,34,FALSE)</f>
        <v>#N/A</v>
      </c>
      <c r="AQ273" t="e">
        <f>VLOOKUP($I273,'[1]Table S6'!$A:$AI,35,FALSE)</f>
        <v>#N/A</v>
      </c>
      <c r="AS273" t="e">
        <f>VLOOKUP($H273,'[2]Table S5'!$A:$K,8,FALSE)</f>
        <v>#N/A</v>
      </c>
      <c r="AT273" t="e">
        <f>VLOOKUP($H273,'[2]Table S5'!$A:$K,9,FALSE)</f>
        <v>#N/A</v>
      </c>
      <c r="AU273" t="e">
        <f>VLOOKUP($H273,'[2]Table S5'!$A:$K,10,FALSE)</f>
        <v>#N/A</v>
      </c>
      <c r="AV273" t="e">
        <f>VLOOKUP($H273,'[2]Table S5'!$A:$K,11,FALSE)</f>
        <v>#N/A</v>
      </c>
    </row>
    <row r="274" spans="1:48">
      <c r="A274" t="s">
        <v>2073</v>
      </c>
      <c r="B274" t="s">
        <v>2074</v>
      </c>
      <c r="C274" t="s">
        <v>17</v>
      </c>
      <c r="D274" t="s">
        <v>2076</v>
      </c>
      <c r="E274" t="s">
        <v>2077</v>
      </c>
      <c r="F274" t="s">
        <v>2078</v>
      </c>
      <c r="G274" t="s">
        <v>4750</v>
      </c>
      <c r="H274" t="s">
        <v>2071</v>
      </c>
      <c r="I274" t="s">
        <v>2071</v>
      </c>
      <c r="J274" t="e">
        <f>VLOOKUP($I274,'[1]Table S6'!$A:$AI,2,FALSE)</f>
        <v>#N/A</v>
      </c>
      <c r="K274" t="e">
        <f>VLOOKUP($I274,'[1]Table S6'!$A:$AI,3,FALSE)</f>
        <v>#N/A</v>
      </c>
      <c r="L274" t="e">
        <f>VLOOKUP($I274,'[1]Table S6'!$A:$AI,4,FALSE)</f>
        <v>#N/A</v>
      </c>
      <c r="M274" t="e">
        <f>VLOOKUP($I274,'[1]Table S6'!$A:$AI,5,FALSE)</f>
        <v>#N/A</v>
      </c>
      <c r="O274" t="e">
        <f>VLOOKUP($I274,'[1]Table S6'!$A:$AI,7,FALSE)</f>
        <v>#N/A</v>
      </c>
      <c r="P274" t="e">
        <f>VLOOKUP($I274,'[1]Table S6'!$A:$AI,8,FALSE)</f>
        <v>#N/A</v>
      </c>
      <c r="Q274" t="e">
        <f>VLOOKUP($I274,'[1]Table S6'!$A:$AI,9,FALSE)</f>
        <v>#N/A</v>
      </c>
      <c r="R274" t="e">
        <f>VLOOKUP($I274,'[1]Table S6'!$A:$AI,10,FALSE)</f>
        <v>#N/A</v>
      </c>
      <c r="T274" t="e">
        <f>VLOOKUP($I274,'[1]Table S6'!$A:$AI,12,FALSE)</f>
        <v>#N/A</v>
      </c>
      <c r="U274" t="e">
        <f>VLOOKUP($I274,'[1]Table S6'!$A:$AI,13,FALSE)</f>
        <v>#N/A</v>
      </c>
      <c r="V274" t="e">
        <f>VLOOKUP($I274,'[1]Table S6'!$A:$AI,14,FALSE)</f>
        <v>#N/A</v>
      </c>
      <c r="W274" t="e">
        <f>VLOOKUP($I274,'[1]Table S6'!$A:$AI,15,FALSE)</f>
        <v>#N/A</v>
      </c>
      <c r="Y274" t="e">
        <f>VLOOKUP($I274,'[1]Table S6'!$A:$AI,17,FALSE)</f>
        <v>#N/A</v>
      </c>
      <c r="Z274" t="e">
        <f>VLOOKUP($I274,'[1]Table S6'!$A:$AI,18,FALSE)</f>
        <v>#N/A</v>
      </c>
      <c r="AA274" t="e">
        <f>VLOOKUP($I274,'[1]Table S6'!$A:$AI,19,FALSE)</f>
        <v>#N/A</v>
      </c>
      <c r="AB274" t="e">
        <f>VLOOKUP($I274,'[1]Table S6'!$A:$AI,20,FALSE)</f>
        <v>#N/A</v>
      </c>
      <c r="AD274" t="e">
        <f>VLOOKUP($I274,'[1]Table S6'!$A:$AI,22,FALSE)</f>
        <v>#N/A</v>
      </c>
      <c r="AE274" t="e">
        <f>VLOOKUP($I274,'[1]Table S6'!$A:$AI,23,FALSE)</f>
        <v>#N/A</v>
      </c>
      <c r="AF274" t="e">
        <f>VLOOKUP($I274,'[1]Table S6'!$A:$AI,24,FALSE)</f>
        <v>#N/A</v>
      </c>
      <c r="AG274" t="e">
        <f>VLOOKUP($I274,'[1]Table S6'!$A:$AI,25,FALSE)</f>
        <v>#N/A</v>
      </c>
      <c r="AI274" t="e">
        <f>VLOOKUP($I274,'[1]Table S6'!$A:$AI,27,FALSE)</f>
        <v>#N/A</v>
      </c>
      <c r="AJ274" t="e">
        <f>VLOOKUP($I274,'[1]Table S6'!$A:$AI,28,FALSE)</f>
        <v>#N/A</v>
      </c>
      <c r="AK274" t="e">
        <f>VLOOKUP($I274,'[1]Table S6'!$A:$AI,29,FALSE)</f>
        <v>#N/A</v>
      </c>
      <c r="AL274" t="e">
        <f>VLOOKUP($I274,'[1]Table S6'!$A:$AI,30,FALSE)</f>
        <v>#N/A</v>
      </c>
      <c r="AN274" t="e">
        <f>VLOOKUP($I274,'[1]Table S6'!$A:$AI,32,FALSE)</f>
        <v>#N/A</v>
      </c>
      <c r="AO274" t="e">
        <f>VLOOKUP($I274,'[1]Table S6'!$A:$AI,33,FALSE)</f>
        <v>#N/A</v>
      </c>
      <c r="AP274" t="e">
        <f>VLOOKUP($I274,'[1]Table S6'!$A:$AI,34,FALSE)</f>
        <v>#N/A</v>
      </c>
      <c r="AQ274" t="e">
        <f>VLOOKUP($I274,'[1]Table S6'!$A:$AI,35,FALSE)</f>
        <v>#N/A</v>
      </c>
      <c r="AS274" t="e">
        <f>VLOOKUP($H274,'[2]Table S5'!$A:$K,8,FALSE)</f>
        <v>#N/A</v>
      </c>
      <c r="AT274" t="e">
        <f>VLOOKUP($H274,'[2]Table S5'!$A:$K,9,FALSE)</f>
        <v>#N/A</v>
      </c>
      <c r="AU274" t="e">
        <f>VLOOKUP($H274,'[2]Table S5'!$A:$K,10,FALSE)</f>
        <v>#N/A</v>
      </c>
      <c r="AV274" t="e">
        <f>VLOOKUP($H274,'[2]Table S5'!$A:$K,11,FALSE)</f>
        <v>#N/A</v>
      </c>
    </row>
    <row r="275" spans="1:48">
      <c r="A275" t="s">
        <v>2080</v>
      </c>
      <c r="B275" t="s">
        <v>2081</v>
      </c>
      <c r="C275" t="s">
        <v>17</v>
      </c>
      <c r="D275" t="s">
        <v>2083</v>
      </c>
      <c r="E275" t="s">
        <v>2084</v>
      </c>
      <c r="F275" t="s">
        <v>2085</v>
      </c>
      <c r="G275" t="s">
        <v>4757</v>
      </c>
      <c r="H275" t="s">
        <v>2086</v>
      </c>
      <c r="I275" t="s">
        <v>2086</v>
      </c>
      <c r="J275" t="e">
        <f>VLOOKUP($I275,'[1]Table S6'!$A:$AI,2,FALSE)</f>
        <v>#N/A</v>
      </c>
      <c r="K275" t="e">
        <f>VLOOKUP($I275,'[1]Table S6'!$A:$AI,3,FALSE)</f>
        <v>#N/A</v>
      </c>
      <c r="L275" t="e">
        <f>VLOOKUP($I275,'[1]Table S6'!$A:$AI,4,FALSE)</f>
        <v>#N/A</v>
      </c>
      <c r="M275" t="e">
        <f>VLOOKUP($I275,'[1]Table S6'!$A:$AI,5,FALSE)</f>
        <v>#N/A</v>
      </c>
      <c r="O275" t="e">
        <f>VLOOKUP($I275,'[1]Table S6'!$A:$AI,7,FALSE)</f>
        <v>#N/A</v>
      </c>
      <c r="P275" t="e">
        <f>VLOOKUP($I275,'[1]Table S6'!$A:$AI,8,FALSE)</f>
        <v>#N/A</v>
      </c>
      <c r="Q275" t="e">
        <f>VLOOKUP($I275,'[1]Table S6'!$A:$AI,9,FALSE)</f>
        <v>#N/A</v>
      </c>
      <c r="R275" t="e">
        <f>VLOOKUP($I275,'[1]Table S6'!$A:$AI,10,FALSE)</f>
        <v>#N/A</v>
      </c>
      <c r="T275" t="e">
        <f>VLOOKUP($I275,'[1]Table S6'!$A:$AI,12,FALSE)</f>
        <v>#N/A</v>
      </c>
      <c r="U275" t="e">
        <f>VLOOKUP($I275,'[1]Table S6'!$A:$AI,13,FALSE)</f>
        <v>#N/A</v>
      </c>
      <c r="V275" t="e">
        <f>VLOOKUP($I275,'[1]Table S6'!$A:$AI,14,FALSE)</f>
        <v>#N/A</v>
      </c>
      <c r="W275" t="e">
        <f>VLOOKUP($I275,'[1]Table S6'!$A:$AI,15,FALSE)</f>
        <v>#N/A</v>
      </c>
      <c r="Y275" t="e">
        <f>VLOOKUP($I275,'[1]Table S6'!$A:$AI,17,FALSE)</f>
        <v>#N/A</v>
      </c>
      <c r="Z275" t="e">
        <f>VLOOKUP($I275,'[1]Table S6'!$A:$AI,18,FALSE)</f>
        <v>#N/A</v>
      </c>
      <c r="AA275" t="e">
        <f>VLOOKUP($I275,'[1]Table S6'!$A:$AI,19,FALSE)</f>
        <v>#N/A</v>
      </c>
      <c r="AB275" t="e">
        <f>VLOOKUP($I275,'[1]Table S6'!$A:$AI,20,FALSE)</f>
        <v>#N/A</v>
      </c>
      <c r="AD275" t="e">
        <f>VLOOKUP($I275,'[1]Table S6'!$A:$AI,22,FALSE)</f>
        <v>#N/A</v>
      </c>
      <c r="AE275" t="e">
        <f>VLOOKUP($I275,'[1]Table S6'!$A:$AI,23,FALSE)</f>
        <v>#N/A</v>
      </c>
      <c r="AF275" t="e">
        <f>VLOOKUP($I275,'[1]Table S6'!$A:$AI,24,FALSE)</f>
        <v>#N/A</v>
      </c>
      <c r="AG275" t="e">
        <f>VLOOKUP($I275,'[1]Table S6'!$A:$AI,25,FALSE)</f>
        <v>#N/A</v>
      </c>
      <c r="AI275" t="e">
        <f>VLOOKUP($I275,'[1]Table S6'!$A:$AI,27,FALSE)</f>
        <v>#N/A</v>
      </c>
      <c r="AJ275" t="e">
        <f>VLOOKUP($I275,'[1]Table S6'!$A:$AI,28,FALSE)</f>
        <v>#N/A</v>
      </c>
      <c r="AK275" t="e">
        <f>VLOOKUP($I275,'[1]Table S6'!$A:$AI,29,FALSE)</f>
        <v>#N/A</v>
      </c>
      <c r="AL275" t="e">
        <f>VLOOKUP($I275,'[1]Table S6'!$A:$AI,30,FALSE)</f>
        <v>#N/A</v>
      </c>
      <c r="AN275" t="e">
        <f>VLOOKUP($I275,'[1]Table S6'!$A:$AI,32,FALSE)</f>
        <v>#N/A</v>
      </c>
      <c r="AO275" t="e">
        <f>VLOOKUP($I275,'[1]Table S6'!$A:$AI,33,FALSE)</f>
        <v>#N/A</v>
      </c>
      <c r="AP275" t="e">
        <f>VLOOKUP($I275,'[1]Table S6'!$A:$AI,34,FALSE)</f>
        <v>#N/A</v>
      </c>
      <c r="AQ275" t="e">
        <f>VLOOKUP($I275,'[1]Table S6'!$A:$AI,35,FALSE)</f>
        <v>#N/A</v>
      </c>
      <c r="AS275" t="e">
        <f>VLOOKUP($H275,'[2]Table S5'!$A:$K,8,FALSE)</f>
        <v>#N/A</v>
      </c>
      <c r="AT275" t="e">
        <f>VLOOKUP($H275,'[2]Table S5'!$A:$K,9,FALSE)</f>
        <v>#N/A</v>
      </c>
      <c r="AU275" t="e">
        <f>VLOOKUP($H275,'[2]Table S5'!$A:$K,10,FALSE)</f>
        <v>#N/A</v>
      </c>
      <c r="AV275" t="e">
        <f>VLOOKUP($H275,'[2]Table S5'!$A:$K,11,FALSE)</f>
        <v>#N/A</v>
      </c>
    </row>
    <row r="276" spans="1:48">
      <c r="A276" t="s">
        <v>2088</v>
      </c>
      <c r="B276" t="s">
        <v>2089</v>
      </c>
      <c r="C276" t="s">
        <v>17</v>
      </c>
      <c r="D276" t="s">
        <v>2091</v>
      </c>
      <c r="E276" t="s">
        <v>2092</v>
      </c>
      <c r="F276" t="s">
        <v>2093</v>
      </c>
      <c r="G276" t="s">
        <v>4750</v>
      </c>
      <c r="H276" t="s">
        <v>2086</v>
      </c>
      <c r="I276" t="s">
        <v>2086</v>
      </c>
      <c r="J276" t="e">
        <f>VLOOKUP($I276,'[1]Table S6'!$A:$AI,2,FALSE)</f>
        <v>#N/A</v>
      </c>
      <c r="K276" t="e">
        <f>VLOOKUP($I276,'[1]Table S6'!$A:$AI,3,FALSE)</f>
        <v>#N/A</v>
      </c>
      <c r="L276" t="e">
        <f>VLOOKUP($I276,'[1]Table S6'!$A:$AI,4,FALSE)</f>
        <v>#N/A</v>
      </c>
      <c r="M276" t="e">
        <f>VLOOKUP($I276,'[1]Table S6'!$A:$AI,5,FALSE)</f>
        <v>#N/A</v>
      </c>
      <c r="O276" t="e">
        <f>VLOOKUP($I276,'[1]Table S6'!$A:$AI,7,FALSE)</f>
        <v>#N/A</v>
      </c>
      <c r="P276" t="e">
        <f>VLOOKUP($I276,'[1]Table S6'!$A:$AI,8,FALSE)</f>
        <v>#N/A</v>
      </c>
      <c r="Q276" t="e">
        <f>VLOOKUP($I276,'[1]Table S6'!$A:$AI,9,FALSE)</f>
        <v>#N/A</v>
      </c>
      <c r="R276" t="e">
        <f>VLOOKUP($I276,'[1]Table S6'!$A:$AI,10,FALSE)</f>
        <v>#N/A</v>
      </c>
      <c r="T276" t="e">
        <f>VLOOKUP($I276,'[1]Table S6'!$A:$AI,12,FALSE)</f>
        <v>#N/A</v>
      </c>
      <c r="U276" t="e">
        <f>VLOOKUP($I276,'[1]Table S6'!$A:$AI,13,FALSE)</f>
        <v>#N/A</v>
      </c>
      <c r="V276" t="e">
        <f>VLOOKUP($I276,'[1]Table S6'!$A:$AI,14,FALSE)</f>
        <v>#N/A</v>
      </c>
      <c r="W276" t="e">
        <f>VLOOKUP($I276,'[1]Table S6'!$A:$AI,15,FALSE)</f>
        <v>#N/A</v>
      </c>
      <c r="Y276" t="e">
        <f>VLOOKUP($I276,'[1]Table S6'!$A:$AI,17,FALSE)</f>
        <v>#N/A</v>
      </c>
      <c r="Z276" t="e">
        <f>VLOOKUP($I276,'[1]Table S6'!$A:$AI,18,FALSE)</f>
        <v>#N/A</v>
      </c>
      <c r="AA276" t="e">
        <f>VLOOKUP($I276,'[1]Table S6'!$A:$AI,19,FALSE)</f>
        <v>#N/A</v>
      </c>
      <c r="AB276" t="e">
        <f>VLOOKUP($I276,'[1]Table S6'!$A:$AI,20,FALSE)</f>
        <v>#N/A</v>
      </c>
      <c r="AD276" t="e">
        <f>VLOOKUP($I276,'[1]Table S6'!$A:$AI,22,FALSE)</f>
        <v>#N/A</v>
      </c>
      <c r="AE276" t="e">
        <f>VLOOKUP($I276,'[1]Table S6'!$A:$AI,23,FALSE)</f>
        <v>#N/A</v>
      </c>
      <c r="AF276" t="e">
        <f>VLOOKUP($I276,'[1]Table S6'!$A:$AI,24,FALSE)</f>
        <v>#N/A</v>
      </c>
      <c r="AG276" t="e">
        <f>VLOOKUP($I276,'[1]Table S6'!$A:$AI,25,FALSE)</f>
        <v>#N/A</v>
      </c>
      <c r="AI276" t="e">
        <f>VLOOKUP($I276,'[1]Table S6'!$A:$AI,27,FALSE)</f>
        <v>#N/A</v>
      </c>
      <c r="AJ276" t="e">
        <f>VLOOKUP($I276,'[1]Table S6'!$A:$AI,28,FALSE)</f>
        <v>#N/A</v>
      </c>
      <c r="AK276" t="e">
        <f>VLOOKUP($I276,'[1]Table S6'!$A:$AI,29,FALSE)</f>
        <v>#N/A</v>
      </c>
      <c r="AL276" t="e">
        <f>VLOOKUP($I276,'[1]Table S6'!$A:$AI,30,FALSE)</f>
        <v>#N/A</v>
      </c>
      <c r="AN276" t="e">
        <f>VLOOKUP($I276,'[1]Table S6'!$A:$AI,32,FALSE)</f>
        <v>#N/A</v>
      </c>
      <c r="AO276" t="e">
        <f>VLOOKUP($I276,'[1]Table S6'!$A:$AI,33,FALSE)</f>
        <v>#N/A</v>
      </c>
      <c r="AP276" t="e">
        <f>VLOOKUP($I276,'[1]Table S6'!$A:$AI,34,FALSE)</f>
        <v>#N/A</v>
      </c>
      <c r="AQ276" t="e">
        <f>VLOOKUP($I276,'[1]Table S6'!$A:$AI,35,FALSE)</f>
        <v>#N/A</v>
      </c>
      <c r="AS276" t="e">
        <f>VLOOKUP($H276,'[2]Table S5'!$A:$K,8,FALSE)</f>
        <v>#N/A</v>
      </c>
      <c r="AT276" t="e">
        <f>VLOOKUP($H276,'[2]Table S5'!$A:$K,9,FALSE)</f>
        <v>#N/A</v>
      </c>
      <c r="AU276" t="e">
        <f>VLOOKUP($H276,'[2]Table S5'!$A:$K,10,FALSE)</f>
        <v>#N/A</v>
      </c>
      <c r="AV276" t="e">
        <f>VLOOKUP($H276,'[2]Table S5'!$A:$K,11,FALSE)</f>
        <v>#N/A</v>
      </c>
    </row>
    <row r="277" spans="1:48">
      <c r="A277" t="s">
        <v>2095</v>
      </c>
      <c r="B277" t="s">
        <v>2096</v>
      </c>
      <c r="C277" t="s">
        <v>17</v>
      </c>
      <c r="D277" t="s">
        <v>2098</v>
      </c>
      <c r="E277" t="s">
        <v>2099</v>
      </c>
      <c r="F277" t="s">
        <v>2100</v>
      </c>
      <c r="G277" t="s">
        <v>4757</v>
      </c>
      <c r="H277" t="s">
        <v>2101</v>
      </c>
      <c r="I277" t="s">
        <v>2101</v>
      </c>
      <c r="J277" t="e">
        <f>VLOOKUP($I277,'[1]Table S6'!$A:$AI,2,FALSE)</f>
        <v>#N/A</v>
      </c>
      <c r="K277" t="e">
        <f>VLOOKUP($I277,'[1]Table S6'!$A:$AI,3,FALSE)</f>
        <v>#N/A</v>
      </c>
      <c r="L277" t="e">
        <f>VLOOKUP($I277,'[1]Table S6'!$A:$AI,4,FALSE)</f>
        <v>#N/A</v>
      </c>
      <c r="M277" t="e">
        <f>VLOOKUP($I277,'[1]Table S6'!$A:$AI,5,FALSE)</f>
        <v>#N/A</v>
      </c>
      <c r="O277" t="e">
        <f>VLOOKUP($I277,'[1]Table S6'!$A:$AI,7,FALSE)</f>
        <v>#N/A</v>
      </c>
      <c r="P277" t="e">
        <f>VLOOKUP($I277,'[1]Table S6'!$A:$AI,8,FALSE)</f>
        <v>#N/A</v>
      </c>
      <c r="Q277" t="e">
        <f>VLOOKUP($I277,'[1]Table S6'!$A:$AI,9,FALSE)</f>
        <v>#N/A</v>
      </c>
      <c r="R277" t="e">
        <f>VLOOKUP($I277,'[1]Table S6'!$A:$AI,10,FALSE)</f>
        <v>#N/A</v>
      </c>
      <c r="T277" t="e">
        <f>VLOOKUP($I277,'[1]Table S6'!$A:$AI,12,FALSE)</f>
        <v>#N/A</v>
      </c>
      <c r="U277" t="e">
        <f>VLOOKUP($I277,'[1]Table S6'!$A:$AI,13,FALSE)</f>
        <v>#N/A</v>
      </c>
      <c r="V277" t="e">
        <f>VLOOKUP($I277,'[1]Table S6'!$A:$AI,14,FALSE)</f>
        <v>#N/A</v>
      </c>
      <c r="W277" t="e">
        <f>VLOOKUP($I277,'[1]Table S6'!$A:$AI,15,FALSE)</f>
        <v>#N/A</v>
      </c>
      <c r="Y277" t="e">
        <f>VLOOKUP($I277,'[1]Table S6'!$A:$AI,17,FALSE)</f>
        <v>#N/A</v>
      </c>
      <c r="Z277" t="e">
        <f>VLOOKUP($I277,'[1]Table S6'!$A:$AI,18,FALSE)</f>
        <v>#N/A</v>
      </c>
      <c r="AA277" t="e">
        <f>VLOOKUP($I277,'[1]Table S6'!$A:$AI,19,FALSE)</f>
        <v>#N/A</v>
      </c>
      <c r="AB277" t="e">
        <f>VLOOKUP($I277,'[1]Table S6'!$A:$AI,20,FALSE)</f>
        <v>#N/A</v>
      </c>
      <c r="AD277" t="e">
        <f>VLOOKUP($I277,'[1]Table S6'!$A:$AI,22,FALSE)</f>
        <v>#N/A</v>
      </c>
      <c r="AE277" t="e">
        <f>VLOOKUP($I277,'[1]Table S6'!$A:$AI,23,FALSE)</f>
        <v>#N/A</v>
      </c>
      <c r="AF277" t="e">
        <f>VLOOKUP($I277,'[1]Table S6'!$A:$AI,24,FALSE)</f>
        <v>#N/A</v>
      </c>
      <c r="AG277" t="e">
        <f>VLOOKUP($I277,'[1]Table S6'!$A:$AI,25,FALSE)</f>
        <v>#N/A</v>
      </c>
      <c r="AI277" t="e">
        <f>VLOOKUP($I277,'[1]Table S6'!$A:$AI,27,FALSE)</f>
        <v>#N/A</v>
      </c>
      <c r="AJ277" t="e">
        <f>VLOOKUP($I277,'[1]Table S6'!$A:$AI,28,FALSE)</f>
        <v>#N/A</v>
      </c>
      <c r="AK277" t="e">
        <f>VLOOKUP($I277,'[1]Table S6'!$A:$AI,29,FALSE)</f>
        <v>#N/A</v>
      </c>
      <c r="AL277" t="e">
        <f>VLOOKUP($I277,'[1]Table S6'!$A:$AI,30,FALSE)</f>
        <v>#N/A</v>
      </c>
      <c r="AN277" t="e">
        <f>VLOOKUP($I277,'[1]Table S6'!$A:$AI,32,FALSE)</f>
        <v>#N/A</v>
      </c>
      <c r="AO277" t="e">
        <f>VLOOKUP($I277,'[1]Table S6'!$A:$AI,33,FALSE)</f>
        <v>#N/A</v>
      </c>
      <c r="AP277" t="e">
        <f>VLOOKUP($I277,'[1]Table S6'!$A:$AI,34,FALSE)</f>
        <v>#N/A</v>
      </c>
      <c r="AQ277" t="e">
        <f>VLOOKUP($I277,'[1]Table S6'!$A:$AI,35,FALSE)</f>
        <v>#N/A</v>
      </c>
      <c r="AS277" t="e">
        <f>VLOOKUP($H277,'[2]Table S5'!$A:$K,8,FALSE)</f>
        <v>#N/A</v>
      </c>
      <c r="AT277" t="e">
        <f>VLOOKUP($H277,'[2]Table S5'!$A:$K,9,FALSE)</f>
        <v>#N/A</v>
      </c>
      <c r="AU277" t="e">
        <f>VLOOKUP($H277,'[2]Table S5'!$A:$K,10,FALSE)</f>
        <v>#N/A</v>
      </c>
      <c r="AV277" t="e">
        <f>VLOOKUP($H277,'[2]Table S5'!$A:$K,11,FALSE)</f>
        <v>#N/A</v>
      </c>
    </row>
    <row r="278" spans="1:48">
      <c r="A278" t="s">
        <v>2103</v>
      </c>
      <c r="B278" t="s">
        <v>2104</v>
      </c>
      <c r="C278" t="s">
        <v>17</v>
      </c>
      <c r="D278" t="s">
        <v>2106</v>
      </c>
      <c r="E278" t="s">
        <v>2107</v>
      </c>
      <c r="F278" t="s">
        <v>2108</v>
      </c>
      <c r="G278" t="s">
        <v>4750</v>
      </c>
      <c r="H278" t="s">
        <v>2101</v>
      </c>
      <c r="I278" t="s">
        <v>2101</v>
      </c>
      <c r="J278" t="e">
        <f>VLOOKUP($I278,'[1]Table S6'!$A:$AI,2,FALSE)</f>
        <v>#N/A</v>
      </c>
      <c r="K278" t="e">
        <f>VLOOKUP($I278,'[1]Table S6'!$A:$AI,3,FALSE)</f>
        <v>#N/A</v>
      </c>
      <c r="L278" t="e">
        <f>VLOOKUP($I278,'[1]Table S6'!$A:$AI,4,FALSE)</f>
        <v>#N/A</v>
      </c>
      <c r="M278" t="e">
        <f>VLOOKUP($I278,'[1]Table S6'!$A:$AI,5,FALSE)</f>
        <v>#N/A</v>
      </c>
      <c r="O278" t="e">
        <f>VLOOKUP($I278,'[1]Table S6'!$A:$AI,7,FALSE)</f>
        <v>#N/A</v>
      </c>
      <c r="P278" t="e">
        <f>VLOOKUP($I278,'[1]Table S6'!$A:$AI,8,FALSE)</f>
        <v>#N/A</v>
      </c>
      <c r="Q278" t="e">
        <f>VLOOKUP($I278,'[1]Table S6'!$A:$AI,9,FALSE)</f>
        <v>#N/A</v>
      </c>
      <c r="R278" t="e">
        <f>VLOOKUP($I278,'[1]Table S6'!$A:$AI,10,FALSE)</f>
        <v>#N/A</v>
      </c>
      <c r="T278" t="e">
        <f>VLOOKUP($I278,'[1]Table S6'!$A:$AI,12,FALSE)</f>
        <v>#N/A</v>
      </c>
      <c r="U278" t="e">
        <f>VLOOKUP($I278,'[1]Table S6'!$A:$AI,13,FALSE)</f>
        <v>#N/A</v>
      </c>
      <c r="V278" t="e">
        <f>VLOOKUP($I278,'[1]Table S6'!$A:$AI,14,FALSE)</f>
        <v>#N/A</v>
      </c>
      <c r="W278" t="e">
        <f>VLOOKUP($I278,'[1]Table S6'!$A:$AI,15,FALSE)</f>
        <v>#N/A</v>
      </c>
      <c r="Y278" t="e">
        <f>VLOOKUP($I278,'[1]Table S6'!$A:$AI,17,FALSE)</f>
        <v>#N/A</v>
      </c>
      <c r="Z278" t="e">
        <f>VLOOKUP($I278,'[1]Table S6'!$A:$AI,18,FALSE)</f>
        <v>#N/A</v>
      </c>
      <c r="AA278" t="e">
        <f>VLOOKUP($I278,'[1]Table S6'!$A:$AI,19,FALSE)</f>
        <v>#N/A</v>
      </c>
      <c r="AB278" t="e">
        <f>VLOOKUP($I278,'[1]Table S6'!$A:$AI,20,FALSE)</f>
        <v>#N/A</v>
      </c>
      <c r="AD278" t="e">
        <f>VLOOKUP($I278,'[1]Table S6'!$A:$AI,22,FALSE)</f>
        <v>#N/A</v>
      </c>
      <c r="AE278" t="e">
        <f>VLOOKUP($I278,'[1]Table S6'!$A:$AI,23,FALSE)</f>
        <v>#N/A</v>
      </c>
      <c r="AF278" t="e">
        <f>VLOOKUP($I278,'[1]Table S6'!$A:$AI,24,FALSE)</f>
        <v>#N/A</v>
      </c>
      <c r="AG278" t="e">
        <f>VLOOKUP($I278,'[1]Table S6'!$A:$AI,25,FALSE)</f>
        <v>#N/A</v>
      </c>
      <c r="AI278" t="e">
        <f>VLOOKUP($I278,'[1]Table S6'!$A:$AI,27,FALSE)</f>
        <v>#N/A</v>
      </c>
      <c r="AJ278" t="e">
        <f>VLOOKUP($I278,'[1]Table S6'!$A:$AI,28,FALSE)</f>
        <v>#N/A</v>
      </c>
      <c r="AK278" t="e">
        <f>VLOOKUP($I278,'[1]Table S6'!$A:$AI,29,FALSE)</f>
        <v>#N/A</v>
      </c>
      <c r="AL278" t="e">
        <f>VLOOKUP($I278,'[1]Table S6'!$A:$AI,30,FALSE)</f>
        <v>#N/A</v>
      </c>
      <c r="AN278" t="e">
        <f>VLOOKUP($I278,'[1]Table S6'!$A:$AI,32,FALSE)</f>
        <v>#N/A</v>
      </c>
      <c r="AO278" t="e">
        <f>VLOOKUP($I278,'[1]Table S6'!$A:$AI,33,FALSE)</f>
        <v>#N/A</v>
      </c>
      <c r="AP278" t="e">
        <f>VLOOKUP($I278,'[1]Table S6'!$A:$AI,34,FALSE)</f>
        <v>#N/A</v>
      </c>
      <c r="AQ278" t="e">
        <f>VLOOKUP($I278,'[1]Table S6'!$A:$AI,35,FALSE)</f>
        <v>#N/A</v>
      </c>
      <c r="AS278" t="e">
        <f>VLOOKUP($H278,'[2]Table S5'!$A:$K,8,FALSE)</f>
        <v>#N/A</v>
      </c>
      <c r="AT278" t="e">
        <f>VLOOKUP($H278,'[2]Table S5'!$A:$K,9,FALSE)</f>
        <v>#N/A</v>
      </c>
      <c r="AU278" t="e">
        <f>VLOOKUP($H278,'[2]Table S5'!$A:$K,10,FALSE)</f>
        <v>#N/A</v>
      </c>
      <c r="AV278" t="e">
        <f>VLOOKUP($H278,'[2]Table S5'!$A:$K,11,FALSE)</f>
        <v>#N/A</v>
      </c>
    </row>
    <row r="279" spans="1:48">
      <c r="A279" t="s">
        <v>2110</v>
      </c>
      <c r="B279" t="s">
        <v>2111</v>
      </c>
      <c r="C279" t="s">
        <v>17</v>
      </c>
      <c r="D279" t="s">
        <v>2113</v>
      </c>
      <c r="E279" t="s">
        <v>2114</v>
      </c>
      <c r="F279" t="s">
        <v>2115</v>
      </c>
      <c r="G279" t="s">
        <v>4750</v>
      </c>
      <c r="H279" t="s">
        <v>2116</v>
      </c>
      <c r="I279" t="s">
        <v>2116</v>
      </c>
      <c r="J279" t="e">
        <f>VLOOKUP($I279,'[1]Table S6'!$A:$AI,2,FALSE)</f>
        <v>#N/A</v>
      </c>
      <c r="K279" t="e">
        <f>VLOOKUP($I279,'[1]Table S6'!$A:$AI,3,FALSE)</f>
        <v>#N/A</v>
      </c>
      <c r="L279" t="e">
        <f>VLOOKUP($I279,'[1]Table S6'!$A:$AI,4,FALSE)</f>
        <v>#N/A</v>
      </c>
      <c r="M279" t="e">
        <f>VLOOKUP($I279,'[1]Table S6'!$A:$AI,5,FALSE)</f>
        <v>#N/A</v>
      </c>
      <c r="O279" t="e">
        <f>VLOOKUP($I279,'[1]Table S6'!$A:$AI,7,FALSE)</f>
        <v>#N/A</v>
      </c>
      <c r="P279" t="e">
        <f>VLOOKUP($I279,'[1]Table S6'!$A:$AI,8,FALSE)</f>
        <v>#N/A</v>
      </c>
      <c r="Q279" t="e">
        <f>VLOOKUP($I279,'[1]Table S6'!$A:$AI,9,FALSE)</f>
        <v>#N/A</v>
      </c>
      <c r="R279" t="e">
        <f>VLOOKUP($I279,'[1]Table S6'!$A:$AI,10,FALSE)</f>
        <v>#N/A</v>
      </c>
      <c r="T279" t="e">
        <f>VLOOKUP($I279,'[1]Table S6'!$A:$AI,12,FALSE)</f>
        <v>#N/A</v>
      </c>
      <c r="U279" t="e">
        <f>VLOOKUP($I279,'[1]Table S6'!$A:$AI,13,FALSE)</f>
        <v>#N/A</v>
      </c>
      <c r="V279" t="e">
        <f>VLOOKUP($I279,'[1]Table S6'!$A:$AI,14,FALSE)</f>
        <v>#N/A</v>
      </c>
      <c r="W279" t="e">
        <f>VLOOKUP($I279,'[1]Table S6'!$A:$AI,15,FALSE)</f>
        <v>#N/A</v>
      </c>
      <c r="Y279" t="e">
        <f>VLOOKUP($I279,'[1]Table S6'!$A:$AI,17,FALSE)</f>
        <v>#N/A</v>
      </c>
      <c r="Z279" t="e">
        <f>VLOOKUP($I279,'[1]Table S6'!$A:$AI,18,FALSE)</f>
        <v>#N/A</v>
      </c>
      <c r="AA279" t="e">
        <f>VLOOKUP($I279,'[1]Table S6'!$A:$AI,19,FALSE)</f>
        <v>#N/A</v>
      </c>
      <c r="AB279" t="e">
        <f>VLOOKUP($I279,'[1]Table S6'!$A:$AI,20,FALSE)</f>
        <v>#N/A</v>
      </c>
      <c r="AD279" t="e">
        <f>VLOOKUP($I279,'[1]Table S6'!$A:$AI,22,FALSE)</f>
        <v>#N/A</v>
      </c>
      <c r="AE279" t="e">
        <f>VLOOKUP($I279,'[1]Table S6'!$A:$AI,23,FALSE)</f>
        <v>#N/A</v>
      </c>
      <c r="AF279" t="e">
        <f>VLOOKUP($I279,'[1]Table S6'!$A:$AI,24,FALSE)</f>
        <v>#N/A</v>
      </c>
      <c r="AG279" t="e">
        <f>VLOOKUP($I279,'[1]Table S6'!$A:$AI,25,FALSE)</f>
        <v>#N/A</v>
      </c>
      <c r="AI279" t="e">
        <f>VLOOKUP($I279,'[1]Table S6'!$A:$AI,27,FALSE)</f>
        <v>#N/A</v>
      </c>
      <c r="AJ279" t="e">
        <f>VLOOKUP($I279,'[1]Table S6'!$A:$AI,28,FALSE)</f>
        <v>#N/A</v>
      </c>
      <c r="AK279" t="e">
        <f>VLOOKUP($I279,'[1]Table S6'!$A:$AI,29,FALSE)</f>
        <v>#N/A</v>
      </c>
      <c r="AL279" t="e">
        <f>VLOOKUP($I279,'[1]Table S6'!$A:$AI,30,FALSE)</f>
        <v>#N/A</v>
      </c>
      <c r="AN279" t="e">
        <f>VLOOKUP($I279,'[1]Table S6'!$A:$AI,32,FALSE)</f>
        <v>#N/A</v>
      </c>
      <c r="AO279" t="e">
        <f>VLOOKUP($I279,'[1]Table S6'!$A:$AI,33,FALSE)</f>
        <v>#N/A</v>
      </c>
      <c r="AP279" t="e">
        <f>VLOOKUP($I279,'[1]Table S6'!$A:$AI,34,FALSE)</f>
        <v>#N/A</v>
      </c>
      <c r="AQ279" t="e">
        <f>VLOOKUP($I279,'[1]Table S6'!$A:$AI,35,FALSE)</f>
        <v>#N/A</v>
      </c>
      <c r="AS279" t="e">
        <f>VLOOKUP($H279,'[2]Table S5'!$A:$K,8,FALSE)</f>
        <v>#N/A</v>
      </c>
      <c r="AT279" t="e">
        <f>VLOOKUP($H279,'[2]Table S5'!$A:$K,9,FALSE)</f>
        <v>#N/A</v>
      </c>
      <c r="AU279" t="e">
        <f>VLOOKUP($H279,'[2]Table S5'!$A:$K,10,FALSE)</f>
        <v>#N/A</v>
      </c>
      <c r="AV279" t="e">
        <f>VLOOKUP($H279,'[2]Table S5'!$A:$K,11,FALSE)</f>
        <v>#N/A</v>
      </c>
    </row>
    <row r="280" spans="1:48">
      <c r="A280" t="s">
        <v>2118</v>
      </c>
      <c r="B280" t="s">
        <v>2119</v>
      </c>
      <c r="C280" t="s">
        <v>17</v>
      </c>
      <c r="D280" t="s">
        <v>2121</v>
      </c>
      <c r="E280" t="s">
        <v>2122</v>
      </c>
      <c r="F280" t="s">
        <v>2123</v>
      </c>
      <c r="G280" t="s">
        <v>4757</v>
      </c>
      <c r="H280" t="s">
        <v>2116</v>
      </c>
      <c r="I280" t="s">
        <v>2116</v>
      </c>
      <c r="J280" t="e">
        <f>VLOOKUP($I280,'[1]Table S6'!$A:$AI,2,FALSE)</f>
        <v>#N/A</v>
      </c>
      <c r="K280" t="e">
        <f>VLOOKUP($I280,'[1]Table S6'!$A:$AI,3,FALSE)</f>
        <v>#N/A</v>
      </c>
      <c r="L280" t="e">
        <f>VLOOKUP($I280,'[1]Table S6'!$A:$AI,4,FALSE)</f>
        <v>#N/A</v>
      </c>
      <c r="M280" t="e">
        <f>VLOOKUP($I280,'[1]Table S6'!$A:$AI,5,FALSE)</f>
        <v>#N/A</v>
      </c>
      <c r="O280" t="e">
        <f>VLOOKUP($I280,'[1]Table S6'!$A:$AI,7,FALSE)</f>
        <v>#N/A</v>
      </c>
      <c r="P280" t="e">
        <f>VLOOKUP($I280,'[1]Table S6'!$A:$AI,8,FALSE)</f>
        <v>#N/A</v>
      </c>
      <c r="Q280" t="e">
        <f>VLOOKUP($I280,'[1]Table S6'!$A:$AI,9,FALSE)</f>
        <v>#N/A</v>
      </c>
      <c r="R280" t="e">
        <f>VLOOKUP($I280,'[1]Table S6'!$A:$AI,10,FALSE)</f>
        <v>#N/A</v>
      </c>
      <c r="T280" t="e">
        <f>VLOOKUP($I280,'[1]Table S6'!$A:$AI,12,FALSE)</f>
        <v>#N/A</v>
      </c>
      <c r="U280" t="e">
        <f>VLOOKUP($I280,'[1]Table S6'!$A:$AI,13,FALSE)</f>
        <v>#N/A</v>
      </c>
      <c r="V280" t="e">
        <f>VLOOKUP($I280,'[1]Table S6'!$A:$AI,14,FALSE)</f>
        <v>#N/A</v>
      </c>
      <c r="W280" t="e">
        <f>VLOOKUP($I280,'[1]Table S6'!$A:$AI,15,FALSE)</f>
        <v>#N/A</v>
      </c>
      <c r="Y280" t="e">
        <f>VLOOKUP($I280,'[1]Table S6'!$A:$AI,17,FALSE)</f>
        <v>#N/A</v>
      </c>
      <c r="Z280" t="e">
        <f>VLOOKUP($I280,'[1]Table S6'!$A:$AI,18,FALSE)</f>
        <v>#N/A</v>
      </c>
      <c r="AA280" t="e">
        <f>VLOOKUP($I280,'[1]Table S6'!$A:$AI,19,FALSE)</f>
        <v>#N/A</v>
      </c>
      <c r="AB280" t="e">
        <f>VLOOKUP($I280,'[1]Table S6'!$A:$AI,20,FALSE)</f>
        <v>#N/A</v>
      </c>
      <c r="AD280" t="e">
        <f>VLOOKUP($I280,'[1]Table S6'!$A:$AI,22,FALSE)</f>
        <v>#N/A</v>
      </c>
      <c r="AE280" t="e">
        <f>VLOOKUP($I280,'[1]Table S6'!$A:$AI,23,FALSE)</f>
        <v>#N/A</v>
      </c>
      <c r="AF280" t="e">
        <f>VLOOKUP($I280,'[1]Table S6'!$A:$AI,24,FALSE)</f>
        <v>#N/A</v>
      </c>
      <c r="AG280" t="e">
        <f>VLOOKUP($I280,'[1]Table S6'!$A:$AI,25,FALSE)</f>
        <v>#N/A</v>
      </c>
      <c r="AI280" t="e">
        <f>VLOOKUP($I280,'[1]Table S6'!$A:$AI,27,FALSE)</f>
        <v>#N/A</v>
      </c>
      <c r="AJ280" t="e">
        <f>VLOOKUP($I280,'[1]Table S6'!$A:$AI,28,FALSE)</f>
        <v>#N/A</v>
      </c>
      <c r="AK280" t="e">
        <f>VLOOKUP($I280,'[1]Table S6'!$A:$AI,29,FALSE)</f>
        <v>#N/A</v>
      </c>
      <c r="AL280" t="e">
        <f>VLOOKUP($I280,'[1]Table S6'!$A:$AI,30,FALSE)</f>
        <v>#N/A</v>
      </c>
      <c r="AN280" t="e">
        <f>VLOOKUP($I280,'[1]Table S6'!$A:$AI,32,FALSE)</f>
        <v>#N/A</v>
      </c>
      <c r="AO280" t="e">
        <f>VLOOKUP($I280,'[1]Table S6'!$A:$AI,33,FALSE)</f>
        <v>#N/A</v>
      </c>
      <c r="AP280" t="e">
        <f>VLOOKUP($I280,'[1]Table S6'!$A:$AI,34,FALSE)</f>
        <v>#N/A</v>
      </c>
      <c r="AQ280" t="e">
        <f>VLOOKUP($I280,'[1]Table S6'!$A:$AI,35,FALSE)</f>
        <v>#N/A</v>
      </c>
      <c r="AS280" t="e">
        <f>VLOOKUP($H280,'[2]Table S5'!$A:$K,8,FALSE)</f>
        <v>#N/A</v>
      </c>
      <c r="AT280" t="e">
        <f>VLOOKUP($H280,'[2]Table S5'!$A:$K,9,FALSE)</f>
        <v>#N/A</v>
      </c>
      <c r="AU280" t="e">
        <f>VLOOKUP($H280,'[2]Table S5'!$A:$K,10,FALSE)</f>
        <v>#N/A</v>
      </c>
      <c r="AV280" t="e">
        <f>VLOOKUP($H280,'[2]Table S5'!$A:$K,11,FALSE)</f>
        <v>#N/A</v>
      </c>
    </row>
    <row r="281" spans="1:48">
      <c r="A281" t="s">
        <v>2125</v>
      </c>
      <c r="B281" t="s">
        <v>2126</v>
      </c>
      <c r="C281" t="s">
        <v>17</v>
      </c>
      <c r="D281" t="s">
        <v>2128</v>
      </c>
      <c r="E281" t="s">
        <v>2129</v>
      </c>
      <c r="F281" t="s">
        <v>2130</v>
      </c>
      <c r="G281" t="s">
        <v>4750</v>
      </c>
      <c r="H281" t="s">
        <v>2131</v>
      </c>
      <c r="I281" t="s">
        <v>2131</v>
      </c>
      <c r="J281" t="e">
        <f>VLOOKUP($I281,'[1]Table S6'!$A:$AI,2,FALSE)</f>
        <v>#N/A</v>
      </c>
      <c r="K281" t="e">
        <f>VLOOKUP($I281,'[1]Table S6'!$A:$AI,3,FALSE)</f>
        <v>#N/A</v>
      </c>
      <c r="L281" t="e">
        <f>VLOOKUP($I281,'[1]Table S6'!$A:$AI,4,FALSE)</f>
        <v>#N/A</v>
      </c>
      <c r="M281" t="e">
        <f>VLOOKUP($I281,'[1]Table S6'!$A:$AI,5,FALSE)</f>
        <v>#N/A</v>
      </c>
      <c r="O281" t="e">
        <f>VLOOKUP($I281,'[1]Table S6'!$A:$AI,7,FALSE)</f>
        <v>#N/A</v>
      </c>
      <c r="P281" t="e">
        <f>VLOOKUP($I281,'[1]Table S6'!$A:$AI,8,FALSE)</f>
        <v>#N/A</v>
      </c>
      <c r="Q281" t="e">
        <f>VLOOKUP($I281,'[1]Table S6'!$A:$AI,9,FALSE)</f>
        <v>#N/A</v>
      </c>
      <c r="R281" t="e">
        <f>VLOOKUP($I281,'[1]Table S6'!$A:$AI,10,FALSE)</f>
        <v>#N/A</v>
      </c>
      <c r="T281" t="e">
        <f>VLOOKUP($I281,'[1]Table S6'!$A:$AI,12,FALSE)</f>
        <v>#N/A</v>
      </c>
      <c r="U281" t="e">
        <f>VLOOKUP($I281,'[1]Table S6'!$A:$AI,13,FALSE)</f>
        <v>#N/A</v>
      </c>
      <c r="V281" t="e">
        <f>VLOOKUP($I281,'[1]Table S6'!$A:$AI,14,FALSE)</f>
        <v>#N/A</v>
      </c>
      <c r="W281" t="e">
        <f>VLOOKUP($I281,'[1]Table S6'!$A:$AI,15,FALSE)</f>
        <v>#N/A</v>
      </c>
      <c r="Y281" t="e">
        <f>VLOOKUP($I281,'[1]Table S6'!$A:$AI,17,FALSE)</f>
        <v>#N/A</v>
      </c>
      <c r="Z281" t="e">
        <f>VLOOKUP($I281,'[1]Table S6'!$A:$AI,18,FALSE)</f>
        <v>#N/A</v>
      </c>
      <c r="AA281" t="e">
        <f>VLOOKUP($I281,'[1]Table S6'!$A:$AI,19,FALSE)</f>
        <v>#N/A</v>
      </c>
      <c r="AB281" t="e">
        <f>VLOOKUP($I281,'[1]Table S6'!$A:$AI,20,FALSE)</f>
        <v>#N/A</v>
      </c>
      <c r="AD281" t="e">
        <f>VLOOKUP($I281,'[1]Table S6'!$A:$AI,22,FALSE)</f>
        <v>#N/A</v>
      </c>
      <c r="AE281" t="e">
        <f>VLOOKUP($I281,'[1]Table S6'!$A:$AI,23,FALSE)</f>
        <v>#N/A</v>
      </c>
      <c r="AF281" t="e">
        <f>VLOOKUP($I281,'[1]Table S6'!$A:$AI,24,FALSE)</f>
        <v>#N/A</v>
      </c>
      <c r="AG281" t="e">
        <f>VLOOKUP($I281,'[1]Table S6'!$A:$AI,25,FALSE)</f>
        <v>#N/A</v>
      </c>
      <c r="AI281" t="e">
        <f>VLOOKUP($I281,'[1]Table S6'!$A:$AI,27,FALSE)</f>
        <v>#N/A</v>
      </c>
      <c r="AJ281" t="e">
        <f>VLOOKUP($I281,'[1]Table S6'!$A:$AI,28,FALSE)</f>
        <v>#N/A</v>
      </c>
      <c r="AK281" t="e">
        <f>VLOOKUP($I281,'[1]Table S6'!$A:$AI,29,FALSE)</f>
        <v>#N/A</v>
      </c>
      <c r="AL281" t="e">
        <f>VLOOKUP($I281,'[1]Table S6'!$A:$AI,30,FALSE)</f>
        <v>#N/A</v>
      </c>
      <c r="AN281" t="e">
        <f>VLOOKUP($I281,'[1]Table S6'!$A:$AI,32,FALSE)</f>
        <v>#N/A</v>
      </c>
      <c r="AO281" t="e">
        <f>VLOOKUP($I281,'[1]Table S6'!$A:$AI,33,FALSE)</f>
        <v>#N/A</v>
      </c>
      <c r="AP281" t="e">
        <f>VLOOKUP($I281,'[1]Table S6'!$A:$AI,34,FALSE)</f>
        <v>#N/A</v>
      </c>
      <c r="AQ281" t="e">
        <f>VLOOKUP($I281,'[1]Table S6'!$A:$AI,35,FALSE)</f>
        <v>#N/A</v>
      </c>
      <c r="AS281" t="e">
        <f>VLOOKUP($H281,'[2]Table S5'!$A:$K,8,FALSE)</f>
        <v>#N/A</v>
      </c>
      <c r="AT281" t="e">
        <f>VLOOKUP($H281,'[2]Table S5'!$A:$K,9,FALSE)</f>
        <v>#N/A</v>
      </c>
      <c r="AU281" t="e">
        <f>VLOOKUP($H281,'[2]Table S5'!$A:$K,10,FALSE)</f>
        <v>#N/A</v>
      </c>
      <c r="AV281" t="e">
        <f>VLOOKUP($H281,'[2]Table S5'!$A:$K,11,FALSE)</f>
        <v>#N/A</v>
      </c>
    </row>
    <row r="282" spans="1:48">
      <c r="A282" t="s">
        <v>2133</v>
      </c>
      <c r="B282" t="s">
        <v>2134</v>
      </c>
      <c r="C282" t="s">
        <v>17</v>
      </c>
      <c r="D282" t="s">
        <v>2136</v>
      </c>
      <c r="E282" t="s">
        <v>2137</v>
      </c>
      <c r="F282" t="s">
        <v>2138</v>
      </c>
      <c r="G282" t="s">
        <v>4757</v>
      </c>
      <c r="H282" t="s">
        <v>2131</v>
      </c>
      <c r="I282" t="s">
        <v>2131</v>
      </c>
      <c r="J282" t="e">
        <f>VLOOKUP($I282,'[1]Table S6'!$A:$AI,2,FALSE)</f>
        <v>#N/A</v>
      </c>
      <c r="K282" t="e">
        <f>VLOOKUP($I282,'[1]Table S6'!$A:$AI,3,FALSE)</f>
        <v>#N/A</v>
      </c>
      <c r="L282" t="e">
        <f>VLOOKUP($I282,'[1]Table S6'!$A:$AI,4,FALSE)</f>
        <v>#N/A</v>
      </c>
      <c r="M282" t="e">
        <f>VLOOKUP($I282,'[1]Table S6'!$A:$AI,5,FALSE)</f>
        <v>#N/A</v>
      </c>
      <c r="O282" t="e">
        <f>VLOOKUP($I282,'[1]Table S6'!$A:$AI,7,FALSE)</f>
        <v>#N/A</v>
      </c>
      <c r="P282" t="e">
        <f>VLOOKUP($I282,'[1]Table S6'!$A:$AI,8,FALSE)</f>
        <v>#N/A</v>
      </c>
      <c r="Q282" t="e">
        <f>VLOOKUP($I282,'[1]Table S6'!$A:$AI,9,FALSE)</f>
        <v>#N/A</v>
      </c>
      <c r="R282" t="e">
        <f>VLOOKUP($I282,'[1]Table S6'!$A:$AI,10,FALSE)</f>
        <v>#N/A</v>
      </c>
      <c r="T282" t="e">
        <f>VLOOKUP($I282,'[1]Table S6'!$A:$AI,12,FALSE)</f>
        <v>#N/A</v>
      </c>
      <c r="U282" t="e">
        <f>VLOOKUP($I282,'[1]Table S6'!$A:$AI,13,FALSE)</f>
        <v>#N/A</v>
      </c>
      <c r="V282" t="e">
        <f>VLOOKUP($I282,'[1]Table S6'!$A:$AI,14,FALSE)</f>
        <v>#N/A</v>
      </c>
      <c r="W282" t="e">
        <f>VLOOKUP($I282,'[1]Table S6'!$A:$AI,15,FALSE)</f>
        <v>#N/A</v>
      </c>
      <c r="Y282" t="e">
        <f>VLOOKUP($I282,'[1]Table S6'!$A:$AI,17,FALSE)</f>
        <v>#N/A</v>
      </c>
      <c r="Z282" t="e">
        <f>VLOOKUP($I282,'[1]Table S6'!$A:$AI,18,FALSE)</f>
        <v>#N/A</v>
      </c>
      <c r="AA282" t="e">
        <f>VLOOKUP($I282,'[1]Table S6'!$A:$AI,19,FALSE)</f>
        <v>#N/A</v>
      </c>
      <c r="AB282" t="e">
        <f>VLOOKUP($I282,'[1]Table S6'!$A:$AI,20,FALSE)</f>
        <v>#N/A</v>
      </c>
      <c r="AD282" t="e">
        <f>VLOOKUP($I282,'[1]Table S6'!$A:$AI,22,FALSE)</f>
        <v>#N/A</v>
      </c>
      <c r="AE282" t="e">
        <f>VLOOKUP($I282,'[1]Table S6'!$A:$AI,23,FALSE)</f>
        <v>#N/A</v>
      </c>
      <c r="AF282" t="e">
        <f>VLOOKUP($I282,'[1]Table S6'!$A:$AI,24,FALSE)</f>
        <v>#N/A</v>
      </c>
      <c r="AG282" t="e">
        <f>VLOOKUP($I282,'[1]Table S6'!$A:$AI,25,FALSE)</f>
        <v>#N/A</v>
      </c>
      <c r="AI282" t="e">
        <f>VLOOKUP($I282,'[1]Table S6'!$A:$AI,27,FALSE)</f>
        <v>#N/A</v>
      </c>
      <c r="AJ282" t="e">
        <f>VLOOKUP($I282,'[1]Table S6'!$A:$AI,28,FALSE)</f>
        <v>#N/A</v>
      </c>
      <c r="AK282" t="e">
        <f>VLOOKUP($I282,'[1]Table S6'!$A:$AI,29,FALSE)</f>
        <v>#N/A</v>
      </c>
      <c r="AL282" t="e">
        <f>VLOOKUP($I282,'[1]Table S6'!$A:$AI,30,FALSE)</f>
        <v>#N/A</v>
      </c>
      <c r="AN282" t="e">
        <f>VLOOKUP($I282,'[1]Table S6'!$A:$AI,32,FALSE)</f>
        <v>#N/A</v>
      </c>
      <c r="AO282" t="e">
        <f>VLOOKUP($I282,'[1]Table S6'!$A:$AI,33,FALSE)</f>
        <v>#N/A</v>
      </c>
      <c r="AP282" t="e">
        <f>VLOOKUP($I282,'[1]Table S6'!$A:$AI,34,FALSE)</f>
        <v>#N/A</v>
      </c>
      <c r="AQ282" t="e">
        <f>VLOOKUP($I282,'[1]Table S6'!$A:$AI,35,FALSE)</f>
        <v>#N/A</v>
      </c>
      <c r="AS282" t="e">
        <f>VLOOKUP($H282,'[2]Table S5'!$A:$K,8,FALSE)</f>
        <v>#N/A</v>
      </c>
      <c r="AT282" t="e">
        <f>VLOOKUP($H282,'[2]Table S5'!$A:$K,9,FALSE)</f>
        <v>#N/A</v>
      </c>
      <c r="AU282" t="e">
        <f>VLOOKUP($H282,'[2]Table S5'!$A:$K,10,FALSE)</f>
        <v>#N/A</v>
      </c>
      <c r="AV282" t="e">
        <f>VLOOKUP($H282,'[2]Table S5'!$A:$K,11,FALSE)</f>
        <v>#N/A</v>
      </c>
    </row>
    <row r="283" spans="1:48">
      <c r="A283" t="s">
        <v>2140</v>
      </c>
      <c r="B283" t="s">
        <v>2141</v>
      </c>
      <c r="C283" t="s">
        <v>17</v>
      </c>
      <c r="D283" t="s">
        <v>2143</v>
      </c>
      <c r="E283" t="s">
        <v>2144</v>
      </c>
      <c r="F283" t="s">
        <v>2145</v>
      </c>
      <c r="G283" t="s">
        <v>4750</v>
      </c>
      <c r="H283" t="s">
        <v>2146</v>
      </c>
      <c r="I283" t="s">
        <v>2146</v>
      </c>
      <c r="J283" t="e">
        <f>VLOOKUP($I283,'[1]Table S6'!$A:$AI,2,FALSE)</f>
        <v>#N/A</v>
      </c>
      <c r="K283" t="e">
        <f>VLOOKUP($I283,'[1]Table S6'!$A:$AI,3,FALSE)</f>
        <v>#N/A</v>
      </c>
      <c r="L283" t="e">
        <f>VLOOKUP($I283,'[1]Table S6'!$A:$AI,4,FALSE)</f>
        <v>#N/A</v>
      </c>
      <c r="M283" t="e">
        <f>VLOOKUP($I283,'[1]Table S6'!$A:$AI,5,FALSE)</f>
        <v>#N/A</v>
      </c>
      <c r="O283" t="e">
        <f>VLOOKUP($I283,'[1]Table S6'!$A:$AI,7,FALSE)</f>
        <v>#N/A</v>
      </c>
      <c r="P283" t="e">
        <f>VLOOKUP($I283,'[1]Table S6'!$A:$AI,8,FALSE)</f>
        <v>#N/A</v>
      </c>
      <c r="Q283" t="e">
        <f>VLOOKUP($I283,'[1]Table S6'!$A:$AI,9,FALSE)</f>
        <v>#N/A</v>
      </c>
      <c r="R283" t="e">
        <f>VLOOKUP($I283,'[1]Table S6'!$A:$AI,10,FALSE)</f>
        <v>#N/A</v>
      </c>
      <c r="T283" t="e">
        <f>VLOOKUP($I283,'[1]Table S6'!$A:$AI,12,FALSE)</f>
        <v>#N/A</v>
      </c>
      <c r="U283" t="e">
        <f>VLOOKUP($I283,'[1]Table S6'!$A:$AI,13,FALSE)</f>
        <v>#N/A</v>
      </c>
      <c r="V283" t="e">
        <f>VLOOKUP($I283,'[1]Table S6'!$A:$AI,14,FALSE)</f>
        <v>#N/A</v>
      </c>
      <c r="W283" t="e">
        <f>VLOOKUP($I283,'[1]Table S6'!$A:$AI,15,FALSE)</f>
        <v>#N/A</v>
      </c>
      <c r="Y283" t="e">
        <f>VLOOKUP($I283,'[1]Table S6'!$A:$AI,17,FALSE)</f>
        <v>#N/A</v>
      </c>
      <c r="Z283" t="e">
        <f>VLOOKUP($I283,'[1]Table S6'!$A:$AI,18,FALSE)</f>
        <v>#N/A</v>
      </c>
      <c r="AA283" t="e">
        <f>VLOOKUP($I283,'[1]Table S6'!$A:$AI,19,FALSE)</f>
        <v>#N/A</v>
      </c>
      <c r="AB283" t="e">
        <f>VLOOKUP($I283,'[1]Table S6'!$A:$AI,20,FALSE)</f>
        <v>#N/A</v>
      </c>
      <c r="AD283" t="e">
        <f>VLOOKUP($I283,'[1]Table S6'!$A:$AI,22,FALSE)</f>
        <v>#N/A</v>
      </c>
      <c r="AE283" t="e">
        <f>VLOOKUP($I283,'[1]Table S6'!$A:$AI,23,FALSE)</f>
        <v>#N/A</v>
      </c>
      <c r="AF283" t="e">
        <f>VLOOKUP($I283,'[1]Table S6'!$A:$AI,24,FALSE)</f>
        <v>#N/A</v>
      </c>
      <c r="AG283" t="e">
        <f>VLOOKUP($I283,'[1]Table S6'!$A:$AI,25,FALSE)</f>
        <v>#N/A</v>
      </c>
      <c r="AI283" t="e">
        <f>VLOOKUP($I283,'[1]Table S6'!$A:$AI,27,FALSE)</f>
        <v>#N/A</v>
      </c>
      <c r="AJ283" t="e">
        <f>VLOOKUP($I283,'[1]Table S6'!$A:$AI,28,FALSE)</f>
        <v>#N/A</v>
      </c>
      <c r="AK283" t="e">
        <f>VLOOKUP($I283,'[1]Table S6'!$A:$AI,29,FALSE)</f>
        <v>#N/A</v>
      </c>
      <c r="AL283" t="e">
        <f>VLOOKUP($I283,'[1]Table S6'!$A:$AI,30,FALSE)</f>
        <v>#N/A</v>
      </c>
      <c r="AN283" t="e">
        <f>VLOOKUP($I283,'[1]Table S6'!$A:$AI,32,FALSE)</f>
        <v>#N/A</v>
      </c>
      <c r="AO283" t="e">
        <f>VLOOKUP($I283,'[1]Table S6'!$A:$AI,33,FALSE)</f>
        <v>#N/A</v>
      </c>
      <c r="AP283" t="e">
        <f>VLOOKUP($I283,'[1]Table S6'!$A:$AI,34,FALSE)</f>
        <v>#N/A</v>
      </c>
      <c r="AQ283" t="e">
        <f>VLOOKUP($I283,'[1]Table S6'!$A:$AI,35,FALSE)</f>
        <v>#N/A</v>
      </c>
      <c r="AS283" t="e">
        <f>VLOOKUP($H283,'[2]Table S5'!$A:$K,8,FALSE)</f>
        <v>#N/A</v>
      </c>
      <c r="AT283" t="e">
        <f>VLOOKUP($H283,'[2]Table S5'!$A:$K,9,FALSE)</f>
        <v>#N/A</v>
      </c>
      <c r="AU283" t="e">
        <f>VLOOKUP($H283,'[2]Table S5'!$A:$K,10,FALSE)</f>
        <v>#N/A</v>
      </c>
      <c r="AV283" t="e">
        <f>VLOOKUP($H283,'[2]Table S5'!$A:$K,11,FALSE)</f>
        <v>#N/A</v>
      </c>
    </row>
    <row r="284" spans="1:48">
      <c r="A284" t="s">
        <v>2148</v>
      </c>
      <c r="B284" t="s">
        <v>2149</v>
      </c>
      <c r="C284" t="s">
        <v>17</v>
      </c>
      <c r="D284" t="s">
        <v>2151</v>
      </c>
      <c r="E284" t="s">
        <v>2152</v>
      </c>
      <c r="F284" t="s">
        <v>2153</v>
      </c>
      <c r="G284" t="s">
        <v>4757</v>
      </c>
      <c r="H284" t="s">
        <v>2146</v>
      </c>
      <c r="I284" t="s">
        <v>2146</v>
      </c>
      <c r="J284" t="e">
        <f>VLOOKUP($I284,'[1]Table S6'!$A:$AI,2,FALSE)</f>
        <v>#N/A</v>
      </c>
      <c r="K284" t="e">
        <f>VLOOKUP($I284,'[1]Table S6'!$A:$AI,3,FALSE)</f>
        <v>#N/A</v>
      </c>
      <c r="L284" t="e">
        <f>VLOOKUP($I284,'[1]Table S6'!$A:$AI,4,FALSE)</f>
        <v>#N/A</v>
      </c>
      <c r="M284" t="e">
        <f>VLOOKUP($I284,'[1]Table S6'!$A:$AI,5,FALSE)</f>
        <v>#N/A</v>
      </c>
      <c r="O284" t="e">
        <f>VLOOKUP($I284,'[1]Table S6'!$A:$AI,7,FALSE)</f>
        <v>#N/A</v>
      </c>
      <c r="P284" t="e">
        <f>VLOOKUP($I284,'[1]Table S6'!$A:$AI,8,FALSE)</f>
        <v>#N/A</v>
      </c>
      <c r="Q284" t="e">
        <f>VLOOKUP($I284,'[1]Table S6'!$A:$AI,9,FALSE)</f>
        <v>#N/A</v>
      </c>
      <c r="R284" t="e">
        <f>VLOOKUP($I284,'[1]Table S6'!$A:$AI,10,FALSE)</f>
        <v>#N/A</v>
      </c>
      <c r="T284" t="e">
        <f>VLOOKUP($I284,'[1]Table S6'!$A:$AI,12,FALSE)</f>
        <v>#N/A</v>
      </c>
      <c r="U284" t="e">
        <f>VLOOKUP($I284,'[1]Table S6'!$A:$AI,13,FALSE)</f>
        <v>#N/A</v>
      </c>
      <c r="V284" t="e">
        <f>VLOOKUP($I284,'[1]Table S6'!$A:$AI,14,FALSE)</f>
        <v>#N/A</v>
      </c>
      <c r="W284" t="e">
        <f>VLOOKUP($I284,'[1]Table S6'!$A:$AI,15,FALSE)</f>
        <v>#N/A</v>
      </c>
      <c r="Y284" t="e">
        <f>VLOOKUP($I284,'[1]Table S6'!$A:$AI,17,FALSE)</f>
        <v>#N/A</v>
      </c>
      <c r="Z284" t="e">
        <f>VLOOKUP($I284,'[1]Table S6'!$A:$AI,18,FALSE)</f>
        <v>#N/A</v>
      </c>
      <c r="AA284" t="e">
        <f>VLOOKUP($I284,'[1]Table S6'!$A:$AI,19,FALSE)</f>
        <v>#N/A</v>
      </c>
      <c r="AB284" t="e">
        <f>VLOOKUP($I284,'[1]Table S6'!$A:$AI,20,FALSE)</f>
        <v>#N/A</v>
      </c>
      <c r="AD284" t="e">
        <f>VLOOKUP($I284,'[1]Table S6'!$A:$AI,22,FALSE)</f>
        <v>#N/A</v>
      </c>
      <c r="AE284" t="e">
        <f>VLOOKUP($I284,'[1]Table S6'!$A:$AI,23,FALSE)</f>
        <v>#N/A</v>
      </c>
      <c r="AF284" t="e">
        <f>VLOOKUP($I284,'[1]Table S6'!$A:$AI,24,FALSE)</f>
        <v>#N/A</v>
      </c>
      <c r="AG284" t="e">
        <f>VLOOKUP($I284,'[1]Table S6'!$A:$AI,25,FALSE)</f>
        <v>#N/A</v>
      </c>
      <c r="AI284" t="e">
        <f>VLOOKUP($I284,'[1]Table S6'!$A:$AI,27,FALSE)</f>
        <v>#N/A</v>
      </c>
      <c r="AJ284" t="e">
        <f>VLOOKUP($I284,'[1]Table S6'!$A:$AI,28,FALSE)</f>
        <v>#N/A</v>
      </c>
      <c r="AK284" t="e">
        <f>VLOOKUP($I284,'[1]Table S6'!$A:$AI,29,FALSE)</f>
        <v>#N/A</v>
      </c>
      <c r="AL284" t="e">
        <f>VLOOKUP($I284,'[1]Table S6'!$A:$AI,30,FALSE)</f>
        <v>#N/A</v>
      </c>
      <c r="AN284" t="e">
        <f>VLOOKUP($I284,'[1]Table S6'!$A:$AI,32,FALSE)</f>
        <v>#N/A</v>
      </c>
      <c r="AO284" t="e">
        <f>VLOOKUP($I284,'[1]Table S6'!$A:$AI,33,FALSE)</f>
        <v>#N/A</v>
      </c>
      <c r="AP284" t="e">
        <f>VLOOKUP($I284,'[1]Table S6'!$A:$AI,34,FALSE)</f>
        <v>#N/A</v>
      </c>
      <c r="AQ284" t="e">
        <f>VLOOKUP($I284,'[1]Table S6'!$A:$AI,35,FALSE)</f>
        <v>#N/A</v>
      </c>
      <c r="AS284" t="e">
        <f>VLOOKUP($H284,'[2]Table S5'!$A:$K,8,FALSE)</f>
        <v>#N/A</v>
      </c>
      <c r="AT284" t="e">
        <f>VLOOKUP($H284,'[2]Table S5'!$A:$K,9,FALSE)</f>
        <v>#N/A</v>
      </c>
      <c r="AU284" t="e">
        <f>VLOOKUP($H284,'[2]Table S5'!$A:$K,10,FALSE)</f>
        <v>#N/A</v>
      </c>
      <c r="AV284" t="e">
        <f>VLOOKUP($H284,'[2]Table S5'!$A:$K,11,FALSE)</f>
        <v>#N/A</v>
      </c>
    </row>
    <row r="285" spans="1:48">
      <c r="A285" t="s">
        <v>2155</v>
      </c>
      <c r="B285" t="s">
        <v>2156</v>
      </c>
      <c r="C285" t="s">
        <v>17</v>
      </c>
      <c r="D285" t="s">
        <v>2158</v>
      </c>
      <c r="E285" t="s">
        <v>2159</v>
      </c>
      <c r="F285" t="s">
        <v>2160</v>
      </c>
      <c r="G285" t="s">
        <v>4757</v>
      </c>
      <c r="H285" t="s">
        <v>2161</v>
      </c>
      <c r="I285" t="s">
        <v>2161</v>
      </c>
      <c r="J285" t="e">
        <f>VLOOKUP($I285,'[1]Table S6'!$A:$AI,2,FALSE)</f>
        <v>#N/A</v>
      </c>
      <c r="K285" t="e">
        <f>VLOOKUP($I285,'[1]Table S6'!$A:$AI,3,FALSE)</f>
        <v>#N/A</v>
      </c>
      <c r="L285" t="e">
        <f>VLOOKUP($I285,'[1]Table S6'!$A:$AI,4,FALSE)</f>
        <v>#N/A</v>
      </c>
      <c r="M285" t="e">
        <f>VLOOKUP($I285,'[1]Table S6'!$A:$AI,5,FALSE)</f>
        <v>#N/A</v>
      </c>
      <c r="O285" t="e">
        <f>VLOOKUP($I285,'[1]Table S6'!$A:$AI,7,FALSE)</f>
        <v>#N/A</v>
      </c>
      <c r="P285" t="e">
        <f>VLOOKUP($I285,'[1]Table S6'!$A:$AI,8,FALSE)</f>
        <v>#N/A</v>
      </c>
      <c r="Q285" t="e">
        <f>VLOOKUP($I285,'[1]Table S6'!$A:$AI,9,FALSE)</f>
        <v>#N/A</v>
      </c>
      <c r="R285" t="e">
        <f>VLOOKUP($I285,'[1]Table S6'!$A:$AI,10,FALSE)</f>
        <v>#N/A</v>
      </c>
      <c r="T285" t="e">
        <f>VLOOKUP($I285,'[1]Table S6'!$A:$AI,12,FALSE)</f>
        <v>#N/A</v>
      </c>
      <c r="U285" t="e">
        <f>VLOOKUP($I285,'[1]Table S6'!$A:$AI,13,FALSE)</f>
        <v>#N/A</v>
      </c>
      <c r="V285" t="e">
        <f>VLOOKUP($I285,'[1]Table S6'!$A:$AI,14,FALSE)</f>
        <v>#N/A</v>
      </c>
      <c r="W285" t="e">
        <f>VLOOKUP($I285,'[1]Table S6'!$A:$AI,15,FALSE)</f>
        <v>#N/A</v>
      </c>
      <c r="Y285" t="e">
        <f>VLOOKUP($I285,'[1]Table S6'!$A:$AI,17,FALSE)</f>
        <v>#N/A</v>
      </c>
      <c r="Z285" t="e">
        <f>VLOOKUP($I285,'[1]Table S6'!$A:$AI,18,FALSE)</f>
        <v>#N/A</v>
      </c>
      <c r="AA285" t="e">
        <f>VLOOKUP($I285,'[1]Table S6'!$A:$AI,19,FALSE)</f>
        <v>#N/A</v>
      </c>
      <c r="AB285" t="e">
        <f>VLOOKUP($I285,'[1]Table S6'!$A:$AI,20,FALSE)</f>
        <v>#N/A</v>
      </c>
      <c r="AD285" t="e">
        <f>VLOOKUP($I285,'[1]Table S6'!$A:$AI,22,FALSE)</f>
        <v>#N/A</v>
      </c>
      <c r="AE285" t="e">
        <f>VLOOKUP($I285,'[1]Table S6'!$A:$AI,23,FALSE)</f>
        <v>#N/A</v>
      </c>
      <c r="AF285" t="e">
        <f>VLOOKUP($I285,'[1]Table S6'!$A:$AI,24,FALSE)</f>
        <v>#N/A</v>
      </c>
      <c r="AG285" t="e">
        <f>VLOOKUP($I285,'[1]Table S6'!$A:$AI,25,FALSE)</f>
        <v>#N/A</v>
      </c>
      <c r="AI285" t="e">
        <f>VLOOKUP($I285,'[1]Table S6'!$A:$AI,27,FALSE)</f>
        <v>#N/A</v>
      </c>
      <c r="AJ285" t="e">
        <f>VLOOKUP($I285,'[1]Table S6'!$A:$AI,28,FALSE)</f>
        <v>#N/A</v>
      </c>
      <c r="AK285" t="e">
        <f>VLOOKUP($I285,'[1]Table S6'!$A:$AI,29,FALSE)</f>
        <v>#N/A</v>
      </c>
      <c r="AL285" t="e">
        <f>VLOOKUP($I285,'[1]Table S6'!$A:$AI,30,FALSE)</f>
        <v>#N/A</v>
      </c>
      <c r="AN285" t="e">
        <f>VLOOKUP($I285,'[1]Table S6'!$A:$AI,32,FALSE)</f>
        <v>#N/A</v>
      </c>
      <c r="AO285" t="e">
        <f>VLOOKUP($I285,'[1]Table S6'!$A:$AI,33,FALSE)</f>
        <v>#N/A</v>
      </c>
      <c r="AP285" t="e">
        <f>VLOOKUP($I285,'[1]Table S6'!$A:$AI,34,FALSE)</f>
        <v>#N/A</v>
      </c>
      <c r="AQ285" t="e">
        <f>VLOOKUP($I285,'[1]Table S6'!$A:$AI,35,FALSE)</f>
        <v>#N/A</v>
      </c>
      <c r="AS285" t="e">
        <f>VLOOKUP($H285,'[2]Table S5'!$A:$K,8,FALSE)</f>
        <v>#N/A</v>
      </c>
      <c r="AT285" t="e">
        <f>VLOOKUP($H285,'[2]Table S5'!$A:$K,9,FALSE)</f>
        <v>#N/A</v>
      </c>
      <c r="AU285" t="e">
        <f>VLOOKUP($H285,'[2]Table S5'!$A:$K,10,FALSE)</f>
        <v>#N/A</v>
      </c>
      <c r="AV285" t="e">
        <f>VLOOKUP($H285,'[2]Table S5'!$A:$K,11,FALSE)</f>
        <v>#N/A</v>
      </c>
    </row>
    <row r="286" spans="1:48">
      <c r="A286" t="s">
        <v>2163</v>
      </c>
      <c r="B286" t="s">
        <v>2164</v>
      </c>
      <c r="C286" t="s">
        <v>17</v>
      </c>
      <c r="D286" t="s">
        <v>2166</v>
      </c>
      <c r="E286" t="s">
        <v>2167</v>
      </c>
      <c r="F286" t="s">
        <v>2168</v>
      </c>
      <c r="G286" t="s">
        <v>4750</v>
      </c>
      <c r="H286" t="s">
        <v>2161</v>
      </c>
      <c r="I286" t="s">
        <v>2161</v>
      </c>
      <c r="J286" t="e">
        <f>VLOOKUP($I286,'[1]Table S6'!$A:$AI,2,FALSE)</f>
        <v>#N/A</v>
      </c>
      <c r="K286" t="e">
        <f>VLOOKUP($I286,'[1]Table S6'!$A:$AI,3,FALSE)</f>
        <v>#N/A</v>
      </c>
      <c r="L286" t="e">
        <f>VLOOKUP($I286,'[1]Table S6'!$A:$AI,4,FALSE)</f>
        <v>#N/A</v>
      </c>
      <c r="M286" t="e">
        <f>VLOOKUP($I286,'[1]Table S6'!$A:$AI,5,FALSE)</f>
        <v>#N/A</v>
      </c>
      <c r="O286" t="e">
        <f>VLOOKUP($I286,'[1]Table S6'!$A:$AI,7,FALSE)</f>
        <v>#N/A</v>
      </c>
      <c r="P286" t="e">
        <f>VLOOKUP($I286,'[1]Table S6'!$A:$AI,8,FALSE)</f>
        <v>#N/A</v>
      </c>
      <c r="Q286" t="e">
        <f>VLOOKUP($I286,'[1]Table S6'!$A:$AI,9,FALSE)</f>
        <v>#N/A</v>
      </c>
      <c r="R286" t="e">
        <f>VLOOKUP($I286,'[1]Table S6'!$A:$AI,10,FALSE)</f>
        <v>#N/A</v>
      </c>
      <c r="T286" t="e">
        <f>VLOOKUP($I286,'[1]Table S6'!$A:$AI,12,FALSE)</f>
        <v>#N/A</v>
      </c>
      <c r="U286" t="e">
        <f>VLOOKUP($I286,'[1]Table S6'!$A:$AI,13,FALSE)</f>
        <v>#N/A</v>
      </c>
      <c r="V286" t="e">
        <f>VLOOKUP($I286,'[1]Table S6'!$A:$AI,14,FALSE)</f>
        <v>#N/A</v>
      </c>
      <c r="W286" t="e">
        <f>VLOOKUP($I286,'[1]Table S6'!$A:$AI,15,FALSE)</f>
        <v>#N/A</v>
      </c>
      <c r="Y286" t="e">
        <f>VLOOKUP($I286,'[1]Table S6'!$A:$AI,17,FALSE)</f>
        <v>#N/A</v>
      </c>
      <c r="Z286" t="e">
        <f>VLOOKUP($I286,'[1]Table S6'!$A:$AI,18,FALSE)</f>
        <v>#N/A</v>
      </c>
      <c r="AA286" t="e">
        <f>VLOOKUP($I286,'[1]Table S6'!$A:$AI,19,FALSE)</f>
        <v>#N/A</v>
      </c>
      <c r="AB286" t="e">
        <f>VLOOKUP($I286,'[1]Table S6'!$A:$AI,20,FALSE)</f>
        <v>#N/A</v>
      </c>
      <c r="AD286" t="e">
        <f>VLOOKUP($I286,'[1]Table S6'!$A:$AI,22,FALSE)</f>
        <v>#N/A</v>
      </c>
      <c r="AE286" t="e">
        <f>VLOOKUP($I286,'[1]Table S6'!$A:$AI,23,FALSE)</f>
        <v>#N/A</v>
      </c>
      <c r="AF286" t="e">
        <f>VLOOKUP($I286,'[1]Table S6'!$A:$AI,24,FALSE)</f>
        <v>#N/A</v>
      </c>
      <c r="AG286" t="e">
        <f>VLOOKUP($I286,'[1]Table S6'!$A:$AI,25,FALSE)</f>
        <v>#N/A</v>
      </c>
      <c r="AI286" t="e">
        <f>VLOOKUP($I286,'[1]Table S6'!$A:$AI,27,FALSE)</f>
        <v>#N/A</v>
      </c>
      <c r="AJ286" t="e">
        <f>VLOOKUP($I286,'[1]Table S6'!$A:$AI,28,FALSE)</f>
        <v>#N/A</v>
      </c>
      <c r="AK286" t="e">
        <f>VLOOKUP($I286,'[1]Table S6'!$A:$AI,29,FALSE)</f>
        <v>#N/A</v>
      </c>
      <c r="AL286" t="e">
        <f>VLOOKUP($I286,'[1]Table S6'!$A:$AI,30,FALSE)</f>
        <v>#N/A</v>
      </c>
      <c r="AN286" t="e">
        <f>VLOOKUP($I286,'[1]Table S6'!$A:$AI,32,FALSE)</f>
        <v>#N/A</v>
      </c>
      <c r="AO286" t="e">
        <f>VLOOKUP($I286,'[1]Table S6'!$A:$AI,33,FALSE)</f>
        <v>#N/A</v>
      </c>
      <c r="AP286" t="e">
        <f>VLOOKUP($I286,'[1]Table S6'!$A:$AI,34,FALSE)</f>
        <v>#N/A</v>
      </c>
      <c r="AQ286" t="e">
        <f>VLOOKUP($I286,'[1]Table S6'!$A:$AI,35,FALSE)</f>
        <v>#N/A</v>
      </c>
      <c r="AS286" t="e">
        <f>VLOOKUP($H286,'[2]Table S5'!$A:$K,8,FALSE)</f>
        <v>#N/A</v>
      </c>
      <c r="AT286" t="e">
        <f>VLOOKUP($H286,'[2]Table S5'!$A:$K,9,FALSE)</f>
        <v>#N/A</v>
      </c>
      <c r="AU286" t="e">
        <f>VLOOKUP($H286,'[2]Table S5'!$A:$K,10,FALSE)</f>
        <v>#N/A</v>
      </c>
      <c r="AV286" t="e">
        <f>VLOOKUP($H286,'[2]Table S5'!$A:$K,11,FALSE)</f>
        <v>#N/A</v>
      </c>
    </row>
    <row r="287" spans="1:48">
      <c r="A287" t="s">
        <v>2170</v>
      </c>
      <c r="B287" t="s">
        <v>2171</v>
      </c>
      <c r="C287" t="s">
        <v>17</v>
      </c>
      <c r="D287" t="s">
        <v>2173</v>
      </c>
      <c r="E287" t="s">
        <v>2174</v>
      </c>
      <c r="F287" t="s">
        <v>2175</v>
      </c>
      <c r="G287" t="s">
        <v>4750</v>
      </c>
      <c r="H287" t="s">
        <v>2176</v>
      </c>
      <c r="I287" t="s">
        <v>2176</v>
      </c>
      <c r="J287" t="e">
        <f>VLOOKUP($I287,'[1]Table S6'!$A:$AI,2,FALSE)</f>
        <v>#N/A</v>
      </c>
      <c r="K287" t="e">
        <f>VLOOKUP($I287,'[1]Table S6'!$A:$AI,3,FALSE)</f>
        <v>#N/A</v>
      </c>
      <c r="L287" t="e">
        <f>VLOOKUP($I287,'[1]Table S6'!$A:$AI,4,FALSE)</f>
        <v>#N/A</v>
      </c>
      <c r="M287" t="e">
        <f>VLOOKUP($I287,'[1]Table S6'!$A:$AI,5,FALSE)</f>
        <v>#N/A</v>
      </c>
      <c r="O287" t="e">
        <f>VLOOKUP($I287,'[1]Table S6'!$A:$AI,7,FALSE)</f>
        <v>#N/A</v>
      </c>
      <c r="P287" t="e">
        <f>VLOOKUP($I287,'[1]Table S6'!$A:$AI,8,FALSE)</f>
        <v>#N/A</v>
      </c>
      <c r="Q287" t="e">
        <f>VLOOKUP($I287,'[1]Table S6'!$A:$AI,9,FALSE)</f>
        <v>#N/A</v>
      </c>
      <c r="R287" t="e">
        <f>VLOOKUP($I287,'[1]Table S6'!$A:$AI,10,FALSE)</f>
        <v>#N/A</v>
      </c>
      <c r="T287" t="e">
        <f>VLOOKUP($I287,'[1]Table S6'!$A:$AI,12,FALSE)</f>
        <v>#N/A</v>
      </c>
      <c r="U287" t="e">
        <f>VLOOKUP($I287,'[1]Table S6'!$A:$AI,13,FALSE)</f>
        <v>#N/A</v>
      </c>
      <c r="V287" t="e">
        <f>VLOOKUP($I287,'[1]Table S6'!$A:$AI,14,FALSE)</f>
        <v>#N/A</v>
      </c>
      <c r="W287" t="e">
        <f>VLOOKUP($I287,'[1]Table S6'!$A:$AI,15,FALSE)</f>
        <v>#N/A</v>
      </c>
      <c r="Y287" t="e">
        <f>VLOOKUP($I287,'[1]Table S6'!$A:$AI,17,FALSE)</f>
        <v>#N/A</v>
      </c>
      <c r="Z287" t="e">
        <f>VLOOKUP($I287,'[1]Table S6'!$A:$AI,18,FALSE)</f>
        <v>#N/A</v>
      </c>
      <c r="AA287" t="e">
        <f>VLOOKUP($I287,'[1]Table S6'!$A:$AI,19,FALSE)</f>
        <v>#N/A</v>
      </c>
      <c r="AB287" t="e">
        <f>VLOOKUP($I287,'[1]Table S6'!$A:$AI,20,FALSE)</f>
        <v>#N/A</v>
      </c>
      <c r="AD287" t="e">
        <f>VLOOKUP($I287,'[1]Table S6'!$A:$AI,22,FALSE)</f>
        <v>#N/A</v>
      </c>
      <c r="AE287" t="e">
        <f>VLOOKUP($I287,'[1]Table S6'!$A:$AI,23,FALSE)</f>
        <v>#N/A</v>
      </c>
      <c r="AF287" t="e">
        <f>VLOOKUP($I287,'[1]Table S6'!$A:$AI,24,FALSE)</f>
        <v>#N/A</v>
      </c>
      <c r="AG287" t="e">
        <f>VLOOKUP($I287,'[1]Table S6'!$A:$AI,25,FALSE)</f>
        <v>#N/A</v>
      </c>
      <c r="AI287" t="e">
        <f>VLOOKUP($I287,'[1]Table S6'!$A:$AI,27,FALSE)</f>
        <v>#N/A</v>
      </c>
      <c r="AJ287" t="e">
        <f>VLOOKUP($I287,'[1]Table S6'!$A:$AI,28,FALSE)</f>
        <v>#N/A</v>
      </c>
      <c r="AK287" t="e">
        <f>VLOOKUP($I287,'[1]Table S6'!$A:$AI,29,FALSE)</f>
        <v>#N/A</v>
      </c>
      <c r="AL287" t="e">
        <f>VLOOKUP($I287,'[1]Table S6'!$A:$AI,30,FALSE)</f>
        <v>#N/A</v>
      </c>
      <c r="AN287" t="e">
        <f>VLOOKUP($I287,'[1]Table S6'!$A:$AI,32,FALSE)</f>
        <v>#N/A</v>
      </c>
      <c r="AO287" t="e">
        <f>VLOOKUP($I287,'[1]Table S6'!$A:$AI,33,FALSE)</f>
        <v>#N/A</v>
      </c>
      <c r="AP287" t="e">
        <f>VLOOKUP($I287,'[1]Table S6'!$A:$AI,34,FALSE)</f>
        <v>#N/A</v>
      </c>
      <c r="AQ287" t="e">
        <f>VLOOKUP($I287,'[1]Table S6'!$A:$AI,35,FALSE)</f>
        <v>#N/A</v>
      </c>
      <c r="AS287" t="e">
        <f>VLOOKUP($H287,'[2]Table S5'!$A:$K,8,FALSE)</f>
        <v>#N/A</v>
      </c>
      <c r="AT287" t="e">
        <f>VLOOKUP($H287,'[2]Table S5'!$A:$K,9,FALSE)</f>
        <v>#N/A</v>
      </c>
      <c r="AU287" t="e">
        <f>VLOOKUP($H287,'[2]Table S5'!$A:$K,10,FALSE)</f>
        <v>#N/A</v>
      </c>
      <c r="AV287" t="e">
        <f>VLOOKUP($H287,'[2]Table S5'!$A:$K,11,FALSE)</f>
        <v>#N/A</v>
      </c>
    </row>
    <row r="288" spans="1:48">
      <c r="A288" t="s">
        <v>2178</v>
      </c>
      <c r="B288" t="s">
        <v>2179</v>
      </c>
      <c r="C288" t="s">
        <v>17</v>
      </c>
      <c r="D288" t="s">
        <v>2181</v>
      </c>
      <c r="E288" t="s">
        <v>2182</v>
      </c>
      <c r="F288" t="s">
        <v>2183</v>
      </c>
      <c r="G288" t="s">
        <v>4757</v>
      </c>
      <c r="H288" t="s">
        <v>2176</v>
      </c>
      <c r="I288" t="s">
        <v>2176</v>
      </c>
      <c r="J288" t="e">
        <f>VLOOKUP($I288,'[1]Table S6'!$A:$AI,2,FALSE)</f>
        <v>#N/A</v>
      </c>
      <c r="K288" t="e">
        <f>VLOOKUP($I288,'[1]Table S6'!$A:$AI,3,FALSE)</f>
        <v>#N/A</v>
      </c>
      <c r="L288" t="e">
        <f>VLOOKUP($I288,'[1]Table S6'!$A:$AI,4,FALSE)</f>
        <v>#N/A</v>
      </c>
      <c r="M288" t="e">
        <f>VLOOKUP($I288,'[1]Table S6'!$A:$AI,5,FALSE)</f>
        <v>#N/A</v>
      </c>
      <c r="O288" t="e">
        <f>VLOOKUP($I288,'[1]Table S6'!$A:$AI,7,FALSE)</f>
        <v>#N/A</v>
      </c>
      <c r="P288" t="e">
        <f>VLOOKUP($I288,'[1]Table S6'!$A:$AI,8,FALSE)</f>
        <v>#N/A</v>
      </c>
      <c r="Q288" t="e">
        <f>VLOOKUP($I288,'[1]Table S6'!$A:$AI,9,FALSE)</f>
        <v>#N/A</v>
      </c>
      <c r="R288" t="e">
        <f>VLOOKUP($I288,'[1]Table S6'!$A:$AI,10,FALSE)</f>
        <v>#N/A</v>
      </c>
      <c r="T288" t="e">
        <f>VLOOKUP($I288,'[1]Table S6'!$A:$AI,12,FALSE)</f>
        <v>#N/A</v>
      </c>
      <c r="U288" t="e">
        <f>VLOOKUP($I288,'[1]Table S6'!$A:$AI,13,FALSE)</f>
        <v>#N/A</v>
      </c>
      <c r="V288" t="e">
        <f>VLOOKUP($I288,'[1]Table S6'!$A:$AI,14,FALSE)</f>
        <v>#N/A</v>
      </c>
      <c r="W288" t="e">
        <f>VLOOKUP($I288,'[1]Table S6'!$A:$AI,15,FALSE)</f>
        <v>#N/A</v>
      </c>
      <c r="Y288" t="e">
        <f>VLOOKUP($I288,'[1]Table S6'!$A:$AI,17,FALSE)</f>
        <v>#N/A</v>
      </c>
      <c r="Z288" t="e">
        <f>VLOOKUP($I288,'[1]Table S6'!$A:$AI,18,FALSE)</f>
        <v>#N/A</v>
      </c>
      <c r="AA288" t="e">
        <f>VLOOKUP($I288,'[1]Table S6'!$A:$AI,19,FALSE)</f>
        <v>#N/A</v>
      </c>
      <c r="AB288" t="e">
        <f>VLOOKUP($I288,'[1]Table S6'!$A:$AI,20,FALSE)</f>
        <v>#N/A</v>
      </c>
      <c r="AD288" t="e">
        <f>VLOOKUP($I288,'[1]Table S6'!$A:$AI,22,FALSE)</f>
        <v>#N/A</v>
      </c>
      <c r="AE288" t="e">
        <f>VLOOKUP($I288,'[1]Table S6'!$A:$AI,23,FALSE)</f>
        <v>#N/A</v>
      </c>
      <c r="AF288" t="e">
        <f>VLOOKUP($I288,'[1]Table S6'!$A:$AI,24,FALSE)</f>
        <v>#N/A</v>
      </c>
      <c r="AG288" t="e">
        <f>VLOOKUP($I288,'[1]Table S6'!$A:$AI,25,FALSE)</f>
        <v>#N/A</v>
      </c>
      <c r="AI288" t="e">
        <f>VLOOKUP($I288,'[1]Table S6'!$A:$AI,27,FALSE)</f>
        <v>#N/A</v>
      </c>
      <c r="AJ288" t="e">
        <f>VLOOKUP($I288,'[1]Table S6'!$A:$AI,28,FALSE)</f>
        <v>#N/A</v>
      </c>
      <c r="AK288" t="e">
        <f>VLOOKUP($I288,'[1]Table S6'!$A:$AI,29,FALSE)</f>
        <v>#N/A</v>
      </c>
      <c r="AL288" t="e">
        <f>VLOOKUP($I288,'[1]Table S6'!$A:$AI,30,FALSE)</f>
        <v>#N/A</v>
      </c>
      <c r="AN288" t="e">
        <f>VLOOKUP($I288,'[1]Table S6'!$A:$AI,32,FALSE)</f>
        <v>#N/A</v>
      </c>
      <c r="AO288" t="e">
        <f>VLOOKUP($I288,'[1]Table S6'!$A:$AI,33,FALSE)</f>
        <v>#N/A</v>
      </c>
      <c r="AP288" t="e">
        <f>VLOOKUP($I288,'[1]Table S6'!$A:$AI,34,FALSE)</f>
        <v>#N/A</v>
      </c>
      <c r="AQ288" t="e">
        <f>VLOOKUP($I288,'[1]Table S6'!$A:$AI,35,FALSE)</f>
        <v>#N/A</v>
      </c>
      <c r="AS288" t="e">
        <f>VLOOKUP($H288,'[2]Table S5'!$A:$K,8,FALSE)</f>
        <v>#N/A</v>
      </c>
      <c r="AT288" t="e">
        <f>VLOOKUP($H288,'[2]Table S5'!$A:$K,9,FALSE)</f>
        <v>#N/A</v>
      </c>
      <c r="AU288" t="e">
        <f>VLOOKUP($H288,'[2]Table S5'!$A:$K,10,FALSE)</f>
        <v>#N/A</v>
      </c>
      <c r="AV288" t="e">
        <f>VLOOKUP($H288,'[2]Table S5'!$A:$K,11,FALSE)</f>
        <v>#N/A</v>
      </c>
    </row>
    <row r="289" spans="1:48">
      <c r="A289" t="s">
        <v>2185</v>
      </c>
      <c r="B289" t="s">
        <v>2186</v>
      </c>
      <c r="C289" t="s">
        <v>17</v>
      </c>
      <c r="D289" t="s">
        <v>2188</v>
      </c>
      <c r="E289" t="s">
        <v>2189</v>
      </c>
      <c r="F289" t="s">
        <v>2190</v>
      </c>
      <c r="G289" t="s">
        <v>4750</v>
      </c>
      <c r="H289" t="s">
        <v>2191</v>
      </c>
      <c r="I289" t="s">
        <v>2191</v>
      </c>
      <c r="J289" t="e">
        <f>VLOOKUP($I289,'[1]Table S6'!$A:$AI,2,FALSE)</f>
        <v>#N/A</v>
      </c>
      <c r="K289" t="e">
        <f>VLOOKUP($I289,'[1]Table S6'!$A:$AI,3,FALSE)</f>
        <v>#N/A</v>
      </c>
      <c r="L289" t="e">
        <f>VLOOKUP($I289,'[1]Table S6'!$A:$AI,4,FALSE)</f>
        <v>#N/A</v>
      </c>
      <c r="M289" t="e">
        <f>VLOOKUP($I289,'[1]Table S6'!$A:$AI,5,FALSE)</f>
        <v>#N/A</v>
      </c>
      <c r="O289" t="e">
        <f>VLOOKUP($I289,'[1]Table S6'!$A:$AI,7,FALSE)</f>
        <v>#N/A</v>
      </c>
      <c r="P289" t="e">
        <f>VLOOKUP($I289,'[1]Table S6'!$A:$AI,8,FALSE)</f>
        <v>#N/A</v>
      </c>
      <c r="Q289" t="e">
        <f>VLOOKUP($I289,'[1]Table S6'!$A:$AI,9,FALSE)</f>
        <v>#N/A</v>
      </c>
      <c r="R289" t="e">
        <f>VLOOKUP($I289,'[1]Table S6'!$A:$AI,10,FALSE)</f>
        <v>#N/A</v>
      </c>
      <c r="T289" t="e">
        <f>VLOOKUP($I289,'[1]Table S6'!$A:$AI,12,FALSE)</f>
        <v>#N/A</v>
      </c>
      <c r="U289" t="e">
        <f>VLOOKUP($I289,'[1]Table S6'!$A:$AI,13,FALSE)</f>
        <v>#N/A</v>
      </c>
      <c r="V289" t="e">
        <f>VLOOKUP($I289,'[1]Table S6'!$A:$AI,14,FALSE)</f>
        <v>#N/A</v>
      </c>
      <c r="W289" t="e">
        <f>VLOOKUP($I289,'[1]Table S6'!$A:$AI,15,FALSE)</f>
        <v>#N/A</v>
      </c>
      <c r="Y289" t="e">
        <f>VLOOKUP($I289,'[1]Table S6'!$A:$AI,17,FALSE)</f>
        <v>#N/A</v>
      </c>
      <c r="Z289" t="e">
        <f>VLOOKUP($I289,'[1]Table S6'!$A:$AI,18,FALSE)</f>
        <v>#N/A</v>
      </c>
      <c r="AA289" t="e">
        <f>VLOOKUP($I289,'[1]Table S6'!$A:$AI,19,FALSE)</f>
        <v>#N/A</v>
      </c>
      <c r="AB289" t="e">
        <f>VLOOKUP($I289,'[1]Table S6'!$A:$AI,20,FALSE)</f>
        <v>#N/A</v>
      </c>
      <c r="AD289" t="e">
        <f>VLOOKUP($I289,'[1]Table S6'!$A:$AI,22,FALSE)</f>
        <v>#N/A</v>
      </c>
      <c r="AE289" t="e">
        <f>VLOOKUP($I289,'[1]Table S6'!$A:$AI,23,FALSE)</f>
        <v>#N/A</v>
      </c>
      <c r="AF289" t="e">
        <f>VLOOKUP($I289,'[1]Table S6'!$A:$AI,24,FALSE)</f>
        <v>#N/A</v>
      </c>
      <c r="AG289" t="e">
        <f>VLOOKUP($I289,'[1]Table S6'!$A:$AI,25,FALSE)</f>
        <v>#N/A</v>
      </c>
      <c r="AI289" t="e">
        <f>VLOOKUP($I289,'[1]Table S6'!$A:$AI,27,FALSE)</f>
        <v>#N/A</v>
      </c>
      <c r="AJ289" t="e">
        <f>VLOOKUP($I289,'[1]Table S6'!$A:$AI,28,FALSE)</f>
        <v>#N/A</v>
      </c>
      <c r="AK289" t="e">
        <f>VLOOKUP($I289,'[1]Table S6'!$A:$AI,29,FALSE)</f>
        <v>#N/A</v>
      </c>
      <c r="AL289" t="e">
        <f>VLOOKUP($I289,'[1]Table S6'!$A:$AI,30,FALSE)</f>
        <v>#N/A</v>
      </c>
      <c r="AN289" t="e">
        <f>VLOOKUP($I289,'[1]Table S6'!$A:$AI,32,FALSE)</f>
        <v>#N/A</v>
      </c>
      <c r="AO289" t="e">
        <f>VLOOKUP($I289,'[1]Table S6'!$A:$AI,33,FALSE)</f>
        <v>#N/A</v>
      </c>
      <c r="AP289" t="e">
        <f>VLOOKUP($I289,'[1]Table S6'!$A:$AI,34,FALSE)</f>
        <v>#N/A</v>
      </c>
      <c r="AQ289" t="e">
        <f>VLOOKUP($I289,'[1]Table S6'!$A:$AI,35,FALSE)</f>
        <v>#N/A</v>
      </c>
      <c r="AS289" t="e">
        <f>VLOOKUP($H289,'[2]Table S5'!$A:$K,8,FALSE)</f>
        <v>#N/A</v>
      </c>
      <c r="AT289" t="e">
        <f>VLOOKUP($H289,'[2]Table S5'!$A:$K,9,FALSE)</f>
        <v>#N/A</v>
      </c>
      <c r="AU289" t="e">
        <f>VLOOKUP($H289,'[2]Table S5'!$A:$K,10,FALSE)</f>
        <v>#N/A</v>
      </c>
      <c r="AV289" t="e">
        <f>VLOOKUP($H289,'[2]Table S5'!$A:$K,11,FALSE)</f>
        <v>#N/A</v>
      </c>
    </row>
    <row r="290" spans="1:48">
      <c r="A290" t="s">
        <v>2193</v>
      </c>
      <c r="B290" t="s">
        <v>2194</v>
      </c>
      <c r="C290" t="s">
        <v>17</v>
      </c>
      <c r="D290" t="s">
        <v>2196</v>
      </c>
      <c r="E290" t="s">
        <v>2197</v>
      </c>
      <c r="F290" t="s">
        <v>2198</v>
      </c>
      <c r="G290" t="s">
        <v>4757</v>
      </c>
      <c r="H290" t="s">
        <v>2191</v>
      </c>
      <c r="I290" t="s">
        <v>2191</v>
      </c>
      <c r="J290" t="e">
        <f>VLOOKUP($I290,'[1]Table S6'!$A:$AI,2,FALSE)</f>
        <v>#N/A</v>
      </c>
      <c r="K290" t="e">
        <f>VLOOKUP($I290,'[1]Table S6'!$A:$AI,3,FALSE)</f>
        <v>#N/A</v>
      </c>
      <c r="L290" t="e">
        <f>VLOOKUP($I290,'[1]Table S6'!$A:$AI,4,FALSE)</f>
        <v>#N/A</v>
      </c>
      <c r="M290" t="e">
        <f>VLOOKUP($I290,'[1]Table S6'!$A:$AI,5,FALSE)</f>
        <v>#N/A</v>
      </c>
      <c r="O290" t="e">
        <f>VLOOKUP($I290,'[1]Table S6'!$A:$AI,7,FALSE)</f>
        <v>#N/A</v>
      </c>
      <c r="P290" t="e">
        <f>VLOOKUP($I290,'[1]Table S6'!$A:$AI,8,FALSE)</f>
        <v>#N/A</v>
      </c>
      <c r="Q290" t="e">
        <f>VLOOKUP($I290,'[1]Table S6'!$A:$AI,9,FALSE)</f>
        <v>#N/A</v>
      </c>
      <c r="R290" t="e">
        <f>VLOOKUP($I290,'[1]Table S6'!$A:$AI,10,FALSE)</f>
        <v>#N/A</v>
      </c>
      <c r="T290" t="e">
        <f>VLOOKUP($I290,'[1]Table S6'!$A:$AI,12,FALSE)</f>
        <v>#N/A</v>
      </c>
      <c r="U290" t="e">
        <f>VLOOKUP($I290,'[1]Table S6'!$A:$AI,13,FALSE)</f>
        <v>#N/A</v>
      </c>
      <c r="V290" t="e">
        <f>VLOOKUP($I290,'[1]Table S6'!$A:$AI,14,FALSE)</f>
        <v>#N/A</v>
      </c>
      <c r="W290" t="e">
        <f>VLOOKUP($I290,'[1]Table S6'!$A:$AI,15,FALSE)</f>
        <v>#N/A</v>
      </c>
      <c r="Y290" t="e">
        <f>VLOOKUP($I290,'[1]Table S6'!$A:$AI,17,FALSE)</f>
        <v>#N/A</v>
      </c>
      <c r="Z290" t="e">
        <f>VLOOKUP($I290,'[1]Table S6'!$A:$AI,18,FALSE)</f>
        <v>#N/A</v>
      </c>
      <c r="AA290" t="e">
        <f>VLOOKUP($I290,'[1]Table S6'!$A:$AI,19,FALSE)</f>
        <v>#N/A</v>
      </c>
      <c r="AB290" t="e">
        <f>VLOOKUP($I290,'[1]Table S6'!$A:$AI,20,FALSE)</f>
        <v>#N/A</v>
      </c>
      <c r="AD290" t="e">
        <f>VLOOKUP($I290,'[1]Table S6'!$A:$AI,22,FALSE)</f>
        <v>#N/A</v>
      </c>
      <c r="AE290" t="e">
        <f>VLOOKUP($I290,'[1]Table S6'!$A:$AI,23,FALSE)</f>
        <v>#N/A</v>
      </c>
      <c r="AF290" t="e">
        <f>VLOOKUP($I290,'[1]Table S6'!$A:$AI,24,FALSE)</f>
        <v>#N/A</v>
      </c>
      <c r="AG290" t="e">
        <f>VLOOKUP($I290,'[1]Table S6'!$A:$AI,25,FALSE)</f>
        <v>#N/A</v>
      </c>
      <c r="AI290" t="e">
        <f>VLOOKUP($I290,'[1]Table S6'!$A:$AI,27,FALSE)</f>
        <v>#N/A</v>
      </c>
      <c r="AJ290" t="e">
        <f>VLOOKUP($I290,'[1]Table S6'!$A:$AI,28,FALSE)</f>
        <v>#N/A</v>
      </c>
      <c r="AK290" t="e">
        <f>VLOOKUP($I290,'[1]Table S6'!$A:$AI,29,FALSE)</f>
        <v>#N/A</v>
      </c>
      <c r="AL290" t="e">
        <f>VLOOKUP($I290,'[1]Table S6'!$A:$AI,30,FALSE)</f>
        <v>#N/A</v>
      </c>
      <c r="AN290" t="e">
        <f>VLOOKUP($I290,'[1]Table S6'!$A:$AI,32,FALSE)</f>
        <v>#N/A</v>
      </c>
      <c r="AO290" t="e">
        <f>VLOOKUP($I290,'[1]Table S6'!$A:$AI,33,FALSE)</f>
        <v>#N/A</v>
      </c>
      <c r="AP290" t="e">
        <f>VLOOKUP($I290,'[1]Table S6'!$A:$AI,34,FALSE)</f>
        <v>#N/A</v>
      </c>
      <c r="AQ290" t="e">
        <f>VLOOKUP($I290,'[1]Table S6'!$A:$AI,35,FALSE)</f>
        <v>#N/A</v>
      </c>
      <c r="AS290" t="e">
        <f>VLOOKUP($H290,'[2]Table S5'!$A:$K,8,FALSE)</f>
        <v>#N/A</v>
      </c>
      <c r="AT290" t="e">
        <f>VLOOKUP($H290,'[2]Table S5'!$A:$K,9,FALSE)</f>
        <v>#N/A</v>
      </c>
      <c r="AU290" t="e">
        <f>VLOOKUP($H290,'[2]Table S5'!$A:$K,10,FALSE)</f>
        <v>#N/A</v>
      </c>
      <c r="AV290" t="e">
        <f>VLOOKUP($H290,'[2]Table S5'!$A:$K,11,FALSE)</f>
        <v>#N/A</v>
      </c>
    </row>
    <row r="291" spans="1:48">
      <c r="A291" t="s">
        <v>2200</v>
      </c>
      <c r="B291" t="s">
        <v>2201</v>
      </c>
      <c r="C291" t="s">
        <v>17</v>
      </c>
      <c r="D291" t="s">
        <v>2203</v>
      </c>
      <c r="E291" t="s">
        <v>2204</v>
      </c>
      <c r="F291" t="s">
        <v>2205</v>
      </c>
      <c r="G291" t="s">
        <v>4750</v>
      </c>
      <c r="H291" t="s">
        <v>2206</v>
      </c>
      <c r="I291" t="s">
        <v>2206</v>
      </c>
      <c r="J291" t="e">
        <f>VLOOKUP($I291,'[1]Table S6'!$A:$AI,2,FALSE)</f>
        <v>#N/A</v>
      </c>
      <c r="K291" t="e">
        <f>VLOOKUP($I291,'[1]Table S6'!$A:$AI,3,FALSE)</f>
        <v>#N/A</v>
      </c>
      <c r="L291" t="e">
        <f>VLOOKUP($I291,'[1]Table S6'!$A:$AI,4,FALSE)</f>
        <v>#N/A</v>
      </c>
      <c r="M291" t="e">
        <f>VLOOKUP($I291,'[1]Table S6'!$A:$AI,5,FALSE)</f>
        <v>#N/A</v>
      </c>
      <c r="O291" t="e">
        <f>VLOOKUP($I291,'[1]Table S6'!$A:$AI,7,FALSE)</f>
        <v>#N/A</v>
      </c>
      <c r="P291" t="e">
        <f>VLOOKUP($I291,'[1]Table S6'!$A:$AI,8,FALSE)</f>
        <v>#N/A</v>
      </c>
      <c r="Q291" t="e">
        <f>VLOOKUP($I291,'[1]Table S6'!$A:$AI,9,FALSE)</f>
        <v>#N/A</v>
      </c>
      <c r="R291" t="e">
        <f>VLOOKUP($I291,'[1]Table S6'!$A:$AI,10,FALSE)</f>
        <v>#N/A</v>
      </c>
      <c r="T291" t="e">
        <f>VLOOKUP($I291,'[1]Table S6'!$A:$AI,12,FALSE)</f>
        <v>#N/A</v>
      </c>
      <c r="U291" t="e">
        <f>VLOOKUP($I291,'[1]Table S6'!$A:$AI,13,FALSE)</f>
        <v>#N/A</v>
      </c>
      <c r="V291" t="e">
        <f>VLOOKUP($I291,'[1]Table S6'!$A:$AI,14,FALSE)</f>
        <v>#N/A</v>
      </c>
      <c r="W291" t="e">
        <f>VLOOKUP($I291,'[1]Table S6'!$A:$AI,15,FALSE)</f>
        <v>#N/A</v>
      </c>
      <c r="Y291" t="e">
        <f>VLOOKUP($I291,'[1]Table S6'!$A:$AI,17,FALSE)</f>
        <v>#N/A</v>
      </c>
      <c r="Z291" t="e">
        <f>VLOOKUP($I291,'[1]Table S6'!$A:$AI,18,FALSE)</f>
        <v>#N/A</v>
      </c>
      <c r="AA291" t="e">
        <f>VLOOKUP($I291,'[1]Table S6'!$A:$AI,19,FALSE)</f>
        <v>#N/A</v>
      </c>
      <c r="AB291" t="e">
        <f>VLOOKUP($I291,'[1]Table S6'!$A:$AI,20,FALSE)</f>
        <v>#N/A</v>
      </c>
      <c r="AD291" t="e">
        <f>VLOOKUP($I291,'[1]Table S6'!$A:$AI,22,FALSE)</f>
        <v>#N/A</v>
      </c>
      <c r="AE291" t="e">
        <f>VLOOKUP($I291,'[1]Table S6'!$A:$AI,23,FALSE)</f>
        <v>#N/A</v>
      </c>
      <c r="AF291" t="e">
        <f>VLOOKUP($I291,'[1]Table S6'!$A:$AI,24,FALSE)</f>
        <v>#N/A</v>
      </c>
      <c r="AG291" t="e">
        <f>VLOOKUP($I291,'[1]Table S6'!$A:$AI,25,FALSE)</f>
        <v>#N/A</v>
      </c>
      <c r="AI291" t="e">
        <f>VLOOKUP($I291,'[1]Table S6'!$A:$AI,27,FALSE)</f>
        <v>#N/A</v>
      </c>
      <c r="AJ291" t="e">
        <f>VLOOKUP($I291,'[1]Table S6'!$A:$AI,28,FALSE)</f>
        <v>#N/A</v>
      </c>
      <c r="AK291" t="e">
        <f>VLOOKUP($I291,'[1]Table S6'!$A:$AI,29,FALSE)</f>
        <v>#N/A</v>
      </c>
      <c r="AL291" t="e">
        <f>VLOOKUP($I291,'[1]Table S6'!$A:$AI,30,FALSE)</f>
        <v>#N/A</v>
      </c>
      <c r="AN291" t="e">
        <f>VLOOKUP($I291,'[1]Table S6'!$A:$AI,32,FALSE)</f>
        <v>#N/A</v>
      </c>
      <c r="AO291" t="e">
        <f>VLOOKUP($I291,'[1]Table S6'!$A:$AI,33,FALSE)</f>
        <v>#N/A</v>
      </c>
      <c r="AP291" t="e">
        <f>VLOOKUP($I291,'[1]Table S6'!$A:$AI,34,FALSE)</f>
        <v>#N/A</v>
      </c>
      <c r="AQ291" t="e">
        <f>VLOOKUP($I291,'[1]Table S6'!$A:$AI,35,FALSE)</f>
        <v>#N/A</v>
      </c>
      <c r="AS291" t="e">
        <f>VLOOKUP($H291,'[2]Table S5'!$A:$K,8,FALSE)</f>
        <v>#N/A</v>
      </c>
      <c r="AT291" t="e">
        <f>VLOOKUP($H291,'[2]Table S5'!$A:$K,9,FALSE)</f>
        <v>#N/A</v>
      </c>
      <c r="AU291" t="e">
        <f>VLOOKUP($H291,'[2]Table S5'!$A:$K,10,FALSE)</f>
        <v>#N/A</v>
      </c>
      <c r="AV291" t="e">
        <f>VLOOKUP($H291,'[2]Table S5'!$A:$K,11,FALSE)</f>
        <v>#N/A</v>
      </c>
    </row>
    <row r="292" spans="1:48">
      <c r="A292" t="s">
        <v>2208</v>
      </c>
      <c r="B292" t="s">
        <v>2209</v>
      </c>
      <c r="C292" t="s">
        <v>17</v>
      </c>
      <c r="D292" t="s">
        <v>2211</v>
      </c>
      <c r="E292" t="s">
        <v>2212</v>
      </c>
      <c r="F292" t="s">
        <v>2213</v>
      </c>
      <c r="G292" t="s">
        <v>4757</v>
      </c>
      <c r="H292" t="s">
        <v>2206</v>
      </c>
      <c r="I292" t="s">
        <v>2206</v>
      </c>
      <c r="J292" t="e">
        <f>VLOOKUP($I292,'[1]Table S6'!$A:$AI,2,FALSE)</f>
        <v>#N/A</v>
      </c>
      <c r="K292" t="e">
        <f>VLOOKUP($I292,'[1]Table S6'!$A:$AI,3,FALSE)</f>
        <v>#N/A</v>
      </c>
      <c r="L292" t="e">
        <f>VLOOKUP($I292,'[1]Table S6'!$A:$AI,4,FALSE)</f>
        <v>#N/A</v>
      </c>
      <c r="M292" t="e">
        <f>VLOOKUP($I292,'[1]Table S6'!$A:$AI,5,FALSE)</f>
        <v>#N/A</v>
      </c>
      <c r="O292" t="e">
        <f>VLOOKUP($I292,'[1]Table S6'!$A:$AI,7,FALSE)</f>
        <v>#N/A</v>
      </c>
      <c r="P292" t="e">
        <f>VLOOKUP($I292,'[1]Table S6'!$A:$AI,8,FALSE)</f>
        <v>#N/A</v>
      </c>
      <c r="Q292" t="e">
        <f>VLOOKUP($I292,'[1]Table S6'!$A:$AI,9,FALSE)</f>
        <v>#N/A</v>
      </c>
      <c r="R292" t="e">
        <f>VLOOKUP($I292,'[1]Table S6'!$A:$AI,10,FALSE)</f>
        <v>#N/A</v>
      </c>
      <c r="T292" t="e">
        <f>VLOOKUP($I292,'[1]Table S6'!$A:$AI,12,FALSE)</f>
        <v>#N/A</v>
      </c>
      <c r="U292" t="e">
        <f>VLOOKUP($I292,'[1]Table S6'!$A:$AI,13,FALSE)</f>
        <v>#N/A</v>
      </c>
      <c r="V292" t="e">
        <f>VLOOKUP($I292,'[1]Table S6'!$A:$AI,14,FALSE)</f>
        <v>#N/A</v>
      </c>
      <c r="W292" t="e">
        <f>VLOOKUP($I292,'[1]Table S6'!$A:$AI,15,FALSE)</f>
        <v>#N/A</v>
      </c>
      <c r="Y292" t="e">
        <f>VLOOKUP($I292,'[1]Table S6'!$A:$AI,17,FALSE)</f>
        <v>#N/A</v>
      </c>
      <c r="Z292" t="e">
        <f>VLOOKUP($I292,'[1]Table S6'!$A:$AI,18,FALSE)</f>
        <v>#N/A</v>
      </c>
      <c r="AA292" t="e">
        <f>VLOOKUP($I292,'[1]Table S6'!$A:$AI,19,FALSE)</f>
        <v>#N/A</v>
      </c>
      <c r="AB292" t="e">
        <f>VLOOKUP($I292,'[1]Table S6'!$A:$AI,20,FALSE)</f>
        <v>#N/A</v>
      </c>
      <c r="AD292" t="e">
        <f>VLOOKUP($I292,'[1]Table S6'!$A:$AI,22,FALSE)</f>
        <v>#N/A</v>
      </c>
      <c r="AE292" t="e">
        <f>VLOOKUP($I292,'[1]Table S6'!$A:$AI,23,FALSE)</f>
        <v>#N/A</v>
      </c>
      <c r="AF292" t="e">
        <f>VLOOKUP($I292,'[1]Table S6'!$A:$AI,24,FALSE)</f>
        <v>#N/A</v>
      </c>
      <c r="AG292" t="e">
        <f>VLOOKUP($I292,'[1]Table S6'!$A:$AI,25,FALSE)</f>
        <v>#N/A</v>
      </c>
      <c r="AI292" t="e">
        <f>VLOOKUP($I292,'[1]Table S6'!$A:$AI,27,FALSE)</f>
        <v>#N/A</v>
      </c>
      <c r="AJ292" t="e">
        <f>VLOOKUP($I292,'[1]Table S6'!$A:$AI,28,FALSE)</f>
        <v>#N/A</v>
      </c>
      <c r="AK292" t="e">
        <f>VLOOKUP($I292,'[1]Table S6'!$A:$AI,29,FALSE)</f>
        <v>#N/A</v>
      </c>
      <c r="AL292" t="e">
        <f>VLOOKUP($I292,'[1]Table S6'!$A:$AI,30,FALSE)</f>
        <v>#N/A</v>
      </c>
      <c r="AN292" t="e">
        <f>VLOOKUP($I292,'[1]Table S6'!$A:$AI,32,FALSE)</f>
        <v>#N/A</v>
      </c>
      <c r="AO292" t="e">
        <f>VLOOKUP($I292,'[1]Table S6'!$A:$AI,33,FALSE)</f>
        <v>#N/A</v>
      </c>
      <c r="AP292" t="e">
        <f>VLOOKUP($I292,'[1]Table S6'!$A:$AI,34,FALSE)</f>
        <v>#N/A</v>
      </c>
      <c r="AQ292" t="e">
        <f>VLOOKUP($I292,'[1]Table S6'!$A:$AI,35,FALSE)</f>
        <v>#N/A</v>
      </c>
      <c r="AS292" t="e">
        <f>VLOOKUP($H292,'[2]Table S5'!$A:$K,8,FALSE)</f>
        <v>#N/A</v>
      </c>
      <c r="AT292" t="e">
        <f>VLOOKUP($H292,'[2]Table S5'!$A:$K,9,FALSE)</f>
        <v>#N/A</v>
      </c>
      <c r="AU292" t="e">
        <f>VLOOKUP($H292,'[2]Table S5'!$A:$K,10,FALSE)</f>
        <v>#N/A</v>
      </c>
      <c r="AV292" t="e">
        <f>VLOOKUP($H292,'[2]Table S5'!$A:$K,11,FALSE)</f>
        <v>#N/A</v>
      </c>
    </row>
    <row r="293" spans="1:48">
      <c r="A293" t="s">
        <v>2215</v>
      </c>
      <c r="B293" t="s">
        <v>2216</v>
      </c>
      <c r="C293" t="s">
        <v>17</v>
      </c>
      <c r="D293" t="s">
        <v>2218</v>
      </c>
      <c r="E293" t="s">
        <v>2219</v>
      </c>
      <c r="F293" t="s">
        <v>2220</v>
      </c>
      <c r="G293" t="s">
        <v>4750</v>
      </c>
      <c r="H293" t="s">
        <v>2221</v>
      </c>
      <c r="I293" t="s">
        <v>2221</v>
      </c>
      <c r="J293" t="e">
        <f>VLOOKUP($I293,'[1]Table S6'!$A:$AI,2,FALSE)</f>
        <v>#N/A</v>
      </c>
      <c r="K293" t="e">
        <f>VLOOKUP($I293,'[1]Table S6'!$A:$AI,3,FALSE)</f>
        <v>#N/A</v>
      </c>
      <c r="L293" t="e">
        <f>VLOOKUP($I293,'[1]Table S6'!$A:$AI,4,FALSE)</f>
        <v>#N/A</v>
      </c>
      <c r="M293" t="e">
        <f>VLOOKUP($I293,'[1]Table S6'!$A:$AI,5,FALSE)</f>
        <v>#N/A</v>
      </c>
      <c r="O293" t="e">
        <f>VLOOKUP($I293,'[1]Table S6'!$A:$AI,7,FALSE)</f>
        <v>#N/A</v>
      </c>
      <c r="P293" t="e">
        <f>VLOOKUP($I293,'[1]Table S6'!$A:$AI,8,FALSE)</f>
        <v>#N/A</v>
      </c>
      <c r="Q293" t="e">
        <f>VLOOKUP($I293,'[1]Table S6'!$A:$AI,9,FALSE)</f>
        <v>#N/A</v>
      </c>
      <c r="R293" t="e">
        <f>VLOOKUP($I293,'[1]Table S6'!$A:$AI,10,FALSE)</f>
        <v>#N/A</v>
      </c>
      <c r="T293" t="e">
        <f>VLOOKUP($I293,'[1]Table S6'!$A:$AI,12,FALSE)</f>
        <v>#N/A</v>
      </c>
      <c r="U293" t="e">
        <f>VLOOKUP($I293,'[1]Table S6'!$A:$AI,13,FALSE)</f>
        <v>#N/A</v>
      </c>
      <c r="V293" t="e">
        <f>VLOOKUP($I293,'[1]Table S6'!$A:$AI,14,FALSE)</f>
        <v>#N/A</v>
      </c>
      <c r="W293" t="e">
        <f>VLOOKUP($I293,'[1]Table S6'!$A:$AI,15,FALSE)</f>
        <v>#N/A</v>
      </c>
      <c r="Y293" t="e">
        <f>VLOOKUP($I293,'[1]Table S6'!$A:$AI,17,FALSE)</f>
        <v>#N/A</v>
      </c>
      <c r="Z293" t="e">
        <f>VLOOKUP($I293,'[1]Table S6'!$A:$AI,18,FALSE)</f>
        <v>#N/A</v>
      </c>
      <c r="AA293" t="e">
        <f>VLOOKUP($I293,'[1]Table S6'!$A:$AI,19,FALSE)</f>
        <v>#N/A</v>
      </c>
      <c r="AB293" t="e">
        <f>VLOOKUP($I293,'[1]Table S6'!$A:$AI,20,FALSE)</f>
        <v>#N/A</v>
      </c>
      <c r="AD293" t="e">
        <f>VLOOKUP($I293,'[1]Table S6'!$A:$AI,22,FALSE)</f>
        <v>#N/A</v>
      </c>
      <c r="AE293" t="e">
        <f>VLOOKUP($I293,'[1]Table S6'!$A:$AI,23,FALSE)</f>
        <v>#N/A</v>
      </c>
      <c r="AF293" t="e">
        <f>VLOOKUP($I293,'[1]Table S6'!$A:$AI,24,FALSE)</f>
        <v>#N/A</v>
      </c>
      <c r="AG293" t="e">
        <f>VLOOKUP($I293,'[1]Table S6'!$A:$AI,25,FALSE)</f>
        <v>#N/A</v>
      </c>
      <c r="AI293" t="e">
        <f>VLOOKUP($I293,'[1]Table S6'!$A:$AI,27,FALSE)</f>
        <v>#N/A</v>
      </c>
      <c r="AJ293" t="e">
        <f>VLOOKUP($I293,'[1]Table S6'!$A:$AI,28,FALSE)</f>
        <v>#N/A</v>
      </c>
      <c r="AK293" t="e">
        <f>VLOOKUP($I293,'[1]Table S6'!$A:$AI,29,FALSE)</f>
        <v>#N/A</v>
      </c>
      <c r="AL293" t="e">
        <f>VLOOKUP($I293,'[1]Table S6'!$A:$AI,30,FALSE)</f>
        <v>#N/A</v>
      </c>
      <c r="AN293" t="e">
        <f>VLOOKUP($I293,'[1]Table S6'!$A:$AI,32,FALSE)</f>
        <v>#N/A</v>
      </c>
      <c r="AO293" t="e">
        <f>VLOOKUP($I293,'[1]Table S6'!$A:$AI,33,FALSE)</f>
        <v>#N/A</v>
      </c>
      <c r="AP293" t="e">
        <f>VLOOKUP($I293,'[1]Table S6'!$A:$AI,34,FALSE)</f>
        <v>#N/A</v>
      </c>
      <c r="AQ293" t="e">
        <f>VLOOKUP($I293,'[1]Table S6'!$A:$AI,35,FALSE)</f>
        <v>#N/A</v>
      </c>
      <c r="AS293" t="e">
        <f>VLOOKUP($H293,'[2]Table S5'!$A:$K,8,FALSE)</f>
        <v>#N/A</v>
      </c>
      <c r="AT293" t="e">
        <f>VLOOKUP($H293,'[2]Table S5'!$A:$K,9,FALSE)</f>
        <v>#N/A</v>
      </c>
      <c r="AU293" t="e">
        <f>VLOOKUP($H293,'[2]Table S5'!$A:$K,10,FALSE)</f>
        <v>#N/A</v>
      </c>
      <c r="AV293" t="e">
        <f>VLOOKUP($H293,'[2]Table S5'!$A:$K,11,FALSE)</f>
        <v>#N/A</v>
      </c>
    </row>
    <row r="294" spans="1:48">
      <c r="A294" t="s">
        <v>2223</v>
      </c>
      <c r="B294" t="s">
        <v>2224</v>
      </c>
      <c r="C294" t="s">
        <v>17</v>
      </c>
      <c r="D294" t="s">
        <v>2226</v>
      </c>
      <c r="E294" t="s">
        <v>2227</v>
      </c>
      <c r="F294" t="s">
        <v>2228</v>
      </c>
      <c r="G294" t="s">
        <v>4757</v>
      </c>
      <c r="H294" t="s">
        <v>2221</v>
      </c>
      <c r="I294" t="s">
        <v>2221</v>
      </c>
      <c r="J294" t="e">
        <f>VLOOKUP($I294,'[1]Table S6'!$A:$AI,2,FALSE)</f>
        <v>#N/A</v>
      </c>
      <c r="K294" t="e">
        <f>VLOOKUP($I294,'[1]Table S6'!$A:$AI,3,FALSE)</f>
        <v>#N/A</v>
      </c>
      <c r="L294" t="e">
        <f>VLOOKUP($I294,'[1]Table S6'!$A:$AI,4,FALSE)</f>
        <v>#N/A</v>
      </c>
      <c r="M294" t="e">
        <f>VLOOKUP($I294,'[1]Table S6'!$A:$AI,5,FALSE)</f>
        <v>#N/A</v>
      </c>
      <c r="O294" t="e">
        <f>VLOOKUP($I294,'[1]Table S6'!$A:$AI,7,FALSE)</f>
        <v>#N/A</v>
      </c>
      <c r="P294" t="e">
        <f>VLOOKUP($I294,'[1]Table S6'!$A:$AI,8,FALSE)</f>
        <v>#N/A</v>
      </c>
      <c r="Q294" t="e">
        <f>VLOOKUP($I294,'[1]Table S6'!$A:$AI,9,FALSE)</f>
        <v>#N/A</v>
      </c>
      <c r="R294" t="e">
        <f>VLOOKUP($I294,'[1]Table S6'!$A:$AI,10,FALSE)</f>
        <v>#N/A</v>
      </c>
      <c r="T294" t="e">
        <f>VLOOKUP($I294,'[1]Table S6'!$A:$AI,12,FALSE)</f>
        <v>#N/A</v>
      </c>
      <c r="U294" t="e">
        <f>VLOOKUP($I294,'[1]Table S6'!$A:$AI,13,FALSE)</f>
        <v>#N/A</v>
      </c>
      <c r="V294" t="e">
        <f>VLOOKUP($I294,'[1]Table S6'!$A:$AI,14,FALSE)</f>
        <v>#N/A</v>
      </c>
      <c r="W294" t="e">
        <f>VLOOKUP($I294,'[1]Table S6'!$A:$AI,15,FALSE)</f>
        <v>#N/A</v>
      </c>
      <c r="Y294" t="e">
        <f>VLOOKUP($I294,'[1]Table S6'!$A:$AI,17,FALSE)</f>
        <v>#N/A</v>
      </c>
      <c r="Z294" t="e">
        <f>VLOOKUP($I294,'[1]Table S6'!$A:$AI,18,FALSE)</f>
        <v>#N/A</v>
      </c>
      <c r="AA294" t="e">
        <f>VLOOKUP($I294,'[1]Table S6'!$A:$AI,19,FALSE)</f>
        <v>#N/A</v>
      </c>
      <c r="AB294" t="e">
        <f>VLOOKUP($I294,'[1]Table S6'!$A:$AI,20,FALSE)</f>
        <v>#N/A</v>
      </c>
      <c r="AD294" t="e">
        <f>VLOOKUP($I294,'[1]Table S6'!$A:$AI,22,FALSE)</f>
        <v>#N/A</v>
      </c>
      <c r="AE294" t="e">
        <f>VLOOKUP($I294,'[1]Table S6'!$A:$AI,23,FALSE)</f>
        <v>#N/A</v>
      </c>
      <c r="AF294" t="e">
        <f>VLOOKUP($I294,'[1]Table S6'!$A:$AI,24,FALSE)</f>
        <v>#N/A</v>
      </c>
      <c r="AG294" t="e">
        <f>VLOOKUP($I294,'[1]Table S6'!$A:$AI,25,FALSE)</f>
        <v>#N/A</v>
      </c>
      <c r="AI294" t="e">
        <f>VLOOKUP($I294,'[1]Table S6'!$A:$AI,27,FALSE)</f>
        <v>#N/A</v>
      </c>
      <c r="AJ294" t="e">
        <f>VLOOKUP($I294,'[1]Table S6'!$A:$AI,28,FALSE)</f>
        <v>#N/A</v>
      </c>
      <c r="AK294" t="e">
        <f>VLOOKUP($I294,'[1]Table S6'!$A:$AI,29,FALSE)</f>
        <v>#N/A</v>
      </c>
      <c r="AL294" t="e">
        <f>VLOOKUP($I294,'[1]Table S6'!$A:$AI,30,FALSE)</f>
        <v>#N/A</v>
      </c>
      <c r="AN294" t="e">
        <f>VLOOKUP($I294,'[1]Table S6'!$A:$AI,32,FALSE)</f>
        <v>#N/A</v>
      </c>
      <c r="AO294" t="e">
        <f>VLOOKUP($I294,'[1]Table S6'!$A:$AI,33,FALSE)</f>
        <v>#N/A</v>
      </c>
      <c r="AP294" t="e">
        <f>VLOOKUP($I294,'[1]Table S6'!$A:$AI,34,FALSE)</f>
        <v>#N/A</v>
      </c>
      <c r="AQ294" t="e">
        <f>VLOOKUP($I294,'[1]Table S6'!$A:$AI,35,FALSE)</f>
        <v>#N/A</v>
      </c>
      <c r="AS294" t="e">
        <f>VLOOKUP($H294,'[2]Table S5'!$A:$K,8,FALSE)</f>
        <v>#N/A</v>
      </c>
      <c r="AT294" t="e">
        <f>VLOOKUP($H294,'[2]Table S5'!$A:$K,9,FALSE)</f>
        <v>#N/A</v>
      </c>
      <c r="AU294" t="e">
        <f>VLOOKUP($H294,'[2]Table S5'!$A:$K,10,FALSE)</f>
        <v>#N/A</v>
      </c>
      <c r="AV294" t="e">
        <f>VLOOKUP($H294,'[2]Table S5'!$A:$K,11,FALSE)</f>
        <v>#N/A</v>
      </c>
    </row>
    <row r="295" spans="1:48">
      <c r="A295" t="s">
        <v>2230</v>
      </c>
      <c r="B295" t="s">
        <v>2231</v>
      </c>
      <c r="C295" t="s">
        <v>17</v>
      </c>
      <c r="D295" t="s">
        <v>2233</v>
      </c>
      <c r="E295" t="s">
        <v>2234</v>
      </c>
      <c r="F295" t="s">
        <v>2235</v>
      </c>
      <c r="G295" t="s">
        <v>4757</v>
      </c>
      <c r="H295" t="s">
        <v>2236</v>
      </c>
      <c r="I295" t="s">
        <v>2236</v>
      </c>
      <c r="J295" t="e">
        <f>VLOOKUP($I295,'[1]Table S6'!$A:$AI,2,FALSE)</f>
        <v>#N/A</v>
      </c>
      <c r="K295" t="e">
        <f>VLOOKUP($I295,'[1]Table S6'!$A:$AI,3,FALSE)</f>
        <v>#N/A</v>
      </c>
      <c r="L295" t="e">
        <f>VLOOKUP($I295,'[1]Table S6'!$A:$AI,4,FALSE)</f>
        <v>#N/A</v>
      </c>
      <c r="M295" t="e">
        <f>VLOOKUP($I295,'[1]Table S6'!$A:$AI,5,FALSE)</f>
        <v>#N/A</v>
      </c>
      <c r="O295" t="e">
        <f>VLOOKUP($I295,'[1]Table S6'!$A:$AI,7,FALSE)</f>
        <v>#N/A</v>
      </c>
      <c r="P295" t="e">
        <f>VLOOKUP($I295,'[1]Table S6'!$A:$AI,8,FALSE)</f>
        <v>#N/A</v>
      </c>
      <c r="Q295" t="e">
        <f>VLOOKUP($I295,'[1]Table S6'!$A:$AI,9,FALSE)</f>
        <v>#N/A</v>
      </c>
      <c r="R295" t="e">
        <f>VLOOKUP($I295,'[1]Table S6'!$A:$AI,10,FALSE)</f>
        <v>#N/A</v>
      </c>
      <c r="T295" t="e">
        <f>VLOOKUP($I295,'[1]Table S6'!$A:$AI,12,FALSE)</f>
        <v>#N/A</v>
      </c>
      <c r="U295" t="e">
        <f>VLOOKUP($I295,'[1]Table S6'!$A:$AI,13,FALSE)</f>
        <v>#N/A</v>
      </c>
      <c r="V295" t="e">
        <f>VLOOKUP($I295,'[1]Table S6'!$A:$AI,14,FALSE)</f>
        <v>#N/A</v>
      </c>
      <c r="W295" t="e">
        <f>VLOOKUP($I295,'[1]Table S6'!$A:$AI,15,FALSE)</f>
        <v>#N/A</v>
      </c>
      <c r="Y295" t="e">
        <f>VLOOKUP($I295,'[1]Table S6'!$A:$AI,17,FALSE)</f>
        <v>#N/A</v>
      </c>
      <c r="Z295" t="e">
        <f>VLOOKUP($I295,'[1]Table S6'!$A:$AI,18,FALSE)</f>
        <v>#N/A</v>
      </c>
      <c r="AA295" t="e">
        <f>VLOOKUP($I295,'[1]Table S6'!$A:$AI,19,FALSE)</f>
        <v>#N/A</v>
      </c>
      <c r="AB295" t="e">
        <f>VLOOKUP($I295,'[1]Table S6'!$A:$AI,20,FALSE)</f>
        <v>#N/A</v>
      </c>
      <c r="AD295" t="e">
        <f>VLOOKUP($I295,'[1]Table S6'!$A:$AI,22,FALSE)</f>
        <v>#N/A</v>
      </c>
      <c r="AE295" t="e">
        <f>VLOOKUP($I295,'[1]Table S6'!$A:$AI,23,FALSE)</f>
        <v>#N/A</v>
      </c>
      <c r="AF295" t="e">
        <f>VLOOKUP($I295,'[1]Table S6'!$A:$AI,24,FALSE)</f>
        <v>#N/A</v>
      </c>
      <c r="AG295" t="e">
        <f>VLOOKUP($I295,'[1]Table S6'!$A:$AI,25,FALSE)</f>
        <v>#N/A</v>
      </c>
      <c r="AI295" t="e">
        <f>VLOOKUP($I295,'[1]Table S6'!$A:$AI,27,FALSE)</f>
        <v>#N/A</v>
      </c>
      <c r="AJ295" t="e">
        <f>VLOOKUP($I295,'[1]Table S6'!$A:$AI,28,FALSE)</f>
        <v>#N/A</v>
      </c>
      <c r="AK295" t="e">
        <f>VLOOKUP($I295,'[1]Table S6'!$A:$AI,29,FALSE)</f>
        <v>#N/A</v>
      </c>
      <c r="AL295" t="e">
        <f>VLOOKUP($I295,'[1]Table S6'!$A:$AI,30,FALSE)</f>
        <v>#N/A</v>
      </c>
      <c r="AN295" t="e">
        <f>VLOOKUP($I295,'[1]Table S6'!$A:$AI,32,FALSE)</f>
        <v>#N/A</v>
      </c>
      <c r="AO295" t="e">
        <f>VLOOKUP($I295,'[1]Table S6'!$A:$AI,33,FALSE)</f>
        <v>#N/A</v>
      </c>
      <c r="AP295" t="e">
        <f>VLOOKUP($I295,'[1]Table S6'!$A:$AI,34,FALSE)</f>
        <v>#N/A</v>
      </c>
      <c r="AQ295" t="e">
        <f>VLOOKUP($I295,'[1]Table S6'!$A:$AI,35,FALSE)</f>
        <v>#N/A</v>
      </c>
      <c r="AS295" t="e">
        <f>VLOOKUP($H295,'[2]Table S5'!$A:$K,8,FALSE)</f>
        <v>#N/A</v>
      </c>
      <c r="AT295" t="e">
        <f>VLOOKUP($H295,'[2]Table S5'!$A:$K,9,FALSE)</f>
        <v>#N/A</v>
      </c>
      <c r="AU295" t="e">
        <f>VLOOKUP($H295,'[2]Table S5'!$A:$K,10,FALSE)</f>
        <v>#N/A</v>
      </c>
      <c r="AV295" t="e">
        <f>VLOOKUP($H295,'[2]Table S5'!$A:$K,11,FALSE)</f>
        <v>#N/A</v>
      </c>
    </row>
    <row r="296" spans="1:48">
      <c r="A296" t="s">
        <v>2238</v>
      </c>
      <c r="B296" t="s">
        <v>2239</v>
      </c>
      <c r="C296" t="s">
        <v>17</v>
      </c>
      <c r="D296" t="s">
        <v>2241</v>
      </c>
      <c r="E296" t="s">
        <v>2242</v>
      </c>
      <c r="F296" t="s">
        <v>2243</v>
      </c>
      <c r="G296" t="s">
        <v>4750</v>
      </c>
      <c r="H296" t="s">
        <v>2236</v>
      </c>
      <c r="I296" t="s">
        <v>2236</v>
      </c>
      <c r="J296" t="e">
        <f>VLOOKUP($I296,'[1]Table S6'!$A:$AI,2,FALSE)</f>
        <v>#N/A</v>
      </c>
      <c r="K296" t="e">
        <f>VLOOKUP($I296,'[1]Table S6'!$A:$AI,3,FALSE)</f>
        <v>#N/A</v>
      </c>
      <c r="L296" t="e">
        <f>VLOOKUP($I296,'[1]Table S6'!$A:$AI,4,FALSE)</f>
        <v>#N/A</v>
      </c>
      <c r="M296" t="e">
        <f>VLOOKUP($I296,'[1]Table S6'!$A:$AI,5,FALSE)</f>
        <v>#N/A</v>
      </c>
      <c r="O296" t="e">
        <f>VLOOKUP($I296,'[1]Table S6'!$A:$AI,7,FALSE)</f>
        <v>#N/A</v>
      </c>
      <c r="P296" t="e">
        <f>VLOOKUP($I296,'[1]Table S6'!$A:$AI,8,FALSE)</f>
        <v>#N/A</v>
      </c>
      <c r="Q296" t="e">
        <f>VLOOKUP($I296,'[1]Table S6'!$A:$AI,9,FALSE)</f>
        <v>#N/A</v>
      </c>
      <c r="R296" t="e">
        <f>VLOOKUP($I296,'[1]Table S6'!$A:$AI,10,FALSE)</f>
        <v>#N/A</v>
      </c>
      <c r="T296" t="e">
        <f>VLOOKUP($I296,'[1]Table S6'!$A:$AI,12,FALSE)</f>
        <v>#N/A</v>
      </c>
      <c r="U296" t="e">
        <f>VLOOKUP($I296,'[1]Table S6'!$A:$AI,13,FALSE)</f>
        <v>#N/A</v>
      </c>
      <c r="V296" t="e">
        <f>VLOOKUP($I296,'[1]Table S6'!$A:$AI,14,FALSE)</f>
        <v>#N/A</v>
      </c>
      <c r="W296" t="e">
        <f>VLOOKUP($I296,'[1]Table S6'!$A:$AI,15,FALSE)</f>
        <v>#N/A</v>
      </c>
      <c r="Y296" t="e">
        <f>VLOOKUP($I296,'[1]Table S6'!$A:$AI,17,FALSE)</f>
        <v>#N/A</v>
      </c>
      <c r="Z296" t="e">
        <f>VLOOKUP($I296,'[1]Table S6'!$A:$AI,18,FALSE)</f>
        <v>#N/A</v>
      </c>
      <c r="AA296" t="e">
        <f>VLOOKUP($I296,'[1]Table S6'!$A:$AI,19,FALSE)</f>
        <v>#N/A</v>
      </c>
      <c r="AB296" t="e">
        <f>VLOOKUP($I296,'[1]Table S6'!$A:$AI,20,FALSE)</f>
        <v>#N/A</v>
      </c>
      <c r="AD296" t="e">
        <f>VLOOKUP($I296,'[1]Table S6'!$A:$AI,22,FALSE)</f>
        <v>#N/A</v>
      </c>
      <c r="AE296" t="e">
        <f>VLOOKUP($I296,'[1]Table S6'!$A:$AI,23,FALSE)</f>
        <v>#N/A</v>
      </c>
      <c r="AF296" t="e">
        <f>VLOOKUP($I296,'[1]Table S6'!$A:$AI,24,FALSE)</f>
        <v>#N/A</v>
      </c>
      <c r="AG296" t="e">
        <f>VLOOKUP($I296,'[1]Table S6'!$A:$AI,25,FALSE)</f>
        <v>#N/A</v>
      </c>
      <c r="AI296" t="e">
        <f>VLOOKUP($I296,'[1]Table S6'!$A:$AI,27,FALSE)</f>
        <v>#N/A</v>
      </c>
      <c r="AJ296" t="e">
        <f>VLOOKUP($I296,'[1]Table S6'!$A:$AI,28,FALSE)</f>
        <v>#N/A</v>
      </c>
      <c r="AK296" t="e">
        <f>VLOOKUP($I296,'[1]Table S6'!$A:$AI,29,FALSE)</f>
        <v>#N/A</v>
      </c>
      <c r="AL296" t="e">
        <f>VLOOKUP($I296,'[1]Table S6'!$A:$AI,30,FALSE)</f>
        <v>#N/A</v>
      </c>
      <c r="AN296" t="e">
        <f>VLOOKUP($I296,'[1]Table S6'!$A:$AI,32,FALSE)</f>
        <v>#N/A</v>
      </c>
      <c r="AO296" t="e">
        <f>VLOOKUP($I296,'[1]Table S6'!$A:$AI,33,FALSE)</f>
        <v>#N/A</v>
      </c>
      <c r="AP296" t="e">
        <f>VLOOKUP($I296,'[1]Table S6'!$A:$AI,34,FALSE)</f>
        <v>#N/A</v>
      </c>
      <c r="AQ296" t="e">
        <f>VLOOKUP($I296,'[1]Table S6'!$A:$AI,35,FALSE)</f>
        <v>#N/A</v>
      </c>
      <c r="AS296" t="e">
        <f>VLOOKUP($H296,'[2]Table S5'!$A:$K,8,FALSE)</f>
        <v>#N/A</v>
      </c>
      <c r="AT296" t="e">
        <f>VLOOKUP($H296,'[2]Table S5'!$A:$K,9,FALSE)</f>
        <v>#N/A</v>
      </c>
      <c r="AU296" t="e">
        <f>VLOOKUP($H296,'[2]Table S5'!$A:$K,10,FALSE)</f>
        <v>#N/A</v>
      </c>
      <c r="AV296" t="e">
        <f>VLOOKUP($H296,'[2]Table S5'!$A:$K,11,FALSE)</f>
        <v>#N/A</v>
      </c>
    </row>
    <row r="297" spans="1:48">
      <c r="A297" t="s">
        <v>2245</v>
      </c>
      <c r="B297" t="s">
        <v>2246</v>
      </c>
      <c r="C297" t="s">
        <v>17</v>
      </c>
      <c r="D297" t="s">
        <v>2248</v>
      </c>
      <c r="E297" t="s">
        <v>2249</v>
      </c>
      <c r="F297" t="s">
        <v>2250</v>
      </c>
      <c r="G297" t="s">
        <v>4750</v>
      </c>
      <c r="H297" t="s">
        <v>2251</v>
      </c>
      <c r="I297" t="s">
        <v>2251</v>
      </c>
      <c r="J297" t="e">
        <f>VLOOKUP($I297,'[1]Table S6'!$A:$AI,2,FALSE)</f>
        <v>#N/A</v>
      </c>
      <c r="K297" t="e">
        <f>VLOOKUP($I297,'[1]Table S6'!$A:$AI,3,FALSE)</f>
        <v>#N/A</v>
      </c>
      <c r="L297" t="e">
        <f>VLOOKUP($I297,'[1]Table S6'!$A:$AI,4,FALSE)</f>
        <v>#N/A</v>
      </c>
      <c r="M297" t="e">
        <f>VLOOKUP($I297,'[1]Table S6'!$A:$AI,5,FALSE)</f>
        <v>#N/A</v>
      </c>
      <c r="O297" t="e">
        <f>VLOOKUP($I297,'[1]Table S6'!$A:$AI,7,FALSE)</f>
        <v>#N/A</v>
      </c>
      <c r="P297" t="e">
        <f>VLOOKUP($I297,'[1]Table S6'!$A:$AI,8,FALSE)</f>
        <v>#N/A</v>
      </c>
      <c r="Q297" t="e">
        <f>VLOOKUP($I297,'[1]Table S6'!$A:$AI,9,FALSE)</f>
        <v>#N/A</v>
      </c>
      <c r="R297" t="e">
        <f>VLOOKUP($I297,'[1]Table S6'!$A:$AI,10,FALSE)</f>
        <v>#N/A</v>
      </c>
      <c r="T297" t="e">
        <f>VLOOKUP($I297,'[1]Table S6'!$A:$AI,12,FALSE)</f>
        <v>#N/A</v>
      </c>
      <c r="U297" t="e">
        <f>VLOOKUP($I297,'[1]Table S6'!$A:$AI,13,FALSE)</f>
        <v>#N/A</v>
      </c>
      <c r="V297" t="e">
        <f>VLOOKUP($I297,'[1]Table S6'!$A:$AI,14,FALSE)</f>
        <v>#N/A</v>
      </c>
      <c r="W297" t="e">
        <f>VLOOKUP($I297,'[1]Table S6'!$A:$AI,15,FALSE)</f>
        <v>#N/A</v>
      </c>
      <c r="Y297" t="e">
        <f>VLOOKUP($I297,'[1]Table S6'!$A:$AI,17,FALSE)</f>
        <v>#N/A</v>
      </c>
      <c r="Z297" t="e">
        <f>VLOOKUP($I297,'[1]Table S6'!$A:$AI,18,FALSE)</f>
        <v>#N/A</v>
      </c>
      <c r="AA297" t="e">
        <f>VLOOKUP($I297,'[1]Table S6'!$A:$AI,19,FALSE)</f>
        <v>#N/A</v>
      </c>
      <c r="AB297" t="e">
        <f>VLOOKUP($I297,'[1]Table S6'!$A:$AI,20,FALSE)</f>
        <v>#N/A</v>
      </c>
      <c r="AD297" t="e">
        <f>VLOOKUP($I297,'[1]Table S6'!$A:$AI,22,FALSE)</f>
        <v>#N/A</v>
      </c>
      <c r="AE297" t="e">
        <f>VLOOKUP($I297,'[1]Table S6'!$A:$AI,23,FALSE)</f>
        <v>#N/A</v>
      </c>
      <c r="AF297" t="e">
        <f>VLOOKUP($I297,'[1]Table S6'!$A:$AI,24,FALSE)</f>
        <v>#N/A</v>
      </c>
      <c r="AG297" t="e">
        <f>VLOOKUP($I297,'[1]Table S6'!$A:$AI,25,FALSE)</f>
        <v>#N/A</v>
      </c>
      <c r="AI297" t="e">
        <f>VLOOKUP($I297,'[1]Table S6'!$A:$AI,27,FALSE)</f>
        <v>#N/A</v>
      </c>
      <c r="AJ297" t="e">
        <f>VLOOKUP($I297,'[1]Table S6'!$A:$AI,28,FALSE)</f>
        <v>#N/A</v>
      </c>
      <c r="AK297" t="e">
        <f>VLOOKUP($I297,'[1]Table S6'!$A:$AI,29,FALSE)</f>
        <v>#N/A</v>
      </c>
      <c r="AL297" t="e">
        <f>VLOOKUP($I297,'[1]Table S6'!$A:$AI,30,FALSE)</f>
        <v>#N/A</v>
      </c>
      <c r="AN297" t="e">
        <f>VLOOKUP($I297,'[1]Table S6'!$A:$AI,32,FALSE)</f>
        <v>#N/A</v>
      </c>
      <c r="AO297" t="e">
        <f>VLOOKUP($I297,'[1]Table S6'!$A:$AI,33,FALSE)</f>
        <v>#N/A</v>
      </c>
      <c r="AP297" t="e">
        <f>VLOOKUP($I297,'[1]Table S6'!$A:$AI,34,FALSE)</f>
        <v>#N/A</v>
      </c>
      <c r="AQ297" t="e">
        <f>VLOOKUP($I297,'[1]Table S6'!$A:$AI,35,FALSE)</f>
        <v>#N/A</v>
      </c>
      <c r="AS297" t="e">
        <f>VLOOKUP($H297,'[2]Table S5'!$A:$K,8,FALSE)</f>
        <v>#N/A</v>
      </c>
      <c r="AT297" t="e">
        <f>VLOOKUP($H297,'[2]Table S5'!$A:$K,9,FALSE)</f>
        <v>#N/A</v>
      </c>
      <c r="AU297" t="e">
        <f>VLOOKUP($H297,'[2]Table S5'!$A:$K,10,FALSE)</f>
        <v>#N/A</v>
      </c>
      <c r="AV297" t="e">
        <f>VLOOKUP($H297,'[2]Table S5'!$A:$K,11,FALSE)</f>
        <v>#N/A</v>
      </c>
    </row>
    <row r="298" spans="1:48">
      <c r="A298" t="s">
        <v>2253</v>
      </c>
      <c r="B298" t="s">
        <v>2254</v>
      </c>
      <c r="C298" t="s">
        <v>17</v>
      </c>
      <c r="D298" t="s">
        <v>2256</v>
      </c>
      <c r="E298" t="s">
        <v>2257</v>
      </c>
      <c r="F298" t="s">
        <v>2258</v>
      </c>
      <c r="G298" t="s">
        <v>4757</v>
      </c>
      <c r="H298" t="s">
        <v>2251</v>
      </c>
      <c r="I298" t="s">
        <v>2251</v>
      </c>
      <c r="J298" t="e">
        <f>VLOOKUP($I298,'[1]Table S6'!$A:$AI,2,FALSE)</f>
        <v>#N/A</v>
      </c>
      <c r="K298" t="e">
        <f>VLOOKUP($I298,'[1]Table S6'!$A:$AI,3,FALSE)</f>
        <v>#N/A</v>
      </c>
      <c r="L298" t="e">
        <f>VLOOKUP($I298,'[1]Table S6'!$A:$AI,4,FALSE)</f>
        <v>#N/A</v>
      </c>
      <c r="M298" t="e">
        <f>VLOOKUP($I298,'[1]Table S6'!$A:$AI,5,FALSE)</f>
        <v>#N/A</v>
      </c>
      <c r="O298" t="e">
        <f>VLOOKUP($I298,'[1]Table S6'!$A:$AI,7,FALSE)</f>
        <v>#N/A</v>
      </c>
      <c r="P298" t="e">
        <f>VLOOKUP($I298,'[1]Table S6'!$A:$AI,8,FALSE)</f>
        <v>#N/A</v>
      </c>
      <c r="Q298" t="e">
        <f>VLOOKUP($I298,'[1]Table S6'!$A:$AI,9,FALSE)</f>
        <v>#N/A</v>
      </c>
      <c r="R298" t="e">
        <f>VLOOKUP($I298,'[1]Table S6'!$A:$AI,10,FALSE)</f>
        <v>#N/A</v>
      </c>
      <c r="T298" t="e">
        <f>VLOOKUP($I298,'[1]Table S6'!$A:$AI,12,FALSE)</f>
        <v>#N/A</v>
      </c>
      <c r="U298" t="e">
        <f>VLOOKUP($I298,'[1]Table S6'!$A:$AI,13,FALSE)</f>
        <v>#N/A</v>
      </c>
      <c r="V298" t="e">
        <f>VLOOKUP($I298,'[1]Table S6'!$A:$AI,14,FALSE)</f>
        <v>#N/A</v>
      </c>
      <c r="W298" t="e">
        <f>VLOOKUP($I298,'[1]Table S6'!$A:$AI,15,FALSE)</f>
        <v>#N/A</v>
      </c>
      <c r="Y298" t="e">
        <f>VLOOKUP($I298,'[1]Table S6'!$A:$AI,17,FALSE)</f>
        <v>#N/A</v>
      </c>
      <c r="Z298" t="e">
        <f>VLOOKUP($I298,'[1]Table S6'!$A:$AI,18,FALSE)</f>
        <v>#N/A</v>
      </c>
      <c r="AA298" t="e">
        <f>VLOOKUP($I298,'[1]Table S6'!$A:$AI,19,FALSE)</f>
        <v>#N/A</v>
      </c>
      <c r="AB298" t="e">
        <f>VLOOKUP($I298,'[1]Table S6'!$A:$AI,20,FALSE)</f>
        <v>#N/A</v>
      </c>
      <c r="AD298" t="e">
        <f>VLOOKUP($I298,'[1]Table S6'!$A:$AI,22,FALSE)</f>
        <v>#N/A</v>
      </c>
      <c r="AE298" t="e">
        <f>VLOOKUP($I298,'[1]Table S6'!$A:$AI,23,FALSE)</f>
        <v>#N/A</v>
      </c>
      <c r="AF298" t="e">
        <f>VLOOKUP($I298,'[1]Table S6'!$A:$AI,24,FALSE)</f>
        <v>#N/A</v>
      </c>
      <c r="AG298" t="e">
        <f>VLOOKUP($I298,'[1]Table S6'!$A:$AI,25,FALSE)</f>
        <v>#N/A</v>
      </c>
      <c r="AI298" t="e">
        <f>VLOOKUP($I298,'[1]Table S6'!$A:$AI,27,FALSE)</f>
        <v>#N/A</v>
      </c>
      <c r="AJ298" t="e">
        <f>VLOOKUP($I298,'[1]Table S6'!$A:$AI,28,FALSE)</f>
        <v>#N/A</v>
      </c>
      <c r="AK298" t="e">
        <f>VLOOKUP($I298,'[1]Table S6'!$A:$AI,29,FALSE)</f>
        <v>#N/A</v>
      </c>
      <c r="AL298" t="e">
        <f>VLOOKUP($I298,'[1]Table S6'!$A:$AI,30,FALSE)</f>
        <v>#N/A</v>
      </c>
      <c r="AN298" t="e">
        <f>VLOOKUP($I298,'[1]Table S6'!$A:$AI,32,FALSE)</f>
        <v>#N/A</v>
      </c>
      <c r="AO298" t="e">
        <f>VLOOKUP($I298,'[1]Table S6'!$A:$AI,33,FALSE)</f>
        <v>#N/A</v>
      </c>
      <c r="AP298" t="e">
        <f>VLOOKUP($I298,'[1]Table S6'!$A:$AI,34,FALSE)</f>
        <v>#N/A</v>
      </c>
      <c r="AQ298" t="e">
        <f>VLOOKUP($I298,'[1]Table S6'!$A:$AI,35,FALSE)</f>
        <v>#N/A</v>
      </c>
      <c r="AS298" t="e">
        <f>VLOOKUP($H298,'[2]Table S5'!$A:$K,8,FALSE)</f>
        <v>#N/A</v>
      </c>
      <c r="AT298" t="e">
        <f>VLOOKUP($H298,'[2]Table S5'!$A:$K,9,FALSE)</f>
        <v>#N/A</v>
      </c>
      <c r="AU298" t="e">
        <f>VLOOKUP($H298,'[2]Table S5'!$A:$K,10,FALSE)</f>
        <v>#N/A</v>
      </c>
      <c r="AV298" t="e">
        <f>VLOOKUP($H298,'[2]Table S5'!$A:$K,11,FALSE)</f>
        <v>#N/A</v>
      </c>
    </row>
    <row r="299" spans="1:48">
      <c r="A299" t="s">
        <v>2260</v>
      </c>
      <c r="B299" t="s">
        <v>2261</v>
      </c>
      <c r="C299" t="s">
        <v>17</v>
      </c>
      <c r="D299" t="s">
        <v>2263</v>
      </c>
      <c r="E299" t="s">
        <v>2264</v>
      </c>
      <c r="F299" t="s">
        <v>2265</v>
      </c>
      <c r="G299" t="s">
        <v>4757</v>
      </c>
      <c r="H299" t="s">
        <v>2266</v>
      </c>
      <c r="I299" t="s">
        <v>2266</v>
      </c>
      <c r="J299" t="e">
        <f>VLOOKUP($I299,'[1]Table S6'!$A:$AI,2,FALSE)</f>
        <v>#N/A</v>
      </c>
      <c r="K299" t="e">
        <f>VLOOKUP($I299,'[1]Table S6'!$A:$AI,3,FALSE)</f>
        <v>#N/A</v>
      </c>
      <c r="L299" t="e">
        <f>VLOOKUP($I299,'[1]Table S6'!$A:$AI,4,FALSE)</f>
        <v>#N/A</v>
      </c>
      <c r="M299" t="e">
        <f>VLOOKUP($I299,'[1]Table S6'!$A:$AI,5,FALSE)</f>
        <v>#N/A</v>
      </c>
      <c r="O299" t="e">
        <f>VLOOKUP($I299,'[1]Table S6'!$A:$AI,7,FALSE)</f>
        <v>#N/A</v>
      </c>
      <c r="P299" t="e">
        <f>VLOOKUP($I299,'[1]Table S6'!$A:$AI,8,FALSE)</f>
        <v>#N/A</v>
      </c>
      <c r="Q299" t="e">
        <f>VLOOKUP($I299,'[1]Table S6'!$A:$AI,9,FALSE)</f>
        <v>#N/A</v>
      </c>
      <c r="R299" t="e">
        <f>VLOOKUP($I299,'[1]Table S6'!$A:$AI,10,FALSE)</f>
        <v>#N/A</v>
      </c>
      <c r="T299" t="e">
        <f>VLOOKUP($I299,'[1]Table S6'!$A:$AI,12,FALSE)</f>
        <v>#N/A</v>
      </c>
      <c r="U299" t="e">
        <f>VLOOKUP($I299,'[1]Table S6'!$A:$AI,13,FALSE)</f>
        <v>#N/A</v>
      </c>
      <c r="V299" t="e">
        <f>VLOOKUP($I299,'[1]Table S6'!$A:$AI,14,FALSE)</f>
        <v>#N/A</v>
      </c>
      <c r="W299" t="e">
        <f>VLOOKUP($I299,'[1]Table S6'!$A:$AI,15,FALSE)</f>
        <v>#N/A</v>
      </c>
      <c r="Y299" t="e">
        <f>VLOOKUP($I299,'[1]Table S6'!$A:$AI,17,FALSE)</f>
        <v>#N/A</v>
      </c>
      <c r="Z299" t="e">
        <f>VLOOKUP($I299,'[1]Table S6'!$A:$AI,18,FALSE)</f>
        <v>#N/A</v>
      </c>
      <c r="AA299" t="e">
        <f>VLOOKUP($I299,'[1]Table S6'!$A:$AI,19,FALSE)</f>
        <v>#N/A</v>
      </c>
      <c r="AB299" t="e">
        <f>VLOOKUP($I299,'[1]Table S6'!$A:$AI,20,FALSE)</f>
        <v>#N/A</v>
      </c>
      <c r="AD299" t="e">
        <f>VLOOKUP($I299,'[1]Table S6'!$A:$AI,22,FALSE)</f>
        <v>#N/A</v>
      </c>
      <c r="AE299" t="e">
        <f>VLOOKUP($I299,'[1]Table S6'!$A:$AI,23,FALSE)</f>
        <v>#N/A</v>
      </c>
      <c r="AF299" t="e">
        <f>VLOOKUP($I299,'[1]Table S6'!$A:$AI,24,FALSE)</f>
        <v>#N/A</v>
      </c>
      <c r="AG299" t="e">
        <f>VLOOKUP($I299,'[1]Table S6'!$A:$AI,25,FALSE)</f>
        <v>#N/A</v>
      </c>
      <c r="AI299" t="e">
        <f>VLOOKUP($I299,'[1]Table S6'!$A:$AI,27,FALSE)</f>
        <v>#N/A</v>
      </c>
      <c r="AJ299" t="e">
        <f>VLOOKUP($I299,'[1]Table S6'!$A:$AI,28,FALSE)</f>
        <v>#N/A</v>
      </c>
      <c r="AK299" t="e">
        <f>VLOOKUP($I299,'[1]Table S6'!$A:$AI,29,FALSE)</f>
        <v>#N/A</v>
      </c>
      <c r="AL299" t="e">
        <f>VLOOKUP($I299,'[1]Table S6'!$A:$AI,30,FALSE)</f>
        <v>#N/A</v>
      </c>
      <c r="AN299" t="e">
        <f>VLOOKUP($I299,'[1]Table S6'!$A:$AI,32,FALSE)</f>
        <v>#N/A</v>
      </c>
      <c r="AO299" t="e">
        <f>VLOOKUP($I299,'[1]Table S6'!$A:$AI,33,FALSE)</f>
        <v>#N/A</v>
      </c>
      <c r="AP299" t="e">
        <f>VLOOKUP($I299,'[1]Table S6'!$A:$AI,34,FALSE)</f>
        <v>#N/A</v>
      </c>
      <c r="AQ299" t="e">
        <f>VLOOKUP($I299,'[1]Table S6'!$A:$AI,35,FALSE)</f>
        <v>#N/A</v>
      </c>
      <c r="AS299" t="e">
        <f>VLOOKUP($H299,'[2]Table S5'!$A:$K,8,FALSE)</f>
        <v>#N/A</v>
      </c>
      <c r="AT299" t="e">
        <f>VLOOKUP($H299,'[2]Table S5'!$A:$K,9,FALSE)</f>
        <v>#N/A</v>
      </c>
      <c r="AU299" t="e">
        <f>VLOOKUP($H299,'[2]Table S5'!$A:$K,10,FALSE)</f>
        <v>#N/A</v>
      </c>
      <c r="AV299" t="e">
        <f>VLOOKUP($H299,'[2]Table S5'!$A:$K,11,FALSE)</f>
        <v>#N/A</v>
      </c>
    </row>
    <row r="300" spans="1:48">
      <c r="A300" t="s">
        <v>2268</v>
      </c>
      <c r="B300" t="s">
        <v>2269</v>
      </c>
      <c r="C300" t="s">
        <v>17</v>
      </c>
      <c r="D300" t="s">
        <v>2271</v>
      </c>
      <c r="E300" t="s">
        <v>2272</v>
      </c>
      <c r="F300" t="s">
        <v>2273</v>
      </c>
      <c r="G300" t="s">
        <v>4751</v>
      </c>
      <c r="H300" t="s">
        <v>2266</v>
      </c>
      <c r="I300" t="s">
        <v>2266</v>
      </c>
      <c r="J300" t="e">
        <f>VLOOKUP($I300,'[1]Table S6'!$A:$AI,2,FALSE)</f>
        <v>#N/A</v>
      </c>
      <c r="K300" t="e">
        <f>VLOOKUP($I300,'[1]Table S6'!$A:$AI,3,FALSE)</f>
        <v>#N/A</v>
      </c>
      <c r="L300" t="e">
        <f>VLOOKUP($I300,'[1]Table S6'!$A:$AI,4,FALSE)</f>
        <v>#N/A</v>
      </c>
      <c r="M300" t="e">
        <f>VLOOKUP($I300,'[1]Table S6'!$A:$AI,5,FALSE)</f>
        <v>#N/A</v>
      </c>
      <c r="O300" t="e">
        <f>VLOOKUP($I300,'[1]Table S6'!$A:$AI,7,FALSE)</f>
        <v>#N/A</v>
      </c>
      <c r="P300" t="e">
        <f>VLOOKUP($I300,'[1]Table S6'!$A:$AI,8,FALSE)</f>
        <v>#N/A</v>
      </c>
      <c r="Q300" t="e">
        <f>VLOOKUP($I300,'[1]Table S6'!$A:$AI,9,FALSE)</f>
        <v>#N/A</v>
      </c>
      <c r="R300" t="e">
        <f>VLOOKUP($I300,'[1]Table S6'!$A:$AI,10,FALSE)</f>
        <v>#N/A</v>
      </c>
      <c r="T300" t="e">
        <f>VLOOKUP($I300,'[1]Table S6'!$A:$AI,12,FALSE)</f>
        <v>#N/A</v>
      </c>
      <c r="U300" t="e">
        <f>VLOOKUP($I300,'[1]Table S6'!$A:$AI,13,FALSE)</f>
        <v>#N/A</v>
      </c>
      <c r="V300" t="e">
        <f>VLOOKUP($I300,'[1]Table S6'!$A:$AI,14,FALSE)</f>
        <v>#N/A</v>
      </c>
      <c r="W300" t="e">
        <f>VLOOKUP($I300,'[1]Table S6'!$A:$AI,15,FALSE)</f>
        <v>#N/A</v>
      </c>
      <c r="Y300" t="e">
        <f>VLOOKUP($I300,'[1]Table S6'!$A:$AI,17,FALSE)</f>
        <v>#N/A</v>
      </c>
      <c r="Z300" t="e">
        <f>VLOOKUP($I300,'[1]Table S6'!$A:$AI,18,FALSE)</f>
        <v>#N/A</v>
      </c>
      <c r="AA300" t="e">
        <f>VLOOKUP($I300,'[1]Table S6'!$A:$AI,19,FALSE)</f>
        <v>#N/A</v>
      </c>
      <c r="AB300" t="e">
        <f>VLOOKUP($I300,'[1]Table S6'!$A:$AI,20,FALSE)</f>
        <v>#N/A</v>
      </c>
      <c r="AD300" t="e">
        <f>VLOOKUP($I300,'[1]Table S6'!$A:$AI,22,FALSE)</f>
        <v>#N/A</v>
      </c>
      <c r="AE300" t="e">
        <f>VLOOKUP($I300,'[1]Table S6'!$A:$AI,23,FALSE)</f>
        <v>#N/A</v>
      </c>
      <c r="AF300" t="e">
        <f>VLOOKUP($I300,'[1]Table S6'!$A:$AI,24,FALSE)</f>
        <v>#N/A</v>
      </c>
      <c r="AG300" t="e">
        <f>VLOOKUP($I300,'[1]Table S6'!$A:$AI,25,FALSE)</f>
        <v>#N/A</v>
      </c>
      <c r="AI300" t="e">
        <f>VLOOKUP($I300,'[1]Table S6'!$A:$AI,27,FALSE)</f>
        <v>#N/A</v>
      </c>
      <c r="AJ300" t="e">
        <f>VLOOKUP($I300,'[1]Table S6'!$A:$AI,28,FALSE)</f>
        <v>#N/A</v>
      </c>
      <c r="AK300" t="e">
        <f>VLOOKUP($I300,'[1]Table S6'!$A:$AI,29,FALSE)</f>
        <v>#N/A</v>
      </c>
      <c r="AL300" t="e">
        <f>VLOOKUP($I300,'[1]Table S6'!$A:$AI,30,FALSE)</f>
        <v>#N/A</v>
      </c>
      <c r="AN300" t="e">
        <f>VLOOKUP($I300,'[1]Table S6'!$A:$AI,32,FALSE)</f>
        <v>#N/A</v>
      </c>
      <c r="AO300" t="e">
        <f>VLOOKUP($I300,'[1]Table S6'!$A:$AI,33,FALSE)</f>
        <v>#N/A</v>
      </c>
      <c r="AP300" t="e">
        <f>VLOOKUP($I300,'[1]Table S6'!$A:$AI,34,FALSE)</f>
        <v>#N/A</v>
      </c>
      <c r="AQ300" t="e">
        <f>VLOOKUP($I300,'[1]Table S6'!$A:$AI,35,FALSE)</f>
        <v>#N/A</v>
      </c>
      <c r="AS300" t="e">
        <f>VLOOKUP($H300,'[2]Table S5'!$A:$K,8,FALSE)</f>
        <v>#N/A</v>
      </c>
      <c r="AT300" t="e">
        <f>VLOOKUP($H300,'[2]Table S5'!$A:$K,9,FALSE)</f>
        <v>#N/A</v>
      </c>
      <c r="AU300" t="e">
        <f>VLOOKUP($H300,'[2]Table S5'!$A:$K,10,FALSE)</f>
        <v>#N/A</v>
      </c>
      <c r="AV300" t="e">
        <f>VLOOKUP($H300,'[2]Table S5'!$A:$K,11,FALSE)</f>
        <v>#N/A</v>
      </c>
    </row>
    <row r="301" spans="1:48">
      <c r="A301" t="s">
        <v>2275</v>
      </c>
      <c r="B301" t="s">
        <v>2276</v>
      </c>
      <c r="C301" t="s">
        <v>17</v>
      </c>
      <c r="D301" t="s">
        <v>2278</v>
      </c>
      <c r="E301" t="s">
        <v>2279</v>
      </c>
      <c r="F301" t="s">
        <v>2280</v>
      </c>
      <c r="G301" t="s">
        <v>4754</v>
      </c>
      <c r="H301" t="s">
        <v>2266</v>
      </c>
      <c r="I301" t="s">
        <v>2266</v>
      </c>
      <c r="J301" t="e">
        <f>VLOOKUP($I301,'[1]Table S6'!$A:$AI,2,FALSE)</f>
        <v>#N/A</v>
      </c>
      <c r="K301" t="e">
        <f>VLOOKUP($I301,'[1]Table S6'!$A:$AI,3,FALSE)</f>
        <v>#N/A</v>
      </c>
      <c r="L301" t="e">
        <f>VLOOKUP($I301,'[1]Table S6'!$A:$AI,4,FALSE)</f>
        <v>#N/A</v>
      </c>
      <c r="M301" t="e">
        <f>VLOOKUP($I301,'[1]Table S6'!$A:$AI,5,FALSE)</f>
        <v>#N/A</v>
      </c>
      <c r="O301" t="e">
        <f>VLOOKUP($I301,'[1]Table S6'!$A:$AI,7,FALSE)</f>
        <v>#N/A</v>
      </c>
      <c r="P301" t="e">
        <f>VLOOKUP($I301,'[1]Table S6'!$A:$AI,8,FALSE)</f>
        <v>#N/A</v>
      </c>
      <c r="Q301" t="e">
        <f>VLOOKUP($I301,'[1]Table S6'!$A:$AI,9,FALSE)</f>
        <v>#N/A</v>
      </c>
      <c r="R301" t="e">
        <f>VLOOKUP($I301,'[1]Table S6'!$A:$AI,10,FALSE)</f>
        <v>#N/A</v>
      </c>
      <c r="T301" t="e">
        <f>VLOOKUP($I301,'[1]Table S6'!$A:$AI,12,FALSE)</f>
        <v>#N/A</v>
      </c>
      <c r="U301" t="e">
        <f>VLOOKUP($I301,'[1]Table S6'!$A:$AI,13,FALSE)</f>
        <v>#N/A</v>
      </c>
      <c r="V301" t="e">
        <f>VLOOKUP($I301,'[1]Table S6'!$A:$AI,14,FALSE)</f>
        <v>#N/A</v>
      </c>
      <c r="W301" t="e">
        <f>VLOOKUP($I301,'[1]Table S6'!$A:$AI,15,FALSE)</f>
        <v>#N/A</v>
      </c>
      <c r="Y301" t="e">
        <f>VLOOKUP($I301,'[1]Table S6'!$A:$AI,17,FALSE)</f>
        <v>#N/A</v>
      </c>
      <c r="Z301" t="e">
        <f>VLOOKUP($I301,'[1]Table S6'!$A:$AI,18,FALSE)</f>
        <v>#N/A</v>
      </c>
      <c r="AA301" t="e">
        <f>VLOOKUP($I301,'[1]Table S6'!$A:$AI,19,FALSE)</f>
        <v>#N/A</v>
      </c>
      <c r="AB301" t="e">
        <f>VLOOKUP($I301,'[1]Table S6'!$A:$AI,20,FALSE)</f>
        <v>#N/A</v>
      </c>
      <c r="AD301" t="e">
        <f>VLOOKUP($I301,'[1]Table S6'!$A:$AI,22,FALSE)</f>
        <v>#N/A</v>
      </c>
      <c r="AE301" t="e">
        <f>VLOOKUP($I301,'[1]Table S6'!$A:$AI,23,FALSE)</f>
        <v>#N/A</v>
      </c>
      <c r="AF301" t="e">
        <f>VLOOKUP($I301,'[1]Table S6'!$A:$AI,24,FALSE)</f>
        <v>#N/A</v>
      </c>
      <c r="AG301" t="e">
        <f>VLOOKUP($I301,'[1]Table S6'!$A:$AI,25,FALSE)</f>
        <v>#N/A</v>
      </c>
      <c r="AI301" t="e">
        <f>VLOOKUP($I301,'[1]Table S6'!$A:$AI,27,FALSE)</f>
        <v>#N/A</v>
      </c>
      <c r="AJ301" t="e">
        <f>VLOOKUP($I301,'[1]Table S6'!$A:$AI,28,FALSE)</f>
        <v>#N/A</v>
      </c>
      <c r="AK301" t="e">
        <f>VLOOKUP($I301,'[1]Table S6'!$A:$AI,29,FALSE)</f>
        <v>#N/A</v>
      </c>
      <c r="AL301" t="e">
        <f>VLOOKUP($I301,'[1]Table S6'!$A:$AI,30,FALSE)</f>
        <v>#N/A</v>
      </c>
      <c r="AN301" t="e">
        <f>VLOOKUP($I301,'[1]Table S6'!$A:$AI,32,FALSE)</f>
        <v>#N/A</v>
      </c>
      <c r="AO301" t="e">
        <f>VLOOKUP($I301,'[1]Table S6'!$A:$AI,33,FALSE)</f>
        <v>#N/A</v>
      </c>
      <c r="AP301" t="e">
        <f>VLOOKUP($I301,'[1]Table S6'!$A:$AI,34,FALSE)</f>
        <v>#N/A</v>
      </c>
      <c r="AQ301" t="e">
        <f>VLOOKUP($I301,'[1]Table S6'!$A:$AI,35,FALSE)</f>
        <v>#N/A</v>
      </c>
      <c r="AS301" t="e">
        <f>VLOOKUP($H301,'[2]Table S5'!$A:$K,8,FALSE)</f>
        <v>#N/A</v>
      </c>
      <c r="AT301" t="e">
        <f>VLOOKUP($H301,'[2]Table S5'!$A:$K,9,FALSE)</f>
        <v>#N/A</v>
      </c>
      <c r="AU301" t="e">
        <f>VLOOKUP($H301,'[2]Table S5'!$A:$K,10,FALSE)</f>
        <v>#N/A</v>
      </c>
      <c r="AV301" t="e">
        <f>VLOOKUP($H301,'[2]Table S5'!$A:$K,11,FALSE)</f>
        <v>#N/A</v>
      </c>
    </row>
    <row r="302" spans="1:48">
      <c r="A302" t="s">
        <v>2282</v>
      </c>
      <c r="B302" t="s">
        <v>2283</v>
      </c>
      <c r="C302" t="s">
        <v>17</v>
      </c>
      <c r="D302" t="s">
        <v>2285</v>
      </c>
      <c r="E302" t="s">
        <v>2286</v>
      </c>
      <c r="F302" t="s">
        <v>2287</v>
      </c>
      <c r="G302" t="s">
        <v>4755</v>
      </c>
      <c r="H302" t="s">
        <v>2266</v>
      </c>
      <c r="I302" t="s">
        <v>2266</v>
      </c>
      <c r="J302" t="e">
        <f>VLOOKUP($I302,'[1]Table S6'!$A:$AI,2,FALSE)</f>
        <v>#N/A</v>
      </c>
      <c r="K302" t="e">
        <f>VLOOKUP($I302,'[1]Table S6'!$A:$AI,3,FALSE)</f>
        <v>#N/A</v>
      </c>
      <c r="L302" t="e">
        <f>VLOOKUP($I302,'[1]Table S6'!$A:$AI,4,FALSE)</f>
        <v>#N/A</v>
      </c>
      <c r="M302" t="e">
        <f>VLOOKUP($I302,'[1]Table S6'!$A:$AI,5,FALSE)</f>
        <v>#N/A</v>
      </c>
      <c r="O302" t="e">
        <f>VLOOKUP($I302,'[1]Table S6'!$A:$AI,7,FALSE)</f>
        <v>#N/A</v>
      </c>
      <c r="P302" t="e">
        <f>VLOOKUP($I302,'[1]Table S6'!$A:$AI,8,FALSE)</f>
        <v>#N/A</v>
      </c>
      <c r="Q302" t="e">
        <f>VLOOKUP($I302,'[1]Table S6'!$A:$AI,9,FALSE)</f>
        <v>#N/A</v>
      </c>
      <c r="R302" t="e">
        <f>VLOOKUP($I302,'[1]Table S6'!$A:$AI,10,FALSE)</f>
        <v>#N/A</v>
      </c>
      <c r="T302" t="e">
        <f>VLOOKUP($I302,'[1]Table S6'!$A:$AI,12,FALSE)</f>
        <v>#N/A</v>
      </c>
      <c r="U302" t="e">
        <f>VLOOKUP($I302,'[1]Table S6'!$A:$AI,13,FALSE)</f>
        <v>#N/A</v>
      </c>
      <c r="V302" t="e">
        <f>VLOOKUP($I302,'[1]Table S6'!$A:$AI,14,FALSE)</f>
        <v>#N/A</v>
      </c>
      <c r="W302" t="e">
        <f>VLOOKUP($I302,'[1]Table S6'!$A:$AI,15,FALSE)</f>
        <v>#N/A</v>
      </c>
      <c r="Y302" t="e">
        <f>VLOOKUP($I302,'[1]Table S6'!$A:$AI,17,FALSE)</f>
        <v>#N/A</v>
      </c>
      <c r="Z302" t="e">
        <f>VLOOKUP($I302,'[1]Table S6'!$A:$AI,18,FALSE)</f>
        <v>#N/A</v>
      </c>
      <c r="AA302" t="e">
        <f>VLOOKUP($I302,'[1]Table S6'!$A:$AI,19,FALSE)</f>
        <v>#N/A</v>
      </c>
      <c r="AB302" t="e">
        <f>VLOOKUP($I302,'[1]Table S6'!$A:$AI,20,FALSE)</f>
        <v>#N/A</v>
      </c>
      <c r="AD302" t="e">
        <f>VLOOKUP($I302,'[1]Table S6'!$A:$AI,22,FALSE)</f>
        <v>#N/A</v>
      </c>
      <c r="AE302" t="e">
        <f>VLOOKUP($I302,'[1]Table S6'!$A:$AI,23,FALSE)</f>
        <v>#N/A</v>
      </c>
      <c r="AF302" t="e">
        <f>VLOOKUP($I302,'[1]Table S6'!$A:$AI,24,FALSE)</f>
        <v>#N/A</v>
      </c>
      <c r="AG302" t="e">
        <f>VLOOKUP($I302,'[1]Table S6'!$A:$AI,25,FALSE)</f>
        <v>#N/A</v>
      </c>
      <c r="AI302" t="e">
        <f>VLOOKUP($I302,'[1]Table S6'!$A:$AI,27,FALSE)</f>
        <v>#N/A</v>
      </c>
      <c r="AJ302" t="e">
        <f>VLOOKUP($I302,'[1]Table S6'!$A:$AI,28,FALSE)</f>
        <v>#N/A</v>
      </c>
      <c r="AK302" t="e">
        <f>VLOOKUP($I302,'[1]Table S6'!$A:$AI,29,FALSE)</f>
        <v>#N/A</v>
      </c>
      <c r="AL302" t="e">
        <f>VLOOKUP($I302,'[1]Table S6'!$A:$AI,30,FALSE)</f>
        <v>#N/A</v>
      </c>
      <c r="AN302" t="e">
        <f>VLOOKUP($I302,'[1]Table S6'!$A:$AI,32,FALSE)</f>
        <v>#N/A</v>
      </c>
      <c r="AO302" t="e">
        <f>VLOOKUP($I302,'[1]Table S6'!$A:$AI,33,FALSE)</f>
        <v>#N/A</v>
      </c>
      <c r="AP302" t="e">
        <f>VLOOKUP($I302,'[1]Table S6'!$A:$AI,34,FALSE)</f>
        <v>#N/A</v>
      </c>
      <c r="AQ302" t="e">
        <f>VLOOKUP($I302,'[1]Table S6'!$A:$AI,35,FALSE)</f>
        <v>#N/A</v>
      </c>
      <c r="AS302" t="e">
        <f>VLOOKUP($H302,'[2]Table S5'!$A:$K,8,FALSE)</f>
        <v>#N/A</v>
      </c>
      <c r="AT302" t="e">
        <f>VLOOKUP($H302,'[2]Table S5'!$A:$K,9,FALSE)</f>
        <v>#N/A</v>
      </c>
      <c r="AU302" t="e">
        <f>VLOOKUP($H302,'[2]Table S5'!$A:$K,10,FALSE)</f>
        <v>#N/A</v>
      </c>
      <c r="AV302" t="e">
        <f>VLOOKUP($H302,'[2]Table S5'!$A:$K,11,FALSE)</f>
        <v>#N/A</v>
      </c>
    </row>
    <row r="303" spans="1:48">
      <c r="A303" t="s">
        <v>2289</v>
      </c>
      <c r="B303" t="s">
        <v>2290</v>
      </c>
      <c r="C303" t="s">
        <v>17</v>
      </c>
      <c r="D303" t="s">
        <v>2292</v>
      </c>
      <c r="E303" t="s">
        <v>2293</v>
      </c>
      <c r="F303" t="s">
        <v>2294</v>
      </c>
      <c r="G303" t="s">
        <v>4757</v>
      </c>
      <c r="H303" t="s">
        <v>2295</v>
      </c>
      <c r="I303" t="s">
        <v>2295</v>
      </c>
      <c r="J303" t="e">
        <f>VLOOKUP($I303,'[1]Table S6'!$A:$AI,2,FALSE)</f>
        <v>#N/A</v>
      </c>
      <c r="K303" t="e">
        <f>VLOOKUP($I303,'[1]Table S6'!$A:$AI,3,FALSE)</f>
        <v>#N/A</v>
      </c>
      <c r="L303" t="e">
        <f>VLOOKUP($I303,'[1]Table S6'!$A:$AI,4,FALSE)</f>
        <v>#N/A</v>
      </c>
      <c r="M303" t="e">
        <f>VLOOKUP($I303,'[1]Table S6'!$A:$AI,5,FALSE)</f>
        <v>#N/A</v>
      </c>
      <c r="O303" t="e">
        <f>VLOOKUP($I303,'[1]Table S6'!$A:$AI,7,FALSE)</f>
        <v>#N/A</v>
      </c>
      <c r="P303" t="e">
        <f>VLOOKUP($I303,'[1]Table S6'!$A:$AI,8,FALSE)</f>
        <v>#N/A</v>
      </c>
      <c r="Q303" t="e">
        <f>VLOOKUP($I303,'[1]Table S6'!$A:$AI,9,FALSE)</f>
        <v>#N/A</v>
      </c>
      <c r="R303" t="e">
        <f>VLOOKUP($I303,'[1]Table S6'!$A:$AI,10,FALSE)</f>
        <v>#N/A</v>
      </c>
      <c r="T303" t="e">
        <f>VLOOKUP($I303,'[1]Table S6'!$A:$AI,12,FALSE)</f>
        <v>#N/A</v>
      </c>
      <c r="U303" t="e">
        <f>VLOOKUP($I303,'[1]Table S6'!$A:$AI,13,FALSE)</f>
        <v>#N/A</v>
      </c>
      <c r="V303" t="e">
        <f>VLOOKUP($I303,'[1]Table S6'!$A:$AI,14,FALSE)</f>
        <v>#N/A</v>
      </c>
      <c r="W303" t="e">
        <f>VLOOKUP($I303,'[1]Table S6'!$A:$AI,15,FALSE)</f>
        <v>#N/A</v>
      </c>
      <c r="Y303" t="e">
        <f>VLOOKUP($I303,'[1]Table S6'!$A:$AI,17,FALSE)</f>
        <v>#N/A</v>
      </c>
      <c r="Z303" t="e">
        <f>VLOOKUP($I303,'[1]Table S6'!$A:$AI,18,FALSE)</f>
        <v>#N/A</v>
      </c>
      <c r="AA303" t="e">
        <f>VLOOKUP($I303,'[1]Table S6'!$A:$AI,19,FALSE)</f>
        <v>#N/A</v>
      </c>
      <c r="AB303" t="e">
        <f>VLOOKUP($I303,'[1]Table S6'!$A:$AI,20,FALSE)</f>
        <v>#N/A</v>
      </c>
      <c r="AD303" t="e">
        <f>VLOOKUP($I303,'[1]Table S6'!$A:$AI,22,FALSE)</f>
        <v>#N/A</v>
      </c>
      <c r="AE303" t="e">
        <f>VLOOKUP($I303,'[1]Table S6'!$A:$AI,23,FALSE)</f>
        <v>#N/A</v>
      </c>
      <c r="AF303" t="e">
        <f>VLOOKUP($I303,'[1]Table S6'!$A:$AI,24,FALSE)</f>
        <v>#N/A</v>
      </c>
      <c r="AG303" t="e">
        <f>VLOOKUP($I303,'[1]Table S6'!$A:$AI,25,FALSE)</f>
        <v>#N/A</v>
      </c>
      <c r="AI303" t="e">
        <f>VLOOKUP($I303,'[1]Table S6'!$A:$AI,27,FALSE)</f>
        <v>#N/A</v>
      </c>
      <c r="AJ303" t="e">
        <f>VLOOKUP($I303,'[1]Table S6'!$A:$AI,28,FALSE)</f>
        <v>#N/A</v>
      </c>
      <c r="AK303" t="e">
        <f>VLOOKUP($I303,'[1]Table S6'!$A:$AI,29,FALSE)</f>
        <v>#N/A</v>
      </c>
      <c r="AL303" t="e">
        <f>VLOOKUP($I303,'[1]Table S6'!$A:$AI,30,FALSE)</f>
        <v>#N/A</v>
      </c>
      <c r="AN303" t="e">
        <f>VLOOKUP($I303,'[1]Table S6'!$A:$AI,32,FALSE)</f>
        <v>#N/A</v>
      </c>
      <c r="AO303" t="e">
        <f>VLOOKUP($I303,'[1]Table S6'!$A:$AI,33,FALSE)</f>
        <v>#N/A</v>
      </c>
      <c r="AP303" t="e">
        <f>VLOOKUP($I303,'[1]Table S6'!$A:$AI,34,FALSE)</f>
        <v>#N/A</v>
      </c>
      <c r="AQ303" t="e">
        <f>VLOOKUP($I303,'[1]Table S6'!$A:$AI,35,FALSE)</f>
        <v>#N/A</v>
      </c>
      <c r="AS303" t="e">
        <f>VLOOKUP($H303,'[2]Table S5'!$A:$K,8,FALSE)</f>
        <v>#N/A</v>
      </c>
      <c r="AT303" t="e">
        <f>VLOOKUP($H303,'[2]Table S5'!$A:$K,9,FALSE)</f>
        <v>#N/A</v>
      </c>
      <c r="AU303" t="e">
        <f>VLOOKUP($H303,'[2]Table S5'!$A:$K,10,FALSE)</f>
        <v>#N/A</v>
      </c>
      <c r="AV303" t="e">
        <f>VLOOKUP($H303,'[2]Table S5'!$A:$K,11,FALSE)</f>
        <v>#N/A</v>
      </c>
    </row>
    <row r="304" spans="1:48">
      <c r="A304" t="s">
        <v>2297</v>
      </c>
      <c r="B304" t="s">
        <v>2298</v>
      </c>
      <c r="C304" t="s">
        <v>17</v>
      </c>
      <c r="D304" t="s">
        <v>2300</v>
      </c>
      <c r="E304" t="s">
        <v>2301</v>
      </c>
      <c r="F304" t="s">
        <v>2302</v>
      </c>
      <c r="G304" t="s">
        <v>4751</v>
      </c>
      <c r="H304" t="s">
        <v>2295</v>
      </c>
      <c r="I304" t="s">
        <v>2295</v>
      </c>
      <c r="J304" t="e">
        <f>VLOOKUP($I304,'[1]Table S6'!$A:$AI,2,FALSE)</f>
        <v>#N/A</v>
      </c>
      <c r="K304" t="e">
        <f>VLOOKUP($I304,'[1]Table S6'!$A:$AI,3,FALSE)</f>
        <v>#N/A</v>
      </c>
      <c r="L304" t="e">
        <f>VLOOKUP($I304,'[1]Table S6'!$A:$AI,4,FALSE)</f>
        <v>#N/A</v>
      </c>
      <c r="M304" t="e">
        <f>VLOOKUP($I304,'[1]Table S6'!$A:$AI,5,FALSE)</f>
        <v>#N/A</v>
      </c>
      <c r="O304" t="e">
        <f>VLOOKUP($I304,'[1]Table S6'!$A:$AI,7,FALSE)</f>
        <v>#N/A</v>
      </c>
      <c r="P304" t="e">
        <f>VLOOKUP($I304,'[1]Table S6'!$A:$AI,8,FALSE)</f>
        <v>#N/A</v>
      </c>
      <c r="Q304" t="e">
        <f>VLOOKUP($I304,'[1]Table S6'!$A:$AI,9,FALSE)</f>
        <v>#N/A</v>
      </c>
      <c r="R304" t="e">
        <f>VLOOKUP($I304,'[1]Table S6'!$A:$AI,10,FALSE)</f>
        <v>#N/A</v>
      </c>
      <c r="T304" t="e">
        <f>VLOOKUP($I304,'[1]Table S6'!$A:$AI,12,FALSE)</f>
        <v>#N/A</v>
      </c>
      <c r="U304" t="e">
        <f>VLOOKUP($I304,'[1]Table S6'!$A:$AI,13,FALSE)</f>
        <v>#N/A</v>
      </c>
      <c r="V304" t="e">
        <f>VLOOKUP($I304,'[1]Table S6'!$A:$AI,14,FALSE)</f>
        <v>#N/A</v>
      </c>
      <c r="W304" t="e">
        <f>VLOOKUP($I304,'[1]Table S6'!$A:$AI,15,FALSE)</f>
        <v>#N/A</v>
      </c>
      <c r="Y304" t="e">
        <f>VLOOKUP($I304,'[1]Table S6'!$A:$AI,17,FALSE)</f>
        <v>#N/A</v>
      </c>
      <c r="Z304" t="e">
        <f>VLOOKUP($I304,'[1]Table S6'!$A:$AI,18,FALSE)</f>
        <v>#N/A</v>
      </c>
      <c r="AA304" t="e">
        <f>VLOOKUP($I304,'[1]Table S6'!$A:$AI,19,FALSE)</f>
        <v>#N/A</v>
      </c>
      <c r="AB304" t="e">
        <f>VLOOKUP($I304,'[1]Table S6'!$A:$AI,20,FALSE)</f>
        <v>#N/A</v>
      </c>
      <c r="AD304" t="e">
        <f>VLOOKUP($I304,'[1]Table S6'!$A:$AI,22,FALSE)</f>
        <v>#N/A</v>
      </c>
      <c r="AE304" t="e">
        <f>VLOOKUP($I304,'[1]Table S6'!$A:$AI,23,FALSE)</f>
        <v>#N/A</v>
      </c>
      <c r="AF304" t="e">
        <f>VLOOKUP($I304,'[1]Table S6'!$A:$AI,24,FALSE)</f>
        <v>#N/A</v>
      </c>
      <c r="AG304" t="e">
        <f>VLOOKUP($I304,'[1]Table S6'!$A:$AI,25,FALSE)</f>
        <v>#N/A</v>
      </c>
      <c r="AI304" t="e">
        <f>VLOOKUP($I304,'[1]Table S6'!$A:$AI,27,FALSE)</f>
        <v>#N/A</v>
      </c>
      <c r="AJ304" t="e">
        <f>VLOOKUP($I304,'[1]Table S6'!$A:$AI,28,FALSE)</f>
        <v>#N/A</v>
      </c>
      <c r="AK304" t="e">
        <f>VLOOKUP($I304,'[1]Table S6'!$A:$AI,29,FALSE)</f>
        <v>#N/A</v>
      </c>
      <c r="AL304" t="e">
        <f>VLOOKUP($I304,'[1]Table S6'!$A:$AI,30,FALSE)</f>
        <v>#N/A</v>
      </c>
      <c r="AN304" t="e">
        <f>VLOOKUP($I304,'[1]Table S6'!$A:$AI,32,FALSE)</f>
        <v>#N/A</v>
      </c>
      <c r="AO304" t="e">
        <f>VLOOKUP($I304,'[1]Table S6'!$A:$AI,33,FALSE)</f>
        <v>#N/A</v>
      </c>
      <c r="AP304" t="e">
        <f>VLOOKUP($I304,'[1]Table S6'!$A:$AI,34,FALSE)</f>
        <v>#N/A</v>
      </c>
      <c r="AQ304" t="e">
        <f>VLOOKUP($I304,'[1]Table S6'!$A:$AI,35,FALSE)</f>
        <v>#N/A</v>
      </c>
      <c r="AS304" t="e">
        <f>VLOOKUP($H304,'[2]Table S5'!$A:$K,8,FALSE)</f>
        <v>#N/A</v>
      </c>
      <c r="AT304" t="e">
        <f>VLOOKUP($H304,'[2]Table S5'!$A:$K,9,FALSE)</f>
        <v>#N/A</v>
      </c>
      <c r="AU304" t="e">
        <f>VLOOKUP($H304,'[2]Table S5'!$A:$K,10,FALSE)</f>
        <v>#N/A</v>
      </c>
      <c r="AV304" t="e">
        <f>VLOOKUP($H304,'[2]Table S5'!$A:$K,11,FALSE)</f>
        <v>#N/A</v>
      </c>
    </row>
    <row r="305" spans="1:48">
      <c r="A305" t="s">
        <v>2304</v>
      </c>
      <c r="B305" t="s">
        <v>2305</v>
      </c>
      <c r="C305" t="s">
        <v>17</v>
      </c>
      <c r="D305" t="s">
        <v>2307</v>
      </c>
      <c r="E305" t="s">
        <v>2308</v>
      </c>
      <c r="F305" t="s">
        <v>2309</v>
      </c>
      <c r="G305" t="s">
        <v>4754</v>
      </c>
      <c r="H305" t="s">
        <v>2295</v>
      </c>
      <c r="I305" t="s">
        <v>2295</v>
      </c>
      <c r="J305" t="e">
        <f>VLOOKUP($I305,'[1]Table S6'!$A:$AI,2,FALSE)</f>
        <v>#N/A</v>
      </c>
      <c r="K305" t="e">
        <f>VLOOKUP($I305,'[1]Table S6'!$A:$AI,3,FALSE)</f>
        <v>#N/A</v>
      </c>
      <c r="L305" t="e">
        <f>VLOOKUP($I305,'[1]Table S6'!$A:$AI,4,FALSE)</f>
        <v>#N/A</v>
      </c>
      <c r="M305" t="e">
        <f>VLOOKUP($I305,'[1]Table S6'!$A:$AI,5,FALSE)</f>
        <v>#N/A</v>
      </c>
      <c r="O305" t="e">
        <f>VLOOKUP($I305,'[1]Table S6'!$A:$AI,7,FALSE)</f>
        <v>#N/A</v>
      </c>
      <c r="P305" t="e">
        <f>VLOOKUP($I305,'[1]Table S6'!$A:$AI,8,FALSE)</f>
        <v>#N/A</v>
      </c>
      <c r="Q305" t="e">
        <f>VLOOKUP($I305,'[1]Table S6'!$A:$AI,9,FALSE)</f>
        <v>#N/A</v>
      </c>
      <c r="R305" t="e">
        <f>VLOOKUP($I305,'[1]Table S6'!$A:$AI,10,FALSE)</f>
        <v>#N/A</v>
      </c>
      <c r="T305" t="e">
        <f>VLOOKUP($I305,'[1]Table S6'!$A:$AI,12,FALSE)</f>
        <v>#N/A</v>
      </c>
      <c r="U305" t="e">
        <f>VLOOKUP($I305,'[1]Table S6'!$A:$AI,13,FALSE)</f>
        <v>#N/A</v>
      </c>
      <c r="V305" t="e">
        <f>VLOOKUP($I305,'[1]Table S6'!$A:$AI,14,FALSE)</f>
        <v>#N/A</v>
      </c>
      <c r="W305" t="e">
        <f>VLOOKUP($I305,'[1]Table S6'!$A:$AI,15,FALSE)</f>
        <v>#N/A</v>
      </c>
      <c r="Y305" t="e">
        <f>VLOOKUP($I305,'[1]Table S6'!$A:$AI,17,FALSE)</f>
        <v>#N/A</v>
      </c>
      <c r="Z305" t="e">
        <f>VLOOKUP($I305,'[1]Table S6'!$A:$AI,18,FALSE)</f>
        <v>#N/A</v>
      </c>
      <c r="AA305" t="e">
        <f>VLOOKUP($I305,'[1]Table S6'!$A:$AI,19,FALSE)</f>
        <v>#N/A</v>
      </c>
      <c r="AB305" t="e">
        <f>VLOOKUP($I305,'[1]Table S6'!$A:$AI,20,FALSE)</f>
        <v>#N/A</v>
      </c>
      <c r="AD305" t="e">
        <f>VLOOKUP($I305,'[1]Table S6'!$A:$AI,22,FALSE)</f>
        <v>#N/A</v>
      </c>
      <c r="AE305" t="e">
        <f>VLOOKUP($I305,'[1]Table S6'!$A:$AI,23,FALSE)</f>
        <v>#N/A</v>
      </c>
      <c r="AF305" t="e">
        <f>VLOOKUP($I305,'[1]Table S6'!$A:$AI,24,FALSE)</f>
        <v>#N/A</v>
      </c>
      <c r="AG305" t="e">
        <f>VLOOKUP($I305,'[1]Table S6'!$A:$AI,25,FALSE)</f>
        <v>#N/A</v>
      </c>
      <c r="AI305" t="e">
        <f>VLOOKUP($I305,'[1]Table S6'!$A:$AI,27,FALSE)</f>
        <v>#N/A</v>
      </c>
      <c r="AJ305" t="e">
        <f>VLOOKUP($I305,'[1]Table S6'!$A:$AI,28,FALSE)</f>
        <v>#N/A</v>
      </c>
      <c r="AK305" t="e">
        <f>VLOOKUP($I305,'[1]Table S6'!$A:$AI,29,FALSE)</f>
        <v>#N/A</v>
      </c>
      <c r="AL305" t="e">
        <f>VLOOKUP($I305,'[1]Table S6'!$A:$AI,30,FALSE)</f>
        <v>#N/A</v>
      </c>
      <c r="AN305" t="e">
        <f>VLOOKUP($I305,'[1]Table S6'!$A:$AI,32,FALSE)</f>
        <v>#N/A</v>
      </c>
      <c r="AO305" t="e">
        <f>VLOOKUP($I305,'[1]Table S6'!$A:$AI,33,FALSE)</f>
        <v>#N/A</v>
      </c>
      <c r="AP305" t="e">
        <f>VLOOKUP($I305,'[1]Table S6'!$A:$AI,34,FALSE)</f>
        <v>#N/A</v>
      </c>
      <c r="AQ305" t="e">
        <f>VLOOKUP($I305,'[1]Table S6'!$A:$AI,35,FALSE)</f>
        <v>#N/A</v>
      </c>
      <c r="AS305" t="e">
        <f>VLOOKUP($H305,'[2]Table S5'!$A:$K,8,FALSE)</f>
        <v>#N/A</v>
      </c>
      <c r="AT305" t="e">
        <f>VLOOKUP($H305,'[2]Table S5'!$A:$K,9,FALSE)</f>
        <v>#N/A</v>
      </c>
      <c r="AU305" t="e">
        <f>VLOOKUP($H305,'[2]Table S5'!$A:$K,10,FALSE)</f>
        <v>#N/A</v>
      </c>
      <c r="AV305" t="e">
        <f>VLOOKUP($H305,'[2]Table S5'!$A:$K,11,FALSE)</f>
        <v>#N/A</v>
      </c>
    </row>
    <row r="306" spans="1:48">
      <c r="A306" t="s">
        <v>2311</v>
      </c>
      <c r="B306" t="s">
        <v>2312</v>
      </c>
      <c r="C306" t="s">
        <v>17</v>
      </c>
      <c r="D306" t="s">
        <v>2314</v>
      </c>
      <c r="E306" t="s">
        <v>2315</v>
      </c>
      <c r="F306" t="s">
        <v>2316</v>
      </c>
      <c r="G306" t="s">
        <v>4755</v>
      </c>
      <c r="H306" t="s">
        <v>2295</v>
      </c>
      <c r="I306" t="s">
        <v>2295</v>
      </c>
      <c r="J306" t="e">
        <f>VLOOKUP($I306,'[1]Table S6'!$A:$AI,2,FALSE)</f>
        <v>#N/A</v>
      </c>
      <c r="K306" t="e">
        <f>VLOOKUP($I306,'[1]Table S6'!$A:$AI,3,FALSE)</f>
        <v>#N/A</v>
      </c>
      <c r="L306" t="e">
        <f>VLOOKUP($I306,'[1]Table S6'!$A:$AI,4,FALSE)</f>
        <v>#N/A</v>
      </c>
      <c r="M306" t="e">
        <f>VLOOKUP($I306,'[1]Table S6'!$A:$AI,5,FALSE)</f>
        <v>#N/A</v>
      </c>
      <c r="O306" t="e">
        <f>VLOOKUP($I306,'[1]Table S6'!$A:$AI,7,FALSE)</f>
        <v>#N/A</v>
      </c>
      <c r="P306" t="e">
        <f>VLOOKUP($I306,'[1]Table S6'!$A:$AI,8,FALSE)</f>
        <v>#N/A</v>
      </c>
      <c r="Q306" t="e">
        <f>VLOOKUP($I306,'[1]Table S6'!$A:$AI,9,FALSE)</f>
        <v>#N/A</v>
      </c>
      <c r="R306" t="e">
        <f>VLOOKUP($I306,'[1]Table S6'!$A:$AI,10,FALSE)</f>
        <v>#N/A</v>
      </c>
      <c r="T306" t="e">
        <f>VLOOKUP($I306,'[1]Table S6'!$A:$AI,12,FALSE)</f>
        <v>#N/A</v>
      </c>
      <c r="U306" t="e">
        <f>VLOOKUP($I306,'[1]Table S6'!$A:$AI,13,FALSE)</f>
        <v>#N/A</v>
      </c>
      <c r="V306" t="e">
        <f>VLOOKUP($I306,'[1]Table S6'!$A:$AI,14,FALSE)</f>
        <v>#N/A</v>
      </c>
      <c r="W306" t="e">
        <f>VLOOKUP($I306,'[1]Table S6'!$A:$AI,15,FALSE)</f>
        <v>#N/A</v>
      </c>
      <c r="Y306" t="e">
        <f>VLOOKUP($I306,'[1]Table S6'!$A:$AI,17,FALSE)</f>
        <v>#N/A</v>
      </c>
      <c r="Z306" t="e">
        <f>VLOOKUP($I306,'[1]Table S6'!$A:$AI,18,FALSE)</f>
        <v>#N/A</v>
      </c>
      <c r="AA306" t="e">
        <f>VLOOKUP($I306,'[1]Table S6'!$A:$AI,19,FALSE)</f>
        <v>#N/A</v>
      </c>
      <c r="AB306" t="e">
        <f>VLOOKUP($I306,'[1]Table S6'!$A:$AI,20,FALSE)</f>
        <v>#N/A</v>
      </c>
      <c r="AD306" t="e">
        <f>VLOOKUP($I306,'[1]Table S6'!$A:$AI,22,FALSE)</f>
        <v>#N/A</v>
      </c>
      <c r="AE306" t="e">
        <f>VLOOKUP($I306,'[1]Table S6'!$A:$AI,23,FALSE)</f>
        <v>#N/A</v>
      </c>
      <c r="AF306" t="e">
        <f>VLOOKUP($I306,'[1]Table S6'!$A:$AI,24,FALSE)</f>
        <v>#N/A</v>
      </c>
      <c r="AG306" t="e">
        <f>VLOOKUP($I306,'[1]Table S6'!$A:$AI,25,FALSE)</f>
        <v>#N/A</v>
      </c>
      <c r="AI306" t="e">
        <f>VLOOKUP($I306,'[1]Table S6'!$A:$AI,27,FALSE)</f>
        <v>#N/A</v>
      </c>
      <c r="AJ306" t="e">
        <f>VLOOKUP($I306,'[1]Table S6'!$A:$AI,28,FALSE)</f>
        <v>#N/A</v>
      </c>
      <c r="AK306" t="e">
        <f>VLOOKUP($I306,'[1]Table S6'!$A:$AI,29,FALSE)</f>
        <v>#N/A</v>
      </c>
      <c r="AL306" t="e">
        <f>VLOOKUP($I306,'[1]Table S6'!$A:$AI,30,FALSE)</f>
        <v>#N/A</v>
      </c>
      <c r="AN306" t="e">
        <f>VLOOKUP($I306,'[1]Table S6'!$A:$AI,32,FALSE)</f>
        <v>#N/A</v>
      </c>
      <c r="AO306" t="e">
        <f>VLOOKUP($I306,'[1]Table S6'!$A:$AI,33,FALSE)</f>
        <v>#N/A</v>
      </c>
      <c r="AP306" t="e">
        <f>VLOOKUP($I306,'[1]Table S6'!$A:$AI,34,FALSE)</f>
        <v>#N/A</v>
      </c>
      <c r="AQ306" t="e">
        <f>VLOOKUP($I306,'[1]Table S6'!$A:$AI,35,FALSE)</f>
        <v>#N/A</v>
      </c>
      <c r="AS306" t="e">
        <f>VLOOKUP($H306,'[2]Table S5'!$A:$K,8,FALSE)</f>
        <v>#N/A</v>
      </c>
      <c r="AT306" t="e">
        <f>VLOOKUP($H306,'[2]Table S5'!$A:$K,9,FALSE)</f>
        <v>#N/A</v>
      </c>
      <c r="AU306" t="e">
        <f>VLOOKUP($H306,'[2]Table S5'!$A:$K,10,FALSE)</f>
        <v>#N/A</v>
      </c>
      <c r="AV306" t="e">
        <f>VLOOKUP($H306,'[2]Table S5'!$A:$K,11,FALSE)</f>
        <v>#N/A</v>
      </c>
    </row>
    <row r="307" spans="1:48">
      <c r="A307" t="s">
        <v>2318</v>
      </c>
      <c r="B307" t="s">
        <v>2319</v>
      </c>
      <c r="C307" t="s">
        <v>17</v>
      </c>
      <c r="D307" t="s">
        <v>2321</v>
      </c>
      <c r="E307" t="s">
        <v>2322</v>
      </c>
      <c r="F307" t="s">
        <v>2323</v>
      </c>
      <c r="G307" t="s">
        <v>4751</v>
      </c>
      <c r="H307" t="s">
        <v>2324</v>
      </c>
      <c r="I307" t="s">
        <v>2324</v>
      </c>
      <c r="J307" t="e">
        <f>VLOOKUP($I307,'[1]Table S6'!$A:$AI,2,FALSE)</f>
        <v>#N/A</v>
      </c>
      <c r="K307" t="e">
        <f>VLOOKUP($I307,'[1]Table S6'!$A:$AI,3,FALSE)</f>
        <v>#N/A</v>
      </c>
      <c r="L307" t="e">
        <f>VLOOKUP($I307,'[1]Table S6'!$A:$AI,4,FALSE)</f>
        <v>#N/A</v>
      </c>
      <c r="M307" t="e">
        <f>VLOOKUP($I307,'[1]Table S6'!$A:$AI,5,FALSE)</f>
        <v>#N/A</v>
      </c>
      <c r="O307" t="e">
        <f>VLOOKUP($I307,'[1]Table S6'!$A:$AI,7,FALSE)</f>
        <v>#N/A</v>
      </c>
      <c r="P307" t="e">
        <f>VLOOKUP($I307,'[1]Table S6'!$A:$AI,8,FALSE)</f>
        <v>#N/A</v>
      </c>
      <c r="Q307" t="e">
        <f>VLOOKUP($I307,'[1]Table S6'!$A:$AI,9,FALSE)</f>
        <v>#N/A</v>
      </c>
      <c r="R307" t="e">
        <f>VLOOKUP($I307,'[1]Table S6'!$A:$AI,10,FALSE)</f>
        <v>#N/A</v>
      </c>
      <c r="T307" t="e">
        <f>VLOOKUP($I307,'[1]Table S6'!$A:$AI,12,FALSE)</f>
        <v>#N/A</v>
      </c>
      <c r="U307" t="e">
        <f>VLOOKUP($I307,'[1]Table S6'!$A:$AI,13,FALSE)</f>
        <v>#N/A</v>
      </c>
      <c r="V307" t="e">
        <f>VLOOKUP($I307,'[1]Table S6'!$A:$AI,14,FALSE)</f>
        <v>#N/A</v>
      </c>
      <c r="W307" t="e">
        <f>VLOOKUP($I307,'[1]Table S6'!$A:$AI,15,FALSE)</f>
        <v>#N/A</v>
      </c>
      <c r="Y307" t="e">
        <f>VLOOKUP($I307,'[1]Table S6'!$A:$AI,17,FALSE)</f>
        <v>#N/A</v>
      </c>
      <c r="Z307" t="e">
        <f>VLOOKUP($I307,'[1]Table S6'!$A:$AI,18,FALSE)</f>
        <v>#N/A</v>
      </c>
      <c r="AA307" t="e">
        <f>VLOOKUP($I307,'[1]Table S6'!$A:$AI,19,FALSE)</f>
        <v>#N/A</v>
      </c>
      <c r="AB307" t="e">
        <f>VLOOKUP($I307,'[1]Table S6'!$A:$AI,20,FALSE)</f>
        <v>#N/A</v>
      </c>
      <c r="AD307" t="e">
        <f>VLOOKUP($I307,'[1]Table S6'!$A:$AI,22,FALSE)</f>
        <v>#N/A</v>
      </c>
      <c r="AE307" t="e">
        <f>VLOOKUP($I307,'[1]Table S6'!$A:$AI,23,FALSE)</f>
        <v>#N/A</v>
      </c>
      <c r="AF307" t="e">
        <f>VLOOKUP($I307,'[1]Table S6'!$A:$AI,24,FALSE)</f>
        <v>#N/A</v>
      </c>
      <c r="AG307" t="e">
        <f>VLOOKUP($I307,'[1]Table S6'!$A:$AI,25,FALSE)</f>
        <v>#N/A</v>
      </c>
      <c r="AI307" t="e">
        <f>VLOOKUP($I307,'[1]Table S6'!$A:$AI,27,FALSE)</f>
        <v>#N/A</v>
      </c>
      <c r="AJ307" t="e">
        <f>VLOOKUP($I307,'[1]Table S6'!$A:$AI,28,FALSE)</f>
        <v>#N/A</v>
      </c>
      <c r="AK307" t="e">
        <f>VLOOKUP($I307,'[1]Table S6'!$A:$AI,29,FALSE)</f>
        <v>#N/A</v>
      </c>
      <c r="AL307" t="e">
        <f>VLOOKUP($I307,'[1]Table S6'!$A:$AI,30,FALSE)</f>
        <v>#N/A</v>
      </c>
      <c r="AN307" t="e">
        <f>VLOOKUP($I307,'[1]Table S6'!$A:$AI,32,FALSE)</f>
        <v>#N/A</v>
      </c>
      <c r="AO307" t="e">
        <f>VLOOKUP($I307,'[1]Table S6'!$A:$AI,33,FALSE)</f>
        <v>#N/A</v>
      </c>
      <c r="AP307" t="e">
        <f>VLOOKUP($I307,'[1]Table S6'!$A:$AI,34,FALSE)</f>
        <v>#N/A</v>
      </c>
      <c r="AQ307" t="e">
        <f>VLOOKUP($I307,'[1]Table S6'!$A:$AI,35,FALSE)</f>
        <v>#N/A</v>
      </c>
      <c r="AS307" t="e">
        <f>VLOOKUP($H307,'[2]Table S5'!$A:$K,8,FALSE)</f>
        <v>#N/A</v>
      </c>
      <c r="AT307" t="e">
        <f>VLOOKUP($H307,'[2]Table S5'!$A:$K,9,FALSE)</f>
        <v>#N/A</v>
      </c>
      <c r="AU307" t="e">
        <f>VLOOKUP($H307,'[2]Table S5'!$A:$K,10,FALSE)</f>
        <v>#N/A</v>
      </c>
      <c r="AV307" t="e">
        <f>VLOOKUP($H307,'[2]Table S5'!$A:$K,11,FALSE)</f>
        <v>#N/A</v>
      </c>
    </row>
    <row r="308" spans="1:48">
      <c r="A308" t="s">
        <v>2326</v>
      </c>
      <c r="B308" t="s">
        <v>2327</v>
      </c>
      <c r="C308" t="s">
        <v>17</v>
      </c>
      <c r="D308" t="s">
        <v>2329</v>
      </c>
      <c r="E308" t="s">
        <v>2330</v>
      </c>
      <c r="F308" t="s">
        <v>2331</v>
      </c>
      <c r="G308" t="s">
        <v>4754</v>
      </c>
      <c r="H308" t="s">
        <v>2324</v>
      </c>
      <c r="I308" t="s">
        <v>2324</v>
      </c>
      <c r="J308" t="e">
        <f>VLOOKUP($I308,'[1]Table S6'!$A:$AI,2,FALSE)</f>
        <v>#N/A</v>
      </c>
      <c r="K308" t="e">
        <f>VLOOKUP($I308,'[1]Table S6'!$A:$AI,3,FALSE)</f>
        <v>#N/A</v>
      </c>
      <c r="L308" t="e">
        <f>VLOOKUP($I308,'[1]Table S6'!$A:$AI,4,FALSE)</f>
        <v>#N/A</v>
      </c>
      <c r="M308" t="e">
        <f>VLOOKUP($I308,'[1]Table S6'!$A:$AI,5,FALSE)</f>
        <v>#N/A</v>
      </c>
      <c r="O308" t="e">
        <f>VLOOKUP($I308,'[1]Table S6'!$A:$AI,7,FALSE)</f>
        <v>#N/A</v>
      </c>
      <c r="P308" t="e">
        <f>VLOOKUP($I308,'[1]Table S6'!$A:$AI,8,FALSE)</f>
        <v>#N/A</v>
      </c>
      <c r="Q308" t="e">
        <f>VLOOKUP($I308,'[1]Table S6'!$A:$AI,9,FALSE)</f>
        <v>#N/A</v>
      </c>
      <c r="R308" t="e">
        <f>VLOOKUP($I308,'[1]Table S6'!$A:$AI,10,FALSE)</f>
        <v>#N/A</v>
      </c>
      <c r="T308" t="e">
        <f>VLOOKUP($I308,'[1]Table S6'!$A:$AI,12,FALSE)</f>
        <v>#N/A</v>
      </c>
      <c r="U308" t="e">
        <f>VLOOKUP($I308,'[1]Table S6'!$A:$AI,13,FALSE)</f>
        <v>#N/A</v>
      </c>
      <c r="V308" t="e">
        <f>VLOOKUP($I308,'[1]Table S6'!$A:$AI,14,FALSE)</f>
        <v>#N/A</v>
      </c>
      <c r="W308" t="e">
        <f>VLOOKUP($I308,'[1]Table S6'!$A:$AI,15,FALSE)</f>
        <v>#N/A</v>
      </c>
      <c r="Y308" t="e">
        <f>VLOOKUP($I308,'[1]Table S6'!$A:$AI,17,FALSE)</f>
        <v>#N/A</v>
      </c>
      <c r="Z308" t="e">
        <f>VLOOKUP($I308,'[1]Table S6'!$A:$AI,18,FALSE)</f>
        <v>#N/A</v>
      </c>
      <c r="AA308" t="e">
        <f>VLOOKUP($I308,'[1]Table S6'!$A:$AI,19,FALSE)</f>
        <v>#N/A</v>
      </c>
      <c r="AB308" t="e">
        <f>VLOOKUP($I308,'[1]Table S6'!$A:$AI,20,FALSE)</f>
        <v>#N/A</v>
      </c>
      <c r="AD308" t="e">
        <f>VLOOKUP($I308,'[1]Table S6'!$A:$AI,22,FALSE)</f>
        <v>#N/A</v>
      </c>
      <c r="AE308" t="e">
        <f>VLOOKUP($I308,'[1]Table S6'!$A:$AI,23,FALSE)</f>
        <v>#N/A</v>
      </c>
      <c r="AF308" t="e">
        <f>VLOOKUP($I308,'[1]Table S6'!$A:$AI,24,FALSE)</f>
        <v>#N/A</v>
      </c>
      <c r="AG308" t="e">
        <f>VLOOKUP($I308,'[1]Table S6'!$A:$AI,25,FALSE)</f>
        <v>#N/A</v>
      </c>
      <c r="AI308" t="e">
        <f>VLOOKUP($I308,'[1]Table S6'!$A:$AI,27,FALSE)</f>
        <v>#N/A</v>
      </c>
      <c r="AJ308" t="e">
        <f>VLOOKUP($I308,'[1]Table S6'!$A:$AI,28,FALSE)</f>
        <v>#N/A</v>
      </c>
      <c r="AK308" t="e">
        <f>VLOOKUP($I308,'[1]Table S6'!$A:$AI,29,FALSE)</f>
        <v>#N/A</v>
      </c>
      <c r="AL308" t="e">
        <f>VLOOKUP($I308,'[1]Table S6'!$A:$AI,30,FALSE)</f>
        <v>#N/A</v>
      </c>
      <c r="AN308" t="e">
        <f>VLOOKUP($I308,'[1]Table S6'!$A:$AI,32,FALSE)</f>
        <v>#N/A</v>
      </c>
      <c r="AO308" t="e">
        <f>VLOOKUP($I308,'[1]Table S6'!$A:$AI,33,FALSE)</f>
        <v>#N/A</v>
      </c>
      <c r="AP308" t="e">
        <f>VLOOKUP($I308,'[1]Table S6'!$A:$AI,34,FALSE)</f>
        <v>#N/A</v>
      </c>
      <c r="AQ308" t="e">
        <f>VLOOKUP($I308,'[1]Table S6'!$A:$AI,35,FALSE)</f>
        <v>#N/A</v>
      </c>
      <c r="AS308" t="e">
        <f>VLOOKUP($H308,'[2]Table S5'!$A:$K,8,FALSE)</f>
        <v>#N/A</v>
      </c>
      <c r="AT308" t="e">
        <f>VLOOKUP($H308,'[2]Table S5'!$A:$K,9,FALSE)</f>
        <v>#N/A</v>
      </c>
      <c r="AU308" t="e">
        <f>VLOOKUP($H308,'[2]Table S5'!$A:$K,10,FALSE)</f>
        <v>#N/A</v>
      </c>
      <c r="AV308" t="e">
        <f>VLOOKUP($H308,'[2]Table S5'!$A:$K,11,FALSE)</f>
        <v>#N/A</v>
      </c>
    </row>
    <row r="309" spans="1:48">
      <c r="A309" t="s">
        <v>2333</v>
      </c>
      <c r="B309" t="s">
        <v>2334</v>
      </c>
      <c r="C309" t="s">
        <v>17</v>
      </c>
      <c r="D309" t="s">
        <v>2336</v>
      </c>
      <c r="E309" t="s">
        <v>2337</v>
      </c>
      <c r="F309" t="s">
        <v>2338</v>
      </c>
      <c r="G309" t="s">
        <v>4755</v>
      </c>
      <c r="H309" t="s">
        <v>2324</v>
      </c>
      <c r="I309" t="s">
        <v>2324</v>
      </c>
      <c r="J309" t="e">
        <f>VLOOKUP($I309,'[1]Table S6'!$A:$AI,2,FALSE)</f>
        <v>#N/A</v>
      </c>
      <c r="K309" t="e">
        <f>VLOOKUP($I309,'[1]Table S6'!$A:$AI,3,FALSE)</f>
        <v>#N/A</v>
      </c>
      <c r="L309" t="e">
        <f>VLOOKUP($I309,'[1]Table S6'!$A:$AI,4,FALSE)</f>
        <v>#N/A</v>
      </c>
      <c r="M309" t="e">
        <f>VLOOKUP($I309,'[1]Table S6'!$A:$AI,5,FALSE)</f>
        <v>#N/A</v>
      </c>
      <c r="O309" t="e">
        <f>VLOOKUP($I309,'[1]Table S6'!$A:$AI,7,FALSE)</f>
        <v>#N/A</v>
      </c>
      <c r="P309" t="e">
        <f>VLOOKUP($I309,'[1]Table S6'!$A:$AI,8,FALSE)</f>
        <v>#N/A</v>
      </c>
      <c r="Q309" t="e">
        <f>VLOOKUP($I309,'[1]Table S6'!$A:$AI,9,FALSE)</f>
        <v>#N/A</v>
      </c>
      <c r="R309" t="e">
        <f>VLOOKUP($I309,'[1]Table S6'!$A:$AI,10,FALSE)</f>
        <v>#N/A</v>
      </c>
      <c r="T309" t="e">
        <f>VLOOKUP($I309,'[1]Table S6'!$A:$AI,12,FALSE)</f>
        <v>#N/A</v>
      </c>
      <c r="U309" t="e">
        <f>VLOOKUP($I309,'[1]Table S6'!$A:$AI,13,FALSE)</f>
        <v>#N/A</v>
      </c>
      <c r="V309" t="e">
        <f>VLOOKUP($I309,'[1]Table S6'!$A:$AI,14,FALSE)</f>
        <v>#N/A</v>
      </c>
      <c r="W309" t="e">
        <f>VLOOKUP($I309,'[1]Table S6'!$A:$AI,15,FALSE)</f>
        <v>#N/A</v>
      </c>
      <c r="Y309" t="e">
        <f>VLOOKUP($I309,'[1]Table S6'!$A:$AI,17,FALSE)</f>
        <v>#N/A</v>
      </c>
      <c r="Z309" t="e">
        <f>VLOOKUP($I309,'[1]Table S6'!$A:$AI,18,FALSE)</f>
        <v>#N/A</v>
      </c>
      <c r="AA309" t="e">
        <f>VLOOKUP($I309,'[1]Table S6'!$A:$AI,19,FALSE)</f>
        <v>#N/A</v>
      </c>
      <c r="AB309" t="e">
        <f>VLOOKUP($I309,'[1]Table S6'!$A:$AI,20,FALSE)</f>
        <v>#N/A</v>
      </c>
      <c r="AD309" t="e">
        <f>VLOOKUP($I309,'[1]Table S6'!$A:$AI,22,FALSE)</f>
        <v>#N/A</v>
      </c>
      <c r="AE309" t="e">
        <f>VLOOKUP($I309,'[1]Table S6'!$A:$AI,23,FALSE)</f>
        <v>#N/A</v>
      </c>
      <c r="AF309" t="e">
        <f>VLOOKUP($I309,'[1]Table S6'!$A:$AI,24,FALSE)</f>
        <v>#N/A</v>
      </c>
      <c r="AG309" t="e">
        <f>VLOOKUP($I309,'[1]Table S6'!$A:$AI,25,FALSE)</f>
        <v>#N/A</v>
      </c>
      <c r="AI309" t="e">
        <f>VLOOKUP($I309,'[1]Table S6'!$A:$AI,27,FALSE)</f>
        <v>#N/A</v>
      </c>
      <c r="AJ309" t="e">
        <f>VLOOKUP($I309,'[1]Table S6'!$A:$AI,28,FALSE)</f>
        <v>#N/A</v>
      </c>
      <c r="AK309" t="e">
        <f>VLOOKUP($I309,'[1]Table S6'!$A:$AI,29,FALSE)</f>
        <v>#N/A</v>
      </c>
      <c r="AL309" t="e">
        <f>VLOOKUP($I309,'[1]Table S6'!$A:$AI,30,FALSE)</f>
        <v>#N/A</v>
      </c>
      <c r="AN309" t="e">
        <f>VLOOKUP($I309,'[1]Table S6'!$A:$AI,32,FALSE)</f>
        <v>#N/A</v>
      </c>
      <c r="AO309" t="e">
        <f>VLOOKUP($I309,'[1]Table S6'!$A:$AI,33,FALSE)</f>
        <v>#N/A</v>
      </c>
      <c r="AP309" t="e">
        <f>VLOOKUP($I309,'[1]Table S6'!$A:$AI,34,FALSE)</f>
        <v>#N/A</v>
      </c>
      <c r="AQ309" t="e">
        <f>VLOOKUP($I309,'[1]Table S6'!$A:$AI,35,FALSE)</f>
        <v>#N/A</v>
      </c>
      <c r="AS309" t="e">
        <f>VLOOKUP($H309,'[2]Table S5'!$A:$K,8,FALSE)</f>
        <v>#N/A</v>
      </c>
      <c r="AT309" t="e">
        <f>VLOOKUP($H309,'[2]Table S5'!$A:$K,9,FALSE)</f>
        <v>#N/A</v>
      </c>
      <c r="AU309" t="e">
        <f>VLOOKUP($H309,'[2]Table S5'!$A:$K,10,FALSE)</f>
        <v>#N/A</v>
      </c>
      <c r="AV309" t="e">
        <f>VLOOKUP($H309,'[2]Table S5'!$A:$K,11,FALSE)</f>
        <v>#N/A</v>
      </c>
    </row>
    <row r="310" spans="1:48">
      <c r="A310" t="s">
        <v>2340</v>
      </c>
      <c r="B310" t="s">
        <v>2341</v>
      </c>
      <c r="C310" t="s">
        <v>17</v>
      </c>
      <c r="D310" t="s">
        <v>2343</v>
      </c>
      <c r="E310" t="s">
        <v>2344</v>
      </c>
      <c r="F310" t="s">
        <v>2345</v>
      </c>
      <c r="G310" t="s">
        <v>4757</v>
      </c>
      <c r="H310" t="s">
        <v>2346</v>
      </c>
      <c r="I310" t="s">
        <v>2346</v>
      </c>
      <c r="J310" t="e">
        <f>VLOOKUP($I310,'[1]Table S6'!$A:$AI,2,FALSE)</f>
        <v>#N/A</v>
      </c>
      <c r="K310" t="e">
        <f>VLOOKUP($I310,'[1]Table S6'!$A:$AI,3,FALSE)</f>
        <v>#N/A</v>
      </c>
      <c r="L310" t="e">
        <f>VLOOKUP($I310,'[1]Table S6'!$A:$AI,4,FALSE)</f>
        <v>#N/A</v>
      </c>
      <c r="M310" t="e">
        <f>VLOOKUP($I310,'[1]Table S6'!$A:$AI,5,FALSE)</f>
        <v>#N/A</v>
      </c>
      <c r="O310" t="e">
        <f>VLOOKUP($I310,'[1]Table S6'!$A:$AI,7,FALSE)</f>
        <v>#N/A</v>
      </c>
      <c r="P310" t="e">
        <f>VLOOKUP($I310,'[1]Table S6'!$A:$AI,8,FALSE)</f>
        <v>#N/A</v>
      </c>
      <c r="Q310" t="e">
        <f>VLOOKUP($I310,'[1]Table S6'!$A:$AI,9,FALSE)</f>
        <v>#N/A</v>
      </c>
      <c r="R310" t="e">
        <f>VLOOKUP($I310,'[1]Table S6'!$A:$AI,10,FALSE)</f>
        <v>#N/A</v>
      </c>
      <c r="T310" t="e">
        <f>VLOOKUP($I310,'[1]Table S6'!$A:$AI,12,FALSE)</f>
        <v>#N/A</v>
      </c>
      <c r="U310" t="e">
        <f>VLOOKUP($I310,'[1]Table S6'!$A:$AI,13,FALSE)</f>
        <v>#N/A</v>
      </c>
      <c r="V310" t="e">
        <f>VLOOKUP($I310,'[1]Table S6'!$A:$AI,14,FALSE)</f>
        <v>#N/A</v>
      </c>
      <c r="W310" t="e">
        <f>VLOOKUP($I310,'[1]Table S6'!$A:$AI,15,FALSE)</f>
        <v>#N/A</v>
      </c>
      <c r="Y310" t="e">
        <f>VLOOKUP($I310,'[1]Table S6'!$A:$AI,17,FALSE)</f>
        <v>#N/A</v>
      </c>
      <c r="Z310" t="e">
        <f>VLOOKUP($I310,'[1]Table S6'!$A:$AI,18,FALSE)</f>
        <v>#N/A</v>
      </c>
      <c r="AA310" t="e">
        <f>VLOOKUP($I310,'[1]Table S6'!$A:$AI,19,FALSE)</f>
        <v>#N/A</v>
      </c>
      <c r="AB310" t="e">
        <f>VLOOKUP($I310,'[1]Table S6'!$A:$AI,20,FALSE)</f>
        <v>#N/A</v>
      </c>
      <c r="AD310" t="e">
        <f>VLOOKUP($I310,'[1]Table S6'!$A:$AI,22,FALSE)</f>
        <v>#N/A</v>
      </c>
      <c r="AE310" t="e">
        <f>VLOOKUP($I310,'[1]Table S6'!$A:$AI,23,FALSE)</f>
        <v>#N/A</v>
      </c>
      <c r="AF310" t="e">
        <f>VLOOKUP($I310,'[1]Table S6'!$A:$AI,24,FALSE)</f>
        <v>#N/A</v>
      </c>
      <c r="AG310" t="e">
        <f>VLOOKUP($I310,'[1]Table S6'!$A:$AI,25,FALSE)</f>
        <v>#N/A</v>
      </c>
      <c r="AI310" t="e">
        <f>VLOOKUP($I310,'[1]Table S6'!$A:$AI,27,FALSE)</f>
        <v>#N/A</v>
      </c>
      <c r="AJ310" t="e">
        <f>VLOOKUP($I310,'[1]Table S6'!$A:$AI,28,FALSE)</f>
        <v>#N/A</v>
      </c>
      <c r="AK310" t="e">
        <f>VLOOKUP($I310,'[1]Table S6'!$A:$AI,29,FALSE)</f>
        <v>#N/A</v>
      </c>
      <c r="AL310" t="e">
        <f>VLOOKUP($I310,'[1]Table S6'!$A:$AI,30,FALSE)</f>
        <v>#N/A</v>
      </c>
      <c r="AN310" t="e">
        <f>VLOOKUP($I310,'[1]Table S6'!$A:$AI,32,FALSE)</f>
        <v>#N/A</v>
      </c>
      <c r="AO310" t="e">
        <f>VLOOKUP($I310,'[1]Table S6'!$A:$AI,33,FALSE)</f>
        <v>#N/A</v>
      </c>
      <c r="AP310" t="e">
        <f>VLOOKUP($I310,'[1]Table S6'!$A:$AI,34,FALSE)</f>
        <v>#N/A</v>
      </c>
      <c r="AQ310" t="e">
        <f>VLOOKUP($I310,'[1]Table S6'!$A:$AI,35,FALSE)</f>
        <v>#N/A</v>
      </c>
      <c r="AS310" t="e">
        <f>VLOOKUP($H310,'[2]Table S5'!$A:$K,8,FALSE)</f>
        <v>#N/A</v>
      </c>
      <c r="AT310" t="e">
        <f>VLOOKUP($H310,'[2]Table S5'!$A:$K,9,FALSE)</f>
        <v>#N/A</v>
      </c>
      <c r="AU310" t="e">
        <f>VLOOKUP($H310,'[2]Table S5'!$A:$K,10,FALSE)</f>
        <v>#N/A</v>
      </c>
      <c r="AV310" t="e">
        <f>VLOOKUP($H310,'[2]Table S5'!$A:$K,11,FALSE)</f>
        <v>#N/A</v>
      </c>
    </row>
    <row r="311" spans="1:48">
      <c r="A311" t="s">
        <v>2348</v>
      </c>
      <c r="B311" t="s">
        <v>2349</v>
      </c>
      <c r="C311" t="s">
        <v>17</v>
      </c>
      <c r="D311" t="s">
        <v>2351</v>
      </c>
      <c r="E311" t="s">
        <v>2352</v>
      </c>
      <c r="F311" t="s">
        <v>2353</v>
      </c>
      <c r="G311" t="s">
        <v>4751</v>
      </c>
      <c r="H311" t="s">
        <v>2346</v>
      </c>
      <c r="I311" t="s">
        <v>2346</v>
      </c>
      <c r="J311" t="e">
        <f>VLOOKUP($I311,'[1]Table S6'!$A:$AI,2,FALSE)</f>
        <v>#N/A</v>
      </c>
      <c r="K311" t="e">
        <f>VLOOKUP($I311,'[1]Table S6'!$A:$AI,3,FALSE)</f>
        <v>#N/A</v>
      </c>
      <c r="L311" t="e">
        <f>VLOOKUP($I311,'[1]Table S6'!$A:$AI,4,FALSE)</f>
        <v>#N/A</v>
      </c>
      <c r="M311" t="e">
        <f>VLOOKUP($I311,'[1]Table S6'!$A:$AI,5,FALSE)</f>
        <v>#N/A</v>
      </c>
      <c r="O311" t="e">
        <f>VLOOKUP($I311,'[1]Table S6'!$A:$AI,7,FALSE)</f>
        <v>#N/A</v>
      </c>
      <c r="P311" t="e">
        <f>VLOOKUP($I311,'[1]Table S6'!$A:$AI,8,FALSE)</f>
        <v>#N/A</v>
      </c>
      <c r="Q311" t="e">
        <f>VLOOKUP($I311,'[1]Table S6'!$A:$AI,9,FALSE)</f>
        <v>#N/A</v>
      </c>
      <c r="R311" t="e">
        <f>VLOOKUP($I311,'[1]Table S6'!$A:$AI,10,FALSE)</f>
        <v>#N/A</v>
      </c>
      <c r="T311" t="e">
        <f>VLOOKUP($I311,'[1]Table S6'!$A:$AI,12,FALSE)</f>
        <v>#N/A</v>
      </c>
      <c r="U311" t="e">
        <f>VLOOKUP($I311,'[1]Table S6'!$A:$AI,13,FALSE)</f>
        <v>#N/A</v>
      </c>
      <c r="V311" t="e">
        <f>VLOOKUP($I311,'[1]Table S6'!$A:$AI,14,FALSE)</f>
        <v>#N/A</v>
      </c>
      <c r="W311" t="e">
        <f>VLOOKUP($I311,'[1]Table S6'!$A:$AI,15,FALSE)</f>
        <v>#N/A</v>
      </c>
      <c r="Y311" t="e">
        <f>VLOOKUP($I311,'[1]Table S6'!$A:$AI,17,FALSE)</f>
        <v>#N/A</v>
      </c>
      <c r="Z311" t="e">
        <f>VLOOKUP($I311,'[1]Table S6'!$A:$AI,18,FALSE)</f>
        <v>#N/A</v>
      </c>
      <c r="AA311" t="e">
        <f>VLOOKUP($I311,'[1]Table S6'!$A:$AI,19,FALSE)</f>
        <v>#N/A</v>
      </c>
      <c r="AB311" t="e">
        <f>VLOOKUP($I311,'[1]Table S6'!$A:$AI,20,FALSE)</f>
        <v>#N/A</v>
      </c>
      <c r="AD311" t="e">
        <f>VLOOKUP($I311,'[1]Table S6'!$A:$AI,22,FALSE)</f>
        <v>#N/A</v>
      </c>
      <c r="AE311" t="e">
        <f>VLOOKUP($I311,'[1]Table S6'!$A:$AI,23,FALSE)</f>
        <v>#N/A</v>
      </c>
      <c r="AF311" t="e">
        <f>VLOOKUP($I311,'[1]Table S6'!$A:$AI,24,FALSE)</f>
        <v>#N/A</v>
      </c>
      <c r="AG311" t="e">
        <f>VLOOKUP($I311,'[1]Table S6'!$A:$AI,25,FALSE)</f>
        <v>#N/A</v>
      </c>
      <c r="AI311" t="e">
        <f>VLOOKUP($I311,'[1]Table S6'!$A:$AI,27,FALSE)</f>
        <v>#N/A</v>
      </c>
      <c r="AJ311" t="e">
        <f>VLOOKUP($I311,'[1]Table S6'!$A:$AI,28,FALSE)</f>
        <v>#N/A</v>
      </c>
      <c r="AK311" t="e">
        <f>VLOOKUP($I311,'[1]Table S6'!$A:$AI,29,FALSE)</f>
        <v>#N/A</v>
      </c>
      <c r="AL311" t="e">
        <f>VLOOKUP($I311,'[1]Table S6'!$A:$AI,30,FALSE)</f>
        <v>#N/A</v>
      </c>
      <c r="AN311" t="e">
        <f>VLOOKUP($I311,'[1]Table S6'!$A:$AI,32,FALSE)</f>
        <v>#N/A</v>
      </c>
      <c r="AO311" t="e">
        <f>VLOOKUP($I311,'[1]Table S6'!$A:$AI,33,FALSE)</f>
        <v>#N/A</v>
      </c>
      <c r="AP311" t="e">
        <f>VLOOKUP($I311,'[1]Table S6'!$A:$AI,34,FALSE)</f>
        <v>#N/A</v>
      </c>
      <c r="AQ311" t="e">
        <f>VLOOKUP($I311,'[1]Table S6'!$A:$AI,35,FALSE)</f>
        <v>#N/A</v>
      </c>
      <c r="AS311" t="e">
        <f>VLOOKUP($H311,'[2]Table S5'!$A:$K,8,FALSE)</f>
        <v>#N/A</v>
      </c>
      <c r="AT311" t="e">
        <f>VLOOKUP($H311,'[2]Table S5'!$A:$K,9,FALSE)</f>
        <v>#N/A</v>
      </c>
      <c r="AU311" t="e">
        <f>VLOOKUP($H311,'[2]Table S5'!$A:$K,10,FALSE)</f>
        <v>#N/A</v>
      </c>
      <c r="AV311" t="e">
        <f>VLOOKUP($H311,'[2]Table S5'!$A:$K,11,FALSE)</f>
        <v>#N/A</v>
      </c>
    </row>
    <row r="312" spans="1:48">
      <c r="A312" t="s">
        <v>2355</v>
      </c>
      <c r="B312" t="s">
        <v>2356</v>
      </c>
      <c r="C312" t="s">
        <v>17</v>
      </c>
      <c r="D312" t="s">
        <v>2358</v>
      </c>
      <c r="E312" t="s">
        <v>2359</v>
      </c>
      <c r="F312" t="s">
        <v>2360</v>
      </c>
      <c r="G312" t="s">
        <v>4754</v>
      </c>
      <c r="H312" t="s">
        <v>2346</v>
      </c>
      <c r="I312" t="s">
        <v>2346</v>
      </c>
      <c r="J312" t="e">
        <f>VLOOKUP($I312,'[1]Table S6'!$A:$AI,2,FALSE)</f>
        <v>#N/A</v>
      </c>
      <c r="K312" t="e">
        <f>VLOOKUP($I312,'[1]Table S6'!$A:$AI,3,FALSE)</f>
        <v>#N/A</v>
      </c>
      <c r="L312" t="e">
        <f>VLOOKUP($I312,'[1]Table S6'!$A:$AI,4,FALSE)</f>
        <v>#N/A</v>
      </c>
      <c r="M312" t="e">
        <f>VLOOKUP($I312,'[1]Table S6'!$A:$AI,5,FALSE)</f>
        <v>#N/A</v>
      </c>
      <c r="O312" t="e">
        <f>VLOOKUP($I312,'[1]Table S6'!$A:$AI,7,FALSE)</f>
        <v>#N/A</v>
      </c>
      <c r="P312" t="e">
        <f>VLOOKUP($I312,'[1]Table S6'!$A:$AI,8,FALSE)</f>
        <v>#N/A</v>
      </c>
      <c r="Q312" t="e">
        <f>VLOOKUP($I312,'[1]Table S6'!$A:$AI,9,FALSE)</f>
        <v>#N/A</v>
      </c>
      <c r="R312" t="e">
        <f>VLOOKUP($I312,'[1]Table S6'!$A:$AI,10,FALSE)</f>
        <v>#N/A</v>
      </c>
      <c r="T312" t="e">
        <f>VLOOKUP($I312,'[1]Table S6'!$A:$AI,12,FALSE)</f>
        <v>#N/A</v>
      </c>
      <c r="U312" t="e">
        <f>VLOOKUP($I312,'[1]Table S6'!$A:$AI,13,FALSE)</f>
        <v>#N/A</v>
      </c>
      <c r="V312" t="e">
        <f>VLOOKUP($I312,'[1]Table S6'!$A:$AI,14,FALSE)</f>
        <v>#N/A</v>
      </c>
      <c r="W312" t="e">
        <f>VLOOKUP($I312,'[1]Table S6'!$A:$AI,15,FALSE)</f>
        <v>#N/A</v>
      </c>
      <c r="Y312" t="e">
        <f>VLOOKUP($I312,'[1]Table S6'!$A:$AI,17,FALSE)</f>
        <v>#N/A</v>
      </c>
      <c r="Z312" t="e">
        <f>VLOOKUP($I312,'[1]Table S6'!$A:$AI,18,FALSE)</f>
        <v>#N/A</v>
      </c>
      <c r="AA312" t="e">
        <f>VLOOKUP($I312,'[1]Table S6'!$A:$AI,19,FALSE)</f>
        <v>#N/A</v>
      </c>
      <c r="AB312" t="e">
        <f>VLOOKUP($I312,'[1]Table S6'!$A:$AI,20,FALSE)</f>
        <v>#N/A</v>
      </c>
      <c r="AD312" t="e">
        <f>VLOOKUP($I312,'[1]Table S6'!$A:$AI,22,FALSE)</f>
        <v>#N/A</v>
      </c>
      <c r="AE312" t="e">
        <f>VLOOKUP($I312,'[1]Table S6'!$A:$AI,23,FALSE)</f>
        <v>#N/A</v>
      </c>
      <c r="AF312" t="e">
        <f>VLOOKUP($I312,'[1]Table S6'!$A:$AI,24,FALSE)</f>
        <v>#N/A</v>
      </c>
      <c r="AG312" t="e">
        <f>VLOOKUP($I312,'[1]Table S6'!$A:$AI,25,FALSE)</f>
        <v>#N/A</v>
      </c>
      <c r="AI312" t="e">
        <f>VLOOKUP($I312,'[1]Table S6'!$A:$AI,27,FALSE)</f>
        <v>#N/A</v>
      </c>
      <c r="AJ312" t="e">
        <f>VLOOKUP($I312,'[1]Table S6'!$A:$AI,28,FALSE)</f>
        <v>#N/A</v>
      </c>
      <c r="AK312" t="e">
        <f>VLOOKUP($I312,'[1]Table S6'!$A:$AI,29,FALSE)</f>
        <v>#N/A</v>
      </c>
      <c r="AL312" t="e">
        <f>VLOOKUP($I312,'[1]Table S6'!$A:$AI,30,FALSE)</f>
        <v>#N/A</v>
      </c>
      <c r="AN312" t="e">
        <f>VLOOKUP($I312,'[1]Table S6'!$A:$AI,32,FALSE)</f>
        <v>#N/A</v>
      </c>
      <c r="AO312" t="e">
        <f>VLOOKUP($I312,'[1]Table S6'!$A:$AI,33,FALSE)</f>
        <v>#N/A</v>
      </c>
      <c r="AP312" t="e">
        <f>VLOOKUP($I312,'[1]Table S6'!$A:$AI,34,FALSE)</f>
        <v>#N/A</v>
      </c>
      <c r="AQ312" t="e">
        <f>VLOOKUP($I312,'[1]Table S6'!$A:$AI,35,FALSE)</f>
        <v>#N/A</v>
      </c>
      <c r="AS312" t="e">
        <f>VLOOKUP($H312,'[2]Table S5'!$A:$K,8,FALSE)</f>
        <v>#N/A</v>
      </c>
      <c r="AT312" t="e">
        <f>VLOOKUP($H312,'[2]Table S5'!$A:$K,9,FALSE)</f>
        <v>#N/A</v>
      </c>
      <c r="AU312" t="e">
        <f>VLOOKUP($H312,'[2]Table S5'!$A:$K,10,FALSE)</f>
        <v>#N/A</v>
      </c>
      <c r="AV312" t="e">
        <f>VLOOKUP($H312,'[2]Table S5'!$A:$K,11,FALSE)</f>
        <v>#N/A</v>
      </c>
    </row>
    <row r="313" spans="1:48">
      <c r="A313" t="s">
        <v>2362</v>
      </c>
      <c r="B313" t="s">
        <v>2363</v>
      </c>
      <c r="C313" t="s">
        <v>17</v>
      </c>
      <c r="D313" t="s">
        <v>2365</v>
      </c>
      <c r="E313" t="s">
        <v>2366</v>
      </c>
      <c r="F313" t="s">
        <v>2367</v>
      </c>
      <c r="G313" t="s">
        <v>4755</v>
      </c>
      <c r="H313" t="s">
        <v>2346</v>
      </c>
      <c r="I313" t="s">
        <v>2346</v>
      </c>
      <c r="J313" t="e">
        <f>VLOOKUP($I313,'[1]Table S6'!$A:$AI,2,FALSE)</f>
        <v>#N/A</v>
      </c>
      <c r="K313" t="e">
        <f>VLOOKUP($I313,'[1]Table S6'!$A:$AI,3,FALSE)</f>
        <v>#N/A</v>
      </c>
      <c r="L313" t="e">
        <f>VLOOKUP($I313,'[1]Table S6'!$A:$AI,4,FALSE)</f>
        <v>#N/A</v>
      </c>
      <c r="M313" t="e">
        <f>VLOOKUP($I313,'[1]Table S6'!$A:$AI,5,FALSE)</f>
        <v>#N/A</v>
      </c>
      <c r="O313" t="e">
        <f>VLOOKUP($I313,'[1]Table S6'!$A:$AI,7,FALSE)</f>
        <v>#N/A</v>
      </c>
      <c r="P313" t="e">
        <f>VLOOKUP($I313,'[1]Table S6'!$A:$AI,8,FALSE)</f>
        <v>#N/A</v>
      </c>
      <c r="Q313" t="e">
        <f>VLOOKUP($I313,'[1]Table S6'!$A:$AI,9,FALSE)</f>
        <v>#N/A</v>
      </c>
      <c r="R313" t="e">
        <f>VLOOKUP($I313,'[1]Table S6'!$A:$AI,10,FALSE)</f>
        <v>#N/A</v>
      </c>
      <c r="T313" t="e">
        <f>VLOOKUP($I313,'[1]Table S6'!$A:$AI,12,FALSE)</f>
        <v>#N/A</v>
      </c>
      <c r="U313" t="e">
        <f>VLOOKUP($I313,'[1]Table S6'!$A:$AI,13,FALSE)</f>
        <v>#N/A</v>
      </c>
      <c r="V313" t="e">
        <f>VLOOKUP($I313,'[1]Table S6'!$A:$AI,14,FALSE)</f>
        <v>#N/A</v>
      </c>
      <c r="W313" t="e">
        <f>VLOOKUP($I313,'[1]Table S6'!$A:$AI,15,FALSE)</f>
        <v>#N/A</v>
      </c>
      <c r="Y313" t="e">
        <f>VLOOKUP($I313,'[1]Table S6'!$A:$AI,17,FALSE)</f>
        <v>#N/A</v>
      </c>
      <c r="Z313" t="e">
        <f>VLOOKUP($I313,'[1]Table S6'!$A:$AI,18,FALSE)</f>
        <v>#N/A</v>
      </c>
      <c r="AA313" t="e">
        <f>VLOOKUP($I313,'[1]Table S6'!$A:$AI,19,FALSE)</f>
        <v>#N/A</v>
      </c>
      <c r="AB313" t="e">
        <f>VLOOKUP($I313,'[1]Table S6'!$A:$AI,20,FALSE)</f>
        <v>#N/A</v>
      </c>
      <c r="AD313" t="e">
        <f>VLOOKUP($I313,'[1]Table S6'!$A:$AI,22,FALSE)</f>
        <v>#N/A</v>
      </c>
      <c r="AE313" t="e">
        <f>VLOOKUP($I313,'[1]Table S6'!$A:$AI,23,FALSE)</f>
        <v>#N/A</v>
      </c>
      <c r="AF313" t="e">
        <f>VLOOKUP($I313,'[1]Table S6'!$A:$AI,24,FALSE)</f>
        <v>#N/A</v>
      </c>
      <c r="AG313" t="e">
        <f>VLOOKUP($I313,'[1]Table S6'!$A:$AI,25,FALSE)</f>
        <v>#N/A</v>
      </c>
      <c r="AI313" t="e">
        <f>VLOOKUP($I313,'[1]Table S6'!$A:$AI,27,FALSE)</f>
        <v>#N/A</v>
      </c>
      <c r="AJ313" t="e">
        <f>VLOOKUP($I313,'[1]Table S6'!$A:$AI,28,FALSE)</f>
        <v>#N/A</v>
      </c>
      <c r="AK313" t="e">
        <f>VLOOKUP($I313,'[1]Table S6'!$A:$AI,29,FALSE)</f>
        <v>#N/A</v>
      </c>
      <c r="AL313" t="e">
        <f>VLOOKUP($I313,'[1]Table S6'!$A:$AI,30,FALSE)</f>
        <v>#N/A</v>
      </c>
      <c r="AN313" t="e">
        <f>VLOOKUP($I313,'[1]Table S6'!$A:$AI,32,FALSE)</f>
        <v>#N/A</v>
      </c>
      <c r="AO313" t="e">
        <f>VLOOKUP($I313,'[1]Table S6'!$A:$AI,33,FALSE)</f>
        <v>#N/A</v>
      </c>
      <c r="AP313" t="e">
        <f>VLOOKUP($I313,'[1]Table S6'!$A:$AI,34,FALSE)</f>
        <v>#N/A</v>
      </c>
      <c r="AQ313" t="e">
        <f>VLOOKUP($I313,'[1]Table S6'!$A:$AI,35,FALSE)</f>
        <v>#N/A</v>
      </c>
      <c r="AS313" t="e">
        <f>VLOOKUP($H313,'[2]Table S5'!$A:$K,8,FALSE)</f>
        <v>#N/A</v>
      </c>
      <c r="AT313" t="e">
        <f>VLOOKUP($H313,'[2]Table S5'!$A:$K,9,FALSE)</f>
        <v>#N/A</v>
      </c>
      <c r="AU313" t="e">
        <f>VLOOKUP($H313,'[2]Table S5'!$A:$K,10,FALSE)</f>
        <v>#N/A</v>
      </c>
      <c r="AV313" t="e">
        <f>VLOOKUP($H313,'[2]Table S5'!$A:$K,11,FALSE)</f>
        <v>#N/A</v>
      </c>
    </row>
    <row r="314" spans="1:48">
      <c r="A314" t="s">
        <v>2369</v>
      </c>
      <c r="B314" t="s">
        <v>2370</v>
      </c>
      <c r="C314" t="s">
        <v>17</v>
      </c>
      <c r="D314" t="s">
        <v>2372</v>
      </c>
      <c r="E314" t="s">
        <v>2373</v>
      </c>
      <c r="F314" t="s">
        <v>2374</v>
      </c>
      <c r="G314" t="s">
        <v>4757</v>
      </c>
      <c r="H314" t="s">
        <v>2375</v>
      </c>
      <c r="I314" t="s">
        <v>2375</v>
      </c>
      <c r="J314" t="e">
        <f>VLOOKUP($I314,'[1]Table S6'!$A:$AI,2,FALSE)</f>
        <v>#N/A</v>
      </c>
      <c r="K314" t="e">
        <f>VLOOKUP($I314,'[1]Table S6'!$A:$AI,3,FALSE)</f>
        <v>#N/A</v>
      </c>
      <c r="L314" t="e">
        <f>VLOOKUP($I314,'[1]Table S6'!$A:$AI,4,FALSE)</f>
        <v>#N/A</v>
      </c>
      <c r="M314" t="e">
        <f>VLOOKUP($I314,'[1]Table S6'!$A:$AI,5,FALSE)</f>
        <v>#N/A</v>
      </c>
      <c r="O314" t="e">
        <f>VLOOKUP($I314,'[1]Table S6'!$A:$AI,7,FALSE)</f>
        <v>#N/A</v>
      </c>
      <c r="P314" t="e">
        <f>VLOOKUP($I314,'[1]Table S6'!$A:$AI,8,FALSE)</f>
        <v>#N/A</v>
      </c>
      <c r="Q314" t="e">
        <f>VLOOKUP($I314,'[1]Table S6'!$A:$AI,9,FALSE)</f>
        <v>#N/A</v>
      </c>
      <c r="R314" t="e">
        <f>VLOOKUP($I314,'[1]Table S6'!$A:$AI,10,FALSE)</f>
        <v>#N/A</v>
      </c>
      <c r="T314" t="e">
        <f>VLOOKUP($I314,'[1]Table S6'!$A:$AI,12,FALSE)</f>
        <v>#N/A</v>
      </c>
      <c r="U314" t="e">
        <f>VLOOKUP($I314,'[1]Table S6'!$A:$AI,13,FALSE)</f>
        <v>#N/A</v>
      </c>
      <c r="V314" t="e">
        <f>VLOOKUP($I314,'[1]Table S6'!$A:$AI,14,FALSE)</f>
        <v>#N/A</v>
      </c>
      <c r="W314" t="e">
        <f>VLOOKUP($I314,'[1]Table S6'!$A:$AI,15,FALSE)</f>
        <v>#N/A</v>
      </c>
      <c r="Y314" t="e">
        <f>VLOOKUP($I314,'[1]Table S6'!$A:$AI,17,FALSE)</f>
        <v>#N/A</v>
      </c>
      <c r="Z314" t="e">
        <f>VLOOKUP($I314,'[1]Table S6'!$A:$AI,18,FALSE)</f>
        <v>#N/A</v>
      </c>
      <c r="AA314" t="e">
        <f>VLOOKUP($I314,'[1]Table S6'!$A:$AI,19,FALSE)</f>
        <v>#N/A</v>
      </c>
      <c r="AB314" t="e">
        <f>VLOOKUP($I314,'[1]Table S6'!$A:$AI,20,FALSE)</f>
        <v>#N/A</v>
      </c>
      <c r="AD314" t="e">
        <f>VLOOKUP($I314,'[1]Table S6'!$A:$AI,22,FALSE)</f>
        <v>#N/A</v>
      </c>
      <c r="AE314" t="e">
        <f>VLOOKUP($I314,'[1]Table S6'!$A:$AI,23,FALSE)</f>
        <v>#N/A</v>
      </c>
      <c r="AF314" t="e">
        <f>VLOOKUP($I314,'[1]Table S6'!$A:$AI,24,FALSE)</f>
        <v>#N/A</v>
      </c>
      <c r="AG314" t="e">
        <f>VLOOKUP($I314,'[1]Table S6'!$A:$AI,25,FALSE)</f>
        <v>#N/A</v>
      </c>
      <c r="AI314" t="e">
        <f>VLOOKUP($I314,'[1]Table S6'!$A:$AI,27,FALSE)</f>
        <v>#N/A</v>
      </c>
      <c r="AJ314" t="e">
        <f>VLOOKUP($I314,'[1]Table S6'!$A:$AI,28,FALSE)</f>
        <v>#N/A</v>
      </c>
      <c r="AK314" t="e">
        <f>VLOOKUP($I314,'[1]Table S6'!$A:$AI,29,FALSE)</f>
        <v>#N/A</v>
      </c>
      <c r="AL314" t="e">
        <f>VLOOKUP($I314,'[1]Table S6'!$A:$AI,30,FALSE)</f>
        <v>#N/A</v>
      </c>
      <c r="AN314" t="e">
        <f>VLOOKUP($I314,'[1]Table S6'!$A:$AI,32,FALSE)</f>
        <v>#N/A</v>
      </c>
      <c r="AO314" t="e">
        <f>VLOOKUP($I314,'[1]Table S6'!$A:$AI,33,FALSE)</f>
        <v>#N/A</v>
      </c>
      <c r="AP314" t="e">
        <f>VLOOKUP($I314,'[1]Table S6'!$A:$AI,34,FALSE)</f>
        <v>#N/A</v>
      </c>
      <c r="AQ314" t="e">
        <f>VLOOKUP($I314,'[1]Table S6'!$A:$AI,35,FALSE)</f>
        <v>#N/A</v>
      </c>
      <c r="AS314" t="e">
        <f>VLOOKUP($H314,'[2]Table S5'!$A:$K,8,FALSE)</f>
        <v>#N/A</v>
      </c>
      <c r="AT314" t="e">
        <f>VLOOKUP($H314,'[2]Table S5'!$A:$K,9,FALSE)</f>
        <v>#N/A</v>
      </c>
      <c r="AU314" t="e">
        <f>VLOOKUP($H314,'[2]Table S5'!$A:$K,10,FALSE)</f>
        <v>#N/A</v>
      </c>
      <c r="AV314" t="e">
        <f>VLOOKUP($H314,'[2]Table S5'!$A:$K,11,FALSE)</f>
        <v>#N/A</v>
      </c>
    </row>
    <row r="315" spans="1:48">
      <c r="A315" t="s">
        <v>2377</v>
      </c>
      <c r="B315" t="s">
        <v>2378</v>
      </c>
      <c r="C315" t="s">
        <v>17</v>
      </c>
      <c r="D315" t="s">
        <v>2380</v>
      </c>
      <c r="E315" t="s">
        <v>2381</v>
      </c>
      <c r="F315" t="s">
        <v>2382</v>
      </c>
      <c r="G315" t="s">
        <v>4751</v>
      </c>
      <c r="H315" t="s">
        <v>2375</v>
      </c>
      <c r="I315" t="s">
        <v>2375</v>
      </c>
      <c r="J315" t="e">
        <f>VLOOKUP($I315,'[1]Table S6'!$A:$AI,2,FALSE)</f>
        <v>#N/A</v>
      </c>
      <c r="K315" t="e">
        <f>VLOOKUP($I315,'[1]Table S6'!$A:$AI,3,FALSE)</f>
        <v>#N/A</v>
      </c>
      <c r="L315" t="e">
        <f>VLOOKUP($I315,'[1]Table S6'!$A:$AI,4,FALSE)</f>
        <v>#N/A</v>
      </c>
      <c r="M315" t="e">
        <f>VLOOKUP($I315,'[1]Table S6'!$A:$AI,5,FALSE)</f>
        <v>#N/A</v>
      </c>
      <c r="O315" t="e">
        <f>VLOOKUP($I315,'[1]Table S6'!$A:$AI,7,FALSE)</f>
        <v>#N/A</v>
      </c>
      <c r="P315" t="e">
        <f>VLOOKUP($I315,'[1]Table S6'!$A:$AI,8,FALSE)</f>
        <v>#N/A</v>
      </c>
      <c r="Q315" t="e">
        <f>VLOOKUP($I315,'[1]Table S6'!$A:$AI,9,FALSE)</f>
        <v>#N/A</v>
      </c>
      <c r="R315" t="e">
        <f>VLOOKUP($I315,'[1]Table S6'!$A:$AI,10,FALSE)</f>
        <v>#N/A</v>
      </c>
      <c r="T315" t="e">
        <f>VLOOKUP($I315,'[1]Table S6'!$A:$AI,12,FALSE)</f>
        <v>#N/A</v>
      </c>
      <c r="U315" t="e">
        <f>VLOOKUP($I315,'[1]Table S6'!$A:$AI,13,FALSE)</f>
        <v>#N/A</v>
      </c>
      <c r="V315" t="e">
        <f>VLOOKUP($I315,'[1]Table S6'!$A:$AI,14,FALSE)</f>
        <v>#N/A</v>
      </c>
      <c r="W315" t="e">
        <f>VLOOKUP($I315,'[1]Table S6'!$A:$AI,15,FALSE)</f>
        <v>#N/A</v>
      </c>
      <c r="Y315" t="e">
        <f>VLOOKUP($I315,'[1]Table S6'!$A:$AI,17,FALSE)</f>
        <v>#N/A</v>
      </c>
      <c r="Z315" t="e">
        <f>VLOOKUP($I315,'[1]Table S6'!$A:$AI,18,FALSE)</f>
        <v>#N/A</v>
      </c>
      <c r="AA315" t="e">
        <f>VLOOKUP($I315,'[1]Table S6'!$A:$AI,19,FALSE)</f>
        <v>#N/A</v>
      </c>
      <c r="AB315" t="e">
        <f>VLOOKUP($I315,'[1]Table S6'!$A:$AI,20,FALSE)</f>
        <v>#N/A</v>
      </c>
      <c r="AD315" t="e">
        <f>VLOOKUP($I315,'[1]Table S6'!$A:$AI,22,FALSE)</f>
        <v>#N/A</v>
      </c>
      <c r="AE315" t="e">
        <f>VLOOKUP($I315,'[1]Table S6'!$A:$AI,23,FALSE)</f>
        <v>#N/A</v>
      </c>
      <c r="AF315" t="e">
        <f>VLOOKUP($I315,'[1]Table S6'!$A:$AI,24,FALSE)</f>
        <v>#N/A</v>
      </c>
      <c r="AG315" t="e">
        <f>VLOOKUP($I315,'[1]Table S6'!$A:$AI,25,FALSE)</f>
        <v>#N/A</v>
      </c>
      <c r="AI315" t="e">
        <f>VLOOKUP($I315,'[1]Table S6'!$A:$AI,27,FALSE)</f>
        <v>#N/A</v>
      </c>
      <c r="AJ315" t="e">
        <f>VLOOKUP($I315,'[1]Table S6'!$A:$AI,28,FALSE)</f>
        <v>#N/A</v>
      </c>
      <c r="AK315" t="e">
        <f>VLOOKUP($I315,'[1]Table S6'!$A:$AI,29,FALSE)</f>
        <v>#N/A</v>
      </c>
      <c r="AL315" t="e">
        <f>VLOOKUP($I315,'[1]Table S6'!$A:$AI,30,FALSE)</f>
        <v>#N/A</v>
      </c>
      <c r="AN315" t="e">
        <f>VLOOKUP($I315,'[1]Table S6'!$A:$AI,32,FALSE)</f>
        <v>#N/A</v>
      </c>
      <c r="AO315" t="e">
        <f>VLOOKUP($I315,'[1]Table S6'!$A:$AI,33,FALSE)</f>
        <v>#N/A</v>
      </c>
      <c r="AP315" t="e">
        <f>VLOOKUP($I315,'[1]Table S6'!$A:$AI,34,FALSE)</f>
        <v>#N/A</v>
      </c>
      <c r="AQ315" t="e">
        <f>VLOOKUP($I315,'[1]Table S6'!$A:$AI,35,FALSE)</f>
        <v>#N/A</v>
      </c>
      <c r="AS315" t="e">
        <f>VLOOKUP($H315,'[2]Table S5'!$A:$K,8,FALSE)</f>
        <v>#N/A</v>
      </c>
      <c r="AT315" t="e">
        <f>VLOOKUP($H315,'[2]Table S5'!$A:$K,9,FALSE)</f>
        <v>#N/A</v>
      </c>
      <c r="AU315" t="e">
        <f>VLOOKUP($H315,'[2]Table S5'!$A:$K,10,FALSE)</f>
        <v>#N/A</v>
      </c>
      <c r="AV315" t="e">
        <f>VLOOKUP($H315,'[2]Table S5'!$A:$K,11,FALSE)</f>
        <v>#N/A</v>
      </c>
    </row>
    <row r="316" spans="1:48">
      <c r="A316" t="s">
        <v>2384</v>
      </c>
      <c r="B316" t="s">
        <v>2385</v>
      </c>
      <c r="C316" t="s">
        <v>17</v>
      </c>
      <c r="D316" t="s">
        <v>2387</v>
      </c>
      <c r="E316" t="s">
        <v>2388</v>
      </c>
      <c r="F316" t="s">
        <v>2389</v>
      </c>
      <c r="G316" t="s">
        <v>4754</v>
      </c>
      <c r="H316" t="s">
        <v>2375</v>
      </c>
      <c r="I316" t="s">
        <v>2375</v>
      </c>
      <c r="J316" t="e">
        <f>VLOOKUP($I316,'[1]Table S6'!$A:$AI,2,FALSE)</f>
        <v>#N/A</v>
      </c>
      <c r="K316" t="e">
        <f>VLOOKUP($I316,'[1]Table S6'!$A:$AI,3,FALSE)</f>
        <v>#N/A</v>
      </c>
      <c r="L316" t="e">
        <f>VLOOKUP($I316,'[1]Table S6'!$A:$AI,4,FALSE)</f>
        <v>#N/A</v>
      </c>
      <c r="M316" t="e">
        <f>VLOOKUP($I316,'[1]Table S6'!$A:$AI,5,FALSE)</f>
        <v>#N/A</v>
      </c>
      <c r="O316" t="e">
        <f>VLOOKUP($I316,'[1]Table S6'!$A:$AI,7,FALSE)</f>
        <v>#N/A</v>
      </c>
      <c r="P316" t="e">
        <f>VLOOKUP($I316,'[1]Table S6'!$A:$AI,8,FALSE)</f>
        <v>#N/A</v>
      </c>
      <c r="Q316" t="e">
        <f>VLOOKUP($I316,'[1]Table S6'!$A:$AI,9,FALSE)</f>
        <v>#N/A</v>
      </c>
      <c r="R316" t="e">
        <f>VLOOKUP($I316,'[1]Table S6'!$A:$AI,10,FALSE)</f>
        <v>#N/A</v>
      </c>
      <c r="T316" t="e">
        <f>VLOOKUP($I316,'[1]Table S6'!$A:$AI,12,FALSE)</f>
        <v>#N/A</v>
      </c>
      <c r="U316" t="e">
        <f>VLOOKUP($I316,'[1]Table S6'!$A:$AI,13,FALSE)</f>
        <v>#N/A</v>
      </c>
      <c r="V316" t="e">
        <f>VLOOKUP($I316,'[1]Table S6'!$A:$AI,14,FALSE)</f>
        <v>#N/A</v>
      </c>
      <c r="W316" t="e">
        <f>VLOOKUP($I316,'[1]Table S6'!$A:$AI,15,FALSE)</f>
        <v>#N/A</v>
      </c>
      <c r="Y316" t="e">
        <f>VLOOKUP($I316,'[1]Table S6'!$A:$AI,17,FALSE)</f>
        <v>#N/A</v>
      </c>
      <c r="Z316" t="e">
        <f>VLOOKUP($I316,'[1]Table S6'!$A:$AI,18,FALSE)</f>
        <v>#N/A</v>
      </c>
      <c r="AA316" t="e">
        <f>VLOOKUP($I316,'[1]Table S6'!$A:$AI,19,FALSE)</f>
        <v>#N/A</v>
      </c>
      <c r="AB316" t="e">
        <f>VLOOKUP($I316,'[1]Table S6'!$A:$AI,20,FALSE)</f>
        <v>#N/A</v>
      </c>
      <c r="AD316" t="e">
        <f>VLOOKUP($I316,'[1]Table S6'!$A:$AI,22,FALSE)</f>
        <v>#N/A</v>
      </c>
      <c r="AE316" t="e">
        <f>VLOOKUP($I316,'[1]Table S6'!$A:$AI,23,FALSE)</f>
        <v>#N/A</v>
      </c>
      <c r="AF316" t="e">
        <f>VLOOKUP($I316,'[1]Table S6'!$A:$AI,24,FALSE)</f>
        <v>#N/A</v>
      </c>
      <c r="AG316" t="e">
        <f>VLOOKUP($I316,'[1]Table S6'!$A:$AI,25,FALSE)</f>
        <v>#N/A</v>
      </c>
      <c r="AI316" t="e">
        <f>VLOOKUP($I316,'[1]Table S6'!$A:$AI,27,FALSE)</f>
        <v>#N/A</v>
      </c>
      <c r="AJ316" t="e">
        <f>VLOOKUP($I316,'[1]Table S6'!$A:$AI,28,FALSE)</f>
        <v>#N/A</v>
      </c>
      <c r="AK316" t="e">
        <f>VLOOKUP($I316,'[1]Table S6'!$A:$AI,29,FALSE)</f>
        <v>#N/A</v>
      </c>
      <c r="AL316" t="e">
        <f>VLOOKUP($I316,'[1]Table S6'!$A:$AI,30,FALSE)</f>
        <v>#N/A</v>
      </c>
      <c r="AN316" t="e">
        <f>VLOOKUP($I316,'[1]Table S6'!$A:$AI,32,FALSE)</f>
        <v>#N/A</v>
      </c>
      <c r="AO316" t="e">
        <f>VLOOKUP($I316,'[1]Table S6'!$A:$AI,33,FALSE)</f>
        <v>#N/A</v>
      </c>
      <c r="AP316" t="e">
        <f>VLOOKUP($I316,'[1]Table S6'!$A:$AI,34,FALSE)</f>
        <v>#N/A</v>
      </c>
      <c r="AQ316" t="e">
        <f>VLOOKUP($I316,'[1]Table S6'!$A:$AI,35,FALSE)</f>
        <v>#N/A</v>
      </c>
      <c r="AS316" t="e">
        <f>VLOOKUP($H316,'[2]Table S5'!$A:$K,8,FALSE)</f>
        <v>#N/A</v>
      </c>
      <c r="AT316" t="e">
        <f>VLOOKUP($H316,'[2]Table S5'!$A:$K,9,FALSE)</f>
        <v>#N/A</v>
      </c>
      <c r="AU316" t="e">
        <f>VLOOKUP($H316,'[2]Table S5'!$A:$K,10,FALSE)</f>
        <v>#N/A</v>
      </c>
      <c r="AV316" t="e">
        <f>VLOOKUP($H316,'[2]Table S5'!$A:$K,11,FALSE)</f>
        <v>#N/A</v>
      </c>
    </row>
    <row r="317" spans="1:48">
      <c r="A317" t="s">
        <v>2391</v>
      </c>
      <c r="B317" t="s">
        <v>2392</v>
      </c>
      <c r="C317" t="s">
        <v>17</v>
      </c>
      <c r="D317" t="s">
        <v>2394</v>
      </c>
      <c r="E317" t="s">
        <v>2395</v>
      </c>
      <c r="F317" t="s">
        <v>2396</v>
      </c>
      <c r="G317" t="s">
        <v>4755</v>
      </c>
      <c r="H317" t="s">
        <v>2375</v>
      </c>
      <c r="I317" t="s">
        <v>2375</v>
      </c>
      <c r="J317" t="e">
        <f>VLOOKUP($I317,'[1]Table S6'!$A:$AI,2,FALSE)</f>
        <v>#N/A</v>
      </c>
      <c r="K317" t="e">
        <f>VLOOKUP($I317,'[1]Table S6'!$A:$AI,3,FALSE)</f>
        <v>#N/A</v>
      </c>
      <c r="L317" t="e">
        <f>VLOOKUP($I317,'[1]Table S6'!$A:$AI,4,FALSE)</f>
        <v>#N/A</v>
      </c>
      <c r="M317" t="e">
        <f>VLOOKUP($I317,'[1]Table S6'!$A:$AI,5,FALSE)</f>
        <v>#N/A</v>
      </c>
      <c r="O317" t="e">
        <f>VLOOKUP($I317,'[1]Table S6'!$A:$AI,7,FALSE)</f>
        <v>#N/A</v>
      </c>
      <c r="P317" t="e">
        <f>VLOOKUP($I317,'[1]Table S6'!$A:$AI,8,FALSE)</f>
        <v>#N/A</v>
      </c>
      <c r="Q317" t="e">
        <f>VLOOKUP($I317,'[1]Table S6'!$A:$AI,9,FALSE)</f>
        <v>#N/A</v>
      </c>
      <c r="R317" t="e">
        <f>VLOOKUP($I317,'[1]Table S6'!$A:$AI,10,FALSE)</f>
        <v>#N/A</v>
      </c>
      <c r="T317" t="e">
        <f>VLOOKUP($I317,'[1]Table S6'!$A:$AI,12,FALSE)</f>
        <v>#N/A</v>
      </c>
      <c r="U317" t="e">
        <f>VLOOKUP($I317,'[1]Table S6'!$A:$AI,13,FALSE)</f>
        <v>#N/A</v>
      </c>
      <c r="V317" t="e">
        <f>VLOOKUP($I317,'[1]Table S6'!$A:$AI,14,FALSE)</f>
        <v>#N/A</v>
      </c>
      <c r="W317" t="e">
        <f>VLOOKUP($I317,'[1]Table S6'!$A:$AI,15,FALSE)</f>
        <v>#N/A</v>
      </c>
      <c r="Y317" t="e">
        <f>VLOOKUP($I317,'[1]Table S6'!$A:$AI,17,FALSE)</f>
        <v>#N/A</v>
      </c>
      <c r="Z317" t="e">
        <f>VLOOKUP($I317,'[1]Table S6'!$A:$AI,18,FALSE)</f>
        <v>#N/A</v>
      </c>
      <c r="AA317" t="e">
        <f>VLOOKUP($I317,'[1]Table S6'!$A:$AI,19,FALSE)</f>
        <v>#N/A</v>
      </c>
      <c r="AB317" t="e">
        <f>VLOOKUP($I317,'[1]Table S6'!$A:$AI,20,FALSE)</f>
        <v>#N/A</v>
      </c>
      <c r="AD317" t="e">
        <f>VLOOKUP($I317,'[1]Table S6'!$A:$AI,22,FALSE)</f>
        <v>#N/A</v>
      </c>
      <c r="AE317" t="e">
        <f>VLOOKUP($I317,'[1]Table S6'!$A:$AI,23,FALSE)</f>
        <v>#N/A</v>
      </c>
      <c r="AF317" t="e">
        <f>VLOOKUP($I317,'[1]Table S6'!$A:$AI,24,FALSE)</f>
        <v>#N/A</v>
      </c>
      <c r="AG317" t="e">
        <f>VLOOKUP($I317,'[1]Table S6'!$A:$AI,25,FALSE)</f>
        <v>#N/A</v>
      </c>
      <c r="AI317" t="e">
        <f>VLOOKUP($I317,'[1]Table S6'!$A:$AI,27,FALSE)</f>
        <v>#N/A</v>
      </c>
      <c r="AJ317" t="e">
        <f>VLOOKUP($I317,'[1]Table S6'!$A:$AI,28,FALSE)</f>
        <v>#N/A</v>
      </c>
      <c r="AK317" t="e">
        <f>VLOOKUP($I317,'[1]Table S6'!$A:$AI,29,FALSE)</f>
        <v>#N/A</v>
      </c>
      <c r="AL317" t="e">
        <f>VLOOKUP($I317,'[1]Table S6'!$A:$AI,30,FALSE)</f>
        <v>#N/A</v>
      </c>
      <c r="AN317" t="e">
        <f>VLOOKUP($I317,'[1]Table S6'!$A:$AI,32,FALSE)</f>
        <v>#N/A</v>
      </c>
      <c r="AO317" t="e">
        <f>VLOOKUP($I317,'[1]Table S6'!$A:$AI,33,FALSE)</f>
        <v>#N/A</v>
      </c>
      <c r="AP317" t="e">
        <f>VLOOKUP($I317,'[1]Table S6'!$A:$AI,34,FALSE)</f>
        <v>#N/A</v>
      </c>
      <c r="AQ317" t="e">
        <f>VLOOKUP($I317,'[1]Table S6'!$A:$AI,35,FALSE)</f>
        <v>#N/A</v>
      </c>
      <c r="AS317" t="e">
        <f>VLOOKUP($H317,'[2]Table S5'!$A:$K,8,FALSE)</f>
        <v>#N/A</v>
      </c>
      <c r="AT317" t="e">
        <f>VLOOKUP($H317,'[2]Table S5'!$A:$K,9,FALSE)</f>
        <v>#N/A</v>
      </c>
      <c r="AU317" t="e">
        <f>VLOOKUP($H317,'[2]Table S5'!$A:$K,10,FALSE)</f>
        <v>#N/A</v>
      </c>
      <c r="AV317" t="e">
        <f>VLOOKUP($H317,'[2]Table S5'!$A:$K,11,FALSE)</f>
        <v>#N/A</v>
      </c>
    </row>
    <row r="318" spans="1:48">
      <c r="A318" t="s">
        <v>2398</v>
      </c>
      <c r="B318" t="s">
        <v>2399</v>
      </c>
      <c r="C318" t="s">
        <v>17</v>
      </c>
      <c r="D318" t="s">
        <v>2401</v>
      </c>
      <c r="E318" t="s">
        <v>2402</v>
      </c>
      <c r="F318" t="s">
        <v>2403</v>
      </c>
      <c r="G318" t="s">
        <v>4750</v>
      </c>
      <c r="H318" t="s">
        <v>2404</v>
      </c>
      <c r="I318" t="s">
        <v>2404</v>
      </c>
      <c r="J318" t="e">
        <f>VLOOKUP($I318,'[1]Table S6'!$A:$AI,2,FALSE)</f>
        <v>#N/A</v>
      </c>
      <c r="K318" t="e">
        <f>VLOOKUP($I318,'[1]Table S6'!$A:$AI,3,FALSE)</f>
        <v>#N/A</v>
      </c>
      <c r="L318" t="e">
        <f>VLOOKUP($I318,'[1]Table S6'!$A:$AI,4,FALSE)</f>
        <v>#N/A</v>
      </c>
      <c r="M318" t="e">
        <f>VLOOKUP($I318,'[1]Table S6'!$A:$AI,5,FALSE)</f>
        <v>#N/A</v>
      </c>
      <c r="O318" t="e">
        <f>VLOOKUP($I318,'[1]Table S6'!$A:$AI,7,FALSE)</f>
        <v>#N/A</v>
      </c>
      <c r="P318" t="e">
        <f>VLOOKUP($I318,'[1]Table S6'!$A:$AI,8,FALSE)</f>
        <v>#N/A</v>
      </c>
      <c r="Q318" t="e">
        <f>VLOOKUP($I318,'[1]Table S6'!$A:$AI,9,FALSE)</f>
        <v>#N/A</v>
      </c>
      <c r="R318" t="e">
        <f>VLOOKUP($I318,'[1]Table S6'!$A:$AI,10,FALSE)</f>
        <v>#N/A</v>
      </c>
      <c r="T318" t="e">
        <f>VLOOKUP($I318,'[1]Table S6'!$A:$AI,12,FALSE)</f>
        <v>#N/A</v>
      </c>
      <c r="U318" t="e">
        <f>VLOOKUP($I318,'[1]Table S6'!$A:$AI,13,FALSE)</f>
        <v>#N/A</v>
      </c>
      <c r="V318" t="e">
        <f>VLOOKUP($I318,'[1]Table S6'!$A:$AI,14,FALSE)</f>
        <v>#N/A</v>
      </c>
      <c r="W318" t="e">
        <f>VLOOKUP($I318,'[1]Table S6'!$A:$AI,15,FALSE)</f>
        <v>#N/A</v>
      </c>
      <c r="Y318" t="e">
        <f>VLOOKUP($I318,'[1]Table S6'!$A:$AI,17,FALSE)</f>
        <v>#N/A</v>
      </c>
      <c r="Z318" t="e">
        <f>VLOOKUP($I318,'[1]Table S6'!$A:$AI,18,FALSE)</f>
        <v>#N/A</v>
      </c>
      <c r="AA318" t="e">
        <f>VLOOKUP($I318,'[1]Table S6'!$A:$AI,19,FALSE)</f>
        <v>#N/A</v>
      </c>
      <c r="AB318" t="e">
        <f>VLOOKUP($I318,'[1]Table S6'!$A:$AI,20,FALSE)</f>
        <v>#N/A</v>
      </c>
      <c r="AD318" t="e">
        <f>VLOOKUP($I318,'[1]Table S6'!$A:$AI,22,FALSE)</f>
        <v>#N/A</v>
      </c>
      <c r="AE318" t="e">
        <f>VLOOKUP($I318,'[1]Table S6'!$A:$AI,23,FALSE)</f>
        <v>#N/A</v>
      </c>
      <c r="AF318" t="e">
        <f>VLOOKUP($I318,'[1]Table S6'!$A:$AI,24,FALSE)</f>
        <v>#N/A</v>
      </c>
      <c r="AG318" t="e">
        <f>VLOOKUP($I318,'[1]Table S6'!$A:$AI,25,FALSE)</f>
        <v>#N/A</v>
      </c>
      <c r="AI318" t="e">
        <f>VLOOKUP($I318,'[1]Table S6'!$A:$AI,27,FALSE)</f>
        <v>#N/A</v>
      </c>
      <c r="AJ318" t="e">
        <f>VLOOKUP($I318,'[1]Table S6'!$A:$AI,28,FALSE)</f>
        <v>#N/A</v>
      </c>
      <c r="AK318" t="e">
        <f>VLOOKUP($I318,'[1]Table S6'!$A:$AI,29,FALSE)</f>
        <v>#N/A</v>
      </c>
      <c r="AL318" t="e">
        <f>VLOOKUP($I318,'[1]Table S6'!$A:$AI,30,FALSE)</f>
        <v>#N/A</v>
      </c>
      <c r="AN318" t="e">
        <f>VLOOKUP($I318,'[1]Table S6'!$A:$AI,32,FALSE)</f>
        <v>#N/A</v>
      </c>
      <c r="AO318" t="e">
        <f>VLOOKUP($I318,'[1]Table S6'!$A:$AI,33,FALSE)</f>
        <v>#N/A</v>
      </c>
      <c r="AP318" t="e">
        <f>VLOOKUP($I318,'[1]Table S6'!$A:$AI,34,FALSE)</f>
        <v>#N/A</v>
      </c>
      <c r="AQ318" t="e">
        <f>VLOOKUP($I318,'[1]Table S6'!$A:$AI,35,FALSE)</f>
        <v>#N/A</v>
      </c>
      <c r="AS318" t="e">
        <f>VLOOKUP($H318,'[2]Table S5'!$A:$K,8,FALSE)</f>
        <v>#N/A</v>
      </c>
      <c r="AT318" t="e">
        <f>VLOOKUP($H318,'[2]Table S5'!$A:$K,9,FALSE)</f>
        <v>#N/A</v>
      </c>
      <c r="AU318" t="e">
        <f>VLOOKUP($H318,'[2]Table S5'!$A:$K,10,FALSE)</f>
        <v>#N/A</v>
      </c>
      <c r="AV318" t="e">
        <f>VLOOKUP($H318,'[2]Table S5'!$A:$K,11,FALSE)</f>
        <v>#N/A</v>
      </c>
    </row>
    <row r="319" spans="1:48">
      <c r="A319" t="s">
        <v>2406</v>
      </c>
      <c r="B319" t="s">
        <v>2407</v>
      </c>
      <c r="C319" t="s">
        <v>17</v>
      </c>
      <c r="D319" t="s">
        <v>2409</v>
      </c>
      <c r="E319" t="s">
        <v>2410</v>
      </c>
      <c r="F319" t="s">
        <v>2411</v>
      </c>
      <c r="G319" t="s">
        <v>4757</v>
      </c>
      <c r="H319" t="s">
        <v>2404</v>
      </c>
      <c r="I319" t="s">
        <v>2404</v>
      </c>
      <c r="J319" t="e">
        <f>VLOOKUP($I319,'[1]Table S6'!$A:$AI,2,FALSE)</f>
        <v>#N/A</v>
      </c>
      <c r="K319" t="e">
        <f>VLOOKUP($I319,'[1]Table S6'!$A:$AI,3,FALSE)</f>
        <v>#N/A</v>
      </c>
      <c r="L319" t="e">
        <f>VLOOKUP($I319,'[1]Table S6'!$A:$AI,4,FALSE)</f>
        <v>#N/A</v>
      </c>
      <c r="M319" t="e">
        <f>VLOOKUP($I319,'[1]Table S6'!$A:$AI,5,FALSE)</f>
        <v>#N/A</v>
      </c>
      <c r="O319" t="e">
        <f>VLOOKUP($I319,'[1]Table S6'!$A:$AI,7,FALSE)</f>
        <v>#N/A</v>
      </c>
      <c r="P319" t="e">
        <f>VLOOKUP($I319,'[1]Table S6'!$A:$AI,8,FALSE)</f>
        <v>#N/A</v>
      </c>
      <c r="Q319" t="e">
        <f>VLOOKUP($I319,'[1]Table S6'!$A:$AI,9,FALSE)</f>
        <v>#N/A</v>
      </c>
      <c r="R319" t="e">
        <f>VLOOKUP($I319,'[1]Table S6'!$A:$AI,10,FALSE)</f>
        <v>#N/A</v>
      </c>
      <c r="T319" t="e">
        <f>VLOOKUP($I319,'[1]Table S6'!$A:$AI,12,FALSE)</f>
        <v>#N/A</v>
      </c>
      <c r="U319" t="e">
        <f>VLOOKUP($I319,'[1]Table S6'!$A:$AI,13,FALSE)</f>
        <v>#N/A</v>
      </c>
      <c r="V319" t="e">
        <f>VLOOKUP($I319,'[1]Table S6'!$A:$AI,14,FALSE)</f>
        <v>#N/A</v>
      </c>
      <c r="W319" t="e">
        <f>VLOOKUP($I319,'[1]Table S6'!$A:$AI,15,FALSE)</f>
        <v>#N/A</v>
      </c>
      <c r="Y319" t="e">
        <f>VLOOKUP($I319,'[1]Table S6'!$A:$AI,17,FALSE)</f>
        <v>#N/A</v>
      </c>
      <c r="Z319" t="e">
        <f>VLOOKUP($I319,'[1]Table S6'!$A:$AI,18,FALSE)</f>
        <v>#N/A</v>
      </c>
      <c r="AA319" t="e">
        <f>VLOOKUP($I319,'[1]Table S6'!$A:$AI,19,FALSE)</f>
        <v>#N/A</v>
      </c>
      <c r="AB319" t="e">
        <f>VLOOKUP($I319,'[1]Table S6'!$A:$AI,20,FALSE)</f>
        <v>#N/A</v>
      </c>
      <c r="AD319" t="e">
        <f>VLOOKUP($I319,'[1]Table S6'!$A:$AI,22,FALSE)</f>
        <v>#N/A</v>
      </c>
      <c r="AE319" t="e">
        <f>VLOOKUP($I319,'[1]Table S6'!$A:$AI,23,FALSE)</f>
        <v>#N/A</v>
      </c>
      <c r="AF319" t="e">
        <f>VLOOKUP($I319,'[1]Table S6'!$A:$AI,24,FALSE)</f>
        <v>#N/A</v>
      </c>
      <c r="AG319" t="e">
        <f>VLOOKUP($I319,'[1]Table S6'!$A:$AI,25,FALSE)</f>
        <v>#N/A</v>
      </c>
      <c r="AI319" t="e">
        <f>VLOOKUP($I319,'[1]Table S6'!$A:$AI,27,FALSE)</f>
        <v>#N/A</v>
      </c>
      <c r="AJ319" t="e">
        <f>VLOOKUP($I319,'[1]Table S6'!$A:$AI,28,FALSE)</f>
        <v>#N/A</v>
      </c>
      <c r="AK319" t="e">
        <f>VLOOKUP($I319,'[1]Table S6'!$A:$AI,29,FALSE)</f>
        <v>#N/A</v>
      </c>
      <c r="AL319" t="e">
        <f>VLOOKUP($I319,'[1]Table S6'!$A:$AI,30,FALSE)</f>
        <v>#N/A</v>
      </c>
      <c r="AN319" t="e">
        <f>VLOOKUP($I319,'[1]Table S6'!$A:$AI,32,FALSE)</f>
        <v>#N/A</v>
      </c>
      <c r="AO319" t="e">
        <f>VLOOKUP($I319,'[1]Table S6'!$A:$AI,33,FALSE)</f>
        <v>#N/A</v>
      </c>
      <c r="AP319" t="e">
        <f>VLOOKUP($I319,'[1]Table S6'!$A:$AI,34,FALSE)</f>
        <v>#N/A</v>
      </c>
      <c r="AQ319" t="e">
        <f>VLOOKUP($I319,'[1]Table S6'!$A:$AI,35,FALSE)</f>
        <v>#N/A</v>
      </c>
      <c r="AS319" t="e">
        <f>VLOOKUP($H319,'[2]Table S5'!$A:$K,8,FALSE)</f>
        <v>#N/A</v>
      </c>
      <c r="AT319" t="e">
        <f>VLOOKUP($H319,'[2]Table S5'!$A:$K,9,FALSE)</f>
        <v>#N/A</v>
      </c>
      <c r="AU319" t="e">
        <f>VLOOKUP($H319,'[2]Table S5'!$A:$K,10,FALSE)</f>
        <v>#N/A</v>
      </c>
      <c r="AV319" t="e">
        <f>VLOOKUP($H319,'[2]Table S5'!$A:$K,11,FALSE)</f>
        <v>#N/A</v>
      </c>
    </row>
    <row r="320" spans="1:48">
      <c r="A320" t="s">
        <v>2413</v>
      </c>
      <c r="B320" t="s">
        <v>2414</v>
      </c>
      <c r="C320" t="s">
        <v>17</v>
      </c>
      <c r="D320" t="s">
        <v>2416</v>
      </c>
      <c r="E320" t="s">
        <v>2417</v>
      </c>
      <c r="F320" t="s">
        <v>2418</v>
      </c>
      <c r="G320" t="s">
        <v>4750</v>
      </c>
      <c r="H320" t="s">
        <v>2419</v>
      </c>
      <c r="I320" t="s">
        <v>2419</v>
      </c>
      <c r="J320" t="e">
        <f>VLOOKUP($I320,'[1]Table S6'!$A:$AI,2,FALSE)</f>
        <v>#N/A</v>
      </c>
      <c r="K320" t="e">
        <f>VLOOKUP($I320,'[1]Table S6'!$A:$AI,3,FALSE)</f>
        <v>#N/A</v>
      </c>
      <c r="L320" t="e">
        <f>VLOOKUP($I320,'[1]Table S6'!$A:$AI,4,FALSE)</f>
        <v>#N/A</v>
      </c>
      <c r="M320" t="e">
        <f>VLOOKUP($I320,'[1]Table S6'!$A:$AI,5,FALSE)</f>
        <v>#N/A</v>
      </c>
      <c r="O320" t="e">
        <f>VLOOKUP($I320,'[1]Table S6'!$A:$AI,7,FALSE)</f>
        <v>#N/A</v>
      </c>
      <c r="P320" t="e">
        <f>VLOOKUP($I320,'[1]Table S6'!$A:$AI,8,FALSE)</f>
        <v>#N/A</v>
      </c>
      <c r="Q320" t="e">
        <f>VLOOKUP($I320,'[1]Table S6'!$A:$AI,9,FALSE)</f>
        <v>#N/A</v>
      </c>
      <c r="R320" t="e">
        <f>VLOOKUP($I320,'[1]Table S6'!$A:$AI,10,FALSE)</f>
        <v>#N/A</v>
      </c>
      <c r="T320" t="e">
        <f>VLOOKUP($I320,'[1]Table S6'!$A:$AI,12,FALSE)</f>
        <v>#N/A</v>
      </c>
      <c r="U320" t="e">
        <f>VLOOKUP($I320,'[1]Table S6'!$A:$AI,13,FALSE)</f>
        <v>#N/A</v>
      </c>
      <c r="V320" t="e">
        <f>VLOOKUP($I320,'[1]Table S6'!$A:$AI,14,FALSE)</f>
        <v>#N/A</v>
      </c>
      <c r="W320" t="e">
        <f>VLOOKUP($I320,'[1]Table S6'!$A:$AI,15,FALSE)</f>
        <v>#N/A</v>
      </c>
      <c r="Y320" t="e">
        <f>VLOOKUP($I320,'[1]Table S6'!$A:$AI,17,FALSE)</f>
        <v>#N/A</v>
      </c>
      <c r="Z320" t="e">
        <f>VLOOKUP($I320,'[1]Table S6'!$A:$AI,18,FALSE)</f>
        <v>#N/A</v>
      </c>
      <c r="AA320" t="e">
        <f>VLOOKUP($I320,'[1]Table S6'!$A:$AI,19,FALSE)</f>
        <v>#N/A</v>
      </c>
      <c r="AB320" t="e">
        <f>VLOOKUP($I320,'[1]Table S6'!$A:$AI,20,FALSE)</f>
        <v>#N/A</v>
      </c>
      <c r="AD320" t="e">
        <f>VLOOKUP($I320,'[1]Table S6'!$A:$AI,22,FALSE)</f>
        <v>#N/A</v>
      </c>
      <c r="AE320" t="e">
        <f>VLOOKUP($I320,'[1]Table S6'!$A:$AI,23,FALSE)</f>
        <v>#N/A</v>
      </c>
      <c r="AF320" t="e">
        <f>VLOOKUP($I320,'[1]Table S6'!$A:$AI,24,FALSE)</f>
        <v>#N/A</v>
      </c>
      <c r="AG320" t="e">
        <f>VLOOKUP($I320,'[1]Table S6'!$A:$AI,25,FALSE)</f>
        <v>#N/A</v>
      </c>
      <c r="AI320" t="e">
        <f>VLOOKUP($I320,'[1]Table S6'!$A:$AI,27,FALSE)</f>
        <v>#N/A</v>
      </c>
      <c r="AJ320" t="e">
        <f>VLOOKUP($I320,'[1]Table S6'!$A:$AI,28,FALSE)</f>
        <v>#N/A</v>
      </c>
      <c r="AK320" t="e">
        <f>VLOOKUP($I320,'[1]Table S6'!$A:$AI,29,FALSE)</f>
        <v>#N/A</v>
      </c>
      <c r="AL320" t="e">
        <f>VLOOKUP($I320,'[1]Table S6'!$A:$AI,30,FALSE)</f>
        <v>#N/A</v>
      </c>
      <c r="AN320" t="e">
        <f>VLOOKUP($I320,'[1]Table S6'!$A:$AI,32,FALSE)</f>
        <v>#N/A</v>
      </c>
      <c r="AO320" t="e">
        <f>VLOOKUP($I320,'[1]Table S6'!$A:$AI,33,FALSE)</f>
        <v>#N/A</v>
      </c>
      <c r="AP320" t="e">
        <f>VLOOKUP($I320,'[1]Table S6'!$A:$AI,34,FALSE)</f>
        <v>#N/A</v>
      </c>
      <c r="AQ320" t="e">
        <f>VLOOKUP($I320,'[1]Table S6'!$A:$AI,35,FALSE)</f>
        <v>#N/A</v>
      </c>
      <c r="AS320" t="e">
        <f>VLOOKUP($H320,'[2]Table S5'!$A:$K,8,FALSE)</f>
        <v>#N/A</v>
      </c>
      <c r="AT320" t="e">
        <f>VLOOKUP($H320,'[2]Table S5'!$A:$K,9,FALSE)</f>
        <v>#N/A</v>
      </c>
      <c r="AU320" t="e">
        <f>VLOOKUP($H320,'[2]Table S5'!$A:$K,10,FALSE)</f>
        <v>#N/A</v>
      </c>
      <c r="AV320" t="e">
        <f>VLOOKUP($H320,'[2]Table S5'!$A:$K,11,FALSE)</f>
        <v>#N/A</v>
      </c>
    </row>
    <row r="321" spans="1:48">
      <c r="A321" t="s">
        <v>2421</v>
      </c>
      <c r="B321" t="s">
        <v>2422</v>
      </c>
      <c r="C321" t="s">
        <v>17</v>
      </c>
      <c r="D321" t="s">
        <v>2424</v>
      </c>
      <c r="E321" t="s">
        <v>2425</v>
      </c>
      <c r="F321" t="s">
        <v>2426</v>
      </c>
      <c r="G321" t="s">
        <v>4757</v>
      </c>
      <c r="H321" t="s">
        <v>2419</v>
      </c>
      <c r="I321" t="s">
        <v>2419</v>
      </c>
      <c r="J321" t="e">
        <f>VLOOKUP($I321,'[1]Table S6'!$A:$AI,2,FALSE)</f>
        <v>#N/A</v>
      </c>
      <c r="K321" t="e">
        <f>VLOOKUP($I321,'[1]Table S6'!$A:$AI,3,FALSE)</f>
        <v>#N/A</v>
      </c>
      <c r="L321" t="e">
        <f>VLOOKUP($I321,'[1]Table S6'!$A:$AI,4,FALSE)</f>
        <v>#N/A</v>
      </c>
      <c r="M321" t="e">
        <f>VLOOKUP($I321,'[1]Table S6'!$A:$AI,5,FALSE)</f>
        <v>#N/A</v>
      </c>
      <c r="O321" t="e">
        <f>VLOOKUP($I321,'[1]Table S6'!$A:$AI,7,FALSE)</f>
        <v>#N/A</v>
      </c>
      <c r="P321" t="e">
        <f>VLOOKUP($I321,'[1]Table S6'!$A:$AI,8,FALSE)</f>
        <v>#N/A</v>
      </c>
      <c r="Q321" t="e">
        <f>VLOOKUP($I321,'[1]Table S6'!$A:$AI,9,FALSE)</f>
        <v>#N/A</v>
      </c>
      <c r="R321" t="e">
        <f>VLOOKUP($I321,'[1]Table S6'!$A:$AI,10,FALSE)</f>
        <v>#N/A</v>
      </c>
      <c r="T321" t="e">
        <f>VLOOKUP($I321,'[1]Table S6'!$A:$AI,12,FALSE)</f>
        <v>#N/A</v>
      </c>
      <c r="U321" t="e">
        <f>VLOOKUP($I321,'[1]Table S6'!$A:$AI,13,FALSE)</f>
        <v>#N/A</v>
      </c>
      <c r="V321" t="e">
        <f>VLOOKUP($I321,'[1]Table S6'!$A:$AI,14,FALSE)</f>
        <v>#N/A</v>
      </c>
      <c r="W321" t="e">
        <f>VLOOKUP($I321,'[1]Table S6'!$A:$AI,15,FALSE)</f>
        <v>#N/A</v>
      </c>
      <c r="Y321" t="e">
        <f>VLOOKUP($I321,'[1]Table S6'!$A:$AI,17,FALSE)</f>
        <v>#N/A</v>
      </c>
      <c r="Z321" t="e">
        <f>VLOOKUP($I321,'[1]Table S6'!$A:$AI,18,FALSE)</f>
        <v>#N/A</v>
      </c>
      <c r="AA321" t="e">
        <f>VLOOKUP($I321,'[1]Table S6'!$A:$AI,19,FALSE)</f>
        <v>#N/A</v>
      </c>
      <c r="AB321" t="e">
        <f>VLOOKUP($I321,'[1]Table S6'!$A:$AI,20,FALSE)</f>
        <v>#N/A</v>
      </c>
      <c r="AD321" t="e">
        <f>VLOOKUP($I321,'[1]Table S6'!$A:$AI,22,FALSE)</f>
        <v>#N/A</v>
      </c>
      <c r="AE321" t="e">
        <f>VLOOKUP($I321,'[1]Table S6'!$A:$AI,23,FALSE)</f>
        <v>#N/A</v>
      </c>
      <c r="AF321" t="e">
        <f>VLOOKUP($I321,'[1]Table S6'!$A:$AI,24,FALSE)</f>
        <v>#N/A</v>
      </c>
      <c r="AG321" t="e">
        <f>VLOOKUP($I321,'[1]Table S6'!$A:$AI,25,FALSE)</f>
        <v>#N/A</v>
      </c>
      <c r="AI321" t="e">
        <f>VLOOKUP($I321,'[1]Table S6'!$A:$AI,27,FALSE)</f>
        <v>#N/A</v>
      </c>
      <c r="AJ321" t="e">
        <f>VLOOKUP($I321,'[1]Table S6'!$A:$AI,28,FALSE)</f>
        <v>#N/A</v>
      </c>
      <c r="AK321" t="e">
        <f>VLOOKUP($I321,'[1]Table S6'!$A:$AI,29,FALSE)</f>
        <v>#N/A</v>
      </c>
      <c r="AL321" t="e">
        <f>VLOOKUP($I321,'[1]Table S6'!$A:$AI,30,FALSE)</f>
        <v>#N/A</v>
      </c>
      <c r="AN321" t="e">
        <f>VLOOKUP($I321,'[1]Table S6'!$A:$AI,32,FALSE)</f>
        <v>#N/A</v>
      </c>
      <c r="AO321" t="e">
        <f>VLOOKUP($I321,'[1]Table S6'!$A:$AI,33,FALSE)</f>
        <v>#N/A</v>
      </c>
      <c r="AP321" t="e">
        <f>VLOOKUP($I321,'[1]Table S6'!$A:$AI,34,FALSE)</f>
        <v>#N/A</v>
      </c>
      <c r="AQ321" t="e">
        <f>VLOOKUP($I321,'[1]Table S6'!$A:$AI,35,FALSE)</f>
        <v>#N/A</v>
      </c>
      <c r="AS321" t="e">
        <f>VLOOKUP($H321,'[2]Table S5'!$A:$K,8,FALSE)</f>
        <v>#N/A</v>
      </c>
      <c r="AT321" t="e">
        <f>VLOOKUP($H321,'[2]Table S5'!$A:$K,9,FALSE)</f>
        <v>#N/A</v>
      </c>
      <c r="AU321" t="e">
        <f>VLOOKUP($H321,'[2]Table S5'!$A:$K,10,FALSE)</f>
        <v>#N/A</v>
      </c>
      <c r="AV321" t="e">
        <f>VLOOKUP($H321,'[2]Table S5'!$A:$K,11,FALSE)</f>
        <v>#N/A</v>
      </c>
    </row>
    <row r="322" spans="1:48">
      <c r="A322" t="s">
        <v>2428</v>
      </c>
      <c r="B322" t="s">
        <v>2429</v>
      </c>
      <c r="C322" t="s">
        <v>17</v>
      </c>
      <c r="D322" t="s">
        <v>2431</v>
      </c>
      <c r="E322" t="s">
        <v>2432</v>
      </c>
      <c r="F322" t="s">
        <v>2433</v>
      </c>
      <c r="G322" t="s">
        <v>4750</v>
      </c>
      <c r="H322" t="s">
        <v>2434</v>
      </c>
      <c r="I322" t="s">
        <v>2434</v>
      </c>
      <c r="J322" t="e">
        <f>VLOOKUP($I322,'[1]Table S6'!$A:$AI,2,FALSE)</f>
        <v>#N/A</v>
      </c>
      <c r="K322" t="e">
        <f>VLOOKUP($I322,'[1]Table S6'!$A:$AI,3,FALSE)</f>
        <v>#N/A</v>
      </c>
      <c r="L322" t="e">
        <f>VLOOKUP($I322,'[1]Table S6'!$A:$AI,4,FALSE)</f>
        <v>#N/A</v>
      </c>
      <c r="M322" t="e">
        <f>VLOOKUP($I322,'[1]Table S6'!$A:$AI,5,FALSE)</f>
        <v>#N/A</v>
      </c>
      <c r="O322" t="e">
        <f>VLOOKUP($I322,'[1]Table S6'!$A:$AI,7,FALSE)</f>
        <v>#N/A</v>
      </c>
      <c r="P322" t="e">
        <f>VLOOKUP($I322,'[1]Table S6'!$A:$AI,8,FALSE)</f>
        <v>#N/A</v>
      </c>
      <c r="Q322" t="e">
        <f>VLOOKUP($I322,'[1]Table S6'!$A:$AI,9,FALSE)</f>
        <v>#N/A</v>
      </c>
      <c r="R322" t="e">
        <f>VLOOKUP($I322,'[1]Table S6'!$A:$AI,10,FALSE)</f>
        <v>#N/A</v>
      </c>
      <c r="T322" t="e">
        <f>VLOOKUP($I322,'[1]Table S6'!$A:$AI,12,FALSE)</f>
        <v>#N/A</v>
      </c>
      <c r="U322" t="e">
        <f>VLOOKUP($I322,'[1]Table S6'!$A:$AI,13,FALSE)</f>
        <v>#N/A</v>
      </c>
      <c r="V322" t="e">
        <f>VLOOKUP($I322,'[1]Table S6'!$A:$AI,14,FALSE)</f>
        <v>#N/A</v>
      </c>
      <c r="W322" t="e">
        <f>VLOOKUP($I322,'[1]Table S6'!$A:$AI,15,FALSE)</f>
        <v>#N/A</v>
      </c>
      <c r="Y322" t="e">
        <f>VLOOKUP($I322,'[1]Table S6'!$A:$AI,17,FALSE)</f>
        <v>#N/A</v>
      </c>
      <c r="Z322" t="e">
        <f>VLOOKUP($I322,'[1]Table S6'!$A:$AI,18,FALSE)</f>
        <v>#N/A</v>
      </c>
      <c r="AA322" t="e">
        <f>VLOOKUP($I322,'[1]Table S6'!$A:$AI,19,FALSE)</f>
        <v>#N/A</v>
      </c>
      <c r="AB322" t="e">
        <f>VLOOKUP($I322,'[1]Table S6'!$A:$AI,20,FALSE)</f>
        <v>#N/A</v>
      </c>
      <c r="AD322" t="e">
        <f>VLOOKUP($I322,'[1]Table S6'!$A:$AI,22,FALSE)</f>
        <v>#N/A</v>
      </c>
      <c r="AE322" t="e">
        <f>VLOOKUP($I322,'[1]Table S6'!$A:$AI,23,FALSE)</f>
        <v>#N/A</v>
      </c>
      <c r="AF322" t="e">
        <f>VLOOKUP($I322,'[1]Table S6'!$A:$AI,24,FALSE)</f>
        <v>#N/A</v>
      </c>
      <c r="AG322" t="e">
        <f>VLOOKUP($I322,'[1]Table S6'!$A:$AI,25,FALSE)</f>
        <v>#N/A</v>
      </c>
      <c r="AI322" t="e">
        <f>VLOOKUP($I322,'[1]Table S6'!$A:$AI,27,FALSE)</f>
        <v>#N/A</v>
      </c>
      <c r="AJ322" t="e">
        <f>VLOOKUP($I322,'[1]Table S6'!$A:$AI,28,FALSE)</f>
        <v>#N/A</v>
      </c>
      <c r="AK322" t="e">
        <f>VLOOKUP($I322,'[1]Table S6'!$A:$AI,29,FALSE)</f>
        <v>#N/A</v>
      </c>
      <c r="AL322" t="e">
        <f>VLOOKUP($I322,'[1]Table S6'!$A:$AI,30,FALSE)</f>
        <v>#N/A</v>
      </c>
      <c r="AN322" t="e">
        <f>VLOOKUP($I322,'[1]Table S6'!$A:$AI,32,FALSE)</f>
        <v>#N/A</v>
      </c>
      <c r="AO322" t="e">
        <f>VLOOKUP($I322,'[1]Table S6'!$A:$AI,33,FALSE)</f>
        <v>#N/A</v>
      </c>
      <c r="AP322" t="e">
        <f>VLOOKUP($I322,'[1]Table S6'!$A:$AI,34,FALSE)</f>
        <v>#N/A</v>
      </c>
      <c r="AQ322" t="e">
        <f>VLOOKUP($I322,'[1]Table S6'!$A:$AI,35,FALSE)</f>
        <v>#N/A</v>
      </c>
      <c r="AS322" t="e">
        <f>VLOOKUP($H322,'[2]Table S5'!$A:$K,8,FALSE)</f>
        <v>#N/A</v>
      </c>
      <c r="AT322" t="e">
        <f>VLOOKUP($H322,'[2]Table S5'!$A:$K,9,FALSE)</f>
        <v>#N/A</v>
      </c>
      <c r="AU322" t="e">
        <f>VLOOKUP($H322,'[2]Table S5'!$A:$K,10,FALSE)</f>
        <v>#N/A</v>
      </c>
      <c r="AV322" t="e">
        <f>VLOOKUP($H322,'[2]Table S5'!$A:$K,11,FALSE)</f>
        <v>#N/A</v>
      </c>
    </row>
    <row r="323" spans="1:48">
      <c r="A323" t="s">
        <v>2436</v>
      </c>
      <c r="B323" t="s">
        <v>2437</v>
      </c>
      <c r="C323" t="s">
        <v>17</v>
      </c>
      <c r="D323" t="s">
        <v>2439</v>
      </c>
      <c r="E323" t="s">
        <v>2440</v>
      </c>
      <c r="F323" t="s">
        <v>2441</v>
      </c>
      <c r="G323" t="s">
        <v>4757</v>
      </c>
      <c r="H323" t="s">
        <v>2434</v>
      </c>
      <c r="I323" t="s">
        <v>2434</v>
      </c>
      <c r="J323" t="e">
        <f>VLOOKUP($I323,'[1]Table S6'!$A:$AI,2,FALSE)</f>
        <v>#N/A</v>
      </c>
      <c r="K323" t="e">
        <f>VLOOKUP($I323,'[1]Table S6'!$A:$AI,3,FALSE)</f>
        <v>#N/A</v>
      </c>
      <c r="L323" t="e">
        <f>VLOOKUP($I323,'[1]Table S6'!$A:$AI,4,FALSE)</f>
        <v>#N/A</v>
      </c>
      <c r="M323" t="e">
        <f>VLOOKUP($I323,'[1]Table S6'!$A:$AI,5,FALSE)</f>
        <v>#N/A</v>
      </c>
      <c r="O323" t="e">
        <f>VLOOKUP($I323,'[1]Table S6'!$A:$AI,7,FALSE)</f>
        <v>#N/A</v>
      </c>
      <c r="P323" t="e">
        <f>VLOOKUP($I323,'[1]Table S6'!$A:$AI,8,FALSE)</f>
        <v>#N/A</v>
      </c>
      <c r="Q323" t="e">
        <f>VLOOKUP($I323,'[1]Table S6'!$A:$AI,9,FALSE)</f>
        <v>#N/A</v>
      </c>
      <c r="R323" t="e">
        <f>VLOOKUP($I323,'[1]Table S6'!$A:$AI,10,FALSE)</f>
        <v>#N/A</v>
      </c>
      <c r="T323" t="e">
        <f>VLOOKUP($I323,'[1]Table S6'!$A:$AI,12,FALSE)</f>
        <v>#N/A</v>
      </c>
      <c r="U323" t="e">
        <f>VLOOKUP($I323,'[1]Table S6'!$A:$AI,13,FALSE)</f>
        <v>#N/A</v>
      </c>
      <c r="V323" t="e">
        <f>VLOOKUP($I323,'[1]Table S6'!$A:$AI,14,FALSE)</f>
        <v>#N/A</v>
      </c>
      <c r="W323" t="e">
        <f>VLOOKUP($I323,'[1]Table S6'!$A:$AI,15,FALSE)</f>
        <v>#N/A</v>
      </c>
      <c r="Y323" t="e">
        <f>VLOOKUP($I323,'[1]Table S6'!$A:$AI,17,FALSE)</f>
        <v>#N/A</v>
      </c>
      <c r="Z323" t="e">
        <f>VLOOKUP($I323,'[1]Table S6'!$A:$AI,18,FALSE)</f>
        <v>#N/A</v>
      </c>
      <c r="AA323" t="e">
        <f>VLOOKUP($I323,'[1]Table S6'!$A:$AI,19,FALSE)</f>
        <v>#N/A</v>
      </c>
      <c r="AB323" t="e">
        <f>VLOOKUP($I323,'[1]Table S6'!$A:$AI,20,FALSE)</f>
        <v>#N/A</v>
      </c>
      <c r="AD323" t="e">
        <f>VLOOKUP($I323,'[1]Table S6'!$A:$AI,22,FALSE)</f>
        <v>#N/A</v>
      </c>
      <c r="AE323" t="e">
        <f>VLOOKUP($I323,'[1]Table S6'!$A:$AI,23,FALSE)</f>
        <v>#N/A</v>
      </c>
      <c r="AF323" t="e">
        <f>VLOOKUP($I323,'[1]Table S6'!$A:$AI,24,FALSE)</f>
        <v>#N/A</v>
      </c>
      <c r="AG323" t="e">
        <f>VLOOKUP($I323,'[1]Table S6'!$A:$AI,25,FALSE)</f>
        <v>#N/A</v>
      </c>
      <c r="AI323" t="e">
        <f>VLOOKUP($I323,'[1]Table S6'!$A:$AI,27,FALSE)</f>
        <v>#N/A</v>
      </c>
      <c r="AJ323" t="e">
        <f>VLOOKUP($I323,'[1]Table S6'!$A:$AI,28,FALSE)</f>
        <v>#N/A</v>
      </c>
      <c r="AK323" t="e">
        <f>VLOOKUP($I323,'[1]Table S6'!$A:$AI,29,FALSE)</f>
        <v>#N/A</v>
      </c>
      <c r="AL323" t="e">
        <f>VLOOKUP($I323,'[1]Table S6'!$A:$AI,30,FALSE)</f>
        <v>#N/A</v>
      </c>
      <c r="AN323" t="e">
        <f>VLOOKUP($I323,'[1]Table S6'!$A:$AI,32,FALSE)</f>
        <v>#N/A</v>
      </c>
      <c r="AO323" t="e">
        <f>VLOOKUP($I323,'[1]Table S6'!$A:$AI,33,FALSE)</f>
        <v>#N/A</v>
      </c>
      <c r="AP323" t="e">
        <f>VLOOKUP($I323,'[1]Table S6'!$A:$AI,34,FALSE)</f>
        <v>#N/A</v>
      </c>
      <c r="AQ323" t="e">
        <f>VLOOKUP($I323,'[1]Table S6'!$A:$AI,35,FALSE)</f>
        <v>#N/A</v>
      </c>
      <c r="AS323" t="e">
        <f>VLOOKUP($H323,'[2]Table S5'!$A:$K,8,FALSE)</f>
        <v>#N/A</v>
      </c>
      <c r="AT323" t="e">
        <f>VLOOKUP($H323,'[2]Table S5'!$A:$K,9,FALSE)</f>
        <v>#N/A</v>
      </c>
      <c r="AU323" t="e">
        <f>VLOOKUP($H323,'[2]Table S5'!$A:$K,10,FALSE)</f>
        <v>#N/A</v>
      </c>
      <c r="AV323" t="e">
        <f>VLOOKUP($H323,'[2]Table S5'!$A:$K,11,FALSE)</f>
        <v>#N/A</v>
      </c>
    </row>
    <row r="324" spans="1:48">
      <c r="A324" t="s">
        <v>2443</v>
      </c>
      <c r="B324" t="s">
        <v>2444</v>
      </c>
      <c r="C324" t="s">
        <v>17</v>
      </c>
      <c r="D324" t="s">
        <v>2446</v>
      </c>
      <c r="E324" t="s">
        <v>2447</v>
      </c>
      <c r="F324" t="s">
        <v>2448</v>
      </c>
      <c r="G324" t="s">
        <v>4757</v>
      </c>
      <c r="H324" t="s">
        <v>2449</v>
      </c>
      <c r="I324" t="s">
        <v>2449</v>
      </c>
      <c r="J324" t="e">
        <f>VLOOKUP($I324,'[1]Table S6'!$A:$AI,2,FALSE)</f>
        <v>#N/A</v>
      </c>
      <c r="K324" t="e">
        <f>VLOOKUP($I324,'[1]Table S6'!$A:$AI,3,FALSE)</f>
        <v>#N/A</v>
      </c>
      <c r="L324" t="e">
        <f>VLOOKUP($I324,'[1]Table S6'!$A:$AI,4,FALSE)</f>
        <v>#N/A</v>
      </c>
      <c r="M324" t="e">
        <f>VLOOKUP($I324,'[1]Table S6'!$A:$AI,5,FALSE)</f>
        <v>#N/A</v>
      </c>
      <c r="O324" t="e">
        <f>VLOOKUP($I324,'[1]Table S6'!$A:$AI,7,FALSE)</f>
        <v>#N/A</v>
      </c>
      <c r="P324" t="e">
        <f>VLOOKUP($I324,'[1]Table S6'!$A:$AI,8,FALSE)</f>
        <v>#N/A</v>
      </c>
      <c r="Q324" t="e">
        <f>VLOOKUP($I324,'[1]Table S6'!$A:$AI,9,FALSE)</f>
        <v>#N/A</v>
      </c>
      <c r="R324" t="e">
        <f>VLOOKUP($I324,'[1]Table S6'!$A:$AI,10,FALSE)</f>
        <v>#N/A</v>
      </c>
      <c r="T324" t="e">
        <f>VLOOKUP($I324,'[1]Table S6'!$A:$AI,12,FALSE)</f>
        <v>#N/A</v>
      </c>
      <c r="U324" t="e">
        <f>VLOOKUP($I324,'[1]Table S6'!$A:$AI,13,FALSE)</f>
        <v>#N/A</v>
      </c>
      <c r="V324" t="e">
        <f>VLOOKUP($I324,'[1]Table S6'!$A:$AI,14,FALSE)</f>
        <v>#N/A</v>
      </c>
      <c r="W324" t="e">
        <f>VLOOKUP($I324,'[1]Table S6'!$A:$AI,15,FALSE)</f>
        <v>#N/A</v>
      </c>
      <c r="Y324" t="e">
        <f>VLOOKUP($I324,'[1]Table S6'!$A:$AI,17,FALSE)</f>
        <v>#N/A</v>
      </c>
      <c r="Z324" t="e">
        <f>VLOOKUP($I324,'[1]Table S6'!$A:$AI,18,FALSE)</f>
        <v>#N/A</v>
      </c>
      <c r="AA324" t="e">
        <f>VLOOKUP($I324,'[1]Table S6'!$A:$AI,19,FALSE)</f>
        <v>#N/A</v>
      </c>
      <c r="AB324" t="e">
        <f>VLOOKUP($I324,'[1]Table S6'!$A:$AI,20,FALSE)</f>
        <v>#N/A</v>
      </c>
      <c r="AD324" t="e">
        <f>VLOOKUP($I324,'[1]Table S6'!$A:$AI,22,FALSE)</f>
        <v>#N/A</v>
      </c>
      <c r="AE324" t="e">
        <f>VLOOKUP($I324,'[1]Table S6'!$A:$AI,23,FALSE)</f>
        <v>#N/A</v>
      </c>
      <c r="AF324" t="e">
        <f>VLOOKUP($I324,'[1]Table S6'!$A:$AI,24,FALSE)</f>
        <v>#N/A</v>
      </c>
      <c r="AG324" t="e">
        <f>VLOOKUP($I324,'[1]Table S6'!$A:$AI,25,FALSE)</f>
        <v>#N/A</v>
      </c>
      <c r="AI324" t="e">
        <f>VLOOKUP($I324,'[1]Table S6'!$A:$AI,27,FALSE)</f>
        <v>#N/A</v>
      </c>
      <c r="AJ324" t="e">
        <f>VLOOKUP($I324,'[1]Table S6'!$A:$AI,28,FALSE)</f>
        <v>#N/A</v>
      </c>
      <c r="AK324" t="e">
        <f>VLOOKUP($I324,'[1]Table S6'!$A:$AI,29,FALSE)</f>
        <v>#N/A</v>
      </c>
      <c r="AL324" t="e">
        <f>VLOOKUP($I324,'[1]Table S6'!$A:$AI,30,FALSE)</f>
        <v>#N/A</v>
      </c>
      <c r="AN324" t="e">
        <f>VLOOKUP($I324,'[1]Table S6'!$A:$AI,32,FALSE)</f>
        <v>#N/A</v>
      </c>
      <c r="AO324" t="e">
        <f>VLOOKUP($I324,'[1]Table S6'!$A:$AI,33,FALSE)</f>
        <v>#N/A</v>
      </c>
      <c r="AP324" t="e">
        <f>VLOOKUP($I324,'[1]Table S6'!$A:$AI,34,FALSE)</f>
        <v>#N/A</v>
      </c>
      <c r="AQ324" t="e">
        <f>VLOOKUP($I324,'[1]Table S6'!$A:$AI,35,FALSE)</f>
        <v>#N/A</v>
      </c>
      <c r="AS324" t="e">
        <f>VLOOKUP($H324,'[2]Table S5'!$A:$K,8,FALSE)</f>
        <v>#N/A</v>
      </c>
      <c r="AT324" t="e">
        <f>VLOOKUP($H324,'[2]Table S5'!$A:$K,9,FALSE)</f>
        <v>#N/A</v>
      </c>
      <c r="AU324" t="e">
        <f>VLOOKUP($H324,'[2]Table S5'!$A:$K,10,FALSE)</f>
        <v>#N/A</v>
      </c>
      <c r="AV324" t="e">
        <f>VLOOKUP($H324,'[2]Table S5'!$A:$K,11,FALSE)</f>
        <v>#N/A</v>
      </c>
    </row>
    <row r="325" spans="1:48">
      <c r="A325" t="s">
        <v>2451</v>
      </c>
      <c r="B325" t="s">
        <v>2452</v>
      </c>
      <c r="C325" t="s">
        <v>17</v>
      </c>
      <c r="D325" t="s">
        <v>2454</v>
      </c>
      <c r="E325" t="s">
        <v>2455</v>
      </c>
      <c r="F325" t="s">
        <v>2456</v>
      </c>
      <c r="G325" t="s">
        <v>4750</v>
      </c>
      <c r="H325" t="s">
        <v>2449</v>
      </c>
      <c r="I325" t="s">
        <v>2449</v>
      </c>
      <c r="J325" t="e">
        <f>VLOOKUP($I325,'[1]Table S6'!$A:$AI,2,FALSE)</f>
        <v>#N/A</v>
      </c>
      <c r="K325" t="e">
        <f>VLOOKUP($I325,'[1]Table S6'!$A:$AI,3,FALSE)</f>
        <v>#N/A</v>
      </c>
      <c r="L325" t="e">
        <f>VLOOKUP($I325,'[1]Table S6'!$A:$AI,4,FALSE)</f>
        <v>#N/A</v>
      </c>
      <c r="M325" t="e">
        <f>VLOOKUP($I325,'[1]Table S6'!$A:$AI,5,FALSE)</f>
        <v>#N/A</v>
      </c>
      <c r="O325" t="e">
        <f>VLOOKUP($I325,'[1]Table S6'!$A:$AI,7,FALSE)</f>
        <v>#N/A</v>
      </c>
      <c r="P325" t="e">
        <f>VLOOKUP($I325,'[1]Table S6'!$A:$AI,8,FALSE)</f>
        <v>#N/A</v>
      </c>
      <c r="Q325" t="e">
        <f>VLOOKUP($I325,'[1]Table S6'!$A:$AI,9,FALSE)</f>
        <v>#N/A</v>
      </c>
      <c r="R325" t="e">
        <f>VLOOKUP($I325,'[1]Table S6'!$A:$AI,10,FALSE)</f>
        <v>#N/A</v>
      </c>
      <c r="T325" t="e">
        <f>VLOOKUP($I325,'[1]Table S6'!$A:$AI,12,FALSE)</f>
        <v>#N/A</v>
      </c>
      <c r="U325" t="e">
        <f>VLOOKUP($I325,'[1]Table S6'!$A:$AI,13,FALSE)</f>
        <v>#N/A</v>
      </c>
      <c r="V325" t="e">
        <f>VLOOKUP($I325,'[1]Table S6'!$A:$AI,14,FALSE)</f>
        <v>#N/A</v>
      </c>
      <c r="W325" t="e">
        <f>VLOOKUP($I325,'[1]Table S6'!$A:$AI,15,FALSE)</f>
        <v>#N/A</v>
      </c>
      <c r="Y325" t="e">
        <f>VLOOKUP($I325,'[1]Table S6'!$A:$AI,17,FALSE)</f>
        <v>#N/A</v>
      </c>
      <c r="Z325" t="e">
        <f>VLOOKUP($I325,'[1]Table S6'!$A:$AI,18,FALSE)</f>
        <v>#N/A</v>
      </c>
      <c r="AA325" t="e">
        <f>VLOOKUP($I325,'[1]Table S6'!$A:$AI,19,FALSE)</f>
        <v>#N/A</v>
      </c>
      <c r="AB325" t="e">
        <f>VLOOKUP($I325,'[1]Table S6'!$A:$AI,20,FALSE)</f>
        <v>#N/A</v>
      </c>
      <c r="AD325" t="e">
        <f>VLOOKUP($I325,'[1]Table S6'!$A:$AI,22,FALSE)</f>
        <v>#N/A</v>
      </c>
      <c r="AE325" t="e">
        <f>VLOOKUP($I325,'[1]Table S6'!$A:$AI,23,FALSE)</f>
        <v>#N/A</v>
      </c>
      <c r="AF325" t="e">
        <f>VLOOKUP($I325,'[1]Table S6'!$A:$AI,24,FALSE)</f>
        <v>#N/A</v>
      </c>
      <c r="AG325" t="e">
        <f>VLOOKUP($I325,'[1]Table S6'!$A:$AI,25,FALSE)</f>
        <v>#N/A</v>
      </c>
      <c r="AI325" t="e">
        <f>VLOOKUP($I325,'[1]Table S6'!$A:$AI,27,FALSE)</f>
        <v>#N/A</v>
      </c>
      <c r="AJ325" t="e">
        <f>VLOOKUP($I325,'[1]Table S6'!$A:$AI,28,FALSE)</f>
        <v>#N/A</v>
      </c>
      <c r="AK325" t="e">
        <f>VLOOKUP($I325,'[1]Table S6'!$A:$AI,29,FALSE)</f>
        <v>#N/A</v>
      </c>
      <c r="AL325" t="e">
        <f>VLOOKUP($I325,'[1]Table S6'!$A:$AI,30,FALSE)</f>
        <v>#N/A</v>
      </c>
      <c r="AN325" t="e">
        <f>VLOOKUP($I325,'[1]Table S6'!$A:$AI,32,FALSE)</f>
        <v>#N/A</v>
      </c>
      <c r="AO325" t="e">
        <f>VLOOKUP($I325,'[1]Table S6'!$A:$AI,33,FALSE)</f>
        <v>#N/A</v>
      </c>
      <c r="AP325" t="e">
        <f>VLOOKUP($I325,'[1]Table S6'!$A:$AI,34,FALSE)</f>
        <v>#N/A</v>
      </c>
      <c r="AQ325" t="e">
        <f>VLOOKUP($I325,'[1]Table S6'!$A:$AI,35,FALSE)</f>
        <v>#N/A</v>
      </c>
      <c r="AS325" t="e">
        <f>VLOOKUP($H325,'[2]Table S5'!$A:$K,8,FALSE)</f>
        <v>#N/A</v>
      </c>
      <c r="AT325" t="e">
        <f>VLOOKUP($H325,'[2]Table S5'!$A:$K,9,FALSE)</f>
        <v>#N/A</v>
      </c>
      <c r="AU325" t="e">
        <f>VLOOKUP($H325,'[2]Table S5'!$A:$K,10,FALSE)</f>
        <v>#N/A</v>
      </c>
      <c r="AV325" t="e">
        <f>VLOOKUP($H325,'[2]Table S5'!$A:$K,11,FALSE)</f>
        <v>#N/A</v>
      </c>
    </row>
    <row r="326" spans="1:48">
      <c r="A326" t="s">
        <v>2458</v>
      </c>
      <c r="B326" t="s">
        <v>2459</v>
      </c>
      <c r="C326" t="s">
        <v>17</v>
      </c>
      <c r="D326" t="s">
        <v>2461</v>
      </c>
      <c r="E326" t="s">
        <v>2462</v>
      </c>
      <c r="F326" t="s">
        <v>2463</v>
      </c>
      <c r="G326" t="s">
        <v>4750</v>
      </c>
      <c r="H326" t="s">
        <v>2464</v>
      </c>
      <c r="I326" t="s">
        <v>2464</v>
      </c>
      <c r="J326" t="e">
        <f>VLOOKUP($I326,'[1]Table S6'!$A:$AI,2,FALSE)</f>
        <v>#N/A</v>
      </c>
      <c r="K326" t="e">
        <f>VLOOKUP($I326,'[1]Table S6'!$A:$AI,3,FALSE)</f>
        <v>#N/A</v>
      </c>
      <c r="L326" t="e">
        <f>VLOOKUP($I326,'[1]Table S6'!$A:$AI,4,FALSE)</f>
        <v>#N/A</v>
      </c>
      <c r="M326" t="e">
        <f>VLOOKUP($I326,'[1]Table S6'!$A:$AI,5,FALSE)</f>
        <v>#N/A</v>
      </c>
      <c r="O326" t="e">
        <f>VLOOKUP($I326,'[1]Table S6'!$A:$AI,7,FALSE)</f>
        <v>#N/A</v>
      </c>
      <c r="P326" t="e">
        <f>VLOOKUP($I326,'[1]Table S6'!$A:$AI,8,FALSE)</f>
        <v>#N/A</v>
      </c>
      <c r="Q326" t="e">
        <f>VLOOKUP($I326,'[1]Table S6'!$A:$AI,9,FALSE)</f>
        <v>#N/A</v>
      </c>
      <c r="R326" t="e">
        <f>VLOOKUP($I326,'[1]Table S6'!$A:$AI,10,FALSE)</f>
        <v>#N/A</v>
      </c>
      <c r="T326" t="e">
        <f>VLOOKUP($I326,'[1]Table S6'!$A:$AI,12,FALSE)</f>
        <v>#N/A</v>
      </c>
      <c r="U326" t="e">
        <f>VLOOKUP($I326,'[1]Table S6'!$A:$AI,13,FALSE)</f>
        <v>#N/A</v>
      </c>
      <c r="V326" t="e">
        <f>VLOOKUP($I326,'[1]Table S6'!$A:$AI,14,FALSE)</f>
        <v>#N/A</v>
      </c>
      <c r="W326" t="e">
        <f>VLOOKUP($I326,'[1]Table S6'!$A:$AI,15,FALSE)</f>
        <v>#N/A</v>
      </c>
      <c r="Y326" t="e">
        <f>VLOOKUP($I326,'[1]Table S6'!$A:$AI,17,FALSE)</f>
        <v>#N/A</v>
      </c>
      <c r="Z326" t="e">
        <f>VLOOKUP($I326,'[1]Table S6'!$A:$AI,18,FALSE)</f>
        <v>#N/A</v>
      </c>
      <c r="AA326" t="e">
        <f>VLOOKUP($I326,'[1]Table S6'!$A:$AI,19,FALSE)</f>
        <v>#N/A</v>
      </c>
      <c r="AB326" t="e">
        <f>VLOOKUP($I326,'[1]Table S6'!$A:$AI,20,FALSE)</f>
        <v>#N/A</v>
      </c>
      <c r="AD326" t="e">
        <f>VLOOKUP($I326,'[1]Table S6'!$A:$AI,22,FALSE)</f>
        <v>#N/A</v>
      </c>
      <c r="AE326" t="e">
        <f>VLOOKUP($I326,'[1]Table S6'!$A:$AI,23,FALSE)</f>
        <v>#N/A</v>
      </c>
      <c r="AF326" t="e">
        <f>VLOOKUP($I326,'[1]Table S6'!$A:$AI,24,FALSE)</f>
        <v>#N/A</v>
      </c>
      <c r="AG326" t="e">
        <f>VLOOKUP($I326,'[1]Table S6'!$A:$AI,25,FALSE)</f>
        <v>#N/A</v>
      </c>
      <c r="AI326" t="e">
        <f>VLOOKUP($I326,'[1]Table S6'!$A:$AI,27,FALSE)</f>
        <v>#N/A</v>
      </c>
      <c r="AJ326" t="e">
        <f>VLOOKUP($I326,'[1]Table S6'!$A:$AI,28,FALSE)</f>
        <v>#N/A</v>
      </c>
      <c r="AK326" t="e">
        <f>VLOOKUP($I326,'[1]Table S6'!$A:$AI,29,FALSE)</f>
        <v>#N/A</v>
      </c>
      <c r="AL326" t="e">
        <f>VLOOKUP($I326,'[1]Table S6'!$A:$AI,30,FALSE)</f>
        <v>#N/A</v>
      </c>
      <c r="AN326" t="e">
        <f>VLOOKUP($I326,'[1]Table S6'!$A:$AI,32,FALSE)</f>
        <v>#N/A</v>
      </c>
      <c r="AO326" t="e">
        <f>VLOOKUP($I326,'[1]Table S6'!$A:$AI,33,FALSE)</f>
        <v>#N/A</v>
      </c>
      <c r="AP326" t="e">
        <f>VLOOKUP($I326,'[1]Table S6'!$A:$AI,34,FALSE)</f>
        <v>#N/A</v>
      </c>
      <c r="AQ326" t="e">
        <f>VLOOKUP($I326,'[1]Table S6'!$A:$AI,35,FALSE)</f>
        <v>#N/A</v>
      </c>
      <c r="AS326" t="e">
        <f>VLOOKUP($H326,'[2]Table S5'!$A:$K,8,FALSE)</f>
        <v>#N/A</v>
      </c>
      <c r="AT326" t="e">
        <f>VLOOKUP($H326,'[2]Table S5'!$A:$K,9,FALSE)</f>
        <v>#N/A</v>
      </c>
      <c r="AU326" t="e">
        <f>VLOOKUP($H326,'[2]Table S5'!$A:$K,10,FALSE)</f>
        <v>#N/A</v>
      </c>
      <c r="AV326" t="e">
        <f>VLOOKUP($H326,'[2]Table S5'!$A:$K,11,FALSE)</f>
        <v>#N/A</v>
      </c>
    </row>
    <row r="327" spans="1:48">
      <c r="A327" t="s">
        <v>2466</v>
      </c>
      <c r="B327" t="s">
        <v>2467</v>
      </c>
      <c r="C327" t="s">
        <v>17</v>
      </c>
      <c r="D327" t="s">
        <v>2469</v>
      </c>
      <c r="E327" t="s">
        <v>2470</v>
      </c>
      <c r="F327" t="s">
        <v>2471</v>
      </c>
      <c r="G327" t="s">
        <v>4750</v>
      </c>
      <c r="H327" t="s">
        <v>2472</v>
      </c>
      <c r="I327" t="s">
        <v>2472</v>
      </c>
      <c r="J327" t="e">
        <f>VLOOKUP($I327,'[1]Table S6'!$A:$AI,2,FALSE)</f>
        <v>#N/A</v>
      </c>
      <c r="K327" t="e">
        <f>VLOOKUP($I327,'[1]Table S6'!$A:$AI,3,FALSE)</f>
        <v>#N/A</v>
      </c>
      <c r="L327" t="e">
        <f>VLOOKUP($I327,'[1]Table S6'!$A:$AI,4,FALSE)</f>
        <v>#N/A</v>
      </c>
      <c r="M327" t="e">
        <f>VLOOKUP($I327,'[1]Table S6'!$A:$AI,5,FALSE)</f>
        <v>#N/A</v>
      </c>
      <c r="O327" t="e">
        <f>VLOOKUP($I327,'[1]Table S6'!$A:$AI,7,FALSE)</f>
        <v>#N/A</v>
      </c>
      <c r="P327" t="e">
        <f>VLOOKUP($I327,'[1]Table S6'!$A:$AI,8,FALSE)</f>
        <v>#N/A</v>
      </c>
      <c r="Q327" t="e">
        <f>VLOOKUP($I327,'[1]Table S6'!$A:$AI,9,FALSE)</f>
        <v>#N/A</v>
      </c>
      <c r="R327" t="e">
        <f>VLOOKUP($I327,'[1]Table S6'!$A:$AI,10,FALSE)</f>
        <v>#N/A</v>
      </c>
      <c r="T327" t="e">
        <f>VLOOKUP($I327,'[1]Table S6'!$A:$AI,12,FALSE)</f>
        <v>#N/A</v>
      </c>
      <c r="U327" t="e">
        <f>VLOOKUP($I327,'[1]Table S6'!$A:$AI,13,FALSE)</f>
        <v>#N/A</v>
      </c>
      <c r="V327" t="e">
        <f>VLOOKUP($I327,'[1]Table S6'!$A:$AI,14,FALSE)</f>
        <v>#N/A</v>
      </c>
      <c r="W327" t="e">
        <f>VLOOKUP($I327,'[1]Table S6'!$A:$AI,15,FALSE)</f>
        <v>#N/A</v>
      </c>
      <c r="Y327" t="e">
        <f>VLOOKUP($I327,'[1]Table S6'!$A:$AI,17,FALSE)</f>
        <v>#N/A</v>
      </c>
      <c r="Z327" t="e">
        <f>VLOOKUP($I327,'[1]Table S6'!$A:$AI,18,FALSE)</f>
        <v>#N/A</v>
      </c>
      <c r="AA327" t="e">
        <f>VLOOKUP($I327,'[1]Table S6'!$A:$AI,19,FALSE)</f>
        <v>#N/A</v>
      </c>
      <c r="AB327" t="e">
        <f>VLOOKUP($I327,'[1]Table S6'!$A:$AI,20,FALSE)</f>
        <v>#N/A</v>
      </c>
      <c r="AD327" t="e">
        <f>VLOOKUP($I327,'[1]Table S6'!$A:$AI,22,FALSE)</f>
        <v>#N/A</v>
      </c>
      <c r="AE327" t="e">
        <f>VLOOKUP($I327,'[1]Table S6'!$A:$AI,23,FALSE)</f>
        <v>#N/A</v>
      </c>
      <c r="AF327" t="e">
        <f>VLOOKUP($I327,'[1]Table S6'!$A:$AI,24,FALSE)</f>
        <v>#N/A</v>
      </c>
      <c r="AG327" t="e">
        <f>VLOOKUP($I327,'[1]Table S6'!$A:$AI,25,FALSE)</f>
        <v>#N/A</v>
      </c>
      <c r="AI327" t="e">
        <f>VLOOKUP($I327,'[1]Table S6'!$A:$AI,27,FALSE)</f>
        <v>#N/A</v>
      </c>
      <c r="AJ327" t="e">
        <f>VLOOKUP($I327,'[1]Table S6'!$A:$AI,28,FALSE)</f>
        <v>#N/A</v>
      </c>
      <c r="AK327" t="e">
        <f>VLOOKUP($I327,'[1]Table S6'!$A:$AI,29,FALSE)</f>
        <v>#N/A</v>
      </c>
      <c r="AL327" t="e">
        <f>VLOOKUP($I327,'[1]Table S6'!$A:$AI,30,FALSE)</f>
        <v>#N/A</v>
      </c>
      <c r="AN327" t="e">
        <f>VLOOKUP($I327,'[1]Table S6'!$A:$AI,32,FALSE)</f>
        <v>#N/A</v>
      </c>
      <c r="AO327" t="e">
        <f>VLOOKUP($I327,'[1]Table S6'!$A:$AI,33,FALSE)</f>
        <v>#N/A</v>
      </c>
      <c r="AP327" t="e">
        <f>VLOOKUP($I327,'[1]Table S6'!$A:$AI,34,FALSE)</f>
        <v>#N/A</v>
      </c>
      <c r="AQ327" t="e">
        <f>VLOOKUP($I327,'[1]Table S6'!$A:$AI,35,FALSE)</f>
        <v>#N/A</v>
      </c>
      <c r="AS327" t="e">
        <f>VLOOKUP($H327,'[2]Table S5'!$A:$K,8,FALSE)</f>
        <v>#N/A</v>
      </c>
      <c r="AT327" t="e">
        <f>VLOOKUP($H327,'[2]Table S5'!$A:$K,9,FALSE)</f>
        <v>#N/A</v>
      </c>
      <c r="AU327" t="e">
        <f>VLOOKUP($H327,'[2]Table S5'!$A:$K,10,FALSE)</f>
        <v>#N/A</v>
      </c>
      <c r="AV327" t="e">
        <f>VLOOKUP($H327,'[2]Table S5'!$A:$K,11,FALSE)</f>
        <v>#N/A</v>
      </c>
    </row>
    <row r="328" spans="1:48">
      <c r="A328" t="s">
        <v>2474</v>
      </c>
      <c r="B328" t="s">
        <v>2475</v>
      </c>
      <c r="C328" t="s">
        <v>17</v>
      </c>
      <c r="D328" t="s">
        <v>2477</v>
      </c>
      <c r="E328" t="s">
        <v>2478</v>
      </c>
      <c r="F328" t="s">
        <v>2479</v>
      </c>
      <c r="G328" t="s">
        <v>4750</v>
      </c>
      <c r="H328" t="s">
        <v>2480</v>
      </c>
      <c r="I328" t="s">
        <v>2480</v>
      </c>
      <c r="J328" t="e">
        <f>VLOOKUP($I328,'[1]Table S6'!$A:$AI,2,FALSE)</f>
        <v>#N/A</v>
      </c>
      <c r="K328" t="e">
        <f>VLOOKUP($I328,'[1]Table S6'!$A:$AI,3,FALSE)</f>
        <v>#N/A</v>
      </c>
      <c r="L328" t="e">
        <f>VLOOKUP($I328,'[1]Table S6'!$A:$AI,4,FALSE)</f>
        <v>#N/A</v>
      </c>
      <c r="M328" t="e">
        <f>VLOOKUP($I328,'[1]Table S6'!$A:$AI,5,FALSE)</f>
        <v>#N/A</v>
      </c>
      <c r="O328" t="e">
        <f>VLOOKUP($I328,'[1]Table S6'!$A:$AI,7,FALSE)</f>
        <v>#N/A</v>
      </c>
      <c r="P328" t="e">
        <f>VLOOKUP($I328,'[1]Table S6'!$A:$AI,8,FALSE)</f>
        <v>#N/A</v>
      </c>
      <c r="Q328" t="e">
        <f>VLOOKUP($I328,'[1]Table S6'!$A:$AI,9,FALSE)</f>
        <v>#N/A</v>
      </c>
      <c r="R328" t="e">
        <f>VLOOKUP($I328,'[1]Table S6'!$A:$AI,10,FALSE)</f>
        <v>#N/A</v>
      </c>
      <c r="T328" t="e">
        <f>VLOOKUP($I328,'[1]Table S6'!$A:$AI,12,FALSE)</f>
        <v>#N/A</v>
      </c>
      <c r="U328" t="e">
        <f>VLOOKUP($I328,'[1]Table S6'!$A:$AI,13,FALSE)</f>
        <v>#N/A</v>
      </c>
      <c r="V328" t="e">
        <f>VLOOKUP($I328,'[1]Table S6'!$A:$AI,14,FALSE)</f>
        <v>#N/A</v>
      </c>
      <c r="W328" t="e">
        <f>VLOOKUP($I328,'[1]Table S6'!$A:$AI,15,FALSE)</f>
        <v>#N/A</v>
      </c>
      <c r="Y328" t="e">
        <f>VLOOKUP($I328,'[1]Table S6'!$A:$AI,17,FALSE)</f>
        <v>#N/A</v>
      </c>
      <c r="Z328" t="e">
        <f>VLOOKUP($I328,'[1]Table S6'!$A:$AI,18,FALSE)</f>
        <v>#N/A</v>
      </c>
      <c r="AA328" t="e">
        <f>VLOOKUP($I328,'[1]Table S6'!$A:$AI,19,FALSE)</f>
        <v>#N/A</v>
      </c>
      <c r="AB328" t="e">
        <f>VLOOKUP($I328,'[1]Table S6'!$A:$AI,20,FALSE)</f>
        <v>#N/A</v>
      </c>
      <c r="AD328" t="e">
        <f>VLOOKUP($I328,'[1]Table S6'!$A:$AI,22,FALSE)</f>
        <v>#N/A</v>
      </c>
      <c r="AE328" t="e">
        <f>VLOOKUP($I328,'[1]Table S6'!$A:$AI,23,FALSE)</f>
        <v>#N/A</v>
      </c>
      <c r="AF328" t="e">
        <f>VLOOKUP($I328,'[1]Table S6'!$A:$AI,24,FALSE)</f>
        <v>#N/A</v>
      </c>
      <c r="AG328" t="e">
        <f>VLOOKUP($I328,'[1]Table S6'!$A:$AI,25,FALSE)</f>
        <v>#N/A</v>
      </c>
      <c r="AI328" t="e">
        <f>VLOOKUP($I328,'[1]Table S6'!$A:$AI,27,FALSE)</f>
        <v>#N/A</v>
      </c>
      <c r="AJ328" t="e">
        <f>VLOOKUP($I328,'[1]Table S6'!$A:$AI,28,FALSE)</f>
        <v>#N/A</v>
      </c>
      <c r="AK328" t="e">
        <f>VLOOKUP($I328,'[1]Table S6'!$A:$AI,29,FALSE)</f>
        <v>#N/A</v>
      </c>
      <c r="AL328" t="e">
        <f>VLOOKUP($I328,'[1]Table S6'!$A:$AI,30,FALSE)</f>
        <v>#N/A</v>
      </c>
      <c r="AN328" t="e">
        <f>VLOOKUP($I328,'[1]Table S6'!$A:$AI,32,FALSE)</f>
        <v>#N/A</v>
      </c>
      <c r="AO328" t="e">
        <f>VLOOKUP($I328,'[1]Table S6'!$A:$AI,33,FALSE)</f>
        <v>#N/A</v>
      </c>
      <c r="AP328" t="e">
        <f>VLOOKUP($I328,'[1]Table S6'!$A:$AI,34,FALSE)</f>
        <v>#N/A</v>
      </c>
      <c r="AQ328" t="e">
        <f>VLOOKUP($I328,'[1]Table S6'!$A:$AI,35,FALSE)</f>
        <v>#N/A</v>
      </c>
      <c r="AS328" t="e">
        <f>VLOOKUP($H328,'[2]Table S5'!$A:$K,8,FALSE)</f>
        <v>#N/A</v>
      </c>
      <c r="AT328" t="e">
        <f>VLOOKUP($H328,'[2]Table S5'!$A:$K,9,FALSE)</f>
        <v>#N/A</v>
      </c>
      <c r="AU328" t="e">
        <f>VLOOKUP($H328,'[2]Table S5'!$A:$K,10,FALSE)</f>
        <v>#N/A</v>
      </c>
      <c r="AV328" t="e">
        <f>VLOOKUP($H328,'[2]Table S5'!$A:$K,11,FALSE)</f>
        <v>#N/A</v>
      </c>
    </row>
    <row r="329" spans="1:48">
      <c r="A329" t="s">
        <v>2482</v>
      </c>
      <c r="B329" t="s">
        <v>2483</v>
      </c>
      <c r="C329" t="s">
        <v>17</v>
      </c>
      <c r="D329" t="s">
        <v>2485</v>
      </c>
      <c r="E329" t="s">
        <v>2486</v>
      </c>
      <c r="F329" t="s">
        <v>2487</v>
      </c>
      <c r="G329" t="s">
        <v>4750</v>
      </c>
      <c r="H329" t="s">
        <v>2488</v>
      </c>
      <c r="I329" t="s">
        <v>2488</v>
      </c>
      <c r="J329" t="e">
        <f>VLOOKUP($I329,'[1]Table S6'!$A:$AI,2,FALSE)</f>
        <v>#N/A</v>
      </c>
      <c r="K329" t="e">
        <f>VLOOKUP($I329,'[1]Table S6'!$A:$AI,3,FALSE)</f>
        <v>#N/A</v>
      </c>
      <c r="L329" t="e">
        <f>VLOOKUP($I329,'[1]Table S6'!$A:$AI,4,FALSE)</f>
        <v>#N/A</v>
      </c>
      <c r="M329" t="e">
        <f>VLOOKUP($I329,'[1]Table S6'!$A:$AI,5,FALSE)</f>
        <v>#N/A</v>
      </c>
      <c r="O329" t="e">
        <f>VLOOKUP($I329,'[1]Table S6'!$A:$AI,7,FALSE)</f>
        <v>#N/A</v>
      </c>
      <c r="P329" t="e">
        <f>VLOOKUP($I329,'[1]Table S6'!$A:$AI,8,FALSE)</f>
        <v>#N/A</v>
      </c>
      <c r="Q329" t="e">
        <f>VLOOKUP($I329,'[1]Table S6'!$A:$AI,9,FALSE)</f>
        <v>#N/A</v>
      </c>
      <c r="R329" t="e">
        <f>VLOOKUP($I329,'[1]Table S6'!$A:$AI,10,FALSE)</f>
        <v>#N/A</v>
      </c>
      <c r="T329" t="e">
        <f>VLOOKUP($I329,'[1]Table S6'!$A:$AI,12,FALSE)</f>
        <v>#N/A</v>
      </c>
      <c r="U329" t="e">
        <f>VLOOKUP($I329,'[1]Table S6'!$A:$AI,13,FALSE)</f>
        <v>#N/A</v>
      </c>
      <c r="V329" t="e">
        <f>VLOOKUP($I329,'[1]Table S6'!$A:$AI,14,FALSE)</f>
        <v>#N/A</v>
      </c>
      <c r="W329" t="e">
        <f>VLOOKUP($I329,'[1]Table S6'!$A:$AI,15,FALSE)</f>
        <v>#N/A</v>
      </c>
      <c r="Y329" t="e">
        <f>VLOOKUP($I329,'[1]Table S6'!$A:$AI,17,FALSE)</f>
        <v>#N/A</v>
      </c>
      <c r="Z329" t="e">
        <f>VLOOKUP($I329,'[1]Table S6'!$A:$AI,18,FALSE)</f>
        <v>#N/A</v>
      </c>
      <c r="AA329" t="e">
        <f>VLOOKUP($I329,'[1]Table S6'!$A:$AI,19,FALSE)</f>
        <v>#N/A</v>
      </c>
      <c r="AB329" t="e">
        <f>VLOOKUP($I329,'[1]Table S6'!$A:$AI,20,FALSE)</f>
        <v>#N/A</v>
      </c>
      <c r="AD329" t="e">
        <f>VLOOKUP($I329,'[1]Table S6'!$A:$AI,22,FALSE)</f>
        <v>#N/A</v>
      </c>
      <c r="AE329" t="e">
        <f>VLOOKUP($I329,'[1]Table S6'!$A:$AI,23,FALSE)</f>
        <v>#N/A</v>
      </c>
      <c r="AF329" t="e">
        <f>VLOOKUP($I329,'[1]Table S6'!$A:$AI,24,FALSE)</f>
        <v>#N/A</v>
      </c>
      <c r="AG329" t="e">
        <f>VLOOKUP($I329,'[1]Table S6'!$A:$AI,25,FALSE)</f>
        <v>#N/A</v>
      </c>
      <c r="AI329" t="e">
        <f>VLOOKUP($I329,'[1]Table S6'!$A:$AI,27,FALSE)</f>
        <v>#N/A</v>
      </c>
      <c r="AJ329" t="e">
        <f>VLOOKUP($I329,'[1]Table S6'!$A:$AI,28,FALSE)</f>
        <v>#N/A</v>
      </c>
      <c r="AK329" t="e">
        <f>VLOOKUP($I329,'[1]Table S6'!$A:$AI,29,FALSE)</f>
        <v>#N/A</v>
      </c>
      <c r="AL329" t="e">
        <f>VLOOKUP($I329,'[1]Table S6'!$A:$AI,30,FALSE)</f>
        <v>#N/A</v>
      </c>
      <c r="AN329" t="e">
        <f>VLOOKUP($I329,'[1]Table S6'!$A:$AI,32,FALSE)</f>
        <v>#N/A</v>
      </c>
      <c r="AO329" t="e">
        <f>VLOOKUP($I329,'[1]Table S6'!$A:$AI,33,FALSE)</f>
        <v>#N/A</v>
      </c>
      <c r="AP329" t="e">
        <f>VLOOKUP($I329,'[1]Table S6'!$A:$AI,34,FALSE)</f>
        <v>#N/A</v>
      </c>
      <c r="AQ329" t="e">
        <f>VLOOKUP($I329,'[1]Table S6'!$A:$AI,35,FALSE)</f>
        <v>#N/A</v>
      </c>
      <c r="AS329" t="e">
        <f>VLOOKUP($H329,'[2]Table S5'!$A:$K,8,FALSE)</f>
        <v>#N/A</v>
      </c>
      <c r="AT329" t="e">
        <f>VLOOKUP($H329,'[2]Table S5'!$A:$K,9,FALSE)</f>
        <v>#N/A</v>
      </c>
      <c r="AU329" t="e">
        <f>VLOOKUP($H329,'[2]Table S5'!$A:$K,10,FALSE)</f>
        <v>#N/A</v>
      </c>
      <c r="AV329" t="e">
        <f>VLOOKUP($H329,'[2]Table S5'!$A:$K,11,FALSE)</f>
        <v>#N/A</v>
      </c>
    </row>
    <row r="330" spans="1:48">
      <c r="A330" t="s">
        <v>2490</v>
      </c>
      <c r="B330" t="s">
        <v>2491</v>
      </c>
      <c r="C330" t="s">
        <v>17</v>
      </c>
      <c r="D330" t="s">
        <v>2493</v>
      </c>
      <c r="E330" t="s">
        <v>2494</v>
      </c>
      <c r="F330" t="s">
        <v>2495</v>
      </c>
      <c r="G330" t="s">
        <v>4757</v>
      </c>
      <c r="H330" t="s">
        <v>2488</v>
      </c>
      <c r="I330" t="s">
        <v>2488</v>
      </c>
      <c r="J330" t="e">
        <f>VLOOKUP($I330,'[1]Table S6'!$A:$AI,2,FALSE)</f>
        <v>#N/A</v>
      </c>
      <c r="K330" t="e">
        <f>VLOOKUP($I330,'[1]Table S6'!$A:$AI,3,FALSE)</f>
        <v>#N/A</v>
      </c>
      <c r="L330" t="e">
        <f>VLOOKUP($I330,'[1]Table S6'!$A:$AI,4,FALSE)</f>
        <v>#N/A</v>
      </c>
      <c r="M330" t="e">
        <f>VLOOKUP($I330,'[1]Table S6'!$A:$AI,5,FALSE)</f>
        <v>#N/A</v>
      </c>
      <c r="O330" t="e">
        <f>VLOOKUP($I330,'[1]Table S6'!$A:$AI,7,FALSE)</f>
        <v>#N/A</v>
      </c>
      <c r="P330" t="e">
        <f>VLOOKUP($I330,'[1]Table S6'!$A:$AI,8,FALSE)</f>
        <v>#N/A</v>
      </c>
      <c r="Q330" t="e">
        <f>VLOOKUP($I330,'[1]Table S6'!$A:$AI,9,FALSE)</f>
        <v>#N/A</v>
      </c>
      <c r="R330" t="e">
        <f>VLOOKUP($I330,'[1]Table S6'!$A:$AI,10,FALSE)</f>
        <v>#N/A</v>
      </c>
      <c r="T330" t="e">
        <f>VLOOKUP($I330,'[1]Table S6'!$A:$AI,12,FALSE)</f>
        <v>#N/A</v>
      </c>
      <c r="U330" t="e">
        <f>VLOOKUP($I330,'[1]Table S6'!$A:$AI,13,FALSE)</f>
        <v>#N/A</v>
      </c>
      <c r="V330" t="e">
        <f>VLOOKUP($I330,'[1]Table S6'!$A:$AI,14,FALSE)</f>
        <v>#N/A</v>
      </c>
      <c r="W330" t="e">
        <f>VLOOKUP($I330,'[1]Table S6'!$A:$AI,15,FALSE)</f>
        <v>#N/A</v>
      </c>
      <c r="Y330" t="e">
        <f>VLOOKUP($I330,'[1]Table S6'!$A:$AI,17,FALSE)</f>
        <v>#N/A</v>
      </c>
      <c r="Z330" t="e">
        <f>VLOOKUP($I330,'[1]Table S6'!$A:$AI,18,FALSE)</f>
        <v>#N/A</v>
      </c>
      <c r="AA330" t="e">
        <f>VLOOKUP($I330,'[1]Table S6'!$A:$AI,19,FALSE)</f>
        <v>#N/A</v>
      </c>
      <c r="AB330" t="e">
        <f>VLOOKUP($I330,'[1]Table S6'!$A:$AI,20,FALSE)</f>
        <v>#N/A</v>
      </c>
      <c r="AD330" t="e">
        <f>VLOOKUP($I330,'[1]Table S6'!$A:$AI,22,FALSE)</f>
        <v>#N/A</v>
      </c>
      <c r="AE330" t="e">
        <f>VLOOKUP($I330,'[1]Table S6'!$A:$AI,23,FALSE)</f>
        <v>#N/A</v>
      </c>
      <c r="AF330" t="e">
        <f>VLOOKUP($I330,'[1]Table S6'!$A:$AI,24,FALSE)</f>
        <v>#N/A</v>
      </c>
      <c r="AG330" t="e">
        <f>VLOOKUP($I330,'[1]Table S6'!$A:$AI,25,FALSE)</f>
        <v>#N/A</v>
      </c>
      <c r="AI330" t="e">
        <f>VLOOKUP($I330,'[1]Table S6'!$A:$AI,27,FALSE)</f>
        <v>#N/A</v>
      </c>
      <c r="AJ330" t="e">
        <f>VLOOKUP($I330,'[1]Table S6'!$A:$AI,28,FALSE)</f>
        <v>#N/A</v>
      </c>
      <c r="AK330" t="e">
        <f>VLOOKUP($I330,'[1]Table S6'!$A:$AI,29,FALSE)</f>
        <v>#N/A</v>
      </c>
      <c r="AL330" t="e">
        <f>VLOOKUP($I330,'[1]Table S6'!$A:$AI,30,FALSE)</f>
        <v>#N/A</v>
      </c>
      <c r="AN330" t="e">
        <f>VLOOKUP($I330,'[1]Table S6'!$A:$AI,32,FALSE)</f>
        <v>#N/A</v>
      </c>
      <c r="AO330" t="e">
        <f>VLOOKUP($I330,'[1]Table S6'!$A:$AI,33,FALSE)</f>
        <v>#N/A</v>
      </c>
      <c r="AP330" t="e">
        <f>VLOOKUP($I330,'[1]Table S6'!$A:$AI,34,FALSE)</f>
        <v>#N/A</v>
      </c>
      <c r="AQ330" t="e">
        <f>VLOOKUP($I330,'[1]Table S6'!$A:$AI,35,FALSE)</f>
        <v>#N/A</v>
      </c>
      <c r="AS330" t="e">
        <f>VLOOKUP($H330,'[2]Table S5'!$A:$K,8,FALSE)</f>
        <v>#N/A</v>
      </c>
      <c r="AT330" t="e">
        <f>VLOOKUP($H330,'[2]Table S5'!$A:$K,9,FALSE)</f>
        <v>#N/A</v>
      </c>
      <c r="AU330" t="e">
        <f>VLOOKUP($H330,'[2]Table S5'!$A:$K,10,FALSE)</f>
        <v>#N/A</v>
      </c>
      <c r="AV330" t="e">
        <f>VLOOKUP($H330,'[2]Table S5'!$A:$K,11,FALSE)</f>
        <v>#N/A</v>
      </c>
    </row>
    <row r="331" spans="1:48">
      <c r="A331" t="s">
        <v>2497</v>
      </c>
      <c r="B331" t="s">
        <v>2498</v>
      </c>
      <c r="C331" t="s">
        <v>17</v>
      </c>
      <c r="D331" t="s">
        <v>2500</v>
      </c>
      <c r="E331" t="s">
        <v>2501</v>
      </c>
      <c r="F331" t="s">
        <v>2502</v>
      </c>
      <c r="G331" t="s">
        <v>4750</v>
      </c>
      <c r="H331" t="s">
        <v>2503</v>
      </c>
      <c r="I331" t="s">
        <v>2503</v>
      </c>
      <c r="J331" t="e">
        <f>VLOOKUP($I331,'[1]Table S6'!$A:$AI,2,FALSE)</f>
        <v>#N/A</v>
      </c>
      <c r="K331" t="e">
        <f>VLOOKUP($I331,'[1]Table S6'!$A:$AI,3,FALSE)</f>
        <v>#N/A</v>
      </c>
      <c r="L331" t="e">
        <f>VLOOKUP($I331,'[1]Table S6'!$A:$AI,4,FALSE)</f>
        <v>#N/A</v>
      </c>
      <c r="M331" t="e">
        <f>VLOOKUP($I331,'[1]Table S6'!$A:$AI,5,FALSE)</f>
        <v>#N/A</v>
      </c>
      <c r="O331" t="e">
        <f>VLOOKUP($I331,'[1]Table S6'!$A:$AI,7,FALSE)</f>
        <v>#N/A</v>
      </c>
      <c r="P331" t="e">
        <f>VLOOKUP($I331,'[1]Table S6'!$A:$AI,8,FALSE)</f>
        <v>#N/A</v>
      </c>
      <c r="Q331" t="e">
        <f>VLOOKUP($I331,'[1]Table S6'!$A:$AI,9,FALSE)</f>
        <v>#N/A</v>
      </c>
      <c r="R331" t="e">
        <f>VLOOKUP($I331,'[1]Table S6'!$A:$AI,10,FALSE)</f>
        <v>#N/A</v>
      </c>
      <c r="T331" t="e">
        <f>VLOOKUP($I331,'[1]Table S6'!$A:$AI,12,FALSE)</f>
        <v>#N/A</v>
      </c>
      <c r="U331" t="e">
        <f>VLOOKUP($I331,'[1]Table S6'!$A:$AI,13,FALSE)</f>
        <v>#N/A</v>
      </c>
      <c r="V331" t="e">
        <f>VLOOKUP($I331,'[1]Table S6'!$A:$AI,14,FALSE)</f>
        <v>#N/A</v>
      </c>
      <c r="W331" t="e">
        <f>VLOOKUP($I331,'[1]Table S6'!$A:$AI,15,FALSE)</f>
        <v>#N/A</v>
      </c>
      <c r="Y331" t="e">
        <f>VLOOKUP($I331,'[1]Table S6'!$A:$AI,17,FALSE)</f>
        <v>#N/A</v>
      </c>
      <c r="Z331" t="e">
        <f>VLOOKUP($I331,'[1]Table S6'!$A:$AI,18,FALSE)</f>
        <v>#N/A</v>
      </c>
      <c r="AA331" t="e">
        <f>VLOOKUP($I331,'[1]Table S6'!$A:$AI,19,FALSE)</f>
        <v>#N/A</v>
      </c>
      <c r="AB331" t="e">
        <f>VLOOKUP($I331,'[1]Table S6'!$A:$AI,20,FALSE)</f>
        <v>#N/A</v>
      </c>
      <c r="AD331" t="e">
        <f>VLOOKUP($I331,'[1]Table S6'!$A:$AI,22,FALSE)</f>
        <v>#N/A</v>
      </c>
      <c r="AE331" t="e">
        <f>VLOOKUP($I331,'[1]Table S6'!$A:$AI,23,FALSE)</f>
        <v>#N/A</v>
      </c>
      <c r="AF331" t="e">
        <f>VLOOKUP($I331,'[1]Table S6'!$A:$AI,24,FALSE)</f>
        <v>#N/A</v>
      </c>
      <c r="AG331" t="e">
        <f>VLOOKUP($I331,'[1]Table S6'!$A:$AI,25,FALSE)</f>
        <v>#N/A</v>
      </c>
      <c r="AI331" t="e">
        <f>VLOOKUP($I331,'[1]Table S6'!$A:$AI,27,FALSE)</f>
        <v>#N/A</v>
      </c>
      <c r="AJ331" t="e">
        <f>VLOOKUP($I331,'[1]Table S6'!$A:$AI,28,FALSE)</f>
        <v>#N/A</v>
      </c>
      <c r="AK331" t="e">
        <f>VLOOKUP($I331,'[1]Table S6'!$A:$AI,29,FALSE)</f>
        <v>#N/A</v>
      </c>
      <c r="AL331" t="e">
        <f>VLOOKUP($I331,'[1]Table S6'!$A:$AI,30,FALSE)</f>
        <v>#N/A</v>
      </c>
      <c r="AN331" t="e">
        <f>VLOOKUP($I331,'[1]Table S6'!$A:$AI,32,FALSE)</f>
        <v>#N/A</v>
      </c>
      <c r="AO331" t="e">
        <f>VLOOKUP($I331,'[1]Table S6'!$A:$AI,33,FALSE)</f>
        <v>#N/A</v>
      </c>
      <c r="AP331" t="e">
        <f>VLOOKUP($I331,'[1]Table S6'!$A:$AI,34,FALSE)</f>
        <v>#N/A</v>
      </c>
      <c r="AQ331" t="e">
        <f>VLOOKUP($I331,'[1]Table S6'!$A:$AI,35,FALSE)</f>
        <v>#N/A</v>
      </c>
      <c r="AS331" t="e">
        <f>VLOOKUP($H331,'[2]Table S5'!$A:$K,8,FALSE)</f>
        <v>#N/A</v>
      </c>
      <c r="AT331" t="e">
        <f>VLOOKUP($H331,'[2]Table S5'!$A:$K,9,FALSE)</f>
        <v>#N/A</v>
      </c>
      <c r="AU331" t="e">
        <f>VLOOKUP($H331,'[2]Table S5'!$A:$K,10,FALSE)</f>
        <v>#N/A</v>
      </c>
      <c r="AV331" t="e">
        <f>VLOOKUP($H331,'[2]Table S5'!$A:$K,11,FALSE)</f>
        <v>#N/A</v>
      </c>
    </row>
    <row r="332" spans="1:48">
      <c r="A332" t="s">
        <v>2505</v>
      </c>
      <c r="B332" t="s">
        <v>2506</v>
      </c>
      <c r="C332" t="s">
        <v>17</v>
      </c>
      <c r="D332" t="s">
        <v>2508</v>
      </c>
      <c r="E332" t="s">
        <v>2509</v>
      </c>
      <c r="F332" t="s">
        <v>2510</v>
      </c>
      <c r="G332" t="s">
        <v>4754</v>
      </c>
      <c r="H332" t="s">
        <v>2511</v>
      </c>
      <c r="I332" t="s">
        <v>2511</v>
      </c>
      <c r="J332" t="e">
        <f>VLOOKUP($I332,'[1]Table S6'!$A:$AI,2,FALSE)</f>
        <v>#N/A</v>
      </c>
      <c r="K332" t="e">
        <f>VLOOKUP($I332,'[1]Table S6'!$A:$AI,3,FALSE)</f>
        <v>#N/A</v>
      </c>
      <c r="L332" t="e">
        <f>VLOOKUP($I332,'[1]Table S6'!$A:$AI,4,FALSE)</f>
        <v>#N/A</v>
      </c>
      <c r="M332" t="e">
        <f>VLOOKUP($I332,'[1]Table S6'!$A:$AI,5,FALSE)</f>
        <v>#N/A</v>
      </c>
      <c r="O332" t="e">
        <f>VLOOKUP($I332,'[1]Table S6'!$A:$AI,7,FALSE)</f>
        <v>#N/A</v>
      </c>
      <c r="P332" t="e">
        <f>VLOOKUP($I332,'[1]Table S6'!$A:$AI,8,FALSE)</f>
        <v>#N/A</v>
      </c>
      <c r="Q332" t="e">
        <f>VLOOKUP($I332,'[1]Table S6'!$A:$AI,9,FALSE)</f>
        <v>#N/A</v>
      </c>
      <c r="R332" t="e">
        <f>VLOOKUP($I332,'[1]Table S6'!$A:$AI,10,FALSE)</f>
        <v>#N/A</v>
      </c>
      <c r="T332" t="e">
        <f>VLOOKUP($I332,'[1]Table S6'!$A:$AI,12,FALSE)</f>
        <v>#N/A</v>
      </c>
      <c r="U332" t="e">
        <f>VLOOKUP($I332,'[1]Table S6'!$A:$AI,13,FALSE)</f>
        <v>#N/A</v>
      </c>
      <c r="V332" t="e">
        <f>VLOOKUP($I332,'[1]Table S6'!$A:$AI,14,FALSE)</f>
        <v>#N/A</v>
      </c>
      <c r="W332" t="e">
        <f>VLOOKUP($I332,'[1]Table S6'!$A:$AI,15,FALSE)</f>
        <v>#N/A</v>
      </c>
      <c r="Y332" t="e">
        <f>VLOOKUP($I332,'[1]Table S6'!$A:$AI,17,FALSE)</f>
        <v>#N/A</v>
      </c>
      <c r="Z332" t="e">
        <f>VLOOKUP($I332,'[1]Table S6'!$A:$AI,18,FALSE)</f>
        <v>#N/A</v>
      </c>
      <c r="AA332" t="e">
        <f>VLOOKUP($I332,'[1]Table S6'!$A:$AI,19,FALSE)</f>
        <v>#N/A</v>
      </c>
      <c r="AB332" t="e">
        <f>VLOOKUP($I332,'[1]Table S6'!$A:$AI,20,FALSE)</f>
        <v>#N/A</v>
      </c>
      <c r="AD332" t="e">
        <f>VLOOKUP($I332,'[1]Table S6'!$A:$AI,22,FALSE)</f>
        <v>#N/A</v>
      </c>
      <c r="AE332" t="e">
        <f>VLOOKUP($I332,'[1]Table S6'!$A:$AI,23,FALSE)</f>
        <v>#N/A</v>
      </c>
      <c r="AF332" t="e">
        <f>VLOOKUP($I332,'[1]Table S6'!$A:$AI,24,FALSE)</f>
        <v>#N/A</v>
      </c>
      <c r="AG332" t="e">
        <f>VLOOKUP($I332,'[1]Table S6'!$A:$AI,25,FALSE)</f>
        <v>#N/A</v>
      </c>
      <c r="AI332" t="e">
        <f>VLOOKUP($I332,'[1]Table S6'!$A:$AI,27,FALSE)</f>
        <v>#N/A</v>
      </c>
      <c r="AJ332" t="e">
        <f>VLOOKUP($I332,'[1]Table S6'!$A:$AI,28,FALSE)</f>
        <v>#N/A</v>
      </c>
      <c r="AK332" t="e">
        <f>VLOOKUP($I332,'[1]Table S6'!$A:$AI,29,FALSE)</f>
        <v>#N/A</v>
      </c>
      <c r="AL332" t="e">
        <f>VLOOKUP($I332,'[1]Table S6'!$A:$AI,30,FALSE)</f>
        <v>#N/A</v>
      </c>
      <c r="AN332" t="e">
        <f>VLOOKUP($I332,'[1]Table S6'!$A:$AI,32,FALSE)</f>
        <v>#N/A</v>
      </c>
      <c r="AO332" t="e">
        <f>VLOOKUP($I332,'[1]Table S6'!$A:$AI,33,FALSE)</f>
        <v>#N/A</v>
      </c>
      <c r="AP332" t="e">
        <f>VLOOKUP($I332,'[1]Table S6'!$A:$AI,34,FALSE)</f>
        <v>#N/A</v>
      </c>
      <c r="AQ332" t="e">
        <f>VLOOKUP($I332,'[1]Table S6'!$A:$AI,35,FALSE)</f>
        <v>#N/A</v>
      </c>
      <c r="AS332" t="e">
        <f>VLOOKUP($H332,'[2]Table S5'!$A:$K,8,FALSE)</f>
        <v>#N/A</v>
      </c>
      <c r="AT332" t="e">
        <f>VLOOKUP($H332,'[2]Table S5'!$A:$K,9,FALSE)</f>
        <v>#N/A</v>
      </c>
      <c r="AU332" t="e">
        <f>VLOOKUP($H332,'[2]Table S5'!$A:$K,10,FALSE)</f>
        <v>#N/A</v>
      </c>
      <c r="AV332" t="e">
        <f>VLOOKUP($H332,'[2]Table S5'!$A:$K,11,FALSE)</f>
        <v>#N/A</v>
      </c>
    </row>
    <row r="333" spans="1:48">
      <c r="A333" t="s">
        <v>2513</v>
      </c>
      <c r="B333" t="s">
        <v>2514</v>
      </c>
      <c r="C333" t="s">
        <v>17</v>
      </c>
      <c r="D333" t="s">
        <v>2516</v>
      </c>
      <c r="E333" t="s">
        <v>2517</v>
      </c>
      <c r="F333" t="s">
        <v>2518</v>
      </c>
      <c r="G333" t="s">
        <v>4755</v>
      </c>
      <c r="H333" t="s">
        <v>2511</v>
      </c>
      <c r="I333" t="s">
        <v>2511</v>
      </c>
      <c r="J333" t="e">
        <f>VLOOKUP($I333,'[1]Table S6'!$A:$AI,2,FALSE)</f>
        <v>#N/A</v>
      </c>
      <c r="K333" t="e">
        <f>VLOOKUP($I333,'[1]Table S6'!$A:$AI,3,FALSE)</f>
        <v>#N/A</v>
      </c>
      <c r="L333" t="e">
        <f>VLOOKUP($I333,'[1]Table S6'!$A:$AI,4,FALSE)</f>
        <v>#N/A</v>
      </c>
      <c r="M333" t="e">
        <f>VLOOKUP($I333,'[1]Table S6'!$A:$AI,5,FALSE)</f>
        <v>#N/A</v>
      </c>
      <c r="O333" t="e">
        <f>VLOOKUP($I333,'[1]Table S6'!$A:$AI,7,FALSE)</f>
        <v>#N/A</v>
      </c>
      <c r="P333" t="e">
        <f>VLOOKUP($I333,'[1]Table S6'!$A:$AI,8,FALSE)</f>
        <v>#N/A</v>
      </c>
      <c r="Q333" t="e">
        <f>VLOOKUP($I333,'[1]Table S6'!$A:$AI,9,FALSE)</f>
        <v>#N/A</v>
      </c>
      <c r="R333" t="e">
        <f>VLOOKUP($I333,'[1]Table S6'!$A:$AI,10,FALSE)</f>
        <v>#N/A</v>
      </c>
      <c r="T333" t="e">
        <f>VLOOKUP($I333,'[1]Table S6'!$A:$AI,12,FALSE)</f>
        <v>#N/A</v>
      </c>
      <c r="U333" t="e">
        <f>VLOOKUP($I333,'[1]Table S6'!$A:$AI,13,FALSE)</f>
        <v>#N/A</v>
      </c>
      <c r="V333" t="e">
        <f>VLOOKUP($I333,'[1]Table S6'!$A:$AI,14,FALSE)</f>
        <v>#N/A</v>
      </c>
      <c r="W333" t="e">
        <f>VLOOKUP($I333,'[1]Table S6'!$A:$AI,15,FALSE)</f>
        <v>#N/A</v>
      </c>
      <c r="Y333" t="e">
        <f>VLOOKUP($I333,'[1]Table S6'!$A:$AI,17,FALSE)</f>
        <v>#N/A</v>
      </c>
      <c r="Z333" t="e">
        <f>VLOOKUP($I333,'[1]Table S6'!$A:$AI,18,FALSE)</f>
        <v>#N/A</v>
      </c>
      <c r="AA333" t="e">
        <f>VLOOKUP($I333,'[1]Table S6'!$A:$AI,19,FALSE)</f>
        <v>#N/A</v>
      </c>
      <c r="AB333" t="e">
        <f>VLOOKUP($I333,'[1]Table S6'!$A:$AI,20,FALSE)</f>
        <v>#N/A</v>
      </c>
      <c r="AD333" t="e">
        <f>VLOOKUP($I333,'[1]Table S6'!$A:$AI,22,FALSE)</f>
        <v>#N/A</v>
      </c>
      <c r="AE333" t="e">
        <f>VLOOKUP($I333,'[1]Table S6'!$A:$AI,23,FALSE)</f>
        <v>#N/A</v>
      </c>
      <c r="AF333" t="e">
        <f>VLOOKUP($I333,'[1]Table S6'!$A:$AI,24,FALSE)</f>
        <v>#N/A</v>
      </c>
      <c r="AG333" t="e">
        <f>VLOOKUP($I333,'[1]Table S6'!$A:$AI,25,FALSE)</f>
        <v>#N/A</v>
      </c>
      <c r="AI333" t="e">
        <f>VLOOKUP($I333,'[1]Table S6'!$A:$AI,27,FALSE)</f>
        <v>#N/A</v>
      </c>
      <c r="AJ333" t="e">
        <f>VLOOKUP($I333,'[1]Table S6'!$A:$AI,28,FALSE)</f>
        <v>#N/A</v>
      </c>
      <c r="AK333" t="e">
        <f>VLOOKUP($I333,'[1]Table S6'!$A:$AI,29,FALSE)</f>
        <v>#N/A</v>
      </c>
      <c r="AL333" t="e">
        <f>VLOOKUP($I333,'[1]Table S6'!$A:$AI,30,FALSE)</f>
        <v>#N/A</v>
      </c>
      <c r="AN333" t="e">
        <f>VLOOKUP($I333,'[1]Table S6'!$A:$AI,32,FALSE)</f>
        <v>#N/A</v>
      </c>
      <c r="AO333" t="e">
        <f>VLOOKUP($I333,'[1]Table S6'!$A:$AI,33,FALSE)</f>
        <v>#N/A</v>
      </c>
      <c r="AP333" t="e">
        <f>VLOOKUP($I333,'[1]Table S6'!$A:$AI,34,FALSE)</f>
        <v>#N/A</v>
      </c>
      <c r="AQ333" t="e">
        <f>VLOOKUP($I333,'[1]Table S6'!$A:$AI,35,FALSE)</f>
        <v>#N/A</v>
      </c>
      <c r="AS333" t="e">
        <f>VLOOKUP($H333,'[2]Table S5'!$A:$K,8,FALSE)</f>
        <v>#N/A</v>
      </c>
      <c r="AT333" t="e">
        <f>VLOOKUP($H333,'[2]Table S5'!$A:$K,9,FALSE)</f>
        <v>#N/A</v>
      </c>
      <c r="AU333" t="e">
        <f>VLOOKUP($H333,'[2]Table S5'!$A:$K,10,FALSE)</f>
        <v>#N/A</v>
      </c>
      <c r="AV333" t="e">
        <f>VLOOKUP($H333,'[2]Table S5'!$A:$K,11,FALSE)</f>
        <v>#N/A</v>
      </c>
    </row>
    <row r="334" spans="1:48">
      <c r="A334" t="s">
        <v>2520</v>
      </c>
      <c r="B334" t="s">
        <v>2521</v>
      </c>
      <c r="C334" t="s">
        <v>17</v>
      </c>
      <c r="D334" t="s">
        <v>2523</v>
      </c>
      <c r="E334" t="s">
        <v>2524</v>
      </c>
      <c r="F334" t="s">
        <v>2525</v>
      </c>
      <c r="G334" t="s">
        <v>4757</v>
      </c>
      <c r="H334" t="s">
        <v>2511</v>
      </c>
      <c r="I334" t="s">
        <v>2511</v>
      </c>
      <c r="J334" t="e">
        <f>VLOOKUP($I334,'[1]Table S6'!$A:$AI,2,FALSE)</f>
        <v>#N/A</v>
      </c>
      <c r="K334" t="e">
        <f>VLOOKUP($I334,'[1]Table S6'!$A:$AI,3,FALSE)</f>
        <v>#N/A</v>
      </c>
      <c r="L334" t="e">
        <f>VLOOKUP($I334,'[1]Table S6'!$A:$AI,4,FALSE)</f>
        <v>#N/A</v>
      </c>
      <c r="M334" t="e">
        <f>VLOOKUP($I334,'[1]Table S6'!$A:$AI,5,FALSE)</f>
        <v>#N/A</v>
      </c>
      <c r="O334" t="e">
        <f>VLOOKUP($I334,'[1]Table S6'!$A:$AI,7,FALSE)</f>
        <v>#N/A</v>
      </c>
      <c r="P334" t="e">
        <f>VLOOKUP($I334,'[1]Table S6'!$A:$AI,8,FALSE)</f>
        <v>#N/A</v>
      </c>
      <c r="Q334" t="e">
        <f>VLOOKUP($I334,'[1]Table S6'!$A:$AI,9,FALSE)</f>
        <v>#N/A</v>
      </c>
      <c r="R334" t="e">
        <f>VLOOKUP($I334,'[1]Table S6'!$A:$AI,10,FALSE)</f>
        <v>#N/A</v>
      </c>
      <c r="T334" t="e">
        <f>VLOOKUP($I334,'[1]Table S6'!$A:$AI,12,FALSE)</f>
        <v>#N/A</v>
      </c>
      <c r="U334" t="e">
        <f>VLOOKUP($I334,'[1]Table S6'!$A:$AI,13,FALSE)</f>
        <v>#N/A</v>
      </c>
      <c r="V334" t="e">
        <f>VLOOKUP($I334,'[1]Table S6'!$A:$AI,14,FALSE)</f>
        <v>#N/A</v>
      </c>
      <c r="W334" t="e">
        <f>VLOOKUP($I334,'[1]Table S6'!$A:$AI,15,FALSE)</f>
        <v>#N/A</v>
      </c>
      <c r="Y334" t="e">
        <f>VLOOKUP($I334,'[1]Table S6'!$A:$AI,17,FALSE)</f>
        <v>#N/A</v>
      </c>
      <c r="Z334" t="e">
        <f>VLOOKUP($I334,'[1]Table S6'!$A:$AI,18,FALSE)</f>
        <v>#N/A</v>
      </c>
      <c r="AA334" t="e">
        <f>VLOOKUP($I334,'[1]Table S6'!$A:$AI,19,FALSE)</f>
        <v>#N/A</v>
      </c>
      <c r="AB334" t="e">
        <f>VLOOKUP($I334,'[1]Table S6'!$A:$AI,20,FALSE)</f>
        <v>#N/A</v>
      </c>
      <c r="AD334" t="e">
        <f>VLOOKUP($I334,'[1]Table S6'!$A:$AI,22,FALSE)</f>
        <v>#N/A</v>
      </c>
      <c r="AE334" t="e">
        <f>VLOOKUP($I334,'[1]Table S6'!$A:$AI,23,FALSE)</f>
        <v>#N/A</v>
      </c>
      <c r="AF334" t="e">
        <f>VLOOKUP($I334,'[1]Table S6'!$A:$AI,24,FALSE)</f>
        <v>#N/A</v>
      </c>
      <c r="AG334" t="e">
        <f>VLOOKUP($I334,'[1]Table S6'!$A:$AI,25,FALSE)</f>
        <v>#N/A</v>
      </c>
      <c r="AI334" t="e">
        <f>VLOOKUP($I334,'[1]Table S6'!$A:$AI,27,FALSE)</f>
        <v>#N/A</v>
      </c>
      <c r="AJ334" t="e">
        <f>VLOOKUP($I334,'[1]Table S6'!$A:$AI,28,FALSE)</f>
        <v>#N/A</v>
      </c>
      <c r="AK334" t="e">
        <f>VLOOKUP($I334,'[1]Table S6'!$A:$AI,29,FALSE)</f>
        <v>#N/A</v>
      </c>
      <c r="AL334" t="e">
        <f>VLOOKUP($I334,'[1]Table S6'!$A:$AI,30,FALSE)</f>
        <v>#N/A</v>
      </c>
      <c r="AN334" t="e">
        <f>VLOOKUP($I334,'[1]Table S6'!$A:$AI,32,FALSE)</f>
        <v>#N/A</v>
      </c>
      <c r="AO334" t="e">
        <f>VLOOKUP($I334,'[1]Table S6'!$A:$AI,33,FALSE)</f>
        <v>#N/A</v>
      </c>
      <c r="AP334" t="e">
        <f>VLOOKUP($I334,'[1]Table S6'!$A:$AI,34,FALSE)</f>
        <v>#N/A</v>
      </c>
      <c r="AQ334" t="e">
        <f>VLOOKUP($I334,'[1]Table S6'!$A:$AI,35,FALSE)</f>
        <v>#N/A</v>
      </c>
      <c r="AS334" t="e">
        <f>VLOOKUP($H334,'[2]Table S5'!$A:$K,8,FALSE)</f>
        <v>#N/A</v>
      </c>
      <c r="AT334" t="e">
        <f>VLOOKUP($H334,'[2]Table S5'!$A:$K,9,FALSE)</f>
        <v>#N/A</v>
      </c>
      <c r="AU334" t="e">
        <f>VLOOKUP($H334,'[2]Table S5'!$A:$K,10,FALSE)</f>
        <v>#N/A</v>
      </c>
      <c r="AV334" t="e">
        <f>VLOOKUP($H334,'[2]Table S5'!$A:$K,11,FALSE)</f>
        <v>#N/A</v>
      </c>
    </row>
    <row r="335" spans="1:48">
      <c r="A335" t="s">
        <v>2527</v>
      </c>
      <c r="B335" t="s">
        <v>2528</v>
      </c>
      <c r="C335" t="s">
        <v>17</v>
      </c>
      <c r="D335" t="s">
        <v>2530</v>
      </c>
      <c r="E335" t="s">
        <v>2531</v>
      </c>
      <c r="F335" t="s">
        <v>2532</v>
      </c>
      <c r="G335" t="s">
        <v>4754</v>
      </c>
      <c r="H335" t="s">
        <v>2533</v>
      </c>
      <c r="I335" t="s">
        <v>2533</v>
      </c>
      <c r="J335" t="e">
        <f>VLOOKUP($I335,'[1]Table S6'!$A:$AI,2,FALSE)</f>
        <v>#N/A</v>
      </c>
      <c r="K335" t="e">
        <f>VLOOKUP($I335,'[1]Table S6'!$A:$AI,3,FALSE)</f>
        <v>#N/A</v>
      </c>
      <c r="L335" t="e">
        <f>VLOOKUP($I335,'[1]Table S6'!$A:$AI,4,FALSE)</f>
        <v>#N/A</v>
      </c>
      <c r="M335" t="e">
        <f>VLOOKUP($I335,'[1]Table S6'!$A:$AI,5,FALSE)</f>
        <v>#N/A</v>
      </c>
      <c r="O335" t="e">
        <f>VLOOKUP($I335,'[1]Table S6'!$A:$AI,7,FALSE)</f>
        <v>#N/A</v>
      </c>
      <c r="P335" t="e">
        <f>VLOOKUP($I335,'[1]Table S6'!$A:$AI,8,FALSE)</f>
        <v>#N/A</v>
      </c>
      <c r="Q335" t="e">
        <f>VLOOKUP($I335,'[1]Table S6'!$A:$AI,9,FALSE)</f>
        <v>#N/A</v>
      </c>
      <c r="R335" t="e">
        <f>VLOOKUP($I335,'[1]Table S6'!$A:$AI,10,FALSE)</f>
        <v>#N/A</v>
      </c>
      <c r="T335" t="e">
        <f>VLOOKUP($I335,'[1]Table S6'!$A:$AI,12,FALSE)</f>
        <v>#N/A</v>
      </c>
      <c r="U335" t="e">
        <f>VLOOKUP($I335,'[1]Table S6'!$A:$AI,13,FALSE)</f>
        <v>#N/A</v>
      </c>
      <c r="V335" t="e">
        <f>VLOOKUP($I335,'[1]Table S6'!$A:$AI,14,FALSE)</f>
        <v>#N/A</v>
      </c>
      <c r="W335" t="e">
        <f>VLOOKUP($I335,'[1]Table S6'!$A:$AI,15,FALSE)</f>
        <v>#N/A</v>
      </c>
      <c r="Y335" t="e">
        <f>VLOOKUP($I335,'[1]Table S6'!$A:$AI,17,FALSE)</f>
        <v>#N/A</v>
      </c>
      <c r="Z335" t="e">
        <f>VLOOKUP($I335,'[1]Table S6'!$A:$AI,18,FALSE)</f>
        <v>#N/A</v>
      </c>
      <c r="AA335" t="e">
        <f>VLOOKUP($I335,'[1]Table S6'!$A:$AI,19,FALSE)</f>
        <v>#N/A</v>
      </c>
      <c r="AB335" t="e">
        <f>VLOOKUP($I335,'[1]Table S6'!$A:$AI,20,FALSE)</f>
        <v>#N/A</v>
      </c>
      <c r="AD335" t="e">
        <f>VLOOKUP($I335,'[1]Table S6'!$A:$AI,22,FALSE)</f>
        <v>#N/A</v>
      </c>
      <c r="AE335" t="e">
        <f>VLOOKUP($I335,'[1]Table S6'!$A:$AI,23,FALSE)</f>
        <v>#N/A</v>
      </c>
      <c r="AF335" t="e">
        <f>VLOOKUP($I335,'[1]Table S6'!$A:$AI,24,FALSE)</f>
        <v>#N/A</v>
      </c>
      <c r="AG335" t="e">
        <f>VLOOKUP($I335,'[1]Table S6'!$A:$AI,25,FALSE)</f>
        <v>#N/A</v>
      </c>
      <c r="AI335" t="e">
        <f>VLOOKUP($I335,'[1]Table S6'!$A:$AI,27,FALSE)</f>
        <v>#N/A</v>
      </c>
      <c r="AJ335" t="e">
        <f>VLOOKUP($I335,'[1]Table S6'!$A:$AI,28,FALSE)</f>
        <v>#N/A</v>
      </c>
      <c r="AK335" t="e">
        <f>VLOOKUP($I335,'[1]Table S6'!$A:$AI,29,FALSE)</f>
        <v>#N/A</v>
      </c>
      <c r="AL335" t="e">
        <f>VLOOKUP($I335,'[1]Table S6'!$A:$AI,30,FALSE)</f>
        <v>#N/A</v>
      </c>
      <c r="AN335" t="e">
        <f>VLOOKUP($I335,'[1]Table S6'!$A:$AI,32,FALSE)</f>
        <v>#N/A</v>
      </c>
      <c r="AO335" t="e">
        <f>VLOOKUP($I335,'[1]Table S6'!$A:$AI,33,FALSE)</f>
        <v>#N/A</v>
      </c>
      <c r="AP335" t="e">
        <f>VLOOKUP($I335,'[1]Table S6'!$A:$AI,34,FALSE)</f>
        <v>#N/A</v>
      </c>
      <c r="AQ335" t="e">
        <f>VLOOKUP($I335,'[1]Table S6'!$A:$AI,35,FALSE)</f>
        <v>#N/A</v>
      </c>
      <c r="AS335" t="e">
        <f>VLOOKUP($H335,'[2]Table S5'!$A:$K,8,FALSE)</f>
        <v>#N/A</v>
      </c>
      <c r="AT335" t="e">
        <f>VLOOKUP($H335,'[2]Table S5'!$A:$K,9,FALSE)</f>
        <v>#N/A</v>
      </c>
      <c r="AU335" t="e">
        <f>VLOOKUP($H335,'[2]Table S5'!$A:$K,10,FALSE)</f>
        <v>#N/A</v>
      </c>
      <c r="AV335" t="e">
        <f>VLOOKUP($H335,'[2]Table S5'!$A:$K,11,FALSE)</f>
        <v>#N/A</v>
      </c>
    </row>
    <row r="336" spans="1:48">
      <c r="A336" t="s">
        <v>2535</v>
      </c>
      <c r="B336" t="s">
        <v>2536</v>
      </c>
      <c r="C336" t="s">
        <v>17</v>
      </c>
      <c r="D336" t="s">
        <v>2538</v>
      </c>
      <c r="E336" t="s">
        <v>2539</v>
      </c>
      <c r="F336" t="s">
        <v>2540</v>
      </c>
      <c r="G336" t="s">
        <v>4755</v>
      </c>
      <c r="H336" t="s">
        <v>2533</v>
      </c>
      <c r="I336" t="s">
        <v>2533</v>
      </c>
      <c r="J336" t="e">
        <f>VLOOKUP($I336,'[1]Table S6'!$A:$AI,2,FALSE)</f>
        <v>#N/A</v>
      </c>
      <c r="K336" t="e">
        <f>VLOOKUP($I336,'[1]Table S6'!$A:$AI,3,FALSE)</f>
        <v>#N/A</v>
      </c>
      <c r="L336" t="e">
        <f>VLOOKUP($I336,'[1]Table S6'!$A:$AI,4,FALSE)</f>
        <v>#N/A</v>
      </c>
      <c r="M336" t="e">
        <f>VLOOKUP($I336,'[1]Table S6'!$A:$AI,5,FALSE)</f>
        <v>#N/A</v>
      </c>
      <c r="O336" t="e">
        <f>VLOOKUP($I336,'[1]Table S6'!$A:$AI,7,FALSE)</f>
        <v>#N/A</v>
      </c>
      <c r="P336" t="e">
        <f>VLOOKUP($I336,'[1]Table S6'!$A:$AI,8,FALSE)</f>
        <v>#N/A</v>
      </c>
      <c r="Q336" t="e">
        <f>VLOOKUP($I336,'[1]Table S6'!$A:$AI,9,FALSE)</f>
        <v>#N/A</v>
      </c>
      <c r="R336" t="e">
        <f>VLOOKUP($I336,'[1]Table S6'!$A:$AI,10,FALSE)</f>
        <v>#N/A</v>
      </c>
      <c r="T336" t="e">
        <f>VLOOKUP($I336,'[1]Table S6'!$A:$AI,12,FALSE)</f>
        <v>#N/A</v>
      </c>
      <c r="U336" t="e">
        <f>VLOOKUP($I336,'[1]Table S6'!$A:$AI,13,FALSE)</f>
        <v>#N/A</v>
      </c>
      <c r="V336" t="e">
        <f>VLOOKUP($I336,'[1]Table S6'!$A:$AI,14,FALSE)</f>
        <v>#N/A</v>
      </c>
      <c r="W336" t="e">
        <f>VLOOKUP($I336,'[1]Table S6'!$A:$AI,15,FALSE)</f>
        <v>#N/A</v>
      </c>
      <c r="Y336" t="e">
        <f>VLOOKUP($I336,'[1]Table S6'!$A:$AI,17,FALSE)</f>
        <v>#N/A</v>
      </c>
      <c r="Z336" t="e">
        <f>VLOOKUP($I336,'[1]Table S6'!$A:$AI,18,FALSE)</f>
        <v>#N/A</v>
      </c>
      <c r="AA336" t="e">
        <f>VLOOKUP($I336,'[1]Table S6'!$A:$AI,19,FALSE)</f>
        <v>#N/A</v>
      </c>
      <c r="AB336" t="e">
        <f>VLOOKUP($I336,'[1]Table S6'!$A:$AI,20,FALSE)</f>
        <v>#N/A</v>
      </c>
      <c r="AD336" t="e">
        <f>VLOOKUP($I336,'[1]Table S6'!$A:$AI,22,FALSE)</f>
        <v>#N/A</v>
      </c>
      <c r="AE336" t="e">
        <f>VLOOKUP($I336,'[1]Table S6'!$A:$AI,23,FALSE)</f>
        <v>#N/A</v>
      </c>
      <c r="AF336" t="e">
        <f>VLOOKUP($I336,'[1]Table S6'!$A:$AI,24,FALSE)</f>
        <v>#N/A</v>
      </c>
      <c r="AG336" t="e">
        <f>VLOOKUP($I336,'[1]Table S6'!$A:$AI,25,FALSE)</f>
        <v>#N/A</v>
      </c>
      <c r="AI336" t="e">
        <f>VLOOKUP($I336,'[1]Table S6'!$A:$AI,27,FALSE)</f>
        <v>#N/A</v>
      </c>
      <c r="AJ336" t="e">
        <f>VLOOKUP($I336,'[1]Table S6'!$A:$AI,28,FALSE)</f>
        <v>#N/A</v>
      </c>
      <c r="AK336" t="e">
        <f>VLOOKUP($I336,'[1]Table S6'!$A:$AI,29,FALSE)</f>
        <v>#N/A</v>
      </c>
      <c r="AL336" t="e">
        <f>VLOOKUP($I336,'[1]Table S6'!$A:$AI,30,FALSE)</f>
        <v>#N/A</v>
      </c>
      <c r="AN336" t="e">
        <f>VLOOKUP($I336,'[1]Table S6'!$A:$AI,32,FALSE)</f>
        <v>#N/A</v>
      </c>
      <c r="AO336" t="e">
        <f>VLOOKUP($I336,'[1]Table S6'!$A:$AI,33,FALSE)</f>
        <v>#N/A</v>
      </c>
      <c r="AP336" t="e">
        <f>VLOOKUP($I336,'[1]Table S6'!$A:$AI,34,FALSE)</f>
        <v>#N/A</v>
      </c>
      <c r="AQ336" t="e">
        <f>VLOOKUP($I336,'[1]Table S6'!$A:$AI,35,FALSE)</f>
        <v>#N/A</v>
      </c>
      <c r="AS336" t="e">
        <f>VLOOKUP($H336,'[2]Table S5'!$A:$K,8,FALSE)</f>
        <v>#N/A</v>
      </c>
      <c r="AT336" t="e">
        <f>VLOOKUP($H336,'[2]Table S5'!$A:$K,9,FALSE)</f>
        <v>#N/A</v>
      </c>
      <c r="AU336" t="e">
        <f>VLOOKUP($H336,'[2]Table S5'!$A:$K,10,FALSE)</f>
        <v>#N/A</v>
      </c>
      <c r="AV336" t="e">
        <f>VLOOKUP($H336,'[2]Table S5'!$A:$K,11,FALSE)</f>
        <v>#N/A</v>
      </c>
    </row>
    <row r="337" spans="1:48">
      <c r="A337" t="s">
        <v>2542</v>
      </c>
      <c r="B337" t="s">
        <v>2543</v>
      </c>
      <c r="C337" t="s">
        <v>17</v>
      </c>
      <c r="D337" t="s">
        <v>2545</v>
      </c>
      <c r="E337" t="s">
        <v>2546</v>
      </c>
      <c r="F337" t="s">
        <v>2547</v>
      </c>
      <c r="G337" t="s">
        <v>4757</v>
      </c>
      <c r="H337" t="s">
        <v>2533</v>
      </c>
      <c r="I337" t="s">
        <v>2533</v>
      </c>
      <c r="J337" t="e">
        <f>VLOOKUP($I337,'[1]Table S6'!$A:$AI,2,FALSE)</f>
        <v>#N/A</v>
      </c>
      <c r="K337" t="e">
        <f>VLOOKUP($I337,'[1]Table S6'!$A:$AI,3,FALSE)</f>
        <v>#N/A</v>
      </c>
      <c r="L337" t="e">
        <f>VLOOKUP($I337,'[1]Table S6'!$A:$AI,4,FALSE)</f>
        <v>#N/A</v>
      </c>
      <c r="M337" t="e">
        <f>VLOOKUP($I337,'[1]Table S6'!$A:$AI,5,FALSE)</f>
        <v>#N/A</v>
      </c>
      <c r="O337" t="e">
        <f>VLOOKUP($I337,'[1]Table S6'!$A:$AI,7,FALSE)</f>
        <v>#N/A</v>
      </c>
      <c r="P337" t="e">
        <f>VLOOKUP($I337,'[1]Table S6'!$A:$AI,8,FALSE)</f>
        <v>#N/A</v>
      </c>
      <c r="Q337" t="e">
        <f>VLOOKUP($I337,'[1]Table S6'!$A:$AI,9,FALSE)</f>
        <v>#N/A</v>
      </c>
      <c r="R337" t="e">
        <f>VLOOKUP($I337,'[1]Table S6'!$A:$AI,10,FALSE)</f>
        <v>#N/A</v>
      </c>
      <c r="T337" t="e">
        <f>VLOOKUP($I337,'[1]Table S6'!$A:$AI,12,FALSE)</f>
        <v>#N/A</v>
      </c>
      <c r="U337" t="e">
        <f>VLOOKUP($I337,'[1]Table S6'!$A:$AI,13,FALSE)</f>
        <v>#N/A</v>
      </c>
      <c r="V337" t="e">
        <f>VLOOKUP($I337,'[1]Table S6'!$A:$AI,14,FALSE)</f>
        <v>#N/A</v>
      </c>
      <c r="W337" t="e">
        <f>VLOOKUP($I337,'[1]Table S6'!$A:$AI,15,FALSE)</f>
        <v>#N/A</v>
      </c>
      <c r="Y337" t="e">
        <f>VLOOKUP($I337,'[1]Table S6'!$A:$AI,17,FALSE)</f>
        <v>#N/A</v>
      </c>
      <c r="Z337" t="e">
        <f>VLOOKUP($I337,'[1]Table S6'!$A:$AI,18,FALSE)</f>
        <v>#N/A</v>
      </c>
      <c r="AA337" t="e">
        <f>VLOOKUP($I337,'[1]Table S6'!$A:$AI,19,FALSE)</f>
        <v>#N/A</v>
      </c>
      <c r="AB337" t="e">
        <f>VLOOKUP($I337,'[1]Table S6'!$A:$AI,20,FALSE)</f>
        <v>#N/A</v>
      </c>
      <c r="AD337" t="e">
        <f>VLOOKUP($I337,'[1]Table S6'!$A:$AI,22,FALSE)</f>
        <v>#N/A</v>
      </c>
      <c r="AE337" t="e">
        <f>VLOOKUP($I337,'[1]Table S6'!$A:$AI,23,FALSE)</f>
        <v>#N/A</v>
      </c>
      <c r="AF337" t="e">
        <f>VLOOKUP($I337,'[1]Table S6'!$A:$AI,24,FALSE)</f>
        <v>#N/A</v>
      </c>
      <c r="AG337" t="e">
        <f>VLOOKUP($I337,'[1]Table S6'!$A:$AI,25,FALSE)</f>
        <v>#N/A</v>
      </c>
      <c r="AI337" t="e">
        <f>VLOOKUP($I337,'[1]Table S6'!$A:$AI,27,FALSE)</f>
        <v>#N/A</v>
      </c>
      <c r="AJ337" t="e">
        <f>VLOOKUP($I337,'[1]Table S6'!$A:$AI,28,FALSE)</f>
        <v>#N/A</v>
      </c>
      <c r="AK337" t="e">
        <f>VLOOKUP($I337,'[1]Table S6'!$A:$AI,29,FALSE)</f>
        <v>#N/A</v>
      </c>
      <c r="AL337" t="e">
        <f>VLOOKUP($I337,'[1]Table S6'!$A:$AI,30,FALSE)</f>
        <v>#N/A</v>
      </c>
      <c r="AN337" t="e">
        <f>VLOOKUP($I337,'[1]Table S6'!$A:$AI,32,FALSE)</f>
        <v>#N/A</v>
      </c>
      <c r="AO337" t="e">
        <f>VLOOKUP($I337,'[1]Table S6'!$A:$AI,33,FALSE)</f>
        <v>#N/A</v>
      </c>
      <c r="AP337" t="e">
        <f>VLOOKUP($I337,'[1]Table S6'!$A:$AI,34,FALSE)</f>
        <v>#N/A</v>
      </c>
      <c r="AQ337" t="e">
        <f>VLOOKUP($I337,'[1]Table S6'!$A:$AI,35,FALSE)</f>
        <v>#N/A</v>
      </c>
      <c r="AS337" t="e">
        <f>VLOOKUP($H337,'[2]Table S5'!$A:$K,8,FALSE)</f>
        <v>#N/A</v>
      </c>
      <c r="AT337" t="e">
        <f>VLOOKUP($H337,'[2]Table S5'!$A:$K,9,FALSE)</f>
        <v>#N/A</v>
      </c>
      <c r="AU337" t="e">
        <f>VLOOKUP($H337,'[2]Table S5'!$A:$K,10,FALSE)</f>
        <v>#N/A</v>
      </c>
      <c r="AV337" t="e">
        <f>VLOOKUP($H337,'[2]Table S5'!$A:$K,11,FALSE)</f>
        <v>#N/A</v>
      </c>
    </row>
    <row r="338" spans="1:48">
      <c r="A338" t="s">
        <v>2549</v>
      </c>
      <c r="B338" t="s">
        <v>2550</v>
      </c>
      <c r="C338" t="s">
        <v>17</v>
      </c>
      <c r="D338" t="s">
        <v>2552</v>
      </c>
      <c r="E338" t="s">
        <v>2553</v>
      </c>
      <c r="F338" t="s">
        <v>2554</v>
      </c>
      <c r="G338" t="s">
        <v>4750</v>
      </c>
      <c r="H338" t="s">
        <v>2555</v>
      </c>
      <c r="I338" t="s">
        <v>2556</v>
      </c>
      <c r="J338" t="e">
        <f>VLOOKUP($I338,'[1]Table S6'!$A:$AI,2,FALSE)</f>
        <v>#N/A</v>
      </c>
      <c r="K338" t="e">
        <f>VLOOKUP($I338,'[1]Table S6'!$A:$AI,3,FALSE)</f>
        <v>#N/A</v>
      </c>
      <c r="L338" t="e">
        <f>VLOOKUP($I338,'[1]Table S6'!$A:$AI,4,FALSE)</f>
        <v>#N/A</v>
      </c>
      <c r="M338" t="e">
        <f>VLOOKUP($I338,'[1]Table S6'!$A:$AI,5,FALSE)</f>
        <v>#N/A</v>
      </c>
      <c r="O338" t="e">
        <f>VLOOKUP($I338,'[1]Table S6'!$A:$AI,7,FALSE)</f>
        <v>#N/A</v>
      </c>
      <c r="P338" t="e">
        <f>VLOOKUP($I338,'[1]Table S6'!$A:$AI,8,FALSE)</f>
        <v>#N/A</v>
      </c>
      <c r="Q338" t="e">
        <f>VLOOKUP($I338,'[1]Table S6'!$A:$AI,9,FALSE)</f>
        <v>#N/A</v>
      </c>
      <c r="R338" t="e">
        <f>VLOOKUP($I338,'[1]Table S6'!$A:$AI,10,FALSE)</f>
        <v>#N/A</v>
      </c>
      <c r="T338" t="e">
        <f>VLOOKUP($I338,'[1]Table S6'!$A:$AI,12,FALSE)</f>
        <v>#N/A</v>
      </c>
      <c r="U338" t="e">
        <f>VLOOKUP($I338,'[1]Table S6'!$A:$AI,13,FALSE)</f>
        <v>#N/A</v>
      </c>
      <c r="V338" t="e">
        <f>VLOOKUP($I338,'[1]Table S6'!$A:$AI,14,FALSE)</f>
        <v>#N/A</v>
      </c>
      <c r="W338" t="e">
        <f>VLOOKUP($I338,'[1]Table S6'!$A:$AI,15,FALSE)</f>
        <v>#N/A</v>
      </c>
      <c r="Y338" t="e">
        <f>VLOOKUP($I338,'[1]Table S6'!$A:$AI,17,FALSE)</f>
        <v>#N/A</v>
      </c>
      <c r="Z338" t="e">
        <f>VLOOKUP($I338,'[1]Table S6'!$A:$AI,18,FALSE)</f>
        <v>#N/A</v>
      </c>
      <c r="AA338" t="e">
        <f>VLOOKUP($I338,'[1]Table S6'!$A:$AI,19,FALSE)</f>
        <v>#N/A</v>
      </c>
      <c r="AB338" t="e">
        <f>VLOOKUP($I338,'[1]Table S6'!$A:$AI,20,FALSE)</f>
        <v>#N/A</v>
      </c>
      <c r="AD338" t="e">
        <f>VLOOKUP($I338,'[1]Table S6'!$A:$AI,22,FALSE)</f>
        <v>#N/A</v>
      </c>
      <c r="AE338" t="e">
        <f>VLOOKUP($I338,'[1]Table S6'!$A:$AI,23,FALSE)</f>
        <v>#N/A</v>
      </c>
      <c r="AF338" t="e">
        <f>VLOOKUP($I338,'[1]Table S6'!$A:$AI,24,FALSE)</f>
        <v>#N/A</v>
      </c>
      <c r="AG338" t="e">
        <f>VLOOKUP($I338,'[1]Table S6'!$A:$AI,25,FALSE)</f>
        <v>#N/A</v>
      </c>
      <c r="AI338" t="e">
        <f>VLOOKUP($I338,'[1]Table S6'!$A:$AI,27,FALSE)</f>
        <v>#N/A</v>
      </c>
      <c r="AJ338" t="e">
        <f>VLOOKUP($I338,'[1]Table S6'!$A:$AI,28,FALSE)</f>
        <v>#N/A</v>
      </c>
      <c r="AK338" t="e">
        <f>VLOOKUP($I338,'[1]Table S6'!$A:$AI,29,FALSE)</f>
        <v>#N/A</v>
      </c>
      <c r="AL338" t="e">
        <f>VLOOKUP($I338,'[1]Table S6'!$A:$AI,30,FALSE)</f>
        <v>#N/A</v>
      </c>
      <c r="AN338" t="e">
        <f>VLOOKUP($I338,'[1]Table S6'!$A:$AI,32,FALSE)</f>
        <v>#N/A</v>
      </c>
      <c r="AO338" t="e">
        <f>VLOOKUP($I338,'[1]Table S6'!$A:$AI,33,FALSE)</f>
        <v>#N/A</v>
      </c>
      <c r="AP338" t="e">
        <f>VLOOKUP($I338,'[1]Table S6'!$A:$AI,34,FALSE)</f>
        <v>#N/A</v>
      </c>
      <c r="AQ338" t="e">
        <f>VLOOKUP($I338,'[1]Table S6'!$A:$AI,35,FALSE)</f>
        <v>#N/A</v>
      </c>
      <c r="AS338" t="e">
        <f>VLOOKUP($H338,'[2]Table S5'!$A:$K,8,FALSE)</f>
        <v>#N/A</v>
      </c>
      <c r="AT338" t="e">
        <f>VLOOKUP($H338,'[2]Table S5'!$A:$K,9,FALSE)</f>
        <v>#N/A</v>
      </c>
      <c r="AU338" t="e">
        <f>VLOOKUP($H338,'[2]Table S5'!$A:$K,10,FALSE)</f>
        <v>#N/A</v>
      </c>
      <c r="AV338" t="e">
        <f>VLOOKUP($H338,'[2]Table S5'!$A:$K,11,FALSE)</f>
        <v>#N/A</v>
      </c>
    </row>
    <row r="339" spans="1:48">
      <c r="A339" t="s">
        <v>2558</v>
      </c>
      <c r="B339" t="s">
        <v>2559</v>
      </c>
      <c r="C339" t="s">
        <v>17</v>
      </c>
      <c r="D339" t="s">
        <v>2561</v>
      </c>
      <c r="E339" t="s">
        <v>2562</v>
      </c>
      <c r="F339" t="s">
        <v>2563</v>
      </c>
      <c r="G339" t="s">
        <v>4750</v>
      </c>
      <c r="H339" t="s">
        <v>2555</v>
      </c>
      <c r="I339" t="s">
        <v>2564</v>
      </c>
      <c r="J339" t="e">
        <f>VLOOKUP($I339,'[1]Table S6'!$A:$AI,2,FALSE)</f>
        <v>#N/A</v>
      </c>
      <c r="K339" t="e">
        <f>VLOOKUP($I339,'[1]Table S6'!$A:$AI,3,FALSE)</f>
        <v>#N/A</v>
      </c>
      <c r="L339" t="e">
        <f>VLOOKUP($I339,'[1]Table S6'!$A:$AI,4,FALSE)</f>
        <v>#N/A</v>
      </c>
      <c r="M339" t="e">
        <f>VLOOKUP($I339,'[1]Table S6'!$A:$AI,5,FALSE)</f>
        <v>#N/A</v>
      </c>
      <c r="O339" t="e">
        <f>VLOOKUP($I339,'[1]Table S6'!$A:$AI,7,FALSE)</f>
        <v>#N/A</v>
      </c>
      <c r="P339" t="e">
        <f>VLOOKUP($I339,'[1]Table S6'!$A:$AI,8,FALSE)</f>
        <v>#N/A</v>
      </c>
      <c r="Q339" t="e">
        <f>VLOOKUP($I339,'[1]Table S6'!$A:$AI,9,FALSE)</f>
        <v>#N/A</v>
      </c>
      <c r="R339" t="e">
        <f>VLOOKUP($I339,'[1]Table S6'!$A:$AI,10,FALSE)</f>
        <v>#N/A</v>
      </c>
      <c r="T339" t="e">
        <f>VLOOKUP($I339,'[1]Table S6'!$A:$AI,12,FALSE)</f>
        <v>#N/A</v>
      </c>
      <c r="U339" t="e">
        <f>VLOOKUP($I339,'[1]Table S6'!$A:$AI,13,FALSE)</f>
        <v>#N/A</v>
      </c>
      <c r="V339" t="e">
        <f>VLOOKUP($I339,'[1]Table S6'!$A:$AI,14,FALSE)</f>
        <v>#N/A</v>
      </c>
      <c r="W339" t="e">
        <f>VLOOKUP($I339,'[1]Table S6'!$A:$AI,15,FALSE)</f>
        <v>#N/A</v>
      </c>
      <c r="Y339" t="e">
        <f>VLOOKUP($I339,'[1]Table S6'!$A:$AI,17,FALSE)</f>
        <v>#N/A</v>
      </c>
      <c r="Z339" t="e">
        <f>VLOOKUP($I339,'[1]Table S6'!$A:$AI,18,FALSE)</f>
        <v>#N/A</v>
      </c>
      <c r="AA339" t="e">
        <f>VLOOKUP($I339,'[1]Table S6'!$A:$AI,19,FALSE)</f>
        <v>#N/A</v>
      </c>
      <c r="AB339" t="e">
        <f>VLOOKUP($I339,'[1]Table S6'!$A:$AI,20,FALSE)</f>
        <v>#N/A</v>
      </c>
      <c r="AD339" t="e">
        <f>VLOOKUP($I339,'[1]Table S6'!$A:$AI,22,FALSE)</f>
        <v>#N/A</v>
      </c>
      <c r="AE339" t="e">
        <f>VLOOKUP($I339,'[1]Table S6'!$A:$AI,23,FALSE)</f>
        <v>#N/A</v>
      </c>
      <c r="AF339" t="e">
        <f>VLOOKUP($I339,'[1]Table S6'!$A:$AI,24,FALSE)</f>
        <v>#N/A</v>
      </c>
      <c r="AG339" t="e">
        <f>VLOOKUP($I339,'[1]Table S6'!$A:$AI,25,FALSE)</f>
        <v>#N/A</v>
      </c>
      <c r="AI339" t="e">
        <f>VLOOKUP($I339,'[1]Table S6'!$A:$AI,27,FALSE)</f>
        <v>#N/A</v>
      </c>
      <c r="AJ339" t="e">
        <f>VLOOKUP($I339,'[1]Table S6'!$A:$AI,28,FALSE)</f>
        <v>#N/A</v>
      </c>
      <c r="AK339" t="e">
        <f>VLOOKUP($I339,'[1]Table S6'!$A:$AI,29,FALSE)</f>
        <v>#N/A</v>
      </c>
      <c r="AL339" t="e">
        <f>VLOOKUP($I339,'[1]Table S6'!$A:$AI,30,FALSE)</f>
        <v>#N/A</v>
      </c>
      <c r="AN339" t="e">
        <f>VLOOKUP($I339,'[1]Table S6'!$A:$AI,32,FALSE)</f>
        <v>#N/A</v>
      </c>
      <c r="AO339" t="e">
        <f>VLOOKUP($I339,'[1]Table S6'!$A:$AI,33,FALSE)</f>
        <v>#N/A</v>
      </c>
      <c r="AP339" t="e">
        <f>VLOOKUP($I339,'[1]Table S6'!$A:$AI,34,FALSE)</f>
        <v>#N/A</v>
      </c>
      <c r="AQ339" t="e">
        <f>VLOOKUP($I339,'[1]Table S6'!$A:$AI,35,FALSE)</f>
        <v>#N/A</v>
      </c>
      <c r="AS339" t="e">
        <f>VLOOKUP($H339,'[2]Table S5'!$A:$K,8,FALSE)</f>
        <v>#N/A</v>
      </c>
      <c r="AT339" t="e">
        <f>VLOOKUP($H339,'[2]Table S5'!$A:$K,9,FALSE)</f>
        <v>#N/A</v>
      </c>
      <c r="AU339" t="e">
        <f>VLOOKUP($H339,'[2]Table S5'!$A:$K,10,FALSE)</f>
        <v>#N/A</v>
      </c>
      <c r="AV339" t="e">
        <f>VLOOKUP($H339,'[2]Table S5'!$A:$K,11,FALSE)</f>
        <v>#N/A</v>
      </c>
    </row>
    <row r="340" spans="1:48">
      <c r="A340" t="s">
        <v>2566</v>
      </c>
      <c r="B340" t="s">
        <v>2567</v>
      </c>
      <c r="C340" t="s">
        <v>17</v>
      </c>
      <c r="D340" t="s">
        <v>2569</v>
      </c>
      <c r="E340" t="s">
        <v>2570</v>
      </c>
      <c r="F340" t="s">
        <v>2571</v>
      </c>
      <c r="G340" t="s">
        <v>4750</v>
      </c>
      <c r="H340" t="s">
        <v>2572</v>
      </c>
      <c r="I340" t="s">
        <v>2573</v>
      </c>
      <c r="J340" t="e">
        <f>VLOOKUP($I340,'[1]Table S6'!$A:$AI,2,FALSE)</f>
        <v>#N/A</v>
      </c>
      <c r="K340" t="e">
        <f>VLOOKUP($I340,'[1]Table S6'!$A:$AI,3,FALSE)</f>
        <v>#N/A</v>
      </c>
      <c r="L340" t="e">
        <f>VLOOKUP($I340,'[1]Table S6'!$A:$AI,4,FALSE)</f>
        <v>#N/A</v>
      </c>
      <c r="M340" t="e">
        <f>VLOOKUP($I340,'[1]Table S6'!$A:$AI,5,FALSE)</f>
        <v>#N/A</v>
      </c>
      <c r="O340" t="e">
        <f>VLOOKUP($I340,'[1]Table S6'!$A:$AI,7,FALSE)</f>
        <v>#N/A</v>
      </c>
      <c r="P340" t="e">
        <f>VLOOKUP($I340,'[1]Table S6'!$A:$AI,8,FALSE)</f>
        <v>#N/A</v>
      </c>
      <c r="Q340" t="e">
        <f>VLOOKUP($I340,'[1]Table S6'!$A:$AI,9,FALSE)</f>
        <v>#N/A</v>
      </c>
      <c r="R340" t="e">
        <f>VLOOKUP($I340,'[1]Table S6'!$A:$AI,10,FALSE)</f>
        <v>#N/A</v>
      </c>
      <c r="T340" t="e">
        <f>VLOOKUP($I340,'[1]Table S6'!$A:$AI,12,FALSE)</f>
        <v>#N/A</v>
      </c>
      <c r="U340" t="e">
        <f>VLOOKUP($I340,'[1]Table S6'!$A:$AI,13,FALSE)</f>
        <v>#N/A</v>
      </c>
      <c r="V340" t="e">
        <f>VLOOKUP($I340,'[1]Table S6'!$A:$AI,14,FALSE)</f>
        <v>#N/A</v>
      </c>
      <c r="W340" t="e">
        <f>VLOOKUP($I340,'[1]Table S6'!$A:$AI,15,FALSE)</f>
        <v>#N/A</v>
      </c>
      <c r="Y340" t="e">
        <f>VLOOKUP($I340,'[1]Table S6'!$A:$AI,17,FALSE)</f>
        <v>#N/A</v>
      </c>
      <c r="Z340" t="e">
        <f>VLOOKUP($I340,'[1]Table S6'!$A:$AI,18,FALSE)</f>
        <v>#N/A</v>
      </c>
      <c r="AA340" t="e">
        <f>VLOOKUP($I340,'[1]Table S6'!$A:$AI,19,FALSE)</f>
        <v>#N/A</v>
      </c>
      <c r="AB340" t="e">
        <f>VLOOKUP($I340,'[1]Table S6'!$A:$AI,20,FALSE)</f>
        <v>#N/A</v>
      </c>
      <c r="AD340" t="e">
        <f>VLOOKUP($I340,'[1]Table S6'!$A:$AI,22,FALSE)</f>
        <v>#N/A</v>
      </c>
      <c r="AE340" t="e">
        <f>VLOOKUP($I340,'[1]Table S6'!$A:$AI,23,FALSE)</f>
        <v>#N/A</v>
      </c>
      <c r="AF340" t="e">
        <f>VLOOKUP($I340,'[1]Table S6'!$A:$AI,24,FALSE)</f>
        <v>#N/A</v>
      </c>
      <c r="AG340" t="e">
        <f>VLOOKUP($I340,'[1]Table S6'!$A:$AI,25,FALSE)</f>
        <v>#N/A</v>
      </c>
      <c r="AI340" t="e">
        <f>VLOOKUP($I340,'[1]Table S6'!$A:$AI,27,FALSE)</f>
        <v>#N/A</v>
      </c>
      <c r="AJ340" t="e">
        <f>VLOOKUP($I340,'[1]Table S6'!$A:$AI,28,FALSE)</f>
        <v>#N/A</v>
      </c>
      <c r="AK340" t="e">
        <f>VLOOKUP($I340,'[1]Table S6'!$A:$AI,29,FALSE)</f>
        <v>#N/A</v>
      </c>
      <c r="AL340" t="e">
        <f>VLOOKUP($I340,'[1]Table S6'!$A:$AI,30,FALSE)</f>
        <v>#N/A</v>
      </c>
      <c r="AN340" t="e">
        <f>VLOOKUP($I340,'[1]Table S6'!$A:$AI,32,FALSE)</f>
        <v>#N/A</v>
      </c>
      <c r="AO340" t="e">
        <f>VLOOKUP($I340,'[1]Table S6'!$A:$AI,33,FALSE)</f>
        <v>#N/A</v>
      </c>
      <c r="AP340" t="e">
        <f>VLOOKUP($I340,'[1]Table S6'!$A:$AI,34,FALSE)</f>
        <v>#N/A</v>
      </c>
      <c r="AQ340" t="e">
        <f>VLOOKUP($I340,'[1]Table S6'!$A:$AI,35,FALSE)</f>
        <v>#N/A</v>
      </c>
      <c r="AS340" t="e">
        <f>VLOOKUP($H340,'[2]Table S5'!$A:$K,8,FALSE)</f>
        <v>#N/A</v>
      </c>
      <c r="AT340" t="e">
        <f>VLOOKUP($H340,'[2]Table S5'!$A:$K,9,FALSE)</f>
        <v>#N/A</v>
      </c>
      <c r="AU340" t="e">
        <f>VLOOKUP($H340,'[2]Table S5'!$A:$K,10,FALSE)</f>
        <v>#N/A</v>
      </c>
      <c r="AV340" t="e">
        <f>VLOOKUP($H340,'[2]Table S5'!$A:$K,11,FALSE)</f>
        <v>#N/A</v>
      </c>
    </row>
    <row r="341" spans="1:48">
      <c r="A341" t="s">
        <v>2575</v>
      </c>
      <c r="B341" t="s">
        <v>2576</v>
      </c>
      <c r="C341" t="s">
        <v>17</v>
      </c>
      <c r="D341" t="s">
        <v>2578</v>
      </c>
      <c r="E341" t="s">
        <v>2579</v>
      </c>
      <c r="F341" t="s">
        <v>2580</v>
      </c>
      <c r="G341" t="s">
        <v>4751</v>
      </c>
      <c r="H341" t="s">
        <v>2572</v>
      </c>
      <c r="I341" t="s">
        <v>2581</v>
      </c>
      <c r="J341" t="e">
        <f>VLOOKUP($I341,'[1]Table S6'!$A:$AI,2,FALSE)</f>
        <v>#N/A</v>
      </c>
      <c r="K341" t="e">
        <f>VLOOKUP($I341,'[1]Table S6'!$A:$AI,3,FALSE)</f>
        <v>#N/A</v>
      </c>
      <c r="L341" t="e">
        <f>VLOOKUP($I341,'[1]Table S6'!$A:$AI,4,FALSE)</f>
        <v>#N/A</v>
      </c>
      <c r="M341" t="e">
        <f>VLOOKUP($I341,'[1]Table S6'!$A:$AI,5,FALSE)</f>
        <v>#N/A</v>
      </c>
      <c r="O341" t="e">
        <f>VLOOKUP($I341,'[1]Table S6'!$A:$AI,7,FALSE)</f>
        <v>#N/A</v>
      </c>
      <c r="P341" t="e">
        <f>VLOOKUP($I341,'[1]Table S6'!$A:$AI,8,FALSE)</f>
        <v>#N/A</v>
      </c>
      <c r="Q341" t="e">
        <f>VLOOKUP($I341,'[1]Table S6'!$A:$AI,9,FALSE)</f>
        <v>#N/A</v>
      </c>
      <c r="R341" t="e">
        <f>VLOOKUP($I341,'[1]Table S6'!$A:$AI,10,FALSE)</f>
        <v>#N/A</v>
      </c>
      <c r="T341" t="e">
        <f>VLOOKUP($I341,'[1]Table S6'!$A:$AI,12,FALSE)</f>
        <v>#N/A</v>
      </c>
      <c r="U341" t="e">
        <f>VLOOKUP($I341,'[1]Table S6'!$A:$AI,13,FALSE)</f>
        <v>#N/A</v>
      </c>
      <c r="V341" t="e">
        <f>VLOOKUP($I341,'[1]Table S6'!$A:$AI,14,FALSE)</f>
        <v>#N/A</v>
      </c>
      <c r="W341" t="e">
        <f>VLOOKUP($I341,'[1]Table S6'!$A:$AI,15,FALSE)</f>
        <v>#N/A</v>
      </c>
      <c r="Y341" t="e">
        <f>VLOOKUP($I341,'[1]Table S6'!$A:$AI,17,FALSE)</f>
        <v>#N/A</v>
      </c>
      <c r="Z341" t="e">
        <f>VLOOKUP($I341,'[1]Table S6'!$A:$AI,18,FALSE)</f>
        <v>#N/A</v>
      </c>
      <c r="AA341" t="e">
        <f>VLOOKUP($I341,'[1]Table S6'!$A:$AI,19,FALSE)</f>
        <v>#N/A</v>
      </c>
      <c r="AB341" t="e">
        <f>VLOOKUP($I341,'[1]Table S6'!$A:$AI,20,FALSE)</f>
        <v>#N/A</v>
      </c>
      <c r="AD341" t="e">
        <f>VLOOKUP($I341,'[1]Table S6'!$A:$AI,22,FALSE)</f>
        <v>#N/A</v>
      </c>
      <c r="AE341" t="e">
        <f>VLOOKUP($I341,'[1]Table S6'!$A:$AI,23,FALSE)</f>
        <v>#N/A</v>
      </c>
      <c r="AF341" t="e">
        <f>VLOOKUP($I341,'[1]Table S6'!$A:$AI,24,FALSE)</f>
        <v>#N/A</v>
      </c>
      <c r="AG341" t="e">
        <f>VLOOKUP($I341,'[1]Table S6'!$A:$AI,25,FALSE)</f>
        <v>#N/A</v>
      </c>
      <c r="AI341" t="e">
        <f>VLOOKUP($I341,'[1]Table S6'!$A:$AI,27,FALSE)</f>
        <v>#N/A</v>
      </c>
      <c r="AJ341" t="e">
        <f>VLOOKUP($I341,'[1]Table S6'!$A:$AI,28,FALSE)</f>
        <v>#N/A</v>
      </c>
      <c r="AK341" t="e">
        <f>VLOOKUP($I341,'[1]Table S6'!$A:$AI,29,FALSE)</f>
        <v>#N/A</v>
      </c>
      <c r="AL341" t="e">
        <f>VLOOKUP($I341,'[1]Table S6'!$A:$AI,30,FALSE)</f>
        <v>#N/A</v>
      </c>
      <c r="AN341" t="e">
        <f>VLOOKUP($I341,'[1]Table S6'!$A:$AI,32,FALSE)</f>
        <v>#N/A</v>
      </c>
      <c r="AO341" t="e">
        <f>VLOOKUP($I341,'[1]Table S6'!$A:$AI,33,FALSE)</f>
        <v>#N/A</v>
      </c>
      <c r="AP341" t="e">
        <f>VLOOKUP($I341,'[1]Table S6'!$A:$AI,34,FALSE)</f>
        <v>#N/A</v>
      </c>
      <c r="AQ341" t="e">
        <f>VLOOKUP($I341,'[1]Table S6'!$A:$AI,35,FALSE)</f>
        <v>#N/A</v>
      </c>
      <c r="AS341" t="e">
        <f>VLOOKUP($H341,'[2]Table S5'!$A:$K,8,FALSE)</f>
        <v>#N/A</v>
      </c>
      <c r="AT341" t="e">
        <f>VLOOKUP($H341,'[2]Table S5'!$A:$K,9,FALSE)</f>
        <v>#N/A</v>
      </c>
      <c r="AU341" t="e">
        <f>VLOOKUP($H341,'[2]Table S5'!$A:$K,10,FALSE)</f>
        <v>#N/A</v>
      </c>
      <c r="AV341" t="e">
        <f>VLOOKUP($H341,'[2]Table S5'!$A:$K,11,FALSE)</f>
        <v>#N/A</v>
      </c>
    </row>
    <row r="342" spans="1:48">
      <c r="A342" t="s">
        <v>4539</v>
      </c>
      <c r="B342" t="s">
        <v>4540</v>
      </c>
      <c r="C342" t="s">
        <v>17</v>
      </c>
      <c r="D342" t="s">
        <v>4542</v>
      </c>
      <c r="E342" t="s">
        <v>4543</v>
      </c>
      <c r="F342" t="s">
        <v>4544</v>
      </c>
      <c r="G342" t="s">
        <v>4751</v>
      </c>
      <c r="H342" t="s">
        <v>2588</v>
      </c>
      <c r="I342" t="s">
        <v>4545</v>
      </c>
      <c r="J342">
        <f>VLOOKUP($I342,'[1]Table S6'!$A:$AI,2,FALSE)</f>
        <v>341.7</v>
      </c>
      <c r="K342">
        <f>VLOOKUP($I342,'[1]Table S6'!$A:$AI,3,FALSE)</f>
        <v>0.72717599489253004</v>
      </c>
      <c r="L342">
        <f>VLOOKUP($I342,'[1]Table S6'!$A:$AI,4,FALSE)</f>
        <v>5.5570000000000004</v>
      </c>
      <c r="M342" t="str">
        <f>VLOOKUP($I342,'[1]Table S6'!$A:$AI,5,FALSE)</f>
        <v>No</v>
      </c>
      <c r="O342">
        <f>VLOOKUP($I342,'[1]Table S6'!$A:$AI,7,FALSE)</f>
        <v>381.9</v>
      </c>
      <c r="P342">
        <f>VLOOKUP($I342,'[1]Table S6'!$A:$AI,8,FALSE)</f>
        <v>0.81272611193871003</v>
      </c>
      <c r="Q342">
        <f>VLOOKUP($I342,'[1]Table S6'!$A:$AI,9,FALSE)</f>
        <v>9.4979999999999993</v>
      </c>
      <c r="R342" t="str">
        <f>VLOOKUP($I342,'[1]Table S6'!$A:$AI,10,FALSE)</f>
        <v>No</v>
      </c>
      <c r="T342">
        <f>VLOOKUP($I342,'[1]Table S6'!$A:$AI,12,FALSE)</f>
        <v>365</v>
      </c>
      <c r="U342">
        <f>VLOOKUP($I342,'[1]Table S6'!$A:$AI,13,FALSE)</f>
        <v>0.77676101298148503</v>
      </c>
      <c r="V342">
        <f>VLOOKUP($I342,'[1]Table S6'!$A:$AI,14,FALSE)</f>
        <v>20.82</v>
      </c>
      <c r="W342" t="str">
        <f>VLOOKUP($I342,'[1]Table S6'!$A:$AI,15,FALSE)</f>
        <v>No</v>
      </c>
      <c r="Y342">
        <f>VLOOKUP($I342,'[1]Table S6'!$A:$AI,17,FALSE)</f>
        <v>387.8</v>
      </c>
      <c r="Z342">
        <f>VLOOKUP($I342,'[1]Table S6'!$A:$AI,18,FALSE)</f>
        <v>0.82528197488827404</v>
      </c>
      <c r="AA342">
        <f>VLOOKUP($I342,'[1]Table S6'!$A:$AI,19,FALSE)</f>
        <v>15.89</v>
      </c>
      <c r="AB342" t="str">
        <f>VLOOKUP($I342,'[1]Table S6'!$A:$AI,20,FALSE)</f>
        <v>No</v>
      </c>
      <c r="AD342">
        <f>VLOOKUP($I342,'[1]Table S6'!$A:$AI,22,FALSE)</f>
        <v>350.6</v>
      </c>
      <c r="AE342">
        <f>VLOOKUP($I342,'[1]Table S6'!$A:$AI,23,FALSE)</f>
        <v>0.74611619493509296</v>
      </c>
      <c r="AF342">
        <f>VLOOKUP($I342,'[1]Table S6'!$A:$AI,24,FALSE)</f>
        <v>9.4969999999999999</v>
      </c>
      <c r="AG342" t="str">
        <f>VLOOKUP($I342,'[1]Table S6'!$A:$AI,25,FALSE)</f>
        <v>No</v>
      </c>
      <c r="AI342">
        <f>VLOOKUP($I342,'[1]Table S6'!$A:$AI,27,FALSE)</f>
        <v>421.3</v>
      </c>
      <c r="AJ342">
        <f>VLOOKUP($I342,'[1]Table S6'!$A:$AI,28,FALSE)</f>
        <v>0.89657373909342397</v>
      </c>
      <c r="AK342">
        <f>VLOOKUP($I342,'[1]Table S6'!$A:$AI,29,FALSE)</f>
        <v>101.5</v>
      </c>
      <c r="AL342" t="str">
        <f>VLOOKUP($I342,'[1]Table S6'!$A:$AI,30,FALSE)</f>
        <v>No</v>
      </c>
      <c r="AN342">
        <f>VLOOKUP($I342,'[1]Table S6'!$A:$AI,32,FALSE)</f>
        <v>381.3</v>
      </c>
      <c r="AO342">
        <f>VLOOKUP($I342,'[1]Table S6'!$A:$AI,33,FALSE)</f>
        <v>0.81144924452011102</v>
      </c>
      <c r="AP342">
        <f>VLOOKUP($I342,'[1]Table S6'!$A:$AI,34,FALSE)</f>
        <v>35.18</v>
      </c>
      <c r="AQ342" t="str">
        <f>VLOOKUP($I342,'[1]Table S6'!$A:$AI,35,FALSE)</f>
        <v>No</v>
      </c>
      <c r="AS342" t="str">
        <f>VLOOKUP($H342,'[2]Table S5'!$A:$K,8,FALSE)</f>
        <v>Resistant</v>
      </c>
      <c r="AT342" t="str">
        <f>VLOOKUP($H342,'[2]Table S5'!$A:$K,9,FALSE)</f>
        <v>Resistant</v>
      </c>
      <c r="AU342" t="str">
        <f>VLOOKUP($H342,'[2]Table S5'!$A:$K,10,FALSE)</f>
        <v>Resistant</v>
      </c>
      <c r="AV342" t="str">
        <f>VLOOKUP($H342,'[2]Table S5'!$A:$K,11,FALSE)</f>
        <v>Resistant</v>
      </c>
    </row>
    <row r="343" spans="1:48">
      <c r="A343" t="s">
        <v>4547</v>
      </c>
      <c r="B343" t="s">
        <v>4548</v>
      </c>
      <c r="C343" t="s">
        <v>17</v>
      </c>
      <c r="D343" t="s">
        <v>4550</v>
      </c>
      <c r="E343" t="s">
        <v>4551</v>
      </c>
      <c r="F343" t="s">
        <v>4552</v>
      </c>
      <c r="G343" t="s">
        <v>4758</v>
      </c>
      <c r="H343" t="s">
        <v>2588</v>
      </c>
      <c r="I343" t="s">
        <v>2588</v>
      </c>
      <c r="J343" t="e">
        <f>VLOOKUP($I343,'[1]Table S6'!$A:$AI,2,FALSE)</f>
        <v>#N/A</v>
      </c>
      <c r="K343" t="e">
        <f>VLOOKUP($I343,'[1]Table S6'!$A:$AI,3,FALSE)</f>
        <v>#N/A</v>
      </c>
      <c r="L343" t="e">
        <f>VLOOKUP($I343,'[1]Table S6'!$A:$AI,4,FALSE)</f>
        <v>#N/A</v>
      </c>
      <c r="M343" t="e">
        <f>VLOOKUP($I343,'[1]Table S6'!$A:$AI,5,FALSE)</f>
        <v>#N/A</v>
      </c>
      <c r="O343" t="e">
        <f>VLOOKUP($I343,'[1]Table S6'!$A:$AI,7,FALSE)</f>
        <v>#N/A</v>
      </c>
      <c r="P343" t="e">
        <f>VLOOKUP($I343,'[1]Table S6'!$A:$AI,8,FALSE)</f>
        <v>#N/A</v>
      </c>
      <c r="Q343" t="e">
        <f>VLOOKUP($I343,'[1]Table S6'!$A:$AI,9,FALSE)</f>
        <v>#N/A</v>
      </c>
      <c r="R343" t="e">
        <f>VLOOKUP($I343,'[1]Table S6'!$A:$AI,10,FALSE)</f>
        <v>#N/A</v>
      </c>
      <c r="T343" t="e">
        <f>VLOOKUP($I343,'[1]Table S6'!$A:$AI,12,FALSE)</f>
        <v>#N/A</v>
      </c>
      <c r="U343" t="e">
        <f>VLOOKUP($I343,'[1]Table S6'!$A:$AI,13,FALSE)</f>
        <v>#N/A</v>
      </c>
      <c r="V343" t="e">
        <f>VLOOKUP($I343,'[1]Table S6'!$A:$AI,14,FALSE)</f>
        <v>#N/A</v>
      </c>
      <c r="W343" t="e">
        <f>VLOOKUP($I343,'[1]Table S6'!$A:$AI,15,FALSE)</f>
        <v>#N/A</v>
      </c>
      <c r="Y343" t="e">
        <f>VLOOKUP($I343,'[1]Table S6'!$A:$AI,17,FALSE)</f>
        <v>#N/A</v>
      </c>
      <c r="Z343" t="e">
        <f>VLOOKUP($I343,'[1]Table S6'!$A:$AI,18,FALSE)</f>
        <v>#N/A</v>
      </c>
      <c r="AA343" t="e">
        <f>VLOOKUP($I343,'[1]Table S6'!$A:$AI,19,FALSE)</f>
        <v>#N/A</v>
      </c>
      <c r="AB343" t="e">
        <f>VLOOKUP($I343,'[1]Table S6'!$A:$AI,20,FALSE)</f>
        <v>#N/A</v>
      </c>
      <c r="AD343" t="e">
        <f>VLOOKUP($I343,'[1]Table S6'!$A:$AI,22,FALSE)</f>
        <v>#N/A</v>
      </c>
      <c r="AE343" t="e">
        <f>VLOOKUP($I343,'[1]Table S6'!$A:$AI,23,FALSE)</f>
        <v>#N/A</v>
      </c>
      <c r="AF343" t="e">
        <f>VLOOKUP($I343,'[1]Table S6'!$A:$AI,24,FALSE)</f>
        <v>#N/A</v>
      </c>
      <c r="AG343" t="e">
        <f>VLOOKUP($I343,'[1]Table S6'!$A:$AI,25,FALSE)</f>
        <v>#N/A</v>
      </c>
      <c r="AI343" t="e">
        <f>VLOOKUP($I343,'[1]Table S6'!$A:$AI,27,FALSE)</f>
        <v>#N/A</v>
      </c>
      <c r="AJ343" t="e">
        <f>VLOOKUP($I343,'[1]Table S6'!$A:$AI,28,FALSE)</f>
        <v>#N/A</v>
      </c>
      <c r="AK343" t="e">
        <f>VLOOKUP($I343,'[1]Table S6'!$A:$AI,29,FALSE)</f>
        <v>#N/A</v>
      </c>
      <c r="AL343" t="e">
        <f>VLOOKUP($I343,'[1]Table S6'!$A:$AI,30,FALSE)</f>
        <v>#N/A</v>
      </c>
      <c r="AN343" t="e">
        <f>VLOOKUP($I343,'[1]Table S6'!$A:$AI,32,FALSE)</f>
        <v>#N/A</v>
      </c>
      <c r="AO343" t="e">
        <f>VLOOKUP($I343,'[1]Table S6'!$A:$AI,33,FALSE)</f>
        <v>#N/A</v>
      </c>
      <c r="AP343" t="e">
        <f>VLOOKUP($I343,'[1]Table S6'!$A:$AI,34,FALSE)</f>
        <v>#N/A</v>
      </c>
      <c r="AQ343" t="e">
        <f>VLOOKUP($I343,'[1]Table S6'!$A:$AI,35,FALSE)</f>
        <v>#N/A</v>
      </c>
      <c r="AS343" t="str">
        <f>VLOOKUP($H343,'[2]Table S5'!$A:$K,8,FALSE)</f>
        <v>Resistant</v>
      </c>
      <c r="AT343" t="str">
        <f>VLOOKUP($H343,'[2]Table S5'!$A:$K,9,FALSE)</f>
        <v>Resistant</v>
      </c>
      <c r="AU343" t="str">
        <f>VLOOKUP($H343,'[2]Table S5'!$A:$K,10,FALSE)</f>
        <v>Resistant</v>
      </c>
      <c r="AV343" t="str">
        <f>VLOOKUP($H343,'[2]Table S5'!$A:$K,11,FALSE)</f>
        <v>Resistant</v>
      </c>
    </row>
    <row r="344" spans="1:48">
      <c r="A344" t="s">
        <v>4554</v>
      </c>
      <c r="B344" t="s">
        <v>4555</v>
      </c>
      <c r="C344" t="s">
        <v>17</v>
      </c>
      <c r="D344" t="s">
        <v>4557</v>
      </c>
      <c r="E344" t="s">
        <v>4558</v>
      </c>
      <c r="F344" t="s">
        <v>4559</v>
      </c>
      <c r="G344" t="s">
        <v>4750</v>
      </c>
      <c r="H344" t="s">
        <v>2588</v>
      </c>
      <c r="I344" t="s">
        <v>4560</v>
      </c>
      <c r="J344">
        <f>VLOOKUP($I344,'[1]Table S6'!$A:$AI,2,FALSE)</f>
        <v>360</v>
      </c>
      <c r="K344">
        <f>VLOOKUP($I344,'[1]Table S6'!$A:$AI,3,FALSE)</f>
        <v>0.76612045115982097</v>
      </c>
      <c r="L344">
        <f>VLOOKUP($I344,'[1]Table S6'!$A:$AI,4,FALSE)</f>
        <v>8.0489999999999995</v>
      </c>
      <c r="M344" t="str">
        <f>VLOOKUP($I344,'[1]Table S6'!$A:$AI,5,FALSE)</f>
        <v>No</v>
      </c>
      <c r="O344">
        <f>VLOOKUP($I344,'[1]Table S6'!$A:$AI,7,FALSE)</f>
        <v>372.4</v>
      </c>
      <c r="P344">
        <f>VLOOKUP($I344,'[1]Table S6'!$A:$AI,8,FALSE)</f>
        <v>0.792509044477548</v>
      </c>
      <c r="Q344">
        <f>VLOOKUP($I344,'[1]Table S6'!$A:$AI,9,FALSE)</f>
        <v>7.6829999999999998</v>
      </c>
      <c r="R344" t="str">
        <f>VLOOKUP($I344,'[1]Table S6'!$A:$AI,10,FALSE)</f>
        <v>No</v>
      </c>
      <c r="T344">
        <f>VLOOKUP($I344,'[1]Table S6'!$A:$AI,12,FALSE)</f>
        <v>362.9</v>
      </c>
      <c r="U344">
        <f>VLOOKUP($I344,'[1]Table S6'!$A:$AI,13,FALSE)</f>
        <v>0.77229197701638597</v>
      </c>
      <c r="V344">
        <f>VLOOKUP($I344,'[1]Table S6'!$A:$AI,14,FALSE)</f>
        <v>15.36</v>
      </c>
      <c r="W344" t="str">
        <f>VLOOKUP($I344,'[1]Table S6'!$A:$AI,15,FALSE)</f>
        <v>No</v>
      </c>
      <c r="Y344">
        <f>VLOOKUP($I344,'[1]Table S6'!$A:$AI,17,FALSE)</f>
        <v>385.8</v>
      </c>
      <c r="Z344">
        <f>VLOOKUP($I344,'[1]Table S6'!$A:$AI,18,FALSE)</f>
        <v>0.82102575015960799</v>
      </c>
      <c r="AA344">
        <f>VLOOKUP($I344,'[1]Table S6'!$A:$AI,19,FALSE)</f>
        <v>14.88</v>
      </c>
      <c r="AB344" t="str">
        <f>VLOOKUP($I344,'[1]Table S6'!$A:$AI,20,FALSE)</f>
        <v>No</v>
      </c>
      <c r="AD344">
        <f>VLOOKUP($I344,'[1]Table S6'!$A:$AI,22,FALSE)</f>
        <v>381</v>
      </c>
      <c r="AE344">
        <f>VLOOKUP($I344,'[1]Table S6'!$A:$AI,23,FALSE)</f>
        <v>0.81081081081081097</v>
      </c>
      <c r="AF344">
        <f>VLOOKUP($I344,'[1]Table S6'!$A:$AI,24,FALSE)</f>
        <v>20.53</v>
      </c>
      <c r="AG344" t="str">
        <f>VLOOKUP($I344,'[1]Table S6'!$A:$AI,25,FALSE)</f>
        <v>No</v>
      </c>
      <c r="AI344">
        <f>VLOOKUP($I344,'[1]Table S6'!$A:$AI,27,FALSE)</f>
        <v>397.2</v>
      </c>
      <c r="AJ344">
        <f>VLOOKUP($I344,'[1]Table S6'!$A:$AI,28,FALSE)</f>
        <v>0.84528623111300305</v>
      </c>
      <c r="AK344">
        <f>VLOOKUP($I344,'[1]Table S6'!$A:$AI,29,FALSE)</f>
        <v>77.680000000000007</v>
      </c>
      <c r="AL344" t="str">
        <f>VLOOKUP($I344,'[1]Table S6'!$A:$AI,30,FALSE)</f>
        <v>No</v>
      </c>
      <c r="AN344">
        <f>VLOOKUP($I344,'[1]Table S6'!$A:$AI,32,FALSE)</f>
        <v>391.8</v>
      </c>
      <c r="AO344">
        <f>VLOOKUP($I344,'[1]Table S6'!$A:$AI,33,FALSE)</f>
        <v>0.83379442434560502</v>
      </c>
      <c r="AP344">
        <f>VLOOKUP($I344,'[1]Table S6'!$A:$AI,34,FALSE)</f>
        <v>45.85</v>
      </c>
      <c r="AQ344" t="str">
        <f>VLOOKUP($I344,'[1]Table S6'!$A:$AI,35,FALSE)</f>
        <v>No</v>
      </c>
      <c r="AS344" t="str">
        <f>VLOOKUP($H344,'[2]Table S5'!$A:$K,8,FALSE)</f>
        <v>Resistant</v>
      </c>
      <c r="AT344" t="str">
        <f>VLOOKUP($H344,'[2]Table S5'!$A:$K,9,FALSE)</f>
        <v>Resistant</v>
      </c>
      <c r="AU344" t="str">
        <f>VLOOKUP($H344,'[2]Table S5'!$A:$K,10,FALSE)</f>
        <v>Resistant</v>
      </c>
      <c r="AV344" t="str">
        <f>VLOOKUP($H344,'[2]Table S5'!$A:$K,11,FALSE)</f>
        <v>Resistant</v>
      </c>
    </row>
    <row r="345" spans="1:48">
      <c r="A345" t="s">
        <v>4562</v>
      </c>
      <c r="B345" t="s">
        <v>4563</v>
      </c>
      <c r="C345" t="s">
        <v>17</v>
      </c>
      <c r="D345" t="s">
        <v>4565</v>
      </c>
      <c r="E345" t="s">
        <v>4566</v>
      </c>
      <c r="F345" t="s">
        <v>4567</v>
      </c>
      <c r="G345" t="s">
        <v>4750</v>
      </c>
      <c r="H345" t="s">
        <v>2588</v>
      </c>
      <c r="I345" t="s">
        <v>4545</v>
      </c>
      <c r="J345">
        <f>VLOOKUP($I345,'[1]Table S6'!$A:$AI,2,FALSE)</f>
        <v>341.7</v>
      </c>
      <c r="K345">
        <f>VLOOKUP($I345,'[1]Table S6'!$A:$AI,3,FALSE)</f>
        <v>0.72717599489253004</v>
      </c>
      <c r="L345">
        <f>VLOOKUP($I345,'[1]Table S6'!$A:$AI,4,FALSE)</f>
        <v>5.5570000000000004</v>
      </c>
      <c r="M345" t="str">
        <f>VLOOKUP($I345,'[1]Table S6'!$A:$AI,5,FALSE)</f>
        <v>No</v>
      </c>
      <c r="O345">
        <f>VLOOKUP($I345,'[1]Table S6'!$A:$AI,7,FALSE)</f>
        <v>381.9</v>
      </c>
      <c r="P345">
        <f>VLOOKUP($I345,'[1]Table S6'!$A:$AI,8,FALSE)</f>
        <v>0.81272611193871003</v>
      </c>
      <c r="Q345">
        <f>VLOOKUP($I345,'[1]Table S6'!$A:$AI,9,FALSE)</f>
        <v>9.4979999999999993</v>
      </c>
      <c r="R345" t="str">
        <f>VLOOKUP($I345,'[1]Table S6'!$A:$AI,10,FALSE)</f>
        <v>No</v>
      </c>
      <c r="T345">
        <f>VLOOKUP($I345,'[1]Table S6'!$A:$AI,12,FALSE)</f>
        <v>365</v>
      </c>
      <c r="U345">
        <f>VLOOKUP($I345,'[1]Table S6'!$A:$AI,13,FALSE)</f>
        <v>0.77676101298148503</v>
      </c>
      <c r="V345">
        <f>VLOOKUP($I345,'[1]Table S6'!$A:$AI,14,FALSE)</f>
        <v>20.82</v>
      </c>
      <c r="W345" t="str">
        <f>VLOOKUP($I345,'[1]Table S6'!$A:$AI,15,FALSE)</f>
        <v>No</v>
      </c>
      <c r="Y345">
        <f>VLOOKUP($I345,'[1]Table S6'!$A:$AI,17,FALSE)</f>
        <v>387.8</v>
      </c>
      <c r="Z345">
        <f>VLOOKUP($I345,'[1]Table S6'!$A:$AI,18,FALSE)</f>
        <v>0.82528197488827404</v>
      </c>
      <c r="AA345">
        <f>VLOOKUP($I345,'[1]Table S6'!$A:$AI,19,FALSE)</f>
        <v>15.89</v>
      </c>
      <c r="AB345" t="str">
        <f>VLOOKUP($I345,'[1]Table S6'!$A:$AI,20,FALSE)</f>
        <v>No</v>
      </c>
      <c r="AD345">
        <f>VLOOKUP($I345,'[1]Table S6'!$A:$AI,22,FALSE)</f>
        <v>350.6</v>
      </c>
      <c r="AE345">
        <f>VLOOKUP($I345,'[1]Table S6'!$A:$AI,23,FALSE)</f>
        <v>0.74611619493509296</v>
      </c>
      <c r="AF345">
        <f>VLOOKUP($I345,'[1]Table S6'!$A:$AI,24,FALSE)</f>
        <v>9.4969999999999999</v>
      </c>
      <c r="AG345" t="str">
        <f>VLOOKUP($I345,'[1]Table S6'!$A:$AI,25,FALSE)</f>
        <v>No</v>
      </c>
      <c r="AI345">
        <f>VLOOKUP($I345,'[1]Table S6'!$A:$AI,27,FALSE)</f>
        <v>421.3</v>
      </c>
      <c r="AJ345">
        <f>VLOOKUP($I345,'[1]Table S6'!$A:$AI,28,FALSE)</f>
        <v>0.89657373909342397</v>
      </c>
      <c r="AK345">
        <f>VLOOKUP($I345,'[1]Table S6'!$A:$AI,29,FALSE)</f>
        <v>101.5</v>
      </c>
      <c r="AL345" t="str">
        <f>VLOOKUP($I345,'[1]Table S6'!$A:$AI,30,FALSE)</f>
        <v>No</v>
      </c>
      <c r="AN345">
        <f>VLOOKUP($I345,'[1]Table S6'!$A:$AI,32,FALSE)</f>
        <v>381.3</v>
      </c>
      <c r="AO345">
        <f>VLOOKUP($I345,'[1]Table S6'!$A:$AI,33,FALSE)</f>
        <v>0.81144924452011102</v>
      </c>
      <c r="AP345">
        <f>VLOOKUP($I345,'[1]Table S6'!$A:$AI,34,FALSE)</f>
        <v>35.18</v>
      </c>
      <c r="AQ345" t="str">
        <f>VLOOKUP($I345,'[1]Table S6'!$A:$AI,35,FALSE)</f>
        <v>No</v>
      </c>
      <c r="AS345" t="str">
        <f>VLOOKUP($H345,'[2]Table S5'!$A:$K,8,FALSE)</f>
        <v>Resistant</v>
      </c>
      <c r="AT345" t="str">
        <f>VLOOKUP($H345,'[2]Table S5'!$A:$K,9,FALSE)</f>
        <v>Resistant</v>
      </c>
      <c r="AU345" t="str">
        <f>VLOOKUP($H345,'[2]Table S5'!$A:$K,10,FALSE)</f>
        <v>Resistant</v>
      </c>
      <c r="AV345" t="str">
        <f>VLOOKUP($H345,'[2]Table S5'!$A:$K,11,FALSE)</f>
        <v>Resistant</v>
      </c>
    </row>
    <row r="346" spans="1:48">
      <c r="A346" t="s">
        <v>4569</v>
      </c>
      <c r="B346" t="s">
        <v>4570</v>
      </c>
      <c r="C346" t="s">
        <v>17</v>
      </c>
      <c r="D346" t="s">
        <v>4572</v>
      </c>
      <c r="E346" t="s">
        <v>4573</v>
      </c>
      <c r="F346" t="s">
        <v>4574</v>
      </c>
      <c r="G346" t="s">
        <v>4750</v>
      </c>
      <c r="H346" t="s">
        <v>2588</v>
      </c>
      <c r="I346" t="s">
        <v>4575</v>
      </c>
      <c r="J346">
        <f>VLOOKUP($I346,'[1]Table S6'!$A:$AI,2,FALSE)</f>
        <v>332.7</v>
      </c>
      <c r="K346">
        <f>VLOOKUP($I346,'[1]Table S6'!$A:$AI,3,FALSE)</f>
        <v>0.708022983613535</v>
      </c>
      <c r="L346">
        <f>VLOOKUP($I346,'[1]Table S6'!$A:$AI,4,FALSE)</f>
        <v>4.37</v>
      </c>
      <c r="M346" t="str">
        <f>VLOOKUP($I346,'[1]Table S6'!$A:$AI,5,FALSE)</f>
        <v>No</v>
      </c>
      <c r="O346">
        <f>VLOOKUP($I346,'[1]Table S6'!$A:$AI,7,FALSE)</f>
        <v>327.7</v>
      </c>
      <c r="P346">
        <f>VLOOKUP($I346,'[1]Table S6'!$A:$AI,8,FALSE)</f>
        <v>0.69738242179187104</v>
      </c>
      <c r="Q346">
        <f>VLOOKUP($I346,'[1]Table S6'!$A:$AI,9,FALSE)</f>
        <v>2.6459999999999999</v>
      </c>
      <c r="R346" t="str">
        <f>VLOOKUP($I346,'[1]Table S6'!$A:$AI,10,FALSE)</f>
        <v>Yes</v>
      </c>
      <c r="T346">
        <f>VLOOKUP($I346,'[1]Table S6'!$A:$AI,12,FALSE)</f>
        <v>326.7</v>
      </c>
      <c r="U346">
        <f>VLOOKUP($I346,'[1]Table S6'!$A:$AI,13,FALSE)</f>
        <v>0.69525430942753796</v>
      </c>
      <c r="V346">
        <f>VLOOKUP($I346,'[1]Table S6'!$A:$AI,14,FALSE)</f>
        <v>2.56</v>
      </c>
      <c r="W346" t="str">
        <f>VLOOKUP($I346,'[1]Table S6'!$A:$AI,15,FALSE)</f>
        <v>Yes</v>
      </c>
      <c r="Y346">
        <f>VLOOKUP($I346,'[1]Table S6'!$A:$AI,17,FALSE)</f>
        <v>363.1</v>
      </c>
      <c r="Z346">
        <f>VLOOKUP($I346,'[1]Table S6'!$A:$AI,18,FALSE)</f>
        <v>0.772717599489253</v>
      </c>
      <c r="AA346">
        <f>VLOOKUP($I346,'[1]Table S6'!$A:$AI,19,FALSE)</f>
        <v>7.5679999999999996</v>
      </c>
      <c r="AB346" t="str">
        <f>VLOOKUP($I346,'[1]Table S6'!$A:$AI,20,FALSE)</f>
        <v>No</v>
      </c>
      <c r="AD346">
        <f>VLOOKUP($I346,'[1]Table S6'!$A:$AI,22,FALSE)</f>
        <v>392.3</v>
      </c>
      <c r="AE346">
        <f>VLOOKUP($I346,'[1]Table S6'!$A:$AI,23,FALSE)</f>
        <v>0.83485848052777201</v>
      </c>
      <c r="AF346">
        <f>VLOOKUP($I346,'[1]Table S6'!$A:$AI,24,FALSE)</f>
        <v>27.27</v>
      </c>
      <c r="AG346" t="str">
        <f>VLOOKUP($I346,'[1]Table S6'!$A:$AI,25,FALSE)</f>
        <v>No</v>
      </c>
      <c r="AI346">
        <f>VLOOKUP($I346,'[1]Table S6'!$A:$AI,27,FALSE)</f>
        <v>417.6</v>
      </c>
      <c r="AJ346">
        <f>VLOOKUP($I346,'[1]Table S6'!$A:$AI,28,FALSE)</f>
        <v>0.88869972334539304</v>
      </c>
      <c r="AK346">
        <f>VLOOKUP($I346,'[1]Table S6'!$A:$AI,29,FALSE)</f>
        <v>89.58</v>
      </c>
      <c r="AL346" t="str">
        <f>VLOOKUP($I346,'[1]Table S6'!$A:$AI,30,FALSE)</f>
        <v>No</v>
      </c>
      <c r="AN346">
        <f>VLOOKUP($I346,'[1]Table S6'!$A:$AI,32,FALSE)</f>
        <v>418.9</v>
      </c>
      <c r="AO346">
        <f>VLOOKUP($I346,'[1]Table S6'!$A:$AI,33,FALSE)</f>
        <v>0.89146626941902496</v>
      </c>
      <c r="AP346">
        <f>VLOOKUP($I346,'[1]Table S6'!$A:$AI,34,FALSE)</f>
        <v>63.05</v>
      </c>
      <c r="AQ346" t="str">
        <f>VLOOKUP($I346,'[1]Table S6'!$A:$AI,35,FALSE)</f>
        <v>No</v>
      </c>
      <c r="AS346" t="str">
        <f>VLOOKUP($H346,'[2]Table S5'!$A:$K,8,FALSE)</f>
        <v>Resistant</v>
      </c>
      <c r="AT346" t="str">
        <f>VLOOKUP($H346,'[2]Table S5'!$A:$K,9,FALSE)</f>
        <v>Resistant</v>
      </c>
      <c r="AU346" t="str">
        <f>VLOOKUP($H346,'[2]Table S5'!$A:$K,10,FALSE)</f>
        <v>Resistant</v>
      </c>
      <c r="AV346" t="str">
        <f>VLOOKUP($H346,'[2]Table S5'!$A:$K,11,FALSE)</f>
        <v>Resistant</v>
      </c>
    </row>
    <row r="347" spans="1:48">
      <c r="A347" t="s">
        <v>4577</v>
      </c>
      <c r="B347" t="s">
        <v>4578</v>
      </c>
      <c r="C347" t="s">
        <v>17</v>
      </c>
      <c r="D347" t="s">
        <v>4580</v>
      </c>
      <c r="E347" t="s">
        <v>4581</v>
      </c>
      <c r="F347" t="s">
        <v>4582</v>
      </c>
      <c r="G347" t="s">
        <v>4751</v>
      </c>
      <c r="H347" t="s">
        <v>2588</v>
      </c>
      <c r="I347" t="s">
        <v>4560</v>
      </c>
      <c r="J347">
        <f>VLOOKUP($I347,'[1]Table S6'!$A:$AI,2,FALSE)</f>
        <v>360</v>
      </c>
      <c r="K347">
        <f>VLOOKUP($I347,'[1]Table S6'!$A:$AI,3,FALSE)</f>
        <v>0.76612045115982097</v>
      </c>
      <c r="L347">
        <f>VLOOKUP($I347,'[1]Table S6'!$A:$AI,4,FALSE)</f>
        <v>8.0489999999999995</v>
      </c>
      <c r="M347" t="str">
        <f>VLOOKUP($I347,'[1]Table S6'!$A:$AI,5,FALSE)</f>
        <v>No</v>
      </c>
      <c r="O347">
        <f>VLOOKUP($I347,'[1]Table S6'!$A:$AI,7,FALSE)</f>
        <v>372.4</v>
      </c>
      <c r="P347">
        <f>VLOOKUP($I347,'[1]Table S6'!$A:$AI,8,FALSE)</f>
        <v>0.792509044477548</v>
      </c>
      <c r="Q347">
        <f>VLOOKUP($I347,'[1]Table S6'!$A:$AI,9,FALSE)</f>
        <v>7.6829999999999998</v>
      </c>
      <c r="R347" t="str">
        <f>VLOOKUP($I347,'[1]Table S6'!$A:$AI,10,FALSE)</f>
        <v>No</v>
      </c>
      <c r="T347">
        <f>VLOOKUP($I347,'[1]Table S6'!$A:$AI,12,FALSE)</f>
        <v>362.9</v>
      </c>
      <c r="U347">
        <f>VLOOKUP($I347,'[1]Table S6'!$A:$AI,13,FALSE)</f>
        <v>0.77229197701638597</v>
      </c>
      <c r="V347">
        <f>VLOOKUP($I347,'[1]Table S6'!$A:$AI,14,FALSE)</f>
        <v>15.36</v>
      </c>
      <c r="W347" t="str">
        <f>VLOOKUP($I347,'[1]Table S6'!$A:$AI,15,FALSE)</f>
        <v>No</v>
      </c>
      <c r="Y347">
        <f>VLOOKUP($I347,'[1]Table S6'!$A:$AI,17,FALSE)</f>
        <v>385.8</v>
      </c>
      <c r="Z347">
        <f>VLOOKUP($I347,'[1]Table S6'!$A:$AI,18,FALSE)</f>
        <v>0.82102575015960799</v>
      </c>
      <c r="AA347">
        <f>VLOOKUP($I347,'[1]Table S6'!$A:$AI,19,FALSE)</f>
        <v>14.88</v>
      </c>
      <c r="AB347" t="str">
        <f>VLOOKUP($I347,'[1]Table S6'!$A:$AI,20,FALSE)</f>
        <v>No</v>
      </c>
      <c r="AD347">
        <f>VLOOKUP($I347,'[1]Table S6'!$A:$AI,22,FALSE)</f>
        <v>381</v>
      </c>
      <c r="AE347">
        <f>VLOOKUP($I347,'[1]Table S6'!$A:$AI,23,FALSE)</f>
        <v>0.81081081081081097</v>
      </c>
      <c r="AF347">
        <f>VLOOKUP($I347,'[1]Table S6'!$A:$AI,24,FALSE)</f>
        <v>20.53</v>
      </c>
      <c r="AG347" t="str">
        <f>VLOOKUP($I347,'[1]Table S6'!$A:$AI,25,FALSE)</f>
        <v>No</v>
      </c>
      <c r="AI347">
        <f>VLOOKUP($I347,'[1]Table S6'!$A:$AI,27,FALSE)</f>
        <v>397.2</v>
      </c>
      <c r="AJ347">
        <f>VLOOKUP($I347,'[1]Table S6'!$A:$AI,28,FALSE)</f>
        <v>0.84528623111300305</v>
      </c>
      <c r="AK347">
        <f>VLOOKUP($I347,'[1]Table S6'!$A:$AI,29,FALSE)</f>
        <v>77.680000000000007</v>
      </c>
      <c r="AL347" t="str">
        <f>VLOOKUP($I347,'[1]Table S6'!$A:$AI,30,FALSE)</f>
        <v>No</v>
      </c>
      <c r="AN347">
        <f>VLOOKUP($I347,'[1]Table S6'!$A:$AI,32,FALSE)</f>
        <v>391.8</v>
      </c>
      <c r="AO347">
        <f>VLOOKUP($I347,'[1]Table S6'!$A:$AI,33,FALSE)</f>
        <v>0.83379442434560502</v>
      </c>
      <c r="AP347">
        <f>VLOOKUP($I347,'[1]Table S6'!$A:$AI,34,FALSE)</f>
        <v>45.85</v>
      </c>
      <c r="AQ347" t="str">
        <f>VLOOKUP($I347,'[1]Table S6'!$A:$AI,35,FALSE)</f>
        <v>No</v>
      </c>
      <c r="AS347" t="str">
        <f>VLOOKUP($H347,'[2]Table S5'!$A:$K,8,FALSE)</f>
        <v>Resistant</v>
      </c>
      <c r="AT347" t="str">
        <f>VLOOKUP($H347,'[2]Table S5'!$A:$K,9,FALSE)</f>
        <v>Resistant</v>
      </c>
      <c r="AU347" t="str">
        <f>VLOOKUP($H347,'[2]Table S5'!$A:$K,10,FALSE)</f>
        <v>Resistant</v>
      </c>
      <c r="AV347" t="str">
        <f>VLOOKUP($H347,'[2]Table S5'!$A:$K,11,FALSE)</f>
        <v>Resistant</v>
      </c>
    </row>
    <row r="348" spans="1:48">
      <c r="A348" t="s">
        <v>4584</v>
      </c>
      <c r="B348" t="s">
        <v>4585</v>
      </c>
      <c r="C348" t="s">
        <v>17</v>
      </c>
      <c r="D348" t="s">
        <v>4587</v>
      </c>
      <c r="E348" t="s">
        <v>4588</v>
      </c>
      <c r="F348" t="s">
        <v>4589</v>
      </c>
      <c r="G348" t="s">
        <v>4751</v>
      </c>
      <c r="H348" t="s">
        <v>2588</v>
      </c>
      <c r="I348" t="s">
        <v>4575</v>
      </c>
      <c r="J348">
        <f>VLOOKUP($I348,'[1]Table S6'!$A:$AI,2,FALSE)</f>
        <v>332.7</v>
      </c>
      <c r="K348">
        <f>VLOOKUP($I348,'[1]Table S6'!$A:$AI,3,FALSE)</f>
        <v>0.708022983613535</v>
      </c>
      <c r="L348">
        <f>VLOOKUP($I348,'[1]Table S6'!$A:$AI,4,FALSE)</f>
        <v>4.37</v>
      </c>
      <c r="M348" t="str">
        <f>VLOOKUP($I348,'[1]Table S6'!$A:$AI,5,FALSE)</f>
        <v>No</v>
      </c>
      <c r="O348">
        <f>VLOOKUP($I348,'[1]Table S6'!$A:$AI,7,FALSE)</f>
        <v>327.7</v>
      </c>
      <c r="P348">
        <f>VLOOKUP($I348,'[1]Table S6'!$A:$AI,8,FALSE)</f>
        <v>0.69738242179187104</v>
      </c>
      <c r="Q348">
        <f>VLOOKUP($I348,'[1]Table S6'!$A:$AI,9,FALSE)</f>
        <v>2.6459999999999999</v>
      </c>
      <c r="R348" t="str">
        <f>VLOOKUP($I348,'[1]Table S6'!$A:$AI,10,FALSE)</f>
        <v>Yes</v>
      </c>
      <c r="T348">
        <f>VLOOKUP($I348,'[1]Table S6'!$A:$AI,12,FALSE)</f>
        <v>326.7</v>
      </c>
      <c r="U348">
        <f>VLOOKUP($I348,'[1]Table S6'!$A:$AI,13,FALSE)</f>
        <v>0.69525430942753796</v>
      </c>
      <c r="V348">
        <f>VLOOKUP($I348,'[1]Table S6'!$A:$AI,14,FALSE)</f>
        <v>2.56</v>
      </c>
      <c r="W348" t="str">
        <f>VLOOKUP($I348,'[1]Table S6'!$A:$AI,15,FALSE)</f>
        <v>Yes</v>
      </c>
      <c r="Y348">
        <f>VLOOKUP($I348,'[1]Table S6'!$A:$AI,17,FALSE)</f>
        <v>363.1</v>
      </c>
      <c r="Z348">
        <f>VLOOKUP($I348,'[1]Table S6'!$A:$AI,18,FALSE)</f>
        <v>0.772717599489253</v>
      </c>
      <c r="AA348">
        <f>VLOOKUP($I348,'[1]Table S6'!$A:$AI,19,FALSE)</f>
        <v>7.5679999999999996</v>
      </c>
      <c r="AB348" t="str">
        <f>VLOOKUP($I348,'[1]Table S6'!$A:$AI,20,FALSE)</f>
        <v>No</v>
      </c>
      <c r="AD348">
        <f>VLOOKUP($I348,'[1]Table S6'!$A:$AI,22,FALSE)</f>
        <v>392.3</v>
      </c>
      <c r="AE348">
        <f>VLOOKUP($I348,'[1]Table S6'!$A:$AI,23,FALSE)</f>
        <v>0.83485848052777201</v>
      </c>
      <c r="AF348">
        <f>VLOOKUP($I348,'[1]Table S6'!$A:$AI,24,FALSE)</f>
        <v>27.27</v>
      </c>
      <c r="AG348" t="str">
        <f>VLOOKUP($I348,'[1]Table S6'!$A:$AI,25,FALSE)</f>
        <v>No</v>
      </c>
      <c r="AI348">
        <f>VLOOKUP($I348,'[1]Table S6'!$A:$AI,27,FALSE)</f>
        <v>417.6</v>
      </c>
      <c r="AJ348">
        <f>VLOOKUP($I348,'[1]Table S6'!$A:$AI,28,FALSE)</f>
        <v>0.88869972334539304</v>
      </c>
      <c r="AK348">
        <f>VLOOKUP($I348,'[1]Table S6'!$A:$AI,29,FALSE)</f>
        <v>89.58</v>
      </c>
      <c r="AL348" t="str">
        <f>VLOOKUP($I348,'[1]Table S6'!$A:$AI,30,FALSE)</f>
        <v>No</v>
      </c>
      <c r="AN348">
        <f>VLOOKUP($I348,'[1]Table S6'!$A:$AI,32,FALSE)</f>
        <v>418.9</v>
      </c>
      <c r="AO348">
        <f>VLOOKUP($I348,'[1]Table S6'!$A:$AI,33,FALSE)</f>
        <v>0.89146626941902496</v>
      </c>
      <c r="AP348">
        <f>VLOOKUP($I348,'[1]Table S6'!$A:$AI,34,FALSE)</f>
        <v>63.05</v>
      </c>
      <c r="AQ348" t="str">
        <f>VLOOKUP($I348,'[1]Table S6'!$A:$AI,35,FALSE)</f>
        <v>No</v>
      </c>
      <c r="AS348" t="str">
        <f>VLOOKUP($H348,'[2]Table S5'!$A:$K,8,FALSE)</f>
        <v>Resistant</v>
      </c>
      <c r="AT348" t="str">
        <f>VLOOKUP($H348,'[2]Table S5'!$A:$K,9,FALSE)</f>
        <v>Resistant</v>
      </c>
      <c r="AU348" t="str">
        <f>VLOOKUP($H348,'[2]Table S5'!$A:$K,10,FALSE)</f>
        <v>Resistant</v>
      </c>
      <c r="AV348" t="str">
        <f>VLOOKUP($H348,'[2]Table S5'!$A:$K,11,FALSE)</f>
        <v>Resistant</v>
      </c>
    </row>
    <row r="349" spans="1:48">
      <c r="A349" t="s">
        <v>4591</v>
      </c>
      <c r="B349" t="s">
        <v>4592</v>
      </c>
      <c r="C349" t="s">
        <v>17</v>
      </c>
      <c r="D349" t="s">
        <v>2601</v>
      </c>
      <c r="E349" t="s">
        <v>2602</v>
      </c>
      <c r="F349" t="s">
        <v>2603</v>
      </c>
      <c r="G349" t="s">
        <v>4750</v>
      </c>
      <c r="H349" t="s">
        <v>2604</v>
      </c>
      <c r="I349" t="s">
        <v>2605</v>
      </c>
      <c r="J349">
        <f>VLOOKUP($I349,'[1]Table S6'!$A:$AI,2,FALSE)</f>
        <v>395.6</v>
      </c>
      <c r="K349">
        <f>VLOOKUP($I349,'[1]Table S6'!$A:$AI,3,FALSE)</f>
        <v>0.84188125133006997</v>
      </c>
      <c r="L349">
        <f>VLOOKUP($I349,'[1]Table S6'!$A:$AI,4,FALSE)</f>
        <v>121.7</v>
      </c>
      <c r="M349" t="str">
        <f>VLOOKUP($I349,'[1]Table S6'!$A:$AI,5,FALSE)</f>
        <v>No</v>
      </c>
      <c r="O349">
        <f>VLOOKUP($I349,'[1]Table S6'!$A:$AI,7,FALSE)</f>
        <v>368.4</v>
      </c>
      <c r="P349">
        <f>VLOOKUP($I349,'[1]Table S6'!$A:$AI,8,FALSE)</f>
        <v>0.78399659502021701</v>
      </c>
      <c r="Q349">
        <f>VLOOKUP($I349,'[1]Table S6'!$A:$AI,9,FALSE)</f>
        <v>9.2349999999999994</v>
      </c>
      <c r="R349" t="str">
        <f>VLOOKUP($I349,'[1]Table S6'!$A:$AI,10,FALSE)</f>
        <v>No</v>
      </c>
      <c r="T349">
        <f>VLOOKUP($I349,'[1]Table S6'!$A:$AI,12,FALSE)</f>
        <v>413.2</v>
      </c>
      <c r="U349">
        <f>VLOOKUP($I349,'[1]Table S6'!$A:$AI,13,FALSE)</f>
        <v>0.87933602894232799</v>
      </c>
      <c r="V349">
        <f>VLOOKUP($I349,'[1]Table S6'!$A:$AI,14,FALSE)</f>
        <v>34.369999999999997</v>
      </c>
      <c r="W349" t="str">
        <f>VLOOKUP($I349,'[1]Table S6'!$A:$AI,15,FALSE)</f>
        <v>No</v>
      </c>
      <c r="Y349">
        <f>VLOOKUP($I349,'[1]Table S6'!$A:$AI,17,FALSE)</f>
        <v>349.1</v>
      </c>
      <c r="Z349">
        <f>VLOOKUP($I349,'[1]Table S6'!$A:$AI,18,FALSE)</f>
        <v>0.74292402638859301</v>
      </c>
      <c r="AA349">
        <f>VLOOKUP($I349,'[1]Table S6'!$A:$AI,19,FALSE)</f>
        <v>9.0220000000000002</v>
      </c>
      <c r="AB349" t="str">
        <f>VLOOKUP($I349,'[1]Table S6'!$A:$AI,20,FALSE)</f>
        <v>No</v>
      </c>
      <c r="AD349">
        <f>VLOOKUP($I349,'[1]Table S6'!$A:$AI,22,FALSE)</f>
        <v>392</v>
      </c>
      <c r="AE349">
        <f>VLOOKUP($I349,'[1]Table S6'!$A:$AI,23,FALSE)</f>
        <v>0.83422004681847195</v>
      </c>
      <c r="AF349">
        <f>VLOOKUP($I349,'[1]Table S6'!$A:$AI,24,FALSE)</f>
        <v>20.86</v>
      </c>
      <c r="AG349" t="str">
        <f>VLOOKUP($I349,'[1]Table S6'!$A:$AI,25,FALSE)</f>
        <v>No</v>
      </c>
      <c r="AI349">
        <f>VLOOKUP($I349,'[1]Table S6'!$A:$AI,27,FALSE)</f>
        <v>390.6</v>
      </c>
      <c r="AJ349">
        <f>VLOOKUP($I349,'[1]Table S6'!$A:$AI,28,FALSE)</f>
        <v>0.83124068950840602</v>
      </c>
      <c r="AK349">
        <f>VLOOKUP($I349,'[1]Table S6'!$A:$AI,29,FALSE)</f>
        <v>77.680000000000007</v>
      </c>
      <c r="AL349" t="str">
        <f>VLOOKUP($I349,'[1]Table S6'!$A:$AI,30,FALSE)</f>
        <v>No</v>
      </c>
      <c r="AN349">
        <f>VLOOKUP($I349,'[1]Table S6'!$A:$AI,32,FALSE)</f>
        <v>384.3</v>
      </c>
      <c r="AO349">
        <f>VLOOKUP($I349,'[1]Table S6'!$A:$AI,33,FALSE)</f>
        <v>0.81783358161310904</v>
      </c>
      <c r="AP349">
        <f>VLOOKUP($I349,'[1]Table S6'!$A:$AI,34,FALSE)</f>
        <v>44.76</v>
      </c>
      <c r="AQ349" t="str">
        <f>VLOOKUP($I349,'[1]Table S6'!$A:$AI,35,FALSE)</f>
        <v>No</v>
      </c>
      <c r="AS349" t="str">
        <f>VLOOKUP($H349,'[2]Table S5'!$A:$K,8,FALSE)</f>
        <v>Resistant</v>
      </c>
      <c r="AT349" t="str">
        <f>VLOOKUP($H349,'[2]Table S5'!$A:$K,9,FALSE)</f>
        <v>Resistant</v>
      </c>
      <c r="AU349" t="str">
        <f>VLOOKUP($H349,'[2]Table S5'!$A:$K,10,FALSE)</f>
        <v>Resistant</v>
      </c>
      <c r="AV349" t="str">
        <f>VLOOKUP($H349,'[2]Table S5'!$A:$K,11,FALSE)</f>
        <v>Resistant</v>
      </c>
    </row>
    <row r="350" spans="1:48">
      <c r="A350" t="s">
        <v>4594</v>
      </c>
      <c r="B350" t="s">
        <v>4595</v>
      </c>
      <c r="C350" t="s">
        <v>17</v>
      </c>
      <c r="D350" t="s">
        <v>2610</v>
      </c>
      <c r="E350" t="s">
        <v>2611</v>
      </c>
      <c r="F350" t="s">
        <v>2612</v>
      </c>
      <c r="G350" t="s">
        <v>4750</v>
      </c>
      <c r="H350" t="s">
        <v>2604</v>
      </c>
      <c r="I350" t="s">
        <v>2613</v>
      </c>
      <c r="J350">
        <f>VLOOKUP($I350,'[1]Table S6'!$A:$AI,2,FALSE)</f>
        <v>398.2</v>
      </c>
      <c r="K350">
        <f>VLOOKUP($I350,'[1]Table S6'!$A:$AI,3,FALSE)</f>
        <v>0.84741434347733602</v>
      </c>
      <c r="L350">
        <f>VLOOKUP($I350,'[1]Table S6'!$A:$AI,4,FALSE)</f>
        <v>38.25</v>
      </c>
      <c r="M350" t="str">
        <f>VLOOKUP($I350,'[1]Table S6'!$A:$AI,5,FALSE)</f>
        <v>No</v>
      </c>
      <c r="O350">
        <f>VLOOKUP($I350,'[1]Table S6'!$A:$AI,7,FALSE)</f>
        <v>349.5</v>
      </c>
      <c r="P350">
        <f>VLOOKUP($I350,'[1]Table S6'!$A:$AI,8,FALSE)</f>
        <v>0.74377527133432697</v>
      </c>
      <c r="Q350">
        <f>VLOOKUP($I350,'[1]Table S6'!$A:$AI,9,FALSE)</f>
        <v>4.6710000000000003</v>
      </c>
      <c r="R350" t="str">
        <f>VLOOKUP($I350,'[1]Table S6'!$A:$AI,10,FALSE)</f>
        <v>No</v>
      </c>
      <c r="T350">
        <f>VLOOKUP($I350,'[1]Table S6'!$A:$AI,12,FALSE)</f>
        <v>325.39999999999998</v>
      </c>
      <c r="U350">
        <f>VLOOKUP($I350,'[1]Table S6'!$A:$AI,13,FALSE)</f>
        <v>0.69248776335390505</v>
      </c>
      <c r="V350">
        <f>VLOOKUP($I350,'[1]Table S6'!$A:$AI,14,FALSE)</f>
        <v>2.1970000000000001</v>
      </c>
      <c r="W350" t="str">
        <f>VLOOKUP($I350,'[1]Table S6'!$A:$AI,15,FALSE)</f>
        <v>Yes</v>
      </c>
      <c r="Y350">
        <f>VLOOKUP($I350,'[1]Table S6'!$A:$AI,17,FALSE)</f>
        <v>322.7</v>
      </c>
      <c r="Z350">
        <f>VLOOKUP($I350,'[1]Table S6'!$A:$AI,18,FALSE)</f>
        <v>0.68674185997020598</v>
      </c>
      <c r="AA350">
        <f>VLOOKUP($I350,'[1]Table S6'!$A:$AI,19,FALSE)</f>
        <v>1.841</v>
      </c>
      <c r="AB350" t="str">
        <f>VLOOKUP($I350,'[1]Table S6'!$A:$AI,20,FALSE)</f>
        <v>Yes</v>
      </c>
      <c r="AD350">
        <f>VLOOKUP($I350,'[1]Table S6'!$A:$AI,22,FALSE)</f>
        <v>365.2</v>
      </c>
      <c r="AE350">
        <f>VLOOKUP($I350,'[1]Table S6'!$A:$AI,23,FALSE)</f>
        <v>0.77718663545435196</v>
      </c>
      <c r="AF350">
        <f>VLOOKUP($I350,'[1]Table S6'!$A:$AI,24,FALSE)</f>
        <v>11.57</v>
      </c>
      <c r="AG350" t="str">
        <f>VLOOKUP($I350,'[1]Table S6'!$A:$AI,25,FALSE)</f>
        <v>No</v>
      </c>
      <c r="AI350">
        <f>VLOOKUP($I350,'[1]Table S6'!$A:$AI,27,FALSE)</f>
        <v>409.9</v>
      </c>
      <c r="AJ350">
        <f>VLOOKUP($I350,'[1]Table S6'!$A:$AI,28,FALSE)</f>
        <v>0.87231325814003002</v>
      </c>
      <c r="AK350">
        <f>VLOOKUP($I350,'[1]Table S6'!$A:$AI,29,FALSE)</f>
        <v>85.21</v>
      </c>
      <c r="AL350" t="str">
        <f>VLOOKUP($I350,'[1]Table S6'!$A:$AI,30,FALSE)</f>
        <v>No</v>
      </c>
      <c r="AN350">
        <f>VLOOKUP($I350,'[1]Table S6'!$A:$AI,32,FALSE)</f>
        <v>407.2</v>
      </c>
      <c r="AO350">
        <f>VLOOKUP($I350,'[1]Table S6'!$A:$AI,33,FALSE)</f>
        <v>0.86656735475633095</v>
      </c>
      <c r="AP350">
        <f>VLOOKUP($I350,'[1]Table S6'!$A:$AI,34,FALSE)</f>
        <v>110</v>
      </c>
      <c r="AQ350" t="str">
        <f>VLOOKUP($I350,'[1]Table S6'!$A:$AI,35,FALSE)</f>
        <v>No</v>
      </c>
      <c r="AS350" t="str">
        <f>VLOOKUP($H350,'[2]Table S5'!$A:$K,8,FALSE)</f>
        <v>Resistant</v>
      </c>
      <c r="AT350" t="str">
        <f>VLOOKUP($H350,'[2]Table S5'!$A:$K,9,FALSE)</f>
        <v>Resistant</v>
      </c>
      <c r="AU350" t="str">
        <f>VLOOKUP($H350,'[2]Table S5'!$A:$K,10,FALSE)</f>
        <v>Resistant</v>
      </c>
      <c r="AV350" t="str">
        <f>VLOOKUP($H350,'[2]Table S5'!$A:$K,11,FALSE)</f>
        <v>Resistant</v>
      </c>
    </row>
    <row r="351" spans="1:48">
      <c r="A351" t="s">
        <v>4597</v>
      </c>
      <c r="B351" t="s">
        <v>4598</v>
      </c>
      <c r="C351" t="s">
        <v>17</v>
      </c>
      <c r="D351" t="s">
        <v>2618</v>
      </c>
      <c r="E351" t="s">
        <v>2619</v>
      </c>
      <c r="F351" t="s">
        <v>2620</v>
      </c>
      <c r="G351" t="s">
        <v>4750</v>
      </c>
      <c r="H351" t="s">
        <v>2604</v>
      </c>
      <c r="I351" t="s">
        <v>2621</v>
      </c>
      <c r="J351">
        <f>VLOOKUP($I351,'[1]Table S6'!$A:$AI,2,FALSE)</f>
        <v>411.1</v>
      </c>
      <c r="K351">
        <f>VLOOKUP($I351,'[1]Table S6'!$A:$AI,3,FALSE)</f>
        <v>0.87486699297722903</v>
      </c>
      <c r="L351">
        <f>VLOOKUP($I351,'[1]Table S6'!$A:$AI,4,FALSE)</f>
        <v>31.31</v>
      </c>
      <c r="M351" t="str">
        <f>VLOOKUP($I351,'[1]Table S6'!$A:$AI,5,FALSE)</f>
        <v>No</v>
      </c>
      <c r="O351">
        <f>VLOOKUP($I351,'[1]Table S6'!$A:$AI,7,FALSE)</f>
        <v>324.7</v>
      </c>
      <c r="P351">
        <f>VLOOKUP($I351,'[1]Table S6'!$A:$AI,8,FALSE)</f>
        <v>0.69099808469887203</v>
      </c>
      <c r="Q351">
        <f>VLOOKUP($I351,'[1]Table S6'!$A:$AI,9,FALSE)</f>
        <v>2.1800000000000002</v>
      </c>
      <c r="R351" t="str">
        <f>VLOOKUP($I351,'[1]Table S6'!$A:$AI,10,FALSE)</f>
        <v>Yes</v>
      </c>
      <c r="T351">
        <f>VLOOKUP($I351,'[1]Table S6'!$A:$AI,12,FALSE)</f>
        <v>361.2</v>
      </c>
      <c r="U351">
        <f>VLOOKUP($I351,'[1]Table S6'!$A:$AI,13,FALSE)</f>
        <v>0.76867418599702098</v>
      </c>
      <c r="V351">
        <f>VLOOKUP($I351,'[1]Table S6'!$A:$AI,14,FALSE)</f>
        <v>4.1059999999999999</v>
      </c>
      <c r="W351" t="str">
        <f>VLOOKUP($I351,'[1]Table S6'!$A:$AI,15,FALSE)</f>
        <v>No</v>
      </c>
      <c r="Y351">
        <f>VLOOKUP($I351,'[1]Table S6'!$A:$AI,17,FALSE)</f>
        <v>321.8</v>
      </c>
      <c r="Z351">
        <f>VLOOKUP($I351,'[1]Table S6'!$A:$AI,18,FALSE)</f>
        <v>0.68482655884230703</v>
      </c>
      <c r="AA351">
        <f>VLOOKUP($I351,'[1]Table S6'!$A:$AI,19,FALSE)</f>
        <v>2.1989999999999998</v>
      </c>
      <c r="AB351" t="str">
        <f>VLOOKUP($I351,'[1]Table S6'!$A:$AI,20,FALSE)</f>
        <v>Yes</v>
      </c>
      <c r="AD351">
        <f>VLOOKUP($I351,'[1]Table S6'!$A:$AI,22,FALSE)</f>
        <v>434.7</v>
      </c>
      <c r="AE351">
        <f>VLOOKUP($I351,'[1]Table S6'!$A:$AI,23,FALSE)</f>
        <v>0.92509044477548397</v>
      </c>
      <c r="AF351">
        <f>VLOOKUP($I351,'[1]Table S6'!$A:$AI,24,FALSE)</f>
        <v>66.05</v>
      </c>
      <c r="AG351" t="str">
        <f>VLOOKUP($I351,'[1]Table S6'!$A:$AI,25,FALSE)</f>
        <v>No</v>
      </c>
      <c r="AI351">
        <f>VLOOKUP($I351,'[1]Table S6'!$A:$AI,27,FALSE)</f>
        <v>453.6</v>
      </c>
      <c r="AJ351">
        <f>VLOOKUP($I351,'[1]Table S6'!$A:$AI,28,FALSE)</f>
        <v>0.96531176846137501</v>
      </c>
      <c r="AK351">
        <f>VLOOKUP($I351,'[1]Table S6'!$A:$AI,29,FALSE)</f>
        <v>172.5</v>
      </c>
      <c r="AL351" t="str">
        <f>VLOOKUP($I351,'[1]Table S6'!$A:$AI,30,FALSE)</f>
        <v>No</v>
      </c>
      <c r="AN351">
        <f>VLOOKUP($I351,'[1]Table S6'!$A:$AI,32,FALSE)</f>
        <v>438</v>
      </c>
      <c r="AO351">
        <f>VLOOKUP($I351,'[1]Table S6'!$A:$AI,33,FALSE)</f>
        <v>0.93211321557778304</v>
      </c>
      <c r="AP351">
        <f>VLOOKUP($I351,'[1]Table S6'!$A:$AI,34,FALSE)</f>
        <v>59.73</v>
      </c>
      <c r="AQ351" t="str">
        <f>VLOOKUP($I351,'[1]Table S6'!$A:$AI,35,FALSE)</f>
        <v>No</v>
      </c>
      <c r="AS351" t="str">
        <f>VLOOKUP($H351,'[2]Table S5'!$A:$K,8,FALSE)</f>
        <v>Resistant</v>
      </c>
      <c r="AT351" t="str">
        <f>VLOOKUP($H351,'[2]Table S5'!$A:$K,9,FALSE)</f>
        <v>Resistant</v>
      </c>
      <c r="AU351" t="str">
        <f>VLOOKUP($H351,'[2]Table S5'!$A:$K,10,FALSE)</f>
        <v>Resistant</v>
      </c>
      <c r="AV351" t="str">
        <f>VLOOKUP($H351,'[2]Table S5'!$A:$K,11,FALSE)</f>
        <v>Resistant</v>
      </c>
    </row>
    <row r="352" spans="1:48">
      <c r="A352" t="s">
        <v>4600</v>
      </c>
      <c r="B352" t="s">
        <v>4601</v>
      </c>
      <c r="C352" t="s">
        <v>17</v>
      </c>
      <c r="D352" t="s">
        <v>2626</v>
      </c>
      <c r="E352" t="s">
        <v>2627</v>
      </c>
      <c r="F352" t="s">
        <v>2628</v>
      </c>
      <c r="G352" t="s">
        <v>4751</v>
      </c>
      <c r="H352" t="s">
        <v>2604</v>
      </c>
      <c r="I352" t="s">
        <v>2605</v>
      </c>
      <c r="J352">
        <f>VLOOKUP($I352,'[1]Table S6'!$A:$AI,2,FALSE)</f>
        <v>395.6</v>
      </c>
      <c r="K352">
        <f>VLOOKUP($I352,'[1]Table S6'!$A:$AI,3,FALSE)</f>
        <v>0.84188125133006997</v>
      </c>
      <c r="L352">
        <f>VLOOKUP($I352,'[1]Table S6'!$A:$AI,4,FALSE)</f>
        <v>121.7</v>
      </c>
      <c r="M352" t="str">
        <f>VLOOKUP($I352,'[1]Table S6'!$A:$AI,5,FALSE)</f>
        <v>No</v>
      </c>
      <c r="O352">
        <f>VLOOKUP($I352,'[1]Table S6'!$A:$AI,7,FALSE)</f>
        <v>368.4</v>
      </c>
      <c r="P352">
        <f>VLOOKUP($I352,'[1]Table S6'!$A:$AI,8,FALSE)</f>
        <v>0.78399659502021701</v>
      </c>
      <c r="Q352">
        <f>VLOOKUP($I352,'[1]Table S6'!$A:$AI,9,FALSE)</f>
        <v>9.2349999999999994</v>
      </c>
      <c r="R352" t="str">
        <f>VLOOKUP($I352,'[1]Table S6'!$A:$AI,10,FALSE)</f>
        <v>No</v>
      </c>
      <c r="T352">
        <f>VLOOKUP($I352,'[1]Table S6'!$A:$AI,12,FALSE)</f>
        <v>413.2</v>
      </c>
      <c r="U352">
        <f>VLOOKUP($I352,'[1]Table S6'!$A:$AI,13,FALSE)</f>
        <v>0.87933602894232799</v>
      </c>
      <c r="V352">
        <f>VLOOKUP($I352,'[1]Table S6'!$A:$AI,14,FALSE)</f>
        <v>34.369999999999997</v>
      </c>
      <c r="W352" t="str">
        <f>VLOOKUP($I352,'[1]Table S6'!$A:$AI,15,FALSE)</f>
        <v>No</v>
      </c>
      <c r="Y352">
        <f>VLOOKUP($I352,'[1]Table S6'!$A:$AI,17,FALSE)</f>
        <v>349.1</v>
      </c>
      <c r="Z352">
        <f>VLOOKUP($I352,'[1]Table S6'!$A:$AI,18,FALSE)</f>
        <v>0.74292402638859301</v>
      </c>
      <c r="AA352">
        <f>VLOOKUP($I352,'[1]Table S6'!$A:$AI,19,FALSE)</f>
        <v>9.0220000000000002</v>
      </c>
      <c r="AB352" t="str">
        <f>VLOOKUP($I352,'[1]Table S6'!$A:$AI,20,FALSE)</f>
        <v>No</v>
      </c>
      <c r="AD352">
        <f>VLOOKUP($I352,'[1]Table S6'!$A:$AI,22,FALSE)</f>
        <v>392</v>
      </c>
      <c r="AE352">
        <f>VLOOKUP($I352,'[1]Table S6'!$A:$AI,23,FALSE)</f>
        <v>0.83422004681847195</v>
      </c>
      <c r="AF352">
        <f>VLOOKUP($I352,'[1]Table S6'!$A:$AI,24,FALSE)</f>
        <v>20.86</v>
      </c>
      <c r="AG352" t="str">
        <f>VLOOKUP($I352,'[1]Table S6'!$A:$AI,25,FALSE)</f>
        <v>No</v>
      </c>
      <c r="AI352">
        <f>VLOOKUP($I352,'[1]Table S6'!$A:$AI,27,FALSE)</f>
        <v>390.6</v>
      </c>
      <c r="AJ352">
        <f>VLOOKUP($I352,'[1]Table S6'!$A:$AI,28,FALSE)</f>
        <v>0.83124068950840602</v>
      </c>
      <c r="AK352">
        <f>VLOOKUP($I352,'[1]Table S6'!$A:$AI,29,FALSE)</f>
        <v>77.680000000000007</v>
      </c>
      <c r="AL352" t="str">
        <f>VLOOKUP($I352,'[1]Table S6'!$A:$AI,30,FALSE)</f>
        <v>No</v>
      </c>
      <c r="AN352">
        <f>VLOOKUP($I352,'[1]Table S6'!$A:$AI,32,FALSE)</f>
        <v>384.3</v>
      </c>
      <c r="AO352">
        <f>VLOOKUP($I352,'[1]Table S6'!$A:$AI,33,FALSE)</f>
        <v>0.81783358161310904</v>
      </c>
      <c r="AP352">
        <f>VLOOKUP($I352,'[1]Table S6'!$A:$AI,34,FALSE)</f>
        <v>44.76</v>
      </c>
      <c r="AQ352" t="str">
        <f>VLOOKUP($I352,'[1]Table S6'!$A:$AI,35,FALSE)</f>
        <v>No</v>
      </c>
      <c r="AS352" t="str">
        <f>VLOOKUP($H352,'[2]Table S5'!$A:$K,8,FALSE)</f>
        <v>Resistant</v>
      </c>
      <c r="AT352" t="str">
        <f>VLOOKUP($H352,'[2]Table S5'!$A:$K,9,FALSE)</f>
        <v>Resistant</v>
      </c>
      <c r="AU352" t="str">
        <f>VLOOKUP($H352,'[2]Table S5'!$A:$K,10,FALSE)</f>
        <v>Resistant</v>
      </c>
      <c r="AV352" t="str">
        <f>VLOOKUP($H352,'[2]Table S5'!$A:$K,11,FALSE)</f>
        <v>Resistant</v>
      </c>
    </row>
    <row r="353" spans="1:48">
      <c r="A353" t="s">
        <v>4603</v>
      </c>
      <c r="B353" t="s">
        <v>4604</v>
      </c>
      <c r="C353" t="s">
        <v>17</v>
      </c>
      <c r="D353" t="s">
        <v>2633</v>
      </c>
      <c r="E353" t="s">
        <v>2634</v>
      </c>
      <c r="F353" t="s">
        <v>2635</v>
      </c>
      <c r="G353" t="s">
        <v>4751</v>
      </c>
      <c r="H353" t="s">
        <v>2604</v>
      </c>
      <c r="I353" t="s">
        <v>2613</v>
      </c>
      <c r="J353">
        <f>VLOOKUP($I353,'[1]Table S6'!$A:$AI,2,FALSE)</f>
        <v>398.2</v>
      </c>
      <c r="K353">
        <f>VLOOKUP($I353,'[1]Table S6'!$A:$AI,3,FALSE)</f>
        <v>0.84741434347733602</v>
      </c>
      <c r="L353">
        <f>VLOOKUP($I353,'[1]Table S6'!$A:$AI,4,FALSE)</f>
        <v>38.25</v>
      </c>
      <c r="M353" t="str">
        <f>VLOOKUP($I353,'[1]Table S6'!$A:$AI,5,FALSE)</f>
        <v>No</v>
      </c>
      <c r="O353">
        <f>VLOOKUP($I353,'[1]Table S6'!$A:$AI,7,FALSE)</f>
        <v>349.5</v>
      </c>
      <c r="P353">
        <f>VLOOKUP($I353,'[1]Table S6'!$A:$AI,8,FALSE)</f>
        <v>0.74377527133432697</v>
      </c>
      <c r="Q353">
        <f>VLOOKUP($I353,'[1]Table S6'!$A:$AI,9,FALSE)</f>
        <v>4.6710000000000003</v>
      </c>
      <c r="R353" t="str">
        <f>VLOOKUP($I353,'[1]Table S6'!$A:$AI,10,FALSE)</f>
        <v>No</v>
      </c>
      <c r="T353">
        <f>VLOOKUP($I353,'[1]Table S6'!$A:$AI,12,FALSE)</f>
        <v>325.39999999999998</v>
      </c>
      <c r="U353">
        <f>VLOOKUP($I353,'[1]Table S6'!$A:$AI,13,FALSE)</f>
        <v>0.69248776335390505</v>
      </c>
      <c r="V353">
        <f>VLOOKUP($I353,'[1]Table S6'!$A:$AI,14,FALSE)</f>
        <v>2.1970000000000001</v>
      </c>
      <c r="W353" t="str">
        <f>VLOOKUP($I353,'[1]Table S6'!$A:$AI,15,FALSE)</f>
        <v>Yes</v>
      </c>
      <c r="Y353">
        <f>VLOOKUP($I353,'[1]Table S6'!$A:$AI,17,FALSE)</f>
        <v>322.7</v>
      </c>
      <c r="Z353">
        <f>VLOOKUP($I353,'[1]Table S6'!$A:$AI,18,FALSE)</f>
        <v>0.68674185997020598</v>
      </c>
      <c r="AA353">
        <f>VLOOKUP($I353,'[1]Table S6'!$A:$AI,19,FALSE)</f>
        <v>1.841</v>
      </c>
      <c r="AB353" t="str">
        <f>VLOOKUP($I353,'[1]Table S6'!$A:$AI,20,FALSE)</f>
        <v>Yes</v>
      </c>
      <c r="AD353">
        <f>VLOOKUP($I353,'[1]Table S6'!$A:$AI,22,FALSE)</f>
        <v>365.2</v>
      </c>
      <c r="AE353">
        <f>VLOOKUP($I353,'[1]Table S6'!$A:$AI,23,FALSE)</f>
        <v>0.77718663545435196</v>
      </c>
      <c r="AF353">
        <f>VLOOKUP($I353,'[1]Table S6'!$A:$AI,24,FALSE)</f>
        <v>11.57</v>
      </c>
      <c r="AG353" t="str">
        <f>VLOOKUP($I353,'[1]Table S6'!$A:$AI,25,FALSE)</f>
        <v>No</v>
      </c>
      <c r="AI353">
        <f>VLOOKUP($I353,'[1]Table S6'!$A:$AI,27,FALSE)</f>
        <v>409.9</v>
      </c>
      <c r="AJ353">
        <f>VLOOKUP($I353,'[1]Table S6'!$A:$AI,28,FALSE)</f>
        <v>0.87231325814003002</v>
      </c>
      <c r="AK353">
        <f>VLOOKUP($I353,'[1]Table S6'!$A:$AI,29,FALSE)</f>
        <v>85.21</v>
      </c>
      <c r="AL353" t="str">
        <f>VLOOKUP($I353,'[1]Table S6'!$A:$AI,30,FALSE)</f>
        <v>No</v>
      </c>
      <c r="AN353">
        <f>VLOOKUP($I353,'[1]Table S6'!$A:$AI,32,FALSE)</f>
        <v>407.2</v>
      </c>
      <c r="AO353">
        <f>VLOOKUP($I353,'[1]Table S6'!$A:$AI,33,FALSE)</f>
        <v>0.86656735475633095</v>
      </c>
      <c r="AP353">
        <f>VLOOKUP($I353,'[1]Table S6'!$A:$AI,34,FALSE)</f>
        <v>110</v>
      </c>
      <c r="AQ353" t="str">
        <f>VLOOKUP($I353,'[1]Table S6'!$A:$AI,35,FALSE)</f>
        <v>No</v>
      </c>
      <c r="AS353" t="str">
        <f>VLOOKUP($H353,'[2]Table S5'!$A:$K,8,FALSE)</f>
        <v>Resistant</v>
      </c>
      <c r="AT353" t="str">
        <f>VLOOKUP($H353,'[2]Table S5'!$A:$K,9,FALSE)</f>
        <v>Resistant</v>
      </c>
      <c r="AU353" t="str">
        <f>VLOOKUP($H353,'[2]Table S5'!$A:$K,10,FALSE)</f>
        <v>Resistant</v>
      </c>
      <c r="AV353" t="str">
        <f>VLOOKUP($H353,'[2]Table S5'!$A:$K,11,FALSE)</f>
        <v>Resistant</v>
      </c>
    </row>
    <row r="354" spans="1:48">
      <c r="A354" t="s">
        <v>4606</v>
      </c>
      <c r="B354" t="s">
        <v>4607</v>
      </c>
      <c r="C354" t="s">
        <v>17</v>
      </c>
      <c r="D354" t="s">
        <v>2640</v>
      </c>
      <c r="E354" t="s">
        <v>2641</v>
      </c>
      <c r="F354" t="s">
        <v>2642</v>
      </c>
      <c r="G354" t="s">
        <v>4751</v>
      </c>
      <c r="H354" t="s">
        <v>2604</v>
      </c>
      <c r="I354" t="s">
        <v>2621</v>
      </c>
      <c r="J354">
        <f>VLOOKUP($I354,'[1]Table S6'!$A:$AI,2,FALSE)</f>
        <v>411.1</v>
      </c>
      <c r="K354">
        <f>VLOOKUP($I354,'[1]Table S6'!$A:$AI,3,FALSE)</f>
        <v>0.87486699297722903</v>
      </c>
      <c r="L354">
        <f>VLOOKUP($I354,'[1]Table S6'!$A:$AI,4,FALSE)</f>
        <v>31.31</v>
      </c>
      <c r="M354" t="str">
        <f>VLOOKUP($I354,'[1]Table S6'!$A:$AI,5,FALSE)</f>
        <v>No</v>
      </c>
      <c r="O354">
        <f>VLOOKUP($I354,'[1]Table S6'!$A:$AI,7,FALSE)</f>
        <v>324.7</v>
      </c>
      <c r="P354">
        <f>VLOOKUP($I354,'[1]Table S6'!$A:$AI,8,FALSE)</f>
        <v>0.69099808469887203</v>
      </c>
      <c r="Q354">
        <f>VLOOKUP($I354,'[1]Table S6'!$A:$AI,9,FALSE)</f>
        <v>2.1800000000000002</v>
      </c>
      <c r="R354" t="str">
        <f>VLOOKUP($I354,'[1]Table S6'!$A:$AI,10,FALSE)</f>
        <v>Yes</v>
      </c>
      <c r="T354">
        <f>VLOOKUP($I354,'[1]Table S6'!$A:$AI,12,FALSE)</f>
        <v>361.2</v>
      </c>
      <c r="U354">
        <f>VLOOKUP($I354,'[1]Table S6'!$A:$AI,13,FALSE)</f>
        <v>0.76867418599702098</v>
      </c>
      <c r="V354">
        <f>VLOOKUP($I354,'[1]Table S6'!$A:$AI,14,FALSE)</f>
        <v>4.1059999999999999</v>
      </c>
      <c r="W354" t="str">
        <f>VLOOKUP($I354,'[1]Table S6'!$A:$AI,15,FALSE)</f>
        <v>No</v>
      </c>
      <c r="Y354">
        <f>VLOOKUP($I354,'[1]Table S6'!$A:$AI,17,FALSE)</f>
        <v>321.8</v>
      </c>
      <c r="Z354">
        <f>VLOOKUP($I354,'[1]Table S6'!$A:$AI,18,FALSE)</f>
        <v>0.68482655884230703</v>
      </c>
      <c r="AA354">
        <f>VLOOKUP($I354,'[1]Table S6'!$A:$AI,19,FALSE)</f>
        <v>2.1989999999999998</v>
      </c>
      <c r="AB354" t="str">
        <f>VLOOKUP($I354,'[1]Table S6'!$A:$AI,20,FALSE)</f>
        <v>Yes</v>
      </c>
      <c r="AD354">
        <f>VLOOKUP($I354,'[1]Table S6'!$A:$AI,22,FALSE)</f>
        <v>434.7</v>
      </c>
      <c r="AE354">
        <f>VLOOKUP($I354,'[1]Table S6'!$A:$AI,23,FALSE)</f>
        <v>0.92509044477548397</v>
      </c>
      <c r="AF354">
        <f>VLOOKUP($I354,'[1]Table S6'!$A:$AI,24,FALSE)</f>
        <v>66.05</v>
      </c>
      <c r="AG354" t="str">
        <f>VLOOKUP($I354,'[1]Table S6'!$A:$AI,25,FALSE)</f>
        <v>No</v>
      </c>
      <c r="AI354">
        <f>VLOOKUP($I354,'[1]Table S6'!$A:$AI,27,FALSE)</f>
        <v>453.6</v>
      </c>
      <c r="AJ354">
        <f>VLOOKUP($I354,'[1]Table S6'!$A:$AI,28,FALSE)</f>
        <v>0.96531176846137501</v>
      </c>
      <c r="AK354">
        <f>VLOOKUP($I354,'[1]Table S6'!$A:$AI,29,FALSE)</f>
        <v>172.5</v>
      </c>
      <c r="AL354" t="str">
        <f>VLOOKUP($I354,'[1]Table S6'!$A:$AI,30,FALSE)</f>
        <v>No</v>
      </c>
      <c r="AN354">
        <f>VLOOKUP($I354,'[1]Table S6'!$A:$AI,32,FALSE)</f>
        <v>438</v>
      </c>
      <c r="AO354">
        <f>VLOOKUP($I354,'[1]Table S6'!$A:$AI,33,FALSE)</f>
        <v>0.93211321557778304</v>
      </c>
      <c r="AP354">
        <f>VLOOKUP($I354,'[1]Table S6'!$A:$AI,34,FALSE)</f>
        <v>59.73</v>
      </c>
      <c r="AQ354" t="str">
        <f>VLOOKUP($I354,'[1]Table S6'!$A:$AI,35,FALSE)</f>
        <v>No</v>
      </c>
      <c r="AS354" t="str">
        <f>VLOOKUP($H354,'[2]Table S5'!$A:$K,8,FALSE)</f>
        <v>Resistant</v>
      </c>
      <c r="AT354" t="str">
        <f>VLOOKUP($H354,'[2]Table S5'!$A:$K,9,FALSE)</f>
        <v>Resistant</v>
      </c>
      <c r="AU354" t="str">
        <f>VLOOKUP($H354,'[2]Table S5'!$A:$K,10,FALSE)</f>
        <v>Resistant</v>
      </c>
      <c r="AV354" t="str">
        <f>VLOOKUP($H354,'[2]Table S5'!$A:$K,11,FALSE)</f>
        <v>Resistant</v>
      </c>
    </row>
    <row r="355" spans="1:48">
      <c r="A355" t="s">
        <v>4609</v>
      </c>
      <c r="B355" t="s">
        <v>4610</v>
      </c>
      <c r="C355" t="s">
        <v>17</v>
      </c>
      <c r="D355" t="s">
        <v>2672</v>
      </c>
      <c r="E355" t="s">
        <v>2673</v>
      </c>
      <c r="F355" t="s">
        <v>2674</v>
      </c>
      <c r="G355" t="s">
        <v>4750</v>
      </c>
      <c r="H355" t="s">
        <v>2650</v>
      </c>
      <c r="I355" t="s">
        <v>2675</v>
      </c>
      <c r="J355">
        <f>VLOOKUP($I355,'[1]Table S6'!$A:$AI,2,FALSE)</f>
        <v>362.2</v>
      </c>
      <c r="K355">
        <f>VLOOKUP($I355,'[1]Table S6'!$A:$AI,3,FALSE)</f>
        <v>0.77080229836135306</v>
      </c>
      <c r="L355">
        <f>VLOOKUP($I355,'[1]Table S6'!$A:$AI,4,FALSE)</f>
        <v>6.577</v>
      </c>
      <c r="M355" t="str">
        <f>VLOOKUP($I355,'[1]Table S6'!$A:$AI,5,FALSE)</f>
        <v>No</v>
      </c>
      <c r="O355">
        <f>VLOOKUP($I355,'[1]Table S6'!$A:$AI,7,FALSE)</f>
        <v>348.1</v>
      </c>
      <c r="P355">
        <f>VLOOKUP($I355,'[1]Table S6'!$A:$AI,8,FALSE)</f>
        <v>0.74079591402426104</v>
      </c>
      <c r="Q355">
        <f>VLOOKUP($I355,'[1]Table S6'!$A:$AI,9,FALSE)</f>
        <v>3.1789999999999998</v>
      </c>
      <c r="R355" t="str">
        <f>VLOOKUP($I355,'[1]Table S6'!$A:$AI,10,FALSE)</f>
        <v>No</v>
      </c>
      <c r="T355">
        <f>VLOOKUP($I355,'[1]Table S6'!$A:$AI,12,FALSE)</f>
        <v>332</v>
      </c>
      <c r="U355">
        <f>VLOOKUP($I355,'[1]Table S6'!$A:$AI,13,FALSE)</f>
        <v>0.70653330495850197</v>
      </c>
      <c r="V355">
        <f>VLOOKUP($I355,'[1]Table S6'!$A:$AI,14,FALSE)</f>
        <v>2.2690000000000001</v>
      </c>
      <c r="W355" t="str">
        <f>VLOOKUP($I355,'[1]Table S6'!$A:$AI,15,FALSE)</f>
        <v>No</v>
      </c>
      <c r="Y355">
        <f>VLOOKUP($I355,'[1]Table S6'!$A:$AI,17,FALSE)</f>
        <v>404.4</v>
      </c>
      <c r="Z355">
        <f>VLOOKUP($I355,'[1]Table S6'!$A:$AI,18,FALSE)</f>
        <v>0.86060864013619898</v>
      </c>
      <c r="AA355">
        <f>VLOOKUP($I355,'[1]Table S6'!$A:$AI,19,FALSE)</f>
        <v>21.1</v>
      </c>
      <c r="AB355" t="str">
        <f>VLOOKUP($I355,'[1]Table S6'!$A:$AI,20,FALSE)</f>
        <v>No</v>
      </c>
      <c r="AD355">
        <f>VLOOKUP($I355,'[1]Table S6'!$A:$AI,22,FALSE)</f>
        <v>454.7</v>
      </c>
      <c r="AE355">
        <f>VLOOKUP($I355,'[1]Table S6'!$A:$AI,23,FALSE)</f>
        <v>0.967652692062141</v>
      </c>
      <c r="AF355">
        <f>VLOOKUP($I355,'[1]Table S6'!$A:$AI,24,FALSE)</f>
        <v>570</v>
      </c>
      <c r="AG355" t="str">
        <f>VLOOKUP($I355,'[1]Table S6'!$A:$AI,25,FALSE)</f>
        <v>No</v>
      </c>
      <c r="AI355">
        <f>VLOOKUP($I355,'[1]Table S6'!$A:$AI,27,FALSE)</f>
        <v>332.3</v>
      </c>
      <c r="AJ355">
        <f>VLOOKUP($I355,'[1]Table S6'!$A:$AI,28,FALSE)</f>
        <v>0.70717173866780203</v>
      </c>
      <c r="AK355">
        <f>VLOOKUP($I355,'[1]Table S6'!$A:$AI,29,FALSE)</f>
        <v>2.516</v>
      </c>
      <c r="AL355" t="str">
        <f>VLOOKUP($I355,'[1]Table S6'!$A:$AI,30,FALSE)</f>
        <v>No</v>
      </c>
      <c r="AN355">
        <f>VLOOKUP($I355,'[1]Table S6'!$A:$AI,32,FALSE)</f>
        <v>443.4</v>
      </c>
      <c r="AO355">
        <f>VLOOKUP($I355,'[1]Table S6'!$A:$AI,33,FALSE)</f>
        <v>0.94360502234517996</v>
      </c>
      <c r="AP355">
        <f>VLOOKUP($I355,'[1]Table S6'!$A:$AI,34,FALSE)</f>
        <v>62.8</v>
      </c>
      <c r="AQ355" t="str">
        <f>VLOOKUP($I355,'[1]Table S6'!$A:$AI,35,FALSE)</f>
        <v>No</v>
      </c>
      <c r="AS355" t="str">
        <f>VLOOKUP($H355,'[2]Table S5'!$A:$K,8,FALSE)</f>
        <v>Resistant</v>
      </c>
      <c r="AT355" t="str">
        <f>VLOOKUP($H355,'[2]Table S5'!$A:$K,9,FALSE)</f>
        <v>Resistant</v>
      </c>
      <c r="AU355" t="str">
        <f>VLOOKUP($H355,'[2]Table S5'!$A:$K,10,FALSE)</f>
        <v>Sensitive</v>
      </c>
      <c r="AV355" t="str">
        <f>VLOOKUP($H355,'[2]Table S5'!$A:$K,11,FALSE)</f>
        <v>Resistant</v>
      </c>
    </row>
    <row r="356" spans="1:48">
      <c r="A356" t="s">
        <v>4612</v>
      </c>
      <c r="B356" t="s">
        <v>4613</v>
      </c>
      <c r="C356" t="s">
        <v>17</v>
      </c>
      <c r="D356" t="s">
        <v>2680</v>
      </c>
      <c r="E356" t="s">
        <v>2681</v>
      </c>
      <c r="F356" t="s">
        <v>2682</v>
      </c>
      <c r="G356" t="s">
        <v>4750</v>
      </c>
      <c r="H356" t="s">
        <v>2650</v>
      </c>
      <c r="I356" t="s">
        <v>2683</v>
      </c>
      <c r="J356">
        <f>VLOOKUP($I356,'[1]Table S6'!$A:$AI,2,FALSE)</f>
        <v>380.7</v>
      </c>
      <c r="K356">
        <f>VLOOKUP($I356,'[1]Table S6'!$A:$AI,3,FALSE)</f>
        <v>0.81017237710151102</v>
      </c>
      <c r="L356">
        <f>VLOOKUP($I356,'[1]Table S6'!$A:$AI,4,FALSE)</f>
        <v>13.49</v>
      </c>
      <c r="M356" t="str">
        <f>VLOOKUP($I356,'[1]Table S6'!$A:$AI,5,FALSE)</f>
        <v>No</v>
      </c>
      <c r="O356">
        <f>VLOOKUP($I356,'[1]Table S6'!$A:$AI,7,FALSE)</f>
        <v>338.3</v>
      </c>
      <c r="P356">
        <f>VLOOKUP($I356,'[1]Table S6'!$A:$AI,8,FALSE)</f>
        <v>0.71994041285379895</v>
      </c>
      <c r="Q356">
        <f>VLOOKUP($I356,'[1]Table S6'!$A:$AI,9,FALSE)</f>
        <v>2.4849999999999999</v>
      </c>
      <c r="R356" t="str">
        <f>VLOOKUP($I356,'[1]Table S6'!$A:$AI,10,FALSE)</f>
        <v>No</v>
      </c>
      <c r="T356">
        <f>VLOOKUP($I356,'[1]Table S6'!$A:$AI,12,FALSE)</f>
        <v>327.9</v>
      </c>
      <c r="U356">
        <f>VLOOKUP($I356,'[1]Table S6'!$A:$AI,13,FALSE)</f>
        <v>0.69780804426473697</v>
      </c>
      <c r="V356">
        <f>VLOOKUP($I356,'[1]Table S6'!$A:$AI,14,FALSE)</f>
        <v>2.411</v>
      </c>
      <c r="W356" t="str">
        <f>VLOOKUP($I356,'[1]Table S6'!$A:$AI,15,FALSE)</f>
        <v>Yes</v>
      </c>
      <c r="Y356">
        <f>VLOOKUP($I356,'[1]Table S6'!$A:$AI,17,FALSE)</f>
        <v>390.3</v>
      </c>
      <c r="Z356">
        <f>VLOOKUP($I356,'[1]Table S6'!$A:$AI,18,FALSE)</f>
        <v>0.83060225579910596</v>
      </c>
      <c r="AA356">
        <f>VLOOKUP($I356,'[1]Table S6'!$A:$AI,19,FALSE)</f>
        <v>19.63</v>
      </c>
      <c r="AB356" t="str">
        <f>VLOOKUP($I356,'[1]Table S6'!$A:$AI,20,FALSE)</f>
        <v>No</v>
      </c>
      <c r="AD356">
        <f>VLOOKUP($I356,'[1]Table S6'!$A:$AI,22,FALSE)</f>
        <v>433.9</v>
      </c>
      <c r="AE356">
        <f>VLOOKUP($I356,'[1]Table S6'!$A:$AI,23,FALSE)</f>
        <v>0.92338795488401804</v>
      </c>
      <c r="AF356">
        <f>VLOOKUP($I356,'[1]Table S6'!$A:$AI,24,FALSE)</f>
        <v>111.3</v>
      </c>
      <c r="AG356" t="str">
        <f>VLOOKUP($I356,'[1]Table S6'!$A:$AI,25,FALSE)</f>
        <v>No</v>
      </c>
      <c r="AI356">
        <f>VLOOKUP($I356,'[1]Table S6'!$A:$AI,27,FALSE)</f>
        <v>416.7</v>
      </c>
      <c r="AJ356">
        <f>VLOOKUP($I356,'[1]Table S6'!$A:$AI,28,FALSE)</f>
        <v>0.88678442221749298</v>
      </c>
      <c r="AK356">
        <f>VLOOKUP($I356,'[1]Table S6'!$A:$AI,29,FALSE)</f>
        <v>45.54</v>
      </c>
      <c r="AL356" t="str">
        <f>VLOOKUP($I356,'[1]Table S6'!$A:$AI,30,FALSE)</f>
        <v>No</v>
      </c>
      <c r="AN356">
        <f>VLOOKUP($I356,'[1]Table S6'!$A:$AI,32,FALSE)</f>
        <v>423.6</v>
      </c>
      <c r="AO356">
        <f>VLOOKUP($I356,'[1]Table S6'!$A:$AI,33,FALSE)</f>
        <v>0.90146839753138996</v>
      </c>
      <c r="AP356">
        <f>VLOOKUP($I356,'[1]Table S6'!$A:$AI,34,FALSE)</f>
        <v>50.89</v>
      </c>
      <c r="AQ356" t="str">
        <f>VLOOKUP($I356,'[1]Table S6'!$A:$AI,35,FALSE)</f>
        <v>No</v>
      </c>
      <c r="AS356" t="str">
        <f>VLOOKUP($H356,'[2]Table S5'!$A:$K,8,FALSE)</f>
        <v>Resistant</v>
      </c>
      <c r="AT356" t="str">
        <f>VLOOKUP($H356,'[2]Table S5'!$A:$K,9,FALSE)</f>
        <v>Resistant</v>
      </c>
      <c r="AU356" t="str">
        <f>VLOOKUP($H356,'[2]Table S5'!$A:$K,10,FALSE)</f>
        <v>Sensitive</v>
      </c>
      <c r="AV356" t="str">
        <f>VLOOKUP($H356,'[2]Table S5'!$A:$K,11,FALSE)</f>
        <v>Resistant</v>
      </c>
    </row>
    <row r="357" spans="1:48">
      <c r="A357" t="s">
        <v>4615</v>
      </c>
      <c r="B357" t="s">
        <v>4616</v>
      </c>
      <c r="C357" t="s">
        <v>17</v>
      </c>
      <c r="D357" t="s">
        <v>2656</v>
      </c>
      <c r="E357" t="s">
        <v>2657</v>
      </c>
      <c r="F357" t="s">
        <v>2658</v>
      </c>
      <c r="G357" t="s">
        <v>4750</v>
      </c>
      <c r="H357" t="s">
        <v>2650</v>
      </c>
      <c r="I357" t="s">
        <v>2659</v>
      </c>
      <c r="J357">
        <f>VLOOKUP($I357,'[1]Table S6'!$A:$AI,2,FALSE)</f>
        <v>409.2</v>
      </c>
      <c r="K357">
        <f>VLOOKUP($I357,'[1]Table S6'!$A:$AI,3,FALSE)</f>
        <v>0.870823579484997</v>
      </c>
      <c r="L357">
        <f>VLOOKUP($I357,'[1]Table S6'!$A:$AI,4,FALSE)</f>
        <v>22.67</v>
      </c>
      <c r="M357" t="str">
        <f>VLOOKUP($I357,'[1]Table S6'!$A:$AI,5,FALSE)</f>
        <v>No</v>
      </c>
      <c r="O357">
        <f>VLOOKUP($I357,'[1]Table S6'!$A:$AI,7,FALSE)</f>
        <v>331.7</v>
      </c>
      <c r="P357">
        <f>VLOOKUP($I357,'[1]Table S6'!$A:$AI,8,FALSE)</f>
        <v>0.70589487124920203</v>
      </c>
      <c r="Q357">
        <f>VLOOKUP($I357,'[1]Table S6'!$A:$AI,9,FALSE)</f>
        <v>2.5099999999999998</v>
      </c>
      <c r="R357" t="str">
        <f>VLOOKUP($I357,'[1]Table S6'!$A:$AI,10,FALSE)</f>
        <v>No</v>
      </c>
      <c r="T357">
        <f>VLOOKUP($I357,'[1]Table S6'!$A:$AI,12,FALSE)</f>
        <v>318</v>
      </c>
      <c r="U357">
        <f>VLOOKUP($I357,'[1]Table S6'!$A:$AI,13,FALSE)</f>
        <v>0.67673973185784198</v>
      </c>
      <c r="V357">
        <f>VLOOKUP($I357,'[1]Table S6'!$A:$AI,14,FALSE)</f>
        <v>1.6180000000000001</v>
      </c>
      <c r="W357" t="str">
        <f>VLOOKUP($I357,'[1]Table S6'!$A:$AI,15,FALSE)</f>
        <v>Yes</v>
      </c>
      <c r="Y357">
        <f>VLOOKUP($I357,'[1]Table S6'!$A:$AI,17,FALSE)</f>
        <v>384.8</v>
      </c>
      <c r="Z357">
        <f>VLOOKUP($I357,'[1]Table S6'!$A:$AI,18,FALSE)</f>
        <v>0.81889763779527602</v>
      </c>
      <c r="AA357">
        <f>VLOOKUP($I357,'[1]Table S6'!$A:$AI,19,FALSE)</f>
        <v>17.600000000000001</v>
      </c>
      <c r="AB357" t="str">
        <f>VLOOKUP($I357,'[1]Table S6'!$A:$AI,20,FALSE)</f>
        <v>No</v>
      </c>
      <c r="AD357">
        <f>VLOOKUP($I357,'[1]Table S6'!$A:$AI,22,FALSE)</f>
        <v>391.4</v>
      </c>
      <c r="AE357">
        <f>VLOOKUP($I357,'[1]Table S6'!$A:$AI,23,FALSE)</f>
        <v>0.83294317939987195</v>
      </c>
      <c r="AF357">
        <f>VLOOKUP($I357,'[1]Table S6'!$A:$AI,24,FALSE)</f>
        <v>20.57</v>
      </c>
      <c r="AG357" t="str">
        <f>VLOOKUP($I357,'[1]Table S6'!$A:$AI,25,FALSE)</f>
        <v>No</v>
      </c>
      <c r="AI357">
        <f>VLOOKUP($I357,'[1]Table S6'!$A:$AI,27,FALSE)</f>
        <v>418.9</v>
      </c>
      <c r="AJ357">
        <f>VLOOKUP($I357,'[1]Table S6'!$A:$AI,28,FALSE)</f>
        <v>0.89146626941902496</v>
      </c>
      <c r="AK357">
        <f>VLOOKUP($I357,'[1]Table S6'!$A:$AI,29,FALSE)</f>
        <v>41.6</v>
      </c>
      <c r="AL357" t="str">
        <f>VLOOKUP($I357,'[1]Table S6'!$A:$AI,30,FALSE)</f>
        <v>No</v>
      </c>
      <c r="AN357">
        <f>VLOOKUP($I357,'[1]Table S6'!$A:$AI,32,FALSE)</f>
        <v>425.9</v>
      </c>
      <c r="AO357">
        <f>VLOOKUP($I357,'[1]Table S6'!$A:$AI,33,FALSE)</f>
        <v>0.90636305596935496</v>
      </c>
      <c r="AP357">
        <f>VLOOKUP($I357,'[1]Table S6'!$A:$AI,34,FALSE)</f>
        <v>62.21</v>
      </c>
      <c r="AQ357" t="str">
        <f>VLOOKUP($I357,'[1]Table S6'!$A:$AI,35,FALSE)</f>
        <v>No</v>
      </c>
      <c r="AS357" t="str">
        <f>VLOOKUP($H357,'[2]Table S5'!$A:$K,8,FALSE)</f>
        <v>Resistant</v>
      </c>
      <c r="AT357" t="str">
        <f>VLOOKUP($H357,'[2]Table S5'!$A:$K,9,FALSE)</f>
        <v>Resistant</v>
      </c>
      <c r="AU357" t="str">
        <f>VLOOKUP($H357,'[2]Table S5'!$A:$K,10,FALSE)</f>
        <v>Sensitive</v>
      </c>
      <c r="AV357" t="str">
        <f>VLOOKUP($H357,'[2]Table S5'!$A:$K,11,FALSE)</f>
        <v>Resistant</v>
      </c>
    </row>
    <row r="358" spans="1:48">
      <c r="A358" t="s">
        <v>4618</v>
      </c>
      <c r="B358" t="s">
        <v>4619</v>
      </c>
      <c r="C358" t="s">
        <v>17</v>
      </c>
      <c r="D358" t="s">
        <v>2647</v>
      </c>
      <c r="E358" t="s">
        <v>2648</v>
      </c>
      <c r="F358" t="s">
        <v>2649</v>
      </c>
      <c r="G358" t="s">
        <v>4750</v>
      </c>
      <c r="H358" t="s">
        <v>2650</v>
      </c>
      <c r="I358" t="s">
        <v>2651</v>
      </c>
      <c r="J358">
        <f>VLOOKUP($I358,'[1]Table S6'!$A:$AI,2,FALSE)</f>
        <v>345.2</v>
      </c>
      <c r="K358">
        <f>VLOOKUP($I358,'[1]Table S6'!$A:$AI,3,FALSE)</f>
        <v>0.73462438816769504</v>
      </c>
      <c r="L358">
        <f>VLOOKUP($I358,'[1]Table S6'!$A:$AI,4,FALSE)</f>
        <v>7.0449999999999999</v>
      </c>
      <c r="M358" t="str">
        <f>VLOOKUP($I358,'[1]Table S6'!$A:$AI,5,FALSE)</f>
        <v>No</v>
      </c>
      <c r="O358">
        <f>VLOOKUP($I358,'[1]Table S6'!$A:$AI,7,FALSE)</f>
        <v>311.10000000000002</v>
      </c>
      <c r="P358">
        <f>VLOOKUP($I358,'[1]Table S6'!$A:$AI,8,FALSE)</f>
        <v>0.66205575654394599</v>
      </c>
      <c r="Q358">
        <f>VLOOKUP($I358,'[1]Table S6'!$A:$AI,9,FALSE)</f>
        <v>1.681</v>
      </c>
      <c r="R358" t="str">
        <f>VLOOKUP($I358,'[1]Table S6'!$A:$AI,10,FALSE)</f>
        <v>Yes</v>
      </c>
      <c r="T358">
        <f>VLOOKUP($I358,'[1]Table S6'!$A:$AI,12,FALSE)</f>
        <v>307.3</v>
      </c>
      <c r="U358">
        <f>VLOOKUP($I358,'[1]Table S6'!$A:$AI,13,FALSE)</f>
        <v>0.65396892955948105</v>
      </c>
      <c r="V358">
        <f>VLOOKUP($I358,'[1]Table S6'!$A:$AI,14,FALSE)</f>
        <v>1.3919999999999999</v>
      </c>
      <c r="W358" t="str">
        <f>VLOOKUP($I358,'[1]Table S6'!$A:$AI,15,FALSE)</f>
        <v>Yes</v>
      </c>
      <c r="Y358">
        <f>VLOOKUP($I358,'[1]Table S6'!$A:$AI,17,FALSE)</f>
        <v>361.8</v>
      </c>
      <c r="Z358">
        <f>VLOOKUP($I358,'[1]Table S6'!$A:$AI,18,FALSE)</f>
        <v>0.76995105341561998</v>
      </c>
      <c r="AA358">
        <f>VLOOKUP($I358,'[1]Table S6'!$A:$AI,19,FALSE)</f>
        <v>8.1280000000000001</v>
      </c>
      <c r="AB358" t="str">
        <f>VLOOKUP($I358,'[1]Table S6'!$A:$AI,20,FALSE)</f>
        <v>No</v>
      </c>
      <c r="AD358">
        <f>VLOOKUP($I358,'[1]Table S6'!$A:$AI,22,FALSE)</f>
        <v>396.9</v>
      </c>
      <c r="AE358">
        <f>VLOOKUP($I358,'[1]Table S6'!$A:$AI,23,FALSE)</f>
        <v>0.84464779740370299</v>
      </c>
      <c r="AF358">
        <f>VLOOKUP($I358,'[1]Table S6'!$A:$AI,24,FALSE)</f>
        <v>42.4</v>
      </c>
      <c r="AG358" t="str">
        <f>VLOOKUP($I358,'[1]Table S6'!$A:$AI,25,FALSE)</f>
        <v>No</v>
      </c>
      <c r="AI358">
        <f>VLOOKUP($I358,'[1]Table S6'!$A:$AI,27,FALSE)</f>
        <v>388.8</v>
      </c>
      <c r="AJ358">
        <f>VLOOKUP($I358,'[1]Table S6'!$A:$AI,28,FALSE)</f>
        <v>0.82741008725260701</v>
      </c>
      <c r="AK358">
        <f>VLOOKUP($I358,'[1]Table S6'!$A:$AI,29,FALSE)</f>
        <v>33.54</v>
      </c>
      <c r="AL358" t="str">
        <f>VLOOKUP($I358,'[1]Table S6'!$A:$AI,30,FALSE)</f>
        <v>No</v>
      </c>
      <c r="AN358">
        <f>VLOOKUP($I358,'[1]Table S6'!$A:$AI,32,FALSE)</f>
        <v>358.1</v>
      </c>
      <c r="AO358">
        <f>VLOOKUP($I358,'[1]Table S6'!$A:$AI,33,FALSE)</f>
        <v>0.76207703766758905</v>
      </c>
      <c r="AP358">
        <f>VLOOKUP($I358,'[1]Table S6'!$A:$AI,34,FALSE)</f>
        <v>10.34</v>
      </c>
      <c r="AQ358" t="str">
        <f>VLOOKUP($I358,'[1]Table S6'!$A:$AI,35,FALSE)</f>
        <v>No</v>
      </c>
      <c r="AS358" t="str">
        <f>VLOOKUP($H358,'[2]Table S5'!$A:$K,8,FALSE)</f>
        <v>Resistant</v>
      </c>
      <c r="AT358" t="str">
        <f>VLOOKUP($H358,'[2]Table S5'!$A:$K,9,FALSE)</f>
        <v>Resistant</v>
      </c>
      <c r="AU358" t="str">
        <f>VLOOKUP($H358,'[2]Table S5'!$A:$K,10,FALSE)</f>
        <v>Sensitive</v>
      </c>
      <c r="AV358" t="str">
        <f>VLOOKUP($H358,'[2]Table S5'!$A:$K,11,FALSE)</f>
        <v>Resistant</v>
      </c>
    </row>
    <row r="359" spans="1:48">
      <c r="A359" t="s">
        <v>4621</v>
      </c>
      <c r="B359" t="s">
        <v>4622</v>
      </c>
      <c r="C359" t="s">
        <v>17</v>
      </c>
      <c r="D359" t="s">
        <v>2695</v>
      </c>
      <c r="E359" t="s">
        <v>2696</v>
      </c>
      <c r="F359" t="s">
        <v>2697</v>
      </c>
      <c r="G359" t="s">
        <v>4751</v>
      </c>
      <c r="H359" t="s">
        <v>2650</v>
      </c>
      <c r="I359" t="s">
        <v>2683</v>
      </c>
      <c r="J359">
        <f>VLOOKUP($I359,'[1]Table S6'!$A:$AI,2,FALSE)</f>
        <v>380.7</v>
      </c>
      <c r="K359">
        <f>VLOOKUP($I359,'[1]Table S6'!$A:$AI,3,FALSE)</f>
        <v>0.81017237710151102</v>
      </c>
      <c r="L359">
        <f>VLOOKUP($I359,'[1]Table S6'!$A:$AI,4,FALSE)</f>
        <v>13.49</v>
      </c>
      <c r="M359" t="str">
        <f>VLOOKUP($I359,'[1]Table S6'!$A:$AI,5,FALSE)</f>
        <v>No</v>
      </c>
      <c r="O359">
        <f>VLOOKUP($I359,'[1]Table S6'!$A:$AI,7,FALSE)</f>
        <v>338.3</v>
      </c>
      <c r="P359">
        <f>VLOOKUP($I359,'[1]Table S6'!$A:$AI,8,FALSE)</f>
        <v>0.71994041285379895</v>
      </c>
      <c r="Q359">
        <f>VLOOKUP($I359,'[1]Table S6'!$A:$AI,9,FALSE)</f>
        <v>2.4849999999999999</v>
      </c>
      <c r="R359" t="str">
        <f>VLOOKUP($I359,'[1]Table S6'!$A:$AI,10,FALSE)</f>
        <v>No</v>
      </c>
      <c r="T359">
        <f>VLOOKUP($I359,'[1]Table S6'!$A:$AI,12,FALSE)</f>
        <v>327.9</v>
      </c>
      <c r="U359">
        <f>VLOOKUP($I359,'[1]Table S6'!$A:$AI,13,FALSE)</f>
        <v>0.69780804426473697</v>
      </c>
      <c r="V359">
        <f>VLOOKUP($I359,'[1]Table S6'!$A:$AI,14,FALSE)</f>
        <v>2.411</v>
      </c>
      <c r="W359" t="str">
        <f>VLOOKUP($I359,'[1]Table S6'!$A:$AI,15,FALSE)</f>
        <v>Yes</v>
      </c>
      <c r="Y359">
        <f>VLOOKUP($I359,'[1]Table S6'!$A:$AI,17,FALSE)</f>
        <v>390.3</v>
      </c>
      <c r="Z359">
        <f>VLOOKUP($I359,'[1]Table S6'!$A:$AI,18,FALSE)</f>
        <v>0.83060225579910596</v>
      </c>
      <c r="AA359">
        <f>VLOOKUP($I359,'[1]Table S6'!$A:$AI,19,FALSE)</f>
        <v>19.63</v>
      </c>
      <c r="AB359" t="str">
        <f>VLOOKUP($I359,'[1]Table S6'!$A:$AI,20,FALSE)</f>
        <v>No</v>
      </c>
      <c r="AD359">
        <f>VLOOKUP($I359,'[1]Table S6'!$A:$AI,22,FALSE)</f>
        <v>433.9</v>
      </c>
      <c r="AE359">
        <f>VLOOKUP($I359,'[1]Table S6'!$A:$AI,23,FALSE)</f>
        <v>0.92338795488401804</v>
      </c>
      <c r="AF359">
        <f>VLOOKUP($I359,'[1]Table S6'!$A:$AI,24,FALSE)</f>
        <v>111.3</v>
      </c>
      <c r="AG359" t="str">
        <f>VLOOKUP($I359,'[1]Table S6'!$A:$AI,25,FALSE)</f>
        <v>No</v>
      </c>
      <c r="AI359">
        <f>VLOOKUP($I359,'[1]Table S6'!$A:$AI,27,FALSE)</f>
        <v>416.7</v>
      </c>
      <c r="AJ359">
        <f>VLOOKUP($I359,'[1]Table S6'!$A:$AI,28,FALSE)</f>
        <v>0.88678442221749298</v>
      </c>
      <c r="AK359">
        <f>VLOOKUP($I359,'[1]Table S6'!$A:$AI,29,FALSE)</f>
        <v>45.54</v>
      </c>
      <c r="AL359" t="str">
        <f>VLOOKUP($I359,'[1]Table S6'!$A:$AI,30,FALSE)</f>
        <v>No</v>
      </c>
      <c r="AN359">
        <f>VLOOKUP($I359,'[1]Table S6'!$A:$AI,32,FALSE)</f>
        <v>423.6</v>
      </c>
      <c r="AO359">
        <f>VLOOKUP($I359,'[1]Table S6'!$A:$AI,33,FALSE)</f>
        <v>0.90146839753138996</v>
      </c>
      <c r="AP359">
        <f>VLOOKUP($I359,'[1]Table S6'!$A:$AI,34,FALSE)</f>
        <v>50.89</v>
      </c>
      <c r="AQ359" t="str">
        <f>VLOOKUP($I359,'[1]Table S6'!$A:$AI,35,FALSE)</f>
        <v>No</v>
      </c>
      <c r="AS359" t="str">
        <f>VLOOKUP($H359,'[2]Table S5'!$A:$K,8,FALSE)</f>
        <v>Resistant</v>
      </c>
      <c r="AT359" t="str">
        <f>VLOOKUP($H359,'[2]Table S5'!$A:$K,9,FALSE)</f>
        <v>Resistant</v>
      </c>
      <c r="AU359" t="str">
        <f>VLOOKUP($H359,'[2]Table S5'!$A:$K,10,FALSE)</f>
        <v>Sensitive</v>
      </c>
      <c r="AV359" t="str">
        <f>VLOOKUP($H359,'[2]Table S5'!$A:$K,11,FALSE)</f>
        <v>Resistant</v>
      </c>
    </row>
    <row r="360" spans="1:48">
      <c r="A360" t="s">
        <v>4624</v>
      </c>
      <c r="B360" t="s">
        <v>4625</v>
      </c>
      <c r="C360" t="s">
        <v>17</v>
      </c>
      <c r="D360" t="s">
        <v>4627</v>
      </c>
      <c r="E360" t="s">
        <v>4628</v>
      </c>
      <c r="F360" t="s">
        <v>4629</v>
      </c>
      <c r="G360" t="s">
        <v>4751</v>
      </c>
      <c r="H360" t="s">
        <v>2650</v>
      </c>
      <c r="I360" t="s">
        <v>2659</v>
      </c>
      <c r="J360">
        <f>VLOOKUP($I360,'[1]Table S6'!$A:$AI,2,FALSE)</f>
        <v>409.2</v>
      </c>
      <c r="K360">
        <f>VLOOKUP($I360,'[1]Table S6'!$A:$AI,3,FALSE)</f>
        <v>0.870823579484997</v>
      </c>
      <c r="L360">
        <f>VLOOKUP($I360,'[1]Table S6'!$A:$AI,4,FALSE)</f>
        <v>22.67</v>
      </c>
      <c r="M360" t="str">
        <f>VLOOKUP($I360,'[1]Table S6'!$A:$AI,5,FALSE)</f>
        <v>No</v>
      </c>
      <c r="O360">
        <f>VLOOKUP($I360,'[1]Table S6'!$A:$AI,7,FALSE)</f>
        <v>331.7</v>
      </c>
      <c r="P360">
        <f>VLOOKUP($I360,'[1]Table S6'!$A:$AI,8,FALSE)</f>
        <v>0.70589487124920203</v>
      </c>
      <c r="Q360">
        <f>VLOOKUP($I360,'[1]Table S6'!$A:$AI,9,FALSE)</f>
        <v>2.5099999999999998</v>
      </c>
      <c r="R360" t="str">
        <f>VLOOKUP($I360,'[1]Table S6'!$A:$AI,10,FALSE)</f>
        <v>No</v>
      </c>
      <c r="T360">
        <f>VLOOKUP($I360,'[1]Table S6'!$A:$AI,12,FALSE)</f>
        <v>318</v>
      </c>
      <c r="U360">
        <f>VLOOKUP($I360,'[1]Table S6'!$A:$AI,13,FALSE)</f>
        <v>0.67673973185784198</v>
      </c>
      <c r="V360">
        <f>VLOOKUP($I360,'[1]Table S6'!$A:$AI,14,FALSE)</f>
        <v>1.6180000000000001</v>
      </c>
      <c r="W360" t="str">
        <f>VLOOKUP($I360,'[1]Table S6'!$A:$AI,15,FALSE)</f>
        <v>Yes</v>
      </c>
      <c r="Y360">
        <f>VLOOKUP($I360,'[1]Table S6'!$A:$AI,17,FALSE)</f>
        <v>384.8</v>
      </c>
      <c r="Z360">
        <f>VLOOKUP($I360,'[1]Table S6'!$A:$AI,18,FALSE)</f>
        <v>0.81889763779527602</v>
      </c>
      <c r="AA360">
        <f>VLOOKUP($I360,'[1]Table S6'!$A:$AI,19,FALSE)</f>
        <v>17.600000000000001</v>
      </c>
      <c r="AB360" t="str">
        <f>VLOOKUP($I360,'[1]Table S6'!$A:$AI,20,FALSE)</f>
        <v>No</v>
      </c>
      <c r="AD360">
        <f>VLOOKUP($I360,'[1]Table S6'!$A:$AI,22,FALSE)</f>
        <v>391.4</v>
      </c>
      <c r="AE360">
        <f>VLOOKUP($I360,'[1]Table S6'!$A:$AI,23,FALSE)</f>
        <v>0.83294317939987195</v>
      </c>
      <c r="AF360">
        <f>VLOOKUP($I360,'[1]Table S6'!$A:$AI,24,FALSE)</f>
        <v>20.57</v>
      </c>
      <c r="AG360" t="str">
        <f>VLOOKUP($I360,'[1]Table S6'!$A:$AI,25,FALSE)</f>
        <v>No</v>
      </c>
      <c r="AI360">
        <f>VLOOKUP($I360,'[1]Table S6'!$A:$AI,27,FALSE)</f>
        <v>418.9</v>
      </c>
      <c r="AJ360">
        <f>VLOOKUP($I360,'[1]Table S6'!$A:$AI,28,FALSE)</f>
        <v>0.89146626941902496</v>
      </c>
      <c r="AK360">
        <f>VLOOKUP($I360,'[1]Table S6'!$A:$AI,29,FALSE)</f>
        <v>41.6</v>
      </c>
      <c r="AL360" t="str">
        <f>VLOOKUP($I360,'[1]Table S6'!$A:$AI,30,FALSE)</f>
        <v>No</v>
      </c>
      <c r="AN360">
        <f>VLOOKUP($I360,'[1]Table S6'!$A:$AI,32,FALSE)</f>
        <v>425.9</v>
      </c>
      <c r="AO360">
        <f>VLOOKUP($I360,'[1]Table S6'!$A:$AI,33,FALSE)</f>
        <v>0.90636305596935496</v>
      </c>
      <c r="AP360">
        <f>VLOOKUP($I360,'[1]Table S6'!$A:$AI,34,FALSE)</f>
        <v>62.21</v>
      </c>
      <c r="AQ360" t="str">
        <f>VLOOKUP($I360,'[1]Table S6'!$A:$AI,35,FALSE)</f>
        <v>No</v>
      </c>
      <c r="AS360" t="str">
        <f>VLOOKUP($H360,'[2]Table S5'!$A:$K,8,FALSE)</f>
        <v>Resistant</v>
      </c>
      <c r="AT360" t="str">
        <f>VLOOKUP($H360,'[2]Table S5'!$A:$K,9,FALSE)</f>
        <v>Resistant</v>
      </c>
      <c r="AU360" t="str">
        <f>VLOOKUP($H360,'[2]Table S5'!$A:$K,10,FALSE)</f>
        <v>Sensitive</v>
      </c>
      <c r="AV360" t="str">
        <f>VLOOKUP($H360,'[2]Table S5'!$A:$K,11,FALSE)</f>
        <v>Resistant</v>
      </c>
    </row>
    <row r="361" spans="1:48">
      <c r="A361" t="s">
        <v>4631</v>
      </c>
      <c r="B361" t="s">
        <v>4632</v>
      </c>
      <c r="C361" t="s">
        <v>17</v>
      </c>
      <c r="D361" t="s">
        <v>4634</v>
      </c>
      <c r="E361" t="s">
        <v>4635</v>
      </c>
      <c r="F361" t="s">
        <v>4636</v>
      </c>
      <c r="G361" t="s">
        <v>4751</v>
      </c>
      <c r="H361" t="s">
        <v>2650</v>
      </c>
      <c r="I361" t="s">
        <v>2651</v>
      </c>
      <c r="J361">
        <f>VLOOKUP($I361,'[1]Table S6'!$A:$AI,2,FALSE)</f>
        <v>345.2</v>
      </c>
      <c r="K361">
        <f>VLOOKUP($I361,'[1]Table S6'!$A:$AI,3,FALSE)</f>
        <v>0.73462438816769504</v>
      </c>
      <c r="L361">
        <f>VLOOKUP($I361,'[1]Table S6'!$A:$AI,4,FALSE)</f>
        <v>7.0449999999999999</v>
      </c>
      <c r="M361" t="str">
        <f>VLOOKUP($I361,'[1]Table S6'!$A:$AI,5,FALSE)</f>
        <v>No</v>
      </c>
      <c r="O361">
        <f>VLOOKUP($I361,'[1]Table S6'!$A:$AI,7,FALSE)</f>
        <v>311.10000000000002</v>
      </c>
      <c r="P361">
        <f>VLOOKUP($I361,'[1]Table S6'!$A:$AI,8,FALSE)</f>
        <v>0.66205575654394599</v>
      </c>
      <c r="Q361">
        <f>VLOOKUP($I361,'[1]Table S6'!$A:$AI,9,FALSE)</f>
        <v>1.681</v>
      </c>
      <c r="R361" t="str">
        <f>VLOOKUP($I361,'[1]Table S6'!$A:$AI,10,FALSE)</f>
        <v>Yes</v>
      </c>
      <c r="T361">
        <f>VLOOKUP($I361,'[1]Table S6'!$A:$AI,12,FALSE)</f>
        <v>307.3</v>
      </c>
      <c r="U361">
        <f>VLOOKUP($I361,'[1]Table S6'!$A:$AI,13,FALSE)</f>
        <v>0.65396892955948105</v>
      </c>
      <c r="V361">
        <f>VLOOKUP($I361,'[1]Table S6'!$A:$AI,14,FALSE)</f>
        <v>1.3919999999999999</v>
      </c>
      <c r="W361" t="str">
        <f>VLOOKUP($I361,'[1]Table S6'!$A:$AI,15,FALSE)</f>
        <v>Yes</v>
      </c>
      <c r="Y361">
        <f>VLOOKUP($I361,'[1]Table S6'!$A:$AI,17,FALSE)</f>
        <v>361.8</v>
      </c>
      <c r="Z361">
        <f>VLOOKUP($I361,'[1]Table S6'!$A:$AI,18,FALSE)</f>
        <v>0.76995105341561998</v>
      </c>
      <c r="AA361">
        <f>VLOOKUP($I361,'[1]Table S6'!$A:$AI,19,FALSE)</f>
        <v>8.1280000000000001</v>
      </c>
      <c r="AB361" t="str">
        <f>VLOOKUP($I361,'[1]Table S6'!$A:$AI,20,FALSE)</f>
        <v>No</v>
      </c>
      <c r="AD361">
        <f>VLOOKUP($I361,'[1]Table S6'!$A:$AI,22,FALSE)</f>
        <v>396.9</v>
      </c>
      <c r="AE361">
        <f>VLOOKUP($I361,'[1]Table S6'!$A:$AI,23,FALSE)</f>
        <v>0.84464779740370299</v>
      </c>
      <c r="AF361">
        <f>VLOOKUP($I361,'[1]Table S6'!$A:$AI,24,FALSE)</f>
        <v>42.4</v>
      </c>
      <c r="AG361" t="str">
        <f>VLOOKUP($I361,'[1]Table S6'!$A:$AI,25,FALSE)</f>
        <v>No</v>
      </c>
      <c r="AI361">
        <f>VLOOKUP($I361,'[1]Table S6'!$A:$AI,27,FALSE)</f>
        <v>388.8</v>
      </c>
      <c r="AJ361">
        <f>VLOOKUP($I361,'[1]Table S6'!$A:$AI,28,FALSE)</f>
        <v>0.82741008725260701</v>
      </c>
      <c r="AK361">
        <f>VLOOKUP($I361,'[1]Table S6'!$A:$AI,29,FALSE)</f>
        <v>33.54</v>
      </c>
      <c r="AL361" t="str">
        <f>VLOOKUP($I361,'[1]Table S6'!$A:$AI,30,FALSE)</f>
        <v>No</v>
      </c>
      <c r="AN361">
        <f>VLOOKUP($I361,'[1]Table S6'!$A:$AI,32,FALSE)</f>
        <v>358.1</v>
      </c>
      <c r="AO361">
        <f>VLOOKUP($I361,'[1]Table S6'!$A:$AI,33,FALSE)</f>
        <v>0.76207703766758905</v>
      </c>
      <c r="AP361">
        <f>VLOOKUP($I361,'[1]Table S6'!$A:$AI,34,FALSE)</f>
        <v>10.34</v>
      </c>
      <c r="AQ361" t="str">
        <f>VLOOKUP($I361,'[1]Table S6'!$A:$AI,35,FALSE)</f>
        <v>No</v>
      </c>
      <c r="AS361" t="str">
        <f>VLOOKUP($H361,'[2]Table S5'!$A:$K,8,FALSE)</f>
        <v>Resistant</v>
      </c>
      <c r="AT361" t="str">
        <f>VLOOKUP($H361,'[2]Table S5'!$A:$K,9,FALSE)</f>
        <v>Resistant</v>
      </c>
      <c r="AU361" t="str">
        <f>VLOOKUP($H361,'[2]Table S5'!$A:$K,10,FALSE)</f>
        <v>Sensitive</v>
      </c>
      <c r="AV361" t="str">
        <f>VLOOKUP($H361,'[2]Table S5'!$A:$K,11,FALSE)</f>
        <v>Resistant</v>
      </c>
    </row>
    <row r="362" spans="1:48">
      <c r="A362" t="s">
        <v>4638</v>
      </c>
      <c r="B362" t="s">
        <v>4639</v>
      </c>
      <c r="C362" t="s">
        <v>17</v>
      </c>
      <c r="D362" t="s">
        <v>4641</v>
      </c>
      <c r="E362" t="s">
        <v>4642</v>
      </c>
      <c r="F362" t="s">
        <v>4643</v>
      </c>
      <c r="G362" t="s">
        <v>4757</v>
      </c>
      <c r="H362" t="s">
        <v>2650</v>
      </c>
      <c r="I362" t="s">
        <v>2650</v>
      </c>
      <c r="J362" t="e">
        <f>VLOOKUP($I362,'[1]Table S6'!$A:$AI,2,FALSE)</f>
        <v>#N/A</v>
      </c>
      <c r="K362" t="e">
        <f>VLOOKUP($I362,'[1]Table S6'!$A:$AI,3,FALSE)</f>
        <v>#N/A</v>
      </c>
      <c r="L362" t="e">
        <f>VLOOKUP($I362,'[1]Table S6'!$A:$AI,4,FALSE)</f>
        <v>#N/A</v>
      </c>
      <c r="M362" t="e">
        <f>VLOOKUP($I362,'[1]Table S6'!$A:$AI,5,FALSE)</f>
        <v>#N/A</v>
      </c>
      <c r="O362" t="e">
        <f>VLOOKUP($I362,'[1]Table S6'!$A:$AI,7,FALSE)</f>
        <v>#N/A</v>
      </c>
      <c r="P362" t="e">
        <f>VLOOKUP($I362,'[1]Table S6'!$A:$AI,8,FALSE)</f>
        <v>#N/A</v>
      </c>
      <c r="Q362" t="e">
        <f>VLOOKUP($I362,'[1]Table S6'!$A:$AI,9,FALSE)</f>
        <v>#N/A</v>
      </c>
      <c r="R362" t="e">
        <f>VLOOKUP($I362,'[1]Table S6'!$A:$AI,10,FALSE)</f>
        <v>#N/A</v>
      </c>
      <c r="T362" t="e">
        <f>VLOOKUP($I362,'[1]Table S6'!$A:$AI,12,FALSE)</f>
        <v>#N/A</v>
      </c>
      <c r="U362" t="e">
        <f>VLOOKUP($I362,'[1]Table S6'!$A:$AI,13,FALSE)</f>
        <v>#N/A</v>
      </c>
      <c r="V362" t="e">
        <f>VLOOKUP($I362,'[1]Table S6'!$A:$AI,14,FALSE)</f>
        <v>#N/A</v>
      </c>
      <c r="W362" t="e">
        <f>VLOOKUP($I362,'[1]Table S6'!$A:$AI,15,FALSE)</f>
        <v>#N/A</v>
      </c>
      <c r="Y362" t="e">
        <f>VLOOKUP($I362,'[1]Table S6'!$A:$AI,17,FALSE)</f>
        <v>#N/A</v>
      </c>
      <c r="Z362" t="e">
        <f>VLOOKUP($I362,'[1]Table S6'!$A:$AI,18,FALSE)</f>
        <v>#N/A</v>
      </c>
      <c r="AA362" t="e">
        <f>VLOOKUP($I362,'[1]Table S6'!$A:$AI,19,FALSE)</f>
        <v>#N/A</v>
      </c>
      <c r="AB362" t="e">
        <f>VLOOKUP($I362,'[1]Table S6'!$A:$AI,20,FALSE)</f>
        <v>#N/A</v>
      </c>
      <c r="AD362" t="e">
        <f>VLOOKUP($I362,'[1]Table S6'!$A:$AI,22,FALSE)</f>
        <v>#N/A</v>
      </c>
      <c r="AE362" t="e">
        <f>VLOOKUP($I362,'[1]Table S6'!$A:$AI,23,FALSE)</f>
        <v>#N/A</v>
      </c>
      <c r="AF362" t="e">
        <f>VLOOKUP($I362,'[1]Table S6'!$A:$AI,24,FALSE)</f>
        <v>#N/A</v>
      </c>
      <c r="AG362" t="e">
        <f>VLOOKUP($I362,'[1]Table S6'!$A:$AI,25,FALSE)</f>
        <v>#N/A</v>
      </c>
      <c r="AI362" t="e">
        <f>VLOOKUP($I362,'[1]Table S6'!$A:$AI,27,FALSE)</f>
        <v>#N/A</v>
      </c>
      <c r="AJ362" t="e">
        <f>VLOOKUP($I362,'[1]Table S6'!$A:$AI,28,FALSE)</f>
        <v>#N/A</v>
      </c>
      <c r="AK362" t="e">
        <f>VLOOKUP($I362,'[1]Table S6'!$A:$AI,29,FALSE)</f>
        <v>#N/A</v>
      </c>
      <c r="AL362" t="e">
        <f>VLOOKUP($I362,'[1]Table S6'!$A:$AI,30,FALSE)</f>
        <v>#N/A</v>
      </c>
      <c r="AN362" t="e">
        <f>VLOOKUP($I362,'[1]Table S6'!$A:$AI,32,FALSE)</f>
        <v>#N/A</v>
      </c>
      <c r="AO362" t="e">
        <f>VLOOKUP($I362,'[1]Table S6'!$A:$AI,33,FALSE)</f>
        <v>#N/A</v>
      </c>
      <c r="AP362" t="e">
        <f>VLOOKUP($I362,'[1]Table S6'!$A:$AI,34,FALSE)</f>
        <v>#N/A</v>
      </c>
      <c r="AQ362" t="e">
        <f>VLOOKUP($I362,'[1]Table S6'!$A:$AI,35,FALSE)</f>
        <v>#N/A</v>
      </c>
      <c r="AS362" t="str">
        <f>VLOOKUP($H362,'[2]Table S5'!$A:$K,8,FALSE)</f>
        <v>Resistant</v>
      </c>
      <c r="AT362" t="str">
        <f>VLOOKUP($H362,'[2]Table S5'!$A:$K,9,FALSE)</f>
        <v>Resistant</v>
      </c>
      <c r="AU362" t="str">
        <f>VLOOKUP($H362,'[2]Table S5'!$A:$K,10,FALSE)</f>
        <v>Sensitive</v>
      </c>
      <c r="AV362" t="str">
        <f>VLOOKUP($H362,'[2]Table S5'!$A:$K,11,FALSE)</f>
        <v>Resistant</v>
      </c>
    </row>
    <row r="363" spans="1:48">
      <c r="A363" t="s">
        <v>4645</v>
      </c>
      <c r="B363" t="s">
        <v>4646</v>
      </c>
      <c r="C363" t="s">
        <v>17</v>
      </c>
      <c r="D363" t="s">
        <v>4648</v>
      </c>
      <c r="E363" t="s">
        <v>4649</v>
      </c>
      <c r="F363" t="s">
        <v>4650</v>
      </c>
      <c r="G363" t="s">
        <v>4750</v>
      </c>
      <c r="H363" t="s">
        <v>4651</v>
      </c>
      <c r="I363" t="s">
        <v>4652</v>
      </c>
      <c r="J363">
        <f>VLOOKUP($I363,'[1]Table S6'!$A:$AI,2,FALSE)</f>
        <v>368.6</v>
      </c>
      <c r="K363">
        <f>VLOOKUP($I363,'[1]Table S6'!$A:$AI,3,FALSE)</f>
        <v>0.78442221749308405</v>
      </c>
      <c r="L363">
        <f>VLOOKUP($I363,'[1]Table S6'!$A:$AI,4,FALSE)</f>
        <v>8.9689999999999994</v>
      </c>
      <c r="M363" t="str">
        <f>VLOOKUP($I363,'[1]Table S6'!$A:$AI,5,FALSE)</f>
        <v>No</v>
      </c>
      <c r="O363">
        <f>VLOOKUP($I363,'[1]Table S6'!$A:$AI,7,FALSE)</f>
        <v>328.8</v>
      </c>
      <c r="P363">
        <f>VLOOKUP($I363,'[1]Table S6'!$A:$AI,8,FALSE)</f>
        <v>0.69972334539263703</v>
      </c>
      <c r="Q363">
        <f>VLOOKUP($I363,'[1]Table S6'!$A:$AI,9,FALSE)</f>
        <v>2.3620000000000001</v>
      </c>
      <c r="R363" t="str">
        <f>VLOOKUP($I363,'[1]Table S6'!$A:$AI,10,FALSE)</f>
        <v>No</v>
      </c>
      <c r="T363">
        <f>VLOOKUP($I363,'[1]Table S6'!$A:$AI,12,FALSE)</f>
        <v>289.3</v>
      </c>
      <c r="U363">
        <f>VLOOKUP($I363,'[1]Table S6'!$A:$AI,13,FALSE)</f>
        <v>0.61566290700148996</v>
      </c>
      <c r="V363">
        <f>VLOOKUP($I363,'[1]Table S6'!$A:$AI,14,FALSE)</f>
        <v>0.83140000000000003</v>
      </c>
      <c r="W363" t="str">
        <f>VLOOKUP($I363,'[1]Table S6'!$A:$AI,15,FALSE)</f>
        <v>Yes</v>
      </c>
      <c r="Y363">
        <f>VLOOKUP($I363,'[1]Table S6'!$A:$AI,17,FALSE)</f>
        <v>406.2</v>
      </c>
      <c r="Z363">
        <f>VLOOKUP($I363,'[1]Table S6'!$A:$AI,18,FALSE)</f>
        <v>0.86443924239199799</v>
      </c>
      <c r="AA363">
        <f>VLOOKUP($I363,'[1]Table S6'!$A:$AI,19,FALSE)</f>
        <v>30.68</v>
      </c>
      <c r="AB363" t="str">
        <f>VLOOKUP($I363,'[1]Table S6'!$A:$AI,20,FALSE)</f>
        <v>No</v>
      </c>
      <c r="AD363">
        <f>VLOOKUP($I363,'[1]Table S6'!$A:$AI,22,FALSE)</f>
        <v>371.6</v>
      </c>
      <c r="AE363">
        <f>VLOOKUP($I363,'[1]Table S6'!$A:$AI,23,FALSE)</f>
        <v>0.79080655458608196</v>
      </c>
      <c r="AF363">
        <f>VLOOKUP($I363,'[1]Table S6'!$A:$AI,24,FALSE)</f>
        <v>14.38</v>
      </c>
      <c r="AG363" t="str">
        <f>VLOOKUP($I363,'[1]Table S6'!$A:$AI,25,FALSE)</f>
        <v>No</v>
      </c>
      <c r="AI363">
        <f>VLOOKUP($I363,'[1]Table S6'!$A:$AI,27,FALSE)</f>
        <v>385.5</v>
      </c>
      <c r="AJ363">
        <f>VLOOKUP($I363,'[1]Table S6'!$A:$AI,28,FALSE)</f>
        <v>0.82038731645030905</v>
      </c>
      <c r="AK363">
        <f>VLOOKUP($I363,'[1]Table S6'!$A:$AI,29,FALSE)</f>
        <v>33.21</v>
      </c>
      <c r="AL363" t="str">
        <f>VLOOKUP($I363,'[1]Table S6'!$A:$AI,30,FALSE)</f>
        <v>No</v>
      </c>
      <c r="AN363">
        <f>VLOOKUP($I363,'[1]Table S6'!$A:$AI,32,FALSE)</f>
        <v>396.5</v>
      </c>
      <c r="AO363">
        <f>VLOOKUP($I363,'[1]Table S6'!$A:$AI,33,FALSE)</f>
        <v>0.84379655245797003</v>
      </c>
      <c r="AP363">
        <f>VLOOKUP($I363,'[1]Table S6'!$A:$AI,34,FALSE)</f>
        <v>22.96</v>
      </c>
      <c r="AQ363" t="str">
        <f>VLOOKUP($I363,'[1]Table S6'!$A:$AI,35,FALSE)</f>
        <v>No</v>
      </c>
      <c r="AS363" t="str">
        <f>VLOOKUP($H363,'[2]Table S5'!$A:$K,8,FALSE)</f>
        <v>Resistant</v>
      </c>
      <c r="AT363" t="str">
        <f>VLOOKUP($H363,'[2]Table S5'!$A:$K,9,FALSE)</f>
        <v>Resistant</v>
      </c>
      <c r="AU363" t="str">
        <f>VLOOKUP($H363,'[2]Table S5'!$A:$K,10,FALSE)</f>
        <v>Resistant</v>
      </c>
      <c r="AV363" t="str">
        <f>VLOOKUP($H363,'[2]Table S5'!$A:$K,11,FALSE)</f>
        <v>Resistant</v>
      </c>
    </row>
    <row r="364" spans="1:48">
      <c r="A364" t="s">
        <v>4654</v>
      </c>
      <c r="B364" t="s">
        <v>4655</v>
      </c>
      <c r="C364" t="s">
        <v>17</v>
      </c>
      <c r="D364" t="s">
        <v>4657</v>
      </c>
      <c r="E364" t="s">
        <v>4658</v>
      </c>
      <c r="F364" t="s">
        <v>4659</v>
      </c>
      <c r="G364" t="s">
        <v>4750</v>
      </c>
      <c r="H364" t="s">
        <v>4651</v>
      </c>
      <c r="I364" t="s">
        <v>4660</v>
      </c>
      <c r="J364">
        <f>VLOOKUP($I364,'[1]Table S6'!$A:$AI,2,FALSE)</f>
        <v>347.1</v>
      </c>
      <c r="K364">
        <f>VLOOKUP($I364,'[1]Table S6'!$A:$AI,3,FALSE)</f>
        <v>0.73866780165992796</v>
      </c>
      <c r="L364">
        <f>VLOOKUP($I364,'[1]Table S6'!$A:$AI,4,FALSE)</f>
        <v>6.8659999999999997</v>
      </c>
      <c r="M364" t="str">
        <f>VLOOKUP($I364,'[1]Table S6'!$A:$AI,5,FALSE)</f>
        <v>No</v>
      </c>
      <c r="O364">
        <f>VLOOKUP($I364,'[1]Table S6'!$A:$AI,7,FALSE)</f>
        <v>306.7</v>
      </c>
      <c r="P364">
        <f>VLOOKUP($I364,'[1]Table S6'!$A:$AI,8,FALSE)</f>
        <v>0.65269206214088105</v>
      </c>
      <c r="Q364">
        <f>VLOOKUP($I364,'[1]Table S6'!$A:$AI,9,FALSE)</f>
        <v>1.53</v>
      </c>
      <c r="R364" t="str">
        <f>VLOOKUP($I364,'[1]Table S6'!$A:$AI,10,FALSE)</f>
        <v>Yes</v>
      </c>
      <c r="T364">
        <f>VLOOKUP($I364,'[1]Table S6'!$A:$AI,12,FALSE)</f>
        <v>309.39999999999998</v>
      </c>
      <c r="U364">
        <f>VLOOKUP($I364,'[1]Table S6'!$A:$AI,13,FALSE)</f>
        <v>0.65843796552458</v>
      </c>
      <c r="V364">
        <f>VLOOKUP($I364,'[1]Table S6'!$A:$AI,14,FALSE)</f>
        <v>1.5649999999999999</v>
      </c>
      <c r="W364" t="str">
        <f>VLOOKUP($I364,'[1]Table S6'!$A:$AI,15,FALSE)</f>
        <v>Yes</v>
      </c>
      <c r="Y364">
        <f>VLOOKUP($I364,'[1]Table S6'!$A:$AI,17,FALSE)</f>
        <v>341.2</v>
      </c>
      <c r="Z364">
        <f>VLOOKUP($I364,'[1]Table S6'!$A:$AI,18,FALSE)</f>
        <v>0.72611193871036395</v>
      </c>
      <c r="AA364">
        <f>VLOOKUP($I364,'[1]Table S6'!$A:$AI,19,FALSE)</f>
        <v>3.9830000000000001</v>
      </c>
      <c r="AB364" t="str">
        <f>VLOOKUP($I364,'[1]Table S6'!$A:$AI,20,FALSE)</f>
        <v>No</v>
      </c>
      <c r="AD364">
        <f>VLOOKUP($I364,'[1]Table S6'!$A:$AI,22,FALSE)</f>
        <v>354.9</v>
      </c>
      <c r="AE364">
        <f>VLOOKUP($I364,'[1]Table S6'!$A:$AI,23,FALSE)</f>
        <v>0.755267078101724</v>
      </c>
      <c r="AF364">
        <f>VLOOKUP($I364,'[1]Table S6'!$A:$AI,24,FALSE)</f>
        <v>6.383</v>
      </c>
      <c r="AG364" t="str">
        <f>VLOOKUP($I364,'[1]Table S6'!$A:$AI,25,FALSE)</f>
        <v>No</v>
      </c>
      <c r="AI364">
        <f>VLOOKUP($I364,'[1]Table S6'!$A:$AI,27,FALSE)</f>
        <v>399.3</v>
      </c>
      <c r="AJ364">
        <f>VLOOKUP($I364,'[1]Table S6'!$A:$AI,28,FALSE)</f>
        <v>0.84975526707810201</v>
      </c>
      <c r="AK364">
        <f>VLOOKUP($I364,'[1]Table S6'!$A:$AI,29,FALSE)</f>
        <v>53.54</v>
      </c>
      <c r="AL364" t="str">
        <f>VLOOKUP($I364,'[1]Table S6'!$A:$AI,30,FALSE)</f>
        <v>No</v>
      </c>
      <c r="AN364">
        <f>VLOOKUP($I364,'[1]Table S6'!$A:$AI,32,FALSE)</f>
        <v>387.4</v>
      </c>
      <c r="AO364">
        <f>VLOOKUP($I364,'[1]Table S6'!$A:$AI,33,FALSE)</f>
        <v>0.82443072994254096</v>
      </c>
      <c r="AP364">
        <f>VLOOKUP($I364,'[1]Table S6'!$A:$AI,34,FALSE)</f>
        <v>24.5</v>
      </c>
      <c r="AQ364" t="str">
        <f>VLOOKUP($I364,'[1]Table S6'!$A:$AI,35,FALSE)</f>
        <v>No</v>
      </c>
      <c r="AS364" t="str">
        <f>VLOOKUP($H364,'[2]Table S5'!$A:$K,8,FALSE)</f>
        <v>Resistant</v>
      </c>
      <c r="AT364" t="str">
        <f>VLOOKUP($H364,'[2]Table S5'!$A:$K,9,FALSE)</f>
        <v>Resistant</v>
      </c>
      <c r="AU364" t="str">
        <f>VLOOKUP($H364,'[2]Table S5'!$A:$K,10,FALSE)</f>
        <v>Resistant</v>
      </c>
      <c r="AV364" t="str">
        <f>VLOOKUP($H364,'[2]Table S5'!$A:$K,11,FALSE)</f>
        <v>Resistant</v>
      </c>
    </row>
    <row r="365" spans="1:48">
      <c r="A365" t="s">
        <v>4662</v>
      </c>
      <c r="B365" t="s">
        <v>4663</v>
      </c>
      <c r="C365" t="s">
        <v>17</v>
      </c>
      <c r="D365" t="s">
        <v>4665</v>
      </c>
      <c r="E365" t="s">
        <v>4666</v>
      </c>
      <c r="F365" t="s">
        <v>4667</v>
      </c>
      <c r="G365" t="s">
        <v>4750</v>
      </c>
      <c r="H365" t="s">
        <v>4651</v>
      </c>
      <c r="I365" t="s">
        <v>4668</v>
      </c>
      <c r="J365">
        <f>VLOOKUP($I365,'[1]Table S6'!$A:$AI,2,FALSE)</f>
        <v>358.8</v>
      </c>
      <c r="K365">
        <f>VLOOKUP($I365,'[1]Table S6'!$A:$AI,3,FALSE)</f>
        <v>0.76356671632262196</v>
      </c>
      <c r="L365">
        <f>VLOOKUP($I365,'[1]Table S6'!$A:$AI,4,FALSE)</f>
        <v>6.1429999999999998</v>
      </c>
      <c r="M365" t="str">
        <f>VLOOKUP($I365,'[1]Table S6'!$A:$AI,5,FALSE)</f>
        <v>No</v>
      </c>
      <c r="O365">
        <f>VLOOKUP($I365,'[1]Table S6'!$A:$AI,7,FALSE)</f>
        <v>347.8</v>
      </c>
      <c r="P365">
        <f>VLOOKUP($I365,'[1]Table S6'!$A:$AI,8,FALSE)</f>
        <v>0.74015748031496098</v>
      </c>
      <c r="Q365">
        <f>VLOOKUP($I365,'[1]Table S6'!$A:$AI,9,FALSE)</f>
        <v>3.4409999999999998</v>
      </c>
      <c r="R365" t="str">
        <f>VLOOKUP($I365,'[1]Table S6'!$A:$AI,10,FALSE)</f>
        <v>No</v>
      </c>
      <c r="T365">
        <f>VLOOKUP($I365,'[1]Table S6'!$A:$AI,12,FALSE)</f>
        <v>338.3</v>
      </c>
      <c r="U365">
        <f>VLOOKUP($I365,'[1]Table S6'!$A:$AI,13,FALSE)</f>
        <v>0.71994041285379895</v>
      </c>
      <c r="V365">
        <f>VLOOKUP($I365,'[1]Table S6'!$A:$AI,14,FALSE)</f>
        <v>2.79</v>
      </c>
      <c r="W365" t="str">
        <f>VLOOKUP($I365,'[1]Table S6'!$A:$AI,15,FALSE)</f>
        <v>No</v>
      </c>
      <c r="Y365">
        <f>VLOOKUP($I365,'[1]Table S6'!$A:$AI,17,FALSE)</f>
        <v>391.9</v>
      </c>
      <c r="Z365">
        <f>VLOOKUP($I365,'[1]Table S6'!$A:$AI,18,FALSE)</f>
        <v>0.83400723558203904</v>
      </c>
      <c r="AA365">
        <f>VLOOKUP($I365,'[1]Table S6'!$A:$AI,19,FALSE)</f>
        <v>12.16</v>
      </c>
      <c r="AB365" t="str">
        <f>VLOOKUP($I365,'[1]Table S6'!$A:$AI,20,FALSE)</f>
        <v>No</v>
      </c>
      <c r="AD365">
        <f>VLOOKUP($I365,'[1]Table S6'!$A:$AI,22,FALSE)</f>
        <v>355.6</v>
      </c>
      <c r="AE365">
        <f>VLOOKUP($I365,'[1]Table S6'!$A:$AI,23,FALSE)</f>
        <v>0.75675675675675702</v>
      </c>
      <c r="AF365">
        <f>VLOOKUP($I365,'[1]Table S6'!$A:$AI,24,FALSE)</f>
        <v>6.4160000000000004</v>
      </c>
      <c r="AG365" t="str">
        <f>VLOOKUP($I365,'[1]Table S6'!$A:$AI,25,FALSE)</f>
        <v>No</v>
      </c>
      <c r="AI365">
        <f>VLOOKUP($I365,'[1]Table S6'!$A:$AI,27,FALSE)</f>
        <v>433.7</v>
      </c>
      <c r="AJ365">
        <f>VLOOKUP($I365,'[1]Table S6'!$A:$AI,28,FALSE)</f>
        <v>0.922962332411151</v>
      </c>
      <c r="AK365">
        <f>VLOOKUP($I365,'[1]Table S6'!$A:$AI,29,FALSE)</f>
        <v>96.14</v>
      </c>
      <c r="AL365" t="str">
        <f>VLOOKUP($I365,'[1]Table S6'!$A:$AI,30,FALSE)</f>
        <v>No</v>
      </c>
      <c r="AN365">
        <f>VLOOKUP($I365,'[1]Table S6'!$A:$AI,32,FALSE)</f>
        <v>420</v>
      </c>
      <c r="AO365">
        <f>VLOOKUP($I365,'[1]Table S6'!$A:$AI,33,FALSE)</f>
        <v>0.89380719301979195</v>
      </c>
      <c r="AP365">
        <f>VLOOKUP($I365,'[1]Table S6'!$A:$AI,34,FALSE)</f>
        <v>35.81</v>
      </c>
      <c r="AQ365" t="str">
        <f>VLOOKUP($I365,'[1]Table S6'!$A:$AI,35,FALSE)</f>
        <v>No</v>
      </c>
      <c r="AS365" t="str">
        <f>VLOOKUP($H365,'[2]Table S5'!$A:$K,8,FALSE)</f>
        <v>Resistant</v>
      </c>
      <c r="AT365" t="str">
        <f>VLOOKUP($H365,'[2]Table S5'!$A:$K,9,FALSE)</f>
        <v>Resistant</v>
      </c>
      <c r="AU365" t="str">
        <f>VLOOKUP($H365,'[2]Table S5'!$A:$K,10,FALSE)</f>
        <v>Resistant</v>
      </c>
      <c r="AV365" t="str">
        <f>VLOOKUP($H365,'[2]Table S5'!$A:$K,11,FALSE)</f>
        <v>Resistant</v>
      </c>
    </row>
    <row r="366" spans="1:48">
      <c r="A366" t="s">
        <v>4670</v>
      </c>
      <c r="B366" t="s">
        <v>4671</v>
      </c>
      <c r="C366" t="s">
        <v>17</v>
      </c>
      <c r="D366" t="s">
        <v>4673</v>
      </c>
      <c r="E366" t="s">
        <v>4674</v>
      </c>
      <c r="F366" t="s">
        <v>4675</v>
      </c>
      <c r="G366" t="s">
        <v>4751</v>
      </c>
      <c r="H366" t="s">
        <v>4651</v>
      </c>
      <c r="I366" t="s">
        <v>4652</v>
      </c>
      <c r="J366">
        <f>VLOOKUP($I366,'[1]Table S6'!$A:$AI,2,FALSE)</f>
        <v>368.6</v>
      </c>
      <c r="K366">
        <f>VLOOKUP($I366,'[1]Table S6'!$A:$AI,3,FALSE)</f>
        <v>0.78442221749308405</v>
      </c>
      <c r="L366">
        <f>VLOOKUP($I366,'[1]Table S6'!$A:$AI,4,FALSE)</f>
        <v>8.9689999999999994</v>
      </c>
      <c r="M366" t="str">
        <f>VLOOKUP($I366,'[1]Table S6'!$A:$AI,5,FALSE)</f>
        <v>No</v>
      </c>
      <c r="O366">
        <f>VLOOKUP($I366,'[1]Table S6'!$A:$AI,7,FALSE)</f>
        <v>328.8</v>
      </c>
      <c r="P366">
        <f>VLOOKUP($I366,'[1]Table S6'!$A:$AI,8,FALSE)</f>
        <v>0.69972334539263703</v>
      </c>
      <c r="Q366">
        <f>VLOOKUP($I366,'[1]Table S6'!$A:$AI,9,FALSE)</f>
        <v>2.3620000000000001</v>
      </c>
      <c r="R366" t="str">
        <f>VLOOKUP($I366,'[1]Table S6'!$A:$AI,10,FALSE)</f>
        <v>No</v>
      </c>
      <c r="T366">
        <f>VLOOKUP($I366,'[1]Table S6'!$A:$AI,12,FALSE)</f>
        <v>289.3</v>
      </c>
      <c r="U366">
        <f>VLOOKUP($I366,'[1]Table S6'!$A:$AI,13,FALSE)</f>
        <v>0.61566290700148996</v>
      </c>
      <c r="V366">
        <f>VLOOKUP($I366,'[1]Table S6'!$A:$AI,14,FALSE)</f>
        <v>0.83140000000000003</v>
      </c>
      <c r="W366" t="str">
        <f>VLOOKUP($I366,'[1]Table S6'!$A:$AI,15,FALSE)</f>
        <v>Yes</v>
      </c>
      <c r="Y366">
        <f>VLOOKUP($I366,'[1]Table S6'!$A:$AI,17,FALSE)</f>
        <v>406.2</v>
      </c>
      <c r="Z366">
        <f>VLOOKUP($I366,'[1]Table S6'!$A:$AI,18,FALSE)</f>
        <v>0.86443924239199799</v>
      </c>
      <c r="AA366">
        <f>VLOOKUP($I366,'[1]Table S6'!$A:$AI,19,FALSE)</f>
        <v>30.68</v>
      </c>
      <c r="AB366" t="str">
        <f>VLOOKUP($I366,'[1]Table S6'!$A:$AI,20,FALSE)</f>
        <v>No</v>
      </c>
      <c r="AD366">
        <f>VLOOKUP($I366,'[1]Table S6'!$A:$AI,22,FALSE)</f>
        <v>371.6</v>
      </c>
      <c r="AE366">
        <f>VLOOKUP($I366,'[1]Table S6'!$A:$AI,23,FALSE)</f>
        <v>0.79080655458608196</v>
      </c>
      <c r="AF366">
        <f>VLOOKUP($I366,'[1]Table S6'!$A:$AI,24,FALSE)</f>
        <v>14.38</v>
      </c>
      <c r="AG366" t="str">
        <f>VLOOKUP($I366,'[1]Table S6'!$A:$AI,25,FALSE)</f>
        <v>No</v>
      </c>
      <c r="AI366">
        <f>VLOOKUP($I366,'[1]Table S6'!$A:$AI,27,FALSE)</f>
        <v>385.5</v>
      </c>
      <c r="AJ366">
        <f>VLOOKUP($I366,'[1]Table S6'!$A:$AI,28,FALSE)</f>
        <v>0.82038731645030905</v>
      </c>
      <c r="AK366">
        <f>VLOOKUP($I366,'[1]Table S6'!$A:$AI,29,FALSE)</f>
        <v>33.21</v>
      </c>
      <c r="AL366" t="str">
        <f>VLOOKUP($I366,'[1]Table S6'!$A:$AI,30,FALSE)</f>
        <v>No</v>
      </c>
      <c r="AN366">
        <f>VLOOKUP($I366,'[1]Table S6'!$A:$AI,32,FALSE)</f>
        <v>396.5</v>
      </c>
      <c r="AO366">
        <f>VLOOKUP($I366,'[1]Table S6'!$A:$AI,33,FALSE)</f>
        <v>0.84379655245797003</v>
      </c>
      <c r="AP366">
        <f>VLOOKUP($I366,'[1]Table S6'!$A:$AI,34,FALSE)</f>
        <v>22.96</v>
      </c>
      <c r="AQ366" t="str">
        <f>VLOOKUP($I366,'[1]Table S6'!$A:$AI,35,FALSE)</f>
        <v>No</v>
      </c>
      <c r="AS366" t="str">
        <f>VLOOKUP($H366,'[2]Table S5'!$A:$K,8,FALSE)</f>
        <v>Resistant</v>
      </c>
      <c r="AT366" t="str">
        <f>VLOOKUP($H366,'[2]Table S5'!$A:$K,9,FALSE)</f>
        <v>Resistant</v>
      </c>
      <c r="AU366" t="str">
        <f>VLOOKUP($H366,'[2]Table S5'!$A:$K,10,FALSE)</f>
        <v>Resistant</v>
      </c>
      <c r="AV366" t="str">
        <f>VLOOKUP($H366,'[2]Table S5'!$A:$K,11,FALSE)</f>
        <v>Resistant</v>
      </c>
    </row>
    <row r="367" spans="1:48">
      <c r="A367" t="s">
        <v>4677</v>
      </c>
      <c r="B367" t="s">
        <v>4678</v>
      </c>
      <c r="C367" t="s">
        <v>17</v>
      </c>
      <c r="D367" t="s">
        <v>4680</v>
      </c>
      <c r="E367" t="s">
        <v>4681</v>
      </c>
      <c r="F367" t="s">
        <v>4682</v>
      </c>
      <c r="G367" t="s">
        <v>4751</v>
      </c>
      <c r="H367" t="s">
        <v>4651</v>
      </c>
      <c r="I367" t="s">
        <v>4660</v>
      </c>
      <c r="J367">
        <f>VLOOKUP($I367,'[1]Table S6'!$A:$AI,2,FALSE)</f>
        <v>347.1</v>
      </c>
      <c r="K367">
        <f>VLOOKUP($I367,'[1]Table S6'!$A:$AI,3,FALSE)</f>
        <v>0.73866780165992796</v>
      </c>
      <c r="L367">
        <f>VLOOKUP($I367,'[1]Table S6'!$A:$AI,4,FALSE)</f>
        <v>6.8659999999999997</v>
      </c>
      <c r="M367" t="str">
        <f>VLOOKUP($I367,'[1]Table S6'!$A:$AI,5,FALSE)</f>
        <v>No</v>
      </c>
      <c r="O367">
        <f>VLOOKUP($I367,'[1]Table S6'!$A:$AI,7,FALSE)</f>
        <v>306.7</v>
      </c>
      <c r="P367">
        <f>VLOOKUP($I367,'[1]Table S6'!$A:$AI,8,FALSE)</f>
        <v>0.65269206214088105</v>
      </c>
      <c r="Q367">
        <f>VLOOKUP($I367,'[1]Table S6'!$A:$AI,9,FALSE)</f>
        <v>1.53</v>
      </c>
      <c r="R367" t="str">
        <f>VLOOKUP($I367,'[1]Table S6'!$A:$AI,10,FALSE)</f>
        <v>Yes</v>
      </c>
      <c r="T367">
        <f>VLOOKUP($I367,'[1]Table S6'!$A:$AI,12,FALSE)</f>
        <v>309.39999999999998</v>
      </c>
      <c r="U367">
        <f>VLOOKUP($I367,'[1]Table S6'!$A:$AI,13,FALSE)</f>
        <v>0.65843796552458</v>
      </c>
      <c r="V367">
        <f>VLOOKUP($I367,'[1]Table S6'!$A:$AI,14,FALSE)</f>
        <v>1.5649999999999999</v>
      </c>
      <c r="W367" t="str">
        <f>VLOOKUP($I367,'[1]Table S6'!$A:$AI,15,FALSE)</f>
        <v>Yes</v>
      </c>
      <c r="Y367">
        <f>VLOOKUP($I367,'[1]Table S6'!$A:$AI,17,FALSE)</f>
        <v>341.2</v>
      </c>
      <c r="Z367">
        <f>VLOOKUP($I367,'[1]Table S6'!$A:$AI,18,FALSE)</f>
        <v>0.72611193871036395</v>
      </c>
      <c r="AA367">
        <f>VLOOKUP($I367,'[1]Table S6'!$A:$AI,19,FALSE)</f>
        <v>3.9830000000000001</v>
      </c>
      <c r="AB367" t="str">
        <f>VLOOKUP($I367,'[1]Table S6'!$A:$AI,20,FALSE)</f>
        <v>No</v>
      </c>
      <c r="AD367">
        <f>VLOOKUP($I367,'[1]Table S6'!$A:$AI,22,FALSE)</f>
        <v>354.9</v>
      </c>
      <c r="AE367">
        <f>VLOOKUP($I367,'[1]Table S6'!$A:$AI,23,FALSE)</f>
        <v>0.755267078101724</v>
      </c>
      <c r="AF367">
        <f>VLOOKUP($I367,'[1]Table S6'!$A:$AI,24,FALSE)</f>
        <v>6.383</v>
      </c>
      <c r="AG367" t="str">
        <f>VLOOKUP($I367,'[1]Table S6'!$A:$AI,25,FALSE)</f>
        <v>No</v>
      </c>
      <c r="AI367">
        <f>VLOOKUP($I367,'[1]Table S6'!$A:$AI,27,FALSE)</f>
        <v>399.3</v>
      </c>
      <c r="AJ367">
        <f>VLOOKUP($I367,'[1]Table S6'!$A:$AI,28,FALSE)</f>
        <v>0.84975526707810201</v>
      </c>
      <c r="AK367">
        <f>VLOOKUP($I367,'[1]Table S6'!$A:$AI,29,FALSE)</f>
        <v>53.54</v>
      </c>
      <c r="AL367" t="str">
        <f>VLOOKUP($I367,'[1]Table S6'!$A:$AI,30,FALSE)</f>
        <v>No</v>
      </c>
      <c r="AN367">
        <f>VLOOKUP($I367,'[1]Table S6'!$A:$AI,32,FALSE)</f>
        <v>387.4</v>
      </c>
      <c r="AO367">
        <f>VLOOKUP($I367,'[1]Table S6'!$A:$AI,33,FALSE)</f>
        <v>0.82443072994254096</v>
      </c>
      <c r="AP367">
        <f>VLOOKUP($I367,'[1]Table S6'!$A:$AI,34,FALSE)</f>
        <v>24.5</v>
      </c>
      <c r="AQ367" t="str">
        <f>VLOOKUP($I367,'[1]Table S6'!$A:$AI,35,FALSE)</f>
        <v>No</v>
      </c>
      <c r="AS367" t="str">
        <f>VLOOKUP($H367,'[2]Table S5'!$A:$K,8,FALSE)</f>
        <v>Resistant</v>
      </c>
      <c r="AT367" t="str">
        <f>VLOOKUP($H367,'[2]Table S5'!$A:$K,9,FALSE)</f>
        <v>Resistant</v>
      </c>
      <c r="AU367" t="str">
        <f>VLOOKUP($H367,'[2]Table S5'!$A:$K,10,FALSE)</f>
        <v>Resistant</v>
      </c>
      <c r="AV367" t="str">
        <f>VLOOKUP($H367,'[2]Table S5'!$A:$K,11,FALSE)</f>
        <v>Resistant</v>
      </c>
    </row>
    <row r="368" spans="1:48">
      <c r="A368" t="s">
        <v>4684</v>
      </c>
      <c r="B368" t="s">
        <v>4685</v>
      </c>
      <c r="C368" t="s">
        <v>17</v>
      </c>
      <c r="D368" t="s">
        <v>4687</v>
      </c>
      <c r="E368" t="s">
        <v>4688</v>
      </c>
      <c r="F368" t="s">
        <v>4689</v>
      </c>
      <c r="G368" t="s">
        <v>4751</v>
      </c>
      <c r="H368" t="s">
        <v>4651</v>
      </c>
      <c r="I368" t="s">
        <v>4668</v>
      </c>
      <c r="J368">
        <f>VLOOKUP($I368,'[1]Table S6'!$A:$AI,2,FALSE)</f>
        <v>358.8</v>
      </c>
      <c r="K368">
        <f>VLOOKUP($I368,'[1]Table S6'!$A:$AI,3,FALSE)</f>
        <v>0.76356671632262196</v>
      </c>
      <c r="L368">
        <f>VLOOKUP($I368,'[1]Table S6'!$A:$AI,4,FALSE)</f>
        <v>6.1429999999999998</v>
      </c>
      <c r="M368" t="str">
        <f>VLOOKUP($I368,'[1]Table S6'!$A:$AI,5,FALSE)</f>
        <v>No</v>
      </c>
      <c r="O368">
        <f>VLOOKUP($I368,'[1]Table S6'!$A:$AI,7,FALSE)</f>
        <v>347.8</v>
      </c>
      <c r="P368">
        <f>VLOOKUP($I368,'[1]Table S6'!$A:$AI,8,FALSE)</f>
        <v>0.74015748031496098</v>
      </c>
      <c r="Q368">
        <f>VLOOKUP($I368,'[1]Table S6'!$A:$AI,9,FALSE)</f>
        <v>3.4409999999999998</v>
      </c>
      <c r="R368" t="str">
        <f>VLOOKUP($I368,'[1]Table S6'!$A:$AI,10,FALSE)</f>
        <v>No</v>
      </c>
      <c r="T368">
        <f>VLOOKUP($I368,'[1]Table S6'!$A:$AI,12,FALSE)</f>
        <v>338.3</v>
      </c>
      <c r="U368">
        <f>VLOOKUP($I368,'[1]Table S6'!$A:$AI,13,FALSE)</f>
        <v>0.71994041285379895</v>
      </c>
      <c r="V368">
        <f>VLOOKUP($I368,'[1]Table S6'!$A:$AI,14,FALSE)</f>
        <v>2.79</v>
      </c>
      <c r="W368" t="str">
        <f>VLOOKUP($I368,'[1]Table S6'!$A:$AI,15,FALSE)</f>
        <v>No</v>
      </c>
      <c r="Y368">
        <f>VLOOKUP($I368,'[1]Table S6'!$A:$AI,17,FALSE)</f>
        <v>391.9</v>
      </c>
      <c r="Z368">
        <f>VLOOKUP($I368,'[1]Table S6'!$A:$AI,18,FALSE)</f>
        <v>0.83400723558203904</v>
      </c>
      <c r="AA368">
        <f>VLOOKUP($I368,'[1]Table S6'!$A:$AI,19,FALSE)</f>
        <v>12.16</v>
      </c>
      <c r="AB368" t="str">
        <f>VLOOKUP($I368,'[1]Table S6'!$A:$AI,20,FALSE)</f>
        <v>No</v>
      </c>
      <c r="AD368">
        <f>VLOOKUP($I368,'[1]Table S6'!$A:$AI,22,FALSE)</f>
        <v>355.6</v>
      </c>
      <c r="AE368">
        <f>VLOOKUP($I368,'[1]Table S6'!$A:$AI,23,FALSE)</f>
        <v>0.75675675675675702</v>
      </c>
      <c r="AF368">
        <f>VLOOKUP($I368,'[1]Table S6'!$A:$AI,24,FALSE)</f>
        <v>6.4160000000000004</v>
      </c>
      <c r="AG368" t="str">
        <f>VLOOKUP($I368,'[1]Table S6'!$A:$AI,25,FALSE)</f>
        <v>No</v>
      </c>
      <c r="AI368">
        <f>VLOOKUP($I368,'[1]Table S6'!$A:$AI,27,FALSE)</f>
        <v>433.7</v>
      </c>
      <c r="AJ368">
        <f>VLOOKUP($I368,'[1]Table S6'!$A:$AI,28,FALSE)</f>
        <v>0.922962332411151</v>
      </c>
      <c r="AK368">
        <f>VLOOKUP($I368,'[1]Table S6'!$A:$AI,29,FALSE)</f>
        <v>96.14</v>
      </c>
      <c r="AL368" t="str">
        <f>VLOOKUP($I368,'[1]Table S6'!$A:$AI,30,FALSE)</f>
        <v>No</v>
      </c>
      <c r="AN368">
        <f>VLOOKUP($I368,'[1]Table S6'!$A:$AI,32,FALSE)</f>
        <v>420</v>
      </c>
      <c r="AO368">
        <f>VLOOKUP($I368,'[1]Table S6'!$A:$AI,33,FALSE)</f>
        <v>0.89380719301979195</v>
      </c>
      <c r="AP368">
        <f>VLOOKUP($I368,'[1]Table S6'!$A:$AI,34,FALSE)</f>
        <v>35.81</v>
      </c>
      <c r="AQ368" t="str">
        <f>VLOOKUP($I368,'[1]Table S6'!$A:$AI,35,FALSE)</f>
        <v>No</v>
      </c>
      <c r="AS368" t="str">
        <f>VLOOKUP($H368,'[2]Table S5'!$A:$K,8,FALSE)</f>
        <v>Resistant</v>
      </c>
      <c r="AT368" t="str">
        <f>VLOOKUP($H368,'[2]Table S5'!$A:$K,9,FALSE)</f>
        <v>Resistant</v>
      </c>
      <c r="AU368" t="str">
        <f>VLOOKUP($H368,'[2]Table S5'!$A:$K,10,FALSE)</f>
        <v>Resistant</v>
      </c>
      <c r="AV368" t="str">
        <f>VLOOKUP($H368,'[2]Table S5'!$A:$K,11,FALSE)</f>
        <v>Resistant</v>
      </c>
    </row>
    <row r="369" spans="1:48">
      <c r="A369" t="s">
        <v>4691</v>
      </c>
      <c r="B369" t="s">
        <v>4692</v>
      </c>
      <c r="C369" t="s">
        <v>17</v>
      </c>
      <c r="D369" t="s">
        <v>4694</v>
      </c>
      <c r="E369" t="s">
        <v>4695</v>
      </c>
      <c r="F369" t="s">
        <v>4696</v>
      </c>
      <c r="G369" t="s">
        <v>4757</v>
      </c>
      <c r="H369" t="s">
        <v>4651</v>
      </c>
      <c r="I369" t="s">
        <v>4651</v>
      </c>
      <c r="J369" t="e">
        <f>VLOOKUP($I369,'[1]Table S6'!$A:$AI,2,FALSE)</f>
        <v>#N/A</v>
      </c>
      <c r="K369" t="e">
        <f>VLOOKUP($I369,'[1]Table S6'!$A:$AI,3,FALSE)</f>
        <v>#N/A</v>
      </c>
      <c r="L369" t="e">
        <f>VLOOKUP($I369,'[1]Table S6'!$A:$AI,4,FALSE)</f>
        <v>#N/A</v>
      </c>
      <c r="M369" t="e">
        <f>VLOOKUP($I369,'[1]Table S6'!$A:$AI,5,FALSE)</f>
        <v>#N/A</v>
      </c>
      <c r="O369" t="e">
        <f>VLOOKUP($I369,'[1]Table S6'!$A:$AI,7,FALSE)</f>
        <v>#N/A</v>
      </c>
      <c r="P369" t="e">
        <f>VLOOKUP($I369,'[1]Table S6'!$A:$AI,8,FALSE)</f>
        <v>#N/A</v>
      </c>
      <c r="Q369" t="e">
        <f>VLOOKUP($I369,'[1]Table S6'!$A:$AI,9,FALSE)</f>
        <v>#N/A</v>
      </c>
      <c r="R369" t="e">
        <f>VLOOKUP($I369,'[1]Table S6'!$A:$AI,10,FALSE)</f>
        <v>#N/A</v>
      </c>
      <c r="T369" t="e">
        <f>VLOOKUP($I369,'[1]Table S6'!$A:$AI,12,FALSE)</f>
        <v>#N/A</v>
      </c>
      <c r="U369" t="e">
        <f>VLOOKUP($I369,'[1]Table S6'!$A:$AI,13,FALSE)</f>
        <v>#N/A</v>
      </c>
      <c r="V369" t="e">
        <f>VLOOKUP($I369,'[1]Table S6'!$A:$AI,14,FALSE)</f>
        <v>#N/A</v>
      </c>
      <c r="W369" t="e">
        <f>VLOOKUP($I369,'[1]Table S6'!$A:$AI,15,FALSE)</f>
        <v>#N/A</v>
      </c>
      <c r="Y369" t="e">
        <f>VLOOKUP($I369,'[1]Table S6'!$A:$AI,17,FALSE)</f>
        <v>#N/A</v>
      </c>
      <c r="Z369" t="e">
        <f>VLOOKUP($I369,'[1]Table S6'!$A:$AI,18,FALSE)</f>
        <v>#N/A</v>
      </c>
      <c r="AA369" t="e">
        <f>VLOOKUP($I369,'[1]Table S6'!$A:$AI,19,FALSE)</f>
        <v>#N/A</v>
      </c>
      <c r="AB369" t="e">
        <f>VLOOKUP($I369,'[1]Table S6'!$A:$AI,20,FALSE)</f>
        <v>#N/A</v>
      </c>
      <c r="AD369" t="e">
        <f>VLOOKUP($I369,'[1]Table S6'!$A:$AI,22,FALSE)</f>
        <v>#N/A</v>
      </c>
      <c r="AE369" t="e">
        <f>VLOOKUP($I369,'[1]Table S6'!$A:$AI,23,FALSE)</f>
        <v>#N/A</v>
      </c>
      <c r="AF369" t="e">
        <f>VLOOKUP($I369,'[1]Table S6'!$A:$AI,24,FALSE)</f>
        <v>#N/A</v>
      </c>
      <c r="AG369" t="e">
        <f>VLOOKUP($I369,'[1]Table S6'!$A:$AI,25,FALSE)</f>
        <v>#N/A</v>
      </c>
      <c r="AI369" t="e">
        <f>VLOOKUP($I369,'[1]Table S6'!$A:$AI,27,FALSE)</f>
        <v>#N/A</v>
      </c>
      <c r="AJ369" t="e">
        <f>VLOOKUP($I369,'[1]Table S6'!$A:$AI,28,FALSE)</f>
        <v>#N/A</v>
      </c>
      <c r="AK369" t="e">
        <f>VLOOKUP($I369,'[1]Table S6'!$A:$AI,29,FALSE)</f>
        <v>#N/A</v>
      </c>
      <c r="AL369" t="e">
        <f>VLOOKUP($I369,'[1]Table S6'!$A:$AI,30,FALSE)</f>
        <v>#N/A</v>
      </c>
      <c r="AN369" t="e">
        <f>VLOOKUP($I369,'[1]Table S6'!$A:$AI,32,FALSE)</f>
        <v>#N/A</v>
      </c>
      <c r="AO369" t="e">
        <f>VLOOKUP($I369,'[1]Table S6'!$A:$AI,33,FALSE)</f>
        <v>#N/A</v>
      </c>
      <c r="AP369" t="e">
        <f>VLOOKUP($I369,'[1]Table S6'!$A:$AI,34,FALSE)</f>
        <v>#N/A</v>
      </c>
      <c r="AQ369" t="e">
        <f>VLOOKUP($I369,'[1]Table S6'!$A:$AI,35,FALSE)</f>
        <v>#N/A</v>
      </c>
      <c r="AS369" t="str">
        <f>VLOOKUP($H369,'[2]Table S5'!$A:$K,8,FALSE)</f>
        <v>Resistant</v>
      </c>
      <c r="AT369" t="str">
        <f>VLOOKUP($H369,'[2]Table S5'!$A:$K,9,FALSE)</f>
        <v>Resistant</v>
      </c>
      <c r="AU369" t="str">
        <f>VLOOKUP($H369,'[2]Table S5'!$A:$K,10,FALSE)</f>
        <v>Resistant</v>
      </c>
      <c r="AV369" t="str">
        <f>VLOOKUP($H369,'[2]Table S5'!$A:$K,11,FALSE)</f>
        <v>Resistant</v>
      </c>
    </row>
    <row r="370" spans="1:48">
      <c r="A370" t="s">
        <v>4698</v>
      </c>
      <c r="B370" t="s">
        <v>4699</v>
      </c>
      <c r="C370" t="s">
        <v>17</v>
      </c>
      <c r="D370" t="s">
        <v>4701</v>
      </c>
      <c r="E370" t="s">
        <v>4702</v>
      </c>
      <c r="F370" t="s">
        <v>4703</v>
      </c>
      <c r="G370" t="s">
        <v>4758</v>
      </c>
      <c r="H370" t="s">
        <v>2705</v>
      </c>
      <c r="I370" t="s">
        <v>2705</v>
      </c>
      <c r="J370" t="e">
        <f>VLOOKUP($I370,'[1]Table S6'!$A:$AI,2,FALSE)</f>
        <v>#N/A</v>
      </c>
      <c r="K370" t="e">
        <f>VLOOKUP($I370,'[1]Table S6'!$A:$AI,3,FALSE)</f>
        <v>#N/A</v>
      </c>
      <c r="L370" t="e">
        <f>VLOOKUP($I370,'[1]Table S6'!$A:$AI,4,FALSE)</f>
        <v>#N/A</v>
      </c>
      <c r="M370" t="e">
        <f>VLOOKUP($I370,'[1]Table S6'!$A:$AI,5,FALSE)</f>
        <v>#N/A</v>
      </c>
      <c r="O370" t="e">
        <f>VLOOKUP($I370,'[1]Table S6'!$A:$AI,7,FALSE)</f>
        <v>#N/A</v>
      </c>
      <c r="P370" t="e">
        <f>VLOOKUP($I370,'[1]Table S6'!$A:$AI,8,FALSE)</f>
        <v>#N/A</v>
      </c>
      <c r="Q370" t="e">
        <f>VLOOKUP($I370,'[1]Table S6'!$A:$AI,9,FALSE)</f>
        <v>#N/A</v>
      </c>
      <c r="R370" t="e">
        <f>VLOOKUP($I370,'[1]Table S6'!$A:$AI,10,FALSE)</f>
        <v>#N/A</v>
      </c>
      <c r="T370" t="e">
        <f>VLOOKUP($I370,'[1]Table S6'!$A:$AI,12,FALSE)</f>
        <v>#N/A</v>
      </c>
      <c r="U370" t="e">
        <f>VLOOKUP($I370,'[1]Table S6'!$A:$AI,13,FALSE)</f>
        <v>#N/A</v>
      </c>
      <c r="V370" t="e">
        <f>VLOOKUP($I370,'[1]Table S6'!$A:$AI,14,FALSE)</f>
        <v>#N/A</v>
      </c>
      <c r="W370" t="e">
        <f>VLOOKUP($I370,'[1]Table S6'!$A:$AI,15,FALSE)</f>
        <v>#N/A</v>
      </c>
      <c r="Y370" t="e">
        <f>VLOOKUP($I370,'[1]Table S6'!$A:$AI,17,FALSE)</f>
        <v>#N/A</v>
      </c>
      <c r="Z370" t="e">
        <f>VLOOKUP($I370,'[1]Table S6'!$A:$AI,18,FALSE)</f>
        <v>#N/A</v>
      </c>
      <c r="AA370" t="e">
        <f>VLOOKUP($I370,'[1]Table S6'!$A:$AI,19,FALSE)</f>
        <v>#N/A</v>
      </c>
      <c r="AB370" t="e">
        <f>VLOOKUP($I370,'[1]Table S6'!$A:$AI,20,FALSE)</f>
        <v>#N/A</v>
      </c>
      <c r="AD370" t="e">
        <f>VLOOKUP($I370,'[1]Table S6'!$A:$AI,22,FALSE)</f>
        <v>#N/A</v>
      </c>
      <c r="AE370" t="e">
        <f>VLOOKUP($I370,'[1]Table S6'!$A:$AI,23,FALSE)</f>
        <v>#N/A</v>
      </c>
      <c r="AF370" t="e">
        <f>VLOOKUP($I370,'[1]Table S6'!$A:$AI,24,FALSE)</f>
        <v>#N/A</v>
      </c>
      <c r="AG370" t="e">
        <f>VLOOKUP($I370,'[1]Table S6'!$A:$AI,25,FALSE)</f>
        <v>#N/A</v>
      </c>
      <c r="AI370" t="e">
        <f>VLOOKUP($I370,'[1]Table S6'!$A:$AI,27,FALSE)</f>
        <v>#N/A</v>
      </c>
      <c r="AJ370" t="e">
        <f>VLOOKUP($I370,'[1]Table S6'!$A:$AI,28,FALSE)</f>
        <v>#N/A</v>
      </c>
      <c r="AK370" t="e">
        <f>VLOOKUP($I370,'[1]Table S6'!$A:$AI,29,FALSE)</f>
        <v>#N/A</v>
      </c>
      <c r="AL370" t="e">
        <f>VLOOKUP($I370,'[1]Table S6'!$A:$AI,30,FALSE)</f>
        <v>#N/A</v>
      </c>
      <c r="AN370" t="e">
        <f>VLOOKUP($I370,'[1]Table S6'!$A:$AI,32,FALSE)</f>
        <v>#N/A</v>
      </c>
      <c r="AO370" t="e">
        <f>VLOOKUP($I370,'[1]Table S6'!$A:$AI,33,FALSE)</f>
        <v>#N/A</v>
      </c>
      <c r="AP370" t="e">
        <f>VLOOKUP($I370,'[1]Table S6'!$A:$AI,34,FALSE)</f>
        <v>#N/A</v>
      </c>
      <c r="AQ370" t="e">
        <f>VLOOKUP($I370,'[1]Table S6'!$A:$AI,35,FALSE)</f>
        <v>#N/A</v>
      </c>
      <c r="AS370" t="str">
        <f>VLOOKUP($H370,'[2]Table S5'!$A:$K,8,FALSE)</f>
        <v>Sensitive</v>
      </c>
      <c r="AT370" t="str">
        <f>VLOOKUP($H370,'[2]Table S5'!$A:$K,9,FALSE)</f>
        <v>Resistant</v>
      </c>
      <c r="AU370" t="str">
        <f>VLOOKUP($H370,'[2]Table S5'!$A:$K,10,FALSE)</f>
        <v>Resistant</v>
      </c>
      <c r="AV370" t="str">
        <f>VLOOKUP($H370,'[2]Table S5'!$A:$K,11,FALSE)</f>
        <v>Sensitive</v>
      </c>
    </row>
    <row r="371" spans="1:48">
      <c r="A371" t="s">
        <v>4705</v>
      </c>
      <c r="B371" t="s">
        <v>4706</v>
      </c>
      <c r="C371" t="s">
        <v>17</v>
      </c>
      <c r="D371" t="s">
        <v>2702</v>
      </c>
      <c r="E371" t="s">
        <v>2703</v>
      </c>
      <c r="F371" t="s">
        <v>2704</v>
      </c>
      <c r="G371" t="s">
        <v>4750</v>
      </c>
      <c r="H371" t="s">
        <v>2705</v>
      </c>
      <c r="I371" t="s">
        <v>2706</v>
      </c>
      <c r="J371">
        <f>VLOOKUP($I371,'[1]Table S6'!$A:$AI,2,FALSE)</f>
        <v>305.39999999999998</v>
      </c>
      <c r="K371">
        <f>VLOOKUP($I371,'[1]Table S6'!$A:$AI,3,FALSE)</f>
        <v>0.64992551606724802</v>
      </c>
      <c r="L371">
        <f>VLOOKUP($I371,'[1]Table S6'!$A:$AI,4,FALSE)</f>
        <v>1.5920000000000001</v>
      </c>
      <c r="M371" t="str">
        <f>VLOOKUP($I371,'[1]Table S6'!$A:$AI,5,FALSE)</f>
        <v>Yes</v>
      </c>
      <c r="O371">
        <f>VLOOKUP($I371,'[1]Table S6'!$A:$AI,7,FALSE)</f>
        <v>315.10000000000002</v>
      </c>
      <c r="P371">
        <f>VLOOKUP($I371,'[1]Table S6'!$A:$AI,8,FALSE)</f>
        <v>0.67056820600127698</v>
      </c>
      <c r="Q371">
        <f>VLOOKUP($I371,'[1]Table S6'!$A:$AI,9,FALSE)</f>
        <v>1.5880000000000001</v>
      </c>
      <c r="R371" t="str">
        <f>VLOOKUP($I371,'[1]Table S6'!$A:$AI,10,FALSE)</f>
        <v>Yes</v>
      </c>
      <c r="T371">
        <f>VLOOKUP($I371,'[1]Table S6'!$A:$AI,12,FALSE)</f>
        <v>320</v>
      </c>
      <c r="U371">
        <f>VLOOKUP($I371,'[1]Table S6'!$A:$AI,13,FALSE)</f>
        <v>0.68099595658650802</v>
      </c>
      <c r="V371">
        <f>VLOOKUP($I371,'[1]Table S6'!$A:$AI,14,FALSE)</f>
        <v>1.9019999999999999</v>
      </c>
      <c r="W371" t="str">
        <f>VLOOKUP($I371,'[1]Table S6'!$A:$AI,15,FALSE)</f>
        <v>Yes</v>
      </c>
      <c r="Y371">
        <f>VLOOKUP($I371,'[1]Table S6'!$A:$AI,17,FALSE)</f>
        <v>295.2</v>
      </c>
      <c r="Z371">
        <f>VLOOKUP($I371,'[1]Table S6'!$A:$AI,18,FALSE)</f>
        <v>0.62821876995105297</v>
      </c>
      <c r="AA371">
        <f>VLOOKUP($I371,'[1]Table S6'!$A:$AI,19,FALSE)</f>
        <v>1.028</v>
      </c>
      <c r="AB371" t="str">
        <f>VLOOKUP($I371,'[1]Table S6'!$A:$AI,20,FALSE)</f>
        <v>Yes</v>
      </c>
      <c r="AD371">
        <f>VLOOKUP($I371,'[1]Table S6'!$A:$AI,22,FALSE)</f>
        <v>370.2</v>
      </c>
      <c r="AE371">
        <f>VLOOKUP($I371,'[1]Table S6'!$A:$AI,23,FALSE)</f>
        <v>0.78782719727601602</v>
      </c>
      <c r="AF371">
        <f>VLOOKUP($I371,'[1]Table S6'!$A:$AI,24,FALSE)</f>
        <v>18.95</v>
      </c>
      <c r="AG371" t="str">
        <f>VLOOKUP($I371,'[1]Table S6'!$A:$AI,25,FALSE)</f>
        <v>No</v>
      </c>
      <c r="AI371">
        <f>VLOOKUP($I371,'[1]Table S6'!$A:$AI,27,FALSE)</f>
        <v>472.5</v>
      </c>
      <c r="AJ371">
        <f>VLOOKUP($I371,'[1]Table S6'!$A:$AI,28,FALSE)</f>
        <v>1.00553309214727</v>
      </c>
      <c r="AK371">
        <f>VLOOKUP($I371,'[1]Table S6'!$A:$AI,29,FALSE)</f>
        <v>641.9</v>
      </c>
      <c r="AL371" t="str">
        <f>VLOOKUP($I371,'[1]Table S6'!$A:$AI,30,FALSE)</f>
        <v>No</v>
      </c>
      <c r="AN371">
        <f>VLOOKUP($I371,'[1]Table S6'!$A:$AI,32,FALSE)</f>
        <v>436.7</v>
      </c>
      <c r="AO371">
        <f>VLOOKUP($I371,'[1]Table S6'!$A:$AI,33,FALSE)</f>
        <v>0.92934666950415001</v>
      </c>
      <c r="AP371">
        <f>VLOOKUP($I371,'[1]Table S6'!$A:$AI,34,FALSE)</f>
        <v>427.6</v>
      </c>
      <c r="AQ371" t="str">
        <f>VLOOKUP($I371,'[1]Table S6'!$A:$AI,35,FALSE)</f>
        <v>No</v>
      </c>
      <c r="AS371" t="str">
        <f>VLOOKUP($H371,'[2]Table S5'!$A:$K,8,FALSE)</f>
        <v>Sensitive</v>
      </c>
      <c r="AT371" t="str">
        <f>VLOOKUP($H371,'[2]Table S5'!$A:$K,9,FALSE)</f>
        <v>Resistant</v>
      </c>
      <c r="AU371" t="str">
        <f>VLOOKUP($H371,'[2]Table S5'!$A:$K,10,FALSE)</f>
        <v>Resistant</v>
      </c>
      <c r="AV371" t="str">
        <f>VLOOKUP($H371,'[2]Table S5'!$A:$K,11,FALSE)</f>
        <v>Sensitive</v>
      </c>
    </row>
    <row r="372" spans="1:48">
      <c r="A372" t="s">
        <v>4708</v>
      </c>
      <c r="B372" t="s">
        <v>4709</v>
      </c>
      <c r="C372" t="s">
        <v>17</v>
      </c>
      <c r="D372" t="s">
        <v>2718</v>
      </c>
      <c r="E372" t="s">
        <v>2719</v>
      </c>
      <c r="F372" t="s">
        <v>2720</v>
      </c>
      <c r="G372" t="s">
        <v>4750</v>
      </c>
      <c r="H372" t="s">
        <v>2705</v>
      </c>
      <c r="I372" t="s">
        <v>2721</v>
      </c>
      <c r="J372">
        <f>VLOOKUP($I372,'[1]Table S6'!$A:$AI,2,FALSE)</f>
        <v>250.1</v>
      </c>
      <c r="K372">
        <f>VLOOKUP($I372,'[1]Table S6'!$A:$AI,3,FALSE)</f>
        <v>0.53224090231964205</v>
      </c>
      <c r="L372">
        <f>VLOOKUP($I372,'[1]Table S6'!$A:$AI,4,FALSE)</f>
        <v>0.39900000000000002</v>
      </c>
      <c r="M372" t="str">
        <f>VLOOKUP($I372,'[1]Table S6'!$A:$AI,5,FALSE)</f>
        <v>Yes</v>
      </c>
      <c r="O372">
        <f>VLOOKUP($I372,'[1]Table S6'!$A:$AI,7,FALSE)</f>
        <v>321.3</v>
      </c>
      <c r="P372">
        <f>VLOOKUP($I372,'[1]Table S6'!$A:$AI,8,FALSE)</f>
        <v>0.68376250266014005</v>
      </c>
      <c r="Q372">
        <f>VLOOKUP($I372,'[1]Table S6'!$A:$AI,9,FALSE)</f>
        <v>2.1520000000000001</v>
      </c>
      <c r="R372" t="str">
        <f>VLOOKUP($I372,'[1]Table S6'!$A:$AI,10,FALSE)</f>
        <v>Yes</v>
      </c>
      <c r="T372">
        <f>VLOOKUP($I372,'[1]Table S6'!$A:$AI,12,FALSE)</f>
        <v>347.8</v>
      </c>
      <c r="U372">
        <f>VLOOKUP($I372,'[1]Table S6'!$A:$AI,13,FALSE)</f>
        <v>0.74015748031496098</v>
      </c>
      <c r="V372">
        <f>VLOOKUP($I372,'[1]Table S6'!$A:$AI,14,FALSE)</f>
        <v>5.4029999999999996</v>
      </c>
      <c r="W372" t="str">
        <f>VLOOKUP($I372,'[1]Table S6'!$A:$AI,15,FALSE)</f>
        <v>No</v>
      </c>
      <c r="Y372">
        <f>VLOOKUP($I372,'[1]Table S6'!$A:$AI,17,FALSE)</f>
        <v>311.89999999999998</v>
      </c>
      <c r="Z372">
        <f>VLOOKUP($I372,'[1]Table S6'!$A:$AI,18,FALSE)</f>
        <v>0.66375824643541204</v>
      </c>
      <c r="AA372">
        <f>VLOOKUP($I372,'[1]Table S6'!$A:$AI,19,FALSE)</f>
        <v>1.6140000000000001</v>
      </c>
      <c r="AB372" t="str">
        <f>VLOOKUP($I372,'[1]Table S6'!$A:$AI,20,FALSE)</f>
        <v>Yes</v>
      </c>
      <c r="AD372">
        <f>VLOOKUP($I372,'[1]Table S6'!$A:$AI,22,FALSE)</f>
        <v>360.5</v>
      </c>
      <c r="AE372">
        <f>VLOOKUP($I372,'[1]Table S6'!$A:$AI,23,FALSE)</f>
        <v>0.76718450734198795</v>
      </c>
      <c r="AF372">
        <f>VLOOKUP($I372,'[1]Table S6'!$A:$AI,24,FALSE)</f>
        <v>13.73</v>
      </c>
      <c r="AG372" t="str">
        <f>VLOOKUP($I372,'[1]Table S6'!$A:$AI,25,FALSE)</f>
        <v>No</v>
      </c>
      <c r="AI372">
        <f>VLOOKUP($I372,'[1]Table S6'!$A:$AI,27,FALSE)</f>
        <v>442.6</v>
      </c>
      <c r="AJ372">
        <f>VLOOKUP($I372,'[1]Table S6'!$A:$AI,28,FALSE)</f>
        <v>0.94190253245371403</v>
      </c>
      <c r="AK372">
        <f>VLOOKUP($I372,'[1]Table S6'!$A:$AI,29,FALSE)</f>
        <v>193.1</v>
      </c>
      <c r="AL372" t="str">
        <f>VLOOKUP($I372,'[1]Table S6'!$A:$AI,30,FALSE)</f>
        <v>No</v>
      </c>
      <c r="AN372">
        <f>VLOOKUP($I372,'[1]Table S6'!$A:$AI,32,FALSE)</f>
        <v>400.2</v>
      </c>
      <c r="AO372">
        <f>VLOOKUP($I372,'[1]Table S6'!$A:$AI,33,FALSE)</f>
        <v>0.85167056820600096</v>
      </c>
      <c r="AP372">
        <f>VLOOKUP($I372,'[1]Table S6'!$A:$AI,34,FALSE)</f>
        <v>181.2</v>
      </c>
      <c r="AQ372" t="str">
        <f>VLOOKUP($I372,'[1]Table S6'!$A:$AI,35,FALSE)</f>
        <v>No</v>
      </c>
      <c r="AS372" t="str">
        <f>VLOOKUP($H372,'[2]Table S5'!$A:$K,8,FALSE)</f>
        <v>Sensitive</v>
      </c>
      <c r="AT372" t="str">
        <f>VLOOKUP($H372,'[2]Table S5'!$A:$K,9,FALSE)</f>
        <v>Resistant</v>
      </c>
      <c r="AU372" t="str">
        <f>VLOOKUP($H372,'[2]Table S5'!$A:$K,10,FALSE)</f>
        <v>Resistant</v>
      </c>
      <c r="AV372" t="str">
        <f>VLOOKUP($H372,'[2]Table S5'!$A:$K,11,FALSE)</f>
        <v>Sensitive</v>
      </c>
    </row>
    <row r="373" spans="1:48">
      <c r="A373" t="s">
        <v>4711</v>
      </c>
      <c r="B373" t="s">
        <v>4712</v>
      </c>
      <c r="C373" t="s">
        <v>17</v>
      </c>
      <c r="D373" t="s">
        <v>4714</v>
      </c>
      <c r="E373" t="s">
        <v>4715</v>
      </c>
      <c r="F373" t="s">
        <v>4716</v>
      </c>
      <c r="G373" t="s">
        <v>4750</v>
      </c>
      <c r="H373" t="s">
        <v>2705</v>
      </c>
      <c r="I373" t="s">
        <v>4717</v>
      </c>
      <c r="J373">
        <f>VLOOKUP($I373,'[1]Table S6'!$A:$AI,2,FALSE)</f>
        <v>304.5</v>
      </c>
      <c r="K373">
        <f>VLOOKUP($I373,'[1]Table S6'!$A:$AI,3,FALSE)</f>
        <v>0.64801021493934896</v>
      </c>
      <c r="L373">
        <f>VLOOKUP($I373,'[1]Table S6'!$A:$AI,4,FALSE)</f>
        <v>1.1459999999999999</v>
      </c>
      <c r="M373" t="str">
        <f>VLOOKUP($I373,'[1]Table S6'!$A:$AI,5,FALSE)</f>
        <v>Yes</v>
      </c>
      <c r="O373">
        <f>VLOOKUP($I373,'[1]Table S6'!$A:$AI,7,FALSE)</f>
        <v>333.1</v>
      </c>
      <c r="P373">
        <f>VLOOKUP($I373,'[1]Table S6'!$A:$AI,8,FALSE)</f>
        <v>0.70887422855926796</v>
      </c>
      <c r="Q373">
        <f>VLOOKUP($I373,'[1]Table S6'!$A:$AI,9,FALSE)</f>
        <v>3.056</v>
      </c>
      <c r="R373" t="str">
        <f>VLOOKUP($I373,'[1]Table S6'!$A:$AI,10,FALSE)</f>
        <v>No</v>
      </c>
      <c r="T373">
        <f>VLOOKUP($I373,'[1]Table S6'!$A:$AI,12,FALSE)</f>
        <v>357.3</v>
      </c>
      <c r="U373">
        <f>VLOOKUP($I373,'[1]Table S6'!$A:$AI,13,FALSE)</f>
        <v>0.76037454777612301</v>
      </c>
      <c r="V373">
        <f>VLOOKUP($I373,'[1]Table S6'!$A:$AI,14,FALSE)</f>
        <v>6.98</v>
      </c>
      <c r="W373" t="str">
        <f>VLOOKUP($I373,'[1]Table S6'!$A:$AI,15,FALSE)</f>
        <v>No</v>
      </c>
      <c r="Y373">
        <f>VLOOKUP($I373,'[1]Table S6'!$A:$AI,17,FALSE)</f>
        <v>291.3</v>
      </c>
      <c r="Z373">
        <f>VLOOKUP($I373,'[1]Table S6'!$A:$AI,18,FALSE)</f>
        <v>0.619919131730155</v>
      </c>
      <c r="AA373">
        <f>VLOOKUP($I373,'[1]Table S6'!$A:$AI,19,FALSE)</f>
        <v>1.099</v>
      </c>
      <c r="AB373" t="str">
        <f>VLOOKUP($I373,'[1]Table S6'!$A:$AI,20,FALSE)</f>
        <v>Yes</v>
      </c>
      <c r="AD373">
        <f>VLOOKUP($I373,'[1]Table S6'!$A:$AI,22,FALSE)</f>
        <v>380.8</v>
      </c>
      <c r="AE373">
        <f>VLOOKUP($I373,'[1]Table S6'!$A:$AI,23,FALSE)</f>
        <v>0.81038518833794404</v>
      </c>
      <c r="AF373">
        <f>VLOOKUP($I373,'[1]Table S6'!$A:$AI,24,FALSE)</f>
        <v>25.26</v>
      </c>
      <c r="AG373" t="str">
        <f>VLOOKUP($I373,'[1]Table S6'!$A:$AI,25,FALSE)</f>
        <v>No</v>
      </c>
      <c r="AI373">
        <f>VLOOKUP($I373,'[1]Table S6'!$A:$AI,27,FALSE)</f>
        <v>430.8</v>
      </c>
      <c r="AJ373">
        <f>VLOOKUP($I373,'[1]Table S6'!$A:$AI,28,FALSE)</f>
        <v>0.916790806554586</v>
      </c>
      <c r="AK373">
        <f>VLOOKUP($I373,'[1]Table S6'!$A:$AI,29,FALSE)</f>
        <v>173.7</v>
      </c>
      <c r="AL373" t="str">
        <f>VLOOKUP($I373,'[1]Table S6'!$A:$AI,30,FALSE)</f>
        <v>No</v>
      </c>
      <c r="AN373">
        <f>VLOOKUP($I373,'[1]Table S6'!$A:$AI,32,FALSE)</f>
        <v>452.2</v>
      </c>
      <c r="AO373">
        <f>VLOOKUP($I373,'[1]Table S6'!$A:$AI,33,FALSE)</f>
        <v>0.96233241115130896</v>
      </c>
      <c r="AP373">
        <f>VLOOKUP($I373,'[1]Table S6'!$A:$AI,34,FALSE)</f>
        <v>285.5</v>
      </c>
      <c r="AQ373" t="str">
        <f>VLOOKUP($I373,'[1]Table S6'!$A:$AI,35,FALSE)</f>
        <v>No</v>
      </c>
      <c r="AS373" t="str">
        <f>VLOOKUP($H373,'[2]Table S5'!$A:$K,8,FALSE)</f>
        <v>Sensitive</v>
      </c>
      <c r="AT373" t="str">
        <f>VLOOKUP($H373,'[2]Table S5'!$A:$K,9,FALSE)</f>
        <v>Resistant</v>
      </c>
      <c r="AU373" t="str">
        <f>VLOOKUP($H373,'[2]Table S5'!$A:$K,10,FALSE)</f>
        <v>Resistant</v>
      </c>
      <c r="AV373" t="str">
        <f>VLOOKUP($H373,'[2]Table S5'!$A:$K,11,FALSE)</f>
        <v>Sensitive</v>
      </c>
    </row>
    <row r="374" spans="1:48">
      <c r="A374" t="s">
        <v>4719</v>
      </c>
      <c r="B374" t="s">
        <v>4720</v>
      </c>
      <c r="C374" t="s">
        <v>17</v>
      </c>
      <c r="D374" t="s">
        <v>2711</v>
      </c>
      <c r="E374" t="s">
        <v>2712</v>
      </c>
      <c r="F374" t="s">
        <v>2713</v>
      </c>
      <c r="G374" t="s">
        <v>4751</v>
      </c>
      <c r="H374" t="s">
        <v>2705</v>
      </c>
      <c r="I374" t="s">
        <v>2706</v>
      </c>
      <c r="J374">
        <f>VLOOKUP($I374,'[1]Table S6'!$A:$AI,2,FALSE)</f>
        <v>305.39999999999998</v>
      </c>
      <c r="K374">
        <f>VLOOKUP($I374,'[1]Table S6'!$A:$AI,3,FALSE)</f>
        <v>0.64992551606724802</v>
      </c>
      <c r="L374">
        <f>VLOOKUP($I374,'[1]Table S6'!$A:$AI,4,FALSE)</f>
        <v>1.5920000000000001</v>
      </c>
      <c r="M374" t="str">
        <f>VLOOKUP($I374,'[1]Table S6'!$A:$AI,5,FALSE)</f>
        <v>Yes</v>
      </c>
      <c r="O374">
        <f>VLOOKUP($I374,'[1]Table S6'!$A:$AI,7,FALSE)</f>
        <v>315.10000000000002</v>
      </c>
      <c r="P374">
        <f>VLOOKUP($I374,'[1]Table S6'!$A:$AI,8,FALSE)</f>
        <v>0.67056820600127698</v>
      </c>
      <c r="Q374">
        <f>VLOOKUP($I374,'[1]Table S6'!$A:$AI,9,FALSE)</f>
        <v>1.5880000000000001</v>
      </c>
      <c r="R374" t="str">
        <f>VLOOKUP($I374,'[1]Table S6'!$A:$AI,10,FALSE)</f>
        <v>Yes</v>
      </c>
      <c r="T374">
        <f>VLOOKUP($I374,'[1]Table S6'!$A:$AI,12,FALSE)</f>
        <v>320</v>
      </c>
      <c r="U374">
        <f>VLOOKUP($I374,'[1]Table S6'!$A:$AI,13,FALSE)</f>
        <v>0.68099595658650802</v>
      </c>
      <c r="V374">
        <f>VLOOKUP($I374,'[1]Table S6'!$A:$AI,14,FALSE)</f>
        <v>1.9019999999999999</v>
      </c>
      <c r="W374" t="str">
        <f>VLOOKUP($I374,'[1]Table S6'!$A:$AI,15,FALSE)</f>
        <v>Yes</v>
      </c>
      <c r="Y374">
        <f>VLOOKUP($I374,'[1]Table S6'!$A:$AI,17,FALSE)</f>
        <v>295.2</v>
      </c>
      <c r="Z374">
        <f>VLOOKUP($I374,'[1]Table S6'!$A:$AI,18,FALSE)</f>
        <v>0.62821876995105297</v>
      </c>
      <c r="AA374">
        <f>VLOOKUP($I374,'[1]Table S6'!$A:$AI,19,FALSE)</f>
        <v>1.028</v>
      </c>
      <c r="AB374" t="str">
        <f>VLOOKUP($I374,'[1]Table S6'!$A:$AI,20,FALSE)</f>
        <v>Yes</v>
      </c>
      <c r="AD374">
        <f>VLOOKUP($I374,'[1]Table S6'!$A:$AI,22,FALSE)</f>
        <v>370.2</v>
      </c>
      <c r="AE374">
        <f>VLOOKUP($I374,'[1]Table S6'!$A:$AI,23,FALSE)</f>
        <v>0.78782719727601602</v>
      </c>
      <c r="AF374">
        <f>VLOOKUP($I374,'[1]Table S6'!$A:$AI,24,FALSE)</f>
        <v>18.95</v>
      </c>
      <c r="AG374" t="str">
        <f>VLOOKUP($I374,'[1]Table S6'!$A:$AI,25,FALSE)</f>
        <v>No</v>
      </c>
      <c r="AI374">
        <f>VLOOKUP($I374,'[1]Table S6'!$A:$AI,27,FALSE)</f>
        <v>472.5</v>
      </c>
      <c r="AJ374">
        <f>VLOOKUP($I374,'[1]Table S6'!$A:$AI,28,FALSE)</f>
        <v>1.00553309214727</v>
      </c>
      <c r="AK374">
        <f>VLOOKUP($I374,'[1]Table S6'!$A:$AI,29,FALSE)</f>
        <v>641.9</v>
      </c>
      <c r="AL374" t="str">
        <f>VLOOKUP($I374,'[1]Table S6'!$A:$AI,30,FALSE)</f>
        <v>No</v>
      </c>
      <c r="AN374">
        <f>VLOOKUP($I374,'[1]Table S6'!$A:$AI,32,FALSE)</f>
        <v>436.7</v>
      </c>
      <c r="AO374">
        <f>VLOOKUP($I374,'[1]Table S6'!$A:$AI,33,FALSE)</f>
        <v>0.92934666950415001</v>
      </c>
      <c r="AP374">
        <f>VLOOKUP($I374,'[1]Table S6'!$A:$AI,34,FALSE)</f>
        <v>427.6</v>
      </c>
      <c r="AQ374" t="str">
        <f>VLOOKUP($I374,'[1]Table S6'!$A:$AI,35,FALSE)</f>
        <v>No</v>
      </c>
      <c r="AS374" t="str">
        <f>VLOOKUP($H374,'[2]Table S5'!$A:$K,8,FALSE)</f>
        <v>Sensitive</v>
      </c>
      <c r="AT374" t="str">
        <f>VLOOKUP($H374,'[2]Table S5'!$A:$K,9,FALSE)</f>
        <v>Resistant</v>
      </c>
      <c r="AU374" t="str">
        <f>VLOOKUP($H374,'[2]Table S5'!$A:$K,10,FALSE)</f>
        <v>Resistant</v>
      </c>
      <c r="AV374" t="str">
        <f>VLOOKUP($H374,'[2]Table S5'!$A:$K,11,FALSE)</f>
        <v>Sensitive</v>
      </c>
    </row>
    <row r="375" spans="1:48">
      <c r="A375" t="s">
        <v>4722</v>
      </c>
      <c r="B375" t="s">
        <v>4723</v>
      </c>
      <c r="C375" t="s">
        <v>17</v>
      </c>
      <c r="D375" t="s">
        <v>2726</v>
      </c>
      <c r="E375" t="s">
        <v>2727</v>
      </c>
      <c r="F375" t="s">
        <v>2728</v>
      </c>
      <c r="G375" t="s">
        <v>4751</v>
      </c>
      <c r="H375" t="s">
        <v>2705</v>
      </c>
      <c r="I375" t="s">
        <v>2721</v>
      </c>
      <c r="J375">
        <f>VLOOKUP($I375,'[1]Table S6'!$A:$AI,2,FALSE)</f>
        <v>250.1</v>
      </c>
      <c r="K375">
        <f>VLOOKUP($I375,'[1]Table S6'!$A:$AI,3,FALSE)</f>
        <v>0.53224090231964205</v>
      </c>
      <c r="L375">
        <f>VLOOKUP($I375,'[1]Table S6'!$A:$AI,4,FALSE)</f>
        <v>0.39900000000000002</v>
      </c>
      <c r="M375" t="str">
        <f>VLOOKUP($I375,'[1]Table S6'!$A:$AI,5,FALSE)</f>
        <v>Yes</v>
      </c>
      <c r="O375">
        <f>VLOOKUP($I375,'[1]Table S6'!$A:$AI,7,FALSE)</f>
        <v>321.3</v>
      </c>
      <c r="P375">
        <f>VLOOKUP($I375,'[1]Table S6'!$A:$AI,8,FALSE)</f>
        <v>0.68376250266014005</v>
      </c>
      <c r="Q375">
        <f>VLOOKUP($I375,'[1]Table S6'!$A:$AI,9,FALSE)</f>
        <v>2.1520000000000001</v>
      </c>
      <c r="R375" t="str">
        <f>VLOOKUP($I375,'[1]Table S6'!$A:$AI,10,FALSE)</f>
        <v>Yes</v>
      </c>
      <c r="T375">
        <f>VLOOKUP($I375,'[1]Table S6'!$A:$AI,12,FALSE)</f>
        <v>347.8</v>
      </c>
      <c r="U375">
        <f>VLOOKUP($I375,'[1]Table S6'!$A:$AI,13,FALSE)</f>
        <v>0.74015748031496098</v>
      </c>
      <c r="V375">
        <f>VLOOKUP($I375,'[1]Table S6'!$A:$AI,14,FALSE)</f>
        <v>5.4029999999999996</v>
      </c>
      <c r="W375" t="str">
        <f>VLOOKUP($I375,'[1]Table S6'!$A:$AI,15,FALSE)</f>
        <v>No</v>
      </c>
      <c r="Y375">
        <f>VLOOKUP($I375,'[1]Table S6'!$A:$AI,17,FALSE)</f>
        <v>311.89999999999998</v>
      </c>
      <c r="Z375">
        <f>VLOOKUP($I375,'[1]Table S6'!$A:$AI,18,FALSE)</f>
        <v>0.66375824643541204</v>
      </c>
      <c r="AA375">
        <f>VLOOKUP($I375,'[1]Table S6'!$A:$AI,19,FALSE)</f>
        <v>1.6140000000000001</v>
      </c>
      <c r="AB375" t="str">
        <f>VLOOKUP($I375,'[1]Table S6'!$A:$AI,20,FALSE)</f>
        <v>Yes</v>
      </c>
      <c r="AD375">
        <f>VLOOKUP($I375,'[1]Table S6'!$A:$AI,22,FALSE)</f>
        <v>360.5</v>
      </c>
      <c r="AE375">
        <f>VLOOKUP($I375,'[1]Table S6'!$A:$AI,23,FALSE)</f>
        <v>0.76718450734198795</v>
      </c>
      <c r="AF375">
        <f>VLOOKUP($I375,'[1]Table S6'!$A:$AI,24,FALSE)</f>
        <v>13.73</v>
      </c>
      <c r="AG375" t="str">
        <f>VLOOKUP($I375,'[1]Table S6'!$A:$AI,25,FALSE)</f>
        <v>No</v>
      </c>
      <c r="AI375">
        <f>VLOOKUP($I375,'[1]Table S6'!$A:$AI,27,FALSE)</f>
        <v>442.6</v>
      </c>
      <c r="AJ375">
        <f>VLOOKUP($I375,'[1]Table S6'!$A:$AI,28,FALSE)</f>
        <v>0.94190253245371403</v>
      </c>
      <c r="AK375">
        <f>VLOOKUP($I375,'[1]Table S6'!$A:$AI,29,FALSE)</f>
        <v>193.1</v>
      </c>
      <c r="AL375" t="str">
        <f>VLOOKUP($I375,'[1]Table S6'!$A:$AI,30,FALSE)</f>
        <v>No</v>
      </c>
      <c r="AN375">
        <f>VLOOKUP($I375,'[1]Table S6'!$A:$AI,32,FALSE)</f>
        <v>400.2</v>
      </c>
      <c r="AO375">
        <f>VLOOKUP($I375,'[1]Table S6'!$A:$AI,33,FALSE)</f>
        <v>0.85167056820600096</v>
      </c>
      <c r="AP375">
        <f>VLOOKUP($I375,'[1]Table S6'!$A:$AI,34,FALSE)</f>
        <v>181.2</v>
      </c>
      <c r="AQ375" t="str">
        <f>VLOOKUP($I375,'[1]Table S6'!$A:$AI,35,FALSE)</f>
        <v>No</v>
      </c>
      <c r="AS375" t="str">
        <f>VLOOKUP($H375,'[2]Table S5'!$A:$K,8,FALSE)</f>
        <v>Sensitive</v>
      </c>
      <c r="AT375" t="str">
        <f>VLOOKUP($H375,'[2]Table S5'!$A:$K,9,FALSE)</f>
        <v>Resistant</v>
      </c>
      <c r="AU375" t="str">
        <f>VLOOKUP($H375,'[2]Table S5'!$A:$K,10,FALSE)</f>
        <v>Resistant</v>
      </c>
      <c r="AV375" t="str">
        <f>VLOOKUP($H375,'[2]Table S5'!$A:$K,11,FALSE)</f>
        <v>Sensitive</v>
      </c>
    </row>
    <row r="376" spans="1:48">
      <c r="A376" t="s">
        <v>4725</v>
      </c>
      <c r="B376" t="s">
        <v>4726</v>
      </c>
      <c r="C376" t="s">
        <v>17</v>
      </c>
      <c r="D376" t="s">
        <v>4728</v>
      </c>
      <c r="E376" t="s">
        <v>4729</v>
      </c>
      <c r="F376" t="s">
        <v>4730</v>
      </c>
      <c r="G376" t="s">
        <v>4751</v>
      </c>
      <c r="H376" t="s">
        <v>2705</v>
      </c>
      <c r="I376" t="s">
        <v>4717</v>
      </c>
      <c r="J376">
        <f>VLOOKUP($I376,'[1]Table S6'!$A:$AI,2,FALSE)</f>
        <v>304.5</v>
      </c>
      <c r="K376">
        <f>VLOOKUP($I376,'[1]Table S6'!$A:$AI,3,FALSE)</f>
        <v>0.64801021493934896</v>
      </c>
      <c r="L376">
        <f>VLOOKUP($I376,'[1]Table S6'!$A:$AI,4,FALSE)</f>
        <v>1.1459999999999999</v>
      </c>
      <c r="M376" t="str">
        <f>VLOOKUP($I376,'[1]Table S6'!$A:$AI,5,FALSE)</f>
        <v>Yes</v>
      </c>
      <c r="O376">
        <f>VLOOKUP($I376,'[1]Table S6'!$A:$AI,7,FALSE)</f>
        <v>333.1</v>
      </c>
      <c r="P376">
        <f>VLOOKUP($I376,'[1]Table S6'!$A:$AI,8,FALSE)</f>
        <v>0.70887422855926796</v>
      </c>
      <c r="Q376">
        <f>VLOOKUP($I376,'[1]Table S6'!$A:$AI,9,FALSE)</f>
        <v>3.056</v>
      </c>
      <c r="R376" t="str">
        <f>VLOOKUP($I376,'[1]Table S6'!$A:$AI,10,FALSE)</f>
        <v>No</v>
      </c>
      <c r="T376">
        <f>VLOOKUP($I376,'[1]Table S6'!$A:$AI,12,FALSE)</f>
        <v>357.3</v>
      </c>
      <c r="U376">
        <f>VLOOKUP($I376,'[1]Table S6'!$A:$AI,13,FALSE)</f>
        <v>0.76037454777612301</v>
      </c>
      <c r="V376">
        <f>VLOOKUP($I376,'[1]Table S6'!$A:$AI,14,FALSE)</f>
        <v>6.98</v>
      </c>
      <c r="W376" t="str">
        <f>VLOOKUP($I376,'[1]Table S6'!$A:$AI,15,FALSE)</f>
        <v>No</v>
      </c>
      <c r="Y376">
        <f>VLOOKUP($I376,'[1]Table S6'!$A:$AI,17,FALSE)</f>
        <v>291.3</v>
      </c>
      <c r="Z376">
        <f>VLOOKUP($I376,'[1]Table S6'!$A:$AI,18,FALSE)</f>
        <v>0.619919131730155</v>
      </c>
      <c r="AA376">
        <f>VLOOKUP($I376,'[1]Table S6'!$A:$AI,19,FALSE)</f>
        <v>1.099</v>
      </c>
      <c r="AB376" t="str">
        <f>VLOOKUP($I376,'[1]Table S6'!$A:$AI,20,FALSE)</f>
        <v>Yes</v>
      </c>
      <c r="AD376">
        <f>VLOOKUP($I376,'[1]Table S6'!$A:$AI,22,FALSE)</f>
        <v>380.8</v>
      </c>
      <c r="AE376">
        <f>VLOOKUP($I376,'[1]Table S6'!$A:$AI,23,FALSE)</f>
        <v>0.81038518833794404</v>
      </c>
      <c r="AF376">
        <f>VLOOKUP($I376,'[1]Table S6'!$A:$AI,24,FALSE)</f>
        <v>25.26</v>
      </c>
      <c r="AG376" t="str">
        <f>VLOOKUP($I376,'[1]Table S6'!$A:$AI,25,FALSE)</f>
        <v>No</v>
      </c>
      <c r="AI376">
        <f>VLOOKUP($I376,'[1]Table S6'!$A:$AI,27,FALSE)</f>
        <v>430.8</v>
      </c>
      <c r="AJ376">
        <f>VLOOKUP($I376,'[1]Table S6'!$A:$AI,28,FALSE)</f>
        <v>0.916790806554586</v>
      </c>
      <c r="AK376">
        <f>VLOOKUP($I376,'[1]Table S6'!$A:$AI,29,FALSE)</f>
        <v>173.7</v>
      </c>
      <c r="AL376" t="str">
        <f>VLOOKUP($I376,'[1]Table S6'!$A:$AI,30,FALSE)</f>
        <v>No</v>
      </c>
      <c r="AN376">
        <f>VLOOKUP($I376,'[1]Table S6'!$A:$AI,32,FALSE)</f>
        <v>452.2</v>
      </c>
      <c r="AO376">
        <f>VLOOKUP($I376,'[1]Table S6'!$A:$AI,33,FALSE)</f>
        <v>0.96233241115130896</v>
      </c>
      <c r="AP376">
        <f>VLOOKUP($I376,'[1]Table S6'!$A:$AI,34,FALSE)</f>
        <v>285.5</v>
      </c>
      <c r="AQ376" t="str">
        <f>VLOOKUP($I376,'[1]Table S6'!$A:$AI,35,FALSE)</f>
        <v>No</v>
      </c>
      <c r="AS376" t="str">
        <f>VLOOKUP($H376,'[2]Table S5'!$A:$K,8,FALSE)</f>
        <v>Sensitive</v>
      </c>
      <c r="AT376" t="str">
        <f>VLOOKUP($H376,'[2]Table S5'!$A:$K,9,FALSE)</f>
        <v>Resistant</v>
      </c>
      <c r="AU376" t="str">
        <f>VLOOKUP($H376,'[2]Table S5'!$A:$K,10,FALSE)</f>
        <v>Resistant</v>
      </c>
      <c r="AV376" t="str">
        <f>VLOOKUP($H376,'[2]Table S5'!$A:$K,11,FALSE)</f>
        <v>Sensitive</v>
      </c>
    </row>
    <row r="377" spans="1:48">
      <c r="A377" t="s">
        <v>4732</v>
      </c>
      <c r="B377" t="s">
        <v>4733</v>
      </c>
      <c r="C377" t="s">
        <v>17</v>
      </c>
      <c r="D377" t="s">
        <v>2754</v>
      </c>
      <c r="E377" t="s">
        <v>2755</v>
      </c>
      <c r="F377" t="s">
        <v>2756</v>
      </c>
      <c r="G377" t="s">
        <v>4750</v>
      </c>
      <c r="H377" t="s">
        <v>22</v>
      </c>
      <c r="I377" t="s">
        <v>39</v>
      </c>
      <c r="J377">
        <f>VLOOKUP($I377,'[1]Table S6'!$A:$AI,2,FALSE)</f>
        <v>306.10000000000002</v>
      </c>
      <c r="K377">
        <f>VLOOKUP($I377,'[1]Table S6'!$A:$AI,3,FALSE)</f>
        <v>0.65141519472228104</v>
      </c>
      <c r="L377">
        <f>VLOOKUP($I377,'[1]Table S6'!$A:$AI,4,FALSE)</f>
        <v>1.179</v>
      </c>
      <c r="M377" t="str">
        <f>VLOOKUP($I377,'[1]Table S6'!$A:$AI,5,FALSE)</f>
        <v>Yes</v>
      </c>
      <c r="O377">
        <f>VLOOKUP($I377,'[1]Table S6'!$A:$AI,7,FALSE)</f>
        <v>393.6</v>
      </c>
      <c r="P377">
        <f>VLOOKUP($I377,'[1]Table S6'!$A:$AI,8,FALSE)</f>
        <v>0.83762502660140503</v>
      </c>
      <c r="Q377">
        <f>VLOOKUP($I377,'[1]Table S6'!$A:$AI,9,FALSE)</f>
        <v>20.23</v>
      </c>
      <c r="R377" t="str">
        <f>VLOOKUP($I377,'[1]Table S6'!$A:$AI,10,FALSE)</f>
        <v>No</v>
      </c>
      <c r="T377">
        <f>VLOOKUP($I377,'[1]Table S6'!$A:$AI,12,FALSE)</f>
        <v>265</v>
      </c>
      <c r="U377">
        <f>VLOOKUP($I377,'[1]Table S6'!$A:$AI,13,FALSE)</f>
        <v>0.563949776548202</v>
      </c>
      <c r="V377">
        <f>VLOOKUP($I377,'[1]Table S6'!$A:$AI,14,FALSE)</f>
        <v>0.38069999999999998</v>
      </c>
      <c r="W377" t="str">
        <f>VLOOKUP($I377,'[1]Table S6'!$A:$AI,15,FALSE)</f>
        <v>Yes</v>
      </c>
      <c r="Y377">
        <f>VLOOKUP($I377,'[1]Table S6'!$A:$AI,17,FALSE)</f>
        <v>331.9</v>
      </c>
      <c r="Z377">
        <f>VLOOKUP($I377,'[1]Table S6'!$A:$AI,18,FALSE)</f>
        <v>0.70632049372206895</v>
      </c>
      <c r="AA377">
        <f>VLOOKUP($I377,'[1]Table S6'!$A:$AI,19,FALSE)</f>
        <v>2.403</v>
      </c>
      <c r="AB377" t="str">
        <f>VLOOKUP($I377,'[1]Table S6'!$A:$AI,20,FALSE)</f>
        <v>No</v>
      </c>
      <c r="AD377">
        <f>VLOOKUP($I377,'[1]Table S6'!$A:$AI,22,FALSE)</f>
        <v>376.5</v>
      </c>
      <c r="AE377">
        <f>VLOOKUP($I377,'[1]Table S6'!$A:$AI,23,FALSE)</f>
        <v>0.801234305171313</v>
      </c>
      <c r="AF377">
        <f>VLOOKUP($I377,'[1]Table S6'!$A:$AI,24,FALSE)</f>
        <v>8.6720000000000006</v>
      </c>
      <c r="AG377" t="str">
        <f>VLOOKUP($I377,'[1]Table S6'!$A:$AI,25,FALSE)</f>
        <v>No</v>
      </c>
      <c r="AI377">
        <f>VLOOKUP($I377,'[1]Table S6'!$A:$AI,27,FALSE)</f>
        <v>377.3</v>
      </c>
      <c r="AJ377">
        <f>VLOOKUP($I377,'[1]Table S6'!$A:$AI,28,FALSE)</f>
        <v>0.80293679506277904</v>
      </c>
      <c r="AK377">
        <f>VLOOKUP($I377,'[1]Table S6'!$A:$AI,29,FALSE)</f>
        <v>32.5</v>
      </c>
      <c r="AL377" t="str">
        <f>VLOOKUP($I377,'[1]Table S6'!$A:$AI,30,FALSE)</f>
        <v>No</v>
      </c>
      <c r="AN377">
        <f>VLOOKUP($I377,'[1]Table S6'!$A:$AI,32,FALSE)</f>
        <v>416.5</v>
      </c>
      <c r="AO377">
        <f>VLOOKUP($I377,'[1]Table S6'!$A:$AI,33,FALSE)</f>
        <v>0.88635879974462695</v>
      </c>
      <c r="AP377">
        <f>VLOOKUP($I377,'[1]Table S6'!$A:$AI,34,FALSE)</f>
        <v>43.31</v>
      </c>
      <c r="AQ377" t="str">
        <f>VLOOKUP($I377,'[1]Table S6'!$A:$AI,35,FALSE)</f>
        <v>No</v>
      </c>
      <c r="AS377" t="str">
        <f>VLOOKUP($H377,'[2]Table S5'!$A:$K,8,FALSE)</f>
        <v>Resistant</v>
      </c>
      <c r="AT377" t="str">
        <f>VLOOKUP($H377,'[2]Table S5'!$A:$K,9,FALSE)</f>
        <v>Resistant</v>
      </c>
      <c r="AU377" t="str">
        <f>VLOOKUP($H377,'[2]Table S5'!$A:$K,10,FALSE)</f>
        <v>Resistant</v>
      </c>
      <c r="AV377" t="str">
        <f>VLOOKUP($H377,'[2]Table S5'!$A:$K,11,FALSE)</f>
        <v>Resistant</v>
      </c>
    </row>
    <row r="378" spans="1:48">
      <c r="A378" t="s">
        <v>4735</v>
      </c>
      <c r="B378" t="s">
        <v>4736</v>
      </c>
      <c r="C378" t="s">
        <v>17</v>
      </c>
      <c r="D378" t="s">
        <v>2761</v>
      </c>
      <c r="E378" t="s">
        <v>2762</v>
      </c>
      <c r="F378" t="s">
        <v>2763</v>
      </c>
      <c r="G378" t="s">
        <v>4750</v>
      </c>
      <c r="H378" t="s">
        <v>22</v>
      </c>
      <c r="I378" t="s">
        <v>47</v>
      </c>
      <c r="J378">
        <f>VLOOKUP($I378,'[1]Table S6'!$A:$AI,2,FALSE)</f>
        <v>291.89999999999998</v>
      </c>
      <c r="K378">
        <f>VLOOKUP($I378,'[1]Table S6'!$A:$AI,3,FALSE)</f>
        <v>0.62119599914875501</v>
      </c>
      <c r="L378">
        <f>VLOOKUP($I378,'[1]Table S6'!$A:$AI,4,FALSE)</f>
        <v>0.78280000000000005</v>
      </c>
      <c r="M378" t="str">
        <f>VLOOKUP($I378,'[1]Table S6'!$A:$AI,5,FALSE)</f>
        <v>Yes</v>
      </c>
      <c r="O378">
        <f>VLOOKUP($I378,'[1]Table S6'!$A:$AI,7,FALSE)</f>
        <v>365.9</v>
      </c>
      <c r="P378">
        <f>VLOOKUP($I378,'[1]Table S6'!$A:$AI,8,FALSE)</f>
        <v>0.77867631410938498</v>
      </c>
      <c r="Q378">
        <f>VLOOKUP($I378,'[1]Table S6'!$A:$AI,9,FALSE)</f>
        <v>8.5079999999999991</v>
      </c>
      <c r="R378" t="str">
        <f>VLOOKUP($I378,'[1]Table S6'!$A:$AI,10,FALSE)</f>
        <v>No</v>
      </c>
      <c r="T378">
        <f>VLOOKUP($I378,'[1]Table S6'!$A:$AI,12,FALSE)</f>
        <v>318.60000000000002</v>
      </c>
      <c r="U378">
        <f>VLOOKUP($I378,'[1]Table S6'!$A:$AI,13,FALSE)</f>
        <v>0.67801659927644198</v>
      </c>
      <c r="V378">
        <f>VLOOKUP($I378,'[1]Table S6'!$A:$AI,14,FALSE)</f>
        <v>1.6679999999999999</v>
      </c>
      <c r="W378" t="str">
        <f>VLOOKUP($I378,'[1]Table S6'!$A:$AI,15,FALSE)</f>
        <v>Yes</v>
      </c>
      <c r="Y378">
        <f>VLOOKUP($I378,'[1]Table S6'!$A:$AI,17,FALSE)</f>
        <v>353.8</v>
      </c>
      <c r="Z378">
        <f>VLOOKUP($I378,'[1]Table S6'!$A:$AI,18,FALSE)</f>
        <v>0.75292615450095801</v>
      </c>
      <c r="AA378">
        <f>VLOOKUP($I378,'[1]Table S6'!$A:$AI,19,FALSE)</f>
        <v>6.09</v>
      </c>
      <c r="AB378" t="str">
        <f>VLOOKUP($I378,'[1]Table S6'!$A:$AI,20,FALSE)</f>
        <v>No</v>
      </c>
      <c r="AD378">
        <f>VLOOKUP($I378,'[1]Table S6'!$A:$AI,22,FALSE)</f>
        <v>396.9</v>
      </c>
      <c r="AE378">
        <f>VLOOKUP($I378,'[1]Table S6'!$A:$AI,23,FALSE)</f>
        <v>0.84464779740370299</v>
      </c>
      <c r="AF378">
        <f>VLOOKUP($I378,'[1]Table S6'!$A:$AI,24,FALSE)</f>
        <v>11.4</v>
      </c>
      <c r="AG378" t="str">
        <f>VLOOKUP($I378,'[1]Table S6'!$A:$AI,25,FALSE)</f>
        <v>No</v>
      </c>
      <c r="AI378">
        <f>VLOOKUP($I378,'[1]Table S6'!$A:$AI,27,FALSE)</f>
        <v>417.8</v>
      </c>
      <c r="AJ378">
        <f>VLOOKUP($I378,'[1]Table S6'!$A:$AI,28,FALSE)</f>
        <v>0.88912534581825897</v>
      </c>
      <c r="AK378">
        <f>VLOOKUP($I378,'[1]Table S6'!$A:$AI,29,FALSE)</f>
        <v>60.77</v>
      </c>
      <c r="AL378" t="str">
        <f>VLOOKUP($I378,'[1]Table S6'!$A:$AI,30,FALSE)</f>
        <v>No</v>
      </c>
      <c r="AN378">
        <f>VLOOKUP($I378,'[1]Table S6'!$A:$AI,32,FALSE)</f>
        <v>401.9</v>
      </c>
      <c r="AO378">
        <f>VLOOKUP($I378,'[1]Table S6'!$A:$AI,33,FALSE)</f>
        <v>0.85528835922536695</v>
      </c>
      <c r="AP378">
        <f>VLOOKUP($I378,'[1]Table S6'!$A:$AI,34,FALSE)</f>
        <v>30.71</v>
      </c>
      <c r="AQ378" t="str">
        <f>VLOOKUP($I378,'[1]Table S6'!$A:$AI,35,FALSE)</f>
        <v>No</v>
      </c>
      <c r="AS378" t="str">
        <f>VLOOKUP($H378,'[2]Table S5'!$A:$K,8,FALSE)</f>
        <v>Resistant</v>
      </c>
      <c r="AT378" t="str">
        <f>VLOOKUP($H378,'[2]Table S5'!$A:$K,9,FALSE)</f>
        <v>Resistant</v>
      </c>
      <c r="AU378" t="str">
        <f>VLOOKUP($H378,'[2]Table S5'!$A:$K,10,FALSE)</f>
        <v>Resistant</v>
      </c>
      <c r="AV378" t="str">
        <f>VLOOKUP($H378,'[2]Table S5'!$A:$K,11,FALSE)</f>
        <v>Resistant</v>
      </c>
    </row>
  </sheetData>
  <autoFilter ref="A2:AV2" xr:uid="{55F113BF-FDB5-E943-B9E4-CA822B46E0F1}"/>
  <mergeCells count="8">
    <mergeCell ref="AN1:AQ1"/>
    <mergeCell ref="AS1:AV1"/>
    <mergeCell ref="J1:M1"/>
    <mergeCell ref="O1:R1"/>
    <mergeCell ref="T1:W1"/>
    <mergeCell ref="Y1:AB1"/>
    <mergeCell ref="AD1:AG1"/>
    <mergeCell ref="AI1:AL1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09003-0E37-BF4F-934C-89422064F666}">
  <dimension ref="A1:AU389"/>
  <sheetViews>
    <sheetView workbookViewId="0">
      <selection activeCell="D3" sqref="D3"/>
    </sheetView>
  </sheetViews>
  <sheetFormatPr baseColWidth="10" defaultRowHeight="14"/>
  <cols>
    <col min="1" max="1" width="14.1640625" customWidth="1"/>
    <col min="2" max="2" width="17.1640625" customWidth="1"/>
    <col min="3" max="3" width="27.5" customWidth="1"/>
    <col min="4" max="4" width="22.5" customWidth="1"/>
    <col min="5" max="5" width="16.6640625" customWidth="1"/>
    <col min="6" max="6" width="22.6640625" customWidth="1"/>
    <col min="7" max="7" width="19.5" customWidth="1"/>
  </cols>
  <sheetData>
    <row r="1" spans="1:47" ht="15">
      <c r="A1" s="1"/>
      <c r="B1" s="1"/>
      <c r="C1" s="1"/>
      <c r="D1" s="1"/>
      <c r="E1" s="1"/>
      <c r="F1" s="1"/>
      <c r="G1" s="1"/>
      <c r="H1" s="1"/>
      <c r="I1" s="7" t="s">
        <v>0</v>
      </c>
      <c r="J1" s="7"/>
      <c r="K1" s="7"/>
      <c r="L1" s="7"/>
      <c r="M1" s="3"/>
      <c r="N1" s="7" t="s">
        <v>1</v>
      </c>
      <c r="O1" s="7"/>
      <c r="P1" s="7"/>
      <c r="Q1" s="7"/>
      <c r="R1" s="3"/>
      <c r="S1" s="7" t="s">
        <v>2</v>
      </c>
      <c r="T1" s="7"/>
      <c r="U1" s="7"/>
      <c r="V1" s="7"/>
      <c r="W1" s="3"/>
      <c r="X1" s="7" t="s">
        <v>3</v>
      </c>
      <c r="Y1" s="7"/>
      <c r="Z1" s="7"/>
      <c r="AA1" s="7"/>
      <c r="AB1" s="3"/>
      <c r="AC1" s="7" t="s">
        <v>4</v>
      </c>
      <c r="AD1" s="7"/>
      <c r="AE1" s="7"/>
      <c r="AF1" s="7"/>
      <c r="AG1" s="3"/>
      <c r="AH1" s="7" t="s">
        <v>5</v>
      </c>
      <c r="AI1" s="7"/>
      <c r="AJ1" s="7"/>
      <c r="AK1" s="7"/>
      <c r="AL1" s="3"/>
      <c r="AM1" s="7" t="s">
        <v>6</v>
      </c>
      <c r="AN1" s="7"/>
      <c r="AO1" s="7"/>
      <c r="AP1" s="7"/>
      <c r="AR1" s="8" t="s">
        <v>4749</v>
      </c>
      <c r="AS1" s="9"/>
      <c r="AT1" s="9"/>
      <c r="AU1" s="9"/>
    </row>
    <row r="2" spans="1:47" ht="15">
      <c r="A2" s="2" t="s">
        <v>4742</v>
      </c>
      <c r="B2" s="2" t="s">
        <v>4743</v>
      </c>
      <c r="C2" s="2" t="s">
        <v>4744</v>
      </c>
      <c r="D2" s="2" t="s">
        <v>4745</v>
      </c>
      <c r="E2" s="2" t="s">
        <v>4746</v>
      </c>
      <c r="F2" s="2" t="s">
        <v>4747</v>
      </c>
      <c r="G2" s="2" t="s">
        <v>4756</v>
      </c>
      <c r="H2" s="2" t="s">
        <v>4745</v>
      </c>
      <c r="I2" s="4" t="s">
        <v>7</v>
      </c>
      <c r="J2" s="4" t="s">
        <v>8</v>
      </c>
      <c r="K2" s="4" t="s">
        <v>9</v>
      </c>
      <c r="L2" s="4" t="s">
        <v>10</v>
      </c>
      <c r="M2" s="5"/>
      <c r="N2" s="4" t="s">
        <v>7</v>
      </c>
      <c r="O2" s="4" t="s">
        <v>11</v>
      </c>
      <c r="P2" s="4" t="s">
        <v>9</v>
      </c>
      <c r="Q2" s="4" t="s">
        <v>10</v>
      </c>
      <c r="R2" s="5"/>
      <c r="S2" s="4" t="s">
        <v>12</v>
      </c>
      <c r="T2" s="4" t="s">
        <v>8</v>
      </c>
      <c r="U2" s="4" t="s">
        <v>9</v>
      </c>
      <c r="V2" s="4" t="s">
        <v>10</v>
      </c>
      <c r="W2" s="5"/>
      <c r="X2" s="4" t="s">
        <v>12</v>
      </c>
      <c r="Y2" s="4" t="s">
        <v>11</v>
      </c>
      <c r="Z2" s="4" t="s">
        <v>9</v>
      </c>
      <c r="AA2" s="4" t="s">
        <v>10</v>
      </c>
      <c r="AB2" s="5"/>
      <c r="AC2" s="4" t="s">
        <v>7</v>
      </c>
      <c r="AD2" s="4" t="s">
        <v>11</v>
      </c>
      <c r="AE2" s="4" t="s">
        <v>9</v>
      </c>
      <c r="AF2" s="4" t="s">
        <v>10</v>
      </c>
      <c r="AG2" s="5"/>
      <c r="AH2" s="4" t="s">
        <v>12</v>
      </c>
      <c r="AI2" s="4" t="s">
        <v>11</v>
      </c>
      <c r="AJ2" s="4" t="s">
        <v>9</v>
      </c>
      <c r="AK2" s="4" t="s">
        <v>10</v>
      </c>
      <c r="AL2" s="5"/>
      <c r="AM2" s="4" t="s">
        <v>12</v>
      </c>
      <c r="AN2" s="4" t="s">
        <v>11</v>
      </c>
      <c r="AO2" s="4" t="s">
        <v>9</v>
      </c>
      <c r="AP2" s="4" t="s">
        <v>10</v>
      </c>
      <c r="AR2" s="6" t="s">
        <v>0</v>
      </c>
      <c r="AS2" s="6" t="s">
        <v>1</v>
      </c>
      <c r="AT2" s="6" t="s">
        <v>2</v>
      </c>
      <c r="AU2" s="6" t="s">
        <v>13</v>
      </c>
    </row>
    <row r="3" spans="1:47">
      <c r="A3" t="s">
        <v>2582</v>
      </c>
      <c r="B3" t="s">
        <v>2583</v>
      </c>
      <c r="C3" t="s">
        <v>17</v>
      </c>
      <c r="D3" t="s">
        <v>2585</v>
      </c>
      <c r="E3" t="s">
        <v>2586</v>
      </c>
      <c r="F3" t="s">
        <v>2587</v>
      </c>
      <c r="G3" t="s">
        <v>4750</v>
      </c>
      <c r="H3" t="s">
        <v>2589</v>
      </c>
      <c r="I3">
        <v>405.3</v>
      </c>
      <c r="J3">
        <v>0.86252394126409904</v>
      </c>
      <c r="K3">
        <v>15.35</v>
      </c>
      <c r="L3" t="s">
        <v>4738</v>
      </c>
      <c r="N3">
        <v>347.5</v>
      </c>
      <c r="O3">
        <v>0.73951904660566103</v>
      </c>
      <c r="P3">
        <v>4.88</v>
      </c>
      <c r="Q3" t="s">
        <v>4738</v>
      </c>
      <c r="S3">
        <v>433.9</v>
      </c>
      <c r="T3">
        <v>0.92338795488401804</v>
      </c>
      <c r="U3">
        <v>47.88</v>
      </c>
      <c r="V3" t="s">
        <v>4738</v>
      </c>
      <c r="X3">
        <v>377.4</v>
      </c>
      <c r="Y3">
        <v>0.80314960629921295</v>
      </c>
      <c r="Z3">
        <v>10.83</v>
      </c>
      <c r="AA3" t="s">
        <v>4738</v>
      </c>
      <c r="AC3">
        <v>426</v>
      </c>
      <c r="AD3">
        <v>0.90657586720578898</v>
      </c>
      <c r="AE3">
        <v>35.96</v>
      </c>
      <c r="AF3" t="s">
        <v>4738</v>
      </c>
      <c r="AH3">
        <v>456.8</v>
      </c>
      <c r="AI3">
        <v>0.97212172802723995</v>
      </c>
      <c r="AJ3">
        <v>166.2</v>
      </c>
      <c r="AK3" t="s">
        <v>4738</v>
      </c>
      <c r="AM3">
        <v>462.2</v>
      </c>
      <c r="AN3">
        <v>0.98361353479463698</v>
      </c>
      <c r="AO3">
        <v>237.3</v>
      </c>
      <c r="AP3" t="s">
        <v>4738</v>
      </c>
      <c r="AR3" t="s">
        <v>4739</v>
      </c>
      <c r="AS3" t="s">
        <v>4739</v>
      </c>
      <c r="AT3" t="s">
        <v>4739</v>
      </c>
      <c r="AU3" t="s">
        <v>4739</v>
      </c>
    </row>
    <row r="4" spans="1:47">
      <c r="A4" t="s">
        <v>2591</v>
      </c>
      <c r="B4" t="s">
        <v>2592</v>
      </c>
      <c r="C4" t="s">
        <v>17</v>
      </c>
      <c r="D4" t="s">
        <v>2594</v>
      </c>
      <c r="E4" t="s">
        <v>2595</v>
      </c>
      <c r="F4" t="s">
        <v>2596</v>
      </c>
      <c r="G4" t="s">
        <v>4751</v>
      </c>
      <c r="H4" t="s">
        <v>2589</v>
      </c>
      <c r="I4">
        <v>405.3</v>
      </c>
      <c r="J4">
        <v>0.86252394126409904</v>
      </c>
      <c r="K4">
        <v>15.35</v>
      </c>
      <c r="L4" t="s">
        <v>4738</v>
      </c>
      <c r="N4">
        <v>347.5</v>
      </c>
      <c r="O4">
        <v>0.73951904660566103</v>
      </c>
      <c r="P4">
        <v>4.88</v>
      </c>
      <c r="Q4" t="s">
        <v>4738</v>
      </c>
      <c r="S4">
        <v>433.9</v>
      </c>
      <c r="T4">
        <v>0.92338795488401804</v>
      </c>
      <c r="U4">
        <v>47.88</v>
      </c>
      <c r="V4" t="s">
        <v>4738</v>
      </c>
      <c r="X4">
        <v>377.4</v>
      </c>
      <c r="Y4">
        <v>0.80314960629921295</v>
      </c>
      <c r="Z4">
        <v>10.83</v>
      </c>
      <c r="AA4" t="s">
        <v>4738</v>
      </c>
      <c r="AC4">
        <v>426</v>
      </c>
      <c r="AD4">
        <v>0.90657586720578898</v>
      </c>
      <c r="AE4">
        <v>35.96</v>
      </c>
      <c r="AF4" t="s">
        <v>4738</v>
      </c>
      <c r="AH4">
        <v>456.8</v>
      </c>
      <c r="AI4">
        <v>0.97212172802723995</v>
      </c>
      <c r="AJ4">
        <v>166.2</v>
      </c>
      <c r="AK4" t="s">
        <v>4738</v>
      </c>
      <c r="AM4">
        <v>462.2</v>
      </c>
      <c r="AN4">
        <v>0.98361353479463698</v>
      </c>
      <c r="AO4">
        <v>237.3</v>
      </c>
      <c r="AP4" t="s">
        <v>4738</v>
      </c>
      <c r="AR4" t="s">
        <v>4739</v>
      </c>
      <c r="AS4" t="s">
        <v>4739</v>
      </c>
      <c r="AT4" t="s">
        <v>4739</v>
      </c>
      <c r="AU4" t="s">
        <v>4739</v>
      </c>
    </row>
    <row r="5" spans="1:47">
      <c r="A5" t="s">
        <v>2598</v>
      </c>
      <c r="B5" t="s">
        <v>2599</v>
      </c>
      <c r="C5" t="s">
        <v>17</v>
      </c>
      <c r="D5" t="s">
        <v>2601</v>
      </c>
      <c r="E5" t="s">
        <v>2602</v>
      </c>
      <c r="F5" t="s">
        <v>2603</v>
      </c>
      <c r="G5" t="s">
        <v>4750</v>
      </c>
      <c r="H5" t="s">
        <v>2605</v>
      </c>
      <c r="I5">
        <v>395.6</v>
      </c>
      <c r="J5">
        <v>0.84188125133006997</v>
      </c>
      <c r="K5">
        <v>121.7</v>
      </c>
      <c r="L5" t="s">
        <v>4738</v>
      </c>
      <c r="N5">
        <v>368.4</v>
      </c>
      <c r="O5">
        <v>0.78399659502021701</v>
      </c>
      <c r="P5">
        <v>9.2349999999999994</v>
      </c>
      <c r="Q5" t="s">
        <v>4738</v>
      </c>
      <c r="S5">
        <v>413.2</v>
      </c>
      <c r="T5">
        <v>0.87933602894232799</v>
      </c>
      <c r="U5">
        <v>34.369999999999997</v>
      </c>
      <c r="V5" t="s">
        <v>4738</v>
      </c>
      <c r="X5">
        <v>349.1</v>
      </c>
      <c r="Y5">
        <v>0.74292402638859301</v>
      </c>
      <c r="Z5">
        <v>9.0220000000000002</v>
      </c>
      <c r="AA5" t="s">
        <v>4738</v>
      </c>
      <c r="AC5">
        <v>392</v>
      </c>
      <c r="AD5">
        <v>0.83422004681847195</v>
      </c>
      <c r="AE5">
        <v>20.86</v>
      </c>
      <c r="AF5" t="s">
        <v>4738</v>
      </c>
      <c r="AH5">
        <v>390.6</v>
      </c>
      <c r="AI5">
        <v>0.83124068950840602</v>
      </c>
      <c r="AJ5">
        <v>77.680000000000007</v>
      </c>
      <c r="AK5" t="s">
        <v>4738</v>
      </c>
      <c r="AM5">
        <v>384.3</v>
      </c>
      <c r="AN5">
        <v>0.81783358161310904</v>
      </c>
      <c r="AO5">
        <v>44.76</v>
      </c>
      <c r="AP5" t="s">
        <v>4738</v>
      </c>
      <c r="AR5" t="s">
        <v>4739</v>
      </c>
      <c r="AS5" t="s">
        <v>4739</v>
      </c>
      <c r="AT5" t="s">
        <v>4739</v>
      </c>
      <c r="AU5" t="s">
        <v>4739</v>
      </c>
    </row>
    <row r="6" spans="1:47">
      <c r="A6" t="s">
        <v>2607</v>
      </c>
      <c r="B6" t="s">
        <v>2608</v>
      </c>
      <c r="C6" t="s">
        <v>17</v>
      </c>
      <c r="D6" t="s">
        <v>2610</v>
      </c>
      <c r="E6" t="s">
        <v>2611</v>
      </c>
      <c r="F6" t="s">
        <v>2612</v>
      </c>
      <c r="G6" t="s">
        <v>4750</v>
      </c>
      <c r="H6" t="s">
        <v>2613</v>
      </c>
      <c r="I6">
        <v>398.2</v>
      </c>
      <c r="J6">
        <v>0.84741434347733602</v>
      </c>
      <c r="K6">
        <v>38.25</v>
      </c>
      <c r="L6" t="s">
        <v>4738</v>
      </c>
      <c r="N6">
        <v>349.5</v>
      </c>
      <c r="O6">
        <v>0.74377527133432697</v>
      </c>
      <c r="P6">
        <v>4.6710000000000003</v>
      </c>
      <c r="Q6" t="s">
        <v>4738</v>
      </c>
      <c r="S6">
        <v>325.39999999999998</v>
      </c>
      <c r="T6">
        <v>0.69248776335390505</v>
      </c>
      <c r="U6">
        <v>2.1970000000000001</v>
      </c>
      <c r="V6" t="s">
        <v>4740</v>
      </c>
      <c r="X6">
        <v>322.7</v>
      </c>
      <c r="Y6">
        <v>0.68674185997020598</v>
      </c>
      <c r="Z6">
        <v>1.841</v>
      </c>
      <c r="AA6" t="s">
        <v>4740</v>
      </c>
      <c r="AC6">
        <v>365.2</v>
      </c>
      <c r="AD6">
        <v>0.77718663545435196</v>
      </c>
      <c r="AE6">
        <v>11.57</v>
      </c>
      <c r="AF6" t="s">
        <v>4738</v>
      </c>
      <c r="AH6">
        <v>409.9</v>
      </c>
      <c r="AI6">
        <v>0.87231325814003002</v>
      </c>
      <c r="AJ6">
        <v>85.21</v>
      </c>
      <c r="AK6" t="s">
        <v>4738</v>
      </c>
      <c r="AM6">
        <v>407.2</v>
      </c>
      <c r="AN6">
        <v>0.86656735475633095</v>
      </c>
      <c r="AO6">
        <v>110</v>
      </c>
      <c r="AP6" t="s">
        <v>4738</v>
      </c>
      <c r="AR6" t="s">
        <v>4739</v>
      </c>
      <c r="AS6" t="s">
        <v>4739</v>
      </c>
      <c r="AT6" t="s">
        <v>4739</v>
      </c>
      <c r="AU6" t="s">
        <v>4739</v>
      </c>
    </row>
    <row r="7" spans="1:47">
      <c r="A7" t="s">
        <v>2615</v>
      </c>
      <c r="B7" t="s">
        <v>2616</v>
      </c>
      <c r="C7" t="s">
        <v>17</v>
      </c>
      <c r="D7" t="s">
        <v>2618</v>
      </c>
      <c r="E7" t="s">
        <v>2619</v>
      </c>
      <c r="F7" t="s">
        <v>2620</v>
      </c>
      <c r="G7" t="s">
        <v>4750</v>
      </c>
      <c r="H7" t="s">
        <v>2621</v>
      </c>
      <c r="I7">
        <v>411.1</v>
      </c>
      <c r="J7">
        <v>0.87486699297722903</v>
      </c>
      <c r="K7">
        <v>31.31</v>
      </c>
      <c r="L7" t="s">
        <v>4738</v>
      </c>
      <c r="N7">
        <v>324.7</v>
      </c>
      <c r="O7">
        <v>0.69099808469887203</v>
      </c>
      <c r="P7">
        <v>2.1800000000000002</v>
      </c>
      <c r="Q7" t="s">
        <v>4740</v>
      </c>
      <c r="S7">
        <v>361.2</v>
      </c>
      <c r="T7">
        <v>0.76867418599702098</v>
      </c>
      <c r="U7">
        <v>4.1059999999999999</v>
      </c>
      <c r="V7" t="s">
        <v>4738</v>
      </c>
      <c r="X7">
        <v>321.8</v>
      </c>
      <c r="Y7">
        <v>0.68482655884230703</v>
      </c>
      <c r="Z7">
        <v>2.1989999999999998</v>
      </c>
      <c r="AA7" t="s">
        <v>4740</v>
      </c>
      <c r="AC7">
        <v>434.7</v>
      </c>
      <c r="AD7">
        <v>0.92509044477548397</v>
      </c>
      <c r="AE7">
        <v>66.05</v>
      </c>
      <c r="AF7" t="s">
        <v>4738</v>
      </c>
      <c r="AH7">
        <v>453.6</v>
      </c>
      <c r="AI7">
        <v>0.96531176846137501</v>
      </c>
      <c r="AJ7">
        <v>172.5</v>
      </c>
      <c r="AK7" t="s">
        <v>4738</v>
      </c>
      <c r="AM7">
        <v>438</v>
      </c>
      <c r="AN7">
        <v>0.93211321557778304</v>
      </c>
      <c r="AO7">
        <v>59.73</v>
      </c>
      <c r="AP7" t="s">
        <v>4738</v>
      </c>
      <c r="AR7" t="s">
        <v>4739</v>
      </c>
      <c r="AS7" t="s">
        <v>4739</v>
      </c>
      <c r="AT7" t="s">
        <v>4739</v>
      </c>
      <c r="AU7" t="s">
        <v>4739</v>
      </c>
    </row>
    <row r="8" spans="1:47">
      <c r="A8" t="s">
        <v>2623</v>
      </c>
      <c r="B8" t="s">
        <v>2624</v>
      </c>
      <c r="C8" t="s">
        <v>17</v>
      </c>
      <c r="D8" t="s">
        <v>2626</v>
      </c>
      <c r="E8" t="s">
        <v>2627</v>
      </c>
      <c r="F8" t="s">
        <v>2628</v>
      </c>
      <c r="G8" t="s">
        <v>4751</v>
      </c>
      <c r="H8" t="s">
        <v>2605</v>
      </c>
      <c r="I8">
        <v>395.6</v>
      </c>
      <c r="J8">
        <v>0.84188125133006997</v>
      </c>
      <c r="K8">
        <v>121.7</v>
      </c>
      <c r="L8" t="s">
        <v>4738</v>
      </c>
      <c r="N8">
        <v>368.4</v>
      </c>
      <c r="O8">
        <v>0.78399659502021701</v>
      </c>
      <c r="P8">
        <v>9.2349999999999994</v>
      </c>
      <c r="Q8" t="s">
        <v>4738</v>
      </c>
      <c r="S8">
        <v>413.2</v>
      </c>
      <c r="T8">
        <v>0.87933602894232799</v>
      </c>
      <c r="U8">
        <v>34.369999999999997</v>
      </c>
      <c r="V8" t="s">
        <v>4738</v>
      </c>
      <c r="X8">
        <v>349.1</v>
      </c>
      <c r="Y8">
        <v>0.74292402638859301</v>
      </c>
      <c r="Z8">
        <v>9.0220000000000002</v>
      </c>
      <c r="AA8" t="s">
        <v>4738</v>
      </c>
      <c r="AC8">
        <v>392</v>
      </c>
      <c r="AD8">
        <v>0.83422004681847195</v>
      </c>
      <c r="AE8">
        <v>20.86</v>
      </c>
      <c r="AF8" t="s">
        <v>4738</v>
      </c>
      <c r="AH8">
        <v>390.6</v>
      </c>
      <c r="AI8">
        <v>0.83124068950840602</v>
      </c>
      <c r="AJ8">
        <v>77.680000000000007</v>
      </c>
      <c r="AK8" t="s">
        <v>4738</v>
      </c>
      <c r="AM8">
        <v>384.3</v>
      </c>
      <c r="AN8">
        <v>0.81783358161310904</v>
      </c>
      <c r="AO8">
        <v>44.76</v>
      </c>
      <c r="AP8" t="s">
        <v>4738</v>
      </c>
      <c r="AR8" t="s">
        <v>4739</v>
      </c>
      <c r="AS8" t="s">
        <v>4739</v>
      </c>
      <c r="AT8" t="s">
        <v>4739</v>
      </c>
      <c r="AU8" t="s">
        <v>4739</v>
      </c>
    </row>
    <row r="9" spans="1:47">
      <c r="A9" t="s">
        <v>2630</v>
      </c>
      <c r="B9" t="s">
        <v>2631</v>
      </c>
      <c r="C9" t="s">
        <v>17</v>
      </c>
      <c r="D9" t="s">
        <v>2633</v>
      </c>
      <c r="E9" t="s">
        <v>2634</v>
      </c>
      <c r="F9" t="s">
        <v>2635</v>
      </c>
      <c r="G9" t="s">
        <v>4751</v>
      </c>
      <c r="H9" t="s">
        <v>2613</v>
      </c>
      <c r="I9">
        <v>398.2</v>
      </c>
      <c r="J9">
        <v>0.84741434347733602</v>
      </c>
      <c r="K9">
        <v>38.25</v>
      </c>
      <c r="L9" t="s">
        <v>4738</v>
      </c>
      <c r="N9">
        <v>349.5</v>
      </c>
      <c r="O9">
        <v>0.74377527133432697</v>
      </c>
      <c r="P9">
        <v>4.6710000000000003</v>
      </c>
      <c r="Q9" t="s">
        <v>4738</v>
      </c>
      <c r="S9">
        <v>325.39999999999998</v>
      </c>
      <c r="T9">
        <v>0.69248776335390505</v>
      </c>
      <c r="U9">
        <v>2.1970000000000001</v>
      </c>
      <c r="V9" t="s">
        <v>4740</v>
      </c>
      <c r="X9">
        <v>322.7</v>
      </c>
      <c r="Y9">
        <v>0.68674185997020598</v>
      </c>
      <c r="Z9">
        <v>1.841</v>
      </c>
      <c r="AA9" t="s">
        <v>4740</v>
      </c>
      <c r="AC9">
        <v>365.2</v>
      </c>
      <c r="AD9">
        <v>0.77718663545435196</v>
      </c>
      <c r="AE9">
        <v>11.57</v>
      </c>
      <c r="AF9" t="s">
        <v>4738</v>
      </c>
      <c r="AH9">
        <v>409.9</v>
      </c>
      <c r="AI9">
        <v>0.87231325814003002</v>
      </c>
      <c r="AJ9">
        <v>85.21</v>
      </c>
      <c r="AK9" t="s">
        <v>4738</v>
      </c>
      <c r="AM9">
        <v>407.2</v>
      </c>
      <c r="AN9">
        <v>0.86656735475633095</v>
      </c>
      <c r="AO9">
        <v>110</v>
      </c>
      <c r="AP9" t="s">
        <v>4738</v>
      </c>
      <c r="AR9" t="s">
        <v>4739</v>
      </c>
      <c r="AS9" t="s">
        <v>4739</v>
      </c>
      <c r="AT9" t="s">
        <v>4739</v>
      </c>
      <c r="AU9" t="s">
        <v>4739</v>
      </c>
    </row>
    <row r="10" spans="1:47">
      <c r="A10" t="s">
        <v>2637</v>
      </c>
      <c r="B10" t="s">
        <v>2638</v>
      </c>
      <c r="C10" t="s">
        <v>17</v>
      </c>
      <c r="D10" t="s">
        <v>2640</v>
      </c>
      <c r="E10" t="s">
        <v>2641</v>
      </c>
      <c r="F10" t="s">
        <v>2642</v>
      </c>
      <c r="G10" t="s">
        <v>4751</v>
      </c>
      <c r="H10" t="s">
        <v>2621</v>
      </c>
      <c r="I10">
        <v>411.1</v>
      </c>
      <c r="J10">
        <v>0.87486699297722903</v>
      </c>
      <c r="K10">
        <v>31.31</v>
      </c>
      <c r="L10" t="s">
        <v>4738</v>
      </c>
      <c r="N10">
        <v>324.7</v>
      </c>
      <c r="O10">
        <v>0.69099808469887203</v>
      </c>
      <c r="P10">
        <v>2.1800000000000002</v>
      </c>
      <c r="Q10" t="s">
        <v>4740</v>
      </c>
      <c r="S10">
        <v>361.2</v>
      </c>
      <c r="T10">
        <v>0.76867418599702098</v>
      </c>
      <c r="U10">
        <v>4.1059999999999999</v>
      </c>
      <c r="V10" t="s">
        <v>4738</v>
      </c>
      <c r="X10">
        <v>321.8</v>
      </c>
      <c r="Y10">
        <v>0.68482655884230703</v>
      </c>
      <c r="Z10">
        <v>2.1989999999999998</v>
      </c>
      <c r="AA10" t="s">
        <v>4740</v>
      </c>
      <c r="AC10">
        <v>434.7</v>
      </c>
      <c r="AD10">
        <v>0.92509044477548397</v>
      </c>
      <c r="AE10">
        <v>66.05</v>
      </c>
      <c r="AF10" t="s">
        <v>4738</v>
      </c>
      <c r="AH10">
        <v>453.6</v>
      </c>
      <c r="AI10">
        <v>0.96531176846137501</v>
      </c>
      <c r="AJ10">
        <v>172.5</v>
      </c>
      <c r="AK10" t="s">
        <v>4738</v>
      </c>
      <c r="AM10">
        <v>438</v>
      </c>
      <c r="AN10">
        <v>0.93211321557778304</v>
      </c>
      <c r="AO10">
        <v>59.73</v>
      </c>
      <c r="AP10" t="s">
        <v>4738</v>
      </c>
      <c r="AR10" t="s">
        <v>4739</v>
      </c>
      <c r="AS10" t="s">
        <v>4739</v>
      </c>
      <c r="AT10" t="s">
        <v>4739</v>
      </c>
      <c r="AU10" t="s">
        <v>4739</v>
      </c>
    </row>
    <row r="11" spans="1:47">
      <c r="A11" t="s">
        <v>2644</v>
      </c>
      <c r="B11" t="s">
        <v>2645</v>
      </c>
      <c r="C11" t="s">
        <v>17</v>
      </c>
      <c r="D11" t="s">
        <v>2647</v>
      </c>
      <c r="E11" t="s">
        <v>2648</v>
      </c>
      <c r="F11" t="s">
        <v>2649</v>
      </c>
      <c r="G11" t="s">
        <v>4750</v>
      </c>
      <c r="H11" t="s">
        <v>2651</v>
      </c>
      <c r="I11">
        <v>345.2</v>
      </c>
      <c r="J11">
        <v>0.73462438816769504</v>
      </c>
      <c r="K11">
        <v>7.0449999999999999</v>
      </c>
      <c r="L11" t="s">
        <v>4738</v>
      </c>
      <c r="N11">
        <v>311.10000000000002</v>
      </c>
      <c r="O11">
        <v>0.66205575654394599</v>
      </c>
      <c r="P11">
        <v>1.681</v>
      </c>
      <c r="Q11" t="s">
        <v>4740</v>
      </c>
      <c r="S11">
        <v>307.3</v>
      </c>
      <c r="T11">
        <v>0.65396892955948105</v>
      </c>
      <c r="U11">
        <v>1.3919999999999999</v>
      </c>
      <c r="V11" t="s">
        <v>4740</v>
      </c>
      <c r="X11">
        <v>361.8</v>
      </c>
      <c r="Y11">
        <v>0.76995105341561998</v>
      </c>
      <c r="Z11">
        <v>8.1280000000000001</v>
      </c>
      <c r="AA11" t="s">
        <v>4738</v>
      </c>
      <c r="AC11">
        <v>396.9</v>
      </c>
      <c r="AD11">
        <v>0.84464779740370299</v>
      </c>
      <c r="AE11">
        <v>42.4</v>
      </c>
      <c r="AF11" t="s">
        <v>4738</v>
      </c>
      <c r="AH11">
        <v>388.8</v>
      </c>
      <c r="AI11">
        <v>0.82741008725260701</v>
      </c>
      <c r="AJ11">
        <v>33.54</v>
      </c>
      <c r="AK11" t="s">
        <v>4738</v>
      </c>
      <c r="AM11">
        <v>358.1</v>
      </c>
      <c r="AN11">
        <v>0.76207703766758905</v>
      </c>
      <c r="AO11">
        <v>10.34</v>
      </c>
      <c r="AP11" t="s">
        <v>4738</v>
      </c>
      <c r="AR11" t="s">
        <v>4739</v>
      </c>
      <c r="AS11" t="s">
        <v>4739</v>
      </c>
      <c r="AT11" t="s">
        <v>10</v>
      </c>
      <c r="AU11" t="s">
        <v>4739</v>
      </c>
    </row>
    <row r="12" spans="1:47">
      <c r="A12" t="s">
        <v>2653</v>
      </c>
      <c r="B12" t="s">
        <v>2654</v>
      </c>
      <c r="C12" t="s">
        <v>17</v>
      </c>
      <c r="D12" t="s">
        <v>2656</v>
      </c>
      <c r="E12" t="s">
        <v>2657</v>
      </c>
      <c r="F12" t="s">
        <v>2658</v>
      </c>
      <c r="G12" t="s">
        <v>4750</v>
      </c>
      <c r="H12" t="s">
        <v>2659</v>
      </c>
      <c r="I12">
        <v>409.2</v>
      </c>
      <c r="J12">
        <v>0.870823579484997</v>
      </c>
      <c r="K12">
        <v>22.67</v>
      </c>
      <c r="L12" t="s">
        <v>4738</v>
      </c>
      <c r="N12">
        <v>331.7</v>
      </c>
      <c r="O12">
        <v>0.70589487124920203</v>
      </c>
      <c r="P12">
        <v>2.5099999999999998</v>
      </c>
      <c r="Q12" t="s">
        <v>4738</v>
      </c>
      <c r="S12">
        <v>318</v>
      </c>
      <c r="T12">
        <v>0.67673973185784198</v>
      </c>
      <c r="U12">
        <v>1.6180000000000001</v>
      </c>
      <c r="V12" t="s">
        <v>4740</v>
      </c>
      <c r="X12">
        <v>384.8</v>
      </c>
      <c r="Y12">
        <v>0.81889763779527602</v>
      </c>
      <c r="Z12">
        <v>17.600000000000001</v>
      </c>
      <c r="AA12" t="s">
        <v>4738</v>
      </c>
      <c r="AC12">
        <v>391.4</v>
      </c>
      <c r="AD12">
        <v>0.83294317939987195</v>
      </c>
      <c r="AE12">
        <v>20.57</v>
      </c>
      <c r="AF12" t="s">
        <v>4738</v>
      </c>
      <c r="AH12">
        <v>418.9</v>
      </c>
      <c r="AI12">
        <v>0.89146626941902496</v>
      </c>
      <c r="AJ12">
        <v>41.6</v>
      </c>
      <c r="AK12" t="s">
        <v>4738</v>
      </c>
      <c r="AM12">
        <v>425.9</v>
      </c>
      <c r="AN12">
        <v>0.90636305596935496</v>
      </c>
      <c r="AO12">
        <v>62.21</v>
      </c>
      <c r="AP12" t="s">
        <v>4738</v>
      </c>
      <c r="AR12" t="s">
        <v>4739</v>
      </c>
      <c r="AS12" t="s">
        <v>4739</v>
      </c>
      <c r="AT12" t="s">
        <v>10</v>
      </c>
      <c r="AU12" t="s">
        <v>4739</v>
      </c>
    </row>
    <row r="13" spans="1:47">
      <c r="A13" t="s">
        <v>2661</v>
      </c>
      <c r="B13" t="s">
        <v>2662</v>
      </c>
      <c r="C13" t="s">
        <v>17</v>
      </c>
      <c r="D13" t="s">
        <v>2664</v>
      </c>
      <c r="E13" t="s">
        <v>2665</v>
      </c>
      <c r="F13" t="s">
        <v>2666</v>
      </c>
      <c r="G13" t="s">
        <v>4750</v>
      </c>
      <c r="H13" t="s">
        <v>2667</v>
      </c>
      <c r="I13">
        <v>362</v>
      </c>
      <c r="J13">
        <v>0.77037667588848702</v>
      </c>
      <c r="K13">
        <v>7.835</v>
      </c>
      <c r="L13" t="s">
        <v>4738</v>
      </c>
      <c r="N13">
        <v>328.8</v>
      </c>
      <c r="O13">
        <v>0.69972334539263703</v>
      </c>
      <c r="P13">
        <v>2.5529999999999999</v>
      </c>
      <c r="Q13" t="s">
        <v>4738</v>
      </c>
      <c r="S13">
        <v>321.89999999999998</v>
      </c>
      <c r="T13">
        <v>0.68503937007874005</v>
      </c>
      <c r="U13">
        <v>1.9359999999999999</v>
      </c>
      <c r="V13" t="s">
        <v>4740</v>
      </c>
      <c r="X13">
        <v>315.39999999999998</v>
      </c>
      <c r="Y13">
        <v>0.67120663971057704</v>
      </c>
      <c r="Z13">
        <v>1.64</v>
      </c>
      <c r="AA13" t="s">
        <v>4740</v>
      </c>
      <c r="AC13">
        <v>407</v>
      </c>
      <c r="AD13">
        <v>0.86614173228346503</v>
      </c>
      <c r="AE13">
        <v>40.89</v>
      </c>
      <c r="AF13" t="s">
        <v>4738</v>
      </c>
      <c r="AH13">
        <v>410.4</v>
      </c>
      <c r="AI13">
        <v>0.87337731432219601</v>
      </c>
      <c r="AJ13">
        <v>45.34</v>
      </c>
      <c r="AK13" t="s">
        <v>4738</v>
      </c>
      <c r="AM13">
        <v>393</v>
      </c>
      <c r="AN13">
        <v>0.83634815918280503</v>
      </c>
      <c r="AO13">
        <v>20.57</v>
      </c>
      <c r="AP13" t="s">
        <v>4738</v>
      </c>
      <c r="AR13" t="s">
        <v>4739</v>
      </c>
      <c r="AS13" t="s">
        <v>4739</v>
      </c>
      <c r="AT13" t="s">
        <v>10</v>
      </c>
      <c r="AU13" t="s">
        <v>4739</v>
      </c>
    </row>
    <row r="14" spans="1:47">
      <c r="A14" t="s">
        <v>2669</v>
      </c>
      <c r="B14" t="s">
        <v>2670</v>
      </c>
      <c r="C14" t="s">
        <v>17</v>
      </c>
      <c r="D14" t="s">
        <v>2672</v>
      </c>
      <c r="E14" t="s">
        <v>2673</v>
      </c>
      <c r="F14" t="s">
        <v>2674</v>
      </c>
      <c r="G14" t="s">
        <v>4750</v>
      </c>
      <c r="H14" t="s">
        <v>2675</v>
      </c>
      <c r="I14">
        <v>362.2</v>
      </c>
      <c r="J14">
        <v>0.77080229836135306</v>
      </c>
      <c r="K14">
        <v>6.577</v>
      </c>
      <c r="L14" t="s">
        <v>4738</v>
      </c>
      <c r="N14">
        <v>348.1</v>
      </c>
      <c r="O14">
        <v>0.74079591402426104</v>
      </c>
      <c r="P14">
        <v>3.1789999999999998</v>
      </c>
      <c r="Q14" t="s">
        <v>4738</v>
      </c>
      <c r="S14">
        <v>332</v>
      </c>
      <c r="T14">
        <v>0.70653330495850197</v>
      </c>
      <c r="U14">
        <v>2.2690000000000001</v>
      </c>
      <c r="V14" t="s">
        <v>4738</v>
      </c>
      <c r="X14">
        <v>404.4</v>
      </c>
      <c r="Y14">
        <v>0.86060864013619898</v>
      </c>
      <c r="Z14">
        <v>21.1</v>
      </c>
      <c r="AA14" t="s">
        <v>4738</v>
      </c>
      <c r="AC14">
        <v>454.7</v>
      </c>
      <c r="AD14">
        <v>0.967652692062141</v>
      </c>
      <c r="AE14">
        <v>570</v>
      </c>
      <c r="AF14" t="s">
        <v>4738</v>
      </c>
      <c r="AH14">
        <v>332.3</v>
      </c>
      <c r="AI14">
        <v>0.70717173866780203</v>
      </c>
      <c r="AJ14">
        <v>2.516</v>
      </c>
      <c r="AK14" t="s">
        <v>4738</v>
      </c>
      <c r="AM14">
        <v>443.4</v>
      </c>
      <c r="AN14">
        <v>0.94360502234517996</v>
      </c>
      <c r="AO14">
        <v>62.8</v>
      </c>
      <c r="AP14" t="s">
        <v>4738</v>
      </c>
      <c r="AR14" t="s">
        <v>4739</v>
      </c>
      <c r="AS14" t="s">
        <v>4739</v>
      </c>
      <c r="AT14" t="s">
        <v>10</v>
      </c>
      <c r="AU14" t="s">
        <v>4739</v>
      </c>
    </row>
    <row r="15" spans="1:47">
      <c r="A15" t="s">
        <v>2677</v>
      </c>
      <c r="B15" t="s">
        <v>2678</v>
      </c>
      <c r="C15" t="s">
        <v>17</v>
      </c>
      <c r="D15" t="s">
        <v>2680</v>
      </c>
      <c r="E15" t="s">
        <v>2681</v>
      </c>
      <c r="F15" t="s">
        <v>2682</v>
      </c>
      <c r="G15" t="s">
        <v>4750</v>
      </c>
      <c r="H15" t="s">
        <v>2683</v>
      </c>
      <c r="I15">
        <v>380.7</v>
      </c>
      <c r="J15">
        <v>0.81017237710151102</v>
      </c>
      <c r="K15">
        <v>13.49</v>
      </c>
      <c r="L15" t="s">
        <v>4738</v>
      </c>
      <c r="N15">
        <v>338.3</v>
      </c>
      <c r="O15">
        <v>0.71994041285379895</v>
      </c>
      <c r="P15">
        <v>2.4849999999999999</v>
      </c>
      <c r="Q15" t="s">
        <v>4738</v>
      </c>
      <c r="S15">
        <v>327.9</v>
      </c>
      <c r="T15">
        <v>0.69780804426473697</v>
      </c>
      <c r="U15">
        <v>2.411</v>
      </c>
      <c r="V15" t="s">
        <v>4740</v>
      </c>
      <c r="X15">
        <v>390.3</v>
      </c>
      <c r="Y15">
        <v>0.83060225579910596</v>
      </c>
      <c r="Z15">
        <v>19.63</v>
      </c>
      <c r="AA15" t="s">
        <v>4738</v>
      </c>
      <c r="AC15">
        <v>433.9</v>
      </c>
      <c r="AD15">
        <v>0.92338795488401804</v>
      </c>
      <c r="AE15">
        <v>111.3</v>
      </c>
      <c r="AF15" t="s">
        <v>4738</v>
      </c>
      <c r="AH15">
        <v>416.7</v>
      </c>
      <c r="AI15">
        <v>0.88678442221749298</v>
      </c>
      <c r="AJ15">
        <v>45.54</v>
      </c>
      <c r="AK15" t="s">
        <v>4738</v>
      </c>
      <c r="AM15">
        <v>423.6</v>
      </c>
      <c r="AN15">
        <v>0.90146839753138996</v>
      </c>
      <c r="AO15">
        <v>50.89</v>
      </c>
      <c r="AP15" t="s">
        <v>4738</v>
      </c>
      <c r="AR15" t="s">
        <v>4739</v>
      </c>
      <c r="AS15" t="s">
        <v>4739</v>
      </c>
      <c r="AT15" t="s">
        <v>10</v>
      </c>
      <c r="AU15" t="s">
        <v>4739</v>
      </c>
    </row>
    <row r="16" spans="1:47">
      <c r="A16" t="s">
        <v>2685</v>
      </c>
      <c r="B16" t="s">
        <v>2686</v>
      </c>
      <c r="C16" t="s">
        <v>17</v>
      </c>
      <c r="D16" t="s">
        <v>2688</v>
      </c>
      <c r="E16" t="s">
        <v>2689</v>
      </c>
      <c r="F16" t="s">
        <v>2690</v>
      </c>
      <c r="G16" t="s">
        <v>4751</v>
      </c>
      <c r="H16" t="s">
        <v>2675</v>
      </c>
      <c r="I16">
        <v>362.2</v>
      </c>
      <c r="J16">
        <v>0.77080229836135306</v>
      </c>
      <c r="K16">
        <v>6.577</v>
      </c>
      <c r="L16" t="s">
        <v>4738</v>
      </c>
      <c r="N16">
        <v>348.1</v>
      </c>
      <c r="O16">
        <v>0.74079591402426104</v>
      </c>
      <c r="P16">
        <v>3.1789999999999998</v>
      </c>
      <c r="Q16" t="s">
        <v>4738</v>
      </c>
      <c r="S16">
        <v>332</v>
      </c>
      <c r="T16">
        <v>0.70653330495850197</v>
      </c>
      <c r="U16">
        <v>2.2690000000000001</v>
      </c>
      <c r="V16" t="s">
        <v>4738</v>
      </c>
      <c r="X16">
        <v>404.4</v>
      </c>
      <c r="Y16">
        <v>0.86060864013619898</v>
      </c>
      <c r="Z16">
        <v>21.1</v>
      </c>
      <c r="AA16" t="s">
        <v>4738</v>
      </c>
      <c r="AC16">
        <v>454.7</v>
      </c>
      <c r="AD16">
        <v>0.967652692062141</v>
      </c>
      <c r="AE16">
        <v>570</v>
      </c>
      <c r="AF16" t="s">
        <v>4738</v>
      </c>
      <c r="AH16">
        <v>332.3</v>
      </c>
      <c r="AI16">
        <v>0.70717173866780203</v>
      </c>
      <c r="AJ16">
        <v>2.516</v>
      </c>
      <c r="AK16" t="s">
        <v>4738</v>
      </c>
      <c r="AM16">
        <v>443.4</v>
      </c>
      <c r="AN16">
        <v>0.94360502234517996</v>
      </c>
      <c r="AO16">
        <v>62.8</v>
      </c>
      <c r="AP16" t="s">
        <v>4738</v>
      </c>
      <c r="AR16" t="s">
        <v>4739</v>
      </c>
      <c r="AS16" t="s">
        <v>4739</v>
      </c>
      <c r="AT16" t="s">
        <v>10</v>
      </c>
      <c r="AU16" t="s">
        <v>4739</v>
      </c>
    </row>
    <row r="17" spans="1:47">
      <c r="A17" t="s">
        <v>2692</v>
      </c>
      <c r="B17" t="s">
        <v>2693</v>
      </c>
      <c r="C17" t="s">
        <v>17</v>
      </c>
      <c r="D17" t="s">
        <v>2695</v>
      </c>
      <c r="E17" t="s">
        <v>2696</v>
      </c>
      <c r="F17" t="s">
        <v>2697</v>
      </c>
      <c r="G17" t="s">
        <v>4751</v>
      </c>
      <c r="H17" t="s">
        <v>2683</v>
      </c>
      <c r="I17">
        <v>380.7</v>
      </c>
      <c r="J17">
        <v>0.81017237710151102</v>
      </c>
      <c r="K17">
        <v>13.49</v>
      </c>
      <c r="L17" t="s">
        <v>4738</v>
      </c>
      <c r="N17">
        <v>338.3</v>
      </c>
      <c r="O17">
        <v>0.71994041285379895</v>
      </c>
      <c r="P17">
        <v>2.4849999999999999</v>
      </c>
      <c r="Q17" t="s">
        <v>4738</v>
      </c>
      <c r="S17">
        <v>327.9</v>
      </c>
      <c r="T17">
        <v>0.69780804426473697</v>
      </c>
      <c r="U17">
        <v>2.411</v>
      </c>
      <c r="V17" t="s">
        <v>4740</v>
      </c>
      <c r="X17">
        <v>390.3</v>
      </c>
      <c r="Y17">
        <v>0.83060225579910596</v>
      </c>
      <c r="Z17">
        <v>19.63</v>
      </c>
      <c r="AA17" t="s">
        <v>4738</v>
      </c>
      <c r="AC17">
        <v>433.9</v>
      </c>
      <c r="AD17">
        <v>0.92338795488401804</v>
      </c>
      <c r="AE17">
        <v>111.3</v>
      </c>
      <c r="AF17" t="s">
        <v>4738</v>
      </c>
      <c r="AH17">
        <v>416.7</v>
      </c>
      <c r="AI17">
        <v>0.88678442221749298</v>
      </c>
      <c r="AJ17">
        <v>45.54</v>
      </c>
      <c r="AK17" t="s">
        <v>4738</v>
      </c>
      <c r="AM17">
        <v>423.6</v>
      </c>
      <c r="AN17">
        <v>0.90146839753138996</v>
      </c>
      <c r="AO17">
        <v>50.89</v>
      </c>
      <c r="AP17" t="s">
        <v>4738</v>
      </c>
      <c r="AR17" t="s">
        <v>4739</v>
      </c>
      <c r="AS17" t="s">
        <v>4739</v>
      </c>
      <c r="AT17" t="s">
        <v>10</v>
      </c>
      <c r="AU17" t="s">
        <v>4739</v>
      </c>
    </row>
    <row r="18" spans="1:47">
      <c r="A18" t="s">
        <v>2699</v>
      </c>
      <c r="B18" t="s">
        <v>2700</v>
      </c>
      <c r="C18" t="s">
        <v>17</v>
      </c>
      <c r="D18" t="s">
        <v>2702</v>
      </c>
      <c r="E18" t="s">
        <v>2703</v>
      </c>
      <c r="F18" t="s">
        <v>2704</v>
      </c>
      <c r="G18" t="s">
        <v>4750</v>
      </c>
      <c r="H18" t="s">
        <v>2706</v>
      </c>
      <c r="I18">
        <v>305.39999999999998</v>
      </c>
      <c r="J18">
        <v>0.64992551606724802</v>
      </c>
      <c r="K18">
        <v>1.5920000000000001</v>
      </c>
      <c r="L18" t="s">
        <v>4740</v>
      </c>
      <c r="N18">
        <v>315.10000000000002</v>
      </c>
      <c r="O18">
        <v>0.67056820600127698</v>
      </c>
      <c r="P18">
        <v>1.5880000000000001</v>
      </c>
      <c r="Q18" t="s">
        <v>4740</v>
      </c>
      <c r="S18">
        <v>320</v>
      </c>
      <c r="T18">
        <v>0.68099595658650802</v>
      </c>
      <c r="U18">
        <v>1.9019999999999999</v>
      </c>
      <c r="V18" t="s">
        <v>4740</v>
      </c>
      <c r="X18">
        <v>295.2</v>
      </c>
      <c r="Y18">
        <v>0.62821876995105297</v>
      </c>
      <c r="Z18">
        <v>1.028</v>
      </c>
      <c r="AA18" t="s">
        <v>4740</v>
      </c>
      <c r="AC18">
        <v>370.2</v>
      </c>
      <c r="AD18">
        <v>0.78782719727601602</v>
      </c>
      <c r="AE18">
        <v>18.95</v>
      </c>
      <c r="AF18" t="s">
        <v>4738</v>
      </c>
      <c r="AH18">
        <v>472.5</v>
      </c>
      <c r="AI18">
        <v>1.00553309214727</v>
      </c>
      <c r="AJ18">
        <v>641.9</v>
      </c>
      <c r="AK18" t="s">
        <v>4738</v>
      </c>
      <c r="AM18">
        <v>436.7</v>
      </c>
      <c r="AN18">
        <v>0.92934666950415001</v>
      </c>
      <c r="AO18">
        <v>427.6</v>
      </c>
      <c r="AP18" t="s">
        <v>4738</v>
      </c>
      <c r="AR18" t="s">
        <v>10</v>
      </c>
      <c r="AS18" t="s">
        <v>4739</v>
      </c>
      <c r="AT18" t="s">
        <v>4739</v>
      </c>
      <c r="AU18" t="s">
        <v>10</v>
      </c>
    </row>
    <row r="19" spans="1:47">
      <c r="A19" t="s">
        <v>2708</v>
      </c>
      <c r="B19" t="s">
        <v>2709</v>
      </c>
      <c r="C19" t="s">
        <v>17</v>
      </c>
      <c r="D19" t="s">
        <v>2711</v>
      </c>
      <c r="E19" t="s">
        <v>2712</v>
      </c>
      <c r="F19" t="s">
        <v>2713</v>
      </c>
      <c r="G19" t="s">
        <v>4751</v>
      </c>
      <c r="H19" t="s">
        <v>2706</v>
      </c>
      <c r="I19">
        <v>305.39999999999998</v>
      </c>
      <c r="J19">
        <v>0.64992551606724802</v>
      </c>
      <c r="K19">
        <v>1.5920000000000001</v>
      </c>
      <c r="L19" t="s">
        <v>4740</v>
      </c>
      <c r="N19">
        <v>315.10000000000002</v>
      </c>
      <c r="O19">
        <v>0.67056820600127698</v>
      </c>
      <c r="P19">
        <v>1.5880000000000001</v>
      </c>
      <c r="Q19" t="s">
        <v>4740</v>
      </c>
      <c r="S19">
        <v>320</v>
      </c>
      <c r="T19">
        <v>0.68099595658650802</v>
      </c>
      <c r="U19">
        <v>1.9019999999999999</v>
      </c>
      <c r="V19" t="s">
        <v>4740</v>
      </c>
      <c r="X19">
        <v>295.2</v>
      </c>
      <c r="Y19">
        <v>0.62821876995105297</v>
      </c>
      <c r="Z19">
        <v>1.028</v>
      </c>
      <c r="AA19" t="s">
        <v>4740</v>
      </c>
      <c r="AC19">
        <v>370.2</v>
      </c>
      <c r="AD19">
        <v>0.78782719727601602</v>
      </c>
      <c r="AE19">
        <v>18.95</v>
      </c>
      <c r="AF19" t="s">
        <v>4738</v>
      </c>
      <c r="AH19">
        <v>472.5</v>
      </c>
      <c r="AI19">
        <v>1.00553309214727</v>
      </c>
      <c r="AJ19">
        <v>641.9</v>
      </c>
      <c r="AK19" t="s">
        <v>4738</v>
      </c>
      <c r="AM19">
        <v>436.7</v>
      </c>
      <c r="AN19">
        <v>0.92934666950415001</v>
      </c>
      <c r="AO19">
        <v>427.6</v>
      </c>
      <c r="AP19" t="s">
        <v>4738</v>
      </c>
      <c r="AR19" t="s">
        <v>10</v>
      </c>
      <c r="AS19" t="s">
        <v>4739</v>
      </c>
      <c r="AT19" t="s">
        <v>4739</v>
      </c>
      <c r="AU19" t="s">
        <v>10</v>
      </c>
    </row>
    <row r="20" spans="1:47">
      <c r="A20" t="s">
        <v>2715</v>
      </c>
      <c r="B20" t="s">
        <v>2716</v>
      </c>
      <c r="C20" t="s">
        <v>17</v>
      </c>
      <c r="D20" t="s">
        <v>2718</v>
      </c>
      <c r="E20" t="s">
        <v>2719</v>
      </c>
      <c r="F20" t="s">
        <v>2720</v>
      </c>
      <c r="G20" t="s">
        <v>4750</v>
      </c>
      <c r="H20" t="s">
        <v>2721</v>
      </c>
      <c r="I20">
        <v>250.1</v>
      </c>
      <c r="J20">
        <v>0.53224090231964205</v>
      </c>
      <c r="K20">
        <v>0.39900000000000002</v>
      </c>
      <c r="L20" t="s">
        <v>4740</v>
      </c>
      <c r="N20">
        <v>321.3</v>
      </c>
      <c r="O20">
        <v>0.68376250266014005</v>
      </c>
      <c r="P20">
        <v>2.1520000000000001</v>
      </c>
      <c r="Q20" t="s">
        <v>4740</v>
      </c>
      <c r="S20">
        <v>347.8</v>
      </c>
      <c r="T20">
        <v>0.74015748031496098</v>
      </c>
      <c r="U20">
        <v>5.4029999999999996</v>
      </c>
      <c r="V20" t="s">
        <v>4738</v>
      </c>
      <c r="X20">
        <v>311.89999999999998</v>
      </c>
      <c r="Y20">
        <v>0.66375824643541204</v>
      </c>
      <c r="Z20">
        <v>1.6140000000000001</v>
      </c>
      <c r="AA20" t="s">
        <v>4740</v>
      </c>
      <c r="AC20">
        <v>360.5</v>
      </c>
      <c r="AD20">
        <v>0.76718450734198795</v>
      </c>
      <c r="AE20">
        <v>13.73</v>
      </c>
      <c r="AF20" t="s">
        <v>4738</v>
      </c>
      <c r="AH20">
        <v>442.6</v>
      </c>
      <c r="AI20">
        <v>0.94190253245371403</v>
      </c>
      <c r="AJ20">
        <v>193.1</v>
      </c>
      <c r="AK20" t="s">
        <v>4738</v>
      </c>
      <c r="AM20">
        <v>400.2</v>
      </c>
      <c r="AN20">
        <v>0.85167056820600096</v>
      </c>
      <c r="AO20">
        <v>181.2</v>
      </c>
      <c r="AP20" t="s">
        <v>4738</v>
      </c>
      <c r="AR20" t="s">
        <v>10</v>
      </c>
      <c r="AS20" t="s">
        <v>4739</v>
      </c>
      <c r="AT20" t="s">
        <v>4739</v>
      </c>
      <c r="AU20" t="s">
        <v>10</v>
      </c>
    </row>
    <row r="21" spans="1:47">
      <c r="A21" t="s">
        <v>2723</v>
      </c>
      <c r="B21" t="s">
        <v>2724</v>
      </c>
      <c r="C21" t="s">
        <v>17</v>
      </c>
      <c r="D21" t="s">
        <v>2726</v>
      </c>
      <c r="E21" t="s">
        <v>2727</v>
      </c>
      <c r="F21" t="s">
        <v>2728</v>
      </c>
      <c r="G21" t="s">
        <v>4751</v>
      </c>
      <c r="H21" t="s">
        <v>2721</v>
      </c>
      <c r="I21">
        <v>250.1</v>
      </c>
      <c r="J21">
        <v>0.53224090231964205</v>
      </c>
      <c r="K21">
        <v>0.39900000000000002</v>
      </c>
      <c r="L21" t="s">
        <v>4740</v>
      </c>
      <c r="N21">
        <v>321.3</v>
      </c>
      <c r="O21">
        <v>0.68376250266014005</v>
      </c>
      <c r="P21">
        <v>2.1520000000000001</v>
      </c>
      <c r="Q21" t="s">
        <v>4740</v>
      </c>
      <c r="S21">
        <v>347.8</v>
      </c>
      <c r="T21">
        <v>0.74015748031496098</v>
      </c>
      <c r="U21">
        <v>5.4029999999999996</v>
      </c>
      <c r="V21" t="s">
        <v>4738</v>
      </c>
      <c r="X21">
        <v>311.89999999999998</v>
      </c>
      <c r="Y21">
        <v>0.66375824643541204</v>
      </c>
      <c r="Z21">
        <v>1.6140000000000001</v>
      </c>
      <c r="AA21" t="s">
        <v>4740</v>
      </c>
      <c r="AC21">
        <v>360.5</v>
      </c>
      <c r="AD21">
        <v>0.76718450734198795</v>
      </c>
      <c r="AE21">
        <v>13.73</v>
      </c>
      <c r="AF21" t="s">
        <v>4738</v>
      </c>
      <c r="AH21">
        <v>442.6</v>
      </c>
      <c r="AI21">
        <v>0.94190253245371403</v>
      </c>
      <c r="AJ21">
        <v>193.1</v>
      </c>
      <c r="AK21" t="s">
        <v>4738</v>
      </c>
      <c r="AM21">
        <v>400.2</v>
      </c>
      <c r="AN21">
        <v>0.85167056820600096</v>
      </c>
      <c r="AO21">
        <v>181.2</v>
      </c>
      <c r="AP21" t="s">
        <v>4738</v>
      </c>
      <c r="AR21" t="s">
        <v>10</v>
      </c>
      <c r="AS21" t="s">
        <v>4739</v>
      </c>
      <c r="AT21" t="s">
        <v>4739</v>
      </c>
      <c r="AU21" t="s">
        <v>10</v>
      </c>
    </row>
    <row r="22" spans="1:47">
      <c r="A22" t="s">
        <v>2730</v>
      </c>
      <c r="B22" t="s">
        <v>2731</v>
      </c>
      <c r="C22" t="s">
        <v>17</v>
      </c>
      <c r="D22" t="s">
        <v>2733</v>
      </c>
      <c r="E22" t="s">
        <v>2734</v>
      </c>
      <c r="F22" t="s">
        <v>2735</v>
      </c>
      <c r="G22" t="s">
        <v>4751</v>
      </c>
      <c r="H22" t="s">
        <v>2736</v>
      </c>
      <c r="I22">
        <v>345.1</v>
      </c>
      <c r="J22">
        <v>0.73441157693126202</v>
      </c>
      <c r="K22">
        <v>4.2389999999999999</v>
      </c>
      <c r="L22" t="s">
        <v>4738</v>
      </c>
      <c r="N22">
        <v>337.7</v>
      </c>
      <c r="O22">
        <v>0.71866354543519895</v>
      </c>
      <c r="P22">
        <v>3.8029999999999999</v>
      </c>
      <c r="Q22" t="s">
        <v>4738</v>
      </c>
      <c r="S22">
        <v>298.39999999999998</v>
      </c>
      <c r="T22">
        <v>0.63502872951691802</v>
      </c>
      <c r="U22">
        <v>1.05</v>
      </c>
      <c r="V22" t="s">
        <v>4740</v>
      </c>
      <c r="X22">
        <v>312.10000000000002</v>
      </c>
      <c r="Y22">
        <v>0.66418386890827796</v>
      </c>
      <c r="Z22">
        <v>1.3919999999999999</v>
      </c>
      <c r="AA22" t="s">
        <v>4740</v>
      </c>
      <c r="AC22">
        <v>347.9</v>
      </c>
      <c r="AD22">
        <v>0.740370291551394</v>
      </c>
      <c r="AE22">
        <v>6.3920000000000003</v>
      </c>
      <c r="AF22" t="s">
        <v>4738</v>
      </c>
      <c r="AH22">
        <v>404.8</v>
      </c>
      <c r="AI22">
        <v>0.86145988508193205</v>
      </c>
      <c r="AJ22">
        <v>115.3</v>
      </c>
      <c r="AK22" t="s">
        <v>4738</v>
      </c>
      <c r="AM22">
        <v>429.2</v>
      </c>
      <c r="AN22">
        <v>0.91338582677165403</v>
      </c>
      <c r="AO22">
        <v>196.8</v>
      </c>
      <c r="AP22" t="s">
        <v>4738</v>
      </c>
      <c r="AR22" t="s">
        <v>4739</v>
      </c>
      <c r="AS22" t="s">
        <v>4739</v>
      </c>
      <c r="AT22" t="s">
        <v>4739</v>
      </c>
      <c r="AU22" t="s">
        <v>4739</v>
      </c>
    </row>
    <row r="23" spans="1:47">
      <c r="A23" t="s">
        <v>2738</v>
      </c>
      <c r="B23" t="s">
        <v>2739</v>
      </c>
      <c r="C23" t="s">
        <v>17</v>
      </c>
      <c r="D23" t="s">
        <v>2741</v>
      </c>
      <c r="E23" t="s">
        <v>2742</v>
      </c>
      <c r="F23" t="s">
        <v>2743</v>
      </c>
      <c r="G23" t="s">
        <v>4750</v>
      </c>
      <c r="H23" t="s">
        <v>2736</v>
      </c>
      <c r="I23">
        <v>345.1</v>
      </c>
      <c r="J23">
        <v>0.73441157693126202</v>
      </c>
      <c r="K23">
        <v>4.2389999999999999</v>
      </c>
      <c r="L23" t="s">
        <v>4738</v>
      </c>
      <c r="N23">
        <v>337.7</v>
      </c>
      <c r="O23">
        <v>0.71866354543519895</v>
      </c>
      <c r="P23">
        <v>3.8029999999999999</v>
      </c>
      <c r="Q23" t="s">
        <v>4738</v>
      </c>
      <c r="S23">
        <v>298.39999999999998</v>
      </c>
      <c r="T23">
        <v>0.63502872951691802</v>
      </c>
      <c r="U23">
        <v>1.05</v>
      </c>
      <c r="V23" t="s">
        <v>4740</v>
      </c>
      <c r="X23">
        <v>312.10000000000002</v>
      </c>
      <c r="Y23">
        <v>0.66418386890827796</v>
      </c>
      <c r="Z23">
        <v>1.3919999999999999</v>
      </c>
      <c r="AA23" t="s">
        <v>4740</v>
      </c>
      <c r="AC23">
        <v>347.9</v>
      </c>
      <c r="AD23">
        <v>0.740370291551394</v>
      </c>
      <c r="AE23">
        <v>6.3920000000000003</v>
      </c>
      <c r="AF23" t="s">
        <v>4738</v>
      </c>
      <c r="AH23">
        <v>404.8</v>
      </c>
      <c r="AI23">
        <v>0.86145988508193205</v>
      </c>
      <c r="AJ23">
        <v>115.3</v>
      </c>
      <c r="AK23" t="s">
        <v>4738</v>
      </c>
      <c r="AM23">
        <v>429.2</v>
      </c>
      <c r="AN23">
        <v>0.91338582677165403</v>
      </c>
      <c r="AO23">
        <v>196.8</v>
      </c>
      <c r="AP23" t="s">
        <v>4738</v>
      </c>
      <c r="AR23" t="s">
        <v>4739</v>
      </c>
      <c r="AS23" t="s">
        <v>4739</v>
      </c>
      <c r="AT23" t="s">
        <v>4739</v>
      </c>
      <c r="AU23" t="s">
        <v>4739</v>
      </c>
    </row>
    <row r="24" spans="1:47">
      <c r="A24" t="s">
        <v>2745</v>
      </c>
      <c r="B24" t="s">
        <v>2746</v>
      </c>
      <c r="C24" t="s">
        <v>17</v>
      </c>
      <c r="D24" t="s">
        <v>19</v>
      </c>
      <c r="E24" t="s">
        <v>20</v>
      </c>
      <c r="F24" t="s">
        <v>21</v>
      </c>
      <c r="G24" t="s">
        <v>4750</v>
      </c>
      <c r="H24" t="s">
        <v>23</v>
      </c>
      <c r="I24">
        <v>306.5</v>
      </c>
      <c r="J24">
        <v>0.65226643966801401</v>
      </c>
      <c r="K24">
        <v>1.093</v>
      </c>
      <c r="L24" t="s">
        <v>4740</v>
      </c>
      <c r="N24">
        <v>316.89999999999998</v>
      </c>
      <c r="O24">
        <v>0.67439880825707599</v>
      </c>
      <c r="P24">
        <v>1.17</v>
      </c>
      <c r="Q24" t="s">
        <v>4740</v>
      </c>
      <c r="S24">
        <v>359.1</v>
      </c>
      <c r="T24">
        <v>0.76420515003192202</v>
      </c>
      <c r="U24">
        <v>6.6349999999999998</v>
      </c>
      <c r="V24" t="s">
        <v>4738</v>
      </c>
      <c r="X24">
        <v>388.3</v>
      </c>
      <c r="Y24">
        <v>0.82634603107044102</v>
      </c>
      <c r="Z24">
        <v>11.69</v>
      </c>
      <c r="AA24" t="s">
        <v>4738</v>
      </c>
      <c r="AC24">
        <v>378.1</v>
      </c>
      <c r="AD24">
        <v>0.80463928495424597</v>
      </c>
      <c r="AE24">
        <v>8.8510000000000009</v>
      </c>
      <c r="AF24" t="s">
        <v>4738</v>
      </c>
      <c r="AH24">
        <v>424.4</v>
      </c>
      <c r="AI24">
        <v>0.90317088742285601</v>
      </c>
      <c r="AJ24">
        <v>84.01</v>
      </c>
      <c r="AK24" t="s">
        <v>4738</v>
      </c>
      <c r="AM24">
        <v>408</v>
      </c>
      <c r="AN24">
        <v>0.868269844647797</v>
      </c>
      <c r="AO24">
        <v>33.61</v>
      </c>
      <c r="AP24" t="s">
        <v>4738</v>
      </c>
      <c r="AR24" t="s">
        <v>4739</v>
      </c>
      <c r="AS24" t="s">
        <v>4739</v>
      </c>
      <c r="AT24" t="s">
        <v>4739</v>
      </c>
      <c r="AU24" t="s">
        <v>4739</v>
      </c>
    </row>
    <row r="25" spans="1:47">
      <c r="A25" t="s">
        <v>2748</v>
      </c>
      <c r="B25" t="s">
        <v>2749</v>
      </c>
      <c r="C25" t="s">
        <v>17</v>
      </c>
      <c r="D25" t="s">
        <v>28</v>
      </c>
      <c r="E25" t="s">
        <v>29</v>
      </c>
      <c r="F25" t="s">
        <v>30</v>
      </c>
      <c r="G25" t="s">
        <v>4750</v>
      </c>
      <c r="H25" t="s">
        <v>31</v>
      </c>
      <c r="I25">
        <v>245.9</v>
      </c>
      <c r="J25">
        <v>0.52330283038944503</v>
      </c>
      <c r="K25">
        <v>0.31319999999999998</v>
      </c>
      <c r="L25" t="s">
        <v>4740</v>
      </c>
      <c r="N25">
        <v>282.3</v>
      </c>
      <c r="O25">
        <v>0.60076612045115996</v>
      </c>
      <c r="P25">
        <v>0.61819999999999997</v>
      </c>
      <c r="Q25" t="s">
        <v>4740</v>
      </c>
      <c r="S25">
        <v>304.89999999999998</v>
      </c>
      <c r="T25">
        <v>0.64886145988508204</v>
      </c>
      <c r="U25">
        <v>1.4930000000000001</v>
      </c>
      <c r="V25" t="s">
        <v>4740</v>
      </c>
      <c r="X25">
        <v>359.8</v>
      </c>
      <c r="Y25">
        <v>0.76569482868695504</v>
      </c>
      <c r="Z25">
        <v>6.5410000000000004</v>
      </c>
      <c r="AA25" t="s">
        <v>4738</v>
      </c>
      <c r="AC25">
        <v>380.8</v>
      </c>
      <c r="AD25">
        <v>0.81038518833794404</v>
      </c>
      <c r="AE25">
        <v>11.32</v>
      </c>
      <c r="AF25" t="s">
        <v>4738</v>
      </c>
      <c r="AH25">
        <v>411.5</v>
      </c>
      <c r="AI25">
        <v>0.875718237922962</v>
      </c>
      <c r="AJ25">
        <v>49.03</v>
      </c>
      <c r="AK25" t="s">
        <v>4738</v>
      </c>
      <c r="AM25">
        <v>403.4</v>
      </c>
      <c r="AN25">
        <v>0.85848052777186601</v>
      </c>
      <c r="AO25">
        <v>26.97</v>
      </c>
      <c r="AP25" t="s">
        <v>4738</v>
      </c>
      <c r="AR25" t="s">
        <v>4739</v>
      </c>
      <c r="AS25" t="s">
        <v>4739</v>
      </c>
      <c r="AT25" t="s">
        <v>4739</v>
      </c>
      <c r="AU25" t="s">
        <v>4739</v>
      </c>
    </row>
    <row r="26" spans="1:47">
      <c r="A26" t="s">
        <v>2751</v>
      </c>
      <c r="B26" t="s">
        <v>2752</v>
      </c>
      <c r="C26" t="s">
        <v>17</v>
      </c>
      <c r="D26" t="s">
        <v>2754</v>
      </c>
      <c r="E26" t="s">
        <v>2755</v>
      </c>
      <c r="F26" t="s">
        <v>2756</v>
      </c>
      <c r="G26" t="s">
        <v>4750</v>
      </c>
      <c r="H26" t="s">
        <v>39</v>
      </c>
      <c r="I26">
        <v>306.10000000000002</v>
      </c>
      <c r="J26">
        <v>0.65141519472228104</v>
      </c>
      <c r="K26">
        <v>1.179</v>
      </c>
      <c r="L26" t="s">
        <v>4740</v>
      </c>
      <c r="N26">
        <v>393.6</v>
      </c>
      <c r="O26">
        <v>0.83762502660140503</v>
      </c>
      <c r="P26">
        <v>20.23</v>
      </c>
      <c r="Q26" t="s">
        <v>4738</v>
      </c>
      <c r="S26">
        <v>265</v>
      </c>
      <c r="T26">
        <v>0.563949776548202</v>
      </c>
      <c r="U26">
        <v>0.38069999999999998</v>
      </c>
      <c r="V26" t="s">
        <v>4740</v>
      </c>
      <c r="X26">
        <v>331.9</v>
      </c>
      <c r="Y26">
        <v>0.70632049372206895</v>
      </c>
      <c r="Z26">
        <v>2.403</v>
      </c>
      <c r="AA26" t="s">
        <v>4738</v>
      </c>
      <c r="AC26">
        <v>376.5</v>
      </c>
      <c r="AD26">
        <v>0.801234305171313</v>
      </c>
      <c r="AE26">
        <v>8.6720000000000006</v>
      </c>
      <c r="AF26" t="s">
        <v>4738</v>
      </c>
      <c r="AH26">
        <v>377.3</v>
      </c>
      <c r="AI26">
        <v>0.80293679506277904</v>
      </c>
      <c r="AJ26">
        <v>32.5</v>
      </c>
      <c r="AK26" t="s">
        <v>4738</v>
      </c>
      <c r="AM26">
        <v>416.5</v>
      </c>
      <c r="AN26">
        <v>0.88635879974462695</v>
      </c>
      <c r="AO26">
        <v>43.31</v>
      </c>
      <c r="AP26" t="s">
        <v>4738</v>
      </c>
      <c r="AR26" t="s">
        <v>4739</v>
      </c>
      <c r="AS26" t="s">
        <v>4739</v>
      </c>
      <c r="AT26" t="s">
        <v>4739</v>
      </c>
      <c r="AU26" t="s">
        <v>4739</v>
      </c>
    </row>
    <row r="27" spans="1:47">
      <c r="A27" t="s">
        <v>2758</v>
      </c>
      <c r="B27" t="s">
        <v>2759</v>
      </c>
      <c r="C27" t="s">
        <v>17</v>
      </c>
      <c r="D27" t="s">
        <v>2761</v>
      </c>
      <c r="E27" t="s">
        <v>2762</v>
      </c>
      <c r="F27" t="s">
        <v>2763</v>
      </c>
      <c r="G27" t="s">
        <v>4750</v>
      </c>
      <c r="H27" t="s">
        <v>47</v>
      </c>
      <c r="I27">
        <v>291.89999999999998</v>
      </c>
      <c r="J27">
        <v>0.62119599914875501</v>
      </c>
      <c r="K27">
        <v>0.78280000000000005</v>
      </c>
      <c r="L27" t="s">
        <v>4740</v>
      </c>
      <c r="N27">
        <v>365.9</v>
      </c>
      <c r="O27">
        <v>0.77867631410938498</v>
      </c>
      <c r="P27">
        <v>8.5079999999999991</v>
      </c>
      <c r="Q27" t="s">
        <v>4738</v>
      </c>
      <c r="S27">
        <v>318.60000000000002</v>
      </c>
      <c r="T27">
        <v>0.67801659927644198</v>
      </c>
      <c r="U27">
        <v>1.6679999999999999</v>
      </c>
      <c r="V27" t="s">
        <v>4740</v>
      </c>
      <c r="X27">
        <v>353.8</v>
      </c>
      <c r="Y27">
        <v>0.75292615450095801</v>
      </c>
      <c r="Z27">
        <v>6.09</v>
      </c>
      <c r="AA27" t="s">
        <v>4738</v>
      </c>
      <c r="AC27">
        <v>396.9</v>
      </c>
      <c r="AD27">
        <v>0.84464779740370299</v>
      </c>
      <c r="AE27">
        <v>11.4</v>
      </c>
      <c r="AF27" t="s">
        <v>4738</v>
      </c>
      <c r="AH27">
        <v>417.8</v>
      </c>
      <c r="AI27">
        <v>0.88912534581825897</v>
      </c>
      <c r="AJ27">
        <v>60.77</v>
      </c>
      <c r="AK27" t="s">
        <v>4738</v>
      </c>
      <c r="AM27">
        <v>401.9</v>
      </c>
      <c r="AN27">
        <v>0.85528835922536695</v>
      </c>
      <c r="AO27">
        <v>30.71</v>
      </c>
      <c r="AP27" t="s">
        <v>4738</v>
      </c>
      <c r="AR27" t="s">
        <v>4739</v>
      </c>
      <c r="AS27" t="s">
        <v>4739</v>
      </c>
      <c r="AT27" t="s">
        <v>4739</v>
      </c>
      <c r="AU27" t="s">
        <v>4739</v>
      </c>
    </row>
    <row r="28" spans="1:47">
      <c r="A28" t="s">
        <v>2765</v>
      </c>
      <c r="B28" t="s">
        <v>2766</v>
      </c>
      <c r="C28" t="s">
        <v>17</v>
      </c>
      <c r="D28" t="s">
        <v>52</v>
      </c>
      <c r="E28" t="s">
        <v>53</v>
      </c>
      <c r="F28" t="s">
        <v>54</v>
      </c>
      <c r="G28" t="s">
        <v>4751</v>
      </c>
      <c r="H28" t="s">
        <v>23</v>
      </c>
      <c r="I28">
        <v>306.5</v>
      </c>
      <c r="J28">
        <v>0.65226643966801401</v>
      </c>
      <c r="K28">
        <v>1.093</v>
      </c>
      <c r="L28" t="s">
        <v>4740</v>
      </c>
      <c r="N28">
        <v>316.89999999999998</v>
      </c>
      <c r="O28">
        <v>0.67439880825707599</v>
      </c>
      <c r="P28">
        <v>1.17</v>
      </c>
      <c r="Q28" t="s">
        <v>4740</v>
      </c>
      <c r="S28">
        <v>359.1</v>
      </c>
      <c r="T28">
        <v>0.76420515003192202</v>
      </c>
      <c r="U28">
        <v>6.6349999999999998</v>
      </c>
      <c r="V28" t="s">
        <v>4738</v>
      </c>
      <c r="X28">
        <v>388.3</v>
      </c>
      <c r="Y28">
        <v>0.82634603107044102</v>
      </c>
      <c r="Z28">
        <v>11.69</v>
      </c>
      <c r="AA28" t="s">
        <v>4738</v>
      </c>
      <c r="AC28">
        <v>378.1</v>
      </c>
      <c r="AD28">
        <v>0.80463928495424597</v>
      </c>
      <c r="AE28">
        <v>8.8510000000000009</v>
      </c>
      <c r="AF28" t="s">
        <v>4738</v>
      </c>
      <c r="AH28">
        <v>424.4</v>
      </c>
      <c r="AI28">
        <v>0.90317088742285601</v>
      </c>
      <c r="AJ28">
        <v>84.01</v>
      </c>
      <c r="AK28" t="s">
        <v>4738</v>
      </c>
      <c r="AM28">
        <v>408</v>
      </c>
      <c r="AN28">
        <v>0.868269844647797</v>
      </c>
      <c r="AO28">
        <v>33.61</v>
      </c>
      <c r="AP28" t="s">
        <v>4738</v>
      </c>
      <c r="AR28" t="s">
        <v>4739</v>
      </c>
      <c r="AS28" t="s">
        <v>4739</v>
      </c>
      <c r="AT28" t="s">
        <v>4739</v>
      </c>
      <c r="AU28" t="s">
        <v>4739</v>
      </c>
    </row>
    <row r="29" spans="1:47">
      <c r="A29" t="s">
        <v>2768</v>
      </c>
      <c r="B29" t="s">
        <v>2769</v>
      </c>
      <c r="C29" t="s">
        <v>17</v>
      </c>
      <c r="D29" t="s">
        <v>59</v>
      </c>
      <c r="E29" t="s">
        <v>60</v>
      </c>
      <c r="F29" t="s">
        <v>61</v>
      </c>
      <c r="G29" t="s">
        <v>4751</v>
      </c>
      <c r="H29" t="s">
        <v>31</v>
      </c>
      <c r="I29">
        <v>245.9</v>
      </c>
      <c r="J29">
        <v>0.52330283038944503</v>
      </c>
      <c r="K29">
        <v>0.31319999999999998</v>
      </c>
      <c r="L29" t="s">
        <v>4740</v>
      </c>
      <c r="N29">
        <v>282.3</v>
      </c>
      <c r="O29">
        <v>0.60076612045115996</v>
      </c>
      <c r="P29">
        <v>0.61819999999999997</v>
      </c>
      <c r="Q29" t="s">
        <v>4740</v>
      </c>
      <c r="S29">
        <v>304.89999999999998</v>
      </c>
      <c r="T29">
        <v>0.64886145988508204</v>
      </c>
      <c r="U29">
        <v>1.4930000000000001</v>
      </c>
      <c r="V29" t="s">
        <v>4740</v>
      </c>
      <c r="X29">
        <v>359.8</v>
      </c>
      <c r="Y29">
        <v>0.76569482868695504</v>
      </c>
      <c r="Z29">
        <v>6.5410000000000004</v>
      </c>
      <c r="AA29" t="s">
        <v>4738</v>
      </c>
      <c r="AC29">
        <v>380.8</v>
      </c>
      <c r="AD29">
        <v>0.81038518833794404</v>
      </c>
      <c r="AE29">
        <v>11.32</v>
      </c>
      <c r="AF29" t="s">
        <v>4738</v>
      </c>
      <c r="AH29">
        <v>411.5</v>
      </c>
      <c r="AI29">
        <v>0.875718237922962</v>
      </c>
      <c r="AJ29">
        <v>49.03</v>
      </c>
      <c r="AK29" t="s">
        <v>4738</v>
      </c>
      <c r="AM29">
        <v>403.4</v>
      </c>
      <c r="AN29">
        <v>0.85848052777186601</v>
      </c>
      <c r="AO29">
        <v>26.97</v>
      </c>
      <c r="AP29" t="s">
        <v>4738</v>
      </c>
      <c r="AR29" t="s">
        <v>4739</v>
      </c>
      <c r="AS29" t="s">
        <v>4739</v>
      </c>
      <c r="AT29" t="s">
        <v>4739</v>
      </c>
      <c r="AU29" t="s">
        <v>4739</v>
      </c>
    </row>
    <row r="30" spans="1:47">
      <c r="A30" t="s">
        <v>2771</v>
      </c>
      <c r="B30" t="s">
        <v>2772</v>
      </c>
      <c r="C30" t="s">
        <v>17</v>
      </c>
      <c r="D30" t="s">
        <v>36</v>
      </c>
      <c r="E30" t="s">
        <v>37</v>
      </c>
      <c r="F30" t="s">
        <v>38</v>
      </c>
      <c r="G30" t="s">
        <v>4751</v>
      </c>
      <c r="H30" t="s">
        <v>39</v>
      </c>
      <c r="I30">
        <v>306.10000000000002</v>
      </c>
      <c r="J30">
        <v>0.65141519472228104</v>
      </c>
      <c r="K30">
        <v>1.179</v>
      </c>
      <c r="L30" t="s">
        <v>4740</v>
      </c>
      <c r="N30">
        <v>393.6</v>
      </c>
      <c r="O30">
        <v>0.83762502660140503</v>
      </c>
      <c r="P30">
        <v>20.23</v>
      </c>
      <c r="Q30" t="s">
        <v>4738</v>
      </c>
      <c r="S30">
        <v>265</v>
      </c>
      <c r="T30">
        <v>0.563949776548202</v>
      </c>
      <c r="U30">
        <v>0.38069999999999998</v>
      </c>
      <c r="V30" t="s">
        <v>4740</v>
      </c>
      <c r="X30">
        <v>331.9</v>
      </c>
      <c r="Y30">
        <v>0.70632049372206895</v>
      </c>
      <c r="Z30">
        <v>2.403</v>
      </c>
      <c r="AA30" t="s">
        <v>4738</v>
      </c>
      <c r="AC30">
        <v>376.5</v>
      </c>
      <c r="AD30">
        <v>0.801234305171313</v>
      </c>
      <c r="AE30">
        <v>8.6720000000000006</v>
      </c>
      <c r="AF30" t="s">
        <v>4738</v>
      </c>
      <c r="AH30">
        <v>377.3</v>
      </c>
      <c r="AI30">
        <v>0.80293679506277904</v>
      </c>
      <c r="AJ30">
        <v>32.5</v>
      </c>
      <c r="AK30" t="s">
        <v>4738</v>
      </c>
      <c r="AM30">
        <v>416.5</v>
      </c>
      <c r="AN30">
        <v>0.88635879974462695</v>
      </c>
      <c r="AO30">
        <v>43.31</v>
      </c>
      <c r="AP30" t="s">
        <v>4738</v>
      </c>
      <c r="AR30" t="s">
        <v>4739</v>
      </c>
      <c r="AS30" t="s">
        <v>4739</v>
      </c>
      <c r="AT30" t="s">
        <v>4739</v>
      </c>
      <c r="AU30" t="s">
        <v>4739</v>
      </c>
    </row>
    <row r="31" spans="1:47">
      <c r="A31" t="s">
        <v>2774</v>
      </c>
      <c r="B31" t="s">
        <v>2775</v>
      </c>
      <c r="C31" t="s">
        <v>17</v>
      </c>
      <c r="D31" t="s">
        <v>44</v>
      </c>
      <c r="E31" t="s">
        <v>45</v>
      </c>
      <c r="F31" t="s">
        <v>46</v>
      </c>
      <c r="G31" t="s">
        <v>4751</v>
      </c>
      <c r="H31" t="s">
        <v>47</v>
      </c>
      <c r="I31">
        <v>291.89999999999998</v>
      </c>
      <c r="J31">
        <v>0.62119599914875501</v>
      </c>
      <c r="K31">
        <v>0.78280000000000005</v>
      </c>
      <c r="L31" t="s">
        <v>4740</v>
      </c>
      <c r="N31">
        <v>365.9</v>
      </c>
      <c r="O31">
        <v>0.77867631410938498</v>
      </c>
      <c r="P31">
        <v>8.5079999999999991</v>
      </c>
      <c r="Q31" t="s">
        <v>4738</v>
      </c>
      <c r="S31">
        <v>318.60000000000002</v>
      </c>
      <c r="T31">
        <v>0.67801659927644198</v>
      </c>
      <c r="U31">
        <v>1.6679999999999999</v>
      </c>
      <c r="V31" t="s">
        <v>4740</v>
      </c>
      <c r="X31">
        <v>353.8</v>
      </c>
      <c r="Y31">
        <v>0.75292615450095801</v>
      </c>
      <c r="Z31">
        <v>6.09</v>
      </c>
      <c r="AA31" t="s">
        <v>4738</v>
      </c>
      <c r="AC31">
        <v>396.9</v>
      </c>
      <c r="AD31">
        <v>0.84464779740370299</v>
      </c>
      <c r="AE31">
        <v>11.4</v>
      </c>
      <c r="AF31" t="s">
        <v>4738</v>
      </c>
      <c r="AH31">
        <v>417.8</v>
      </c>
      <c r="AI31">
        <v>0.88912534581825897</v>
      </c>
      <c r="AJ31">
        <v>60.77</v>
      </c>
      <c r="AK31" t="s">
        <v>4738</v>
      </c>
      <c r="AM31">
        <v>401.9</v>
      </c>
      <c r="AN31">
        <v>0.85528835922536695</v>
      </c>
      <c r="AO31">
        <v>30.71</v>
      </c>
      <c r="AP31" t="s">
        <v>4738</v>
      </c>
      <c r="AR31" t="s">
        <v>4739</v>
      </c>
      <c r="AS31" t="s">
        <v>4739</v>
      </c>
      <c r="AT31" t="s">
        <v>4739</v>
      </c>
      <c r="AU31" t="s">
        <v>4739</v>
      </c>
    </row>
    <row r="32" spans="1:47">
      <c r="A32" t="s">
        <v>2777</v>
      </c>
      <c r="B32" t="s">
        <v>2778</v>
      </c>
      <c r="C32" t="s">
        <v>17</v>
      </c>
      <c r="D32" t="s">
        <v>73</v>
      </c>
      <c r="E32" t="s">
        <v>74</v>
      </c>
      <c r="F32" t="s">
        <v>75</v>
      </c>
      <c r="G32" t="s">
        <v>4750</v>
      </c>
      <c r="H32" t="s">
        <v>77</v>
      </c>
      <c r="I32">
        <v>294.7</v>
      </c>
      <c r="J32">
        <v>0.62715471376888698</v>
      </c>
      <c r="K32">
        <v>0.83079999999999998</v>
      </c>
      <c r="L32" t="s">
        <v>4740</v>
      </c>
      <c r="N32">
        <v>350.3</v>
      </c>
      <c r="O32">
        <v>0.74547776122579301</v>
      </c>
      <c r="P32">
        <v>5.3730000000000002</v>
      </c>
      <c r="Q32" t="s">
        <v>4738</v>
      </c>
      <c r="S32">
        <v>357.6</v>
      </c>
      <c r="T32">
        <v>0.76101298148542296</v>
      </c>
      <c r="U32">
        <v>6.41</v>
      </c>
      <c r="V32" t="s">
        <v>4738</v>
      </c>
      <c r="X32">
        <v>364</v>
      </c>
      <c r="Y32">
        <v>0.77463290061715295</v>
      </c>
      <c r="Z32">
        <v>8.0939999999999994</v>
      </c>
      <c r="AA32" t="s">
        <v>4738</v>
      </c>
      <c r="AC32">
        <v>338.8</v>
      </c>
      <c r="AD32">
        <v>0.72100446903596505</v>
      </c>
      <c r="AE32">
        <v>3.073</v>
      </c>
      <c r="AF32" t="s">
        <v>4738</v>
      </c>
      <c r="AH32">
        <v>390.5</v>
      </c>
      <c r="AI32">
        <v>0.831027878271973</v>
      </c>
      <c r="AJ32">
        <v>43.24</v>
      </c>
      <c r="AK32" t="s">
        <v>4738</v>
      </c>
      <c r="AM32">
        <v>370.9</v>
      </c>
      <c r="AN32">
        <v>0.78931687593104904</v>
      </c>
      <c r="AO32">
        <v>15.84</v>
      </c>
      <c r="AP32" t="s">
        <v>4738</v>
      </c>
      <c r="AR32" t="e">
        <v>#N/A</v>
      </c>
      <c r="AS32" t="e">
        <v>#N/A</v>
      </c>
      <c r="AT32" t="e">
        <v>#N/A</v>
      </c>
      <c r="AU32" t="e">
        <v>#N/A</v>
      </c>
    </row>
    <row r="33" spans="1:47">
      <c r="A33" t="s">
        <v>2780</v>
      </c>
      <c r="B33" t="s">
        <v>2781</v>
      </c>
      <c r="C33" t="s">
        <v>17</v>
      </c>
      <c r="D33" t="s">
        <v>82</v>
      </c>
      <c r="E33" t="s">
        <v>83</v>
      </c>
      <c r="F33" t="s">
        <v>84</v>
      </c>
      <c r="G33" t="s">
        <v>4751</v>
      </c>
      <c r="H33" t="s">
        <v>77</v>
      </c>
      <c r="I33">
        <v>294.7</v>
      </c>
      <c r="J33">
        <v>0.62715471376888698</v>
      </c>
      <c r="K33">
        <v>0.83079999999999998</v>
      </c>
      <c r="L33" t="s">
        <v>4740</v>
      </c>
      <c r="N33">
        <v>350.3</v>
      </c>
      <c r="O33">
        <v>0.74547776122579301</v>
      </c>
      <c r="P33">
        <v>5.3730000000000002</v>
      </c>
      <c r="Q33" t="s">
        <v>4738</v>
      </c>
      <c r="S33">
        <v>357.6</v>
      </c>
      <c r="T33">
        <v>0.76101298148542296</v>
      </c>
      <c r="U33">
        <v>6.41</v>
      </c>
      <c r="V33" t="s">
        <v>4738</v>
      </c>
      <c r="X33">
        <v>364</v>
      </c>
      <c r="Y33">
        <v>0.77463290061715295</v>
      </c>
      <c r="Z33">
        <v>8.0939999999999994</v>
      </c>
      <c r="AA33" t="s">
        <v>4738</v>
      </c>
      <c r="AC33">
        <v>338.8</v>
      </c>
      <c r="AD33">
        <v>0.72100446903596505</v>
      </c>
      <c r="AE33">
        <v>3.073</v>
      </c>
      <c r="AF33" t="s">
        <v>4738</v>
      </c>
      <c r="AH33">
        <v>390.5</v>
      </c>
      <c r="AI33">
        <v>0.831027878271973</v>
      </c>
      <c r="AJ33">
        <v>43.24</v>
      </c>
      <c r="AK33" t="s">
        <v>4738</v>
      </c>
      <c r="AM33">
        <v>370.9</v>
      </c>
      <c r="AN33">
        <v>0.78931687593104904</v>
      </c>
      <c r="AO33">
        <v>15.84</v>
      </c>
      <c r="AP33" t="s">
        <v>4738</v>
      </c>
      <c r="AR33" t="e">
        <v>#N/A</v>
      </c>
      <c r="AS33" t="e">
        <v>#N/A</v>
      </c>
      <c r="AT33" t="e">
        <v>#N/A</v>
      </c>
      <c r="AU33" t="e">
        <v>#N/A</v>
      </c>
    </row>
    <row r="34" spans="1:47">
      <c r="A34" t="s">
        <v>2783</v>
      </c>
      <c r="B34" t="s">
        <v>2784</v>
      </c>
      <c r="C34" t="s">
        <v>17</v>
      </c>
      <c r="D34" t="s">
        <v>112</v>
      </c>
      <c r="E34" t="s">
        <v>113</v>
      </c>
      <c r="F34" t="s">
        <v>114</v>
      </c>
      <c r="G34" t="s">
        <v>4750</v>
      </c>
      <c r="H34" t="s">
        <v>115</v>
      </c>
      <c r="I34">
        <v>291.60000000000002</v>
      </c>
      <c r="J34">
        <v>0.62055756543945495</v>
      </c>
      <c r="K34">
        <v>0.90900000000000003</v>
      </c>
      <c r="L34" t="s">
        <v>4740</v>
      </c>
      <c r="N34">
        <v>286.89999999999998</v>
      </c>
      <c r="O34">
        <v>0.61055543732709106</v>
      </c>
      <c r="P34">
        <v>0.75409999999999999</v>
      </c>
      <c r="Q34" t="s">
        <v>4740</v>
      </c>
      <c r="S34">
        <v>290.7</v>
      </c>
      <c r="T34">
        <v>0.618642264311556</v>
      </c>
      <c r="U34">
        <v>0.76890000000000003</v>
      </c>
      <c r="V34" t="s">
        <v>4740</v>
      </c>
      <c r="X34">
        <v>339.9</v>
      </c>
      <c r="Y34">
        <v>0.72334539263673103</v>
      </c>
      <c r="Z34">
        <v>4.1159999999999997</v>
      </c>
      <c r="AA34" t="s">
        <v>4738</v>
      </c>
      <c r="AC34">
        <v>427.1</v>
      </c>
      <c r="AD34">
        <v>0.90891679080655496</v>
      </c>
      <c r="AE34">
        <v>64.2</v>
      </c>
      <c r="AF34" t="s">
        <v>4738</v>
      </c>
      <c r="AH34">
        <v>395.7</v>
      </c>
      <c r="AI34">
        <v>0.84209406256650399</v>
      </c>
      <c r="AJ34">
        <v>21.99</v>
      </c>
      <c r="AK34" t="s">
        <v>4738</v>
      </c>
      <c r="AM34">
        <v>416.8</v>
      </c>
      <c r="AN34">
        <v>0.886997233453926</v>
      </c>
      <c r="AO34">
        <v>34.96</v>
      </c>
      <c r="AP34" t="s">
        <v>4738</v>
      </c>
      <c r="AR34" t="s">
        <v>4739</v>
      </c>
      <c r="AS34" t="s">
        <v>4739</v>
      </c>
      <c r="AT34" t="s">
        <v>4739</v>
      </c>
      <c r="AU34" t="s">
        <v>4739</v>
      </c>
    </row>
    <row r="35" spans="1:47">
      <c r="A35" t="s">
        <v>2786</v>
      </c>
      <c r="B35" t="s">
        <v>2787</v>
      </c>
      <c r="C35" t="s">
        <v>17</v>
      </c>
      <c r="D35" t="s">
        <v>120</v>
      </c>
      <c r="E35" t="s">
        <v>121</v>
      </c>
      <c r="F35" t="s">
        <v>122</v>
      </c>
      <c r="G35" t="s">
        <v>4750</v>
      </c>
      <c r="H35" t="s">
        <v>123</v>
      </c>
      <c r="I35">
        <v>351.4</v>
      </c>
      <c r="J35">
        <v>0.747818684826559</v>
      </c>
      <c r="K35">
        <v>4.8949999999999996</v>
      </c>
      <c r="L35" t="s">
        <v>4738</v>
      </c>
      <c r="N35">
        <v>309</v>
      </c>
      <c r="O35">
        <v>0.65758672057884704</v>
      </c>
      <c r="P35">
        <v>1.0409999999999999</v>
      </c>
      <c r="Q35" t="s">
        <v>4740</v>
      </c>
      <c r="S35">
        <v>354.6</v>
      </c>
      <c r="T35">
        <v>0.75462864439242405</v>
      </c>
      <c r="U35">
        <v>6.532</v>
      </c>
      <c r="V35" t="s">
        <v>4738</v>
      </c>
      <c r="X35">
        <v>334</v>
      </c>
      <c r="Y35">
        <v>0.71078952968716702</v>
      </c>
      <c r="Z35">
        <v>3.4180000000000001</v>
      </c>
      <c r="AA35" t="s">
        <v>4738</v>
      </c>
      <c r="AC35">
        <v>409.3</v>
      </c>
      <c r="AD35">
        <v>0.87103639072143002</v>
      </c>
      <c r="AE35">
        <v>55.06</v>
      </c>
      <c r="AF35" t="s">
        <v>4738</v>
      </c>
      <c r="AH35">
        <v>404.3</v>
      </c>
      <c r="AI35">
        <v>0.86039582889976596</v>
      </c>
      <c r="AJ35">
        <v>44.13</v>
      </c>
      <c r="AK35" t="s">
        <v>4738</v>
      </c>
      <c r="AM35">
        <v>415</v>
      </c>
      <c r="AN35">
        <v>0.88316663119812699</v>
      </c>
      <c r="AO35">
        <v>61.82</v>
      </c>
      <c r="AP35" t="s">
        <v>4738</v>
      </c>
      <c r="AR35" t="s">
        <v>4739</v>
      </c>
      <c r="AS35" t="s">
        <v>4739</v>
      </c>
      <c r="AT35" t="s">
        <v>4739</v>
      </c>
      <c r="AU35" t="s">
        <v>4739</v>
      </c>
    </row>
    <row r="36" spans="1:47">
      <c r="A36" t="s">
        <v>2789</v>
      </c>
      <c r="B36" t="s">
        <v>2790</v>
      </c>
      <c r="C36" t="s">
        <v>17</v>
      </c>
      <c r="D36" t="s">
        <v>142</v>
      </c>
      <c r="E36" t="s">
        <v>143</v>
      </c>
      <c r="F36" t="s">
        <v>144</v>
      </c>
      <c r="G36" t="s">
        <v>4751</v>
      </c>
      <c r="H36" t="s">
        <v>123</v>
      </c>
      <c r="I36">
        <v>351.4</v>
      </c>
      <c r="J36">
        <v>0.747818684826559</v>
      </c>
      <c r="K36">
        <v>4.8949999999999996</v>
      </c>
      <c r="L36" t="s">
        <v>4738</v>
      </c>
      <c r="N36">
        <v>309</v>
      </c>
      <c r="O36">
        <v>0.65758672057884704</v>
      </c>
      <c r="P36">
        <v>1.0409999999999999</v>
      </c>
      <c r="Q36" t="s">
        <v>4740</v>
      </c>
      <c r="S36">
        <v>354.6</v>
      </c>
      <c r="T36">
        <v>0.75462864439242405</v>
      </c>
      <c r="U36">
        <v>6.532</v>
      </c>
      <c r="V36" t="s">
        <v>4738</v>
      </c>
      <c r="X36">
        <v>334</v>
      </c>
      <c r="Y36">
        <v>0.71078952968716702</v>
      </c>
      <c r="Z36">
        <v>3.4180000000000001</v>
      </c>
      <c r="AA36" t="s">
        <v>4738</v>
      </c>
      <c r="AC36">
        <v>409.3</v>
      </c>
      <c r="AD36">
        <v>0.87103639072143002</v>
      </c>
      <c r="AE36">
        <v>55.06</v>
      </c>
      <c r="AF36" t="s">
        <v>4738</v>
      </c>
      <c r="AH36">
        <v>404.3</v>
      </c>
      <c r="AI36">
        <v>0.86039582889976596</v>
      </c>
      <c r="AJ36">
        <v>44.13</v>
      </c>
      <c r="AK36" t="s">
        <v>4738</v>
      </c>
      <c r="AM36">
        <v>415</v>
      </c>
      <c r="AN36">
        <v>0.88316663119812699</v>
      </c>
      <c r="AO36">
        <v>61.82</v>
      </c>
      <c r="AP36" t="s">
        <v>4738</v>
      </c>
      <c r="AR36" t="s">
        <v>4739</v>
      </c>
      <c r="AS36" t="s">
        <v>4739</v>
      </c>
      <c r="AT36" t="s">
        <v>4739</v>
      </c>
      <c r="AU36" t="s">
        <v>4739</v>
      </c>
    </row>
    <row r="37" spans="1:47">
      <c r="A37" t="s">
        <v>2792</v>
      </c>
      <c r="B37" t="s">
        <v>2793</v>
      </c>
      <c r="C37" t="s">
        <v>17</v>
      </c>
      <c r="D37" t="s">
        <v>195</v>
      </c>
      <c r="E37" t="s">
        <v>196</v>
      </c>
      <c r="F37" t="s">
        <v>197</v>
      </c>
      <c r="G37" t="s">
        <v>4750</v>
      </c>
      <c r="H37" t="s">
        <v>198</v>
      </c>
      <c r="I37">
        <v>343.8</v>
      </c>
      <c r="J37">
        <v>0.731645030857629</v>
      </c>
      <c r="K37">
        <v>4.8529999999999998</v>
      </c>
      <c r="L37" t="s">
        <v>4738</v>
      </c>
      <c r="N37">
        <v>354.7</v>
      </c>
      <c r="O37">
        <v>0.75484145562885696</v>
      </c>
      <c r="P37">
        <v>5.9210000000000003</v>
      </c>
      <c r="Q37" t="s">
        <v>4738</v>
      </c>
      <c r="S37">
        <v>384</v>
      </c>
      <c r="T37">
        <v>0.81719514790380898</v>
      </c>
      <c r="U37">
        <v>9.4730000000000008</v>
      </c>
      <c r="V37" t="s">
        <v>4738</v>
      </c>
      <c r="X37">
        <v>389.1</v>
      </c>
      <c r="Y37">
        <v>0.82804852096190695</v>
      </c>
      <c r="Z37">
        <v>18.2</v>
      </c>
      <c r="AA37" t="s">
        <v>4738</v>
      </c>
      <c r="AC37">
        <v>357.9</v>
      </c>
      <c r="AD37">
        <v>0.76165141519472201</v>
      </c>
      <c r="AE37">
        <v>8.5779999999999994</v>
      </c>
      <c r="AF37" t="s">
        <v>4738</v>
      </c>
      <c r="AH37">
        <v>461.2</v>
      </c>
      <c r="AI37">
        <v>0.98148542243030401</v>
      </c>
      <c r="AJ37">
        <v>269.39999999999998</v>
      </c>
      <c r="AK37" t="s">
        <v>4738</v>
      </c>
      <c r="AM37">
        <v>420</v>
      </c>
      <c r="AN37">
        <v>0.89380719301979195</v>
      </c>
      <c r="AO37">
        <v>261.8</v>
      </c>
      <c r="AP37" t="s">
        <v>4738</v>
      </c>
      <c r="AR37" t="s">
        <v>4739</v>
      </c>
      <c r="AS37" t="s">
        <v>4739</v>
      </c>
      <c r="AT37" t="s">
        <v>4739</v>
      </c>
      <c r="AU37" t="s">
        <v>4739</v>
      </c>
    </row>
    <row r="38" spans="1:47">
      <c r="A38" t="s">
        <v>2795</v>
      </c>
      <c r="B38" t="s">
        <v>2796</v>
      </c>
      <c r="C38" t="s">
        <v>17</v>
      </c>
      <c r="D38" t="s">
        <v>203</v>
      </c>
      <c r="E38" t="s">
        <v>204</v>
      </c>
      <c r="F38" t="s">
        <v>205</v>
      </c>
      <c r="G38" t="s">
        <v>4750</v>
      </c>
      <c r="H38" t="s">
        <v>206</v>
      </c>
      <c r="I38">
        <v>305.89999999999998</v>
      </c>
      <c r="J38">
        <v>0.650989572249415</v>
      </c>
      <c r="K38">
        <v>1.4870000000000001</v>
      </c>
      <c r="L38" t="s">
        <v>4740</v>
      </c>
      <c r="N38">
        <v>363</v>
      </c>
      <c r="O38">
        <v>0.77250478825281998</v>
      </c>
      <c r="P38">
        <v>9.5350000000000001</v>
      </c>
      <c r="Q38" t="s">
        <v>4738</v>
      </c>
      <c r="S38">
        <v>346.1</v>
      </c>
      <c r="T38">
        <v>0.73653968929559499</v>
      </c>
      <c r="U38">
        <v>5.7060000000000004</v>
      </c>
      <c r="V38" t="s">
        <v>4738</v>
      </c>
      <c r="X38">
        <v>341.2</v>
      </c>
      <c r="Y38">
        <v>0.72611193871036395</v>
      </c>
      <c r="Z38">
        <v>4.5330000000000004</v>
      </c>
      <c r="AA38" t="s">
        <v>4738</v>
      </c>
      <c r="AC38">
        <v>336.9</v>
      </c>
      <c r="AD38">
        <v>0.71696105554373302</v>
      </c>
      <c r="AE38">
        <v>3.6659999999999999</v>
      </c>
      <c r="AF38" t="s">
        <v>4738</v>
      </c>
      <c r="AH38">
        <v>408.9</v>
      </c>
      <c r="AI38">
        <v>0.87018514577569706</v>
      </c>
      <c r="AJ38">
        <v>119.7</v>
      </c>
      <c r="AK38" t="s">
        <v>4738</v>
      </c>
      <c r="AM38">
        <v>431.7</v>
      </c>
      <c r="AN38">
        <v>0.91870610768248595</v>
      </c>
      <c r="AO38">
        <v>243.9</v>
      </c>
      <c r="AP38" t="s">
        <v>4738</v>
      </c>
      <c r="AR38" t="s">
        <v>4739</v>
      </c>
      <c r="AS38" t="s">
        <v>4739</v>
      </c>
      <c r="AT38" t="s">
        <v>4739</v>
      </c>
      <c r="AU38" t="s">
        <v>4739</v>
      </c>
    </row>
    <row r="39" spans="1:47">
      <c r="A39" t="s">
        <v>2798</v>
      </c>
      <c r="B39" t="s">
        <v>2799</v>
      </c>
      <c r="C39" t="s">
        <v>17</v>
      </c>
      <c r="D39" t="s">
        <v>211</v>
      </c>
      <c r="E39" t="s">
        <v>212</v>
      </c>
      <c r="F39" t="s">
        <v>213</v>
      </c>
      <c r="G39" t="s">
        <v>4750</v>
      </c>
      <c r="H39" t="s">
        <v>214</v>
      </c>
      <c r="I39">
        <v>284.10000000000002</v>
      </c>
      <c r="J39">
        <v>0.60459672270695897</v>
      </c>
      <c r="K39">
        <v>0.70130000000000003</v>
      </c>
      <c r="L39" t="s">
        <v>4740</v>
      </c>
      <c r="N39">
        <v>358.8</v>
      </c>
      <c r="O39">
        <v>0.76356671632262196</v>
      </c>
      <c r="P39">
        <v>9.7089999999999996</v>
      </c>
      <c r="Q39" t="s">
        <v>4738</v>
      </c>
      <c r="S39">
        <v>304.7</v>
      </c>
      <c r="T39">
        <v>0.648435837412215</v>
      </c>
      <c r="U39">
        <v>1.8160000000000001</v>
      </c>
      <c r="V39" t="s">
        <v>4740</v>
      </c>
      <c r="X39">
        <v>367.2</v>
      </c>
      <c r="Y39">
        <v>0.78144286018301801</v>
      </c>
      <c r="Z39">
        <v>9.9269999999999996</v>
      </c>
      <c r="AA39" t="s">
        <v>4738</v>
      </c>
      <c r="AC39">
        <v>290.89999999999998</v>
      </c>
      <c r="AD39">
        <v>0.61906788678442204</v>
      </c>
      <c r="AE39">
        <v>0.98629999999999995</v>
      </c>
      <c r="AF39" t="s">
        <v>4740</v>
      </c>
      <c r="AH39">
        <v>407.1</v>
      </c>
      <c r="AI39">
        <v>0.86635454351989805</v>
      </c>
      <c r="AJ39">
        <v>123.8</v>
      </c>
      <c r="AK39" t="s">
        <v>4738</v>
      </c>
      <c r="AM39">
        <v>407.2</v>
      </c>
      <c r="AN39">
        <v>0.86656735475633095</v>
      </c>
      <c r="AO39">
        <v>80.69</v>
      </c>
      <c r="AP39" t="s">
        <v>4738</v>
      </c>
      <c r="AR39" t="s">
        <v>4739</v>
      </c>
      <c r="AS39" t="s">
        <v>4739</v>
      </c>
      <c r="AT39" t="s">
        <v>4739</v>
      </c>
      <c r="AU39" t="s">
        <v>4739</v>
      </c>
    </row>
    <row r="40" spans="1:47">
      <c r="A40" t="s">
        <v>2801</v>
      </c>
      <c r="B40" t="s">
        <v>2802</v>
      </c>
      <c r="C40" t="s">
        <v>17</v>
      </c>
      <c r="D40" t="s">
        <v>219</v>
      </c>
      <c r="E40" t="s">
        <v>220</v>
      </c>
      <c r="F40" t="s">
        <v>221</v>
      </c>
      <c r="G40" t="s">
        <v>4751</v>
      </c>
      <c r="H40" t="s">
        <v>198</v>
      </c>
      <c r="I40">
        <v>343.8</v>
      </c>
      <c r="J40">
        <v>0.731645030857629</v>
      </c>
      <c r="K40">
        <v>4.8529999999999998</v>
      </c>
      <c r="L40" t="s">
        <v>4738</v>
      </c>
      <c r="N40">
        <v>354.7</v>
      </c>
      <c r="O40">
        <v>0.75484145562885696</v>
      </c>
      <c r="P40">
        <v>5.9210000000000003</v>
      </c>
      <c r="Q40" t="s">
        <v>4738</v>
      </c>
      <c r="S40">
        <v>384</v>
      </c>
      <c r="T40">
        <v>0.81719514790380898</v>
      </c>
      <c r="U40">
        <v>9.4730000000000008</v>
      </c>
      <c r="V40" t="s">
        <v>4738</v>
      </c>
      <c r="X40">
        <v>389.1</v>
      </c>
      <c r="Y40">
        <v>0.82804852096190695</v>
      </c>
      <c r="Z40">
        <v>18.2</v>
      </c>
      <c r="AA40" t="s">
        <v>4738</v>
      </c>
      <c r="AC40">
        <v>357.9</v>
      </c>
      <c r="AD40">
        <v>0.76165141519472201</v>
      </c>
      <c r="AE40">
        <v>8.5779999999999994</v>
      </c>
      <c r="AF40" t="s">
        <v>4738</v>
      </c>
      <c r="AH40">
        <v>461.2</v>
      </c>
      <c r="AI40">
        <v>0.98148542243030401</v>
      </c>
      <c r="AJ40">
        <v>269.39999999999998</v>
      </c>
      <c r="AK40" t="s">
        <v>4738</v>
      </c>
      <c r="AM40">
        <v>420</v>
      </c>
      <c r="AN40">
        <v>0.89380719301979195</v>
      </c>
      <c r="AO40">
        <v>261.8</v>
      </c>
      <c r="AP40" t="s">
        <v>4738</v>
      </c>
      <c r="AR40" t="s">
        <v>4739</v>
      </c>
      <c r="AS40" t="s">
        <v>4739</v>
      </c>
      <c r="AT40" t="s">
        <v>4739</v>
      </c>
      <c r="AU40" t="s">
        <v>4739</v>
      </c>
    </row>
    <row r="41" spans="1:47">
      <c r="A41" t="s">
        <v>2804</v>
      </c>
      <c r="B41" t="s">
        <v>2805</v>
      </c>
      <c r="C41" t="s">
        <v>17</v>
      </c>
      <c r="D41" t="s">
        <v>226</v>
      </c>
      <c r="E41" t="s">
        <v>227</v>
      </c>
      <c r="F41" t="s">
        <v>228</v>
      </c>
      <c r="G41" t="s">
        <v>4751</v>
      </c>
      <c r="H41" t="s">
        <v>206</v>
      </c>
      <c r="I41">
        <v>305.89999999999998</v>
      </c>
      <c r="J41">
        <v>0.650989572249415</v>
      </c>
      <c r="K41">
        <v>1.4870000000000001</v>
      </c>
      <c r="L41" t="s">
        <v>4740</v>
      </c>
      <c r="N41">
        <v>363</v>
      </c>
      <c r="O41">
        <v>0.77250478825281998</v>
      </c>
      <c r="P41">
        <v>9.5350000000000001</v>
      </c>
      <c r="Q41" t="s">
        <v>4738</v>
      </c>
      <c r="S41">
        <v>346.1</v>
      </c>
      <c r="T41">
        <v>0.73653968929559499</v>
      </c>
      <c r="U41">
        <v>5.7060000000000004</v>
      </c>
      <c r="V41" t="s">
        <v>4738</v>
      </c>
      <c r="X41">
        <v>341.2</v>
      </c>
      <c r="Y41">
        <v>0.72611193871036395</v>
      </c>
      <c r="Z41">
        <v>4.5330000000000004</v>
      </c>
      <c r="AA41" t="s">
        <v>4738</v>
      </c>
      <c r="AC41">
        <v>336.9</v>
      </c>
      <c r="AD41">
        <v>0.71696105554373302</v>
      </c>
      <c r="AE41">
        <v>3.6659999999999999</v>
      </c>
      <c r="AF41" t="s">
        <v>4738</v>
      </c>
      <c r="AH41">
        <v>408.9</v>
      </c>
      <c r="AI41">
        <v>0.87018514577569706</v>
      </c>
      <c r="AJ41">
        <v>119.7</v>
      </c>
      <c r="AK41" t="s">
        <v>4738</v>
      </c>
      <c r="AM41">
        <v>431.7</v>
      </c>
      <c r="AN41">
        <v>0.91870610768248595</v>
      </c>
      <c r="AO41">
        <v>243.9</v>
      </c>
      <c r="AP41" t="s">
        <v>4738</v>
      </c>
      <c r="AR41" t="s">
        <v>4739</v>
      </c>
      <c r="AS41" t="s">
        <v>4739</v>
      </c>
      <c r="AT41" t="s">
        <v>4739</v>
      </c>
      <c r="AU41" t="s">
        <v>4739</v>
      </c>
    </row>
    <row r="42" spans="1:47">
      <c r="A42" t="s">
        <v>2807</v>
      </c>
      <c r="B42" t="s">
        <v>2808</v>
      </c>
      <c r="C42" t="s">
        <v>17</v>
      </c>
      <c r="D42" t="s">
        <v>233</v>
      </c>
      <c r="E42" t="s">
        <v>234</v>
      </c>
      <c r="F42" t="s">
        <v>235</v>
      </c>
      <c r="G42" t="s">
        <v>4751</v>
      </c>
      <c r="H42" t="s">
        <v>214</v>
      </c>
      <c r="I42">
        <v>284.10000000000002</v>
      </c>
      <c r="J42">
        <v>0.60459672270695897</v>
      </c>
      <c r="K42">
        <v>0.70130000000000003</v>
      </c>
      <c r="L42" t="s">
        <v>4740</v>
      </c>
      <c r="N42">
        <v>358.8</v>
      </c>
      <c r="O42">
        <v>0.76356671632262196</v>
      </c>
      <c r="P42">
        <v>9.7089999999999996</v>
      </c>
      <c r="Q42" t="s">
        <v>4738</v>
      </c>
      <c r="S42">
        <v>304.7</v>
      </c>
      <c r="T42">
        <v>0.648435837412215</v>
      </c>
      <c r="U42">
        <v>1.8160000000000001</v>
      </c>
      <c r="V42" t="s">
        <v>4740</v>
      </c>
      <c r="X42">
        <v>367.2</v>
      </c>
      <c r="Y42">
        <v>0.78144286018301801</v>
      </c>
      <c r="Z42">
        <v>9.9269999999999996</v>
      </c>
      <c r="AA42" t="s">
        <v>4738</v>
      </c>
      <c r="AC42">
        <v>290.89999999999998</v>
      </c>
      <c r="AD42">
        <v>0.61906788678442204</v>
      </c>
      <c r="AE42">
        <v>0.98629999999999995</v>
      </c>
      <c r="AF42" t="s">
        <v>4740</v>
      </c>
      <c r="AH42">
        <v>407.1</v>
      </c>
      <c r="AI42">
        <v>0.86635454351989805</v>
      </c>
      <c r="AJ42">
        <v>123.8</v>
      </c>
      <c r="AK42" t="s">
        <v>4738</v>
      </c>
      <c r="AM42">
        <v>407.2</v>
      </c>
      <c r="AN42">
        <v>0.86656735475633095</v>
      </c>
      <c r="AO42">
        <v>80.69</v>
      </c>
      <c r="AP42" t="s">
        <v>4738</v>
      </c>
      <c r="AR42" t="s">
        <v>4739</v>
      </c>
      <c r="AS42" t="s">
        <v>4739</v>
      </c>
      <c r="AT42" t="s">
        <v>4739</v>
      </c>
      <c r="AU42" t="s">
        <v>4739</v>
      </c>
    </row>
    <row r="43" spans="1:47">
      <c r="A43" t="s">
        <v>2810</v>
      </c>
      <c r="B43" t="s">
        <v>2811</v>
      </c>
      <c r="C43" t="s">
        <v>17</v>
      </c>
      <c r="D43" t="s">
        <v>248</v>
      </c>
      <c r="E43" t="s">
        <v>249</v>
      </c>
      <c r="F43" t="s">
        <v>250</v>
      </c>
      <c r="G43" t="s">
        <v>4750</v>
      </c>
      <c r="H43" t="s">
        <v>251</v>
      </c>
      <c r="I43">
        <v>347.8</v>
      </c>
      <c r="J43">
        <v>0.74015748031496098</v>
      </c>
      <c r="K43">
        <v>4.72</v>
      </c>
      <c r="L43" t="s">
        <v>4738</v>
      </c>
      <c r="N43">
        <v>350.7</v>
      </c>
      <c r="O43">
        <v>0.74632900617152598</v>
      </c>
      <c r="P43">
        <v>5.9020000000000001</v>
      </c>
      <c r="Q43" t="s">
        <v>4738</v>
      </c>
      <c r="S43">
        <v>351.5</v>
      </c>
      <c r="T43">
        <v>0.74803149606299202</v>
      </c>
      <c r="U43">
        <v>3.9359999999999999</v>
      </c>
      <c r="V43" t="s">
        <v>4738</v>
      </c>
      <c r="X43">
        <v>325.10000000000002</v>
      </c>
      <c r="Y43">
        <v>0.69184932964460499</v>
      </c>
      <c r="Z43">
        <v>2.4540000000000002</v>
      </c>
      <c r="AA43" t="s">
        <v>4740</v>
      </c>
      <c r="AC43">
        <v>342.2</v>
      </c>
      <c r="AD43">
        <v>0.72824005107469703</v>
      </c>
      <c r="AE43">
        <v>3.238</v>
      </c>
      <c r="AF43" t="s">
        <v>4738</v>
      </c>
      <c r="AH43">
        <v>421.4</v>
      </c>
      <c r="AI43">
        <v>0.89678655032985699</v>
      </c>
      <c r="AJ43">
        <v>87.27</v>
      </c>
      <c r="AK43" t="s">
        <v>4738</v>
      </c>
      <c r="AM43">
        <v>430.2</v>
      </c>
      <c r="AN43">
        <v>0.915513939135986</v>
      </c>
      <c r="AO43">
        <v>185.8</v>
      </c>
      <c r="AP43" t="s">
        <v>4738</v>
      </c>
      <c r="AR43" t="s">
        <v>4739</v>
      </c>
      <c r="AS43" t="s">
        <v>4739</v>
      </c>
      <c r="AT43" t="s">
        <v>4739</v>
      </c>
      <c r="AU43" t="s">
        <v>4739</v>
      </c>
    </row>
    <row r="44" spans="1:47">
      <c r="A44" t="s">
        <v>2813</v>
      </c>
      <c r="B44" t="s">
        <v>2814</v>
      </c>
      <c r="C44" t="s">
        <v>17</v>
      </c>
      <c r="D44" t="s">
        <v>256</v>
      </c>
      <c r="E44" t="s">
        <v>257</v>
      </c>
      <c r="F44" t="s">
        <v>258</v>
      </c>
      <c r="G44" t="s">
        <v>4750</v>
      </c>
      <c r="H44" t="s">
        <v>259</v>
      </c>
      <c r="I44">
        <v>310.89999999999998</v>
      </c>
      <c r="J44">
        <v>0.66163013407107896</v>
      </c>
      <c r="K44">
        <v>1.7030000000000001</v>
      </c>
      <c r="L44" t="s">
        <v>4740</v>
      </c>
      <c r="N44">
        <v>357.6</v>
      </c>
      <c r="O44">
        <v>0.76101298148542296</v>
      </c>
      <c r="P44">
        <v>9.4429999999999996</v>
      </c>
      <c r="Q44" t="s">
        <v>4738</v>
      </c>
      <c r="S44">
        <v>373.1</v>
      </c>
      <c r="T44">
        <v>0.79399872313258102</v>
      </c>
      <c r="U44">
        <v>21.11</v>
      </c>
      <c r="V44" t="s">
        <v>4738</v>
      </c>
      <c r="X44">
        <v>382.3</v>
      </c>
      <c r="Y44">
        <v>0.81357735688444399</v>
      </c>
      <c r="Z44">
        <v>8.3140000000000001</v>
      </c>
      <c r="AA44" t="s">
        <v>4738</v>
      </c>
      <c r="AC44">
        <v>289.60000000000002</v>
      </c>
      <c r="AD44">
        <v>0.61630134071079001</v>
      </c>
      <c r="AE44">
        <v>0.98580000000000001</v>
      </c>
      <c r="AF44" t="s">
        <v>4740</v>
      </c>
      <c r="AH44">
        <v>406.9</v>
      </c>
      <c r="AI44">
        <v>0.86592892104703101</v>
      </c>
      <c r="AJ44">
        <v>125.1</v>
      </c>
      <c r="AK44" t="s">
        <v>4738</v>
      </c>
      <c r="AM44">
        <v>414.8</v>
      </c>
      <c r="AN44">
        <v>0.88274100872526096</v>
      </c>
      <c r="AO44">
        <v>124.2</v>
      </c>
      <c r="AP44" t="s">
        <v>4738</v>
      </c>
      <c r="AR44" t="s">
        <v>4739</v>
      </c>
      <c r="AS44" t="s">
        <v>4739</v>
      </c>
      <c r="AT44" t="s">
        <v>4739</v>
      </c>
      <c r="AU44" t="s">
        <v>4739</v>
      </c>
    </row>
    <row r="45" spans="1:47">
      <c r="A45" t="s">
        <v>2816</v>
      </c>
      <c r="B45" t="s">
        <v>2817</v>
      </c>
      <c r="C45" t="s">
        <v>17</v>
      </c>
      <c r="D45" t="s">
        <v>264</v>
      </c>
      <c r="E45" t="s">
        <v>265</v>
      </c>
      <c r="F45" t="s">
        <v>266</v>
      </c>
      <c r="G45" t="s">
        <v>4750</v>
      </c>
      <c r="H45" t="s">
        <v>267</v>
      </c>
      <c r="I45">
        <v>290</v>
      </c>
      <c r="J45">
        <v>0.61715258565652298</v>
      </c>
      <c r="K45">
        <v>0.94599999999999995</v>
      </c>
      <c r="L45" t="s">
        <v>4740</v>
      </c>
      <c r="N45">
        <v>371.8</v>
      </c>
      <c r="O45">
        <v>0.79123217705894899</v>
      </c>
      <c r="P45">
        <v>12.49</v>
      </c>
      <c r="Q45" t="s">
        <v>4738</v>
      </c>
      <c r="S45">
        <v>377</v>
      </c>
      <c r="T45">
        <v>0.80229836135347998</v>
      </c>
      <c r="U45">
        <v>14.69</v>
      </c>
      <c r="V45" t="s">
        <v>4738</v>
      </c>
      <c r="X45">
        <v>330</v>
      </c>
      <c r="Y45">
        <v>0.70227708022983604</v>
      </c>
      <c r="Z45">
        <v>3.0840000000000001</v>
      </c>
      <c r="AA45" t="s">
        <v>4738</v>
      </c>
      <c r="AC45">
        <v>359.9</v>
      </c>
      <c r="AD45">
        <v>0.76590763992338795</v>
      </c>
      <c r="AE45">
        <v>11.02</v>
      </c>
      <c r="AF45" t="s">
        <v>4738</v>
      </c>
      <c r="AH45">
        <v>408.2</v>
      </c>
      <c r="AI45">
        <v>0.86869546712066403</v>
      </c>
      <c r="AJ45">
        <v>94.53</v>
      </c>
      <c r="AK45" t="s">
        <v>4738</v>
      </c>
      <c r="AM45">
        <v>424.8</v>
      </c>
      <c r="AN45">
        <v>0.90402213236858897</v>
      </c>
      <c r="AO45">
        <v>81.650000000000006</v>
      </c>
      <c r="AP45" t="s">
        <v>4738</v>
      </c>
      <c r="AR45" t="s">
        <v>4739</v>
      </c>
      <c r="AS45" t="s">
        <v>4739</v>
      </c>
      <c r="AT45" t="s">
        <v>4739</v>
      </c>
      <c r="AU45" t="s">
        <v>4739</v>
      </c>
    </row>
    <row r="46" spans="1:47">
      <c r="A46" t="s">
        <v>2819</v>
      </c>
      <c r="B46" t="s">
        <v>2820</v>
      </c>
      <c r="C46" t="s">
        <v>17</v>
      </c>
      <c r="D46" t="s">
        <v>272</v>
      </c>
      <c r="E46" t="s">
        <v>273</v>
      </c>
      <c r="F46" t="s">
        <v>274</v>
      </c>
      <c r="G46" t="s">
        <v>4751</v>
      </c>
      <c r="H46" t="s">
        <v>251</v>
      </c>
      <c r="I46">
        <v>347.8</v>
      </c>
      <c r="J46">
        <v>0.74015748031496098</v>
      </c>
      <c r="K46">
        <v>4.72</v>
      </c>
      <c r="L46" t="s">
        <v>4738</v>
      </c>
      <c r="N46">
        <v>350.7</v>
      </c>
      <c r="O46">
        <v>0.74632900617152598</v>
      </c>
      <c r="P46">
        <v>5.9020000000000001</v>
      </c>
      <c r="Q46" t="s">
        <v>4738</v>
      </c>
      <c r="S46">
        <v>351.5</v>
      </c>
      <c r="T46">
        <v>0.74803149606299202</v>
      </c>
      <c r="U46">
        <v>3.9359999999999999</v>
      </c>
      <c r="V46" t="s">
        <v>4738</v>
      </c>
      <c r="X46">
        <v>325.10000000000002</v>
      </c>
      <c r="Y46">
        <v>0.69184932964460499</v>
      </c>
      <c r="Z46">
        <v>2.4540000000000002</v>
      </c>
      <c r="AA46" t="s">
        <v>4740</v>
      </c>
      <c r="AC46">
        <v>342.2</v>
      </c>
      <c r="AD46">
        <v>0.72824005107469703</v>
      </c>
      <c r="AE46">
        <v>3.238</v>
      </c>
      <c r="AF46" t="s">
        <v>4738</v>
      </c>
      <c r="AH46">
        <v>421.4</v>
      </c>
      <c r="AI46">
        <v>0.89678655032985699</v>
      </c>
      <c r="AJ46">
        <v>87.27</v>
      </c>
      <c r="AK46" t="s">
        <v>4738</v>
      </c>
      <c r="AM46">
        <v>430.2</v>
      </c>
      <c r="AN46">
        <v>0.915513939135986</v>
      </c>
      <c r="AO46">
        <v>185.8</v>
      </c>
      <c r="AP46" t="s">
        <v>4738</v>
      </c>
      <c r="AR46" t="s">
        <v>4739</v>
      </c>
      <c r="AS46" t="s">
        <v>4739</v>
      </c>
      <c r="AT46" t="s">
        <v>4739</v>
      </c>
      <c r="AU46" t="s">
        <v>4739</v>
      </c>
    </row>
    <row r="47" spans="1:47">
      <c r="A47" t="s">
        <v>2822</v>
      </c>
      <c r="B47" t="s">
        <v>2823</v>
      </c>
      <c r="C47" t="s">
        <v>17</v>
      </c>
      <c r="D47" t="s">
        <v>279</v>
      </c>
      <c r="E47" t="s">
        <v>280</v>
      </c>
      <c r="F47" t="s">
        <v>281</v>
      </c>
      <c r="G47" t="s">
        <v>4751</v>
      </c>
      <c r="H47" t="s">
        <v>259</v>
      </c>
      <c r="I47">
        <v>310.89999999999998</v>
      </c>
      <c r="J47">
        <v>0.66163013407107896</v>
      </c>
      <c r="K47">
        <v>1.7030000000000001</v>
      </c>
      <c r="L47" t="s">
        <v>4740</v>
      </c>
      <c r="N47">
        <v>357.6</v>
      </c>
      <c r="O47">
        <v>0.76101298148542296</v>
      </c>
      <c r="P47">
        <v>9.4429999999999996</v>
      </c>
      <c r="Q47" t="s">
        <v>4738</v>
      </c>
      <c r="S47">
        <v>373.1</v>
      </c>
      <c r="T47">
        <v>0.79399872313258102</v>
      </c>
      <c r="U47">
        <v>21.11</v>
      </c>
      <c r="V47" t="s">
        <v>4738</v>
      </c>
      <c r="X47">
        <v>382.3</v>
      </c>
      <c r="Y47">
        <v>0.81357735688444399</v>
      </c>
      <c r="Z47">
        <v>8.3140000000000001</v>
      </c>
      <c r="AA47" t="s">
        <v>4738</v>
      </c>
      <c r="AC47">
        <v>289.60000000000002</v>
      </c>
      <c r="AD47">
        <v>0.61630134071079001</v>
      </c>
      <c r="AE47">
        <v>0.98580000000000001</v>
      </c>
      <c r="AF47" t="s">
        <v>4740</v>
      </c>
      <c r="AH47">
        <v>406.9</v>
      </c>
      <c r="AI47">
        <v>0.86592892104703101</v>
      </c>
      <c r="AJ47">
        <v>125.1</v>
      </c>
      <c r="AK47" t="s">
        <v>4738</v>
      </c>
      <c r="AM47">
        <v>414.8</v>
      </c>
      <c r="AN47">
        <v>0.88274100872526096</v>
      </c>
      <c r="AO47">
        <v>124.2</v>
      </c>
      <c r="AP47" t="s">
        <v>4738</v>
      </c>
      <c r="AR47" t="s">
        <v>4739</v>
      </c>
      <c r="AS47" t="s">
        <v>4739</v>
      </c>
      <c r="AT47" t="s">
        <v>4739</v>
      </c>
      <c r="AU47" t="s">
        <v>4739</v>
      </c>
    </row>
    <row r="48" spans="1:47">
      <c r="A48" t="s">
        <v>2825</v>
      </c>
      <c r="B48" t="s">
        <v>2826</v>
      </c>
      <c r="C48" t="s">
        <v>17</v>
      </c>
      <c r="D48" t="s">
        <v>286</v>
      </c>
      <c r="E48" t="s">
        <v>287</v>
      </c>
      <c r="F48" t="s">
        <v>288</v>
      </c>
      <c r="G48" t="s">
        <v>4751</v>
      </c>
      <c r="H48" t="s">
        <v>267</v>
      </c>
      <c r="I48">
        <v>290</v>
      </c>
      <c r="J48">
        <v>0.61715258565652298</v>
      </c>
      <c r="K48">
        <v>0.94599999999999995</v>
      </c>
      <c r="L48" t="s">
        <v>4740</v>
      </c>
      <c r="N48">
        <v>371.8</v>
      </c>
      <c r="O48">
        <v>0.79123217705894899</v>
      </c>
      <c r="P48">
        <v>12.49</v>
      </c>
      <c r="Q48" t="s">
        <v>4738</v>
      </c>
      <c r="S48">
        <v>377</v>
      </c>
      <c r="T48">
        <v>0.80229836135347998</v>
      </c>
      <c r="U48">
        <v>14.69</v>
      </c>
      <c r="V48" t="s">
        <v>4738</v>
      </c>
      <c r="X48">
        <v>330</v>
      </c>
      <c r="Y48">
        <v>0.70227708022983604</v>
      </c>
      <c r="Z48">
        <v>3.0840000000000001</v>
      </c>
      <c r="AA48" t="s">
        <v>4738</v>
      </c>
      <c r="AC48">
        <v>359.9</v>
      </c>
      <c r="AD48">
        <v>0.76590763992338795</v>
      </c>
      <c r="AE48">
        <v>11.02</v>
      </c>
      <c r="AF48" t="s">
        <v>4738</v>
      </c>
      <c r="AH48">
        <v>408.2</v>
      </c>
      <c r="AI48">
        <v>0.86869546712066403</v>
      </c>
      <c r="AJ48">
        <v>94.53</v>
      </c>
      <c r="AK48" t="s">
        <v>4738</v>
      </c>
      <c r="AM48">
        <v>424.8</v>
      </c>
      <c r="AN48">
        <v>0.90402213236858897</v>
      </c>
      <c r="AO48">
        <v>81.650000000000006</v>
      </c>
      <c r="AP48" t="s">
        <v>4738</v>
      </c>
      <c r="AR48" t="s">
        <v>4739</v>
      </c>
      <c r="AS48" t="s">
        <v>4739</v>
      </c>
      <c r="AT48" t="s">
        <v>4739</v>
      </c>
      <c r="AU48" t="s">
        <v>4739</v>
      </c>
    </row>
    <row r="49" spans="1:47">
      <c r="A49" t="s">
        <v>2828</v>
      </c>
      <c r="B49" t="s">
        <v>2829</v>
      </c>
      <c r="C49" t="s">
        <v>17</v>
      </c>
      <c r="D49" t="s">
        <v>301</v>
      </c>
      <c r="E49" t="s">
        <v>302</v>
      </c>
      <c r="F49" t="s">
        <v>303</v>
      </c>
      <c r="G49" t="s">
        <v>4750</v>
      </c>
      <c r="H49" t="s">
        <v>304</v>
      </c>
      <c r="I49">
        <v>389.1</v>
      </c>
      <c r="J49">
        <v>0.82804852096190695</v>
      </c>
      <c r="K49">
        <v>10.69</v>
      </c>
      <c r="L49" t="s">
        <v>4738</v>
      </c>
      <c r="N49">
        <v>403.3</v>
      </c>
      <c r="O49">
        <v>0.85826771653543299</v>
      </c>
      <c r="P49">
        <v>18.760000000000002</v>
      </c>
      <c r="Q49" t="s">
        <v>4738</v>
      </c>
      <c r="S49">
        <v>377.4</v>
      </c>
      <c r="T49">
        <v>0.80314960629921295</v>
      </c>
      <c r="U49">
        <v>8.6059999999999999</v>
      </c>
      <c r="V49" t="s">
        <v>4738</v>
      </c>
      <c r="X49">
        <v>405.4</v>
      </c>
      <c r="Y49">
        <v>0.86273675250053194</v>
      </c>
      <c r="Z49">
        <v>19.36</v>
      </c>
      <c r="AA49" t="s">
        <v>4738</v>
      </c>
      <c r="AC49">
        <v>352.9</v>
      </c>
      <c r="AD49">
        <v>0.75101085337305795</v>
      </c>
      <c r="AE49">
        <v>6.3230000000000004</v>
      </c>
      <c r="AF49" t="s">
        <v>4738</v>
      </c>
      <c r="AH49">
        <v>454.2</v>
      </c>
      <c r="AI49">
        <v>0.96658863587997401</v>
      </c>
      <c r="AJ49">
        <v>201.6</v>
      </c>
      <c r="AK49" t="s">
        <v>4738</v>
      </c>
      <c r="AM49">
        <v>426.5</v>
      </c>
      <c r="AN49">
        <v>0.90763992338795496</v>
      </c>
      <c r="AO49">
        <v>139.19999999999999</v>
      </c>
      <c r="AP49" t="s">
        <v>4738</v>
      </c>
      <c r="AR49" t="s">
        <v>4739</v>
      </c>
      <c r="AS49" t="s">
        <v>4739</v>
      </c>
      <c r="AT49" t="s">
        <v>4739</v>
      </c>
      <c r="AU49" t="s">
        <v>4739</v>
      </c>
    </row>
    <row r="50" spans="1:47">
      <c r="A50" t="s">
        <v>2831</v>
      </c>
      <c r="B50" t="s">
        <v>2832</v>
      </c>
      <c r="C50" t="s">
        <v>17</v>
      </c>
      <c r="D50" t="s">
        <v>309</v>
      </c>
      <c r="E50" t="s">
        <v>310</v>
      </c>
      <c r="F50" t="s">
        <v>311</v>
      </c>
      <c r="G50" t="s">
        <v>4750</v>
      </c>
      <c r="H50" t="s">
        <v>312</v>
      </c>
      <c r="I50">
        <v>315.39999999999998</v>
      </c>
      <c r="J50">
        <v>0.67120663971057704</v>
      </c>
      <c r="K50">
        <v>1.4530000000000001</v>
      </c>
      <c r="L50" t="s">
        <v>4740</v>
      </c>
      <c r="N50">
        <v>392.4</v>
      </c>
      <c r="O50">
        <v>0.83507129176420503</v>
      </c>
      <c r="P50">
        <v>20.87</v>
      </c>
      <c r="Q50" t="s">
        <v>4738</v>
      </c>
      <c r="S50">
        <v>359.5</v>
      </c>
      <c r="T50">
        <v>0.76505639497765499</v>
      </c>
      <c r="U50">
        <v>7.1710000000000003</v>
      </c>
      <c r="V50" t="s">
        <v>4738</v>
      </c>
      <c r="X50">
        <v>319.8</v>
      </c>
      <c r="Y50">
        <v>0.68057033411364098</v>
      </c>
      <c r="Z50">
        <v>1.99</v>
      </c>
      <c r="AA50" t="s">
        <v>4740</v>
      </c>
      <c r="AC50">
        <v>382.5</v>
      </c>
      <c r="AD50">
        <v>0.81400297935731003</v>
      </c>
      <c r="AE50">
        <v>12.23</v>
      </c>
      <c r="AF50" t="s">
        <v>4738</v>
      </c>
      <c r="AH50">
        <v>433.8</v>
      </c>
      <c r="AI50">
        <v>0.92317514364758502</v>
      </c>
      <c r="AJ50">
        <v>268.10000000000002</v>
      </c>
      <c r="AK50" t="s">
        <v>4738</v>
      </c>
      <c r="AM50">
        <v>422.6</v>
      </c>
      <c r="AN50">
        <v>0.899340285167057</v>
      </c>
      <c r="AO50">
        <v>92.23</v>
      </c>
      <c r="AP50" t="s">
        <v>4738</v>
      </c>
      <c r="AR50" t="s">
        <v>4739</v>
      </c>
      <c r="AS50" t="s">
        <v>4739</v>
      </c>
      <c r="AT50" t="s">
        <v>4739</v>
      </c>
      <c r="AU50" t="s">
        <v>4739</v>
      </c>
    </row>
    <row r="51" spans="1:47">
      <c r="A51" t="s">
        <v>2834</v>
      </c>
      <c r="B51" t="s">
        <v>2835</v>
      </c>
      <c r="C51" t="s">
        <v>17</v>
      </c>
      <c r="D51" t="s">
        <v>317</v>
      </c>
      <c r="E51" t="s">
        <v>318</v>
      </c>
      <c r="F51" t="s">
        <v>319</v>
      </c>
      <c r="G51" t="s">
        <v>4750</v>
      </c>
      <c r="H51" t="s">
        <v>320</v>
      </c>
      <c r="I51">
        <v>383.6</v>
      </c>
      <c r="J51">
        <v>0.81634390295807602</v>
      </c>
      <c r="K51">
        <v>11.01</v>
      </c>
      <c r="L51" t="s">
        <v>4738</v>
      </c>
      <c r="N51">
        <v>391.7</v>
      </c>
      <c r="O51">
        <v>0.833581613109172</v>
      </c>
      <c r="P51">
        <v>19.28</v>
      </c>
      <c r="Q51" t="s">
        <v>4738</v>
      </c>
      <c r="S51">
        <v>378.9</v>
      </c>
      <c r="T51">
        <v>0.80634177484571201</v>
      </c>
      <c r="U51">
        <v>8.9009999999999998</v>
      </c>
      <c r="V51" t="s">
        <v>4738</v>
      </c>
      <c r="X51">
        <v>384.4</v>
      </c>
      <c r="Y51">
        <v>0.81804639284954195</v>
      </c>
      <c r="Z51">
        <v>17.989999999999998</v>
      </c>
      <c r="AA51" t="s">
        <v>4738</v>
      </c>
      <c r="AC51">
        <v>362.5</v>
      </c>
      <c r="AD51">
        <v>0.771440732070653</v>
      </c>
      <c r="AE51">
        <v>9.1289999999999996</v>
      </c>
      <c r="AF51" t="s">
        <v>4738</v>
      </c>
      <c r="AH51">
        <v>398</v>
      </c>
      <c r="AI51">
        <v>0.84698872100446898</v>
      </c>
      <c r="AJ51">
        <v>42.28</v>
      </c>
      <c r="AK51" t="s">
        <v>4738</v>
      </c>
      <c r="AM51">
        <v>366.5</v>
      </c>
      <c r="AN51">
        <v>0.77995318152798498</v>
      </c>
      <c r="AO51">
        <v>10.35</v>
      </c>
      <c r="AP51" t="s">
        <v>4738</v>
      </c>
      <c r="AR51" t="s">
        <v>4739</v>
      </c>
      <c r="AS51" t="s">
        <v>4739</v>
      </c>
      <c r="AT51" t="s">
        <v>4739</v>
      </c>
      <c r="AU51" t="s">
        <v>4739</v>
      </c>
    </row>
    <row r="52" spans="1:47">
      <c r="A52" t="s">
        <v>2837</v>
      </c>
      <c r="B52" t="s">
        <v>2838</v>
      </c>
      <c r="C52" t="s">
        <v>17</v>
      </c>
      <c r="D52" t="s">
        <v>325</v>
      </c>
      <c r="E52" t="s">
        <v>326</v>
      </c>
      <c r="F52" t="s">
        <v>327</v>
      </c>
      <c r="G52" t="s">
        <v>4751</v>
      </c>
      <c r="H52" t="s">
        <v>304</v>
      </c>
      <c r="I52">
        <v>389.1</v>
      </c>
      <c r="J52">
        <v>0.82804852096190695</v>
      </c>
      <c r="K52">
        <v>10.69</v>
      </c>
      <c r="L52" t="s">
        <v>4738</v>
      </c>
      <c r="N52">
        <v>403.3</v>
      </c>
      <c r="O52">
        <v>0.85826771653543299</v>
      </c>
      <c r="P52">
        <v>18.760000000000002</v>
      </c>
      <c r="Q52" t="s">
        <v>4738</v>
      </c>
      <c r="S52">
        <v>377.4</v>
      </c>
      <c r="T52">
        <v>0.80314960629921295</v>
      </c>
      <c r="U52">
        <v>8.6059999999999999</v>
      </c>
      <c r="V52" t="s">
        <v>4738</v>
      </c>
      <c r="X52">
        <v>405.4</v>
      </c>
      <c r="Y52">
        <v>0.86273675250053194</v>
      </c>
      <c r="Z52">
        <v>19.36</v>
      </c>
      <c r="AA52" t="s">
        <v>4738</v>
      </c>
      <c r="AC52">
        <v>352.9</v>
      </c>
      <c r="AD52">
        <v>0.75101085337305795</v>
      </c>
      <c r="AE52">
        <v>6.3230000000000004</v>
      </c>
      <c r="AF52" t="s">
        <v>4738</v>
      </c>
      <c r="AH52">
        <v>454.2</v>
      </c>
      <c r="AI52">
        <v>0.96658863587997401</v>
      </c>
      <c r="AJ52">
        <v>201.6</v>
      </c>
      <c r="AK52" t="s">
        <v>4738</v>
      </c>
      <c r="AM52">
        <v>426.5</v>
      </c>
      <c r="AN52">
        <v>0.90763992338795496</v>
      </c>
      <c r="AO52">
        <v>139.19999999999999</v>
      </c>
      <c r="AP52" t="s">
        <v>4738</v>
      </c>
      <c r="AR52" t="s">
        <v>4739</v>
      </c>
      <c r="AS52" t="s">
        <v>4739</v>
      </c>
      <c r="AT52" t="s">
        <v>4739</v>
      </c>
      <c r="AU52" t="s">
        <v>4739</v>
      </c>
    </row>
    <row r="53" spans="1:47">
      <c r="A53" t="s">
        <v>2840</v>
      </c>
      <c r="B53" t="s">
        <v>2841</v>
      </c>
      <c r="C53" t="s">
        <v>17</v>
      </c>
      <c r="D53" t="s">
        <v>332</v>
      </c>
      <c r="E53" t="s">
        <v>333</v>
      </c>
      <c r="F53" t="s">
        <v>334</v>
      </c>
      <c r="G53" t="s">
        <v>4751</v>
      </c>
      <c r="H53" t="s">
        <v>312</v>
      </c>
      <c r="I53">
        <v>315.39999999999998</v>
      </c>
      <c r="J53">
        <v>0.67120663971057704</v>
      </c>
      <c r="K53">
        <v>1.4530000000000001</v>
      </c>
      <c r="L53" t="s">
        <v>4740</v>
      </c>
      <c r="N53">
        <v>392.4</v>
      </c>
      <c r="O53">
        <v>0.83507129176420503</v>
      </c>
      <c r="P53">
        <v>20.87</v>
      </c>
      <c r="Q53" t="s">
        <v>4738</v>
      </c>
      <c r="S53">
        <v>359.5</v>
      </c>
      <c r="T53">
        <v>0.76505639497765499</v>
      </c>
      <c r="U53">
        <v>7.1710000000000003</v>
      </c>
      <c r="V53" t="s">
        <v>4738</v>
      </c>
      <c r="X53">
        <v>319.8</v>
      </c>
      <c r="Y53">
        <v>0.68057033411364098</v>
      </c>
      <c r="Z53">
        <v>1.99</v>
      </c>
      <c r="AA53" t="s">
        <v>4740</v>
      </c>
      <c r="AC53">
        <v>382.5</v>
      </c>
      <c r="AD53">
        <v>0.81400297935731003</v>
      </c>
      <c r="AE53">
        <v>12.23</v>
      </c>
      <c r="AF53" t="s">
        <v>4738</v>
      </c>
      <c r="AH53">
        <v>433.8</v>
      </c>
      <c r="AI53">
        <v>0.92317514364758502</v>
      </c>
      <c r="AJ53">
        <v>268.10000000000002</v>
      </c>
      <c r="AK53" t="s">
        <v>4738</v>
      </c>
      <c r="AM53">
        <v>422.6</v>
      </c>
      <c r="AN53">
        <v>0.899340285167057</v>
      </c>
      <c r="AO53">
        <v>92.23</v>
      </c>
      <c r="AP53" t="s">
        <v>4738</v>
      </c>
      <c r="AR53" t="s">
        <v>4739</v>
      </c>
      <c r="AS53" t="s">
        <v>4739</v>
      </c>
      <c r="AT53" t="s">
        <v>4739</v>
      </c>
      <c r="AU53" t="s">
        <v>4739</v>
      </c>
    </row>
    <row r="54" spans="1:47">
      <c r="A54" t="s">
        <v>2843</v>
      </c>
      <c r="B54" t="s">
        <v>2844</v>
      </c>
      <c r="C54" t="s">
        <v>17</v>
      </c>
      <c r="D54" t="s">
        <v>339</v>
      </c>
      <c r="E54" t="s">
        <v>340</v>
      </c>
      <c r="F54" t="s">
        <v>341</v>
      </c>
      <c r="G54" t="s">
        <v>4751</v>
      </c>
      <c r="H54" t="s">
        <v>320</v>
      </c>
      <c r="I54">
        <v>383.6</v>
      </c>
      <c r="J54">
        <v>0.81634390295807602</v>
      </c>
      <c r="K54">
        <v>11.01</v>
      </c>
      <c r="L54" t="s">
        <v>4738</v>
      </c>
      <c r="N54">
        <v>391.7</v>
      </c>
      <c r="O54">
        <v>0.833581613109172</v>
      </c>
      <c r="P54">
        <v>19.28</v>
      </c>
      <c r="Q54" t="s">
        <v>4738</v>
      </c>
      <c r="S54">
        <v>378.9</v>
      </c>
      <c r="T54">
        <v>0.80634177484571201</v>
      </c>
      <c r="U54">
        <v>8.9009999999999998</v>
      </c>
      <c r="V54" t="s">
        <v>4738</v>
      </c>
      <c r="X54">
        <v>384.4</v>
      </c>
      <c r="Y54">
        <v>0.81804639284954195</v>
      </c>
      <c r="Z54">
        <v>17.989999999999998</v>
      </c>
      <c r="AA54" t="s">
        <v>4738</v>
      </c>
      <c r="AC54">
        <v>362.5</v>
      </c>
      <c r="AD54">
        <v>0.771440732070653</v>
      </c>
      <c r="AE54">
        <v>9.1289999999999996</v>
      </c>
      <c r="AF54" t="s">
        <v>4738</v>
      </c>
      <c r="AH54">
        <v>398</v>
      </c>
      <c r="AI54">
        <v>0.84698872100446898</v>
      </c>
      <c r="AJ54">
        <v>42.28</v>
      </c>
      <c r="AK54" t="s">
        <v>4738</v>
      </c>
      <c r="AM54">
        <v>366.5</v>
      </c>
      <c r="AN54">
        <v>0.77995318152798498</v>
      </c>
      <c r="AO54">
        <v>10.35</v>
      </c>
      <c r="AP54" t="s">
        <v>4738</v>
      </c>
      <c r="AR54" t="s">
        <v>4739</v>
      </c>
      <c r="AS54" t="s">
        <v>4739</v>
      </c>
      <c r="AT54" t="s">
        <v>4739</v>
      </c>
      <c r="AU54" t="s">
        <v>4739</v>
      </c>
    </row>
    <row r="55" spans="1:47">
      <c r="A55" t="s">
        <v>2846</v>
      </c>
      <c r="B55" t="s">
        <v>2847</v>
      </c>
      <c r="C55" t="s">
        <v>17</v>
      </c>
      <c r="D55" t="s">
        <v>2849</v>
      </c>
      <c r="E55" t="s">
        <v>2850</v>
      </c>
      <c r="F55" t="s">
        <v>2851</v>
      </c>
      <c r="G55" t="s">
        <v>4752</v>
      </c>
      <c r="H55" t="s">
        <v>349</v>
      </c>
      <c r="I55" t="e">
        <v>#N/A</v>
      </c>
      <c r="J55" t="e">
        <v>#N/A</v>
      </c>
      <c r="K55" t="e">
        <v>#N/A</v>
      </c>
      <c r="L55" t="e">
        <v>#N/A</v>
      </c>
      <c r="N55" t="e">
        <v>#N/A</v>
      </c>
      <c r="O55" t="e">
        <v>#N/A</v>
      </c>
      <c r="P55" t="e">
        <v>#N/A</v>
      </c>
      <c r="Q55" t="e">
        <v>#N/A</v>
      </c>
      <c r="S55" t="e">
        <v>#N/A</v>
      </c>
      <c r="T55" t="e">
        <v>#N/A</v>
      </c>
      <c r="U55" t="e">
        <v>#N/A</v>
      </c>
      <c r="V55" t="e">
        <v>#N/A</v>
      </c>
      <c r="X55" t="e">
        <v>#N/A</v>
      </c>
      <c r="Y55" t="e">
        <v>#N/A</v>
      </c>
      <c r="Z55" t="e">
        <v>#N/A</v>
      </c>
      <c r="AA55" t="e">
        <v>#N/A</v>
      </c>
      <c r="AC55" t="e">
        <v>#N/A</v>
      </c>
      <c r="AD55" t="e">
        <v>#N/A</v>
      </c>
      <c r="AE55" t="e">
        <v>#N/A</v>
      </c>
      <c r="AF55" t="e">
        <v>#N/A</v>
      </c>
      <c r="AH55" t="e">
        <v>#N/A</v>
      </c>
      <c r="AI55" t="e">
        <v>#N/A</v>
      </c>
      <c r="AJ55" t="e">
        <v>#N/A</v>
      </c>
      <c r="AK55" t="e">
        <v>#N/A</v>
      </c>
      <c r="AM55" t="e">
        <v>#N/A</v>
      </c>
      <c r="AN55" t="e">
        <v>#N/A</v>
      </c>
      <c r="AO55" t="e">
        <v>#N/A</v>
      </c>
      <c r="AP55" t="e">
        <v>#N/A</v>
      </c>
      <c r="AR55" t="s">
        <v>10</v>
      </c>
      <c r="AS55" t="s">
        <v>4739</v>
      </c>
      <c r="AT55" t="s">
        <v>4739</v>
      </c>
      <c r="AU55" t="s">
        <v>10</v>
      </c>
    </row>
    <row r="56" spans="1:47">
      <c r="A56" t="s">
        <v>2853</v>
      </c>
      <c r="B56" t="s">
        <v>2854</v>
      </c>
      <c r="C56" t="s">
        <v>17</v>
      </c>
      <c r="D56" t="s">
        <v>2856</v>
      </c>
      <c r="E56" t="s">
        <v>2857</v>
      </c>
      <c r="F56" t="s">
        <v>2858</v>
      </c>
      <c r="G56" t="s">
        <v>4753</v>
      </c>
      <c r="H56" t="s">
        <v>349</v>
      </c>
      <c r="I56" t="e">
        <v>#N/A</v>
      </c>
      <c r="J56" t="e">
        <v>#N/A</v>
      </c>
      <c r="K56" t="e">
        <v>#N/A</v>
      </c>
      <c r="L56" t="e">
        <v>#N/A</v>
      </c>
      <c r="N56" t="e">
        <v>#N/A</v>
      </c>
      <c r="O56" t="e">
        <v>#N/A</v>
      </c>
      <c r="P56" t="e">
        <v>#N/A</v>
      </c>
      <c r="Q56" t="e">
        <v>#N/A</v>
      </c>
      <c r="S56" t="e">
        <v>#N/A</v>
      </c>
      <c r="T56" t="e">
        <v>#N/A</v>
      </c>
      <c r="U56" t="e">
        <v>#N/A</v>
      </c>
      <c r="V56" t="e">
        <v>#N/A</v>
      </c>
      <c r="X56" t="e">
        <v>#N/A</v>
      </c>
      <c r="Y56" t="e">
        <v>#N/A</v>
      </c>
      <c r="Z56" t="e">
        <v>#N/A</v>
      </c>
      <c r="AA56" t="e">
        <v>#N/A</v>
      </c>
      <c r="AC56" t="e">
        <v>#N/A</v>
      </c>
      <c r="AD56" t="e">
        <v>#N/A</v>
      </c>
      <c r="AE56" t="e">
        <v>#N/A</v>
      </c>
      <c r="AF56" t="e">
        <v>#N/A</v>
      </c>
      <c r="AH56" t="e">
        <v>#N/A</v>
      </c>
      <c r="AI56" t="e">
        <v>#N/A</v>
      </c>
      <c r="AJ56" t="e">
        <v>#N/A</v>
      </c>
      <c r="AK56" t="e">
        <v>#N/A</v>
      </c>
      <c r="AM56" t="e">
        <v>#N/A</v>
      </c>
      <c r="AN56" t="e">
        <v>#N/A</v>
      </c>
      <c r="AO56" t="e">
        <v>#N/A</v>
      </c>
      <c r="AP56" t="e">
        <v>#N/A</v>
      </c>
      <c r="AR56" t="s">
        <v>10</v>
      </c>
      <c r="AS56" t="s">
        <v>4739</v>
      </c>
      <c r="AT56" t="s">
        <v>4739</v>
      </c>
      <c r="AU56" t="s">
        <v>10</v>
      </c>
    </row>
    <row r="57" spans="1:47">
      <c r="A57" t="s">
        <v>2860</v>
      </c>
      <c r="B57" t="s">
        <v>2861</v>
      </c>
      <c r="C57" t="s">
        <v>17</v>
      </c>
      <c r="D57" t="s">
        <v>354</v>
      </c>
      <c r="E57" t="s">
        <v>355</v>
      </c>
      <c r="F57" t="s">
        <v>356</v>
      </c>
      <c r="G57" t="s">
        <v>4750</v>
      </c>
      <c r="H57" t="s">
        <v>357</v>
      </c>
      <c r="I57">
        <v>270</v>
      </c>
      <c r="J57">
        <v>0.57459033836986595</v>
      </c>
      <c r="K57">
        <v>0.45100000000000001</v>
      </c>
      <c r="L57" t="s">
        <v>4740</v>
      </c>
      <c r="N57">
        <v>347.2</v>
      </c>
      <c r="O57">
        <v>0.73888061289636098</v>
      </c>
      <c r="P57">
        <v>3.0579999999999998</v>
      </c>
      <c r="Q57" t="s">
        <v>4738</v>
      </c>
      <c r="S57">
        <v>335.9</v>
      </c>
      <c r="T57">
        <v>0.71483294317940005</v>
      </c>
      <c r="U57">
        <v>3.16</v>
      </c>
      <c r="V57" t="s">
        <v>4738</v>
      </c>
      <c r="X57">
        <v>295.8</v>
      </c>
      <c r="Y57">
        <v>0.62949563736965297</v>
      </c>
      <c r="Z57">
        <v>1.486</v>
      </c>
      <c r="AA57" t="s">
        <v>4740</v>
      </c>
      <c r="AC57">
        <v>322.60000000000002</v>
      </c>
      <c r="AD57">
        <v>0.68652904873377296</v>
      </c>
      <c r="AE57">
        <v>2.5449999999999999</v>
      </c>
      <c r="AF57" t="s">
        <v>4740</v>
      </c>
      <c r="AH57">
        <v>417.3</v>
      </c>
      <c r="AI57">
        <v>0.88806128963609299</v>
      </c>
      <c r="AJ57">
        <v>134.1</v>
      </c>
      <c r="AK57" t="s">
        <v>4738</v>
      </c>
      <c r="AM57">
        <v>380.5</v>
      </c>
      <c r="AN57">
        <v>0.80974675462864398</v>
      </c>
      <c r="AO57">
        <v>60.05</v>
      </c>
      <c r="AP57" t="s">
        <v>4738</v>
      </c>
      <c r="AR57" t="s">
        <v>10</v>
      </c>
      <c r="AS57" t="s">
        <v>4739</v>
      </c>
      <c r="AT57" t="s">
        <v>4739</v>
      </c>
      <c r="AU57" t="s">
        <v>10</v>
      </c>
    </row>
    <row r="58" spans="1:47">
      <c r="A58" t="s">
        <v>2863</v>
      </c>
      <c r="B58" t="s">
        <v>2864</v>
      </c>
      <c r="C58" t="s">
        <v>17</v>
      </c>
      <c r="D58" t="s">
        <v>362</v>
      </c>
      <c r="E58" t="s">
        <v>363</v>
      </c>
      <c r="F58" t="s">
        <v>364</v>
      </c>
      <c r="G58" t="s">
        <v>4750</v>
      </c>
      <c r="H58" t="s">
        <v>365</v>
      </c>
      <c r="I58">
        <v>301.3</v>
      </c>
      <c r="J58">
        <v>0.64120025537348402</v>
      </c>
      <c r="K58">
        <v>1.139</v>
      </c>
      <c r="L58" t="s">
        <v>4740</v>
      </c>
      <c r="N58">
        <v>321.10000000000002</v>
      </c>
      <c r="O58">
        <v>0.68333688018727401</v>
      </c>
      <c r="P58">
        <v>1.75</v>
      </c>
      <c r="Q58" t="s">
        <v>4740</v>
      </c>
      <c r="S58">
        <v>364.7</v>
      </c>
      <c r="T58">
        <v>0.77612257927218598</v>
      </c>
      <c r="U58">
        <v>12.64</v>
      </c>
      <c r="V58" t="s">
        <v>4738</v>
      </c>
      <c r="X58">
        <v>306.2</v>
      </c>
      <c r="Y58">
        <v>0.65162800595871495</v>
      </c>
      <c r="Z58">
        <v>1.393</v>
      </c>
      <c r="AA58" t="s">
        <v>4740</v>
      </c>
      <c r="AC58">
        <v>375.4</v>
      </c>
      <c r="AD58">
        <v>0.79889338157054701</v>
      </c>
      <c r="AE58">
        <v>14.79</v>
      </c>
      <c r="AF58" t="s">
        <v>4738</v>
      </c>
      <c r="AH58">
        <v>407.5</v>
      </c>
      <c r="AI58">
        <v>0.86720578846563101</v>
      </c>
      <c r="AJ58">
        <v>108.3</v>
      </c>
      <c r="AK58" t="s">
        <v>4738</v>
      </c>
      <c r="AM58">
        <v>390.1</v>
      </c>
      <c r="AN58">
        <v>0.83017663332624003</v>
      </c>
      <c r="AO58">
        <v>95.6</v>
      </c>
      <c r="AP58" t="s">
        <v>4738</v>
      </c>
      <c r="AR58" t="s">
        <v>10</v>
      </c>
      <c r="AS58" t="s">
        <v>4739</v>
      </c>
      <c r="AT58" t="s">
        <v>4739</v>
      </c>
      <c r="AU58" t="s">
        <v>10</v>
      </c>
    </row>
    <row r="59" spans="1:47">
      <c r="A59" t="s">
        <v>2866</v>
      </c>
      <c r="B59" t="s">
        <v>2867</v>
      </c>
      <c r="C59" t="s">
        <v>17</v>
      </c>
      <c r="D59" t="s">
        <v>370</v>
      </c>
      <c r="E59" t="s">
        <v>371</v>
      </c>
      <c r="F59" t="s">
        <v>372</v>
      </c>
      <c r="G59" t="s">
        <v>4750</v>
      </c>
      <c r="H59" t="s">
        <v>373</v>
      </c>
      <c r="I59">
        <v>308.10000000000002</v>
      </c>
      <c r="J59">
        <v>0.65567141945094698</v>
      </c>
      <c r="K59">
        <v>1.2869999999999999</v>
      </c>
      <c r="L59" t="s">
        <v>4740</v>
      </c>
      <c r="N59">
        <v>319.10000000000002</v>
      </c>
      <c r="O59">
        <v>0.67908065545860796</v>
      </c>
      <c r="P59">
        <v>1.6619999999999999</v>
      </c>
      <c r="Q59" t="s">
        <v>4740</v>
      </c>
      <c r="S59">
        <v>306.7</v>
      </c>
      <c r="T59">
        <v>0.65269206214088105</v>
      </c>
      <c r="U59">
        <v>1.395</v>
      </c>
      <c r="V59" t="s">
        <v>4740</v>
      </c>
      <c r="X59">
        <v>297.5</v>
      </c>
      <c r="Y59">
        <v>0.63311342838901896</v>
      </c>
      <c r="Z59">
        <v>1.1619999999999999</v>
      </c>
      <c r="AA59" t="s">
        <v>4740</v>
      </c>
      <c r="AC59">
        <v>418.5</v>
      </c>
      <c r="AD59">
        <v>0.89061502447329199</v>
      </c>
      <c r="AE59">
        <v>46.33</v>
      </c>
      <c r="AF59" t="s">
        <v>4738</v>
      </c>
      <c r="AH59">
        <v>442.1</v>
      </c>
      <c r="AI59">
        <v>0.94083847627154704</v>
      </c>
      <c r="AJ59">
        <v>249.8</v>
      </c>
      <c r="AK59" t="s">
        <v>4738</v>
      </c>
      <c r="AM59">
        <v>439.8</v>
      </c>
      <c r="AN59">
        <v>0.93594381783358205</v>
      </c>
      <c r="AO59">
        <v>229.8</v>
      </c>
      <c r="AP59" t="s">
        <v>4738</v>
      </c>
      <c r="AR59" t="s">
        <v>10</v>
      </c>
      <c r="AS59" t="s">
        <v>4739</v>
      </c>
      <c r="AT59" t="s">
        <v>4739</v>
      </c>
      <c r="AU59" t="s">
        <v>10</v>
      </c>
    </row>
    <row r="60" spans="1:47">
      <c r="A60" t="s">
        <v>2869</v>
      </c>
      <c r="B60" t="s">
        <v>2870</v>
      </c>
      <c r="C60" t="s">
        <v>17</v>
      </c>
      <c r="D60" t="s">
        <v>378</v>
      </c>
      <c r="E60" t="s">
        <v>379</v>
      </c>
      <c r="F60" t="s">
        <v>380</v>
      </c>
      <c r="G60" t="s">
        <v>4750</v>
      </c>
      <c r="H60" t="s">
        <v>381</v>
      </c>
      <c r="I60">
        <v>304.3</v>
      </c>
      <c r="J60">
        <v>0.64758459246648203</v>
      </c>
      <c r="K60">
        <v>1.1519999999999999</v>
      </c>
      <c r="L60" t="s">
        <v>4740</v>
      </c>
      <c r="N60">
        <v>294.89999999999998</v>
      </c>
      <c r="O60">
        <v>0.62758033624175402</v>
      </c>
      <c r="P60">
        <v>0.94069999999999998</v>
      </c>
      <c r="Q60" t="s">
        <v>4740</v>
      </c>
      <c r="S60">
        <v>287.7</v>
      </c>
      <c r="T60">
        <v>0.61225792721855699</v>
      </c>
      <c r="U60">
        <v>0.97889999999999999</v>
      </c>
      <c r="V60" t="s">
        <v>4740</v>
      </c>
      <c r="X60">
        <v>317.7</v>
      </c>
      <c r="Y60">
        <v>0.67610129814854203</v>
      </c>
      <c r="Z60">
        <v>1.728</v>
      </c>
      <c r="AA60" t="s">
        <v>4740</v>
      </c>
      <c r="AC60">
        <v>415.6</v>
      </c>
      <c r="AD60">
        <v>0.884443498616727</v>
      </c>
      <c r="AE60">
        <v>72.55</v>
      </c>
      <c r="AF60" t="s">
        <v>4738</v>
      </c>
      <c r="AH60">
        <v>417.6</v>
      </c>
      <c r="AI60">
        <v>0.88869972334539304</v>
      </c>
      <c r="AJ60">
        <v>57.92</v>
      </c>
      <c r="AK60" t="s">
        <v>4738</v>
      </c>
      <c r="AM60">
        <v>415.2</v>
      </c>
      <c r="AN60">
        <v>0.88359225367099403</v>
      </c>
      <c r="AO60">
        <v>60.58</v>
      </c>
      <c r="AP60" t="s">
        <v>4738</v>
      </c>
      <c r="AR60" t="s">
        <v>10</v>
      </c>
      <c r="AS60" t="s">
        <v>4739</v>
      </c>
      <c r="AT60" t="s">
        <v>4739</v>
      </c>
      <c r="AU60" t="s">
        <v>10</v>
      </c>
    </row>
    <row r="61" spans="1:47">
      <c r="A61" t="s">
        <v>2872</v>
      </c>
      <c r="B61" t="s">
        <v>2873</v>
      </c>
      <c r="C61" t="s">
        <v>17</v>
      </c>
      <c r="D61" t="s">
        <v>386</v>
      </c>
      <c r="E61" t="s">
        <v>387</v>
      </c>
      <c r="F61" t="s">
        <v>388</v>
      </c>
      <c r="G61" t="s">
        <v>4751</v>
      </c>
      <c r="H61" t="s">
        <v>357</v>
      </c>
      <c r="I61">
        <v>270</v>
      </c>
      <c r="J61">
        <v>0.57459033836986595</v>
      </c>
      <c r="K61">
        <v>0.45100000000000001</v>
      </c>
      <c r="L61" t="s">
        <v>4740</v>
      </c>
      <c r="N61">
        <v>347.2</v>
      </c>
      <c r="O61">
        <v>0.73888061289636098</v>
      </c>
      <c r="P61">
        <v>3.0579999999999998</v>
      </c>
      <c r="Q61" t="s">
        <v>4738</v>
      </c>
      <c r="S61">
        <v>335.9</v>
      </c>
      <c r="T61">
        <v>0.71483294317940005</v>
      </c>
      <c r="U61">
        <v>3.16</v>
      </c>
      <c r="V61" t="s">
        <v>4738</v>
      </c>
      <c r="X61">
        <v>295.8</v>
      </c>
      <c r="Y61">
        <v>0.62949563736965297</v>
      </c>
      <c r="Z61">
        <v>1.486</v>
      </c>
      <c r="AA61" t="s">
        <v>4740</v>
      </c>
      <c r="AC61">
        <v>322.60000000000002</v>
      </c>
      <c r="AD61">
        <v>0.68652904873377296</v>
      </c>
      <c r="AE61">
        <v>2.5449999999999999</v>
      </c>
      <c r="AF61" t="s">
        <v>4740</v>
      </c>
      <c r="AH61">
        <v>417.3</v>
      </c>
      <c r="AI61">
        <v>0.88806128963609299</v>
      </c>
      <c r="AJ61">
        <v>134.1</v>
      </c>
      <c r="AK61" t="s">
        <v>4738</v>
      </c>
      <c r="AM61">
        <v>380.5</v>
      </c>
      <c r="AN61">
        <v>0.80974675462864398</v>
      </c>
      <c r="AO61">
        <v>60.05</v>
      </c>
      <c r="AP61" t="s">
        <v>4738</v>
      </c>
      <c r="AR61" t="s">
        <v>10</v>
      </c>
      <c r="AS61" t="s">
        <v>4739</v>
      </c>
      <c r="AT61" t="s">
        <v>4739</v>
      </c>
      <c r="AU61" t="s">
        <v>10</v>
      </c>
    </row>
    <row r="62" spans="1:47">
      <c r="A62" t="s">
        <v>2875</v>
      </c>
      <c r="B62" t="s">
        <v>2876</v>
      </c>
      <c r="C62" t="s">
        <v>17</v>
      </c>
      <c r="D62" t="s">
        <v>393</v>
      </c>
      <c r="E62" t="s">
        <v>394</v>
      </c>
      <c r="F62" t="s">
        <v>395</v>
      </c>
      <c r="G62" t="s">
        <v>4751</v>
      </c>
      <c r="H62" t="s">
        <v>365</v>
      </c>
      <c r="I62">
        <v>301.3</v>
      </c>
      <c r="J62">
        <v>0.64120025537348402</v>
      </c>
      <c r="K62">
        <v>1.139</v>
      </c>
      <c r="L62" t="s">
        <v>4740</v>
      </c>
      <c r="N62">
        <v>321.10000000000002</v>
      </c>
      <c r="O62">
        <v>0.68333688018727401</v>
      </c>
      <c r="P62">
        <v>1.75</v>
      </c>
      <c r="Q62" t="s">
        <v>4740</v>
      </c>
      <c r="S62">
        <v>364.7</v>
      </c>
      <c r="T62">
        <v>0.77612257927218598</v>
      </c>
      <c r="U62">
        <v>12.64</v>
      </c>
      <c r="V62" t="s">
        <v>4738</v>
      </c>
      <c r="X62">
        <v>306.2</v>
      </c>
      <c r="Y62">
        <v>0.65162800595871495</v>
      </c>
      <c r="Z62">
        <v>1.393</v>
      </c>
      <c r="AA62" t="s">
        <v>4740</v>
      </c>
      <c r="AC62">
        <v>375.4</v>
      </c>
      <c r="AD62">
        <v>0.79889338157054701</v>
      </c>
      <c r="AE62">
        <v>14.79</v>
      </c>
      <c r="AF62" t="s">
        <v>4738</v>
      </c>
      <c r="AH62">
        <v>407.5</v>
      </c>
      <c r="AI62">
        <v>0.86720578846563101</v>
      </c>
      <c r="AJ62">
        <v>108.3</v>
      </c>
      <c r="AK62" t="s">
        <v>4738</v>
      </c>
      <c r="AM62">
        <v>390.1</v>
      </c>
      <c r="AN62">
        <v>0.83017663332624003</v>
      </c>
      <c r="AO62">
        <v>95.6</v>
      </c>
      <c r="AP62" t="s">
        <v>4738</v>
      </c>
      <c r="AR62" t="s">
        <v>10</v>
      </c>
      <c r="AS62" t="s">
        <v>4739</v>
      </c>
      <c r="AT62" t="s">
        <v>4739</v>
      </c>
      <c r="AU62" t="s">
        <v>10</v>
      </c>
    </row>
    <row r="63" spans="1:47">
      <c r="A63" t="s">
        <v>2878</v>
      </c>
      <c r="B63" t="s">
        <v>2879</v>
      </c>
      <c r="C63" t="s">
        <v>17</v>
      </c>
      <c r="D63" t="s">
        <v>400</v>
      </c>
      <c r="E63" t="s">
        <v>401</v>
      </c>
      <c r="F63" t="s">
        <v>402</v>
      </c>
      <c r="G63" t="s">
        <v>4751</v>
      </c>
      <c r="H63" t="s">
        <v>373</v>
      </c>
      <c r="I63">
        <v>308.10000000000002</v>
      </c>
      <c r="J63">
        <v>0.65567141945094698</v>
      </c>
      <c r="K63">
        <v>1.2869999999999999</v>
      </c>
      <c r="L63" t="s">
        <v>4740</v>
      </c>
      <c r="N63">
        <v>319.10000000000002</v>
      </c>
      <c r="O63">
        <v>0.67908065545860796</v>
      </c>
      <c r="P63">
        <v>1.6619999999999999</v>
      </c>
      <c r="Q63" t="s">
        <v>4740</v>
      </c>
      <c r="S63">
        <v>306.7</v>
      </c>
      <c r="T63">
        <v>0.65269206214088105</v>
      </c>
      <c r="U63">
        <v>1.395</v>
      </c>
      <c r="V63" t="s">
        <v>4740</v>
      </c>
      <c r="X63">
        <v>297.5</v>
      </c>
      <c r="Y63">
        <v>0.63311342838901896</v>
      </c>
      <c r="Z63">
        <v>1.1619999999999999</v>
      </c>
      <c r="AA63" t="s">
        <v>4740</v>
      </c>
      <c r="AC63">
        <v>418.5</v>
      </c>
      <c r="AD63">
        <v>0.89061502447329199</v>
      </c>
      <c r="AE63">
        <v>46.33</v>
      </c>
      <c r="AF63" t="s">
        <v>4738</v>
      </c>
      <c r="AH63">
        <v>442.1</v>
      </c>
      <c r="AI63">
        <v>0.94083847627154704</v>
      </c>
      <c r="AJ63">
        <v>249.8</v>
      </c>
      <c r="AK63" t="s">
        <v>4738</v>
      </c>
      <c r="AM63">
        <v>439.8</v>
      </c>
      <c r="AN63">
        <v>0.93594381783358205</v>
      </c>
      <c r="AO63">
        <v>229.8</v>
      </c>
      <c r="AP63" t="s">
        <v>4738</v>
      </c>
      <c r="AR63" t="s">
        <v>10</v>
      </c>
      <c r="AS63" t="s">
        <v>4739</v>
      </c>
      <c r="AT63" t="s">
        <v>4739</v>
      </c>
      <c r="AU63" t="s">
        <v>10</v>
      </c>
    </row>
    <row r="64" spans="1:47">
      <c r="A64" t="s">
        <v>2881</v>
      </c>
      <c r="B64" t="s">
        <v>2882</v>
      </c>
      <c r="C64" t="s">
        <v>17</v>
      </c>
      <c r="D64" t="s">
        <v>407</v>
      </c>
      <c r="E64" t="s">
        <v>408</v>
      </c>
      <c r="F64" t="s">
        <v>409</v>
      </c>
      <c r="G64" t="s">
        <v>4751</v>
      </c>
      <c r="H64" t="s">
        <v>381</v>
      </c>
      <c r="I64">
        <v>304.3</v>
      </c>
      <c r="J64">
        <v>0.64758459246648203</v>
      </c>
      <c r="K64">
        <v>1.1519999999999999</v>
      </c>
      <c r="L64" t="s">
        <v>4740</v>
      </c>
      <c r="N64">
        <v>294.89999999999998</v>
      </c>
      <c r="O64">
        <v>0.62758033624175402</v>
      </c>
      <c r="P64">
        <v>0.94069999999999998</v>
      </c>
      <c r="Q64" t="s">
        <v>4740</v>
      </c>
      <c r="S64">
        <v>287.7</v>
      </c>
      <c r="T64">
        <v>0.61225792721855699</v>
      </c>
      <c r="U64">
        <v>0.97889999999999999</v>
      </c>
      <c r="V64" t="s">
        <v>4740</v>
      </c>
      <c r="X64">
        <v>317.7</v>
      </c>
      <c r="Y64">
        <v>0.67610129814854203</v>
      </c>
      <c r="Z64">
        <v>1.728</v>
      </c>
      <c r="AA64" t="s">
        <v>4740</v>
      </c>
      <c r="AC64">
        <v>415.6</v>
      </c>
      <c r="AD64">
        <v>0.884443498616727</v>
      </c>
      <c r="AE64">
        <v>72.55</v>
      </c>
      <c r="AF64" t="s">
        <v>4738</v>
      </c>
      <c r="AH64">
        <v>417.6</v>
      </c>
      <c r="AI64">
        <v>0.88869972334539304</v>
      </c>
      <c r="AJ64">
        <v>57.92</v>
      </c>
      <c r="AK64" t="s">
        <v>4738</v>
      </c>
      <c r="AM64">
        <v>415.2</v>
      </c>
      <c r="AN64">
        <v>0.88359225367099403</v>
      </c>
      <c r="AO64">
        <v>60.58</v>
      </c>
      <c r="AP64" t="s">
        <v>4738</v>
      </c>
      <c r="AR64" t="s">
        <v>10</v>
      </c>
      <c r="AS64" t="s">
        <v>4739</v>
      </c>
      <c r="AT64" t="s">
        <v>4739</v>
      </c>
      <c r="AU64" t="s">
        <v>10</v>
      </c>
    </row>
    <row r="65" spans="1:47">
      <c r="A65" t="s">
        <v>2884</v>
      </c>
      <c r="B65" t="s">
        <v>2885</v>
      </c>
      <c r="C65" t="s">
        <v>17</v>
      </c>
      <c r="D65" t="s">
        <v>422</v>
      </c>
      <c r="E65" t="s">
        <v>423</v>
      </c>
      <c r="F65" t="s">
        <v>424</v>
      </c>
      <c r="G65" t="s">
        <v>4750</v>
      </c>
      <c r="H65" t="s">
        <v>425</v>
      </c>
      <c r="I65">
        <v>330.1</v>
      </c>
      <c r="J65">
        <v>0.70248989146626994</v>
      </c>
      <c r="K65">
        <v>2.2429999999999999</v>
      </c>
      <c r="L65" t="s">
        <v>4740</v>
      </c>
      <c r="N65">
        <v>395.9</v>
      </c>
      <c r="O65">
        <v>0.84251968503937003</v>
      </c>
      <c r="P65">
        <v>22.78</v>
      </c>
      <c r="Q65" t="s">
        <v>4738</v>
      </c>
      <c r="S65">
        <v>393.2</v>
      </c>
      <c r="T65">
        <v>0.83677378165567096</v>
      </c>
      <c r="U65">
        <v>21.84</v>
      </c>
      <c r="V65" t="s">
        <v>4738</v>
      </c>
      <c r="X65">
        <v>410.5</v>
      </c>
      <c r="Y65">
        <v>0.87359012555863003</v>
      </c>
      <c r="Z65">
        <v>41.44</v>
      </c>
      <c r="AA65" t="s">
        <v>4738</v>
      </c>
      <c r="AC65">
        <v>417</v>
      </c>
      <c r="AD65">
        <v>0.88742285592679304</v>
      </c>
      <c r="AE65">
        <v>25.58</v>
      </c>
      <c r="AF65" t="s">
        <v>4738</v>
      </c>
      <c r="AH65">
        <v>441.5</v>
      </c>
      <c r="AI65">
        <v>0.93956160885294704</v>
      </c>
      <c r="AJ65">
        <v>57.63</v>
      </c>
      <c r="AK65" t="s">
        <v>4738</v>
      </c>
      <c r="AM65">
        <v>437.5</v>
      </c>
      <c r="AN65">
        <v>0.93104915939561605</v>
      </c>
      <c r="AO65">
        <v>113.7</v>
      </c>
      <c r="AP65" t="s">
        <v>4738</v>
      </c>
      <c r="AR65" t="s">
        <v>4739</v>
      </c>
      <c r="AS65" t="s">
        <v>4739</v>
      </c>
      <c r="AT65" t="s">
        <v>4739</v>
      </c>
      <c r="AU65" t="s">
        <v>4739</v>
      </c>
    </row>
    <row r="66" spans="1:47">
      <c r="A66" t="s">
        <v>2887</v>
      </c>
      <c r="B66" t="s">
        <v>2888</v>
      </c>
      <c r="C66" t="s">
        <v>17</v>
      </c>
      <c r="D66" t="s">
        <v>430</v>
      </c>
      <c r="E66" t="s">
        <v>431</v>
      </c>
      <c r="F66" t="s">
        <v>432</v>
      </c>
      <c r="G66" t="s">
        <v>4750</v>
      </c>
      <c r="H66" t="s">
        <v>433</v>
      </c>
      <c r="I66">
        <v>331.2</v>
      </c>
      <c r="J66">
        <v>0.70483081506703604</v>
      </c>
      <c r="K66">
        <v>3.1240000000000001</v>
      </c>
      <c r="L66" t="s">
        <v>4740</v>
      </c>
      <c r="N66">
        <v>375.7</v>
      </c>
      <c r="O66">
        <v>0.79953181527984696</v>
      </c>
      <c r="P66">
        <v>11.32</v>
      </c>
      <c r="Q66" t="s">
        <v>4738</v>
      </c>
      <c r="S66">
        <v>375.7</v>
      </c>
      <c r="T66">
        <v>0.79953181527984696</v>
      </c>
      <c r="U66">
        <v>11.71</v>
      </c>
      <c r="V66" t="s">
        <v>4738</v>
      </c>
      <c r="X66">
        <v>370.3</v>
      </c>
      <c r="Y66">
        <v>0.78804000851244904</v>
      </c>
      <c r="Z66">
        <v>9.4890000000000008</v>
      </c>
      <c r="AA66" t="s">
        <v>4738</v>
      </c>
      <c r="AC66">
        <v>374.5</v>
      </c>
      <c r="AD66">
        <v>0.79697808044264695</v>
      </c>
      <c r="AE66">
        <v>14.22</v>
      </c>
      <c r="AF66" t="s">
        <v>4738</v>
      </c>
      <c r="AH66">
        <v>413.4</v>
      </c>
      <c r="AI66">
        <v>0.87976165141519502</v>
      </c>
      <c r="AJ66">
        <v>31.83</v>
      </c>
      <c r="AK66" t="s">
        <v>4738</v>
      </c>
      <c r="AM66">
        <v>445.5</v>
      </c>
      <c r="AN66">
        <v>0.94807405831027902</v>
      </c>
      <c r="AO66">
        <v>123.9</v>
      </c>
      <c r="AP66" t="s">
        <v>4738</v>
      </c>
      <c r="AR66" t="s">
        <v>4739</v>
      </c>
      <c r="AS66" t="s">
        <v>4739</v>
      </c>
      <c r="AT66" t="s">
        <v>4739</v>
      </c>
      <c r="AU66" t="s">
        <v>4739</v>
      </c>
    </row>
    <row r="67" spans="1:47">
      <c r="A67" t="s">
        <v>2890</v>
      </c>
      <c r="B67" t="s">
        <v>2891</v>
      </c>
      <c r="C67" t="s">
        <v>17</v>
      </c>
      <c r="D67" t="s">
        <v>438</v>
      </c>
      <c r="E67" t="s">
        <v>439</v>
      </c>
      <c r="F67" t="s">
        <v>440</v>
      </c>
      <c r="G67" t="s">
        <v>4750</v>
      </c>
      <c r="H67" t="s">
        <v>441</v>
      </c>
      <c r="I67">
        <v>344.8</v>
      </c>
      <c r="J67">
        <v>0.73377314322196197</v>
      </c>
      <c r="K67">
        <v>3.6150000000000002</v>
      </c>
      <c r="L67" t="s">
        <v>4738</v>
      </c>
      <c r="N67">
        <v>394.3</v>
      </c>
      <c r="O67">
        <v>0.83911470525643805</v>
      </c>
      <c r="P67">
        <v>23.27</v>
      </c>
      <c r="Q67" t="s">
        <v>4738</v>
      </c>
      <c r="S67">
        <v>407.3</v>
      </c>
      <c r="T67">
        <v>0.86678016599276497</v>
      </c>
      <c r="U67">
        <v>32.51</v>
      </c>
      <c r="V67" t="s">
        <v>4738</v>
      </c>
      <c r="X67">
        <v>387.3</v>
      </c>
      <c r="Y67">
        <v>0.82421791870610805</v>
      </c>
      <c r="Z67">
        <v>17.350000000000001</v>
      </c>
      <c r="AA67" t="s">
        <v>4738</v>
      </c>
      <c r="AC67">
        <v>389.2</v>
      </c>
      <c r="AD67">
        <v>0.82826133219833997</v>
      </c>
      <c r="AE67">
        <v>17.2</v>
      </c>
      <c r="AF67" t="s">
        <v>4738</v>
      </c>
      <c r="AH67">
        <v>407.7</v>
      </c>
      <c r="AI67">
        <v>0.86763141093849805</v>
      </c>
      <c r="AJ67">
        <v>39.58</v>
      </c>
      <c r="AK67" t="s">
        <v>4738</v>
      </c>
      <c r="AM67">
        <v>437.7</v>
      </c>
      <c r="AN67">
        <v>0.93147478186848298</v>
      </c>
      <c r="AO67">
        <v>106.7</v>
      </c>
      <c r="AP67" t="s">
        <v>4738</v>
      </c>
      <c r="AR67" t="s">
        <v>4739</v>
      </c>
      <c r="AS67" t="s">
        <v>4739</v>
      </c>
      <c r="AT67" t="s">
        <v>4739</v>
      </c>
      <c r="AU67" t="s">
        <v>4739</v>
      </c>
    </row>
    <row r="68" spans="1:47">
      <c r="A68" t="s">
        <v>2893</v>
      </c>
      <c r="B68" t="s">
        <v>2894</v>
      </c>
      <c r="C68" t="s">
        <v>17</v>
      </c>
      <c r="D68" t="s">
        <v>446</v>
      </c>
      <c r="E68" t="s">
        <v>447</v>
      </c>
      <c r="F68" t="s">
        <v>448</v>
      </c>
      <c r="G68" t="s">
        <v>4751</v>
      </c>
      <c r="H68" t="s">
        <v>425</v>
      </c>
      <c r="I68">
        <v>330.1</v>
      </c>
      <c r="J68">
        <v>0.70248989146626994</v>
      </c>
      <c r="K68">
        <v>2.2429999999999999</v>
      </c>
      <c r="L68" t="s">
        <v>4740</v>
      </c>
      <c r="N68">
        <v>395.9</v>
      </c>
      <c r="O68">
        <v>0.84251968503937003</v>
      </c>
      <c r="P68">
        <v>22.78</v>
      </c>
      <c r="Q68" t="s">
        <v>4738</v>
      </c>
      <c r="S68">
        <v>393.2</v>
      </c>
      <c r="T68">
        <v>0.83677378165567096</v>
      </c>
      <c r="U68">
        <v>21.84</v>
      </c>
      <c r="V68" t="s">
        <v>4738</v>
      </c>
      <c r="X68">
        <v>410.5</v>
      </c>
      <c r="Y68">
        <v>0.87359012555863003</v>
      </c>
      <c r="Z68">
        <v>41.44</v>
      </c>
      <c r="AA68" t="s">
        <v>4738</v>
      </c>
      <c r="AC68">
        <v>417</v>
      </c>
      <c r="AD68">
        <v>0.88742285592679304</v>
      </c>
      <c r="AE68">
        <v>25.58</v>
      </c>
      <c r="AF68" t="s">
        <v>4738</v>
      </c>
      <c r="AH68">
        <v>441.5</v>
      </c>
      <c r="AI68">
        <v>0.93956160885294704</v>
      </c>
      <c r="AJ68">
        <v>57.63</v>
      </c>
      <c r="AK68" t="s">
        <v>4738</v>
      </c>
      <c r="AM68">
        <v>437.5</v>
      </c>
      <c r="AN68">
        <v>0.93104915939561605</v>
      </c>
      <c r="AO68">
        <v>113.7</v>
      </c>
      <c r="AP68" t="s">
        <v>4738</v>
      </c>
      <c r="AR68" t="s">
        <v>4739</v>
      </c>
      <c r="AS68" t="s">
        <v>4739</v>
      </c>
      <c r="AT68" t="s">
        <v>4739</v>
      </c>
      <c r="AU68" t="s">
        <v>4739</v>
      </c>
    </row>
    <row r="69" spans="1:47">
      <c r="A69" t="s">
        <v>2896</v>
      </c>
      <c r="B69" t="s">
        <v>2897</v>
      </c>
      <c r="C69" t="s">
        <v>17</v>
      </c>
      <c r="D69" t="s">
        <v>453</v>
      </c>
      <c r="E69" t="s">
        <v>454</v>
      </c>
      <c r="F69" t="s">
        <v>455</v>
      </c>
      <c r="G69" t="s">
        <v>4751</v>
      </c>
      <c r="H69" t="s">
        <v>433</v>
      </c>
      <c r="I69">
        <v>331.2</v>
      </c>
      <c r="J69">
        <v>0.70483081506703604</v>
      </c>
      <c r="K69">
        <v>3.1240000000000001</v>
      </c>
      <c r="L69" t="s">
        <v>4740</v>
      </c>
      <c r="N69">
        <v>375.7</v>
      </c>
      <c r="O69">
        <v>0.79953181527984696</v>
      </c>
      <c r="P69">
        <v>11.32</v>
      </c>
      <c r="Q69" t="s">
        <v>4738</v>
      </c>
      <c r="S69">
        <v>375.7</v>
      </c>
      <c r="T69">
        <v>0.79953181527984696</v>
      </c>
      <c r="U69">
        <v>11.71</v>
      </c>
      <c r="V69" t="s">
        <v>4738</v>
      </c>
      <c r="X69">
        <v>370.3</v>
      </c>
      <c r="Y69">
        <v>0.78804000851244904</v>
      </c>
      <c r="Z69">
        <v>9.4890000000000008</v>
      </c>
      <c r="AA69" t="s">
        <v>4738</v>
      </c>
      <c r="AC69">
        <v>374.5</v>
      </c>
      <c r="AD69">
        <v>0.79697808044264695</v>
      </c>
      <c r="AE69">
        <v>14.22</v>
      </c>
      <c r="AF69" t="s">
        <v>4738</v>
      </c>
      <c r="AH69">
        <v>413.4</v>
      </c>
      <c r="AI69">
        <v>0.87976165141519502</v>
      </c>
      <c r="AJ69">
        <v>31.83</v>
      </c>
      <c r="AK69" t="s">
        <v>4738</v>
      </c>
      <c r="AM69">
        <v>445.5</v>
      </c>
      <c r="AN69">
        <v>0.94807405831027902</v>
      </c>
      <c r="AO69">
        <v>123.9</v>
      </c>
      <c r="AP69" t="s">
        <v>4738</v>
      </c>
      <c r="AR69" t="s">
        <v>4739</v>
      </c>
      <c r="AS69" t="s">
        <v>4739</v>
      </c>
      <c r="AT69" t="s">
        <v>4739</v>
      </c>
      <c r="AU69" t="s">
        <v>4739</v>
      </c>
    </row>
    <row r="70" spans="1:47">
      <c r="A70" t="s">
        <v>2899</v>
      </c>
      <c r="B70" t="s">
        <v>2900</v>
      </c>
      <c r="C70" t="s">
        <v>17</v>
      </c>
      <c r="D70" t="s">
        <v>460</v>
      </c>
      <c r="E70" t="s">
        <v>461</v>
      </c>
      <c r="F70" t="s">
        <v>462</v>
      </c>
      <c r="G70" t="s">
        <v>4751</v>
      </c>
      <c r="H70" t="s">
        <v>441</v>
      </c>
      <c r="I70">
        <v>344.8</v>
      </c>
      <c r="J70">
        <v>0.73377314322196197</v>
      </c>
      <c r="K70">
        <v>3.6150000000000002</v>
      </c>
      <c r="L70" t="s">
        <v>4738</v>
      </c>
      <c r="N70">
        <v>394.3</v>
      </c>
      <c r="O70">
        <v>0.83911470525643805</v>
      </c>
      <c r="P70">
        <v>23.27</v>
      </c>
      <c r="Q70" t="s">
        <v>4738</v>
      </c>
      <c r="S70">
        <v>407.3</v>
      </c>
      <c r="T70">
        <v>0.86678016599276497</v>
      </c>
      <c r="U70">
        <v>32.51</v>
      </c>
      <c r="V70" t="s">
        <v>4738</v>
      </c>
      <c r="X70">
        <v>387.3</v>
      </c>
      <c r="Y70">
        <v>0.82421791870610805</v>
      </c>
      <c r="Z70">
        <v>17.350000000000001</v>
      </c>
      <c r="AA70" t="s">
        <v>4738</v>
      </c>
      <c r="AC70">
        <v>389.2</v>
      </c>
      <c r="AD70">
        <v>0.82826133219833997</v>
      </c>
      <c r="AE70">
        <v>17.2</v>
      </c>
      <c r="AF70" t="s">
        <v>4738</v>
      </c>
      <c r="AH70">
        <v>407.7</v>
      </c>
      <c r="AI70">
        <v>0.86763141093849805</v>
      </c>
      <c r="AJ70">
        <v>39.58</v>
      </c>
      <c r="AK70" t="s">
        <v>4738</v>
      </c>
      <c r="AM70">
        <v>437.7</v>
      </c>
      <c r="AN70">
        <v>0.93147478186848298</v>
      </c>
      <c r="AO70">
        <v>106.7</v>
      </c>
      <c r="AP70" t="s">
        <v>4738</v>
      </c>
      <c r="AR70" t="s">
        <v>4739</v>
      </c>
      <c r="AS70" t="s">
        <v>4739</v>
      </c>
      <c r="AT70" t="s">
        <v>4739</v>
      </c>
      <c r="AU70" t="s">
        <v>4739</v>
      </c>
    </row>
    <row r="71" spans="1:47">
      <c r="A71" t="s">
        <v>2902</v>
      </c>
      <c r="B71" t="s">
        <v>2903</v>
      </c>
      <c r="C71" t="s">
        <v>17</v>
      </c>
      <c r="D71" t="s">
        <v>2905</v>
      </c>
      <c r="E71" t="s">
        <v>2906</v>
      </c>
      <c r="F71" t="s">
        <v>2907</v>
      </c>
      <c r="G71" t="s">
        <v>4750</v>
      </c>
      <c r="H71" t="s">
        <v>2908</v>
      </c>
      <c r="I71">
        <v>418.4</v>
      </c>
      <c r="J71">
        <v>0.89040221323685897</v>
      </c>
      <c r="K71">
        <v>22.58</v>
      </c>
      <c r="L71" t="s">
        <v>4738</v>
      </c>
      <c r="N71">
        <v>386.5</v>
      </c>
      <c r="O71">
        <v>0.82251542881464101</v>
      </c>
      <c r="P71">
        <v>18.079999999999998</v>
      </c>
      <c r="Q71" t="s">
        <v>4738</v>
      </c>
      <c r="S71">
        <v>356.4</v>
      </c>
      <c r="T71">
        <v>0.75845924664822295</v>
      </c>
      <c r="U71">
        <v>6.8849999999999998</v>
      </c>
      <c r="V71" t="s">
        <v>4738</v>
      </c>
      <c r="X71">
        <v>335.4</v>
      </c>
      <c r="Y71">
        <v>0.71376888699723295</v>
      </c>
      <c r="Z71">
        <v>3.1709999999999998</v>
      </c>
      <c r="AA71" t="s">
        <v>4738</v>
      </c>
      <c r="AC71">
        <v>394</v>
      </c>
      <c r="AD71">
        <v>0.838476271547138</v>
      </c>
      <c r="AE71">
        <v>13.95</v>
      </c>
      <c r="AF71" t="s">
        <v>4738</v>
      </c>
      <c r="AH71">
        <v>468.7</v>
      </c>
      <c r="AI71">
        <v>0.99744626516280099</v>
      </c>
      <c r="AJ71">
        <v>399.8</v>
      </c>
      <c r="AK71" t="s">
        <v>4738</v>
      </c>
      <c r="AM71">
        <v>426.8</v>
      </c>
      <c r="AN71">
        <v>0.90827835709725502</v>
      </c>
      <c r="AO71">
        <v>109.3</v>
      </c>
      <c r="AP71" t="s">
        <v>4738</v>
      </c>
      <c r="AR71" t="e">
        <v>#N/A</v>
      </c>
      <c r="AS71" t="e">
        <v>#N/A</v>
      </c>
      <c r="AT71" t="e">
        <v>#N/A</v>
      </c>
      <c r="AU71" t="e">
        <v>#N/A</v>
      </c>
    </row>
    <row r="72" spans="1:47">
      <c r="A72" t="s">
        <v>2910</v>
      </c>
      <c r="B72" t="s">
        <v>2911</v>
      </c>
      <c r="C72" t="s">
        <v>17</v>
      </c>
      <c r="D72" t="s">
        <v>475</v>
      </c>
      <c r="E72" t="s">
        <v>476</v>
      </c>
      <c r="F72" t="s">
        <v>477</v>
      </c>
      <c r="G72" t="s">
        <v>4750</v>
      </c>
      <c r="H72" t="s">
        <v>478</v>
      </c>
      <c r="I72">
        <v>389.9</v>
      </c>
      <c r="J72">
        <v>0.82975101085337299</v>
      </c>
      <c r="K72">
        <v>9.5009999999999994</v>
      </c>
      <c r="L72" t="s">
        <v>4738</v>
      </c>
      <c r="N72">
        <v>390</v>
      </c>
      <c r="O72">
        <v>0.82996382208980601</v>
      </c>
      <c r="P72">
        <v>19.79</v>
      </c>
      <c r="Q72" t="s">
        <v>4738</v>
      </c>
      <c r="S72">
        <v>345.5</v>
      </c>
      <c r="T72">
        <v>0.73526282187699499</v>
      </c>
      <c r="U72">
        <v>5.9989999999999997</v>
      </c>
      <c r="V72" t="s">
        <v>4738</v>
      </c>
      <c r="X72">
        <v>349.5</v>
      </c>
      <c r="Y72">
        <v>0.74377527133432697</v>
      </c>
      <c r="Z72">
        <v>4.0270000000000001</v>
      </c>
      <c r="AA72" t="s">
        <v>4738</v>
      </c>
      <c r="AC72">
        <v>312.8</v>
      </c>
      <c r="AD72">
        <v>0.66567354756331099</v>
      </c>
      <c r="AE72">
        <v>1.722</v>
      </c>
      <c r="AF72" t="s">
        <v>4740</v>
      </c>
      <c r="AH72">
        <v>430.9</v>
      </c>
      <c r="AI72">
        <v>0.91700361779101902</v>
      </c>
      <c r="AJ72">
        <v>98.14</v>
      </c>
      <c r="AK72" t="s">
        <v>4738</v>
      </c>
      <c r="AM72">
        <v>400.3</v>
      </c>
      <c r="AN72">
        <v>0.85188337944243497</v>
      </c>
      <c r="AO72">
        <v>24.87</v>
      </c>
      <c r="AP72" t="s">
        <v>4738</v>
      </c>
      <c r="AR72" t="e">
        <v>#N/A</v>
      </c>
      <c r="AS72" t="e">
        <v>#N/A</v>
      </c>
      <c r="AT72" t="e">
        <v>#N/A</v>
      </c>
      <c r="AU72" t="e">
        <v>#N/A</v>
      </c>
    </row>
    <row r="73" spans="1:47">
      <c r="A73" t="s">
        <v>2913</v>
      </c>
      <c r="B73" t="s">
        <v>2914</v>
      </c>
      <c r="C73" t="s">
        <v>17</v>
      </c>
      <c r="D73" t="s">
        <v>483</v>
      </c>
      <c r="E73" t="s">
        <v>484</v>
      </c>
      <c r="F73" t="s">
        <v>485</v>
      </c>
      <c r="G73" t="s">
        <v>4751</v>
      </c>
      <c r="H73" t="s">
        <v>478</v>
      </c>
      <c r="I73">
        <v>389.9</v>
      </c>
      <c r="J73">
        <v>0.82975101085337299</v>
      </c>
      <c r="K73">
        <v>9.5009999999999994</v>
      </c>
      <c r="L73" t="s">
        <v>4738</v>
      </c>
      <c r="N73">
        <v>390</v>
      </c>
      <c r="O73">
        <v>0.82996382208980601</v>
      </c>
      <c r="P73">
        <v>19.79</v>
      </c>
      <c r="Q73" t="s">
        <v>4738</v>
      </c>
      <c r="S73">
        <v>345.5</v>
      </c>
      <c r="T73">
        <v>0.73526282187699499</v>
      </c>
      <c r="U73">
        <v>5.9989999999999997</v>
      </c>
      <c r="V73" t="s">
        <v>4738</v>
      </c>
      <c r="X73">
        <v>349.5</v>
      </c>
      <c r="Y73">
        <v>0.74377527133432697</v>
      </c>
      <c r="Z73">
        <v>4.0270000000000001</v>
      </c>
      <c r="AA73" t="s">
        <v>4738</v>
      </c>
      <c r="AC73">
        <v>312.8</v>
      </c>
      <c r="AD73">
        <v>0.66567354756331099</v>
      </c>
      <c r="AE73">
        <v>1.722</v>
      </c>
      <c r="AF73" t="s">
        <v>4740</v>
      </c>
      <c r="AH73">
        <v>430.9</v>
      </c>
      <c r="AI73">
        <v>0.91700361779101902</v>
      </c>
      <c r="AJ73">
        <v>98.14</v>
      </c>
      <c r="AK73" t="s">
        <v>4738</v>
      </c>
      <c r="AM73">
        <v>400.3</v>
      </c>
      <c r="AN73">
        <v>0.85188337944243497</v>
      </c>
      <c r="AO73">
        <v>24.87</v>
      </c>
      <c r="AP73" t="s">
        <v>4738</v>
      </c>
      <c r="AR73" t="e">
        <v>#N/A</v>
      </c>
      <c r="AS73" t="e">
        <v>#N/A</v>
      </c>
      <c r="AT73" t="e">
        <v>#N/A</v>
      </c>
      <c r="AU73" t="e">
        <v>#N/A</v>
      </c>
    </row>
    <row r="74" spans="1:47">
      <c r="A74" t="s">
        <v>2916</v>
      </c>
      <c r="B74" t="s">
        <v>2917</v>
      </c>
      <c r="C74" t="s">
        <v>17</v>
      </c>
      <c r="D74" t="s">
        <v>2919</v>
      </c>
      <c r="E74" t="s">
        <v>2920</v>
      </c>
      <c r="F74" t="s">
        <v>2921</v>
      </c>
      <c r="G74" t="s">
        <v>4752</v>
      </c>
      <c r="H74" t="s">
        <v>493</v>
      </c>
      <c r="I74" t="e">
        <v>#N/A</v>
      </c>
      <c r="J74" t="e">
        <v>#N/A</v>
      </c>
      <c r="K74" t="e">
        <v>#N/A</v>
      </c>
      <c r="L74" t="e">
        <v>#N/A</v>
      </c>
      <c r="N74" t="e">
        <v>#N/A</v>
      </c>
      <c r="O74" t="e">
        <v>#N/A</v>
      </c>
      <c r="P74" t="e">
        <v>#N/A</v>
      </c>
      <c r="Q74" t="e">
        <v>#N/A</v>
      </c>
      <c r="S74" t="e">
        <v>#N/A</v>
      </c>
      <c r="T74" t="e">
        <v>#N/A</v>
      </c>
      <c r="U74" t="e">
        <v>#N/A</v>
      </c>
      <c r="V74" t="e">
        <v>#N/A</v>
      </c>
      <c r="X74" t="e">
        <v>#N/A</v>
      </c>
      <c r="Y74" t="e">
        <v>#N/A</v>
      </c>
      <c r="Z74" t="e">
        <v>#N/A</v>
      </c>
      <c r="AA74" t="e">
        <v>#N/A</v>
      </c>
      <c r="AC74" t="e">
        <v>#N/A</v>
      </c>
      <c r="AD74" t="e">
        <v>#N/A</v>
      </c>
      <c r="AE74" t="e">
        <v>#N/A</v>
      </c>
      <c r="AF74" t="e">
        <v>#N/A</v>
      </c>
      <c r="AH74" t="e">
        <v>#N/A</v>
      </c>
      <c r="AI74" t="e">
        <v>#N/A</v>
      </c>
      <c r="AJ74" t="e">
        <v>#N/A</v>
      </c>
      <c r="AK74" t="e">
        <v>#N/A</v>
      </c>
      <c r="AM74" t="e">
        <v>#N/A</v>
      </c>
      <c r="AN74" t="e">
        <v>#N/A</v>
      </c>
      <c r="AO74" t="e">
        <v>#N/A</v>
      </c>
      <c r="AP74" t="e">
        <v>#N/A</v>
      </c>
      <c r="AR74" t="s">
        <v>4739</v>
      </c>
      <c r="AS74" t="s">
        <v>4739</v>
      </c>
      <c r="AT74" t="s">
        <v>4739</v>
      </c>
      <c r="AU74" t="s">
        <v>4739</v>
      </c>
    </row>
    <row r="75" spans="1:47">
      <c r="A75" t="s">
        <v>2923</v>
      </c>
      <c r="B75" t="s">
        <v>2924</v>
      </c>
      <c r="C75" t="s">
        <v>17</v>
      </c>
      <c r="D75" t="s">
        <v>2926</v>
      </c>
      <c r="E75" t="s">
        <v>2927</v>
      </c>
      <c r="F75" t="s">
        <v>2928</v>
      </c>
      <c r="G75" t="s">
        <v>4753</v>
      </c>
      <c r="H75" t="s">
        <v>493</v>
      </c>
      <c r="I75" t="e">
        <v>#N/A</v>
      </c>
      <c r="J75" t="e">
        <v>#N/A</v>
      </c>
      <c r="K75" t="e">
        <v>#N/A</v>
      </c>
      <c r="L75" t="e">
        <v>#N/A</v>
      </c>
      <c r="N75" t="e">
        <v>#N/A</v>
      </c>
      <c r="O75" t="e">
        <v>#N/A</v>
      </c>
      <c r="P75" t="e">
        <v>#N/A</v>
      </c>
      <c r="Q75" t="e">
        <v>#N/A</v>
      </c>
      <c r="S75" t="e">
        <v>#N/A</v>
      </c>
      <c r="T75" t="e">
        <v>#N/A</v>
      </c>
      <c r="U75" t="e">
        <v>#N/A</v>
      </c>
      <c r="V75" t="e">
        <v>#N/A</v>
      </c>
      <c r="X75" t="e">
        <v>#N/A</v>
      </c>
      <c r="Y75" t="e">
        <v>#N/A</v>
      </c>
      <c r="Z75" t="e">
        <v>#N/A</v>
      </c>
      <c r="AA75" t="e">
        <v>#N/A</v>
      </c>
      <c r="AC75" t="e">
        <v>#N/A</v>
      </c>
      <c r="AD75" t="e">
        <v>#N/A</v>
      </c>
      <c r="AE75" t="e">
        <v>#N/A</v>
      </c>
      <c r="AF75" t="e">
        <v>#N/A</v>
      </c>
      <c r="AH75" t="e">
        <v>#N/A</v>
      </c>
      <c r="AI75" t="e">
        <v>#N/A</v>
      </c>
      <c r="AJ75" t="e">
        <v>#N/A</v>
      </c>
      <c r="AK75" t="e">
        <v>#N/A</v>
      </c>
      <c r="AM75" t="e">
        <v>#N/A</v>
      </c>
      <c r="AN75" t="e">
        <v>#N/A</v>
      </c>
      <c r="AO75" t="e">
        <v>#N/A</v>
      </c>
      <c r="AP75" t="e">
        <v>#N/A</v>
      </c>
      <c r="AR75" t="s">
        <v>4739</v>
      </c>
      <c r="AS75" t="s">
        <v>4739</v>
      </c>
      <c r="AT75" t="s">
        <v>4739</v>
      </c>
      <c r="AU75" t="s">
        <v>4739</v>
      </c>
    </row>
    <row r="76" spans="1:47">
      <c r="A76" t="s">
        <v>2930</v>
      </c>
      <c r="B76" t="s">
        <v>2931</v>
      </c>
      <c r="C76" t="s">
        <v>17</v>
      </c>
      <c r="D76" t="s">
        <v>498</v>
      </c>
      <c r="E76" t="s">
        <v>499</v>
      </c>
      <c r="F76" t="s">
        <v>500</v>
      </c>
      <c r="G76" t="s">
        <v>4750</v>
      </c>
      <c r="H76" t="s">
        <v>501</v>
      </c>
      <c r="I76">
        <v>297.39999999999998</v>
      </c>
      <c r="J76">
        <v>0.63290061715258605</v>
      </c>
      <c r="K76">
        <v>1.056</v>
      </c>
      <c r="L76" t="s">
        <v>4740</v>
      </c>
      <c r="N76">
        <v>395.7</v>
      </c>
      <c r="O76">
        <v>0.84209406256650399</v>
      </c>
      <c r="P76">
        <v>22.2</v>
      </c>
      <c r="Q76" t="s">
        <v>4738</v>
      </c>
      <c r="S76">
        <v>350.1</v>
      </c>
      <c r="T76">
        <v>0.74505213875292597</v>
      </c>
      <c r="U76">
        <v>6.1150000000000002</v>
      </c>
      <c r="V76" t="s">
        <v>4738</v>
      </c>
      <c r="X76">
        <v>383.8</v>
      </c>
      <c r="Y76">
        <v>0.81676952543094306</v>
      </c>
      <c r="Z76">
        <v>15.15</v>
      </c>
      <c r="AA76" t="s">
        <v>4738</v>
      </c>
      <c r="AC76">
        <v>339.7</v>
      </c>
      <c r="AD76">
        <v>0.72291977016386499</v>
      </c>
      <c r="AE76">
        <v>5.8620000000000001</v>
      </c>
      <c r="AF76" t="s">
        <v>4738</v>
      </c>
      <c r="AH76">
        <v>435.7</v>
      </c>
      <c r="AI76">
        <v>0.92721855713981705</v>
      </c>
      <c r="AJ76">
        <v>101.5</v>
      </c>
      <c r="AK76" t="s">
        <v>4738</v>
      </c>
      <c r="AM76">
        <v>422.6</v>
      </c>
      <c r="AN76">
        <v>0.899340285167057</v>
      </c>
      <c r="AO76">
        <v>97.38</v>
      </c>
      <c r="AP76" t="s">
        <v>4738</v>
      </c>
      <c r="AR76" t="s">
        <v>4739</v>
      </c>
      <c r="AS76" t="s">
        <v>4739</v>
      </c>
      <c r="AT76" t="s">
        <v>4739</v>
      </c>
      <c r="AU76" t="s">
        <v>4739</v>
      </c>
    </row>
    <row r="77" spans="1:47">
      <c r="A77" t="s">
        <v>2933</v>
      </c>
      <c r="B77" t="s">
        <v>2934</v>
      </c>
      <c r="C77" t="s">
        <v>17</v>
      </c>
      <c r="D77" t="s">
        <v>506</v>
      </c>
      <c r="E77" t="s">
        <v>507</v>
      </c>
      <c r="F77" t="s">
        <v>508</v>
      </c>
      <c r="G77" t="s">
        <v>4750</v>
      </c>
      <c r="H77" t="s">
        <v>509</v>
      </c>
      <c r="I77">
        <v>359.2</v>
      </c>
      <c r="J77">
        <v>0.76441796126835504</v>
      </c>
      <c r="K77">
        <v>5.08</v>
      </c>
      <c r="L77" t="s">
        <v>4738</v>
      </c>
      <c r="N77">
        <v>376.1</v>
      </c>
      <c r="O77">
        <v>0.80038306022558003</v>
      </c>
      <c r="P77">
        <v>13.39</v>
      </c>
      <c r="Q77" t="s">
        <v>4738</v>
      </c>
      <c r="S77">
        <v>297.2</v>
      </c>
      <c r="T77">
        <v>0.63247499467971902</v>
      </c>
      <c r="U77">
        <v>0.99080000000000001</v>
      </c>
      <c r="V77" t="s">
        <v>4740</v>
      </c>
      <c r="X77">
        <v>377</v>
      </c>
      <c r="Y77">
        <v>0.80229836135347998</v>
      </c>
      <c r="Z77">
        <v>12.38</v>
      </c>
      <c r="AA77" t="s">
        <v>4738</v>
      </c>
      <c r="AC77">
        <v>310.60000000000002</v>
      </c>
      <c r="AD77">
        <v>0.66099170036177901</v>
      </c>
      <c r="AE77">
        <v>2.2149999999999999</v>
      </c>
      <c r="AF77" t="s">
        <v>4740</v>
      </c>
      <c r="AH77">
        <v>362.9</v>
      </c>
      <c r="AI77">
        <v>0.77229197701638597</v>
      </c>
      <c r="AJ77">
        <v>13.39</v>
      </c>
      <c r="AK77" t="s">
        <v>4738</v>
      </c>
      <c r="AM77">
        <v>338.2</v>
      </c>
      <c r="AN77">
        <v>0.71972760161736504</v>
      </c>
      <c r="AO77">
        <v>8.0879999999999992</v>
      </c>
      <c r="AP77" t="s">
        <v>4738</v>
      </c>
      <c r="AR77" t="s">
        <v>4739</v>
      </c>
      <c r="AS77" t="s">
        <v>4739</v>
      </c>
      <c r="AT77" t="s">
        <v>4739</v>
      </c>
      <c r="AU77" t="s">
        <v>4739</v>
      </c>
    </row>
    <row r="78" spans="1:47">
      <c r="A78" t="s">
        <v>2936</v>
      </c>
      <c r="B78" t="s">
        <v>2937</v>
      </c>
      <c r="C78" t="s">
        <v>17</v>
      </c>
      <c r="D78" t="s">
        <v>514</v>
      </c>
      <c r="E78" t="s">
        <v>515</v>
      </c>
      <c r="F78" t="s">
        <v>516</v>
      </c>
      <c r="G78" t="s">
        <v>4751</v>
      </c>
      <c r="H78" t="s">
        <v>501</v>
      </c>
      <c r="I78">
        <v>297.39999999999998</v>
      </c>
      <c r="J78">
        <v>0.63290061715258605</v>
      </c>
      <c r="K78">
        <v>1.056</v>
      </c>
      <c r="L78" t="s">
        <v>4740</v>
      </c>
      <c r="N78">
        <v>395.7</v>
      </c>
      <c r="O78">
        <v>0.84209406256650399</v>
      </c>
      <c r="P78">
        <v>22.2</v>
      </c>
      <c r="Q78" t="s">
        <v>4738</v>
      </c>
      <c r="S78">
        <v>350.1</v>
      </c>
      <c r="T78">
        <v>0.74505213875292597</v>
      </c>
      <c r="U78">
        <v>6.1150000000000002</v>
      </c>
      <c r="V78" t="s">
        <v>4738</v>
      </c>
      <c r="X78">
        <v>383.8</v>
      </c>
      <c r="Y78">
        <v>0.81676952543094306</v>
      </c>
      <c r="Z78">
        <v>15.15</v>
      </c>
      <c r="AA78" t="s">
        <v>4738</v>
      </c>
      <c r="AC78">
        <v>339.7</v>
      </c>
      <c r="AD78">
        <v>0.72291977016386499</v>
      </c>
      <c r="AE78">
        <v>5.8620000000000001</v>
      </c>
      <c r="AF78" t="s">
        <v>4738</v>
      </c>
      <c r="AH78">
        <v>435.7</v>
      </c>
      <c r="AI78">
        <v>0.92721855713981705</v>
      </c>
      <c r="AJ78">
        <v>101.5</v>
      </c>
      <c r="AK78" t="s">
        <v>4738</v>
      </c>
      <c r="AM78">
        <v>422.6</v>
      </c>
      <c r="AN78">
        <v>0.899340285167057</v>
      </c>
      <c r="AO78">
        <v>97.38</v>
      </c>
      <c r="AP78" t="s">
        <v>4738</v>
      </c>
      <c r="AR78" t="s">
        <v>4739</v>
      </c>
      <c r="AS78" t="s">
        <v>4739</v>
      </c>
      <c r="AT78" t="s">
        <v>4739</v>
      </c>
      <c r="AU78" t="s">
        <v>4739</v>
      </c>
    </row>
    <row r="79" spans="1:47">
      <c r="A79" t="s">
        <v>2939</v>
      </c>
      <c r="B79" t="s">
        <v>2940</v>
      </c>
      <c r="C79" t="s">
        <v>17</v>
      </c>
      <c r="D79" t="s">
        <v>521</v>
      </c>
      <c r="E79" t="s">
        <v>522</v>
      </c>
      <c r="F79" t="s">
        <v>523</v>
      </c>
      <c r="G79" t="s">
        <v>4751</v>
      </c>
      <c r="H79" t="s">
        <v>509</v>
      </c>
      <c r="I79">
        <v>359.2</v>
      </c>
      <c r="J79">
        <v>0.76441796126835504</v>
      </c>
      <c r="K79">
        <v>5.08</v>
      </c>
      <c r="L79" t="s">
        <v>4738</v>
      </c>
      <c r="N79">
        <v>376.1</v>
      </c>
      <c r="O79">
        <v>0.80038306022558003</v>
      </c>
      <c r="P79">
        <v>13.39</v>
      </c>
      <c r="Q79" t="s">
        <v>4738</v>
      </c>
      <c r="S79">
        <v>297.2</v>
      </c>
      <c r="T79">
        <v>0.63247499467971902</v>
      </c>
      <c r="U79">
        <v>0.99080000000000001</v>
      </c>
      <c r="V79" t="s">
        <v>4740</v>
      </c>
      <c r="X79">
        <v>377</v>
      </c>
      <c r="Y79">
        <v>0.80229836135347998</v>
      </c>
      <c r="Z79">
        <v>12.38</v>
      </c>
      <c r="AA79" t="s">
        <v>4738</v>
      </c>
      <c r="AC79">
        <v>310.60000000000002</v>
      </c>
      <c r="AD79">
        <v>0.66099170036177901</v>
      </c>
      <c r="AE79">
        <v>2.2149999999999999</v>
      </c>
      <c r="AF79" t="s">
        <v>4740</v>
      </c>
      <c r="AH79">
        <v>362.9</v>
      </c>
      <c r="AI79">
        <v>0.77229197701638597</v>
      </c>
      <c r="AJ79">
        <v>13.39</v>
      </c>
      <c r="AK79" t="s">
        <v>4738</v>
      </c>
      <c r="AM79">
        <v>338.2</v>
      </c>
      <c r="AN79">
        <v>0.71972760161736504</v>
      </c>
      <c r="AO79">
        <v>8.0879999999999992</v>
      </c>
      <c r="AP79" t="s">
        <v>4738</v>
      </c>
      <c r="AR79" t="s">
        <v>4739</v>
      </c>
      <c r="AS79" t="s">
        <v>4739</v>
      </c>
      <c r="AT79" t="s">
        <v>4739</v>
      </c>
      <c r="AU79" t="s">
        <v>4739</v>
      </c>
    </row>
    <row r="80" spans="1:47">
      <c r="A80" t="s">
        <v>2942</v>
      </c>
      <c r="B80" t="s">
        <v>2943</v>
      </c>
      <c r="C80" t="s">
        <v>17</v>
      </c>
      <c r="D80" t="s">
        <v>2945</v>
      </c>
      <c r="E80" t="s">
        <v>2946</v>
      </c>
      <c r="F80" t="s">
        <v>2947</v>
      </c>
      <c r="G80" t="s">
        <v>4752</v>
      </c>
      <c r="H80" t="s">
        <v>531</v>
      </c>
      <c r="I80" t="e">
        <v>#N/A</v>
      </c>
      <c r="J80" t="e">
        <v>#N/A</v>
      </c>
      <c r="K80" t="e">
        <v>#N/A</v>
      </c>
      <c r="L80" t="e">
        <v>#N/A</v>
      </c>
      <c r="N80" t="e">
        <v>#N/A</v>
      </c>
      <c r="O80" t="e">
        <v>#N/A</v>
      </c>
      <c r="P80" t="e">
        <v>#N/A</v>
      </c>
      <c r="Q80" t="e">
        <v>#N/A</v>
      </c>
      <c r="S80" t="e">
        <v>#N/A</v>
      </c>
      <c r="T80" t="e">
        <v>#N/A</v>
      </c>
      <c r="U80" t="e">
        <v>#N/A</v>
      </c>
      <c r="V80" t="e">
        <v>#N/A</v>
      </c>
      <c r="X80" t="e">
        <v>#N/A</v>
      </c>
      <c r="Y80" t="e">
        <v>#N/A</v>
      </c>
      <c r="Z80" t="e">
        <v>#N/A</v>
      </c>
      <c r="AA80" t="e">
        <v>#N/A</v>
      </c>
      <c r="AC80" t="e">
        <v>#N/A</v>
      </c>
      <c r="AD80" t="e">
        <v>#N/A</v>
      </c>
      <c r="AE80" t="e">
        <v>#N/A</v>
      </c>
      <c r="AF80" t="e">
        <v>#N/A</v>
      </c>
      <c r="AH80" t="e">
        <v>#N/A</v>
      </c>
      <c r="AI80" t="e">
        <v>#N/A</v>
      </c>
      <c r="AJ80" t="e">
        <v>#N/A</v>
      </c>
      <c r="AK80" t="e">
        <v>#N/A</v>
      </c>
      <c r="AM80" t="e">
        <v>#N/A</v>
      </c>
      <c r="AN80" t="e">
        <v>#N/A</v>
      </c>
      <c r="AO80" t="e">
        <v>#N/A</v>
      </c>
      <c r="AP80" t="e">
        <v>#N/A</v>
      </c>
      <c r="AR80" t="s">
        <v>4739</v>
      </c>
      <c r="AS80" t="s">
        <v>4739</v>
      </c>
      <c r="AT80" t="s">
        <v>4739</v>
      </c>
      <c r="AU80" t="s">
        <v>10</v>
      </c>
    </row>
    <row r="81" spans="1:47">
      <c r="A81" t="s">
        <v>2949</v>
      </c>
      <c r="B81" t="s">
        <v>2950</v>
      </c>
      <c r="C81" t="s">
        <v>17</v>
      </c>
      <c r="D81" t="s">
        <v>2952</v>
      </c>
      <c r="E81" t="s">
        <v>2953</v>
      </c>
      <c r="F81" t="s">
        <v>2954</v>
      </c>
      <c r="G81" t="s">
        <v>4753</v>
      </c>
      <c r="H81" t="s">
        <v>531</v>
      </c>
      <c r="I81" t="e">
        <v>#N/A</v>
      </c>
      <c r="J81" t="e">
        <v>#N/A</v>
      </c>
      <c r="K81" t="e">
        <v>#N/A</v>
      </c>
      <c r="L81" t="e">
        <v>#N/A</v>
      </c>
      <c r="N81" t="e">
        <v>#N/A</v>
      </c>
      <c r="O81" t="e">
        <v>#N/A</v>
      </c>
      <c r="P81" t="e">
        <v>#N/A</v>
      </c>
      <c r="Q81" t="e">
        <v>#N/A</v>
      </c>
      <c r="S81" t="e">
        <v>#N/A</v>
      </c>
      <c r="T81" t="e">
        <v>#N/A</v>
      </c>
      <c r="U81" t="e">
        <v>#N/A</v>
      </c>
      <c r="V81" t="e">
        <v>#N/A</v>
      </c>
      <c r="X81" t="e">
        <v>#N/A</v>
      </c>
      <c r="Y81" t="e">
        <v>#N/A</v>
      </c>
      <c r="Z81" t="e">
        <v>#N/A</v>
      </c>
      <c r="AA81" t="e">
        <v>#N/A</v>
      </c>
      <c r="AC81" t="e">
        <v>#N/A</v>
      </c>
      <c r="AD81" t="e">
        <v>#N/A</v>
      </c>
      <c r="AE81" t="e">
        <v>#N/A</v>
      </c>
      <c r="AF81" t="e">
        <v>#N/A</v>
      </c>
      <c r="AH81" t="e">
        <v>#N/A</v>
      </c>
      <c r="AI81" t="e">
        <v>#N/A</v>
      </c>
      <c r="AJ81" t="e">
        <v>#N/A</v>
      </c>
      <c r="AK81" t="e">
        <v>#N/A</v>
      </c>
      <c r="AM81" t="e">
        <v>#N/A</v>
      </c>
      <c r="AN81" t="e">
        <v>#N/A</v>
      </c>
      <c r="AO81" t="e">
        <v>#N/A</v>
      </c>
      <c r="AP81" t="e">
        <v>#N/A</v>
      </c>
      <c r="AR81" t="s">
        <v>4739</v>
      </c>
      <c r="AS81" t="s">
        <v>4739</v>
      </c>
      <c r="AT81" t="s">
        <v>4739</v>
      </c>
      <c r="AU81" t="s">
        <v>10</v>
      </c>
    </row>
    <row r="82" spans="1:47">
      <c r="A82" t="s">
        <v>2956</v>
      </c>
      <c r="B82" t="s">
        <v>2957</v>
      </c>
      <c r="C82" t="s">
        <v>17</v>
      </c>
      <c r="D82" t="s">
        <v>536</v>
      </c>
      <c r="E82" t="s">
        <v>537</v>
      </c>
      <c r="F82" t="s">
        <v>538</v>
      </c>
      <c r="G82" t="s">
        <v>4750</v>
      </c>
      <c r="H82" t="s">
        <v>539</v>
      </c>
      <c r="I82">
        <v>343</v>
      </c>
      <c r="J82">
        <v>0.72994254096616296</v>
      </c>
      <c r="K82">
        <v>4.2869999999999999</v>
      </c>
      <c r="L82" t="s">
        <v>4738</v>
      </c>
      <c r="N82">
        <v>399.9</v>
      </c>
      <c r="O82">
        <v>0.85103213449670101</v>
      </c>
      <c r="P82">
        <v>30.64</v>
      </c>
      <c r="Q82" t="s">
        <v>4738</v>
      </c>
      <c r="S82">
        <v>334.8</v>
      </c>
      <c r="T82">
        <v>0.71249201957863395</v>
      </c>
      <c r="U82">
        <v>2.3420000000000001</v>
      </c>
      <c r="V82" t="s">
        <v>4738</v>
      </c>
      <c r="X82">
        <v>325.7</v>
      </c>
      <c r="Y82">
        <v>0.693126197063205</v>
      </c>
      <c r="Z82">
        <v>2.41</v>
      </c>
      <c r="AA82" t="s">
        <v>4740</v>
      </c>
      <c r="AC82">
        <v>364.8</v>
      </c>
      <c r="AD82">
        <v>0.77633539050861899</v>
      </c>
      <c r="AE82">
        <v>6.7539999999999996</v>
      </c>
      <c r="AF82" t="s">
        <v>4738</v>
      </c>
      <c r="AH82">
        <v>439.5</v>
      </c>
      <c r="AI82">
        <v>0.93530538412428199</v>
      </c>
      <c r="AJ82">
        <v>150.19999999999999</v>
      </c>
      <c r="AK82" t="s">
        <v>4738</v>
      </c>
      <c r="AM82">
        <v>430.8</v>
      </c>
      <c r="AN82">
        <v>0.916790806554586</v>
      </c>
      <c r="AO82">
        <v>234.3</v>
      </c>
      <c r="AP82" t="s">
        <v>4738</v>
      </c>
      <c r="AR82" t="s">
        <v>4739</v>
      </c>
      <c r="AS82" t="s">
        <v>4739</v>
      </c>
      <c r="AT82" t="s">
        <v>4739</v>
      </c>
      <c r="AU82" t="s">
        <v>10</v>
      </c>
    </row>
    <row r="83" spans="1:47">
      <c r="A83" t="s">
        <v>2959</v>
      </c>
      <c r="B83" t="s">
        <v>2960</v>
      </c>
      <c r="C83" t="s">
        <v>17</v>
      </c>
      <c r="D83" t="s">
        <v>544</v>
      </c>
      <c r="E83" t="s">
        <v>545</v>
      </c>
      <c r="F83" t="s">
        <v>546</v>
      </c>
      <c r="G83" t="s">
        <v>4750</v>
      </c>
      <c r="H83" t="s">
        <v>547</v>
      </c>
      <c r="I83">
        <v>354.7</v>
      </c>
      <c r="J83">
        <v>0.75484145562885696</v>
      </c>
      <c r="K83">
        <v>4.5129999999999999</v>
      </c>
      <c r="L83" t="s">
        <v>4738</v>
      </c>
      <c r="N83">
        <v>402.5</v>
      </c>
      <c r="O83">
        <v>0.85656522664396695</v>
      </c>
      <c r="P83">
        <v>33.61</v>
      </c>
      <c r="Q83" t="s">
        <v>4738</v>
      </c>
      <c r="S83">
        <v>335.1</v>
      </c>
      <c r="T83">
        <v>0.71313045328793401</v>
      </c>
      <c r="U83">
        <v>2.8450000000000002</v>
      </c>
      <c r="V83" t="s">
        <v>4738</v>
      </c>
      <c r="X83">
        <v>322.5</v>
      </c>
      <c r="Y83">
        <v>0.68631623749734005</v>
      </c>
      <c r="Z83">
        <v>2.1640000000000001</v>
      </c>
      <c r="AA83" t="s">
        <v>4740</v>
      </c>
      <c r="AC83">
        <v>397.3</v>
      </c>
      <c r="AD83">
        <v>0.84549904234943596</v>
      </c>
      <c r="AE83">
        <v>14.66</v>
      </c>
      <c r="AF83" t="s">
        <v>4738</v>
      </c>
      <c r="AH83">
        <v>450.9</v>
      </c>
      <c r="AI83">
        <v>0.95956586507767605</v>
      </c>
      <c r="AJ83">
        <v>290.39999999999998</v>
      </c>
      <c r="AK83" t="s">
        <v>4738</v>
      </c>
      <c r="AM83">
        <v>435.9</v>
      </c>
      <c r="AN83">
        <v>0.92764417961268397</v>
      </c>
      <c r="AO83">
        <v>146.69999999999999</v>
      </c>
      <c r="AP83" t="s">
        <v>4738</v>
      </c>
      <c r="AR83" t="s">
        <v>4739</v>
      </c>
      <c r="AS83" t="s">
        <v>4739</v>
      </c>
      <c r="AT83" t="s">
        <v>4739</v>
      </c>
      <c r="AU83" t="s">
        <v>10</v>
      </c>
    </row>
    <row r="84" spans="1:47">
      <c r="A84" t="s">
        <v>2962</v>
      </c>
      <c r="B84" t="s">
        <v>2963</v>
      </c>
      <c r="C84" t="s">
        <v>17</v>
      </c>
      <c r="D84" t="s">
        <v>552</v>
      </c>
      <c r="E84" t="s">
        <v>553</v>
      </c>
      <c r="F84" t="s">
        <v>554</v>
      </c>
      <c r="G84" t="s">
        <v>4750</v>
      </c>
      <c r="H84" t="s">
        <v>555</v>
      </c>
      <c r="I84">
        <v>293.2</v>
      </c>
      <c r="J84">
        <v>0.62396254522238803</v>
      </c>
      <c r="K84">
        <v>0.97489999999999999</v>
      </c>
      <c r="L84" t="s">
        <v>4740</v>
      </c>
      <c r="N84">
        <v>399.3</v>
      </c>
      <c r="O84">
        <v>0.84975526707810201</v>
      </c>
      <c r="P84">
        <v>31.23</v>
      </c>
      <c r="Q84" t="s">
        <v>4738</v>
      </c>
      <c r="S84">
        <v>319.10000000000002</v>
      </c>
      <c r="T84">
        <v>0.67908065545860796</v>
      </c>
      <c r="U84">
        <v>1.5309999999999999</v>
      </c>
      <c r="V84" t="s">
        <v>4740</v>
      </c>
      <c r="X84">
        <v>321.5</v>
      </c>
      <c r="Y84">
        <v>0.68418812513300697</v>
      </c>
      <c r="Z84">
        <v>1.786</v>
      </c>
      <c r="AA84" t="s">
        <v>4740</v>
      </c>
      <c r="AC84">
        <v>400.6</v>
      </c>
      <c r="AD84">
        <v>0.85252181315173403</v>
      </c>
      <c r="AE84">
        <v>28.73</v>
      </c>
      <c r="AF84" t="s">
        <v>4738</v>
      </c>
      <c r="AH84">
        <v>432.1</v>
      </c>
      <c r="AI84">
        <v>0.91955735262821903</v>
      </c>
      <c r="AJ84">
        <v>129.80000000000001</v>
      </c>
      <c r="AK84" t="s">
        <v>4738</v>
      </c>
      <c r="AM84">
        <v>432.1</v>
      </c>
      <c r="AN84">
        <v>0.91955735262821903</v>
      </c>
      <c r="AO84">
        <v>106.6</v>
      </c>
      <c r="AP84" t="s">
        <v>4738</v>
      </c>
      <c r="AR84" t="s">
        <v>4739</v>
      </c>
      <c r="AS84" t="s">
        <v>4739</v>
      </c>
      <c r="AT84" t="s">
        <v>4739</v>
      </c>
      <c r="AU84" t="s">
        <v>10</v>
      </c>
    </row>
    <row r="85" spans="1:47">
      <c r="A85" t="s">
        <v>2965</v>
      </c>
      <c r="B85" t="s">
        <v>2966</v>
      </c>
      <c r="C85" t="s">
        <v>17</v>
      </c>
      <c r="D85" t="s">
        <v>560</v>
      </c>
      <c r="E85" t="s">
        <v>561</v>
      </c>
      <c r="F85" t="s">
        <v>562</v>
      </c>
      <c r="G85" t="s">
        <v>4751</v>
      </c>
      <c r="H85" t="s">
        <v>539</v>
      </c>
      <c r="I85">
        <v>343</v>
      </c>
      <c r="J85">
        <v>0.72994254096616296</v>
      </c>
      <c r="K85">
        <v>4.2869999999999999</v>
      </c>
      <c r="L85" t="s">
        <v>4738</v>
      </c>
      <c r="N85">
        <v>399.9</v>
      </c>
      <c r="O85">
        <v>0.85103213449670101</v>
      </c>
      <c r="P85">
        <v>30.64</v>
      </c>
      <c r="Q85" t="s">
        <v>4738</v>
      </c>
      <c r="S85">
        <v>334.8</v>
      </c>
      <c r="T85">
        <v>0.71249201957863395</v>
      </c>
      <c r="U85">
        <v>2.3420000000000001</v>
      </c>
      <c r="V85" t="s">
        <v>4738</v>
      </c>
      <c r="X85">
        <v>325.7</v>
      </c>
      <c r="Y85">
        <v>0.693126197063205</v>
      </c>
      <c r="Z85">
        <v>2.41</v>
      </c>
      <c r="AA85" t="s">
        <v>4740</v>
      </c>
      <c r="AC85">
        <v>364.8</v>
      </c>
      <c r="AD85">
        <v>0.77633539050861899</v>
      </c>
      <c r="AE85">
        <v>6.7539999999999996</v>
      </c>
      <c r="AF85" t="s">
        <v>4738</v>
      </c>
      <c r="AH85">
        <v>439.5</v>
      </c>
      <c r="AI85">
        <v>0.93530538412428199</v>
      </c>
      <c r="AJ85">
        <v>150.19999999999999</v>
      </c>
      <c r="AK85" t="s">
        <v>4738</v>
      </c>
      <c r="AM85">
        <v>430.8</v>
      </c>
      <c r="AN85">
        <v>0.916790806554586</v>
      </c>
      <c r="AO85">
        <v>234.3</v>
      </c>
      <c r="AP85" t="s">
        <v>4738</v>
      </c>
      <c r="AR85" t="s">
        <v>4739</v>
      </c>
      <c r="AS85" t="s">
        <v>4739</v>
      </c>
      <c r="AT85" t="s">
        <v>4739</v>
      </c>
      <c r="AU85" t="s">
        <v>10</v>
      </c>
    </row>
    <row r="86" spans="1:47">
      <c r="A86" t="s">
        <v>2968</v>
      </c>
      <c r="B86" t="s">
        <v>2969</v>
      </c>
      <c r="C86" t="s">
        <v>17</v>
      </c>
      <c r="D86" t="s">
        <v>567</v>
      </c>
      <c r="E86" t="s">
        <v>568</v>
      </c>
      <c r="F86" t="s">
        <v>569</v>
      </c>
      <c r="G86" t="s">
        <v>4751</v>
      </c>
      <c r="H86" t="s">
        <v>547</v>
      </c>
      <c r="I86">
        <v>354.7</v>
      </c>
      <c r="J86">
        <v>0.75484145562885696</v>
      </c>
      <c r="K86">
        <v>4.5129999999999999</v>
      </c>
      <c r="L86" t="s">
        <v>4738</v>
      </c>
      <c r="N86">
        <v>402.5</v>
      </c>
      <c r="O86">
        <v>0.85656522664396695</v>
      </c>
      <c r="P86">
        <v>33.61</v>
      </c>
      <c r="Q86" t="s">
        <v>4738</v>
      </c>
      <c r="S86">
        <v>335.1</v>
      </c>
      <c r="T86">
        <v>0.71313045328793401</v>
      </c>
      <c r="U86">
        <v>2.8450000000000002</v>
      </c>
      <c r="V86" t="s">
        <v>4738</v>
      </c>
      <c r="X86">
        <v>322.5</v>
      </c>
      <c r="Y86">
        <v>0.68631623749734005</v>
      </c>
      <c r="Z86">
        <v>2.1640000000000001</v>
      </c>
      <c r="AA86" t="s">
        <v>4740</v>
      </c>
      <c r="AC86">
        <v>397.3</v>
      </c>
      <c r="AD86">
        <v>0.84549904234943596</v>
      </c>
      <c r="AE86">
        <v>14.66</v>
      </c>
      <c r="AF86" t="s">
        <v>4738</v>
      </c>
      <c r="AH86">
        <v>450.9</v>
      </c>
      <c r="AI86">
        <v>0.95956586507767605</v>
      </c>
      <c r="AJ86">
        <v>290.39999999999998</v>
      </c>
      <c r="AK86" t="s">
        <v>4738</v>
      </c>
      <c r="AM86">
        <v>435.9</v>
      </c>
      <c r="AN86">
        <v>0.92764417961268397</v>
      </c>
      <c r="AO86">
        <v>146.69999999999999</v>
      </c>
      <c r="AP86" t="s">
        <v>4738</v>
      </c>
      <c r="AR86" t="s">
        <v>4739</v>
      </c>
      <c r="AS86" t="s">
        <v>4739</v>
      </c>
      <c r="AT86" t="s">
        <v>4739</v>
      </c>
      <c r="AU86" t="s">
        <v>10</v>
      </c>
    </row>
    <row r="87" spans="1:47">
      <c r="A87" t="s">
        <v>2971</v>
      </c>
      <c r="B87" t="s">
        <v>2972</v>
      </c>
      <c r="C87" t="s">
        <v>17</v>
      </c>
      <c r="D87" t="s">
        <v>574</v>
      </c>
      <c r="E87" t="s">
        <v>575</v>
      </c>
      <c r="F87" t="s">
        <v>576</v>
      </c>
      <c r="G87" t="s">
        <v>4751</v>
      </c>
      <c r="H87" t="s">
        <v>555</v>
      </c>
      <c r="I87">
        <v>293.2</v>
      </c>
      <c r="J87">
        <v>0.62396254522238803</v>
      </c>
      <c r="K87">
        <v>0.97489999999999999</v>
      </c>
      <c r="L87" t="s">
        <v>4740</v>
      </c>
      <c r="N87">
        <v>399.3</v>
      </c>
      <c r="O87">
        <v>0.84975526707810201</v>
      </c>
      <c r="P87">
        <v>31.23</v>
      </c>
      <c r="Q87" t="s">
        <v>4738</v>
      </c>
      <c r="S87">
        <v>319.10000000000002</v>
      </c>
      <c r="T87">
        <v>0.67908065545860796</v>
      </c>
      <c r="U87">
        <v>1.5309999999999999</v>
      </c>
      <c r="V87" t="s">
        <v>4740</v>
      </c>
      <c r="X87">
        <v>321.5</v>
      </c>
      <c r="Y87">
        <v>0.68418812513300697</v>
      </c>
      <c r="Z87">
        <v>1.786</v>
      </c>
      <c r="AA87" t="s">
        <v>4740</v>
      </c>
      <c r="AC87">
        <v>400.6</v>
      </c>
      <c r="AD87">
        <v>0.85252181315173403</v>
      </c>
      <c r="AE87">
        <v>28.73</v>
      </c>
      <c r="AF87" t="s">
        <v>4738</v>
      </c>
      <c r="AH87">
        <v>432.1</v>
      </c>
      <c r="AI87">
        <v>0.91955735262821903</v>
      </c>
      <c r="AJ87">
        <v>129.80000000000001</v>
      </c>
      <c r="AK87" t="s">
        <v>4738</v>
      </c>
      <c r="AM87">
        <v>432.1</v>
      </c>
      <c r="AN87">
        <v>0.91955735262821903</v>
      </c>
      <c r="AO87">
        <v>106.6</v>
      </c>
      <c r="AP87" t="s">
        <v>4738</v>
      </c>
      <c r="AR87" t="s">
        <v>4739</v>
      </c>
      <c r="AS87" t="s">
        <v>4739</v>
      </c>
      <c r="AT87" t="s">
        <v>4739</v>
      </c>
      <c r="AU87" t="s">
        <v>10</v>
      </c>
    </row>
    <row r="88" spans="1:47">
      <c r="A88" t="s">
        <v>2974</v>
      </c>
      <c r="B88" t="s">
        <v>2975</v>
      </c>
      <c r="C88" t="s">
        <v>17</v>
      </c>
      <c r="D88" t="s">
        <v>613</v>
      </c>
      <c r="E88" t="s">
        <v>614</v>
      </c>
      <c r="F88" t="s">
        <v>615</v>
      </c>
      <c r="G88" t="s">
        <v>4751</v>
      </c>
      <c r="H88" t="s">
        <v>593</v>
      </c>
      <c r="I88">
        <v>323.60000000000002</v>
      </c>
      <c r="J88">
        <v>0.68865716109810604</v>
      </c>
      <c r="K88">
        <v>2.0539999999999998</v>
      </c>
      <c r="L88" t="s">
        <v>4740</v>
      </c>
      <c r="N88">
        <v>338.4</v>
      </c>
      <c r="O88">
        <v>0.72015322409023197</v>
      </c>
      <c r="P88">
        <v>6.0810000000000004</v>
      </c>
      <c r="Q88" t="s">
        <v>4738</v>
      </c>
      <c r="S88">
        <v>339.6</v>
      </c>
      <c r="T88">
        <v>0.72270695892743098</v>
      </c>
      <c r="U88">
        <v>6.6840000000000002</v>
      </c>
      <c r="V88" t="s">
        <v>4738</v>
      </c>
      <c r="X88">
        <v>365.8</v>
      </c>
      <c r="Y88">
        <v>0.77846350287295196</v>
      </c>
      <c r="Z88">
        <v>8.532</v>
      </c>
      <c r="AA88" t="s">
        <v>4738</v>
      </c>
      <c r="AC88">
        <v>360.6</v>
      </c>
      <c r="AD88">
        <v>0.76739731857842097</v>
      </c>
      <c r="AE88">
        <v>8.1560000000000006</v>
      </c>
      <c r="AF88" t="s">
        <v>4738</v>
      </c>
      <c r="AH88">
        <v>409.9</v>
      </c>
      <c r="AI88">
        <v>0.87231325814003002</v>
      </c>
      <c r="AJ88">
        <v>117.1</v>
      </c>
      <c r="AK88" t="s">
        <v>4738</v>
      </c>
      <c r="AM88">
        <v>435</v>
      </c>
      <c r="AN88">
        <v>0.92572887848478402</v>
      </c>
      <c r="AO88">
        <v>127.6</v>
      </c>
      <c r="AP88" t="s">
        <v>4738</v>
      </c>
      <c r="AR88" t="s">
        <v>10</v>
      </c>
      <c r="AS88" t="s">
        <v>4739</v>
      </c>
      <c r="AT88" t="s">
        <v>4739</v>
      </c>
      <c r="AU88" t="s">
        <v>4739</v>
      </c>
    </row>
    <row r="89" spans="1:47">
      <c r="A89" t="s">
        <v>2977</v>
      </c>
      <c r="B89" t="s">
        <v>2978</v>
      </c>
      <c r="C89" t="s">
        <v>17</v>
      </c>
      <c r="D89" t="s">
        <v>598</v>
      </c>
      <c r="E89" t="s">
        <v>599</v>
      </c>
      <c r="F89" t="s">
        <v>600</v>
      </c>
      <c r="G89" t="s">
        <v>4750</v>
      </c>
      <c r="H89" t="s">
        <v>601</v>
      </c>
      <c r="I89">
        <v>282.60000000000002</v>
      </c>
      <c r="J89">
        <v>0.60140455416046001</v>
      </c>
      <c r="K89">
        <v>0.73580000000000001</v>
      </c>
      <c r="L89" t="s">
        <v>4740</v>
      </c>
      <c r="N89">
        <v>305.39999999999998</v>
      </c>
      <c r="O89">
        <v>0.64992551606724802</v>
      </c>
      <c r="P89">
        <v>1.0669999999999999</v>
      </c>
      <c r="Q89" t="s">
        <v>4740</v>
      </c>
      <c r="S89">
        <v>331.6</v>
      </c>
      <c r="T89">
        <v>0.70568206001276901</v>
      </c>
      <c r="U89">
        <v>2.746</v>
      </c>
      <c r="V89" t="s">
        <v>4738</v>
      </c>
      <c r="X89">
        <v>339</v>
      </c>
      <c r="Y89">
        <v>0.72143009150883197</v>
      </c>
      <c r="Z89">
        <v>4.0970000000000004</v>
      </c>
      <c r="AA89" t="s">
        <v>4738</v>
      </c>
      <c r="AC89">
        <v>321.89999999999998</v>
      </c>
      <c r="AD89">
        <v>0.68503937007874005</v>
      </c>
      <c r="AE89">
        <v>1.8879999999999999</v>
      </c>
      <c r="AF89" t="s">
        <v>4740</v>
      </c>
      <c r="AH89">
        <v>417.9</v>
      </c>
      <c r="AI89">
        <v>0.88933815705469199</v>
      </c>
      <c r="AJ89">
        <v>92.75</v>
      </c>
      <c r="AK89" t="s">
        <v>4738</v>
      </c>
      <c r="AM89">
        <v>401.9</v>
      </c>
      <c r="AN89">
        <v>0.85528835922536695</v>
      </c>
      <c r="AO89">
        <v>116.4</v>
      </c>
      <c r="AP89" t="s">
        <v>4738</v>
      </c>
      <c r="AR89" t="s">
        <v>10</v>
      </c>
      <c r="AS89" t="s">
        <v>4739</v>
      </c>
      <c r="AT89" t="s">
        <v>4739</v>
      </c>
      <c r="AU89" t="s">
        <v>4739</v>
      </c>
    </row>
    <row r="90" spans="1:47">
      <c r="A90" t="s">
        <v>2980</v>
      </c>
      <c r="B90" t="s">
        <v>2981</v>
      </c>
      <c r="C90" t="s">
        <v>17</v>
      </c>
      <c r="D90" t="s">
        <v>620</v>
      </c>
      <c r="E90" t="s">
        <v>621</v>
      </c>
      <c r="F90" t="s">
        <v>622</v>
      </c>
      <c r="G90" t="s">
        <v>4751</v>
      </c>
      <c r="H90" t="s">
        <v>601</v>
      </c>
      <c r="I90">
        <v>282.60000000000002</v>
      </c>
      <c r="J90">
        <v>0.60140455416046001</v>
      </c>
      <c r="K90">
        <v>0.73580000000000001</v>
      </c>
      <c r="L90" t="s">
        <v>4740</v>
      </c>
      <c r="N90">
        <v>305.39999999999998</v>
      </c>
      <c r="O90">
        <v>0.64992551606724802</v>
      </c>
      <c r="P90">
        <v>1.0669999999999999</v>
      </c>
      <c r="Q90" t="s">
        <v>4740</v>
      </c>
      <c r="S90">
        <v>331.6</v>
      </c>
      <c r="T90">
        <v>0.70568206001276901</v>
      </c>
      <c r="U90">
        <v>2.746</v>
      </c>
      <c r="V90" t="s">
        <v>4738</v>
      </c>
      <c r="X90">
        <v>339</v>
      </c>
      <c r="Y90">
        <v>0.72143009150883197</v>
      </c>
      <c r="Z90">
        <v>4.0970000000000004</v>
      </c>
      <c r="AA90" t="s">
        <v>4738</v>
      </c>
      <c r="AC90">
        <v>321.89999999999998</v>
      </c>
      <c r="AD90">
        <v>0.68503937007874005</v>
      </c>
      <c r="AE90">
        <v>1.8879999999999999</v>
      </c>
      <c r="AF90" t="s">
        <v>4740</v>
      </c>
      <c r="AH90">
        <v>417.9</v>
      </c>
      <c r="AI90">
        <v>0.88933815705469199</v>
      </c>
      <c r="AJ90">
        <v>92.75</v>
      </c>
      <c r="AK90" t="s">
        <v>4738</v>
      </c>
      <c r="AM90">
        <v>401.9</v>
      </c>
      <c r="AN90">
        <v>0.85528835922536695</v>
      </c>
      <c r="AO90">
        <v>116.4</v>
      </c>
      <c r="AP90" t="s">
        <v>4738</v>
      </c>
      <c r="AR90" t="s">
        <v>10</v>
      </c>
      <c r="AS90" t="s">
        <v>4739</v>
      </c>
      <c r="AT90" t="s">
        <v>4739</v>
      </c>
      <c r="AU90" t="s">
        <v>4739</v>
      </c>
    </row>
    <row r="91" spans="1:47">
      <c r="A91" t="s">
        <v>2983</v>
      </c>
      <c r="B91" t="s">
        <v>2984</v>
      </c>
      <c r="C91" t="s">
        <v>17</v>
      </c>
      <c r="D91" t="s">
        <v>643</v>
      </c>
      <c r="E91" t="s">
        <v>644</v>
      </c>
      <c r="F91" t="s">
        <v>645</v>
      </c>
      <c r="G91" t="s">
        <v>4750</v>
      </c>
      <c r="H91" t="s">
        <v>646</v>
      </c>
      <c r="I91">
        <v>334.1</v>
      </c>
      <c r="J91">
        <v>0.71100234092360104</v>
      </c>
      <c r="K91">
        <v>2.7839999999999998</v>
      </c>
      <c r="L91" t="s">
        <v>4738</v>
      </c>
      <c r="N91">
        <v>302.89999999999998</v>
      </c>
      <c r="O91">
        <v>0.64460523515641599</v>
      </c>
      <c r="P91">
        <v>1.3839999999999999</v>
      </c>
      <c r="Q91" t="s">
        <v>4740</v>
      </c>
      <c r="S91">
        <v>317.5</v>
      </c>
      <c r="T91">
        <v>0.67567567567567599</v>
      </c>
      <c r="U91">
        <v>1.772</v>
      </c>
      <c r="V91" t="s">
        <v>4740</v>
      </c>
      <c r="X91">
        <v>330.5</v>
      </c>
      <c r="Y91">
        <v>0.70334113641200302</v>
      </c>
      <c r="Z91">
        <v>2.1589999999999998</v>
      </c>
      <c r="AA91" t="s">
        <v>4738</v>
      </c>
      <c r="AC91">
        <v>310.2</v>
      </c>
      <c r="AD91">
        <v>0.66014045541604605</v>
      </c>
      <c r="AE91">
        <v>1.387</v>
      </c>
      <c r="AF91" t="s">
        <v>4740</v>
      </c>
      <c r="AH91">
        <v>412.1</v>
      </c>
      <c r="AI91">
        <v>0.876995105341562</v>
      </c>
      <c r="AJ91">
        <v>135</v>
      </c>
      <c r="AK91" t="s">
        <v>4738</v>
      </c>
      <c r="AM91">
        <v>455.1</v>
      </c>
      <c r="AN91">
        <v>0.96850393700787396</v>
      </c>
      <c r="AO91">
        <v>240.9</v>
      </c>
      <c r="AP91" t="s">
        <v>4738</v>
      </c>
      <c r="AR91" t="s">
        <v>4739</v>
      </c>
      <c r="AS91" t="s">
        <v>10</v>
      </c>
      <c r="AT91" t="s">
        <v>4739</v>
      </c>
      <c r="AU91" t="s">
        <v>4739</v>
      </c>
    </row>
    <row r="92" spans="1:47">
      <c r="A92" t="s">
        <v>2986</v>
      </c>
      <c r="B92" t="s">
        <v>2987</v>
      </c>
      <c r="C92" t="s">
        <v>17</v>
      </c>
      <c r="D92" t="s">
        <v>651</v>
      </c>
      <c r="E92" t="s">
        <v>652</v>
      </c>
      <c r="F92" t="s">
        <v>653</v>
      </c>
      <c r="G92" t="s">
        <v>4750</v>
      </c>
      <c r="H92" t="s">
        <v>654</v>
      </c>
      <c r="I92">
        <v>301.5</v>
      </c>
      <c r="J92">
        <v>0.64162587784634995</v>
      </c>
      <c r="K92">
        <v>1.0029999999999999</v>
      </c>
      <c r="L92" t="s">
        <v>4740</v>
      </c>
      <c r="N92">
        <v>317.3</v>
      </c>
      <c r="O92">
        <v>0.67525005320280895</v>
      </c>
      <c r="P92">
        <v>2.004</v>
      </c>
      <c r="Q92" t="s">
        <v>4740</v>
      </c>
      <c r="S92">
        <v>350.5</v>
      </c>
      <c r="T92">
        <v>0.74590338369865905</v>
      </c>
      <c r="U92">
        <v>5.5090000000000003</v>
      </c>
      <c r="V92" t="s">
        <v>4738</v>
      </c>
      <c r="X92">
        <v>346.8</v>
      </c>
      <c r="Y92">
        <v>0.73802936795062801</v>
      </c>
      <c r="Z92">
        <v>4.806</v>
      </c>
      <c r="AA92" t="s">
        <v>4738</v>
      </c>
      <c r="AC92">
        <v>350</v>
      </c>
      <c r="AD92">
        <v>0.74483932751649296</v>
      </c>
      <c r="AE92">
        <v>5.8979999999999997</v>
      </c>
      <c r="AF92" t="s">
        <v>4738</v>
      </c>
      <c r="AH92">
        <v>427.5</v>
      </c>
      <c r="AI92">
        <v>0.90976803575228804</v>
      </c>
      <c r="AJ92">
        <v>137.6</v>
      </c>
      <c r="AK92" t="s">
        <v>4738</v>
      </c>
      <c r="AM92">
        <v>434.5</v>
      </c>
      <c r="AN92">
        <v>0.92466482230261804</v>
      </c>
      <c r="AO92">
        <v>183.1</v>
      </c>
      <c r="AP92" t="s">
        <v>4738</v>
      </c>
      <c r="AR92" t="s">
        <v>4739</v>
      </c>
      <c r="AS92" t="s">
        <v>10</v>
      </c>
      <c r="AT92" t="s">
        <v>4739</v>
      </c>
      <c r="AU92" t="s">
        <v>4739</v>
      </c>
    </row>
    <row r="93" spans="1:47">
      <c r="A93" t="s">
        <v>2989</v>
      </c>
      <c r="B93" t="s">
        <v>2990</v>
      </c>
      <c r="C93" t="s">
        <v>17</v>
      </c>
      <c r="D93" t="s">
        <v>666</v>
      </c>
      <c r="E93" t="s">
        <v>667</v>
      </c>
      <c r="F93" t="s">
        <v>668</v>
      </c>
      <c r="G93" t="s">
        <v>4751</v>
      </c>
      <c r="H93" t="s">
        <v>646</v>
      </c>
      <c r="I93">
        <v>334.1</v>
      </c>
      <c r="J93">
        <v>0.71100234092360104</v>
      </c>
      <c r="K93">
        <v>2.7839999999999998</v>
      </c>
      <c r="L93" t="s">
        <v>4738</v>
      </c>
      <c r="N93">
        <v>302.89999999999998</v>
      </c>
      <c r="O93">
        <v>0.64460523515641599</v>
      </c>
      <c r="P93">
        <v>1.3839999999999999</v>
      </c>
      <c r="Q93" t="s">
        <v>4740</v>
      </c>
      <c r="S93">
        <v>317.5</v>
      </c>
      <c r="T93">
        <v>0.67567567567567599</v>
      </c>
      <c r="U93">
        <v>1.772</v>
      </c>
      <c r="V93" t="s">
        <v>4740</v>
      </c>
      <c r="X93">
        <v>330.5</v>
      </c>
      <c r="Y93">
        <v>0.70334113641200302</v>
      </c>
      <c r="Z93">
        <v>2.1589999999999998</v>
      </c>
      <c r="AA93" t="s">
        <v>4738</v>
      </c>
      <c r="AC93">
        <v>310.2</v>
      </c>
      <c r="AD93">
        <v>0.66014045541604605</v>
      </c>
      <c r="AE93">
        <v>1.387</v>
      </c>
      <c r="AF93" t="s">
        <v>4740</v>
      </c>
      <c r="AH93">
        <v>412.1</v>
      </c>
      <c r="AI93">
        <v>0.876995105341562</v>
      </c>
      <c r="AJ93">
        <v>135</v>
      </c>
      <c r="AK93" t="s">
        <v>4738</v>
      </c>
      <c r="AM93">
        <v>455.1</v>
      </c>
      <c r="AN93">
        <v>0.96850393700787396</v>
      </c>
      <c r="AO93">
        <v>240.9</v>
      </c>
      <c r="AP93" t="s">
        <v>4738</v>
      </c>
      <c r="AR93" t="s">
        <v>4739</v>
      </c>
      <c r="AS93" t="s">
        <v>10</v>
      </c>
      <c r="AT93" t="s">
        <v>4739</v>
      </c>
      <c r="AU93" t="s">
        <v>4739</v>
      </c>
    </row>
    <row r="94" spans="1:47">
      <c r="A94" t="s">
        <v>2992</v>
      </c>
      <c r="B94" t="s">
        <v>2993</v>
      </c>
      <c r="C94" t="s">
        <v>17</v>
      </c>
      <c r="D94" t="s">
        <v>673</v>
      </c>
      <c r="E94" t="s">
        <v>674</v>
      </c>
      <c r="F94" t="s">
        <v>675</v>
      </c>
      <c r="G94" t="s">
        <v>4751</v>
      </c>
      <c r="H94" t="s">
        <v>654</v>
      </c>
      <c r="I94">
        <v>301.5</v>
      </c>
      <c r="J94">
        <v>0.64162587784634995</v>
      </c>
      <c r="K94">
        <v>1.0029999999999999</v>
      </c>
      <c r="L94" t="s">
        <v>4740</v>
      </c>
      <c r="N94">
        <v>317.3</v>
      </c>
      <c r="O94">
        <v>0.67525005320280895</v>
      </c>
      <c r="P94">
        <v>2.004</v>
      </c>
      <c r="Q94" t="s">
        <v>4740</v>
      </c>
      <c r="S94">
        <v>350.5</v>
      </c>
      <c r="T94">
        <v>0.74590338369865905</v>
      </c>
      <c r="U94">
        <v>5.5090000000000003</v>
      </c>
      <c r="V94" t="s">
        <v>4738</v>
      </c>
      <c r="X94">
        <v>346.8</v>
      </c>
      <c r="Y94">
        <v>0.73802936795062801</v>
      </c>
      <c r="Z94">
        <v>4.806</v>
      </c>
      <c r="AA94" t="s">
        <v>4738</v>
      </c>
      <c r="AC94">
        <v>350</v>
      </c>
      <c r="AD94">
        <v>0.74483932751649296</v>
      </c>
      <c r="AE94">
        <v>5.8979999999999997</v>
      </c>
      <c r="AF94" t="s">
        <v>4738</v>
      </c>
      <c r="AH94">
        <v>427.5</v>
      </c>
      <c r="AI94">
        <v>0.90976803575228804</v>
      </c>
      <c r="AJ94">
        <v>137.6</v>
      </c>
      <c r="AK94" t="s">
        <v>4738</v>
      </c>
      <c r="AM94">
        <v>434.5</v>
      </c>
      <c r="AN94">
        <v>0.92466482230261804</v>
      </c>
      <c r="AO94">
        <v>183.1</v>
      </c>
      <c r="AP94" t="s">
        <v>4738</v>
      </c>
      <c r="AR94" t="s">
        <v>4739</v>
      </c>
      <c r="AS94" t="s">
        <v>10</v>
      </c>
      <c r="AT94" t="s">
        <v>4739</v>
      </c>
      <c r="AU94" t="s">
        <v>4739</v>
      </c>
    </row>
    <row r="95" spans="1:47">
      <c r="A95" t="s">
        <v>2995</v>
      </c>
      <c r="B95" t="s">
        <v>2996</v>
      </c>
      <c r="C95" t="s">
        <v>17</v>
      </c>
      <c r="D95" t="s">
        <v>634</v>
      </c>
      <c r="E95" t="s">
        <v>635</v>
      </c>
      <c r="F95" t="s">
        <v>636</v>
      </c>
      <c r="G95" t="s">
        <v>4750</v>
      </c>
      <c r="H95" t="s">
        <v>638</v>
      </c>
      <c r="I95">
        <v>296.5</v>
      </c>
      <c r="J95">
        <v>0.63098531602468599</v>
      </c>
      <c r="K95">
        <v>1.0920000000000001</v>
      </c>
      <c r="L95" t="s">
        <v>4740</v>
      </c>
      <c r="N95">
        <v>322.60000000000002</v>
      </c>
      <c r="O95">
        <v>0.68652904873377296</v>
      </c>
      <c r="P95">
        <v>1.9970000000000001</v>
      </c>
      <c r="Q95" t="s">
        <v>4740</v>
      </c>
      <c r="S95">
        <v>348.1</v>
      </c>
      <c r="T95">
        <v>0.74079591402426104</v>
      </c>
      <c r="U95">
        <v>6.258</v>
      </c>
      <c r="V95" t="s">
        <v>4738</v>
      </c>
      <c r="X95">
        <v>346.6</v>
      </c>
      <c r="Y95">
        <v>0.73760374547776097</v>
      </c>
      <c r="Z95">
        <v>5.38</v>
      </c>
      <c r="AA95" t="s">
        <v>4738</v>
      </c>
      <c r="AC95">
        <v>333.8</v>
      </c>
      <c r="AD95">
        <v>0.71036390721430098</v>
      </c>
      <c r="AE95">
        <v>3.9950000000000001</v>
      </c>
      <c r="AF95" t="s">
        <v>4738</v>
      </c>
      <c r="AH95">
        <v>424.7</v>
      </c>
      <c r="AI95">
        <v>0.90380932113215595</v>
      </c>
      <c r="AJ95">
        <v>152.9</v>
      </c>
      <c r="AK95" t="s">
        <v>4738</v>
      </c>
      <c r="AM95">
        <v>402</v>
      </c>
      <c r="AN95">
        <v>0.85550117046179996</v>
      </c>
      <c r="AO95">
        <v>159.80000000000001</v>
      </c>
      <c r="AP95" t="s">
        <v>4738</v>
      </c>
      <c r="AR95" t="s">
        <v>4739</v>
      </c>
      <c r="AS95" t="s">
        <v>10</v>
      </c>
      <c r="AT95" t="s">
        <v>4739</v>
      </c>
      <c r="AU95" t="s">
        <v>4739</v>
      </c>
    </row>
    <row r="96" spans="1:47">
      <c r="A96" t="s">
        <v>2998</v>
      </c>
      <c r="B96" t="s">
        <v>2999</v>
      </c>
      <c r="C96" t="s">
        <v>17</v>
      </c>
      <c r="D96" t="s">
        <v>659</v>
      </c>
      <c r="E96" t="s">
        <v>660</v>
      </c>
      <c r="F96" t="s">
        <v>661</v>
      </c>
      <c r="G96" t="s">
        <v>4751</v>
      </c>
      <c r="H96" t="s">
        <v>638</v>
      </c>
      <c r="I96">
        <v>296.5</v>
      </c>
      <c r="J96">
        <v>0.63098531602468599</v>
      </c>
      <c r="K96">
        <v>1.0920000000000001</v>
      </c>
      <c r="L96" t="s">
        <v>4740</v>
      </c>
      <c r="N96">
        <v>322.60000000000002</v>
      </c>
      <c r="O96">
        <v>0.68652904873377296</v>
      </c>
      <c r="P96">
        <v>1.9970000000000001</v>
      </c>
      <c r="Q96" t="s">
        <v>4740</v>
      </c>
      <c r="S96">
        <v>348.1</v>
      </c>
      <c r="T96">
        <v>0.74079591402426104</v>
      </c>
      <c r="U96">
        <v>6.258</v>
      </c>
      <c r="V96" t="s">
        <v>4738</v>
      </c>
      <c r="X96">
        <v>346.6</v>
      </c>
      <c r="Y96">
        <v>0.73760374547776097</v>
      </c>
      <c r="Z96">
        <v>5.38</v>
      </c>
      <c r="AA96" t="s">
        <v>4738</v>
      </c>
      <c r="AC96">
        <v>333.8</v>
      </c>
      <c r="AD96">
        <v>0.71036390721430098</v>
      </c>
      <c r="AE96">
        <v>3.9950000000000001</v>
      </c>
      <c r="AF96" t="s">
        <v>4738</v>
      </c>
      <c r="AH96">
        <v>424.7</v>
      </c>
      <c r="AI96">
        <v>0.90380932113215595</v>
      </c>
      <c r="AJ96">
        <v>152.9</v>
      </c>
      <c r="AK96" t="s">
        <v>4738</v>
      </c>
      <c r="AM96">
        <v>402</v>
      </c>
      <c r="AN96">
        <v>0.85550117046179996</v>
      </c>
      <c r="AO96">
        <v>159.80000000000001</v>
      </c>
      <c r="AP96" t="s">
        <v>4738</v>
      </c>
      <c r="AR96" t="s">
        <v>4739</v>
      </c>
      <c r="AS96" t="s">
        <v>10</v>
      </c>
      <c r="AT96" t="s">
        <v>4739</v>
      </c>
      <c r="AU96" t="s">
        <v>4739</v>
      </c>
    </row>
    <row r="97" spans="1:47">
      <c r="A97" t="s">
        <v>3001</v>
      </c>
      <c r="B97" t="s">
        <v>3002</v>
      </c>
      <c r="C97" t="s">
        <v>17</v>
      </c>
      <c r="D97" t="s">
        <v>687</v>
      </c>
      <c r="E97" t="s">
        <v>688</v>
      </c>
      <c r="F97" t="s">
        <v>689</v>
      </c>
      <c r="G97" t="s">
        <v>4750</v>
      </c>
      <c r="H97" t="s">
        <v>691</v>
      </c>
      <c r="I97">
        <v>354.3</v>
      </c>
      <c r="J97">
        <v>0.753990210683124</v>
      </c>
      <c r="K97">
        <v>5.1449999999999996</v>
      </c>
      <c r="L97" t="s">
        <v>4738</v>
      </c>
      <c r="N97">
        <v>388.2</v>
      </c>
      <c r="O97">
        <v>0.826133219834007</v>
      </c>
      <c r="P97">
        <v>19.760000000000002</v>
      </c>
      <c r="Q97" t="s">
        <v>4738</v>
      </c>
      <c r="S97">
        <v>367.7</v>
      </c>
      <c r="T97">
        <v>0.78250691636518399</v>
      </c>
      <c r="U97">
        <v>8.6910000000000007</v>
      </c>
      <c r="V97" t="s">
        <v>4738</v>
      </c>
      <c r="X97">
        <v>381.3</v>
      </c>
      <c r="Y97">
        <v>0.81144924452011102</v>
      </c>
      <c r="Z97">
        <v>13.22</v>
      </c>
      <c r="AA97" t="s">
        <v>4738</v>
      </c>
      <c r="AC97">
        <v>337.6</v>
      </c>
      <c r="AD97">
        <v>0.71845073419876604</v>
      </c>
      <c r="AE97">
        <v>3.58</v>
      </c>
      <c r="AF97" t="s">
        <v>4738</v>
      </c>
      <c r="AH97">
        <v>447.5</v>
      </c>
      <c r="AI97">
        <v>0.95233028303894496</v>
      </c>
      <c r="AJ97">
        <v>212.9</v>
      </c>
      <c r="AK97" t="s">
        <v>4738</v>
      </c>
      <c r="AM97">
        <v>444.3</v>
      </c>
      <c r="AN97">
        <v>0.94552032347307902</v>
      </c>
      <c r="AO97">
        <v>128</v>
      </c>
      <c r="AP97" t="s">
        <v>4738</v>
      </c>
      <c r="AR97" t="s">
        <v>4739</v>
      </c>
      <c r="AS97" t="s">
        <v>4739</v>
      </c>
      <c r="AT97" t="s">
        <v>4739</v>
      </c>
      <c r="AU97" t="s">
        <v>4739</v>
      </c>
    </row>
    <row r="98" spans="1:47">
      <c r="A98" t="s">
        <v>3004</v>
      </c>
      <c r="B98" t="s">
        <v>3005</v>
      </c>
      <c r="C98" t="s">
        <v>17</v>
      </c>
      <c r="D98" t="s">
        <v>696</v>
      </c>
      <c r="E98" t="s">
        <v>697</v>
      </c>
      <c r="F98" t="s">
        <v>698</v>
      </c>
      <c r="G98" t="s">
        <v>4750</v>
      </c>
      <c r="H98" t="s">
        <v>699</v>
      </c>
      <c r="I98">
        <v>373.7</v>
      </c>
      <c r="J98">
        <v>0.79527559055118102</v>
      </c>
      <c r="K98">
        <v>9.016</v>
      </c>
      <c r="L98" t="s">
        <v>4738</v>
      </c>
      <c r="N98">
        <v>388.9</v>
      </c>
      <c r="O98">
        <v>0.82762289848904003</v>
      </c>
      <c r="P98">
        <v>18.649999999999999</v>
      </c>
      <c r="Q98" t="s">
        <v>4738</v>
      </c>
      <c r="S98">
        <v>354.4</v>
      </c>
      <c r="T98">
        <v>0.75420302191955702</v>
      </c>
      <c r="U98">
        <v>4.5129999999999999</v>
      </c>
      <c r="V98" t="s">
        <v>4738</v>
      </c>
      <c r="X98">
        <v>344</v>
      </c>
      <c r="Y98">
        <v>0.73207065333049604</v>
      </c>
      <c r="Z98">
        <v>3.6219999999999999</v>
      </c>
      <c r="AA98" t="s">
        <v>4738</v>
      </c>
      <c r="AC98">
        <v>330</v>
      </c>
      <c r="AD98">
        <v>0.70227708022983604</v>
      </c>
      <c r="AE98">
        <v>2.4089999999999998</v>
      </c>
      <c r="AF98" t="s">
        <v>4738</v>
      </c>
      <c r="AH98">
        <v>454.7</v>
      </c>
      <c r="AI98">
        <v>0.967652692062141</v>
      </c>
      <c r="AJ98">
        <v>239.2</v>
      </c>
      <c r="AK98" t="s">
        <v>4738</v>
      </c>
      <c r="AM98">
        <v>434.5</v>
      </c>
      <c r="AN98">
        <v>0.92466482230261804</v>
      </c>
      <c r="AO98">
        <v>128.19999999999999</v>
      </c>
      <c r="AP98" t="s">
        <v>4738</v>
      </c>
      <c r="AR98" t="s">
        <v>4739</v>
      </c>
      <c r="AS98" t="s">
        <v>4739</v>
      </c>
      <c r="AT98" t="s">
        <v>4739</v>
      </c>
      <c r="AU98" t="s">
        <v>4739</v>
      </c>
    </row>
    <row r="99" spans="1:47">
      <c r="A99" t="s">
        <v>3007</v>
      </c>
      <c r="B99" t="s">
        <v>3008</v>
      </c>
      <c r="C99" t="s">
        <v>17</v>
      </c>
      <c r="D99" t="s">
        <v>704</v>
      </c>
      <c r="E99" t="s">
        <v>705</v>
      </c>
      <c r="F99" t="s">
        <v>706</v>
      </c>
      <c r="G99" t="s">
        <v>4750</v>
      </c>
      <c r="H99" t="s">
        <v>707</v>
      </c>
      <c r="I99">
        <v>282.3</v>
      </c>
      <c r="J99">
        <v>0.60076612045115996</v>
      </c>
      <c r="K99">
        <v>0.92430000000000001</v>
      </c>
      <c r="L99" t="s">
        <v>4740</v>
      </c>
      <c r="N99">
        <v>392.4</v>
      </c>
      <c r="O99">
        <v>0.83507129176420503</v>
      </c>
      <c r="P99">
        <v>19.53</v>
      </c>
      <c r="Q99" t="s">
        <v>4738</v>
      </c>
      <c r="S99">
        <v>303.89999999999998</v>
      </c>
      <c r="T99">
        <v>0.64673334752074896</v>
      </c>
      <c r="U99">
        <v>1.4650000000000001</v>
      </c>
      <c r="V99" t="s">
        <v>4740</v>
      </c>
      <c r="X99">
        <v>306.89999999999998</v>
      </c>
      <c r="Y99">
        <v>0.65311768461374797</v>
      </c>
      <c r="Z99">
        <v>1.405</v>
      </c>
      <c r="AA99" t="s">
        <v>4740</v>
      </c>
      <c r="AC99">
        <v>384.1</v>
      </c>
      <c r="AD99">
        <v>0.817407959140243</v>
      </c>
      <c r="AE99">
        <v>14.57</v>
      </c>
      <c r="AF99" t="s">
        <v>4738</v>
      </c>
      <c r="AH99">
        <v>405.4</v>
      </c>
      <c r="AI99">
        <v>0.86273675250053194</v>
      </c>
      <c r="AJ99">
        <v>43.37</v>
      </c>
      <c r="AK99" t="s">
        <v>4738</v>
      </c>
      <c r="AM99">
        <v>430.1</v>
      </c>
      <c r="AN99">
        <v>0.91530112789955298</v>
      </c>
      <c r="AO99">
        <v>63.65</v>
      </c>
      <c r="AP99" t="s">
        <v>4738</v>
      </c>
      <c r="AR99" t="s">
        <v>4739</v>
      </c>
      <c r="AS99" t="s">
        <v>4739</v>
      </c>
      <c r="AT99" t="s">
        <v>4739</v>
      </c>
      <c r="AU99" t="s">
        <v>4739</v>
      </c>
    </row>
    <row r="100" spans="1:47">
      <c r="A100" t="s">
        <v>3010</v>
      </c>
      <c r="B100" t="s">
        <v>3011</v>
      </c>
      <c r="C100" t="s">
        <v>17</v>
      </c>
      <c r="D100" t="s">
        <v>712</v>
      </c>
      <c r="E100" t="s">
        <v>713</v>
      </c>
      <c r="F100" t="s">
        <v>714</v>
      </c>
      <c r="G100" t="s">
        <v>4750</v>
      </c>
      <c r="H100" t="s">
        <v>715</v>
      </c>
      <c r="I100">
        <v>295.3</v>
      </c>
      <c r="J100">
        <v>0.62843158118748699</v>
      </c>
      <c r="K100">
        <v>1.177</v>
      </c>
      <c r="L100" t="s">
        <v>4740</v>
      </c>
      <c r="N100">
        <v>303.7</v>
      </c>
      <c r="O100">
        <v>0.64630772504788303</v>
      </c>
      <c r="P100">
        <v>1.5740000000000001</v>
      </c>
      <c r="Q100" t="s">
        <v>4740</v>
      </c>
      <c r="S100">
        <v>277.89999999999998</v>
      </c>
      <c r="T100">
        <v>0.59140242604809501</v>
      </c>
      <c r="U100">
        <v>0.89290000000000003</v>
      </c>
      <c r="V100" t="s">
        <v>4740</v>
      </c>
      <c r="X100">
        <v>302.10000000000002</v>
      </c>
      <c r="Y100">
        <v>0.64290274526494995</v>
      </c>
      <c r="Z100">
        <v>1.5640000000000001</v>
      </c>
      <c r="AA100" t="s">
        <v>4740</v>
      </c>
      <c r="AC100">
        <v>311.8</v>
      </c>
      <c r="AD100">
        <v>0.66354543519897902</v>
      </c>
      <c r="AE100">
        <v>2.1760000000000002</v>
      </c>
      <c r="AF100" t="s">
        <v>4740</v>
      </c>
      <c r="AH100">
        <v>369.1</v>
      </c>
      <c r="AI100">
        <v>0.78548627367525004</v>
      </c>
      <c r="AJ100">
        <v>18.829999999999998</v>
      </c>
      <c r="AK100" t="s">
        <v>4738</v>
      </c>
      <c r="AM100">
        <v>426</v>
      </c>
      <c r="AN100">
        <v>0.90657586720578898</v>
      </c>
      <c r="AO100">
        <v>72.63</v>
      </c>
      <c r="AP100" t="s">
        <v>4738</v>
      </c>
      <c r="AR100" t="s">
        <v>4739</v>
      </c>
      <c r="AS100" t="s">
        <v>4739</v>
      </c>
      <c r="AT100" t="s">
        <v>4739</v>
      </c>
      <c r="AU100" t="s">
        <v>4739</v>
      </c>
    </row>
    <row r="101" spans="1:47">
      <c r="A101" t="s">
        <v>3013</v>
      </c>
      <c r="B101" t="s">
        <v>3014</v>
      </c>
      <c r="C101" t="s">
        <v>17</v>
      </c>
      <c r="D101" t="s">
        <v>720</v>
      </c>
      <c r="E101" t="s">
        <v>721</v>
      </c>
      <c r="F101" t="s">
        <v>722</v>
      </c>
      <c r="G101" t="s">
        <v>4751</v>
      </c>
      <c r="H101" t="s">
        <v>691</v>
      </c>
      <c r="I101">
        <v>354.3</v>
      </c>
      <c r="J101">
        <v>0.753990210683124</v>
      </c>
      <c r="K101">
        <v>5.1449999999999996</v>
      </c>
      <c r="L101" t="s">
        <v>4738</v>
      </c>
      <c r="N101">
        <v>388.2</v>
      </c>
      <c r="O101">
        <v>0.826133219834007</v>
      </c>
      <c r="P101">
        <v>19.760000000000002</v>
      </c>
      <c r="Q101" t="s">
        <v>4738</v>
      </c>
      <c r="S101">
        <v>367.7</v>
      </c>
      <c r="T101">
        <v>0.78250691636518399</v>
      </c>
      <c r="U101">
        <v>8.6910000000000007</v>
      </c>
      <c r="V101" t="s">
        <v>4738</v>
      </c>
      <c r="X101">
        <v>381.3</v>
      </c>
      <c r="Y101">
        <v>0.81144924452011102</v>
      </c>
      <c r="Z101">
        <v>13.22</v>
      </c>
      <c r="AA101" t="s">
        <v>4738</v>
      </c>
      <c r="AC101">
        <v>337.6</v>
      </c>
      <c r="AD101">
        <v>0.71845073419876604</v>
      </c>
      <c r="AE101">
        <v>3.58</v>
      </c>
      <c r="AF101" t="s">
        <v>4738</v>
      </c>
      <c r="AH101">
        <v>447.5</v>
      </c>
      <c r="AI101">
        <v>0.95233028303894496</v>
      </c>
      <c r="AJ101">
        <v>212.9</v>
      </c>
      <c r="AK101" t="s">
        <v>4738</v>
      </c>
      <c r="AM101">
        <v>444.3</v>
      </c>
      <c r="AN101">
        <v>0.94552032347307902</v>
      </c>
      <c r="AO101">
        <v>128</v>
      </c>
      <c r="AP101" t="s">
        <v>4738</v>
      </c>
      <c r="AR101" t="s">
        <v>4739</v>
      </c>
      <c r="AS101" t="s">
        <v>4739</v>
      </c>
      <c r="AT101" t="s">
        <v>4739</v>
      </c>
      <c r="AU101" t="s">
        <v>4739</v>
      </c>
    </row>
    <row r="102" spans="1:47">
      <c r="A102" t="s">
        <v>3016</v>
      </c>
      <c r="B102" t="s">
        <v>3017</v>
      </c>
      <c r="C102" t="s">
        <v>17</v>
      </c>
      <c r="D102" t="s">
        <v>727</v>
      </c>
      <c r="E102" t="s">
        <v>728</v>
      </c>
      <c r="F102" t="s">
        <v>729</v>
      </c>
      <c r="G102" t="s">
        <v>4751</v>
      </c>
      <c r="H102" t="s">
        <v>699</v>
      </c>
      <c r="I102">
        <v>373.7</v>
      </c>
      <c r="J102">
        <v>0.79527559055118102</v>
      </c>
      <c r="K102">
        <v>9.016</v>
      </c>
      <c r="L102" t="s">
        <v>4738</v>
      </c>
      <c r="N102">
        <v>388.9</v>
      </c>
      <c r="O102">
        <v>0.82762289848904003</v>
      </c>
      <c r="P102">
        <v>18.649999999999999</v>
      </c>
      <c r="Q102" t="s">
        <v>4738</v>
      </c>
      <c r="S102">
        <v>354.4</v>
      </c>
      <c r="T102">
        <v>0.75420302191955702</v>
      </c>
      <c r="U102">
        <v>4.5129999999999999</v>
      </c>
      <c r="V102" t="s">
        <v>4738</v>
      </c>
      <c r="X102">
        <v>344</v>
      </c>
      <c r="Y102">
        <v>0.73207065333049604</v>
      </c>
      <c r="Z102">
        <v>3.6219999999999999</v>
      </c>
      <c r="AA102" t="s">
        <v>4738</v>
      </c>
      <c r="AC102">
        <v>330</v>
      </c>
      <c r="AD102">
        <v>0.70227708022983604</v>
      </c>
      <c r="AE102">
        <v>2.4089999999999998</v>
      </c>
      <c r="AF102" t="s">
        <v>4738</v>
      </c>
      <c r="AH102">
        <v>454.7</v>
      </c>
      <c r="AI102">
        <v>0.967652692062141</v>
      </c>
      <c r="AJ102">
        <v>239.2</v>
      </c>
      <c r="AK102" t="s">
        <v>4738</v>
      </c>
      <c r="AM102">
        <v>434.5</v>
      </c>
      <c r="AN102">
        <v>0.92466482230261804</v>
      </c>
      <c r="AO102">
        <v>128.19999999999999</v>
      </c>
      <c r="AP102" t="s">
        <v>4738</v>
      </c>
      <c r="AR102" t="s">
        <v>4739</v>
      </c>
      <c r="AS102" t="s">
        <v>4739</v>
      </c>
      <c r="AT102" t="s">
        <v>4739</v>
      </c>
      <c r="AU102" t="s">
        <v>4739</v>
      </c>
    </row>
    <row r="103" spans="1:47">
      <c r="A103" t="s">
        <v>3019</v>
      </c>
      <c r="B103" t="s">
        <v>3020</v>
      </c>
      <c r="C103" t="s">
        <v>17</v>
      </c>
      <c r="D103" t="s">
        <v>734</v>
      </c>
      <c r="E103" t="s">
        <v>735</v>
      </c>
      <c r="F103" t="s">
        <v>736</v>
      </c>
      <c r="G103" t="s">
        <v>4751</v>
      </c>
      <c r="H103" t="s">
        <v>707</v>
      </c>
      <c r="I103">
        <v>282.3</v>
      </c>
      <c r="J103">
        <v>0.60076612045115996</v>
      </c>
      <c r="K103">
        <v>0.92430000000000001</v>
      </c>
      <c r="L103" t="s">
        <v>4740</v>
      </c>
      <c r="N103">
        <v>392.4</v>
      </c>
      <c r="O103">
        <v>0.83507129176420503</v>
      </c>
      <c r="P103">
        <v>19.53</v>
      </c>
      <c r="Q103" t="s">
        <v>4738</v>
      </c>
      <c r="S103">
        <v>303.89999999999998</v>
      </c>
      <c r="T103">
        <v>0.64673334752074896</v>
      </c>
      <c r="U103">
        <v>1.4650000000000001</v>
      </c>
      <c r="V103" t="s">
        <v>4740</v>
      </c>
      <c r="X103">
        <v>306.89999999999998</v>
      </c>
      <c r="Y103">
        <v>0.65311768461374797</v>
      </c>
      <c r="Z103">
        <v>1.405</v>
      </c>
      <c r="AA103" t="s">
        <v>4740</v>
      </c>
      <c r="AC103">
        <v>384.1</v>
      </c>
      <c r="AD103">
        <v>0.817407959140243</v>
      </c>
      <c r="AE103">
        <v>14.57</v>
      </c>
      <c r="AF103" t="s">
        <v>4738</v>
      </c>
      <c r="AH103">
        <v>405.4</v>
      </c>
      <c r="AI103">
        <v>0.86273675250053194</v>
      </c>
      <c r="AJ103">
        <v>43.37</v>
      </c>
      <c r="AK103" t="s">
        <v>4738</v>
      </c>
      <c r="AM103">
        <v>430.1</v>
      </c>
      <c r="AN103">
        <v>0.91530112789955298</v>
      </c>
      <c r="AO103">
        <v>63.65</v>
      </c>
      <c r="AP103" t="s">
        <v>4738</v>
      </c>
      <c r="AR103" t="s">
        <v>4739</v>
      </c>
      <c r="AS103" t="s">
        <v>4739</v>
      </c>
      <c r="AT103" t="s">
        <v>4739</v>
      </c>
      <c r="AU103" t="s">
        <v>4739</v>
      </c>
    </row>
    <row r="104" spans="1:47">
      <c r="A104" t="s">
        <v>3022</v>
      </c>
      <c r="B104" t="s">
        <v>3023</v>
      </c>
      <c r="C104" t="s">
        <v>17</v>
      </c>
      <c r="D104" t="s">
        <v>741</v>
      </c>
      <c r="E104" t="s">
        <v>742</v>
      </c>
      <c r="F104" t="s">
        <v>743</v>
      </c>
      <c r="G104" t="s">
        <v>4751</v>
      </c>
      <c r="H104" t="s">
        <v>715</v>
      </c>
      <c r="I104">
        <v>295.3</v>
      </c>
      <c r="J104">
        <v>0.62843158118748699</v>
      </c>
      <c r="K104">
        <v>1.177</v>
      </c>
      <c r="L104" t="s">
        <v>4740</v>
      </c>
      <c r="N104">
        <v>303.7</v>
      </c>
      <c r="O104">
        <v>0.64630772504788303</v>
      </c>
      <c r="P104">
        <v>1.5740000000000001</v>
      </c>
      <c r="Q104" t="s">
        <v>4740</v>
      </c>
      <c r="S104">
        <v>277.89999999999998</v>
      </c>
      <c r="T104">
        <v>0.59140242604809501</v>
      </c>
      <c r="U104">
        <v>0.89290000000000003</v>
      </c>
      <c r="V104" t="s">
        <v>4740</v>
      </c>
      <c r="X104">
        <v>302.10000000000002</v>
      </c>
      <c r="Y104">
        <v>0.64290274526494995</v>
      </c>
      <c r="Z104">
        <v>1.5640000000000001</v>
      </c>
      <c r="AA104" t="s">
        <v>4740</v>
      </c>
      <c r="AC104">
        <v>311.8</v>
      </c>
      <c r="AD104">
        <v>0.66354543519897902</v>
      </c>
      <c r="AE104">
        <v>2.1760000000000002</v>
      </c>
      <c r="AF104" t="s">
        <v>4740</v>
      </c>
      <c r="AH104">
        <v>369.1</v>
      </c>
      <c r="AI104">
        <v>0.78548627367525004</v>
      </c>
      <c r="AJ104">
        <v>18.829999999999998</v>
      </c>
      <c r="AK104" t="s">
        <v>4738</v>
      </c>
      <c r="AM104">
        <v>426</v>
      </c>
      <c r="AN104">
        <v>0.90657586720578898</v>
      </c>
      <c r="AO104">
        <v>72.63</v>
      </c>
      <c r="AP104" t="s">
        <v>4738</v>
      </c>
      <c r="AR104" t="s">
        <v>4739</v>
      </c>
      <c r="AS104" t="s">
        <v>4739</v>
      </c>
      <c r="AT104" t="s">
        <v>4739</v>
      </c>
      <c r="AU104" t="s">
        <v>4739</v>
      </c>
    </row>
    <row r="105" spans="1:47">
      <c r="A105" t="s">
        <v>3025</v>
      </c>
      <c r="B105" t="s">
        <v>3026</v>
      </c>
      <c r="C105" t="s">
        <v>17</v>
      </c>
      <c r="D105" t="s">
        <v>755</v>
      </c>
      <c r="E105" t="s">
        <v>756</v>
      </c>
      <c r="F105" t="s">
        <v>757</v>
      </c>
      <c r="G105" t="s">
        <v>4750</v>
      </c>
      <c r="H105" t="s">
        <v>759</v>
      </c>
      <c r="I105">
        <v>297.39999999999998</v>
      </c>
      <c r="J105">
        <v>0.63290061715258605</v>
      </c>
      <c r="K105">
        <v>1.006</v>
      </c>
      <c r="L105" t="s">
        <v>4740</v>
      </c>
      <c r="N105">
        <v>363.9</v>
      </c>
      <c r="O105">
        <v>0.77442008938071905</v>
      </c>
      <c r="P105">
        <v>8.3829999999999991</v>
      </c>
      <c r="Q105" t="s">
        <v>4738</v>
      </c>
      <c r="S105">
        <v>337.2</v>
      </c>
      <c r="T105">
        <v>0.71759948925303296</v>
      </c>
      <c r="U105">
        <v>3.8610000000000002</v>
      </c>
      <c r="V105" t="s">
        <v>4738</v>
      </c>
      <c r="X105">
        <v>320.10000000000002</v>
      </c>
      <c r="Y105">
        <v>0.68120876782294104</v>
      </c>
      <c r="Z105">
        <v>1.9350000000000001</v>
      </c>
      <c r="AA105" t="s">
        <v>4740</v>
      </c>
      <c r="AC105">
        <v>350.7</v>
      </c>
      <c r="AD105">
        <v>0.74632900617152598</v>
      </c>
      <c r="AE105">
        <v>5.6239999999999997</v>
      </c>
      <c r="AF105" t="s">
        <v>4738</v>
      </c>
      <c r="AH105">
        <v>455</v>
      </c>
      <c r="AI105">
        <v>0.96829112577144105</v>
      </c>
      <c r="AJ105">
        <v>139</v>
      </c>
      <c r="AK105" t="s">
        <v>4738</v>
      </c>
      <c r="AM105">
        <v>449.4</v>
      </c>
      <c r="AN105">
        <v>0.95637369653117699</v>
      </c>
      <c r="AO105">
        <v>107.4</v>
      </c>
      <c r="AP105" t="s">
        <v>4738</v>
      </c>
      <c r="AR105" t="s">
        <v>4739</v>
      </c>
      <c r="AS105" t="s">
        <v>4739</v>
      </c>
      <c r="AT105" t="s">
        <v>4739</v>
      </c>
      <c r="AU105" t="s">
        <v>4739</v>
      </c>
    </row>
    <row r="106" spans="1:47">
      <c r="A106" t="s">
        <v>3028</v>
      </c>
      <c r="B106" t="s">
        <v>3029</v>
      </c>
      <c r="C106" t="s">
        <v>17</v>
      </c>
      <c r="D106" t="s">
        <v>764</v>
      </c>
      <c r="E106" t="s">
        <v>765</v>
      </c>
      <c r="F106" t="s">
        <v>766</v>
      </c>
      <c r="G106" t="s">
        <v>4750</v>
      </c>
      <c r="H106" t="s">
        <v>767</v>
      </c>
      <c r="I106">
        <v>332.6</v>
      </c>
      <c r="J106">
        <v>0.70781017237710198</v>
      </c>
      <c r="K106">
        <v>2.407</v>
      </c>
      <c r="L106" t="s">
        <v>4738</v>
      </c>
      <c r="N106">
        <v>388.2</v>
      </c>
      <c r="O106">
        <v>0.826133219834007</v>
      </c>
      <c r="P106">
        <v>19.96</v>
      </c>
      <c r="Q106" t="s">
        <v>4738</v>
      </c>
      <c r="S106">
        <v>348.3</v>
      </c>
      <c r="T106">
        <v>0.74122153649712696</v>
      </c>
      <c r="U106">
        <v>6.141</v>
      </c>
      <c r="V106" t="s">
        <v>4738</v>
      </c>
      <c r="X106">
        <v>323.8</v>
      </c>
      <c r="Y106">
        <v>0.68908278357097297</v>
      </c>
      <c r="Z106">
        <v>1.6919999999999999</v>
      </c>
      <c r="AA106" t="s">
        <v>4740</v>
      </c>
      <c r="AC106">
        <v>367.8</v>
      </c>
      <c r="AD106">
        <v>0.78271972760161701</v>
      </c>
      <c r="AE106">
        <v>9.8629999999999995</v>
      </c>
      <c r="AF106" t="s">
        <v>4738</v>
      </c>
      <c r="AH106">
        <v>459.6</v>
      </c>
      <c r="AI106">
        <v>0.97808044264737204</v>
      </c>
      <c r="AJ106">
        <v>223.6</v>
      </c>
      <c r="AK106" t="s">
        <v>4738</v>
      </c>
      <c r="AM106">
        <v>465.2</v>
      </c>
      <c r="AN106">
        <v>0.98999787188763599</v>
      </c>
      <c r="AO106">
        <v>1046</v>
      </c>
      <c r="AP106" t="s">
        <v>4738</v>
      </c>
      <c r="AR106" t="s">
        <v>4739</v>
      </c>
      <c r="AS106" t="s">
        <v>4739</v>
      </c>
      <c r="AT106" t="s">
        <v>4739</v>
      </c>
      <c r="AU106" t="s">
        <v>4739</v>
      </c>
    </row>
    <row r="107" spans="1:47">
      <c r="A107" t="s">
        <v>3031</v>
      </c>
      <c r="B107" t="s">
        <v>3032</v>
      </c>
      <c r="C107" t="s">
        <v>17</v>
      </c>
      <c r="D107" t="s">
        <v>772</v>
      </c>
      <c r="E107" t="s">
        <v>773</v>
      </c>
      <c r="F107" t="s">
        <v>774</v>
      </c>
      <c r="G107" t="s">
        <v>4750</v>
      </c>
      <c r="H107" t="s">
        <v>775</v>
      </c>
      <c r="I107">
        <v>323.5</v>
      </c>
      <c r="J107">
        <v>0.68844434986167302</v>
      </c>
      <c r="K107">
        <v>1.6439999999999999</v>
      </c>
      <c r="L107" t="s">
        <v>4740</v>
      </c>
      <c r="N107">
        <v>391.9</v>
      </c>
      <c r="O107">
        <v>0.83400723558203904</v>
      </c>
      <c r="P107">
        <v>19.12</v>
      </c>
      <c r="Q107" t="s">
        <v>4738</v>
      </c>
      <c r="S107">
        <v>310.39999999999998</v>
      </c>
      <c r="T107">
        <v>0.66056607788891297</v>
      </c>
      <c r="U107">
        <v>1.37</v>
      </c>
      <c r="V107" t="s">
        <v>4740</v>
      </c>
      <c r="X107">
        <v>350.4</v>
      </c>
      <c r="Y107">
        <v>0.74569057246222603</v>
      </c>
      <c r="Z107">
        <v>4.1870000000000003</v>
      </c>
      <c r="AA107" t="s">
        <v>4738</v>
      </c>
      <c r="AC107">
        <v>381.4</v>
      </c>
      <c r="AD107">
        <v>0.81166205575654404</v>
      </c>
      <c r="AE107">
        <v>15.76</v>
      </c>
      <c r="AF107" t="s">
        <v>4738</v>
      </c>
      <c r="AH107">
        <v>462.8</v>
      </c>
      <c r="AI107">
        <v>0.98489040221323698</v>
      </c>
      <c r="AJ107">
        <v>231.1</v>
      </c>
      <c r="AK107" t="s">
        <v>4738</v>
      </c>
      <c r="AM107">
        <v>453.5</v>
      </c>
      <c r="AN107">
        <v>0.96509895722494199</v>
      </c>
      <c r="AO107">
        <v>254.8</v>
      </c>
      <c r="AP107" t="s">
        <v>4738</v>
      </c>
      <c r="AR107" t="s">
        <v>4739</v>
      </c>
      <c r="AS107" t="s">
        <v>4739</v>
      </c>
      <c r="AT107" t="s">
        <v>4739</v>
      </c>
      <c r="AU107" t="s">
        <v>4739</v>
      </c>
    </row>
    <row r="108" spans="1:47">
      <c r="A108" t="s">
        <v>3034</v>
      </c>
      <c r="B108" t="s">
        <v>3035</v>
      </c>
      <c r="C108" t="s">
        <v>17</v>
      </c>
      <c r="D108" t="s">
        <v>780</v>
      </c>
      <c r="E108" t="s">
        <v>781</v>
      </c>
      <c r="F108" t="s">
        <v>782</v>
      </c>
      <c r="G108" t="s">
        <v>4750</v>
      </c>
      <c r="H108" t="s">
        <v>783</v>
      </c>
      <c r="I108">
        <v>334.4</v>
      </c>
      <c r="J108">
        <v>0.71164077463290099</v>
      </c>
      <c r="K108">
        <v>3.0750000000000002</v>
      </c>
      <c r="L108" t="s">
        <v>4738</v>
      </c>
      <c r="N108">
        <v>389.8</v>
      </c>
      <c r="O108">
        <v>0.82953819961693998</v>
      </c>
      <c r="P108">
        <v>19.07</v>
      </c>
      <c r="Q108" t="s">
        <v>4738</v>
      </c>
      <c r="S108">
        <v>348.2</v>
      </c>
      <c r="T108">
        <v>0.74100872526069395</v>
      </c>
      <c r="U108">
        <v>3.6280000000000001</v>
      </c>
      <c r="V108" t="s">
        <v>4738</v>
      </c>
      <c r="X108">
        <v>386.1</v>
      </c>
      <c r="Y108">
        <v>0.82166418386890805</v>
      </c>
      <c r="Z108">
        <v>15.89</v>
      </c>
      <c r="AA108" t="s">
        <v>4738</v>
      </c>
      <c r="AC108">
        <v>383.7</v>
      </c>
      <c r="AD108">
        <v>0.81655671419450904</v>
      </c>
      <c r="AE108">
        <v>13.49</v>
      </c>
      <c r="AF108" t="s">
        <v>4738</v>
      </c>
      <c r="AH108">
        <v>449.8</v>
      </c>
      <c r="AI108">
        <v>0.95722494147690995</v>
      </c>
      <c r="AJ108">
        <v>117.5</v>
      </c>
      <c r="AK108" t="s">
        <v>4738</v>
      </c>
      <c r="AM108">
        <v>448.4</v>
      </c>
      <c r="AN108">
        <v>0.95424558416684402</v>
      </c>
      <c r="AO108">
        <v>191.6</v>
      </c>
      <c r="AP108" t="s">
        <v>4738</v>
      </c>
      <c r="AR108" t="s">
        <v>4739</v>
      </c>
      <c r="AS108" t="s">
        <v>4739</v>
      </c>
      <c r="AT108" t="s">
        <v>4739</v>
      </c>
      <c r="AU108" t="s">
        <v>4739</v>
      </c>
    </row>
    <row r="109" spans="1:47">
      <c r="A109" t="s">
        <v>3037</v>
      </c>
      <c r="B109" t="s">
        <v>3038</v>
      </c>
      <c r="C109" t="s">
        <v>17</v>
      </c>
      <c r="D109" t="s">
        <v>788</v>
      </c>
      <c r="E109" t="s">
        <v>789</v>
      </c>
      <c r="F109" t="s">
        <v>790</v>
      </c>
      <c r="G109" t="s">
        <v>4751</v>
      </c>
      <c r="H109" t="s">
        <v>759</v>
      </c>
      <c r="I109">
        <v>297.39999999999998</v>
      </c>
      <c r="J109">
        <v>0.63290061715258605</v>
      </c>
      <c r="K109">
        <v>1.006</v>
      </c>
      <c r="L109" t="s">
        <v>4740</v>
      </c>
      <c r="N109">
        <v>363.9</v>
      </c>
      <c r="O109">
        <v>0.77442008938071905</v>
      </c>
      <c r="P109">
        <v>8.3829999999999991</v>
      </c>
      <c r="Q109" t="s">
        <v>4738</v>
      </c>
      <c r="S109">
        <v>337.2</v>
      </c>
      <c r="T109">
        <v>0.71759948925303296</v>
      </c>
      <c r="U109">
        <v>3.8610000000000002</v>
      </c>
      <c r="V109" t="s">
        <v>4738</v>
      </c>
      <c r="X109">
        <v>320.10000000000002</v>
      </c>
      <c r="Y109">
        <v>0.68120876782294104</v>
      </c>
      <c r="Z109">
        <v>1.9350000000000001</v>
      </c>
      <c r="AA109" t="s">
        <v>4740</v>
      </c>
      <c r="AC109">
        <v>350.7</v>
      </c>
      <c r="AD109">
        <v>0.74632900617152598</v>
      </c>
      <c r="AE109">
        <v>5.6239999999999997</v>
      </c>
      <c r="AF109" t="s">
        <v>4738</v>
      </c>
      <c r="AH109">
        <v>455</v>
      </c>
      <c r="AI109">
        <v>0.96829112577144105</v>
      </c>
      <c r="AJ109">
        <v>139</v>
      </c>
      <c r="AK109" t="s">
        <v>4738</v>
      </c>
      <c r="AM109">
        <v>449.4</v>
      </c>
      <c r="AN109">
        <v>0.95637369653117699</v>
      </c>
      <c r="AO109">
        <v>107.4</v>
      </c>
      <c r="AP109" t="s">
        <v>4738</v>
      </c>
      <c r="AR109" t="s">
        <v>4739</v>
      </c>
      <c r="AS109" t="s">
        <v>4739</v>
      </c>
      <c r="AT109" t="s">
        <v>4739</v>
      </c>
      <c r="AU109" t="s">
        <v>4739</v>
      </c>
    </row>
    <row r="110" spans="1:47">
      <c r="A110" t="s">
        <v>3040</v>
      </c>
      <c r="B110" t="s">
        <v>3041</v>
      </c>
      <c r="C110" t="s">
        <v>17</v>
      </c>
      <c r="D110" t="s">
        <v>795</v>
      </c>
      <c r="E110" t="s">
        <v>796</v>
      </c>
      <c r="F110" t="s">
        <v>797</v>
      </c>
      <c r="G110" t="s">
        <v>4751</v>
      </c>
      <c r="H110" t="s">
        <v>767</v>
      </c>
      <c r="I110">
        <v>332.6</v>
      </c>
      <c r="J110">
        <v>0.70781017237710198</v>
      </c>
      <c r="K110">
        <v>2.407</v>
      </c>
      <c r="L110" t="s">
        <v>4738</v>
      </c>
      <c r="N110">
        <v>388.2</v>
      </c>
      <c r="O110">
        <v>0.826133219834007</v>
      </c>
      <c r="P110">
        <v>19.96</v>
      </c>
      <c r="Q110" t="s">
        <v>4738</v>
      </c>
      <c r="S110">
        <v>348.3</v>
      </c>
      <c r="T110">
        <v>0.74122153649712696</v>
      </c>
      <c r="U110">
        <v>6.141</v>
      </c>
      <c r="V110" t="s">
        <v>4738</v>
      </c>
      <c r="X110">
        <v>323.8</v>
      </c>
      <c r="Y110">
        <v>0.68908278357097297</v>
      </c>
      <c r="Z110">
        <v>1.6919999999999999</v>
      </c>
      <c r="AA110" t="s">
        <v>4740</v>
      </c>
      <c r="AC110">
        <v>367.8</v>
      </c>
      <c r="AD110">
        <v>0.78271972760161701</v>
      </c>
      <c r="AE110">
        <v>9.8629999999999995</v>
      </c>
      <c r="AF110" t="s">
        <v>4738</v>
      </c>
      <c r="AH110">
        <v>459.6</v>
      </c>
      <c r="AI110">
        <v>0.97808044264737204</v>
      </c>
      <c r="AJ110">
        <v>223.6</v>
      </c>
      <c r="AK110" t="s">
        <v>4738</v>
      </c>
      <c r="AM110">
        <v>465.2</v>
      </c>
      <c r="AN110">
        <v>0.98999787188763599</v>
      </c>
      <c r="AO110">
        <v>1046</v>
      </c>
      <c r="AP110" t="s">
        <v>4738</v>
      </c>
      <c r="AR110" t="s">
        <v>4739</v>
      </c>
      <c r="AS110" t="s">
        <v>4739</v>
      </c>
      <c r="AT110" t="s">
        <v>4739</v>
      </c>
      <c r="AU110" t="s">
        <v>4739</v>
      </c>
    </row>
    <row r="111" spans="1:47">
      <c r="A111" t="s">
        <v>3043</v>
      </c>
      <c r="B111" t="s">
        <v>3044</v>
      </c>
      <c r="C111" t="s">
        <v>17</v>
      </c>
      <c r="D111" t="s">
        <v>802</v>
      </c>
      <c r="E111" t="s">
        <v>803</v>
      </c>
      <c r="F111" t="s">
        <v>804</v>
      </c>
      <c r="G111" t="s">
        <v>4751</v>
      </c>
      <c r="H111" t="s">
        <v>775</v>
      </c>
      <c r="I111">
        <v>323.5</v>
      </c>
      <c r="J111">
        <v>0.68844434986167302</v>
      </c>
      <c r="K111">
        <v>1.6439999999999999</v>
      </c>
      <c r="L111" t="s">
        <v>4740</v>
      </c>
      <c r="N111">
        <v>391.9</v>
      </c>
      <c r="O111">
        <v>0.83400723558203904</v>
      </c>
      <c r="P111">
        <v>19.12</v>
      </c>
      <c r="Q111" t="s">
        <v>4738</v>
      </c>
      <c r="S111">
        <v>310.39999999999998</v>
      </c>
      <c r="T111">
        <v>0.66056607788891297</v>
      </c>
      <c r="U111">
        <v>1.37</v>
      </c>
      <c r="V111" t="s">
        <v>4740</v>
      </c>
      <c r="X111">
        <v>350.4</v>
      </c>
      <c r="Y111">
        <v>0.74569057246222603</v>
      </c>
      <c r="Z111">
        <v>4.1870000000000003</v>
      </c>
      <c r="AA111" t="s">
        <v>4738</v>
      </c>
      <c r="AC111">
        <v>381.4</v>
      </c>
      <c r="AD111">
        <v>0.81166205575654404</v>
      </c>
      <c r="AE111">
        <v>15.76</v>
      </c>
      <c r="AF111" t="s">
        <v>4738</v>
      </c>
      <c r="AH111">
        <v>462.8</v>
      </c>
      <c r="AI111">
        <v>0.98489040221323698</v>
      </c>
      <c r="AJ111">
        <v>231.1</v>
      </c>
      <c r="AK111" t="s">
        <v>4738</v>
      </c>
      <c r="AM111">
        <v>453.5</v>
      </c>
      <c r="AN111">
        <v>0.96509895722494199</v>
      </c>
      <c r="AO111">
        <v>254.8</v>
      </c>
      <c r="AP111" t="s">
        <v>4738</v>
      </c>
      <c r="AR111" t="s">
        <v>4739</v>
      </c>
      <c r="AS111" t="s">
        <v>4739</v>
      </c>
      <c r="AT111" t="s">
        <v>4739</v>
      </c>
      <c r="AU111" t="s">
        <v>4739</v>
      </c>
    </row>
    <row r="112" spans="1:47">
      <c r="A112" t="s">
        <v>3046</v>
      </c>
      <c r="B112" t="s">
        <v>3047</v>
      </c>
      <c r="C112" t="s">
        <v>17</v>
      </c>
      <c r="D112" t="s">
        <v>809</v>
      </c>
      <c r="E112" t="s">
        <v>810</v>
      </c>
      <c r="F112" t="s">
        <v>811</v>
      </c>
      <c r="G112" t="s">
        <v>4751</v>
      </c>
      <c r="H112" t="s">
        <v>783</v>
      </c>
      <c r="I112">
        <v>334.4</v>
      </c>
      <c r="J112">
        <v>0.71164077463290099</v>
      </c>
      <c r="K112">
        <v>3.0750000000000002</v>
      </c>
      <c r="L112" t="s">
        <v>4738</v>
      </c>
      <c r="N112">
        <v>389.8</v>
      </c>
      <c r="O112">
        <v>0.82953819961693998</v>
      </c>
      <c r="P112">
        <v>19.07</v>
      </c>
      <c r="Q112" t="s">
        <v>4738</v>
      </c>
      <c r="S112">
        <v>348.2</v>
      </c>
      <c r="T112">
        <v>0.74100872526069395</v>
      </c>
      <c r="U112">
        <v>3.6280000000000001</v>
      </c>
      <c r="V112" t="s">
        <v>4738</v>
      </c>
      <c r="X112">
        <v>386.1</v>
      </c>
      <c r="Y112">
        <v>0.82166418386890805</v>
      </c>
      <c r="Z112">
        <v>15.89</v>
      </c>
      <c r="AA112" t="s">
        <v>4738</v>
      </c>
      <c r="AC112">
        <v>383.7</v>
      </c>
      <c r="AD112">
        <v>0.81655671419450904</v>
      </c>
      <c r="AE112">
        <v>13.49</v>
      </c>
      <c r="AF112" t="s">
        <v>4738</v>
      </c>
      <c r="AH112">
        <v>449.8</v>
      </c>
      <c r="AI112">
        <v>0.95722494147690995</v>
      </c>
      <c r="AJ112">
        <v>117.5</v>
      </c>
      <c r="AK112" t="s">
        <v>4738</v>
      </c>
      <c r="AM112">
        <v>448.4</v>
      </c>
      <c r="AN112">
        <v>0.95424558416684402</v>
      </c>
      <c r="AO112">
        <v>191.6</v>
      </c>
      <c r="AP112" t="s">
        <v>4738</v>
      </c>
      <c r="AR112" t="s">
        <v>4739</v>
      </c>
      <c r="AS112" t="s">
        <v>4739</v>
      </c>
      <c r="AT112" t="s">
        <v>4739</v>
      </c>
      <c r="AU112" t="s">
        <v>4739</v>
      </c>
    </row>
    <row r="113" spans="1:47">
      <c r="A113" t="s">
        <v>3049</v>
      </c>
      <c r="B113" t="s">
        <v>3050</v>
      </c>
      <c r="C113" t="s">
        <v>17</v>
      </c>
      <c r="D113" t="s">
        <v>823</v>
      </c>
      <c r="E113" t="s">
        <v>824</v>
      </c>
      <c r="F113" t="s">
        <v>825</v>
      </c>
      <c r="G113" t="s">
        <v>4750</v>
      </c>
      <c r="H113" t="s">
        <v>827</v>
      </c>
      <c r="I113">
        <v>325.39999999999998</v>
      </c>
      <c r="J113">
        <v>0.69248776335390505</v>
      </c>
      <c r="K113">
        <v>2.165</v>
      </c>
      <c r="L113" t="s">
        <v>4740</v>
      </c>
      <c r="N113">
        <v>384.3</v>
      </c>
      <c r="O113">
        <v>0.81783358161310904</v>
      </c>
      <c r="P113">
        <v>18.29</v>
      </c>
      <c r="Q113" t="s">
        <v>4738</v>
      </c>
      <c r="S113">
        <v>313.2</v>
      </c>
      <c r="T113">
        <v>0.66652479250904495</v>
      </c>
      <c r="U113">
        <v>1.393</v>
      </c>
      <c r="V113" t="s">
        <v>4740</v>
      </c>
      <c r="X113">
        <v>355.3</v>
      </c>
      <c r="Y113">
        <v>0.75611832304745696</v>
      </c>
      <c r="Z113">
        <v>6.6120000000000001</v>
      </c>
      <c r="AA113" t="s">
        <v>4738</v>
      </c>
      <c r="AC113">
        <v>407.2</v>
      </c>
      <c r="AD113">
        <v>0.86656735475633095</v>
      </c>
      <c r="AE113">
        <v>33.869999999999997</v>
      </c>
      <c r="AF113" t="s">
        <v>4738</v>
      </c>
      <c r="AH113">
        <v>424.5</v>
      </c>
      <c r="AI113">
        <v>0.90338369865928903</v>
      </c>
      <c r="AJ113">
        <v>90.9</v>
      </c>
      <c r="AK113" t="s">
        <v>4738</v>
      </c>
      <c r="AM113">
        <v>422.4</v>
      </c>
      <c r="AN113">
        <v>0.89891466269418996</v>
      </c>
      <c r="AO113">
        <v>72</v>
      </c>
      <c r="AP113" t="s">
        <v>4738</v>
      </c>
      <c r="AR113" t="s">
        <v>4739</v>
      </c>
      <c r="AS113" t="s">
        <v>4739</v>
      </c>
      <c r="AT113" t="s">
        <v>4739</v>
      </c>
      <c r="AU113" t="s">
        <v>4739</v>
      </c>
    </row>
    <row r="114" spans="1:47">
      <c r="A114" t="s">
        <v>3052</v>
      </c>
      <c r="B114" t="s">
        <v>3053</v>
      </c>
      <c r="C114" t="s">
        <v>17</v>
      </c>
      <c r="D114" t="s">
        <v>832</v>
      </c>
      <c r="E114" t="s">
        <v>833</v>
      </c>
      <c r="F114" t="s">
        <v>834</v>
      </c>
      <c r="G114" t="s">
        <v>4750</v>
      </c>
      <c r="H114" t="s">
        <v>835</v>
      </c>
      <c r="I114">
        <v>375.9</v>
      </c>
      <c r="J114">
        <v>0.799957437752713</v>
      </c>
      <c r="K114">
        <v>9.3379999999999992</v>
      </c>
      <c r="L114" t="s">
        <v>4738</v>
      </c>
      <c r="N114">
        <v>368.9</v>
      </c>
      <c r="O114">
        <v>0.785060651202383</v>
      </c>
      <c r="P114">
        <v>10.06</v>
      </c>
      <c r="Q114" t="s">
        <v>4738</v>
      </c>
      <c r="S114">
        <v>344.3</v>
      </c>
      <c r="T114">
        <v>0.73270908703979598</v>
      </c>
      <c r="U114">
        <v>3.105</v>
      </c>
      <c r="V114" t="s">
        <v>4738</v>
      </c>
      <c r="X114">
        <v>386.1</v>
      </c>
      <c r="Y114">
        <v>0.82166418386890805</v>
      </c>
      <c r="Z114">
        <v>18.45</v>
      </c>
      <c r="AA114" t="s">
        <v>4738</v>
      </c>
      <c r="AC114">
        <v>393.3</v>
      </c>
      <c r="AD114">
        <v>0.83698659289210497</v>
      </c>
      <c r="AE114">
        <v>22.2</v>
      </c>
      <c r="AF114" t="s">
        <v>4738</v>
      </c>
      <c r="AH114">
        <v>428.1</v>
      </c>
      <c r="AI114">
        <v>0.91104490317088704</v>
      </c>
      <c r="AJ114">
        <v>141.80000000000001</v>
      </c>
      <c r="AK114" t="s">
        <v>4738</v>
      </c>
      <c r="AM114">
        <v>434.1</v>
      </c>
      <c r="AN114">
        <v>0.92381357735688496</v>
      </c>
      <c r="AO114">
        <v>154</v>
      </c>
      <c r="AP114" t="s">
        <v>4738</v>
      </c>
      <c r="AR114" t="s">
        <v>4739</v>
      </c>
      <c r="AS114" t="s">
        <v>4739</v>
      </c>
      <c r="AT114" t="s">
        <v>4739</v>
      </c>
      <c r="AU114" t="s">
        <v>4739</v>
      </c>
    </row>
    <row r="115" spans="1:47">
      <c r="A115" t="s">
        <v>3055</v>
      </c>
      <c r="B115" t="s">
        <v>3056</v>
      </c>
      <c r="C115" t="s">
        <v>17</v>
      </c>
      <c r="D115" t="s">
        <v>848</v>
      </c>
      <c r="E115" t="s">
        <v>849</v>
      </c>
      <c r="F115" t="s">
        <v>850</v>
      </c>
      <c r="G115" t="s">
        <v>4751</v>
      </c>
      <c r="H115" t="s">
        <v>827</v>
      </c>
      <c r="I115">
        <v>325.39999999999998</v>
      </c>
      <c r="J115">
        <v>0.69248776335390505</v>
      </c>
      <c r="K115">
        <v>2.165</v>
      </c>
      <c r="L115" t="s">
        <v>4740</v>
      </c>
      <c r="N115">
        <v>384.3</v>
      </c>
      <c r="O115">
        <v>0.81783358161310904</v>
      </c>
      <c r="P115">
        <v>18.29</v>
      </c>
      <c r="Q115" t="s">
        <v>4738</v>
      </c>
      <c r="S115">
        <v>313.2</v>
      </c>
      <c r="T115">
        <v>0.66652479250904495</v>
      </c>
      <c r="U115">
        <v>1.393</v>
      </c>
      <c r="V115" t="s">
        <v>4740</v>
      </c>
      <c r="X115">
        <v>355.3</v>
      </c>
      <c r="Y115">
        <v>0.75611832304745696</v>
      </c>
      <c r="Z115">
        <v>6.6120000000000001</v>
      </c>
      <c r="AA115" t="s">
        <v>4738</v>
      </c>
      <c r="AC115">
        <v>407.2</v>
      </c>
      <c r="AD115">
        <v>0.86656735475633095</v>
      </c>
      <c r="AE115">
        <v>33.869999999999997</v>
      </c>
      <c r="AF115" t="s">
        <v>4738</v>
      </c>
      <c r="AH115">
        <v>424.5</v>
      </c>
      <c r="AI115">
        <v>0.90338369865928903</v>
      </c>
      <c r="AJ115">
        <v>90.9</v>
      </c>
      <c r="AK115" t="s">
        <v>4738</v>
      </c>
      <c r="AM115">
        <v>422.4</v>
      </c>
      <c r="AN115">
        <v>0.89891466269418996</v>
      </c>
      <c r="AO115">
        <v>72</v>
      </c>
      <c r="AP115" t="s">
        <v>4738</v>
      </c>
      <c r="AR115" t="s">
        <v>4739</v>
      </c>
      <c r="AS115" t="s">
        <v>4739</v>
      </c>
      <c r="AT115" t="s">
        <v>4739</v>
      </c>
      <c r="AU115" t="s">
        <v>4739</v>
      </c>
    </row>
    <row r="116" spans="1:47">
      <c r="A116" t="s">
        <v>3058</v>
      </c>
      <c r="B116" t="s">
        <v>3059</v>
      </c>
      <c r="C116" t="s">
        <v>17</v>
      </c>
      <c r="D116" t="s">
        <v>855</v>
      </c>
      <c r="E116" t="s">
        <v>856</v>
      </c>
      <c r="F116" t="s">
        <v>857</v>
      </c>
      <c r="G116" t="s">
        <v>4751</v>
      </c>
      <c r="H116" t="s">
        <v>835</v>
      </c>
      <c r="I116">
        <v>375.9</v>
      </c>
      <c r="J116">
        <v>0.799957437752713</v>
      </c>
      <c r="K116">
        <v>9.3379999999999992</v>
      </c>
      <c r="L116" t="s">
        <v>4738</v>
      </c>
      <c r="N116">
        <v>368.9</v>
      </c>
      <c r="O116">
        <v>0.785060651202383</v>
      </c>
      <c r="P116">
        <v>10.06</v>
      </c>
      <c r="Q116" t="s">
        <v>4738</v>
      </c>
      <c r="S116">
        <v>344.3</v>
      </c>
      <c r="T116">
        <v>0.73270908703979598</v>
      </c>
      <c r="U116">
        <v>3.105</v>
      </c>
      <c r="V116" t="s">
        <v>4738</v>
      </c>
      <c r="X116">
        <v>386.1</v>
      </c>
      <c r="Y116">
        <v>0.82166418386890805</v>
      </c>
      <c r="Z116">
        <v>18.45</v>
      </c>
      <c r="AA116" t="s">
        <v>4738</v>
      </c>
      <c r="AC116">
        <v>393.3</v>
      </c>
      <c r="AD116">
        <v>0.83698659289210497</v>
      </c>
      <c r="AE116">
        <v>22.2</v>
      </c>
      <c r="AF116" t="s">
        <v>4738</v>
      </c>
      <c r="AH116">
        <v>428.1</v>
      </c>
      <c r="AI116">
        <v>0.91104490317088704</v>
      </c>
      <c r="AJ116">
        <v>141.80000000000001</v>
      </c>
      <c r="AK116" t="s">
        <v>4738</v>
      </c>
      <c r="AM116">
        <v>434.1</v>
      </c>
      <c r="AN116">
        <v>0.92381357735688496</v>
      </c>
      <c r="AO116">
        <v>154</v>
      </c>
      <c r="AP116" t="s">
        <v>4738</v>
      </c>
      <c r="AR116" t="s">
        <v>4739</v>
      </c>
      <c r="AS116" t="s">
        <v>4739</v>
      </c>
      <c r="AT116" t="s">
        <v>4739</v>
      </c>
      <c r="AU116" t="s">
        <v>4739</v>
      </c>
    </row>
    <row r="117" spans="1:47">
      <c r="A117" t="s">
        <v>3061</v>
      </c>
      <c r="B117" t="s">
        <v>3062</v>
      </c>
      <c r="C117" t="s">
        <v>17</v>
      </c>
      <c r="D117" t="s">
        <v>862</v>
      </c>
      <c r="E117" t="s">
        <v>863</v>
      </c>
      <c r="F117" t="s">
        <v>864</v>
      </c>
      <c r="G117" t="s">
        <v>4751</v>
      </c>
      <c r="H117" t="s">
        <v>843</v>
      </c>
      <c r="I117">
        <v>313.8</v>
      </c>
      <c r="J117">
        <v>0.66780165992764395</v>
      </c>
      <c r="K117">
        <v>1.4370000000000001</v>
      </c>
      <c r="L117" t="s">
        <v>4740</v>
      </c>
      <c r="N117">
        <v>367.1</v>
      </c>
      <c r="O117">
        <v>0.78123004894658399</v>
      </c>
      <c r="P117">
        <v>8.8559999999999999</v>
      </c>
      <c r="Q117" t="s">
        <v>4738</v>
      </c>
      <c r="S117">
        <v>324.8</v>
      </c>
      <c r="T117">
        <v>0.69121089593530505</v>
      </c>
      <c r="U117">
        <v>1.619</v>
      </c>
      <c r="V117" t="s">
        <v>4740</v>
      </c>
      <c r="X117">
        <v>315.39999999999998</v>
      </c>
      <c r="Y117">
        <v>0.67120663971057704</v>
      </c>
      <c r="Z117">
        <v>1.7769999999999999</v>
      </c>
      <c r="AA117" t="s">
        <v>4740</v>
      </c>
      <c r="AC117">
        <v>417.1</v>
      </c>
      <c r="AD117">
        <v>0.88763566716322595</v>
      </c>
      <c r="AE117">
        <v>70.41</v>
      </c>
      <c r="AF117" t="s">
        <v>4738</v>
      </c>
      <c r="AH117">
        <v>427.5</v>
      </c>
      <c r="AI117">
        <v>0.90976803575228804</v>
      </c>
      <c r="AJ117">
        <v>110.9</v>
      </c>
      <c r="AK117" t="s">
        <v>4738</v>
      </c>
      <c r="AM117">
        <v>412.6</v>
      </c>
      <c r="AN117">
        <v>0.87805916152372898</v>
      </c>
      <c r="AO117">
        <v>40.409999999999997</v>
      </c>
      <c r="AP117" t="s">
        <v>4738</v>
      </c>
      <c r="AR117" t="s">
        <v>4739</v>
      </c>
      <c r="AS117" t="s">
        <v>4739</v>
      </c>
      <c r="AT117" t="s">
        <v>4739</v>
      </c>
      <c r="AU117" t="s">
        <v>4739</v>
      </c>
    </row>
    <row r="118" spans="1:47">
      <c r="A118" t="s">
        <v>3064</v>
      </c>
      <c r="B118" t="s">
        <v>3065</v>
      </c>
      <c r="C118" t="s">
        <v>17</v>
      </c>
      <c r="D118" t="s">
        <v>840</v>
      </c>
      <c r="E118" t="s">
        <v>841</v>
      </c>
      <c r="F118" t="s">
        <v>842</v>
      </c>
      <c r="G118" t="s">
        <v>4750</v>
      </c>
      <c r="H118" t="s">
        <v>843</v>
      </c>
      <c r="I118">
        <v>313.8</v>
      </c>
      <c r="J118">
        <v>0.66780165992764395</v>
      </c>
      <c r="K118">
        <v>1.4370000000000001</v>
      </c>
      <c r="L118" t="s">
        <v>4740</v>
      </c>
      <c r="N118">
        <v>367.1</v>
      </c>
      <c r="O118">
        <v>0.78123004894658399</v>
      </c>
      <c r="P118">
        <v>8.8559999999999999</v>
      </c>
      <c r="Q118" t="s">
        <v>4738</v>
      </c>
      <c r="S118">
        <v>324.8</v>
      </c>
      <c r="T118">
        <v>0.69121089593530505</v>
      </c>
      <c r="U118">
        <v>1.619</v>
      </c>
      <c r="V118" t="s">
        <v>4740</v>
      </c>
      <c r="X118">
        <v>315.39999999999998</v>
      </c>
      <c r="Y118">
        <v>0.67120663971057704</v>
      </c>
      <c r="Z118">
        <v>1.7769999999999999</v>
      </c>
      <c r="AA118" t="s">
        <v>4740</v>
      </c>
      <c r="AC118">
        <v>417.1</v>
      </c>
      <c r="AD118">
        <v>0.88763566716322595</v>
      </c>
      <c r="AE118">
        <v>70.41</v>
      </c>
      <c r="AF118" t="s">
        <v>4738</v>
      </c>
      <c r="AH118">
        <v>427.5</v>
      </c>
      <c r="AI118">
        <v>0.90976803575228804</v>
      </c>
      <c r="AJ118">
        <v>110.9</v>
      </c>
      <c r="AK118" t="s">
        <v>4738</v>
      </c>
      <c r="AM118">
        <v>412.6</v>
      </c>
      <c r="AN118">
        <v>0.87805916152372898</v>
      </c>
      <c r="AO118">
        <v>40.409999999999997</v>
      </c>
      <c r="AP118" t="s">
        <v>4738</v>
      </c>
      <c r="AR118" t="s">
        <v>4739</v>
      </c>
      <c r="AS118" t="s">
        <v>4739</v>
      </c>
      <c r="AT118" t="s">
        <v>4739</v>
      </c>
      <c r="AU118" t="s">
        <v>4739</v>
      </c>
    </row>
    <row r="119" spans="1:47">
      <c r="A119" t="s">
        <v>3067</v>
      </c>
      <c r="B119" t="s">
        <v>3068</v>
      </c>
      <c r="C119" t="s">
        <v>17</v>
      </c>
      <c r="D119" t="s">
        <v>876</v>
      </c>
      <c r="E119" t="s">
        <v>877</v>
      </c>
      <c r="F119" t="s">
        <v>878</v>
      </c>
      <c r="G119" t="s">
        <v>4750</v>
      </c>
      <c r="H119" t="s">
        <v>880</v>
      </c>
      <c r="I119">
        <v>330</v>
      </c>
      <c r="J119">
        <v>0.70227708022983604</v>
      </c>
      <c r="K119">
        <v>3.024</v>
      </c>
      <c r="L119" t="s">
        <v>4740</v>
      </c>
      <c r="N119">
        <v>393.9</v>
      </c>
      <c r="O119">
        <v>0.83826346031070398</v>
      </c>
      <c r="P119">
        <v>23.23</v>
      </c>
      <c r="Q119" t="s">
        <v>4738</v>
      </c>
      <c r="S119">
        <v>355.7</v>
      </c>
      <c r="T119">
        <v>0.75696956799319004</v>
      </c>
      <c r="U119">
        <v>6.59</v>
      </c>
      <c r="V119" t="s">
        <v>4738</v>
      </c>
      <c r="X119">
        <v>387.6</v>
      </c>
      <c r="Y119">
        <v>0.824856352415408</v>
      </c>
      <c r="Z119">
        <v>16.78</v>
      </c>
      <c r="AA119" t="s">
        <v>4738</v>
      </c>
      <c r="AC119">
        <v>389.8</v>
      </c>
      <c r="AD119">
        <v>0.82953819961693998</v>
      </c>
      <c r="AE119">
        <v>22.34</v>
      </c>
      <c r="AF119" t="s">
        <v>4738</v>
      </c>
      <c r="AH119">
        <v>427.2</v>
      </c>
      <c r="AI119">
        <v>0.90912960204298798</v>
      </c>
      <c r="AJ119">
        <v>147.80000000000001</v>
      </c>
      <c r="AK119" t="s">
        <v>4738</v>
      </c>
      <c r="AM119">
        <v>432.8</v>
      </c>
      <c r="AN119">
        <v>0.92104703128325205</v>
      </c>
      <c r="AO119">
        <v>203.1</v>
      </c>
      <c r="AP119" t="s">
        <v>4738</v>
      </c>
      <c r="AR119" t="s">
        <v>4739</v>
      </c>
      <c r="AS119" t="s">
        <v>4739</v>
      </c>
      <c r="AT119" t="s">
        <v>4739</v>
      </c>
      <c r="AU119" t="s">
        <v>4739</v>
      </c>
    </row>
    <row r="120" spans="1:47">
      <c r="A120" t="s">
        <v>3070</v>
      </c>
      <c r="B120" t="s">
        <v>3071</v>
      </c>
      <c r="C120" t="s">
        <v>17</v>
      </c>
      <c r="D120" t="s">
        <v>885</v>
      </c>
      <c r="E120" t="s">
        <v>886</v>
      </c>
      <c r="F120" t="s">
        <v>887</v>
      </c>
      <c r="G120" t="s">
        <v>4750</v>
      </c>
      <c r="H120" t="s">
        <v>888</v>
      </c>
      <c r="I120">
        <v>332.9</v>
      </c>
      <c r="J120">
        <v>0.70844860608640103</v>
      </c>
      <c r="K120">
        <v>3.1150000000000002</v>
      </c>
      <c r="L120" t="s">
        <v>4738</v>
      </c>
      <c r="N120">
        <v>395.2</v>
      </c>
      <c r="O120">
        <v>0.841030006384337</v>
      </c>
      <c r="P120">
        <v>20.91</v>
      </c>
      <c r="Q120" t="s">
        <v>4738</v>
      </c>
      <c r="S120">
        <v>388.9</v>
      </c>
      <c r="T120">
        <v>0.82762289848904003</v>
      </c>
      <c r="U120">
        <v>19.89</v>
      </c>
      <c r="V120" t="s">
        <v>4738</v>
      </c>
      <c r="X120">
        <v>378.4</v>
      </c>
      <c r="Y120">
        <v>0.80527771866354503</v>
      </c>
      <c r="Z120">
        <v>12.47</v>
      </c>
      <c r="AA120" t="s">
        <v>4738</v>
      </c>
      <c r="AC120">
        <v>354.3</v>
      </c>
      <c r="AD120">
        <v>0.753990210683124</v>
      </c>
      <c r="AE120">
        <v>7.8529999999999998</v>
      </c>
      <c r="AF120" t="s">
        <v>4738</v>
      </c>
      <c r="AH120">
        <v>464.2</v>
      </c>
      <c r="AI120">
        <v>0.98786975952330303</v>
      </c>
      <c r="AJ120">
        <v>296</v>
      </c>
      <c r="AK120" t="s">
        <v>4738</v>
      </c>
      <c r="AM120">
        <v>437.2</v>
      </c>
      <c r="AN120">
        <v>0.930410725686316</v>
      </c>
      <c r="AO120">
        <v>195.8</v>
      </c>
      <c r="AP120" t="s">
        <v>4738</v>
      </c>
      <c r="AR120" t="s">
        <v>4739</v>
      </c>
      <c r="AS120" t="s">
        <v>4739</v>
      </c>
      <c r="AT120" t="s">
        <v>4739</v>
      </c>
      <c r="AU120" t="s">
        <v>4739</v>
      </c>
    </row>
    <row r="121" spans="1:47">
      <c r="A121" t="s">
        <v>3073</v>
      </c>
      <c r="B121" t="s">
        <v>3074</v>
      </c>
      <c r="C121" t="s">
        <v>17</v>
      </c>
      <c r="D121" t="s">
        <v>893</v>
      </c>
      <c r="E121" t="s">
        <v>894</v>
      </c>
      <c r="F121" t="s">
        <v>895</v>
      </c>
      <c r="G121" t="s">
        <v>4750</v>
      </c>
      <c r="H121" t="s">
        <v>896</v>
      </c>
      <c r="I121">
        <v>304.5</v>
      </c>
      <c r="J121">
        <v>0.64801021493934896</v>
      </c>
      <c r="K121">
        <v>0.97950000000000004</v>
      </c>
      <c r="L121" t="s">
        <v>4740</v>
      </c>
      <c r="N121">
        <v>394.4</v>
      </c>
      <c r="O121">
        <v>0.83932751649287096</v>
      </c>
      <c r="P121">
        <v>23.78</v>
      </c>
      <c r="Q121" t="s">
        <v>4738</v>
      </c>
      <c r="S121">
        <v>354.6</v>
      </c>
      <c r="T121">
        <v>0.75462864439242405</v>
      </c>
      <c r="U121">
        <v>8.6240000000000006</v>
      </c>
      <c r="V121" t="s">
        <v>4738</v>
      </c>
      <c r="X121">
        <v>335.4</v>
      </c>
      <c r="Y121">
        <v>0.71376888699723295</v>
      </c>
      <c r="Z121">
        <v>3.7309999999999999</v>
      </c>
      <c r="AA121" t="s">
        <v>4738</v>
      </c>
      <c r="AC121">
        <v>307.39999999999998</v>
      </c>
      <c r="AD121">
        <v>0.65418174079591396</v>
      </c>
      <c r="AE121">
        <v>2.387</v>
      </c>
      <c r="AF121" t="s">
        <v>4740</v>
      </c>
      <c r="AH121">
        <v>449.2</v>
      </c>
      <c r="AI121">
        <v>0.95594807405830995</v>
      </c>
      <c r="AJ121">
        <v>773.8</v>
      </c>
      <c r="AK121" t="s">
        <v>4738</v>
      </c>
      <c r="AM121">
        <v>420.1</v>
      </c>
      <c r="AN121">
        <v>0.89402000425622496</v>
      </c>
      <c r="AO121">
        <v>131.80000000000001</v>
      </c>
      <c r="AP121" t="s">
        <v>4738</v>
      </c>
      <c r="AR121" t="s">
        <v>4739</v>
      </c>
      <c r="AS121" t="s">
        <v>4739</v>
      </c>
      <c r="AT121" t="s">
        <v>4739</v>
      </c>
      <c r="AU121" t="s">
        <v>4739</v>
      </c>
    </row>
    <row r="122" spans="1:47">
      <c r="A122" t="s">
        <v>3076</v>
      </c>
      <c r="B122" t="s">
        <v>3077</v>
      </c>
      <c r="C122" t="s">
        <v>17</v>
      </c>
      <c r="D122" t="s">
        <v>901</v>
      </c>
      <c r="E122" t="s">
        <v>902</v>
      </c>
      <c r="F122" t="s">
        <v>903</v>
      </c>
      <c r="G122" t="s">
        <v>4751</v>
      </c>
      <c r="H122" t="s">
        <v>880</v>
      </c>
      <c r="I122">
        <v>330</v>
      </c>
      <c r="J122">
        <v>0.70227708022983604</v>
      </c>
      <c r="K122">
        <v>3.024</v>
      </c>
      <c r="L122" t="s">
        <v>4740</v>
      </c>
      <c r="N122">
        <v>393.9</v>
      </c>
      <c r="O122">
        <v>0.83826346031070398</v>
      </c>
      <c r="P122">
        <v>23.23</v>
      </c>
      <c r="Q122" t="s">
        <v>4738</v>
      </c>
      <c r="S122">
        <v>355.7</v>
      </c>
      <c r="T122">
        <v>0.75696956799319004</v>
      </c>
      <c r="U122">
        <v>6.59</v>
      </c>
      <c r="V122" t="s">
        <v>4738</v>
      </c>
      <c r="X122">
        <v>387.6</v>
      </c>
      <c r="Y122">
        <v>0.824856352415408</v>
      </c>
      <c r="Z122">
        <v>16.78</v>
      </c>
      <c r="AA122" t="s">
        <v>4738</v>
      </c>
      <c r="AC122">
        <v>389.8</v>
      </c>
      <c r="AD122">
        <v>0.82953819961693998</v>
      </c>
      <c r="AE122">
        <v>22.34</v>
      </c>
      <c r="AF122" t="s">
        <v>4738</v>
      </c>
      <c r="AH122">
        <v>427.2</v>
      </c>
      <c r="AI122">
        <v>0.90912960204298798</v>
      </c>
      <c r="AJ122">
        <v>147.80000000000001</v>
      </c>
      <c r="AK122" t="s">
        <v>4738</v>
      </c>
      <c r="AM122">
        <v>432.8</v>
      </c>
      <c r="AN122">
        <v>0.92104703128325205</v>
      </c>
      <c r="AO122">
        <v>203.1</v>
      </c>
      <c r="AP122" t="s">
        <v>4738</v>
      </c>
      <c r="AR122" t="s">
        <v>4739</v>
      </c>
      <c r="AS122" t="s">
        <v>4739</v>
      </c>
      <c r="AT122" t="s">
        <v>4739</v>
      </c>
      <c r="AU122" t="s">
        <v>4739</v>
      </c>
    </row>
    <row r="123" spans="1:47">
      <c r="A123" t="s">
        <v>3079</v>
      </c>
      <c r="B123" t="s">
        <v>3080</v>
      </c>
      <c r="C123" t="s">
        <v>17</v>
      </c>
      <c r="D123" t="s">
        <v>908</v>
      </c>
      <c r="E123" t="s">
        <v>909</v>
      </c>
      <c r="F123" t="s">
        <v>910</v>
      </c>
      <c r="G123" t="s">
        <v>4751</v>
      </c>
      <c r="H123" t="s">
        <v>888</v>
      </c>
      <c r="I123">
        <v>332.9</v>
      </c>
      <c r="J123">
        <v>0.70844860608640103</v>
      </c>
      <c r="K123">
        <v>3.1150000000000002</v>
      </c>
      <c r="L123" t="s">
        <v>4738</v>
      </c>
      <c r="N123">
        <v>395.2</v>
      </c>
      <c r="O123">
        <v>0.841030006384337</v>
      </c>
      <c r="P123">
        <v>20.91</v>
      </c>
      <c r="Q123" t="s">
        <v>4738</v>
      </c>
      <c r="S123">
        <v>388.9</v>
      </c>
      <c r="T123">
        <v>0.82762289848904003</v>
      </c>
      <c r="U123">
        <v>19.89</v>
      </c>
      <c r="V123" t="s">
        <v>4738</v>
      </c>
      <c r="X123">
        <v>378.4</v>
      </c>
      <c r="Y123">
        <v>0.80527771866354503</v>
      </c>
      <c r="Z123">
        <v>12.47</v>
      </c>
      <c r="AA123" t="s">
        <v>4738</v>
      </c>
      <c r="AC123">
        <v>354.3</v>
      </c>
      <c r="AD123">
        <v>0.753990210683124</v>
      </c>
      <c r="AE123">
        <v>7.8529999999999998</v>
      </c>
      <c r="AF123" t="s">
        <v>4738</v>
      </c>
      <c r="AH123">
        <v>464.2</v>
      </c>
      <c r="AI123">
        <v>0.98786975952330303</v>
      </c>
      <c r="AJ123">
        <v>296</v>
      </c>
      <c r="AK123" t="s">
        <v>4738</v>
      </c>
      <c r="AM123">
        <v>437.2</v>
      </c>
      <c r="AN123">
        <v>0.930410725686316</v>
      </c>
      <c r="AO123">
        <v>195.8</v>
      </c>
      <c r="AP123" t="s">
        <v>4738</v>
      </c>
      <c r="AR123" t="s">
        <v>4739</v>
      </c>
      <c r="AS123" t="s">
        <v>4739</v>
      </c>
      <c r="AT123" t="s">
        <v>4739</v>
      </c>
      <c r="AU123" t="s">
        <v>4739</v>
      </c>
    </row>
    <row r="124" spans="1:47">
      <c r="A124" t="s">
        <v>3082</v>
      </c>
      <c r="B124" t="s">
        <v>3083</v>
      </c>
      <c r="C124" t="s">
        <v>17</v>
      </c>
      <c r="D124" t="s">
        <v>915</v>
      </c>
      <c r="E124" t="s">
        <v>916</v>
      </c>
      <c r="F124" t="s">
        <v>917</v>
      </c>
      <c r="G124" t="s">
        <v>4751</v>
      </c>
      <c r="H124" t="s">
        <v>896</v>
      </c>
      <c r="I124">
        <v>304.5</v>
      </c>
      <c r="J124">
        <v>0.64801021493934896</v>
      </c>
      <c r="K124">
        <v>0.97950000000000004</v>
      </c>
      <c r="L124" t="s">
        <v>4740</v>
      </c>
      <c r="N124">
        <v>394.4</v>
      </c>
      <c r="O124">
        <v>0.83932751649287096</v>
      </c>
      <c r="P124">
        <v>23.78</v>
      </c>
      <c r="Q124" t="s">
        <v>4738</v>
      </c>
      <c r="S124">
        <v>354.6</v>
      </c>
      <c r="T124">
        <v>0.75462864439242405</v>
      </c>
      <c r="U124">
        <v>8.6240000000000006</v>
      </c>
      <c r="V124" t="s">
        <v>4738</v>
      </c>
      <c r="X124">
        <v>335.4</v>
      </c>
      <c r="Y124">
        <v>0.71376888699723295</v>
      </c>
      <c r="Z124">
        <v>3.7309999999999999</v>
      </c>
      <c r="AA124" t="s">
        <v>4738</v>
      </c>
      <c r="AC124">
        <v>307.39999999999998</v>
      </c>
      <c r="AD124">
        <v>0.65418174079591396</v>
      </c>
      <c r="AE124">
        <v>2.387</v>
      </c>
      <c r="AF124" t="s">
        <v>4740</v>
      </c>
      <c r="AH124">
        <v>449.2</v>
      </c>
      <c r="AI124">
        <v>0.95594807405830995</v>
      </c>
      <c r="AJ124">
        <v>773.8</v>
      </c>
      <c r="AK124" t="s">
        <v>4738</v>
      </c>
      <c r="AM124">
        <v>420.1</v>
      </c>
      <c r="AN124">
        <v>0.89402000425622496</v>
      </c>
      <c r="AO124">
        <v>131.80000000000001</v>
      </c>
      <c r="AP124" t="s">
        <v>4738</v>
      </c>
      <c r="AR124" t="s">
        <v>4739</v>
      </c>
      <c r="AS124" t="s">
        <v>4739</v>
      </c>
      <c r="AT124" t="s">
        <v>4739</v>
      </c>
      <c r="AU124" t="s">
        <v>4739</v>
      </c>
    </row>
    <row r="125" spans="1:47">
      <c r="A125" t="s">
        <v>3085</v>
      </c>
      <c r="B125" t="s">
        <v>3086</v>
      </c>
      <c r="C125" t="s">
        <v>17</v>
      </c>
      <c r="D125" t="s">
        <v>929</v>
      </c>
      <c r="E125" t="s">
        <v>930</v>
      </c>
      <c r="F125" t="s">
        <v>931</v>
      </c>
      <c r="G125" t="s">
        <v>4750</v>
      </c>
      <c r="H125" t="s">
        <v>933</v>
      </c>
      <c r="I125">
        <v>304.7</v>
      </c>
      <c r="J125">
        <v>0.648435837412215</v>
      </c>
      <c r="K125">
        <v>1.2769999999999999</v>
      </c>
      <c r="L125" t="s">
        <v>4740</v>
      </c>
      <c r="N125">
        <v>390.4</v>
      </c>
      <c r="O125">
        <v>0.83081506703553898</v>
      </c>
      <c r="P125">
        <v>18.440000000000001</v>
      </c>
      <c r="Q125" t="s">
        <v>4738</v>
      </c>
      <c r="S125">
        <v>371.8</v>
      </c>
      <c r="T125">
        <v>0.79123217705894899</v>
      </c>
      <c r="U125">
        <v>5.7489999999999997</v>
      </c>
      <c r="V125" t="s">
        <v>4738</v>
      </c>
      <c r="X125">
        <v>300.3</v>
      </c>
      <c r="Y125">
        <v>0.63907214300915105</v>
      </c>
      <c r="Z125">
        <v>1.9239999999999999</v>
      </c>
      <c r="AA125" t="s">
        <v>4740</v>
      </c>
      <c r="AC125">
        <v>394.4</v>
      </c>
      <c r="AD125">
        <v>0.83932751649287096</v>
      </c>
      <c r="AE125">
        <v>22.82</v>
      </c>
      <c r="AF125" t="s">
        <v>4738</v>
      </c>
      <c r="AH125">
        <v>443.9</v>
      </c>
      <c r="AI125">
        <v>0.94466907852734605</v>
      </c>
      <c r="AJ125">
        <v>114</v>
      </c>
      <c r="AK125" t="s">
        <v>4738</v>
      </c>
      <c r="AM125">
        <v>426.1</v>
      </c>
      <c r="AN125">
        <v>0.906788678442222</v>
      </c>
      <c r="AO125">
        <v>64.73</v>
      </c>
      <c r="AP125" t="s">
        <v>4738</v>
      </c>
      <c r="AR125" t="s">
        <v>10</v>
      </c>
      <c r="AS125" t="s">
        <v>4739</v>
      </c>
      <c r="AT125" t="s">
        <v>4739</v>
      </c>
      <c r="AU125" t="s">
        <v>10</v>
      </c>
    </row>
    <row r="126" spans="1:47">
      <c r="A126" t="s">
        <v>3088</v>
      </c>
      <c r="B126" t="s">
        <v>3089</v>
      </c>
      <c r="C126" t="s">
        <v>17</v>
      </c>
      <c r="D126" t="s">
        <v>946</v>
      </c>
      <c r="E126" t="s">
        <v>947</v>
      </c>
      <c r="F126" t="s">
        <v>948</v>
      </c>
      <c r="G126" t="s">
        <v>4751</v>
      </c>
      <c r="H126" t="s">
        <v>933</v>
      </c>
      <c r="I126">
        <v>304.7</v>
      </c>
      <c r="J126">
        <v>0.648435837412215</v>
      </c>
      <c r="K126">
        <v>1.2769999999999999</v>
      </c>
      <c r="L126" t="s">
        <v>4740</v>
      </c>
      <c r="N126">
        <v>390.4</v>
      </c>
      <c r="O126">
        <v>0.83081506703553898</v>
      </c>
      <c r="P126">
        <v>18.440000000000001</v>
      </c>
      <c r="Q126" t="s">
        <v>4738</v>
      </c>
      <c r="S126">
        <v>371.8</v>
      </c>
      <c r="T126">
        <v>0.79123217705894899</v>
      </c>
      <c r="U126">
        <v>5.7489999999999997</v>
      </c>
      <c r="V126" t="s">
        <v>4738</v>
      </c>
      <c r="X126">
        <v>300.3</v>
      </c>
      <c r="Y126">
        <v>0.63907214300915105</v>
      </c>
      <c r="Z126">
        <v>1.9239999999999999</v>
      </c>
      <c r="AA126" t="s">
        <v>4740</v>
      </c>
      <c r="AC126">
        <v>394.4</v>
      </c>
      <c r="AD126">
        <v>0.83932751649287096</v>
      </c>
      <c r="AE126">
        <v>22.82</v>
      </c>
      <c r="AF126" t="s">
        <v>4738</v>
      </c>
      <c r="AH126">
        <v>443.9</v>
      </c>
      <c r="AI126">
        <v>0.94466907852734605</v>
      </c>
      <c r="AJ126">
        <v>114</v>
      </c>
      <c r="AK126" t="s">
        <v>4738</v>
      </c>
      <c r="AM126">
        <v>426.1</v>
      </c>
      <c r="AN126">
        <v>0.906788678442222</v>
      </c>
      <c r="AO126">
        <v>64.73</v>
      </c>
      <c r="AP126" t="s">
        <v>4738</v>
      </c>
      <c r="AR126" t="s">
        <v>10</v>
      </c>
      <c r="AS126" t="s">
        <v>4739</v>
      </c>
      <c r="AT126" t="s">
        <v>4739</v>
      </c>
      <c r="AU126" t="s">
        <v>10</v>
      </c>
    </row>
    <row r="127" spans="1:47">
      <c r="A127" t="s">
        <v>3091</v>
      </c>
      <c r="B127" t="s">
        <v>3092</v>
      </c>
      <c r="C127" t="s">
        <v>17</v>
      </c>
      <c r="D127" t="s">
        <v>938</v>
      </c>
      <c r="E127" t="s">
        <v>939</v>
      </c>
      <c r="F127" t="s">
        <v>940</v>
      </c>
      <c r="G127" t="s">
        <v>4750</v>
      </c>
      <c r="H127" t="s">
        <v>941</v>
      </c>
      <c r="I127">
        <v>292</v>
      </c>
      <c r="J127">
        <v>0.62140881038518803</v>
      </c>
      <c r="K127">
        <v>0.9274</v>
      </c>
      <c r="L127" t="s">
        <v>4740</v>
      </c>
      <c r="N127">
        <v>359.7</v>
      </c>
      <c r="O127">
        <v>0.76548201745052102</v>
      </c>
      <c r="P127">
        <v>7.0439999999999996</v>
      </c>
      <c r="Q127" t="s">
        <v>4738</v>
      </c>
      <c r="S127">
        <v>347.8</v>
      </c>
      <c r="T127">
        <v>0.74015748031496098</v>
      </c>
      <c r="U127">
        <v>3.26</v>
      </c>
      <c r="V127" t="s">
        <v>4738</v>
      </c>
      <c r="X127">
        <v>307.89999999999998</v>
      </c>
      <c r="Y127">
        <v>0.65524579697808005</v>
      </c>
      <c r="Z127">
        <v>1.2230000000000001</v>
      </c>
      <c r="AA127" t="s">
        <v>4740</v>
      </c>
      <c r="AC127">
        <v>422.9</v>
      </c>
      <c r="AD127">
        <v>0.89997871887635705</v>
      </c>
      <c r="AE127">
        <v>38.369999999999997</v>
      </c>
      <c r="AF127" t="s">
        <v>4738</v>
      </c>
      <c r="AH127">
        <v>432.4</v>
      </c>
      <c r="AI127">
        <v>0.92019578633751897</v>
      </c>
      <c r="AJ127">
        <v>66.989999999999995</v>
      </c>
      <c r="AK127" t="s">
        <v>4738</v>
      </c>
      <c r="AM127">
        <v>443</v>
      </c>
      <c r="AN127">
        <v>0.94275377739944699</v>
      </c>
      <c r="AO127">
        <v>118.7</v>
      </c>
      <c r="AP127" t="s">
        <v>4738</v>
      </c>
      <c r="AR127" t="s">
        <v>10</v>
      </c>
      <c r="AS127" t="s">
        <v>4739</v>
      </c>
      <c r="AT127" t="s">
        <v>4739</v>
      </c>
      <c r="AU127" t="s">
        <v>10</v>
      </c>
    </row>
    <row r="128" spans="1:47">
      <c r="A128" t="s">
        <v>3094</v>
      </c>
      <c r="B128" t="s">
        <v>3095</v>
      </c>
      <c r="C128" t="s">
        <v>17</v>
      </c>
      <c r="D128" t="s">
        <v>953</v>
      </c>
      <c r="E128" t="s">
        <v>954</v>
      </c>
      <c r="F128" t="s">
        <v>955</v>
      </c>
      <c r="G128" t="s">
        <v>4751</v>
      </c>
      <c r="H128" t="s">
        <v>941</v>
      </c>
      <c r="I128">
        <v>292</v>
      </c>
      <c r="J128">
        <v>0.62140881038518803</v>
      </c>
      <c r="K128">
        <v>0.9274</v>
      </c>
      <c r="L128" t="s">
        <v>4740</v>
      </c>
      <c r="N128">
        <v>359.7</v>
      </c>
      <c r="O128">
        <v>0.76548201745052102</v>
      </c>
      <c r="P128">
        <v>7.0439999999999996</v>
      </c>
      <c r="Q128" t="s">
        <v>4738</v>
      </c>
      <c r="S128">
        <v>347.8</v>
      </c>
      <c r="T128">
        <v>0.74015748031496098</v>
      </c>
      <c r="U128">
        <v>3.26</v>
      </c>
      <c r="V128" t="s">
        <v>4738</v>
      </c>
      <c r="X128">
        <v>307.89999999999998</v>
      </c>
      <c r="Y128">
        <v>0.65524579697808005</v>
      </c>
      <c r="Z128">
        <v>1.2230000000000001</v>
      </c>
      <c r="AA128" t="s">
        <v>4740</v>
      </c>
      <c r="AC128">
        <v>422.9</v>
      </c>
      <c r="AD128">
        <v>0.89997871887635705</v>
      </c>
      <c r="AE128">
        <v>38.369999999999997</v>
      </c>
      <c r="AF128" t="s">
        <v>4738</v>
      </c>
      <c r="AH128">
        <v>432.4</v>
      </c>
      <c r="AI128">
        <v>0.92019578633751897</v>
      </c>
      <c r="AJ128">
        <v>66.989999999999995</v>
      </c>
      <c r="AK128" t="s">
        <v>4738</v>
      </c>
      <c r="AM128">
        <v>443</v>
      </c>
      <c r="AN128">
        <v>0.94275377739944699</v>
      </c>
      <c r="AO128">
        <v>118.7</v>
      </c>
      <c r="AP128" t="s">
        <v>4738</v>
      </c>
      <c r="AR128" t="s">
        <v>10</v>
      </c>
      <c r="AS128" t="s">
        <v>4739</v>
      </c>
      <c r="AT128" t="s">
        <v>4739</v>
      </c>
      <c r="AU128" t="s">
        <v>10</v>
      </c>
    </row>
    <row r="129" spans="1:47">
      <c r="A129" t="s">
        <v>3097</v>
      </c>
      <c r="B129" t="s">
        <v>3098</v>
      </c>
      <c r="C129" t="s">
        <v>17</v>
      </c>
      <c r="D129" t="s">
        <v>3100</v>
      </c>
      <c r="E129" t="s">
        <v>3101</v>
      </c>
      <c r="F129" t="s">
        <v>3102</v>
      </c>
      <c r="G129" t="s">
        <v>4752</v>
      </c>
      <c r="H129" t="s">
        <v>970</v>
      </c>
      <c r="I129" t="e">
        <v>#N/A</v>
      </c>
      <c r="J129" t="e">
        <v>#N/A</v>
      </c>
      <c r="K129" t="e">
        <v>#N/A</v>
      </c>
      <c r="L129" t="e">
        <v>#N/A</v>
      </c>
      <c r="N129" t="e">
        <v>#N/A</v>
      </c>
      <c r="O129" t="e">
        <v>#N/A</v>
      </c>
      <c r="P129" t="e">
        <v>#N/A</v>
      </c>
      <c r="Q129" t="e">
        <v>#N/A</v>
      </c>
      <c r="S129" t="e">
        <v>#N/A</v>
      </c>
      <c r="T129" t="e">
        <v>#N/A</v>
      </c>
      <c r="U129" t="e">
        <v>#N/A</v>
      </c>
      <c r="V129" t="e">
        <v>#N/A</v>
      </c>
      <c r="X129" t="e">
        <v>#N/A</v>
      </c>
      <c r="Y129" t="e">
        <v>#N/A</v>
      </c>
      <c r="Z129" t="e">
        <v>#N/A</v>
      </c>
      <c r="AA129" t="e">
        <v>#N/A</v>
      </c>
      <c r="AC129" t="e">
        <v>#N/A</v>
      </c>
      <c r="AD129" t="e">
        <v>#N/A</v>
      </c>
      <c r="AE129" t="e">
        <v>#N/A</v>
      </c>
      <c r="AF129" t="e">
        <v>#N/A</v>
      </c>
      <c r="AH129" t="e">
        <v>#N/A</v>
      </c>
      <c r="AI129" t="e">
        <v>#N/A</v>
      </c>
      <c r="AJ129" t="e">
        <v>#N/A</v>
      </c>
      <c r="AK129" t="e">
        <v>#N/A</v>
      </c>
      <c r="AM129" t="e">
        <v>#N/A</v>
      </c>
      <c r="AN129" t="e">
        <v>#N/A</v>
      </c>
      <c r="AO129" t="e">
        <v>#N/A</v>
      </c>
      <c r="AP129" t="e">
        <v>#N/A</v>
      </c>
      <c r="AR129" t="s">
        <v>4739</v>
      </c>
      <c r="AS129" t="s">
        <v>4739</v>
      </c>
      <c r="AT129" t="s">
        <v>4739</v>
      </c>
      <c r="AU129" t="s">
        <v>4739</v>
      </c>
    </row>
    <row r="130" spans="1:47">
      <c r="A130" t="s">
        <v>3104</v>
      </c>
      <c r="B130" t="s">
        <v>3105</v>
      </c>
      <c r="C130" t="s">
        <v>17</v>
      </c>
      <c r="D130" t="s">
        <v>3107</v>
      </c>
      <c r="E130" t="s">
        <v>3108</v>
      </c>
      <c r="F130" t="s">
        <v>3109</v>
      </c>
      <c r="G130" t="s">
        <v>4753</v>
      </c>
      <c r="H130" t="s">
        <v>970</v>
      </c>
      <c r="I130" t="e">
        <v>#N/A</v>
      </c>
      <c r="J130" t="e">
        <v>#N/A</v>
      </c>
      <c r="K130" t="e">
        <v>#N/A</v>
      </c>
      <c r="L130" t="e">
        <v>#N/A</v>
      </c>
      <c r="N130" t="e">
        <v>#N/A</v>
      </c>
      <c r="O130" t="e">
        <v>#N/A</v>
      </c>
      <c r="P130" t="e">
        <v>#N/A</v>
      </c>
      <c r="Q130" t="e">
        <v>#N/A</v>
      </c>
      <c r="S130" t="e">
        <v>#N/A</v>
      </c>
      <c r="T130" t="e">
        <v>#N/A</v>
      </c>
      <c r="U130" t="e">
        <v>#N/A</v>
      </c>
      <c r="V130" t="e">
        <v>#N/A</v>
      </c>
      <c r="X130" t="e">
        <v>#N/A</v>
      </c>
      <c r="Y130" t="e">
        <v>#N/A</v>
      </c>
      <c r="Z130" t="e">
        <v>#N/A</v>
      </c>
      <c r="AA130" t="e">
        <v>#N/A</v>
      </c>
      <c r="AC130" t="e">
        <v>#N/A</v>
      </c>
      <c r="AD130" t="e">
        <v>#N/A</v>
      </c>
      <c r="AE130" t="e">
        <v>#N/A</v>
      </c>
      <c r="AF130" t="e">
        <v>#N/A</v>
      </c>
      <c r="AH130" t="e">
        <v>#N/A</v>
      </c>
      <c r="AI130" t="e">
        <v>#N/A</v>
      </c>
      <c r="AJ130" t="e">
        <v>#N/A</v>
      </c>
      <c r="AK130" t="e">
        <v>#N/A</v>
      </c>
      <c r="AM130" t="e">
        <v>#N/A</v>
      </c>
      <c r="AN130" t="e">
        <v>#N/A</v>
      </c>
      <c r="AO130" t="e">
        <v>#N/A</v>
      </c>
      <c r="AP130" t="e">
        <v>#N/A</v>
      </c>
      <c r="AR130" t="s">
        <v>4739</v>
      </c>
      <c r="AS130" t="s">
        <v>4739</v>
      </c>
      <c r="AT130" t="s">
        <v>4739</v>
      </c>
      <c r="AU130" t="s">
        <v>4739</v>
      </c>
    </row>
    <row r="131" spans="1:47">
      <c r="A131" t="s">
        <v>3111</v>
      </c>
      <c r="B131" t="s">
        <v>3112</v>
      </c>
      <c r="C131" t="s">
        <v>17</v>
      </c>
      <c r="D131" t="s">
        <v>967</v>
      </c>
      <c r="E131" t="s">
        <v>968</v>
      </c>
      <c r="F131" t="s">
        <v>969</v>
      </c>
      <c r="G131" t="s">
        <v>4750</v>
      </c>
      <c r="H131" t="s">
        <v>971</v>
      </c>
      <c r="I131">
        <v>352.3</v>
      </c>
      <c r="J131">
        <v>0.74973398595445895</v>
      </c>
      <c r="K131">
        <v>4.7530000000000001</v>
      </c>
      <c r="L131" t="s">
        <v>4738</v>
      </c>
      <c r="N131">
        <v>343.4</v>
      </c>
      <c r="O131">
        <v>0.73079378591189603</v>
      </c>
      <c r="P131">
        <v>4.9379999999999997</v>
      </c>
      <c r="Q131" t="s">
        <v>4738</v>
      </c>
      <c r="S131">
        <v>404.3</v>
      </c>
      <c r="T131">
        <v>0.86039582889976596</v>
      </c>
      <c r="U131">
        <v>41.17</v>
      </c>
      <c r="V131" t="s">
        <v>4738</v>
      </c>
      <c r="X131">
        <v>394.7</v>
      </c>
      <c r="Y131">
        <v>0.83996595020217102</v>
      </c>
      <c r="Z131">
        <v>16.13</v>
      </c>
      <c r="AA131" t="s">
        <v>4738</v>
      </c>
      <c r="AC131">
        <v>386.1</v>
      </c>
      <c r="AD131">
        <v>0.82166418386890805</v>
      </c>
      <c r="AE131">
        <v>17.25</v>
      </c>
      <c r="AF131" t="s">
        <v>4738</v>
      </c>
      <c r="AH131">
        <v>422</v>
      </c>
      <c r="AI131">
        <v>0.89806341774845699</v>
      </c>
      <c r="AJ131">
        <v>190.6</v>
      </c>
      <c r="AK131" t="s">
        <v>4738</v>
      </c>
      <c r="AM131">
        <v>432.3</v>
      </c>
      <c r="AN131">
        <v>0.91998297510108495</v>
      </c>
      <c r="AO131">
        <v>215.2</v>
      </c>
      <c r="AP131" t="s">
        <v>4738</v>
      </c>
      <c r="AR131" t="s">
        <v>4739</v>
      </c>
      <c r="AS131" t="s">
        <v>4739</v>
      </c>
      <c r="AT131" t="s">
        <v>4739</v>
      </c>
      <c r="AU131" t="s">
        <v>4739</v>
      </c>
    </row>
    <row r="132" spans="1:47">
      <c r="A132" t="s">
        <v>3114</v>
      </c>
      <c r="B132" t="s">
        <v>3115</v>
      </c>
      <c r="C132" t="s">
        <v>17</v>
      </c>
      <c r="D132" t="s">
        <v>976</v>
      </c>
      <c r="E132" t="s">
        <v>977</v>
      </c>
      <c r="F132" t="s">
        <v>978</v>
      </c>
      <c r="G132" t="s">
        <v>4750</v>
      </c>
      <c r="H132" t="s">
        <v>979</v>
      </c>
      <c r="I132">
        <v>341.4</v>
      </c>
      <c r="J132">
        <v>0.72653756118322999</v>
      </c>
      <c r="K132">
        <v>2.9329999999999998</v>
      </c>
      <c r="L132" t="s">
        <v>4738</v>
      </c>
      <c r="N132">
        <v>365.1</v>
      </c>
      <c r="O132">
        <v>0.77697382421791905</v>
      </c>
      <c r="P132">
        <v>10.050000000000001</v>
      </c>
      <c r="Q132" t="s">
        <v>4738</v>
      </c>
      <c r="S132">
        <v>381.2</v>
      </c>
      <c r="T132">
        <v>0.81123643328367701</v>
      </c>
      <c r="U132">
        <v>17.72</v>
      </c>
      <c r="V132" t="s">
        <v>4738</v>
      </c>
      <c r="X132">
        <v>326.7</v>
      </c>
      <c r="Y132">
        <v>0.69525430942753796</v>
      </c>
      <c r="Z132">
        <v>2.3530000000000002</v>
      </c>
      <c r="AA132" t="s">
        <v>4738</v>
      </c>
      <c r="AC132">
        <v>370.9</v>
      </c>
      <c r="AD132">
        <v>0.78931687593104904</v>
      </c>
      <c r="AE132">
        <v>10.81</v>
      </c>
      <c r="AF132" t="s">
        <v>4738</v>
      </c>
      <c r="AH132">
        <v>398.9</v>
      </c>
      <c r="AI132">
        <v>0.84890402213236904</v>
      </c>
      <c r="AJ132">
        <v>80.67</v>
      </c>
      <c r="AK132" t="s">
        <v>4738</v>
      </c>
      <c r="AM132">
        <v>417.2</v>
      </c>
      <c r="AN132">
        <v>0.88784847839965997</v>
      </c>
      <c r="AO132">
        <v>100.4</v>
      </c>
      <c r="AP132" t="s">
        <v>4738</v>
      </c>
      <c r="AR132" t="s">
        <v>4739</v>
      </c>
      <c r="AS132" t="s">
        <v>4739</v>
      </c>
      <c r="AT132" t="s">
        <v>4739</v>
      </c>
      <c r="AU132" t="s">
        <v>4739</v>
      </c>
    </row>
    <row r="133" spans="1:47">
      <c r="A133" t="s">
        <v>3117</v>
      </c>
      <c r="B133" t="s">
        <v>3118</v>
      </c>
      <c r="C133" t="s">
        <v>17</v>
      </c>
      <c r="D133" t="s">
        <v>984</v>
      </c>
      <c r="E133" t="s">
        <v>985</v>
      </c>
      <c r="F133" t="s">
        <v>986</v>
      </c>
      <c r="G133" t="s">
        <v>4750</v>
      </c>
      <c r="H133" t="s">
        <v>987</v>
      </c>
      <c r="I133">
        <v>363.3</v>
      </c>
      <c r="J133">
        <v>0.77314322196212004</v>
      </c>
      <c r="K133">
        <v>7.702</v>
      </c>
      <c r="L133" t="s">
        <v>4738</v>
      </c>
      <c r="N133">
        <v>341.8</v>
      </c>
      <c r="O133">
        <v>0.72738880612896395</v>
      </c>
      <c r="P133">
        <v>4.7080000000000002</v>
      </c>
      <c r="Q133" t="s">
        <v>4738</v>
      </c>
      <c r="S133">
        <v>359.1</v>
      </c>
      <c r="T133">
        <v>0.76420515003192202</v>
      </c>
      <c r="U133">
        <v>10.39</v>
      </c>
      <c r="V133" t="s">
        <v>4738</v>
      </c>
      <c r="X133">
        <v>367.1</v>
      </c>
      <c r="Y133">
        <v>0.78123004894658399</v>
      </c>
      <c r="Z133">
        <v>11.81</v>
      </c>
      <c r="AA133" t="s">
        <v>4738</v>
      </c>
      <c r="AC133">
        <v>321.3</v>
      </c>
      <c r="AD133">
        <v>0.68376250266014005</v>
      </c>
      <c r="AE133">
        <v>2.3929999999999998</v>
      </c>
      <c r="AF133" t="s">
        <v>4740</v>
      </c>
      <c r="AH133">
        <v>395.4</v>
      </c>
      <c r="AI133">
        <v>0.84145562885720404</v>
      </c>
      <c r="AJ133">
        <v>122.5</v>
      </c>
      <c r="AK133" t="s">
        <v>4738</v>
      </c>
      <c r="AM133">
        <v>389.9</v>
      </c>
      <c r="AN133">
        <v>0.82975101085337299</v>
      </c>
      <c r="AO133">
        <v>100.4</v>
      </c>
      <c r="AP133" t="s">
        <v>4738</v>
      </c>
      <c r="AR133" t="s">
        <v>4739</v>
      </c>
      <c r="AS133" t="s">
        <v>4739</v>
      </c>
      <c r="AT133" t="s">
        <v>4739</v>
      </c>
      <c r="AU133" t="s">
        <v>4739</v>
      </c>
    </row>
    <row r="134" spans="1:47">
      <c r="A134" t="s">
        <v>3120</v>
      </c>
      <c r="B134" t="s">
        <v>3121</v>
      </c>
      <c r="C134" t="s">
        <v>17</v>
      </c>
      <c r="D134" t="s">
        <v>992</v>
      </c>
      <c r="E134" t="s">
        <v>993</v>
      </c>
      <c r="F134" t="s">
        <v>994</v>
      </c>
      <c r="G134" t="s">
        <v>4750</v>
      </c>
      <c r="H134" t="s">
        <v>995</v>
      </c>
      <c r="I134">
        <v>333.9</v>
      </c>
      <c r="J134">
        <v>0.710576718450734</v>
      </c>
      <c r="K134">
        <v>3.1829999999999998</v>
      </c>
      <c r="L134" t="s">
        <v>4738</v>
      </c>
      <c r="N134">
        <v>364.2</v>
      </c>
      <c r="O134">
        <v>0.77505852309001899</v>
      </c>
      <c r="P134">
        <v>7.7210000000000001</v>
      </c>
      <c r="Q134" t="s">
        <v>4738</v>
      </c>
      <c r="S134">
        <v>348.7</v>
      </c>
      <c r="T134">
        <v>0.74207278144286004</v>
      </c>
      <c r="U134">
        <v>7.2859999999999996</v>
      </c>
      <c r="V134" t="s">
        <v>4738</v>
      </c>
      <c r="X134">
        <v>323.2</v>
      </c>
      <c r="Y134">
        <v>0.68780591615237296</v>
      </c>
      <c r="Z134">
        <v>2.1160000000000001</v>
      </c>
      <c r="AA134" t="s">
        <v>4740</v>
      </c>
      <c r="AC134">
        <v>325.5</v>
      </c>
      <c r="AD134">
        <v>0.69270057459033796</v>
      </c>
      <c r="AE134">
        <v>3.7759999999999998</v>
      </c>
      <c r="AF134" t="s">
        <v>4738</v>
      </c>
      <c r="AH134">
        <v>418.6</v>
      </c>
      <c r="AI134">
        <v>0.89082783570972601</v>
      </c>
      <c r="AJ134">
        <v>176</v>
      </c>
      <c r="AK134" t="s">
        <v>4738</v>
      </c>
      <c r="AM134">
        <v>409.4</v>
      </c>
      <c r="AN134">
        <v>0.87124920195786304</v>
      </c>
      <c r="AO134">
        <v>177.5</v>
      </c>
      <c r="AP134" t="s">
        <v>4738</v>
      </c>
      <c r="AR134" t="s">
        <v>4739</v>
      </c>
      <c r="AS134" t="s">
        <v>4739</v>
      </c>
      <c r="AT134" t="s">
        <v>4739</v>
      </c>
      <c r="AU134" t="s">
        <v>4739</v>
      </c>
    </row>
    <row r="135" spans="1:47">
      <c r="A135" t="s">
        <v>3123</v>
      </c>
      <c r="B135" t="s">
        <v>3124</v>
      </c>
      <c r="C135" t="s">
        <v>17</v>
      </c>
      <c r="D135" t="s">
        <v>1000</v>
      </c>
      <c r="E135" t="s">
        <v>1001</v>
      </c>
      <c r="F135" t="s">
        <v>1002</v>
      </c>
      <c r="G135" t="s">
        <v>4750</v>
      </c>
      <c r="H135" t="s">
        <v>1003</v>
      </c>
      <c r="I135">
        <v>349.2</v>
      </c>
      <c r="J135">
        <v>0.74313683762502702</v>
      </c>
      <c r="K135">
        <v>7.742</v>
      </c>
      <c r="L135" t="s">
        <v>4738</v>
      </c>
      <c r="N135">
        <v>361.8</v>
      </c>
      <c r="O135">
        <v>0.76995105341561998</v>
      </c>
      <c r="P135">
        <v>9.2200000000000006</v>
      </c>
      <c r="Q135" t="s">
        <v>4738</v>
      </c>
      <c r="S135">
        <v>349.5</v>
      </c>
      <c r="T135">
        <v>0.74377527133432697</v>
      </c>
      <c r="U135">
        <v>9.02</v>
      </c>
      <c r="V135" t="s">
        <v>4738</v>
      </c>
      <c r="X135">
        <v>390.8</v>
      </c>
      <c r="Y135">
        <v>0.83166631198127305</v>
      </c>
      <c r="Z135">
        <v>16.28</v>
      </c>
      <c r="AA135" t="s">
        <v>4738</v>
      </c>
      <c r="AC135">
        <v>304.60000000000002</v>
      </c>
      <c r="AD135">
        <v>0.64822302617578198</v>
      </c>
      <c r="AE135">
        <v>1.335</v>
      </c>
      <c r="AF135" t="s">
        <v>4740</v>
      </c>
      <c r="AH135">
        <v>423.8</v>
      </c>
      <c r="AI135">
        <v>0.901894020004256</v>
      </c>
      <c r="AJ135">
        <v>132.30000000000001</v>
      </c>
      <c r="AK135" t="s">
        <v>4738</v>
      </c>
      <c r="AM135">
        <v>363.1</v>
      </c>
      <c r="AN135">
        <v>0.772717599489253</v>
      </c>
      <c r="AO135">
        <v>10.59</v>
      </c>
      <c r="AP135" t="s">
        <v>4738</v>
      </c>
      <c r="AR135" t="s">
        <v>4739</v>
      </c>
      <c r="AS135" t="s">
        <v>4739</v>
      </c>
      <c r="AT135" t="s">
        <v>4739</v>
      </c>
      <c r="AU135" t="s">
        <v>4739</v>
      </c>
    </row>
    <row r="136" spans="1:47">
      <c r="A136" t="s">
        <v>3126</v>
      </c>
      <c r="B136" t="s">
        <v>3127</v>
      </c>
      <c r="C136" t="s">
        <v>17</v>
      </c>
      <c r="D136" t="s">
        <v>1008</v>
      </c>
      <c r="E136" t="s">
        <v>1009</v>
      </c>
      <c r="F136" t="s">
        <v>1010</v>
      </c>
      <c r="G136" t="s">
        <v>4751</v>
      </c>
      <c r="H136" t="s">
        <v>971</v>
      </c>
      <c r="I136">
        <v>352.3</v>
      </c>
      <c r="J136">
        <v>0.74973398595445895</v>
      </c>
      <c r="K136">
        <v>4.7530000000000001</v>
      </c>
      <c r="L136" t="s">
        <v>4738</v>
      </c>
      <c r="N136">
        <v>343.4</v>
      </c>
      <c r="O136">
        <v>0.73079378591189603</v>
      </c>
      <c r="P136">
        <v>4.9379999999999997</v>
      </c>
      <c r="Q136" t="s">
        <v>4738</v>
      </c>
      <c r="S136">
        <v>404.3</v>
      </c>
      <c r="T136">
        <v>0.86039582889976596</v>
      </c>
      <c r="U136">
        <v>41.17</v>
      </c>
      <c r="V136" t="s">
        <v>4738</v>
      </c>
      <c r="X136">
        <v>394.7</v>
      </c>
      <c r="Y136">
        <v>0.83996595020217102</v>
      </c>
      <c r="Z136">
        <v>16.13</v>
      </c>
      <c r="AA136" t="s">
        <v>4738</v>
      </c>
      <c r="AC136">
        <v>386.1</v>
      </c>
      <c r="AD136">
        <v>0.82166418386890805</v>
      </c>
      <c r="AE136">
        <v>17.25</v>
      </c>
      <c r="AF136" t="s">
        <v>4738</v>
      </c>
      <c r="AH136">
        <v>422</v>
      </c>
      <c r="AI136">
        <v>0.89806341774845699</v>
      </c>
      <c r="AJ136">
        <v>190.6</v>
      </c>
      <c r="AK136" t="s">
        <v>4738</v>
      </c>
      <c r="AM136">
        <v>432.3</v>
      </c>
      <c r="AN136">
        <v>0.91998297510108495</v>
      </c>
      <c r="AO136">
        <v>215.2</v>
      </c>
      <c r="AP136" t="s">
        <v>4738</v>
      </c>
      <c r="AR136" t="s">
        <v>4739</v>
      </c>
      <c r="AS136" t="s">
        <v>4739</v>
      </c>
      <c r="AT136" t="s">
        <v>4739</v>
      </c>
      <c r="AU136" t="s">
        <v>4739</v>
      </c>
    </row>
    <row r="137" spans="1:47">
      <c r="A137" t="s">
        <v>3129</v>
      </c>
      <c r="B137" t="s">
        <v>3130</v>
      </c>
      <c r="C137" t="s">
        <v>17</v>
      </c>
      <c r="D137" t="s">
        <v>1015</v>
      </c>
      <c r="E137" t="s">
        <v>1016</v>
      </c>
      <c r="F137" t="s">
        <v>1017</v>
      </c>
      <c r="G137" t="s">
        <v>4751</v>
      </c>
      <c r="H137" t="s">
        <v>979</v>
      </c>
      <c r="I137">
        <v>341.4</v>
      </c>
      <c r="J137">
        <v>0.72653756118322999</v>
      </c>
      <c r="K137">
        <v>2.9329999999999998</v>
      </c>
      <c r="L137" t="s">
        <v>4738</v>
      </c>
      <c r="N137">
        <v>365.1</v>
      </c>
      <c r="O137">
        <v>0.77697382421791905</v>
      </c>
      <c r="P137">
        <v>10.050000000000001</v>
      </c>
      <c r="Q137" t="s">
        <v>4738</v>
      </c>
      <c r="S137">
        <v>381.2</v>
      </c>
      <c r="T137">
        <v>0.81123643328367701</v>
      </c>
      <c r="U137">
        <v>17.72</v>
      </c>
      <c r="V137" t="s">
        <v>4738</v>
      </c>
      <c r="X137">
        <v>326.7</v>
      </c>
      <c r="Y137">
        <v>0.69525430942753796</v>
      </c>
      <c r="Z137">
        <v>2.3530000000000002</v>
      </c>
      <c r="AA137" t="s">
        <v>4738</v>
      </c>
      <c r="AC137">
        <v>370.9</v>
      </c>
      <c r="AD137">
        <v>0.78931687593104904</v>
      </c>
      <c r="AE137">
        <v>10.81</v>
      </c>
      <c r="AF137" t="s">
        <v>4738</v>
      </c>
      <c r="AH137">
        <v>398.9</v>
      </c>
      <c r="AI137">
        <v>0.84890402213236904</v>
      </c>
      <c r="AJ137">
        <v>80.67</v>
      </c>
      <c r="AK137" t="s">
        <v>4738</v>
      </c>
      <c r="AM137">
        <v>417.2</v>
      </c>
      <c r="AN137">
        <v>0.88784847839965997</v>
      </c>
      <c r="AO137">
        <v>100.4</v>
      </c>
      <c r="AP137" t="s">
        <v>4738</v>
      </c>
      <c r="AR137" t="s">
        <v>4739</v>
      </c>
      <c r="AS137" t="s">
        <v>4739</v>
      </c>
      <c r="AT137" t="s">
        <v>4739</v>
      </c>
      <c r="AU137" t="s">
        <v>4739</v>
      </c>
    </row>
    <row r="138" spans="1:47">
      <c r="A138" t="s">
        <v>3132</v>
      </c>
      <c r="B138" t="s">
        <v>3133</v>
      </c>
      <c r="C138" t="s">
        <v>17</v>
      </c>
      <c r="D138" t="s">
        <v>1022</v>
      </c>
      <c r="E138" t="s">
        <v>1023</v>
      </c>
      <c r="F138" t="s">
        <v>1024</v>
      </c>
      <c r="G138" t="s">
        <v>4751</v>
      </c>
      <c r="H138" t="s">
        <v>987</v>
      </c>
      <c r="I138">
        <v>363.3</v>
      </c>
      <c r="J138">
        <v>0.77314322196212004</v>
      </c>
      <c r="K138">
        <v>7.702</v>
      </c>
      <c r="L138" t="s">
        <v>4738</v>
      </c>
      <c r="N138">
        <v>341.8</v>
      </c>
      <c r="O138">
        <v>0.72738880612896395</v>
      </c>
      <c r="P138">
        <v>4.7080000000000002</v>
      </c>
      <c r="Q138" t="s">
        <v>4738</v>
      </c>
      <c r="S138">
        <v>359.1</v>
      </c>
      <c r="T138">
        <v>0.76420515003192202</v>
      </c>
      <c r="U138">
        <v>10.39</v>
      </c>
      <c r="V138" t="s">
        <v>4738</v>
      </c>
      <c r="X138">
        <v>367.1</v>
      </c>
      <c r="Y138">
        <v>0.78123004894658399</v>
      </c>
      <c r="Z138">
        <v>11.81</v>
      </c>
      <c r="AA138" t="s">
        <v>4738</v>
      </c>
      <c r="AC138">
        <v>321.3</v>
      </c>
      <c r="AD138">
        <v>0.68376250266014005</v>
      </c>
      <c r="AE138">
        <v>2.3929999999999998</v>
      </c>
      <c r="AF138" t="s">
        <v>4740</v>
      </c>
      <c r="AH138">
        <v>395.4</v>
      </c>
      <c r="AI138">
        <v>0.84145562885720404</v>
      </c>
      <c r="AJ138">
        <v>122.5</v>
      </c>
      <c r="AK138" t="s">
        <v>4738</v>
      </c>
      <c r="AM138">
        <v>389.9</v>
      </c>
      <c r="AN138">
        <v>0.82975101085337299</v>
      </c>
      <c r="AO138">
        <v>100.4</v>
      </c>
      <c r="AP138" t="s">
        <v>4738</v>
      </c>
      <c r="AR138" t="s">
        <v>4739</v>
      </c>
      <c r="AS138" t="s">
        <v>4739</v>
      </c>
      <c r="AT138" t="s">
        <v>4739</v>
      </c>
      <c r="AU138" t="s">
        <v>4739</v>
      </c>
    </row>
    <row r="139" spans="1:47">
      <c r="A139" t="s">
        <v>3135</v>
      </c>
      <c r="B139" t="s">
        <v>3136</v>
      </c>
      <c r="C139" t="s">
        <v>17</v>
      </c>
      <c r="D139" t="s">
        <v>1029</v>
      </c>
      <c r="E139" t="s">
        <v>1030</v>
      </c>
      <c r="F139" t="s">
        <v>1031</v>
      </c>
      <c r="G139" t="s">
        <v>4751</v>
      </c>
      <c r="H139" t="s">
        <v>995</v>
      </c>
      <c r="I139">
        <v>333.9</v>
      </c>
      <c r="J139">
        <v>0.710576718450734</v>
      </c>
      <c r="K139">
        <v>3.1829999999999998</v>
      </c>
      <c r="L139" t="s">
        <v>4738</v>
      </c>
      <c r="N139">
        <v>364.2</v>
      </c>
      <c r="O139">
        <v>0.77505852309001899</v>
      </c>
      <c r="P139">
        <v>7.7210000000000001</v>
      </c>
      <c r="Q139" t="s">
        <v>4738</v>
      </c>
      <c r="S139">
        <v>348.7</v>
      </c>
      <c r="T139">
        <v>0.74207278144286004</v>
      </c>
      <c r="U139">
        <v>7.2859999999999996</v>
      </c>
      <c r="V139" t="s">
        <v>4738</v>
      </c>
      <c r="X139">
        <v>323.2</v>
      </c>
      <c r="Y139">
        <v>0.68780591615237296</v>
      </c>
      <c r="Z139">
        <v>2.1160000000000001</v>
      </c>
      <c r="AA139" t="s">
        <v>4740</v>
      </c>
      <c r="AC139">
        <v>325.5</v>
      </c>
      <c r="AD139">
        <v>0.69270057459033796</v>
      </c>
      <c r="AE139">
        <v>3.7759999999999998</v>
      </c>
      <c r="AF139" t="s">
        <v>4738</v>
      </c>
      <c r="AH139">
        <v>418.6</v>
      </c>
      <c r="AI139">
        <v>0.89082783570972601</v>
      </c>
      <c r="AJ139">
        <v>176</v>
      </c>
      <c r="AK139" t="s">
        <v>4738</v>
      </c>
      <c r="AM139">
        <v>409.4</v>
      </c>
      <c r="AN139">
        <v>0.87124920195786304</v>
      </c>
      <c r="AO139">
        <v>177.5</v>
      </c>
      <c r="AP139" t="s">
        <v>4738</v>
      </c>
      <c r="AR139" t="s">
        <v>4739</v>
      </c>
      <c r="AS139" t="s">
        <v>4739</v>
      </c>
      <c r="AT139" t="s">
        <v>4739</v>
      </c>
      <c r="AU139" t="s">
        <v>4739</v>
      </c>
    </row>
    <row r="140" spans="1:47">
      <c r="A140" t="s">
        <v>3138</v>
      </c>
      <c r="B140" t="s">
        <v>3139</v>
      </c>
      <c r="C140" t="s">
        <v>17</v>
      </c>
      <c r="D140" t="s">
        <v>1036</v>
      </c>
      <c r="E140" t="s">
        <v>1037</v>
      </c>
      <c r="F140" t="s">
        <v>1038</v>
      </c>
      <c r="G140" t="s">
        <v>4751</v>
      </c>
      <c r="H140" t="s">
        <v>1003</v>
      </c>
      <c r="I140">
        <v>349.2</v>
      </c>
      <c r="J140">
        <v>0.74313683762502702</v>
      </c>
      <c r="K140">
        <v>7.742</v>
      </c>
      <c r="L140" t="s">
        <v>4738</v>
      </c>
      <c r="N140">
        <v>361.8</v>
      </c>
      <c r="O140">
        <v>0.76995105341561998</v>
      </c>
      <c r="P140">
        <v>9.2200000000000006</v>
      </c>
      <c r="Q140" t="s">
        <v>4738</v>
      </c>
      <c r="S140">
        <v>349.5</v>
      </c>
      <c r="T140">
        <v>0.74377527133432697</v>
      </c>
      <c r="U140">
        <v>9.02</v>
      </c>
      <c r="V140" t="s">
        <v>4738</v>
      </c>
      <c r="X140">
        <v>390.8</v>
      </c>
      <c r="Y140">
        <v>0.83166631198127305</v>
      </c>
      <c r="Z140">
        <v>16.28</v>
      </c>
      <c r="AA140" t="s">
        <v>4738</v>
      </c>
      <c r="AC140">
        <v>304.60000000000002</v>
      </c>
      <c r="AD140">
        <v>0.64822302617578198</v>
      </c>
      <c r="AE140">
        <v>1.335</v>
      </c>
      <c r="AF140" t="s">
        <v>4740</v>
      </c>
      <c r="AH140">
        <v>423.8</v>
      </c>
      <c r="AI140">
        <v>0.901894020004256</v>
      </c>
      <c r="AJ140">
        <v>132.30000000000001</v>
      </c>
      <c r="AK140" t="s">
        <v>4738</v>
      </c>
      <c r="AM140">
        <v>363.1</v>
      </c>
      <c r="AN140">
        <v>0.772717599489253</v>
      </c>
      <c r="AO140">
        <v>10.59</v>
      </c>
      <c r="AP140" t="s">
        <v>4738</v>
      </c>
      <c r="AR140" t="s">
        <v>4739</v>
      </c>
      <c r="AS140" t="s">
        <v>4739</v>
      </c>
      <c r="AT140" t="s">
        <v>4739</v>
      </c>
      <c r="AU140" t="s">
        <v>4739</v>
      </c>
    </row>
    <row r="141" spans="1:47">
      <c r="A141" t="s">
        <v>3141</v>
      </c>
      <c r="B141" t="s">
        <v>3142</v>
      </c>
      <c r="C141" t="s">
        <v>17</v>
      </c>
      <c r="D141" t="s">
        <v>3144</v>
      </c>
      <c r="E141" t="s">
        <v>3145</v>
      </c>
      <c r="F141" t="s">
        <v>3146</v>
      </c>
      <c r="G141" t="s">
        <v>4752</v>
      </c>
      <c r="H141" t="s">
        <v>1053</v>
      </c>
      <c r="I141" t="e">
        <v>#N/A</v>
      </c>
      <c r="J141" t="e">
        <v>#N/A</v>
      </c>
      <c r="K141" t="e">
        <v>#N/A</v>
      </c>
      <c r="L141" t="e">
        <v>#N/A</v>
      </c>
      <c r="N141" t="e">
        <v>#N/A</v>
      </c>
      <c r="O141" t="e">
        <v>#N/A</v>
      </c>
      <c r="P141" t="e">
        <v>#N/A</v>
      </c>
      <c r="Q141" t="e">
        <v>#N/A</v>
      </c>
      <c r="S141" t="e">
        <v>#N/A</v>
      </c>
      <c r="T141" t="e">
        <v>#N/A</v>
      </c>
      <c r="U141" t="e">
        <v>#N/A</v>
      </c>
      <c r="V141" t="e">
        <v>#N/A</v>
      </c>
      <c r="X141" t="e">
        <v>#N/A</v>
      </c>
      <c r="Y141" t="e">
        <v>#N/A</v>
      </c>
      <c r="Z141" t="e">
        <v>#N/A</v>
      </c>
      <c r="AA141" t="e">
        <v>#N/A</v>
      </c>
      <c r="AC141" t="e">
        <v>#N/A</v>
      </c>
      <c r="AD141" t="e">
        <v>#N/A</v>
      </c>
      <c r="AE141" t="e">
        <v>#N/A</v>
      </c>
      <c r="AF141" t="e">
        <v>#N/A</v>
      </c>
      <c r="AH141" t="e">
        <v>#N/A</v>
      </c>
      <c r="AI141" t="e">
        <v>#N/A</v>
      </c>
      <c r="AJ141" t="e">
        <v>#N/A</v>
      </c>
      <c r="AK141" t="e">
        <v>#N/A</v>
      </c>
      <c r="AM141" t="e">
        <v>#N/A</v>
      </c>
      <c r="AN141" t="e">
        <v>#N/A</v>
      </c>
      <c r="AO141" t="e">
        <v>#N/A</v>
      </c>
      <c r="AP141" t="e">
        <v>#N/A</v>
      </c>
      <c r="AR141" t="s">
        <v>4739</v>
      </c>
      <c r="AS141" t="s">
        <v>10</v>
      </c>
      <c r="AT141" t="s">
        <v>4739</v>
      </c>
      <c r="AU141" t="s">
        <v>4739</v>
      </c>
    </row>
    <row r="142" spans="1:47">
      <c r="A142" t="s">
        <v>3148</v>
      </c>
      <c r="B142" t="s">
        <v>3149</v>
      </c>
      <c r="C142" t="s">
        <v>17</v>
      </c>
      <c r="D142" t="s">
        <v>3151</v>
      </c>
      <c r="E142" t="s">
        <v>3152</v>
      </c>
      <c r="F142" t="s">
        <v>3153</v>
      </c>
      <c r="G142" t="s">
        <v>4753</v>
      </c>
      <c r="H142" t="s">
        <v>1053</v>
      </c>
      <c r="I142" t="e">
        <v>#N/A</v>
      </c>
      <c r="J142" t="e">
        <v>#N/A</v>
      </c>
      <c r="K142" t="e">
        <v>#N/A</v>
      </c>
      <c r="L142" t="e">
        <v>#N/A</v>
      </c>
      <c r="N142" t="e">
        <v>#N/A</v>
      </c>
      <c r="O142" t="e">
        <v>#N/A</v>
      </c>
      <c r="P142" t="e">
        <v>#N/A</v>
      </c>
      <c r="Q142" t="e">
        <v>#N/A</v>
      </c>
      <c r="S142" t="e">
        <v>#N/A</v>
      </c>
      <c r="T142" t="e">
        <v>#N/A</v>
      </c>
      <c r="U142" t="e">
        <v>#N/A</v>
      </c>
      <c r="V142" t="e">
        <v>#N/A</v>
      </c>
      <c r="X142" t="e">
        <v>#N/A</v>
      </c>
      <c r="Y142" t="e">
        <v>#N/A</v>
      </c>
      <c r="Z142" t="e">
        <v>#N/A</v>
      </c>
      <c r="AA142" t="e">
        <v>#N/A</v>
      </c>
      <c r="AC142" t="e">
        <v>#N/A</v>
      </c>
      <c r="AD142" t="e">
        <v>#N/A</v>
      </c>
      <c r="AE142" t="e">
        <v>#N/A</v>
      </c>
      <c r="AF142" t="e">
        <v>#N/A</v>
      </c>
      <c r="AH142" t="e">
        <v>#N/A</v>
      </c>
      <c r="AI142" t="e">
        <v>#N/A</v>
      </c>
      <c r="AJ142" t="e">
        <v>#N/A</v>
      </c>
      <c r="AK142" t="e">
        <v>#N/A</v>
      </c>
      <c r="AM142" t="e">
        <v>#N/A</v>
      </c>
      <c r="AN142" t="e">
        <v>#N/A</v>
      </c>
      <c r="AO142" t="e">
        <v>#N/A</v>
      </c>
      <c r="AP142" t="e">
        <v>#N/A</v>
      </c>
      <c r="AR142" t="s">
        <v>4739</v>
      </c>
      <c r="AS142" t="s">
        <v>10</v>
      </c>
      <c r="AT142" t="s">
        <v>4739</v>
      </c>
      <c r="AU142" t="s">
        <v>4739</v>
      </c>
    </row>
    <row r="143" spans="1:47">
      <c r="A143" t="s">
        <v>3155</v>
      </c>
      <c r="B143" t="s">
        <v>3156</v>
      </c>
      <c r="C143" t="s">
        <v>17</v>
      </c>
      <c r="D143" t="s">
        <v>1050</v>
      </c>
      <c r="E143" t="s">
        <v>1051</v>
      </c>
      <c r="F143" t="s">
        <v>1052</v>
      </c>
      <c r="G143" t="s">
        <v>4750</v>
      </c>
      <c r="H143" t="s">
        <v>1054</v>
      </c>
      <c r="I143">
        <v>353.7</v>
      </c>
      <c r="J143">
        <v>0.75271334326452399</v>
      </c>
      <c r="K143">
        <v>5.1950000000000003</v>
      </c>
      <c r="L143" t="s">
        <v>4738</v>
      </c>
      <c r="N143">
        <v>316.60000000000002</v>
      </c>
      <c r="O143">
        <v>0.67376037454777604</v>
      </c>
      <c r="P143">
        <v>1.6890000000000001</v>
      </c>
      <c r="Q143" t="s">
        <v>4740</v>
      </c>
      <c r="S143">
        <v>332.3</v>
      </c>
      <c r="T143">
        <v>0.70717173866780203</v>
      </c>
      <c r="U143">
        <v>5.266</v>
      </c>
      <c r="V143" t="s">
        <v>4738</v>
      </c>
      <c r="X143">
        <v>367.1</v>
      </c>
      <c r="Y143">
        <v>0.78123004894658399</v>
      </c>
      <c r="Z143">
        <v>6.6520000000000001</v>
      </c>
      <c r="AA143" t="s">
        <v>4738</v>
      </c>
      <c r="AC143">
        <v>409.2</v>
      </c>
      <c r="AD143">
        <v>0.870823579484997</v>
      </c>
      <c r="AE143">
        <v>24.76</v>
      </c>
      <c r="AF143" t="s">
        <v>4738</v>
      </c>
      <c r="AH143">
        <v>409.1</v>
      </c>
      <c r="AI143">
        <v>0.87061076824856398</v>
      </c>
      <c r="AJ143">
        <v>94.93</v>
      </c>
      <c r="AK143" t="s">
        <v>4738</v>
      </c>
      <c r="AM143">
        <v>465.7</v>
      </c>
      <c r="AN143">
        <v>0.99106192806980198</v>
      </c>
      <c r="AO143">
        <v>265.8</v>
      </c>
      <c r="AP143" t="s">
        <v>4738</v>
      </c>
      <c r="AR143" t="s">
        <v>4739</v>
      </c>
      <c r="AS143" t="s">
        <v>10</v>
      </c>
      <c r="AT143" t="s">
        <v>4739</v>
      </c>
      <c r="AU143" t="s">
        <v>4739</v>
      </c>
    </row>
    <row r="144" spans="1:47">
      <c r="A144" t="s">
        <v>3158</v>
      </c>
      <c r="B144" t="s">
        <v>3159</v>
      </c>
      <c r="C144" t="s">
        <v>17</v>
      </c>
      <c r="D144" t="s">
        <v>1059</v>
      </c>
      <c r="E144" t="s">
        <v>1060</v>
      </c>
      <c r="F144" t="s">
        <v>1061</v>
      </c>
      <c r="G144" t="s">
        <v>4750</v>
      </c>
      <c r="H144" t="s">
        <v>1062</v>
      </c>
      <c r="I144">
        <v>336.8</v>
      </c>
      <c r="J144">
        <v>0.716748244307299</v>
      </c>
      <c r="K144">
        <v>4.6479999999999997</v>
      </c>
      <c r="L144" t="s">
        <v>4738</v>
      </c>
      <c r="N144">
        <v>324.7</v>
      </c>
      <c r="O144">
        <v>0.69099808469887203</v>
      </c>
      <c r="P144">
        <v>2.214</v>
      </c>
      <c r="Q144" t="s">
        <v>4740</v>
      </c>
      <c r="S144">
        <v>346.5</v>
      </c>
      <c r="T144">
        <v>0.73739093424132796</v>
      </c>
      <c r="U144">
        <v>8.3320000000000007</v>
      </c>
      <c r="V144" t="s">
        <v>4738</v>
      </c>
      <c r="X144">
        <v>382.6</v>
      </c>
      <c r="Y144">
        <v>0.81421579059374305</v>
      </c>
      <c r="Z144">
        <v>15.34</v>
      </c>
      <c r="AA144" t="s">
        <v>4738</v>
      </c>
      <c r="AC144">
        <v>342.7</v>
      </c>
      <c r="AD144">
        <v>0.72930410725686301</v>
      </c>
      <c r="AE144">
        <v>5.7969999999999997</v>
      </c>
      <c r="AF144" t="s">
        <v>4738</v>
      </c>
      <c r="AH144">
        <v>445.4</v>
      </c>
      <c r="AI144">
        <v>0.947861247073845</v>
      </c>
      <c r="AJ144">
        <v>192.2</v>
      </c>
      <c r="AK144" t="s">
        <v>4738</v>
      </c>
      <c r="AM144">
        <v>425.4</v>
      </c>
      <c r="AN144">
        <v>0.90529899978718897</v>
      </c>
      <c r="AO144">
        <v>289.10000000000002</v>
      </c>
      <c r="AP144" t="s">
        <v>4738</v>
      </c>
      <c r="AR144" t="s">
        <v>4739</v>
      </c>
      <c r="AS144" t="s">
        <v>10</v>
      </c>
      <c r="AT144" t="s">
        <v>4739</v>
      </c>
      <c r="AU144" t="s">
        <v>4739</v>
      </c>
    </row>
    <row r="145" spans="1:47">
      <c r="A145" t="s">
        <v>3161</v>
      </c>
      <c r="B145" t="s">
        <v>3162</v>
      </c>
      <c r="C145" t="s">
        <v>17</v>
      </c>
      <c r="D145" t="s">
        <v>1067</v>
      </c>
      <c r="E145" t="s">
        <v>1068</v>
      </c>
      <c r="F145" t="s">
        <v>1069</v>
      </c>
      <c r="G145" t="s">
        <v>4750</v>
      </c>
      <c r="H145" t="s">
        <v>1070</v>
      </c>
      <c r="I145">
        <v>287.10000000000002</v>
      </c>
      <c r="J145">
        <v>0.61098105979995798</v>
      </c>
      <c r="K145">
        <v>0.80969999999999998</v>
      </c>
      <c r="L145" t="s">
        <v>4740</v>
      </c>
      <c r="N145">
        <v>315.5</v>
      </c>
      <c r="O145">
        <v>0.67141945094701005</v>
      </c>
      <c r="P145">
        <v>1.532</v>
      </c>
      <c r="Q145" t="s">
        <v>4740</v>
      </c>
      <c r="S145">
        <v>336.4</v>
      </c>
      <c r="T145">
        <v>0.71589699936156603</v>
      </c>
      <c r="U145">
        <v>2.6379999999999999</v>
      </c>
      <c r="V145" t="s">
        <v>4738</v>
      </c>
      <c r="X145">
        <v>285</v>
      </c>
      <c r="Y145">
        <v>0.60651202383485803</v>
      </c>
      <c r="Z145">
        <v>1.1140000000000001</v>
      </c>
      <c r="AA145" t="s">
        <v>4740</v>
      </c>
      <c r="AC145">
        <v>339</v>
      </c>
      <c r="AD145">
        <v>0.72143009150883197</v>
      </c>
      <c r="AE145">
        <v>4.7859999999999996</v>
      </c>
      <c r="AF145" t="s">
        <v>4738</v>
      </c>
      <c r="AH145">
        <v>396.8</v>
      </c>
      <c r="AI145">
        <v>0.84443498616726997</v>
      </c>
      <c r="AJ145">
        <v>112.6</v>
      </c>
      <c r="AK145" t="s">
        <v>4738</v>
      </c>
      <c r="AM145">
        <v>387.1</v>
      </c>
      <c r="AN145">
        <v>0.82379229623324102</v>
      </c>
      <c r="AO145">
        <v>59.07</v>
      </c>
      <c r="AP145" t="s">
        <v>4738</v>
      </c>
      <c r="AR145" t="s">
        <v>4739</v>
      </c>
      <c r="AS145" t="s">
        <v>10</v>
      </c>
      <c r="AT145" t="s">
        <v>4739</v>
      </c>
      <c r="AU145" t="s">
        <v>4739</v>
      </c>
    </row>
    <row r="146" spans="1:47">
      <c r="A146" t="s">
        <v>3164</v>
      </c>
      <c r="B146" t="s">
        <v>3165</v>
      </c>
      <c r="C146" t="s">
        <v>17</v>
      </c>
      <c r="D146" t="s">
        <v>1075</v>
      </c>
      <c r="E146" t="s">
        <v>1076</v>
      </c>
      <c r="F146" t="s">
        <v>1077</v>
      </c>
      <c r="G146" t="s">
        <v>4750</v>
      </c>
      <c r="H146" t="s">
        <v>1078</v>
      </c>
      <c r="I146">
        <v>358.1</v>
      </c>
      <c r="J146">
        <v>0.76207703766758905</v>
      </c>
      <c r="K146">
        <v>8.2159999999999993</v>
      </c>
      <c r="L146" t="s">
        <v>4738</v>
      </c>
      <c r="N146">
        <v>317.60000000000002</v>
      </c>
      <c r="O146">
        <v>0.67588848691210901</v>
      </c>
      <c r="P146">
        <v>1.8640000000000001</v>
      </c>
      <c r="Q146" t="s">
        <v>4740</v>
      </c>
      <c r="S146">
        <v>335.6</v>
      </c>
      <c r="T146">
        <v>0.71419450947009999</v>
      </c>
      <c r="U146">
        <v>4.1449999999999996</v>
      </c>
      <c r="V146" t="s">
        <v>4738</v>
      </c>
      <c r="X146">
        <v>313.3</v>
      </c>
      <c r="Y146">
        <v>0.66673760374547797</v>
      </c>
      <c r="Z146">
        <v>1.855</v>
      </c>
      <c r="AA146" t="s">
        <v>4740</v>
      </c>
      <c r="AC146">
        <v>331.2</v>
      </c>
      <c r="AD146">
        <v>0.70483081506703604</v>
      </c>
      <c r="AE146">
        <v>2.6789999999999998</v>
      </c>
      <c r="AF146" t="s">
        <v>4738</v>
      </c>
      <c r="AH146">
        <v>436.1</v>
      </c>
      <c r="AI146">
        <v>0.92806980208555001</v>
      </c>
      <c r="AJ146">
        <v>273.89999999999998</v>
      </c>
      <c r="AK146" t="s">
        <v>4738</v>
      </c>
      <c r="AM146">
        <v>422.7</v>
      </c>
      <c r="AN146">
        <v>0.89955309640349002</v>
      </c>
      <c r="AO146">
        <v>164.7</v>
      </c>
      <c r="AP146" t="s">
        <v>4738</v>
      </c>
      <c r="AR146" t="s">
        <v>4739</v>
      </c>
      <c r="AS146" t="s">
        <v>10</v>
      </c>
      <c r="AT146" t="s">
        <v>4739</v>
      </c>
      <c r="AU146" t="s">
        <v>4739</v>
      </c>
    </row>
    <row r="147" spans="1:47">
      <c r="A147" t="s">
        <v>3167</v>
      </c>
      <c r="B147" t="s">
        <v>3168</v>
      </c>
      <c r="C147" t="s">
        <v>17</v>
      </c>
      <c r="D147" t="s">
        <v>1083</v>
      </c>
      <c r="E147" t="s">
        <v>1084</v>
      </c>
      <c r="F147" t="s">
        <v>1085</v>
      </c>
      <c r="G147" t="s">
        <v>4750</v>
      </c>
      <c r="H147" t="s">
        <v>1086</v>
      </c>
      <c r="I147">
        <v>329.2</v>
      </c>
      <c r="J147">
        <v>0.70057459033837</v>
      </c>
      <c r="K147">
        <v>4.1929999999999996</v>
      </c>
      <c r="L147" t="s">
        <v>4740</v>
      </c>
      <c r="N147">
        <v>324.7</v>
      </c>
      <c r="O147">
        <v>0.69099808469887203</v>
      </c>
      <c r="P147">
        <v>2.206</v>
      </c>
      <c r="Q147" t="s">
        <v>4740</v>
      </c>
      <c r="S147">
        <v>368.7</v>
      </c>
      <c r="T147">
        <v>0.78463502872951696</v>
      </c>
      <c r="U147">
        <v>9.5579999999999998</v>
      </c>
      <c r="V147" t="s">
        <v>4738</v>
      </c>
      <c r="X147">
        <v>383.1</v>
      </c>
      <c r="Y147">
        <v>0.81527984677591003</v>
      </c>
      <c r="Z147">
        <v>14.55</v>
      </c>
      <c r="AA147" t="s">
        <v>4738</v>
      </c>
      <c r="AC147">
        <v>337.4</v>
      </c>
      <c r="AD147">
        <v>0.718025111725899</v>
      </c>
      <c r="AE147">
        <v>4.8949999999999996</v>
      </c>
      <c r="AF147" t="s">
        <v>4738</v>
      </c>
      <c r="AH147">
        <v>412.8</v>
      </c>
      <c r="AI147">
        <v>0.87848478399659502</v>
      </c>
      <c r="AJ147">
        <v>121</v>
      </c>
      <c r="AK147" t="s">
        <v>4738</v>
      </c>
      <c r="AM147">
        <v>397.2</v>
      </c>
      <c r="AN147">
        <v>0.84528623111300305</v>
      </c>
      <c r="AO147">
        <v>128.1</v>
      </c>
      <c r="AP147" t="s">
        <v>4738</v>
      </c>
      <c r="AR147" t="s">
        <v>4739</v>
      </c>
      <c r="AS147" t="s">
        <v>10</v>
      </c>
      <c r="AT147" t="s">
        <v>4739</v>
      </c>
      <c r="AU147" t="s">
        <v>4739</v>
      </c>
    </row>
    <row r="148" spans="1:47">
      <c r="A148" t="s">
        <v>3170</v>
      </c>
      <c r="B148" t="s">
        <v>3171</v>
      </c>
      <c r="C148" t="s">
        <v>17</v>
      </c>
      <c r="D148" t="s">
        <v>1091</v>
      </c>
      <c r="E148" t="s">
        <v>1092</v>
      </c>
      <c r="F148" t="s">
        <v>1093</v>
      </c>
      <c r="G148" t="s">
        <v>4751</v>
      </c>
      <c r="H148" t="s">
        <v>1054</v>
      </c>
      <c r="I148">
        <v>353.7</v>
      </c>
      <c r="J148">
        <v>0.75271334326452399</v>
      </c>
      <c r="K148">
        <v>5.1950000000000003</v>
      </c>
      <c r="L148" t="s">
        <v>4738</v>
      </c>
      <c r="N148">
        <v>316.60000000000002</v>
      </c>
      <c r="O148">
        <v>0.67376037454777604</v>
      </c>
      <c r="P148">
        <v>1.6890000000000001</v>
      </c>
      <c r="Q148" t="s">
        <v>4740</v>
      </c>
      <c r="S148">
        <v>332.3</v>
      </c>
      <c r="T148">
        <v>0.70717173866780203</v>
      </c>
      <c r="U148">
        <v>5.266</v>
      </c>
      <c r="V148" t="s">
        <v>4738</v>
      </c>
      <c r="X148">
        <v>367.1</v>
      </c>
      <c r="Y148">
        <v>0.78123004894658399</v>
      </c>
      <c r="Z148">
        <v>6.6520000000000001</v>
      </c>
      <c r="AA148" t="s">
        <v>4738</v>
      </c>
      <c r="AC148">
        <v>409.2</v>
      </c>
      <c r="AD148">
        <v>0.870823579484997</v>
      </c>
      <c r="AE148">
        <v>24.76</v>
      </c>
      <c r="AF148" t="s">
        <v>4738</v>
      </c>
      <c r="AH148">
        <v>409.1</v>
      </c>
      <c r="AI148">
        <v>0.87061076824856398</v>
      </c>
      <c r="AJ148">
        <v>94.93</v>
      </c>
      <c r="AK148" t="s">
        <v>4738</v>
      </c>
      <c r="AM148">
        <v>465.7</v>
      </c>
      <c r="AN148">
        <v>0.99106192806980198</v>
      </c>
      <c r="AO148">
        <v>265.8</v>
      </c>
      <c r="AP148" t="s">
        <v>4738</v>
      </c>
      <c r="AR148" t="s">
        <v>4739</v>
      </c>
      <c r="AS148" t="s">
        <v>10</v>
      </c>
      <c r="AT148" t="s">
        <v>4739</v>
      </c>
      <c r="AU148" t="s">
        <v>4739</v>
      </c>
    </row>
    <row r="149" spans="1:47">
      <c r="A149" t="s">
        <v>3173</v>
      </c>
      <c r="B149" t="s">
        <v>3174</v>
      </c>
      <c r="C149" t="s">
        <v>17</v>
      </c>
      <c r="D149" t="s">
        <v>1098</v>
      </c>
      <c r="E149" t="s">
        <v>1099</v>
      </c>
      <c r="F149" t="s">
        <v>1100</v>
      </c>
      <c r="G149" t="s">
        <v>4751</v>
      </c>
      <c r="H149" t="s">
        <v>1062</v>
      </c>
      <c r="I149">
        <v>336.8</v>
      </c>
      <c r="J149">
        <v>0.716748244307299</v>
      </c>
      <c r="K149">
        <v>4.6479999999999997</v>
      </c>
      <c r="L149" t="s">
        <v>4738</v>
      </c>
      <c r="N149">
        <v>324.7</v>
      </c>
      <c r="O149">
        <v>0.69099808469887203</v>
      </c>
      <c r="P149">
        <v>2.214</v>
      </c>
      <c r="Q149" t="s">
        <v>4740</v>
      </c>
      <c r="S149">
        <v>346.5</v>
      </c>
      <c r="T149">
        <v>0.73739093424132796</v>
      </c>
      <c r="U149">
        <v>8.3320000000000007</v>
      </c>
      <c r="V149" t="s">
        <v>4738</v>
      </c>
      <c r="X149">
        <v>382.6</v>
      </c>
      <c r="Y149">
        <v>0.81421579059374305</v>
      </c>
      <c r="Z149">
        <v>15.34</v>
      </c>
      <c r="AA149" t="s">
        <v>4738</v>
      </c>
      <c r="AC149">
        <v>342.7</v>
      </c>
      <c r="AD149">
        <v>0.72930410725686301</v>
      </c>
      <c r="AE149">
        <v>5.7969999999999997</v>
      </c>
      <c r="AF149" t="s">
        <v>4738</v>
      </c>
      <c r="AH149">
        <v>445.4</v>
      </c>
      <c r="AI149">
        <v>0.947861247073845</v>
      </c>
      <c r="AJ149">
        <v>192.2</v>
      </c>
      <c r="AK149" t="s">
        <v>4738</v>
      </c>
      <c r="AM149">
        <v>425.4</v>
      </c>
      <c r="AN149">
        <v>0.90529899978718897</v>
      </c>
      <c r="AO149">
        <v>289.10000000000002</v>
      </c>
      <c r="AP149" t="s">
        <v>4738</v>
      </c>
      <c r="AR149" t="s">
        <v>4739</v>
      </c>
      <c r="AS149" t="s">
        <v>10</v>
      </c>
      <c r="AT149" t="s">
        <v>4739</v>
      </c>
      <c r="AU149" t="s">
        <v>4739</v>
      </c>
    </row>
    <row r="150" spans="1:47">
      <c r="A150" t="s">
        <v>3176</v>
      </c>
      <c r="B150" t="s">
        <v>3177</v>
      </c>
      <c r="C150" t="s">
        <v>17</v>
      </c>
      <c r="D150" t="s">
        <v>1105</v>
      </c>
      <c r="E150" t="s">
        <v>1106</v>
      </c>
      <c r="F150" t="s">
        <v>1107</v>
      </c>
      <c r="G150" t="s">
        <v>4751</v>
      </c>
      <c r="H150" t="s">
        <v>1070</v>
      </c>
      <c r="I150">
        <v>287.10000000000002</v>
      </c>
      <c r="J150">
        <v>0.61098105979995798</v>
      </c>
      <c r="K150">
        <v>0.80969999999999998</v>
      </c>
      <c r="L150" t="s">
        <v>4740</v>
      </c>
      <c r="N150">
        <v>315.5</v>
      </c>
      <c r="O150">
        <v>0.67141945094701005</v>
      </c>
      <c r="P150">
        <v>1.532</v>
      </c>
      <c r="Q150" t="s">
        <v>4740</v>
      </c>
      <c r="S150">
        <v>336.4</v>
      </c>
      <c r="T150">
        <v>0.71589699936156603</v>
      </c>
      <c r="U150">
        <v>2.6379999999999999</v>
      </c>
      <c r="V150" t="s">
        <v>4738</v>
      </c>
      <c r="X150">
        <v>285</v>
      </c>
      <c r="Y150">
        <v>0.60651202383485803</v>
      </c>
      <c r="Z150">
        <v>1.1140000000000001</v>
      </c>
      <c r="AA150" t="s">
        <v>4740</v>
      </c>
      <c r="AC150">
        <v>339</v>
      </c>
      <c r="AD150">
        <v>0.72143009150883197</v>
      </c>
      <c r="AE150">
        <v>4.7859999999999996</v>
      </c>
      <c r="AF150" t="s">
        <v>4738</v>
      </c>
      <c r="AH150">
        <v>396.8</v>
      </c>
      <c r="AI150">
        <v>0.84443498616726997</v>
      </c>
      <c r="AJ150">
        <v>112.6</v>
      </c>
      <c r="AK150" t="s">
        <v>4738</v>
      </c>
      <c r="AM150">
        <v>387.1</v>
      </c>
      <c r="AN150">
        <v>0.82379229623324102</v>
      </c>
      <c r="AO150">
        <v>59.07</v>
      </c>
      <c r="AP150" t="s">
        <v>4738</v>
      </c>
      <c r="AR150" t="s">
        <v>4739</v>
      </c>
      <c r="AS150" t="s">
        <v>10</v>
      </c>
      <c r="AT150" t="s">
        <v>4739</v>
      </c>
      <c r="AU150" t="s">
        <v>4739</v>
      </c>
    </row>
    <row r="151" spans="1:47">
      <c r="A151" t="s">
        <v>3179</v>
      </c>
      <c r="B151" t="s">
        <v>3180</v>
      </c>
      <c r="C151" t="s">
        <v>17</v>
      </c>
      <c r="D151" t="s">
        <v>1112</v>
      </c>
      <c r="E151" t="s">
        <v>1113</v>
      </c>
      <c r="F151" t="s">
        <v>1114</v>
      </c>
      <c r="G151" t="s">
        <v>4751</v>
      </c>
      <c r="H151" t="s">
        <v>1078</v>
      </c>
      <c r="I151">
        <v>358.1</v>
      </c>
      <c r="J151">
        <v>0.76207703766758905</v>
      </c>
      <c r="K151">
        <v>8.2159999999999993</v>
      </c>
      <c r="L151" t="s">
        <v>4738</v>
      </c>
      <c r="N151">
        <v>317.60000000000002</v>
      </c>
      <c r="O151">
        <v>0.67588848691210901</v>
      </c>
      <c r="P151">
        <v>1.8640000000000001</v>
      </c>
      <c r="Q151" t="s">
        <v>4740</v>
      </c>
      <c r="S151">
        <v>335.6</v>
      </c>
      <c r="T151">
        <v>0.71419450947009999</v>
      </c>
      <c r="U151">
        <v>4.1449999999999996</v>
      </c>
      <c r="V151" t="s">
        <v>4738</v>
      </c>
      <c r="X151">
        <v>313.3</v>
      </c>
      <c r="Y151">
        <v>0.66673760374547797</v>
      </c>
      <c r="Z151">
        <v>1.855</v>
      </c>
      <c r="AA151" t="s">
        <v>4740</v>
      </c>
      <c r="AC151">
        <v>331.2</v>
      </c>
      <c r="AD151">
        <v>0.70483081506703604</v>
      </c>
      <c r="AE151">
        <v>2.6789999999999998</v>
      </c>
      <c r="AF151" t="s">
        <v>4738</v>
      </c>
      <c r="AH151">
        <v>436.1</v>
      </c>
      <c r="AI151">
        <v>0.92806980208555001</v>
      </c>
      <c r="AJ151">
        <v>273.89999999999998</v>
      </c>
      <c r="AK151" t="s">
        <v>4738</v>
      </c>
      <c r="AM151">
        <v>422.7</v>
      </c>
      <c r="AN151">
        <v>0.89955309640349002</v>
      </c>
      <c r="AO151">
        <v>164.7</v>
      </c>
      <c r="AP151" t="s">
        <v>4738</v>
      </c>
      <c r="AR151" t="s">
        <v>4739</v>
      </c>
      <c r="AS151" t="s">
        <v>10</v>
      </c>
      <c r="AT151" t="s">
        <v>4739</v>
      </c>
      <c r="AU151" t="s">
        <v>4739</v>
      </c>
    </row>
    <row r="152" spans="1:47">
      <c r="A152" t="s">
        <v>3182</v>
      </c>
      <c r="B152" t="s">
        <v>3183</v>
      </c>
      <c r="C152" t="s">
        <v>17</v>
      </c>
      <c r="D152" t="s">
        <v>1119</v>
      </c>
      <c r="E152" t="s">
        <v>1120</v>
      </c>
      <c r="F152" t="s">
        <v>1121</v>
      </c>
      <c r="G152" t="s">
        <v>4751</v>
      </c>
      <c r="H152" t="s">
        <v>1086</v>
      </c>
      <c r="I152">
        <v>329.2</v>
      </c>
      <c r="J152">
        <v>0.70057459033837</v>
      </c>
      <c r="K152">
        <v>4.1929999999999996</v>
      </c>
      <c r="L152" t="s">
        <v>4740</v>
      </c>
      <c r="N152">
        <v>324.7</v>
      </c>
      <c r="O152">
        <v>0.69099808469887203</v>
      </c>
      <c r="P152">
        <v>2.206</v>
      </c>
      <c r="Q152" t="s">
        <v>4740</v>
      </c>
      <c r="S152">
        <v>368.7</v>
      </c>
      <c r="T152">
        <v>0.78463502872951696</v>
      </c>
      <c r="U152">
        <v>9.5579999999999998</v>
      </c>
      <c r="V152" t="s">
        <v>4738</v>
      </c>
      <c r="X152">
        <v>383.1</v>
      </c>
      <c r="Y152">
        <v>0.81527984677591003</v>
      </c>
      <c r="Z152">
        <v>14.55</v>
      </c>
      <c r="AA152" t="s">
        <v>4738</v>
      </c>
      <c r="AC152">
        <v>337.4</v>
      </c>
      <c r="AD152">
        <v>0.718025111725899</v>
      </c>
      <c r="AE152">
        <v>4.8949999999999996</v>
      </c>
      <c r="AF152" t="s">
        <v>4738</v>
      </c>
      <c r="AH152">
        <v>412.8</v>
      </c>
      <c r="AI152">
        <v>0.87848478399659502</v>
      </c>
      <c r="AJ152">
        <v>121</v>
      </c>
      <c r="AK152" t="s">
        <v>4738</v>
      </c>
      <c r="AM152">
        <v>397.2</v>
      </c>
      <c r="AN152">
        <v>0.84528623111300305</v>
      </c>
      <c r="AO152">
        <v>128.1</v>
      </c>
      <c r="AP152" t="s">
        <v>4738</v>
      </c>
      <c r="AR152" t="s">
        <v>4739</v>
      </c>
      <c r="AS152" t="s">
        <v>10</v>
      </c>
      <c r="AT152" t="s">
        <v>4739</v>
      </c>
      <c r="AU152" t="s">
        <v>4739</v>
      </c>
    </row>
    <row r="153" spans="1:47">
      <c r="A153" t="s">
        <v>3185</v>
      </c>
      <c r="B153" t="s">
        <v>3186</v>
      </c>
      <c r="C153" t="s">
        <v>17</v>
      </c>
      <c r="D153" t="s">
        <v>3188</v>
      </c>
      <c r="E153" t="s">
        <v>3189</v>
      </c>
      <c r="F153" t="s">
        <v>3190</v>
      </c>
      <c r="G153" t="s">
        <v>4752</v>
      </c>
      <c r="H153" t="s">
        <v>1136</v>
      </c>
      <c r="I153" t="e">
        <v>#N/A</v>
      </c>
      <c r="J153" t="e">
        <v>#N/A</v>
      </c>
      <c r="K153" t="e">
        <v>#N/A</v>
      </c>
      <c r="L153" t="e">
        <v>#N/A</v>
      </c>
      <c r="N153" t="e">
        <v>#N/A</v>
      </c>
      <c r="O153" t="e">
        <v>#N/A</v>
      </c>
      <c r="P153" t="e">
        <v>#N/A</v>
      </c>
      <c r="Q153" t="e">
        <v>#N/A</v>
      </c>
      <c r="S153" t="e">
        <v>#N/A</v>
      </c>
      <c r="T153" t="e">
        <v>#N/A</v>
      </c>
      <c r="U153" t="e">
        <v>#N/A</v>
      </c>
      <c r="V153" t="e">
        <v>#N/A</v>
      </c>
      <c r="X153" t="e">
        <v>#N/A</v>
      </c>
      <c r="Y153" t="e">
        <v>#N/A</v>
      </c>
      <c r="Z153" t="e">
        <v>#N/A</v>
      </c>
      <c r="AA153" t="e">
        <v>#N/A</v>
      </c>
      <c r="AC153" t="e">
        <v>#N/A</v>
      </c>
      <c r="AD153" t="e">
        <v>#N/A</v>
      </c>
      <c r="AE153" t="e">
        <v>#N/A</v>
      </c>
      <c r="AF153" t="e">
        <v>#N/A</v>
      </c>
      <c r="AH153" t="e">
        <v>#N/A</v>
      </c>
      <c r="AI153" t="e">
        <v>#N/A</v>
      </c>
      <c r="AJ153" t="e">
        <v>#N/A</v>
      </c>
      <c r="AK153" t="e">
        <v>#N/A</v>
      </c>
      <c r="AM153" t="e">
        <v>#N/A</v>
      </c>
      <c r="AN153" t="e">
        <v>#N/A</v>
      </c>
      <c r="AO153" t="e">
        <v>#N/A</v>
      </c>
      <c r="AP153" t="e">
        <v>#N/A</v>
      </c>
      <c r="AR153" t="s">
        <v>10</v>
      </c>
      <c r="AS153" t="s">
        <v>10</v>
      </c>
      <c r="AT153" t="s">
        <v>10</v>
      </c>
      <c r="AU153" t="s">
        <v>4739</v>
      </c>
    </row>
    <row r="154" spans="1:47">
      <c r="A154" t="s">
        <v>3192</v>
      </c>
      <c r="B154" t="s">
        <v>3193</v>
      </c>
      <c r="C154" t="s">
        <v>17</v>
      </c>
      <c r="D154" t="s">
        <v>3195</v>
      </c>
      <c r="E154" t="s">
        <v>3196</v>
      </c>
      <c r="F154" t="s">
        <v>3197</v>
      </c>
      <c r="G154" t="s">
        <v>4753</v>
      </c>
      <c r="H154" t="s">
        <v>1136</v>
      </c>
      <c r="I154" t="e">
        <v>#N/A</v>
      </c>
      <c r="J154" t="e">
        <v>#N/A</v>
      </c>
      <c r="K154" t="e">
        <v>#N/A</v>
      </c>
      <c r="L154" t="e">
        <v>#N/A</v>
      </c>
      <c r="N154" t="e">
        <v>#N/A</v>
      </c>
      <c r="O154" t="e">
        <v>#N/A</v>
      </c>
      <c r="P154" t="e">
        <v>#N/A</v>
      </c>
      <c r="Q154" t="e">
        <v>#N/A</v>
      </c>
      <c r="S154" t="e">
        <v>#N/A</v>
      </c>
      <c r="T154" t="e">
        <v>#N/A</v>
      </c>
      <c r="U154" t="e">
        <v>#N/A</v>
      </c>
      <c r="V154" t="e">
        <v>#N/A</v>
      </c>
      <c r="X154" t="e">
        <v>#N/A</v>
      </c>
      <c r="Y154" t="e">
        <v>#N/A</v>
      </c>
      <c r="Z154" t="e">
        <v>#N/A</v>
      </c>
      <c r="AA154" t="e">
        <v>#N/A</v>
      </c>
      <c r="AC154" t="e">
        <v>#N/A</v>
      </c>
      <c r="AD154" t="e">
        <v>#N/A</v>
      </c>
      <c r="AE154" t="e">
        <v>#N/A</v>
      </c>
      <c r="AF154" t="e">
        <v>#N/A</v>
      </c>
      <c r="AH154" t="e">
        <v>#N/A</v>
      </c>
      <c r="AI154" t="e">
        <v>#N/A</v>
      </c>
      <c r="AJ154" t="e">
        <v>#N/A</v>
      </c>
      <c r="AK154" t="e">
        <v>#N/A</v>
      </c>
      <c r="AM154" t="e">
        <v>#N/A</v>
      </c>
      <c r="AN154" t="e">
        <v>#N/A</v>
      </c>
      <c r="AO154" t="e">
        <v>#N/A</v>
      </c>
      <c r="AP154" t="e">
        <v>#N/A</v>
      </c>
      <c r="AR154" t="s">
        <v>10</v>
      </c>
      <c r="AS154" t="s">
        <v>10</v>
      </c>
      <c r="AT154" t="s">
        <v>10</v>
      </c>
      <c r="AU154" t="s">
        <v>4739</v>
      </c>
    </row>
    <row r="155" spans="1:47">
      <c r="A155" t="s">
        <v>3199</v>
      </c>
      <c r="B155" t="s">
        <v>3200</v>
      </c>
      <c r="C155" t="s">
        <v>17</v>
      </c>
      <c r="D155" t="s">
        <v>1133</v>
      </c>
      <c r="E155" t="s">
        <v>1134</v>
      </c>
      <c r="F155" t="s">
        <v>1135</v>
      </c>
      <c r="G155" t="s">
        <v>4750</v>
      </c>
      <c r="H155" t="s">
        <v>1137</v>
      </c>
      <c r="I155">
        <v>295.39999999999998</v>
      </c>
      <c r="J155">
        <v>0.62864439242392001</v>
      </c>
      <c r="K155">
        <v>0.94779999999999998</v>
      </c>
      <c r="L155" t="s">
        <v>4740</v>
      </c>
      <c r="N155">
        <v>309.60000000000002</v>
      </c>
      <c r="O155">
        <v>0.65886358799744604</v>
      </c>
      <c r="P155">
        <v>1.409</v>
      </c>
      <c r="Q155" t="s">
        <v>4740</v>
      </c>
      <c r="S155">
        <v>317.89999999999998</v>
      </c>
      <c r="T155">
        <v>0.67652692062140896</v>
      </c>
      <c r="U155">
        <v>2.0950000000000002</v>
      </c>
      <c r="V155" t="s">
        <v>4740</v>
      </c>
      <c r="X155">
        <v>307.5</v>
      </c>
      <c r="Y155">
        <v>0.65439455203234698</v>
      </c>
      <c r="Z155">
        <v>1.954</v>
      </c>
      <c r="AA155" t="s">
        <v>4740</v>
      </c>
      <c r="AC155">
        <v>342.1</v>
      </c>
      <c r="AD155">
        <v>0.72802723983826401</v>
      </c>
      <c r="AE155">
        <v>3.024</v>
      </c>
      <c r="AF155" t="s">
        <v>4738</v>
      </c>
      <c r="AH155">
        <v>421</v>
      </c>
      <c r="AI155">
        <v>0.89593530538412403</v>
      </c>
      <c r="AJ155">
        <v>154.1</v>
      </c>
      <c r="AK155" t="s">
        <v>4738</v>
      </c>
      <c r="AM155">
        <v>448.4</v>
      </c>
      <c r="AN155">
        <v>0.95424558416684402</v>
      </c>
      <c r="AO155">
        <v>207.1</v>
      </c>
      <c r="AP155" t="s">
        <v>4738</v>
      </c>
      <c r="AR155" t="s">
        <v>10</v>
      </c>
      <c r="AS155" t="s">
        <v>10</v>
      </c>
      <c r="AT155" t="s">
        <v>10</v>
      </c>
      <c r="AU155" t="s">
        <v>4739</v>
      </c>
    </row>
    <row r="156" spans="1:47">
      <c r="A156" t="s">
        <v>3202</v>
      </c>
      <c r="B156" t="s">
        <v>3203</v>
      </c>
      <c r="C156" t="s">
        <v>17</v>
      </c>
      <c r="D156" t="s">
        <v>1142</v>
      </c>
      <c r="E156" t="s">
        <v>1143</v>
      </c>
      <c r="F156" t="s">
        <v>1144</v>
      </c>
      <c r="G156" t="s">
        <v>4750</v>
      </c>
      <c r="H156" t="s">
        <v>1145</v>
      </c>
      <c r="I156">
        <v>275.2</v>
      </c>
      <c r="J156">
        <v>0.58565652266439705</v>
      </c>
      <c r="K156">
        <v>0.57289999999999996</v>
      </c>
      <c r="L156" t="s">
        <v>4740</v>
      </c>
      <c r="N156">
        <v>298.3</v>
      </c>
      <c r="O156">
        <v>0.634815918280485</v>
      </c>
      <c r="P156">
        <v>1.0309999999999999</v>
      </c>
      <c r="Q156" t="s">
        <v>4740</v>
      </c>
      <c r="S156">
        <v>322.7</v>
      </c>
      <c r="T156">
        <v>0.68674185997020598</v>
      </c>
      <c r="U156">
        <v>2.1110000000000002</v>
      </c>
      <c r="V156" t="s">
        <v>4740</v>
      </c>
      <c r="X156">
        <v>297.10000000000002</v>
      </c>
      <c r="Y156">
        <v>0.632262183443286</v>
      </c>
      <c r="Z156">
        <v>1.2230000000000001</v>
      </c>
      <c r="AA156" t="s">
        <v>4740</v>
      </c>
      <c r="AC156">
        <v>335</v>
      </c>
      <c r="AD156">
        <v>0.71291764205149999</v>
      </c>
      <c r="AE156">
        <v>3.4550000000000001</v>
      </c>
      <c r="AF156" t="s">
        <v>4738</v>
      </c>
      <c r="AH156">
        <v>410.1</v>
      </c>
      <c r="AI156">
        <v>0.87273888061289695</v>
      </c>
      <c r="AJ156">
        <v>187.5</v>
      </c>
      <c r="AK156" t="s">
        <v>4738</v>
      </c>
      <c r="AM156">
        <v>399.4</v>
      </c>
      <c r="AN156">
        <v>0.84996807831453502</v>
      </c>
      <c r="AO156">
        <v>171.8</v>
      </c>
      <c r="AP156" t="s">
        <v>4738</v>
      </c>
      <c r="AR156" t="s">
        <v>10</v>
      </c>
      <c r="AS156" t="s">
        <v>10</v>
      </c>
      <c r="AT156" t="s">
        <v>10</v>
      </c>
      <c r="AU156" t="s">
        <v>4739</v>
      </c>
    </row>
    <row r="157" spans="1:47">
      <c r="A157" t="s">
        <v>3205</v>
      </c>
      <c r="B157" t="s">
        <v>3206</v>
      </c>
      <c r="C157" t="s">
        <v>17</v>
      </c>
      <c r="D157" t="s">
        <v>1150</v>
      </c>
      <c r="E157" t="s">
        <v>1151</v>
      </c>
      <c r="F157" t="s">
        <v>1152</v>
      </c>
      <c r="G157" t="s">
        <v>4750</v>
      </c>
      <c r="H157" t="s">
        <v>1153</v>
      </c>
      <c r="I157">
        <v>297.39999999999998</v>
      </c>
      <c r="J157">
        <v>0.63290061715258605</v>
      </c>
      <c r="K157">
        <v>1.21</v>
      </c>
      <c r="L157" t="s">
        <v>4740</v>
      </c>
      <c r="N157">
        <v>319.5</v>
      </c>
      <c r="O157">
        <v>0.67993190040434104</v>
      </c>
      <c r="P157">
        <v>1.706</v>
      </c>
      <c r="Q157" t="s">
        <v>4740</v>
      </c>
      <c r="S157">
        <v>321.60000000000002</v>
      </c>
      <c r="T157">
        <v>0.68440093636943999</v>
      </c>
      <c r="U157">
        <v>1.9750000000000001</v>
      </c>
      <c r="V157" t="s">
        <v>4740</v>
      </c>
      <c r="X157">
        <v>319.5</v>
      </c>
      <c r="Y157">
        <v>0.67993190040434104</v>
      </c>
      <c r="Z157">
        <v>3.056</v>
      </c>
      <c r="AA157" t="s">
        <v>4740</v>
      </c>
      <c r="AC157">
        <v>352.7</v>
      </c>
      <c r="AD157">
        <v>0.75058523090019202</v>
      </c>
      <c r="AE157">
        <v>6.8369999999999997</v>
      </c>
      <c r="AF157" t="s">
        <v>4738</v>
      </c>
      <c r="AH157">
        <v>428.1</v>
      </c>
      <c r="AI157">
        <v>0.91104490317088704</v>
      </c>
      <c r="AJ157">
        <v>164.7</v>
      </c>
      <c r="AK157" t="s">
        <v>4738</v>
      </c>
      <c r="AM157">
        <v>391.4</v>
      </c>
      <c r="AN157">
        <v>0.83294317939987195</v>
      </c>
      <c r="AO157">
        <v>117.1</v>
      </c>
      <c r="AP157" t="s">
        <v>4738</v>
      </c>
      <c r="AR157" t="s">
        <v>10</v>
      </c>
      <c r="AS157" t="s">
        <v>10</v>
      </c>
      <c r="AT157" t="s">
        <v>10</v>
      </c>
      <c r="AU157" t="s">
        <v>4739</v>
      </c>
    </row>
    <row r="158" spans="1:47">
      <c r="A158" t="s">
        <v>3208</v>
      </c>
      <c r="B158" t="s">
        <v>3209</v>
      </c>
      <c r="C158" t="s">
        <v>17</v>
      </c>
      <c r="D158" t="s">
        <v>1158</v>
      </c>
      <c r="E158" t="s">
        <v>1159</v>
      </c>
      <c r="F158" t="s">
        <v>1160</v>
      </c>
      <c r="G158" t="s">
        <v>4751</v>
      </c>
      <c r="H158" t="s">
        <v>1137</v>
      </c>
      <c r="I158">
        <v>295.39999999999998</v>
      </c>
      <c r="J158">
        <v>0.62864439242392001</v>
      </c>
      <c r="K158">
        <v>0.94779999999999998</v>
      </c>
      <c r="L158" t="s">
        <v>4740</v>
      </c>
      <c r="N158">
        <v>309.60000000000002</v>
      </c>
      <c r="O158">
        <v>0.65886358799744604</v>
      </c>
      <c r="P158">
        <v>1.409</v>
      </c>
      <c r="Q158" t="s">
        <v>4740</v>
      </c>
      <c r="S158">
        <v>317.89999999999998</v>
      </c>
      <c r="T158">
        <v>0.67652692062140896</v>
      </c>
      <c r="U158">
        <v>2.0950000000000002</v>
      </c>
      <c r="V158" t="s">
        <v>4740</v>
      </c>
      <c r="X158">
        <v>307.5</v>
      </c>
      <c r="Y158">
        <v>0.65439455203234698</v>
      </c>
      <c r="Z158">
        <v>1.954</v>
      </c>
      <c r="AA158" t="s">
        <v>4740</v>
      </c>
      <c r="AC158">
        <v>342.1</v>
      </c>
      <c r="AD158">
        <v>0.72802723983826401</v>
      </c>
      <c r="AE158">
        <v>3.024</v>
      </c>
      <c r="AF158" t="s">
        <v>4738</v>
      </c>
      <c r="AH158">
        <v>421</v>
      </c>
      <c r="AI158">
        <v>0.89593530538412403</v>
      </c>
      <c r="AJ158">
        <v>154.1</v>
      </c>
      <c r="AK158" t="s">
        <v>4738</v>
      </c>
      <c r="AM158">
        <v>448.4</v>
      </c>
      <c r="AN158">
        <v>0.95424558416684402</v>
      </c>
      <c r="AO158">
        <v>207.1</v>
      </c>
      <c r="AP158" t="s">
        <v>4738</v>
      </c>
      <c r="AR158" t="s">
        <v>10</v>
      </c>
      <c r="AS158" t="s">
        <v>10</v>
      </c>
      <c r="AT158" t="s">
        <v>10</v>
      </c>
      <c r="AU158" t="s">
        <v>4739</v>
      </c>
    </row>
    <row r="159" spans="1:47">
      <c r="A159" t="s">
        <v>3211</v>
      </c>
      <c r="B159" t="s">
        <v>3212</v>
      </c>
      <c r="C159" t="s">
        <v>17</v>
      </c>
      <c r="D159" t="s">
        <v>1165</v>
      </c>
      <c r="E159" t="s">
        <v>1166</v>
      </c>
      <c r="F159" t="s">
        <v>1167</v>
      </c>
      <c r="G159" t="s">
        <v>4751</v>
      </c>
      <c r="H159" t="s">
        <v>1145</v>
      </c>
      <c r="I159">
        <v>275.2</v>
      </c>
      <c r="J159">
        <v>0.58565652266439705</v>
      </c>
      <c r="K159">
        <v>0.57289999999999996</v>
      </c>
      <c r="L159" t="s">
        <v>4740</v>
      </c>
      <c r="N159">
        <v>298.3</v>
      </c>
      <c r="O159">
        <v>0.634815918280485</v>
      </c>
      <c r="P159">
        <v>1.0309999999999999</v>
      </c>
      <c r="Q159" t="s">
        <v>4740</v>
      </c>
      <c r="S159">
        <v>322.7</v>
      </c>
      <c r="T159">
        <v>0.68674185997020598</v>
      </c>
      <c r="U159">
        <v>2.1110000000000002</v>
      </c>
      <c r="V159" t="s">
        <v>4740</v>
      </c>
      <c r="X159">
        <v>297.10000000000002</v>
      </c>
      <c r="Y159">
        <v>0.632262183443286</v>
      </c>
      <c r="Z159">
        <v>1.2230000000000001</v>
      </c>
      <c r="AA159" t="s">
        <v>4740</v>
      </c>
      <c r="AC159">
        <v>335</v>
      </c>
      <c r="AD159">
        <v>0.71291764205149999</v>
      </c>
      <c r="AE159">
        <v>3.4550000000000001</v>
      </c>
      <c r="AF159" t="s">
        <v>4738</v>
      </c>
      <c r="AH159">
        <v>410.1</v>
      </c>
      <c r="AI159">
        <v>0.87273888061289695</v>
      </c>
      <c r="AJ159">
        <v>187.5</v>
      </c>
      <c r="AK159" t="s">
        <v>4738</v>
      </c>
      <c r="AM159">
        <v>399.4</v>
      </c>
      <c r="AN159">
        <v>0.84996807831453502</v>
      </c>
      <c r="AO159">
        <v>171.8</v>
      </c>
      <c r="AP159" t="s">
        <v>4738</v>
      </c>
      <c r="AR159" t="s">
        <v>10</v>
      </c>
      <c r="AS159" t="s">
        <v>10</v>
      </c>
      <c r="AT159" t="s">
        <v>10</v>
      </c>
      <c r="AU159" t="s">
        <v>4739</v>
      </c>
    </row>
    <row r="160" spans="1:47">
      <c r="A160" t="s">
        <v>3214</v>
      </c>
      <c r="B160" t="s">
        <v>3215</v>
      </c>
      <c r="C160" t="s">
        <v>17</v>
      </c>
      <c r="D160" t="s">
        <v>1172</v>
      </c>
      <c r="E160" t="s">
        <v>1173</v>
      </c>
      <c r="F160" t="s">
        <v>1174</v>
      </c>
      <c r="G160" t="s">
        <v>4751</v>
      </c>
      <c r="H160" t="s">
        <v>1153</v>
      </c>
      <c r="I160">
        <v>297.39999999999998</v>
      </c>
      <c r="J160">
        <v>0.63290061715258605</v>
      </c>
      <c r="K160">
        <v>1.21</v>
      </c>
      <c r="L160" t="s">
        <v>4740</v>
      </c>
      <c r="N160">
        <v>319.5</v>
      </c>
      <c r="O160">
        <v>0.67993190040434104</v>
      </c>
      <c r="P160">
        <v>1.706</v>
      </c>
      <c r="Q160" t="s">
        <v>4740</v>
      </c>
      <c r="S160">
        <v>321.60000000000002</v>
      </c>
      <c r="T160">
        <v>0.68440093636943999</v>
      </c>
      <c r="U160">
        <v>1.9750000000000001</v>
      </c>
      <c r="V160" t="s">
        <v>4740</v>
      </c>
      <c r="X160">
        <v>319.5</v>
      </c>
      <c r="Y160">
        <v>0.67993190040434104</v>
      </c>
      <c r="Z160">
        <v>3.056</v>
      </c>
      <c r="AA160" t="s">
        <v>4740</v>
      </c>
      <c r="AC160">
        <v>352.7</v>
      </c>
      <c r="AD160">
        <v>0.75058523090019202</v>
      </c>
      <c r="AE160">
        <v>6.8369999999999997</v>
      </c>
      <c r="AF160" t="s">
        <v>4738</v>
      </c>
      <c r="AH160">
        <v>428.1</v>
      </c>
      <c r="AI160">
        <v>0.91104490317088704</v>
      </c>
      <c r="AJ160">
        <v>164.7</v>
      </c>
      <c r="AK160" t="s">
        <v>4738</v>
      </c>
      <c r="AM160">
        <v>391.4</v>
      </c>
      <c r="AN160">
        <v>0.83294317939987195</v>
      </c>
      <c r="AO160">
        <v>117.1</v>
      </c>
      <c r="AP160" t="s">
        <v>4738</v>
      </c>
      <c r="AR160" t="s">
        <v>10</v>
      </c>
      <c r="AS160" t="s">
        <v>10</v>
      </c>
      <c r="AT160" t="s">
        <v>10</v>
      </c>
      <c r="AU160" t="s">
        <v>4739</v>
      </c>
    </row>
    <row r="161" spans="1:47">
      <c r="A161" t="s">
        <v>3217</v>
      </c>
      <c r="B161" t="s">
        <v>3218</v>
      </c>
      <c r="C161" t="s">
        <v>17</v>
      </c>
      <c r="D161" t="s">
        <v>1186</v>
      </c>
      <c r="E161" t="s">
        <v>1187</v>
      </c>
      <c r="F161" t="s">
        <v>1188</v>
      </c>
      <c r="G161" t="s">
        <v>4750</v>
      </c>
      <c r="H161" t="s">
        <v>1190</v>
      </c>
      <c r="I161">
        <v>352.6</v>
      </c>
      <c r="J161">
        <v>0.75037241966375801</v>
      </c>
      <c r="K161">
        <v>7.8170000000000002</v>
      </c>
      <c r="L161" t="s">
        <v>4738</v>
      </c>
      <c r="N161">
        <v>397.6</v>
      </c>
      <c r="O161">
        <v>0.84613747605873602</v>
      </c>
      <c r="P161">
        <v>29.4</v>
      </c>
      <c r="Q161" t="s">
        <v>4738</v>
      </c>
      <c r="S161">
        <v>369.5</v>
      </c>
      <c r="T161">
        <v>0.786337518620983</v>
      </c>
      <c r="U161">
        <v>8.3190000000000008</v>
      </c>
      <c r="V161" t="s">
        <v>4738</v>
      </c>
      <c r="X161">
        <v>381.8</v>
      </c>
      <c r="Y161">
        <v>0.81251330070227701</v>
      </c>
      <c r="Z161">
        <v>28.23</v>
      </c>
      <c r="AA161" t="s">
        <v>4738</v>
      </c>
      <c r="AC161">
        <v>424.4</v>
      </c>
      <c r="AD161">
        <v>0.90317088742285601</v>
      </c>
      <c r="AE161">
        <v>39.56</v>
      </c>
      <c r="AF161" t="s">
        <v>4738</v>
      </c>
      <c r="AH161">
        <v>413</v>
      </c>
      <c r="AI161">
        <v>0.87891040646946195</v>
      </c>
      <c r="AJ161">
        <v>23.53</v>
      </c>
      <c r="AK161" t="s">
        <v>4738</v>
      </c>
      <c r="AM161">
        <v>391.6</v>
      </c>
      <c r="AN161">
        <v>0.83336880187273898</v>
      </c>
      <c r="AO161">
        <v>13.98</v>
      </c>
      <c r="AP161" t="s">
        <v>4738</v>
      </c>
      <c r="AR161" t="s">
        <v>4739</v>
      </c>
      <c r="AS161" t="s">
        <v>4739</v>
      </c>
      <c r="AT161" t="s">
        <v>4739</v>
      </c>
      <c r="AU161" t="s">
        <v>4739</v>
      </c>
    </row>
    <row r="162" spans="1:47">
      <c r="A162" t="s">
        <v>3220</v>
      </c>
      <c r="B162" t="s">
        <v>3221</v>
      </c>
      <c r="C162" t="s">
        <v>17</v>
      </c>
      <c r="D162" t="s">
        <v>1211</v>
      </c>
      <c r="E162" t="s">
        <v>1212</v>
      </c>
      <c r="F162" t="s">
        <v>1213</v>
      </c>
      <c r="G162" t="s">
        <v>4750</v>
      </c>
      <c r="H162" t="s">
        <v>1214</v>
      </c>
      <c r="I162">
        <v>272.10000000000002</v>
      </c>
      <c r="J162">
        <v>0.57905937433496502</v>
      </c>
      <c r="K162">
        <v>0.59750000000000003</v>
      </c>
      <c r="L162" t="s">
        <v>4740</v>
      </c>
      <c r="N162">
        <v>392.6</v>
      </c>
      <c r="O162">
        <v>0.83549691423707195</v>
      </c>
      <c r="P162">
        <v>22.52</v>
      </c>
      <c r="Q162" t="s">
        <v>4738</v>
      </c>
      <c r="S162">
        <v>305.89999999999998</v>
      </c>
      <c r="T162">
        <v>0.650989572249415</v>
      </c>
      <c r="U162">
        <v>1.5109999999999999</v>
      </c>
      <c r="V162" t="s">
        <v>4740</v>
      </c>
      <c r="X162">
        <v>389.9</v>
      </c>
      <c r="Y162">
        <v>0.82975101085337299</v>
      </c>
      <c r="Z162">
        <v>24.34</v>
      </c>
      <c r="AA162" t="s">
        <v>4738</v>
      </c>
      <c r="AC162">
        <v>326.5</v>
      </c>
      <c r="AD162">
        <v>0.69482868695467104</v>
      </c>
      <c r="AE162">
        <v>3.2759999999999998</v>
      </c>
      <c r="AF162" t="s">
        <v>4738</v>
      </c>
      <c r="AH162">
        <v>338</v>
      </c>
      <c r="AI162">
        <v>0.719301979144499</v>
      </c>
      <c r="AJ162">
        <v>5.782</v>
      </c>
      <c r="AK162" t="s">
        <v>4738</v>
      </c>
      <c r="AM162">
        <v>350.9</v>
      </c>
      <c r="AN162">
        <v>0.74675462864439202</v>
      </c>
      <c r="AO162">
        <v>9.984</v>
      </c>
      <c r="AP162" t="s">
        <v>4738</v>
      </c>
      <c r="AR162" t="s">
        <v>4739</v>
      </c>
      <c r="AS162" t="s">
        <v>4739</v>
      </c>
      <c r="AT162" t="s">
        <v>4739</v>
      </c>
      <c r="AU162" t="s">
        <v>4739</v>
      </c>
    </row>
    <row r="163" spans="1:47">
      <c r="A163" t="s">
        <v>3223</v>
      </c>
      <c r="B163" t="s">
        <v>3224</v>
      </c>
      <c r="C163" t="s">
        <v>17</v>
      </c>
      <c r="D163" t="s">
        <v>1226</v>
      </c>
      <c r="E163" t="s">
        <v>1227</v>
      </c>
      <c r="F163" t="s">
        <v>1228</v>
      </c>
      <c r="G163" t="s">
        <v>4751</v>
      </c>
      <c r="H163" t="s">
        <v>1190</v>
      </c>
      <c r="I163">
        <v>352.6</v>
      </c>
      <c r="J163">
        <v>0.75037241966375801</v>
      </c>
      <c r="K163">
        <v>7.8170000000000002</v>
      </c>
      <c r="L163" t="s">
        <v>4738</v>
      </c>
      <c r="N163">
        <v>397.6</v>
      </c>
      <c r="O163">
        <v>0.84613747605873602</v>
      </c>
      <c r="P163">
        <v>29.4</v>
      </c>
      <c r="Q163" t="s">
        <v>4738</v>
      </c>
      <c r="S163">
        <v>369.5</v>
      </c>
      <c r="T163">
        <v>0.786337518620983</v>
      </c>
      <c r="U163">
        <v>8.3190000000000008</v>
      </c>
      <c r="V163" t="s">
        <v>4738</v>
      </c>
      <c r="X163">
        <v>381.8</v>
      </c>
      <c r="Y163">
        <v>0.81251330070227701</v>
      </c>
      <c r="Z163">
        <v>28.23</v>
      </c>
      <c r="AA163" t="s">
        <v>4738</v>
      </c>
      <c r="AC163">
        <v>424.4</v>
      </c>
      <c r="AD163">
        <v>0.90317088742285601</v>
      </c>
      <c r="AE163">
        <v>39.56</v>
      </c>
      <c r="AF163" t="s">
        <v>4738</v>
      </c>
      <c r="AH163">
        <v>413</v>
      </c>
      <c r="AI163">
        <v>0.87891040646946195</v>
      </c>
      <c r="AJ163">
        <v>23.53</v>
      </c>
      <c r="AK163" t="s">
        <v>4738</v>
      </c>
      <c r="AM163">
        <v>391.6</v>
      </c>
      <c r="AN163">
        <v>0.83336880187273898</v>
      </c>
      <c r="AO163">
        <v>13.98</v>
      </c>
      <c r="AP163" t="s">
        <v>4738</v>
      </c>
      <c r="AR163" t="s">
        <v>4739</v>
      </c>
      <c r="AS163" t="s">
        <v>4739</v>
      </c>
      <c r="AT163" t="s">
        <v>4739</v>
      </c>
      <c r="AU163" t="s">
        <v>4739</v>
      </c>
    </row>
    <row r="164" spans="1:47">
      <c r="A164" t="s">
        <v>3226</v>
      </c>
      <c r="B164" t="s">
        <v>3227</v>
      </c>
      <c r="C164" t="s">
        <v>17</v>
      </c>
      <c r="D164" t="s">
        <v>1247</v>
      </c>
      <c r="E164" t="s">
        <v>1248</v>
      </c>
      <c r="F164" t="s">
        <v>1249</v>
      </c>
      <c r="G164" t="s">
        <v>4751</v>
      </c>
      <c r="H164" t="s">
        <v>1214</v>
      </c>
      <c r="I164">
        <v>272.10000000000002</v>
      </c>
      <c r="J164">
        <v>0.57905937433496502</v>
      </c>
      <c r="K164">
        <v>0.59750000000000003</v>
      </c>
      <c r="L164" t="s">
        <v>4740</v>
      </c>
      <c r="N164">
        <v>392.6</v>
      </c>
      <c r="O164">
        <v>0.83549691423707195</v>
      </c>
      <c r="P164">
        <v>22.52</v>
      </c>
      <c r="Q164" t="s">
        <v>4738</v>
      </c>
      <c r="S164">
        <v>305.89999999999998</v>
      </c>
      <c r="T164">
        <v>0.650989572249415</v>
      </c>
      <c r="U164">
        <v>1.5109999999999999</v>
      </c>
      <c r="V164" t="s">
        <v>4740</v>
      </c>
      <c r="X164">
        <v>389.9</v>
      </c>
      <c r="Y164">
        <v>0.82975101085337299</v>
      </c>
      <c r="Z164">
        <v>24.34</v>
      </c>
      <c r="AA164" t="s">
        <v>4738</v>
      </c>
      <c r="AC164">
        <v>326.5</v>
      </c>
      <c r="AD164">
        <v>0.69482868695467104</v>
      </c>
      <c r="AE164">
        <v>3.2759999999999998</v>
      </c>
      <c r="AF164" t="s">
        <v>4738</v>
      </c>
      <c r="AH164">
        <v>338</v>
      </c>
      <c r="AI164">
        <v>0.719301979144499</v>
      </c>
      <c r="AJ164">
        <v>5.782</v>
      </c>
      <c r="AK164" t="s">
        <v>4738</v>
      </c>
      <c r="AM164">
        <v>350.9</v>
      </c>
      <c r="AN164">
        <v>0.74675462864439202</v>
      </c>
      <c r="AO164">
        <v>9.984</v>
      </c>
      <c r="AP164" t="s">
        <v>4738</v>
      </c>
      <c r="AR164" t="s">
        <v>4739</v>
      </c>
      <c r="AS164" t="s">
        <v>4739</v>
      </c>
      <c r="AT164" t="s">
        <v>4739</v>
      </c>
      <c r="AU164" t="s">
        <v>4739</v>
      </c>
    </row>
    <row r="165" spans="1:47">
      <c r="A165" t="s">
        <v>3229</v>
      </c>
      <c r="B165" t="s">
        <v>3230</v>
      </c>
      <c r="C165" t="s">
        <v>17</v>
      </c>
      <c r="D165" t="s">
        <v>3232</v>
      </c>
      <c r="E165" t="s">
        <v>3233</v>
      </c>
      <c r="F165" t="s">
        <v>3234</v>
      </c>
      <c r="G165" t="s">
        <v>4750</v>
      </c>
      <c r="H165" t="s">
        <v>3235</v>
      </c>
      <c r="I165">
        <v>356.3</v>
      </c>
      <c r="J165">
        <v>0.75824643541179004</v>
      </c>
      <c r="K165">
        <v>5.6120000000000001</v>
      </c>
      <c r="L165" t="s">
        <v>4738</v>
      </c>
      <c r="N165">
        <v>318.60000000000002</v>
      </c>
      <c r="O165">
        <v>0.67801659927644198</v>
      </c>
      <c r="P165">
        <v>1.599</v>
      </c>
      <c r="Q165" t="s">
        <v>4740</v>
      </c>
      <c r="S165">
        <v>336.9</v>
      </c>
      <c r="T165">
        <v>0.71696105554373302</v>
      </c>
      <c r="U165">
        <v>2.4489999999999998</v>
      </c>
      <c r="V165" t="s">
        <v>4738</v>
      </c>
      <c r="X165">
        <v>332.4</v>
      </c>
      <c r="Y165">
        <v>0.70738454990423505</v>
      </c>
      <c r="Z165">
        <v>3.0569999999999999</v>
      </c>
      <c r="AA165" t="s">
        <v>4738</v>
      </c>
      <c r="AC165">
        <v>419.3</v>
      </c>
      <c r="AD165">
        <v>0.89231751436475804</v>
      </c>
      <c r="AE165">
        <v>31.41</v>
      </c>
      <c r="AF165" t="s">
        <v>4738</v>
      </c>
      <c r="AH165">
        <v>457.8</v>
      </c>
      <c r="AI165">
        <v>0.97424984039157303</v>
      </c>
      <c r="AJ165">
        <v>185.4</v>
      </c>
      <c r="AK165" t="s">
        <v>4738</v>
      </c>
      <c r="AM165">
        <v>443.7</v>
      </c>
      <c r="AN165">
        <v>0.94424345605448001</v>
      </c>
      <c r="AO165">
        <v>108.7</v>
      </c>
      <c r="AP165" t="s">
        <v>4738</v>
      </c>
      <c r="AR165" t="s">
        <v>4739</v>
      </c>
      <c r="AS165" t="s">
        <v>10</v>
      </c>
      <c r="AT165" t="s">
        <v>4739</v>
      </c>
      <c r="AU165" t="s">
        <v>4739</v>
      </c>
    </row>
    <row r="166" spans="1:47">
      <c r="A166" t="s">
        <v>3237</v>
      </c>
      <c r="B166" t="s">
        <v>3238</v>
      </c>
      <c r="C166" t="s">
        <v>17</v>
      </c>
      <c r="D166" t="s">
        <v>1254</v>
      </c>
      <c r="E166" t="s">
        <v>1255</v>
      </c>
      <c r="F166" t="s">
        <v>1256</v>
      </c>
      <c r="G166" t="s">
        <v>4750</v>
      </c>
      <c r="H166" t="s">
        <v>1258</v>
      </c>
      <c r="I166">
        <v>314.89999999999998</v>
      </c>
      <c r="J166">
        <v>0.67014258352841005</v>
      </c>
      <c r="K166">
        <v>1.4019999999999999</v>
      </c>
      <c r="L166" t="s">
        <v>4740</v>
      </c>
      <c r="N166">
        <v>314.5</v>
      </c>
      <c r="O166">
        <v>0.66929133858267698</v>
      </c>
      <c r="P166">
        <v>1.99</v>
      </c>
      <c r="Q166" t="s">
        <v>4740</v>
      </c>
      <c r="S166">
        <v>393.1</v>
      </c>
      <c r="T166">
        <v>0.83656097041923805</v>
      </c>
      <c r="U166">
        <v>20.440000000000001</v>
      </c>
      <c r="V166" t="s">
        <v>4738</v>
      </c>
      <c r="X166">
        <v>316.8</v>
      </c>
      <c r="Y166">
        <v>0.67418599702064297</v>
      </c>
      <c r="Z166">
        <v>1.456</v>
      </c>
      <c r="AA166" t="s">
        <v>4740</v>
      </c>
      <c r="AC166">
        <v>396</v>
      </c>
      <c r="AD166">
        <v>0.84273249627580304</v>
      </c>
      <c r="AE166">
        <v>20.03</v>
      </c>
      <c r="AF166" t="s">
        <v>4738</v>
      </c>
      <c r="AH166">
        <v>411.7</v>
      </c>
      <c r="AI166">
        <v>0.87614386039582903</v>
      </c>
      <c r="AJ166">
        <v>46.63</v>
      </c>
      <c r="AK166" t="s">
        <v>4738</v>
      </c>
      <c r="AM166">
        <v>413.9</v>
      </c>
      <c r="AN166">
        <v>0.88082570759736101</v>
      </c>
      <c r="AO166">
        <v>26.56</v>
      </c>
      <c r="AP166" t="s">
        <v>4738</v>
      </c>
      <c r="AR166" t="s">
        <v>4739</v>
      </c>
      <c r="AS166" t="s">
        <v>10</v>
      </c>
      <c r="AT166" t="s">
        <v>4739</v>
      </c>
      <c r="AU166" t="s">
        <v>4739</v>
      </c>
    </row>
    <row r="167" spans="1:47">
      <c r="A167" t="s">
        <v>3240</v>
      </c>
      <c r="B167" t="s">
        <v>3241</v>
      </c>
      <c r="C167" t="s">
        <v>17</v>
      </c>
      <c r="D167" t="s">
        <v>3243</v>
      </c>
      <c r="E167" t="s">
        <v>3244</v>
      </c>
      <c r="F167" t="s">
        <v>3245</v>
      </c>
      <c r="G167" t="s">
        <v>4750</v>
      </c>
      <c r="H167" t="s">
        <v>3246</v>
      </c>
      <c r="I167">
        <v>422.9</v>
      </c>
      <c r="J167">
        <v>0.89997871887635705</v>
      </c>
      <c r="K167">
        <v>32.96</v>
      </c>
      <c r="L167" t="s">
        <v>4738</v>
      </c>
      <c r="N167">
        <v>385.1</v>
      </c>
      <c r="O167">
        <v>0.81953607150457597</v>
      </c>
      <c r="P167">
        <v>12.86</v>
      </c>
      <c r="Q167" t="s">
        <v>4738</v>
      </c>
      <c r="S167">
        <v>357.5</v>
      </c>
      <c r="T167">
        <v>0.76080017024898905</v>
      </c>
      <c r="U167">
        <v>6.5679999999999996</v>
      </c>
      <c r="V167" t="s">
        <v>4738</v>
      </c>
      <c r="X167">
        <v>322.89999999999998</v>
      </c>
      <c r="Y167">
        <v>0.68716748244307302</v>
      </c>
      <c r="Z167">
        <v>2.044</v>
      </c>
      <c r="AA167" t="s">
        <v>4740</v>
      </c>
      <c r="AC167">
        <v>418.2</v>
      </c>
      <c r="AD167">
        <v>0.88997659076399205</v>
      </c>
      <c r="AE167">
        <v>42.38</v>
      </c>
      <c r="AF167" t="s">
        <v>4738</v>
      </c>
      <c r="AH167">
        <v>358.8</v>
      </c>
      <c r="AI167">
        <v>0.76356671632262196</v>
      </c>
      <c r="AJ167">
        <v>4.5780000000000003</v>
      </c>
      <c r="AK167" t="s">
        <v>4738</v>
      </c>
      <c r="AM167">
        <v>404.8</v>
      </c>
      <c r="AN167">
        <v>0.86145988508193205</v>
      </c>
      <c r="AO167">
        <v>18.440000000000001</v>
      </c>
      <c r="AP167" t="s">
        <v>4738</v>
      </c>
      <c r="AR167" t="e">
        <v>#N/A</v>
      </c>
      <c r="AS167" t="e">
        <v>#N/A</v>
      </c>
      <c r="AT167" t="e">
        <v>#N/A</v>
      </c>
      <c r="AU167" t="e">
        <v>#N/A</v>
      </c>
    </row>
    <row r="168" spans="1:47">
      <c r="A168" t="s">
        <v>3248</v>
      </c>
      <c r="B168" t="s">
        <v>3249</v>
      </c>
      <c r="C168" t="s">
        <v>17</v>
      </c>
      <c r="D168" t="s">
        <v>3251</v>
      </c>
      <c r="E168" t="s">
        <v>3252</v>
      </c>
      <c r="F168" t="s">
        <v>3253</v>
      </c>
      <c r="G168" t="s">
        <v>4751</v>
      </c>
      <c r="H168" t="s">
        <v>3246</v>
      </c>
      <c r="I168">
        <v>422.9</v>
      </c>
      <c r="J168">
        <v>0.89997871887635705</v>
      </c>
      <c r="K168">
        <v>32.96</v>
      </c>
      <c r="L168" t="s">
        <v>4738</v>
      </c>
      <c r="N168">
        <v>385.1</v>
      </c>
      <c r="O168">
        <v>0.81953607150457597</v>
      </c>
      <c r="P168">
        <v>12.86</v>
      </c>
      <c r="Q168" t="s">
        <v>4738</v>
      </c>
      <c r="S168">
        <v>357.5</v>
      </c>
      <c r="T168">
        <v>0.76080017024898905</v>
      </c>
      <c r="U168">
        <v>6.5679999999999996</v>
      </c>
      <c r="V168" t="s">
        <v>4738</v>
      </c>
      <c r="X168">
        <v>322.89999999999998</v>
      </c>
      <c r="Y168">
        <v>0.68716748244307302</v>
      </c>
      <c r="Z168">
        <v>2.044</v>
      </c>
      <c r="AA168" t="s">
        <v>4740</v>
      </c>
      <c r="AC168">
        <v>418.2</v>
      </c>
      <c r="AD168">
        <v>0.88997659076399205</v>
      </c>
      <c r="AE168">
        <v>42.38</v>
      </c>
      <c r="AF168" t="s">
        <v>4738</v>
      </c>
      <c r="AH168">
        <v>358.8</v>
      </c>
      <c r="AI168">
        <v>0.76356671632262196</v>
      </c>
      <c r="AJ168">
        <v>4.5780000000000003</v>
      </c>
      <c r="AK168" t="s">
        <v>4738</v>
      </c>
      <c r="AM168">
        <v>404.8</v>
      </c>
      <c r="AN168">
        <v>0.86145988508193205</v>
      </c>
      <c r="AO168">
        <v>18.440000000000001</v>
      </c>
      <c r="AP168" t="s">
        <v>4738</v>
      </c>
      <c r="AR168" t="e">
        <v>#N/A</v>
      </c>
      <c r="AS168" t="e">
        <v>#N/A</v>
      </c>
      <c r="AT168" t="e">
        <v>#N/A</v>
      </c>
      <c r="AU168" t="e">
        <v>#N/A</v>
      </c>
    </row>
    <row r="169" spans="1:47">
      <c r="A169" t="s">
        <v>3255</v>
      </c>
      <c r="B169" t="s">
        <v>3256</v>
      </c>
      <c r="C169" t="s">
        <v>17</v>
      </c>
      <c r="D169" t="s">
        <v>1375</v>
      </c>
      <c r="E169" t="s">
        <v>1376</v>
      </c>
      <c r="F169" t="s">
        <v>1377</v>
      </c>
      <c r="G169" t="s">
        <v>4750</v>
      </c>
      <c r="H169" t="s">
        <v>1379</v>
      </c>
      <c r="I169">
        <v>416.5</v>
      </c>
      <c r="J169">
        <v>0.88635879974462695</v>
      </c>
      <c r="K169">
        <v>63.21</v>
      </c>
      <c r="L169" t="s">
        <v>4738</v>
      </c>
      <c r="N169">
        <v>362.5</v>
      </c>
      <c r="O169">
        <v>0.771440732070653</v>
      </c>
      <c r="P169">
        <v>9.7430000000000003</v>
      </c>
      <c r="Q169" t="s">
        <v>4738</v>
      </c>
      <c r="S169">
        <v>417.4</v>
      </c>
      <c r="T169">
        <v>0.88827410087252601</v>
      </c>
      <c r="U169">
        <v>41.53</v>
      </c>
      <c r="V169" t="s">
        <v>4738</v>
      </c>
      <c r="X169">
        <v>435</v>
      </c>
      <c r="Y169">
        <v>0.92572887848478402</v>
      </c>
      <c r="Z169">
        <v>75.87</v>
      </c>
      <c r="AA169" t="s">
        <v>4738</v>
      </c>
      <c r="AC169">
        <v>439.9</v>
      </c>
      <c r="AD169">
        <v>0.93615662907001496</v>
      </c>
      <c r="AE169">
        <v>299.39999999999998</v>
      </c>
      <c r="AF169" t="s">
        <v>4738</v>
      </c>
      <c r="AH169">
        <v>397.2</v>
      </c>
      <c r="AI169">
        <v>0.84528623111300305</v>
      </c>
      <c r="AJ169">
        <v>14.61</v>
      </c>
      <c r="AK169" t="s">
        <v>4738</v>
      </c>
      <c r="AM169">
        <v>406.5</v>
      </c>
      <c r="AN169">
        <v>0.86507767610129804</v>
      </c>
      <c r="AO169">
        <v>22.8</v>
      </c>
      <c r="AP169" t="s">
        <v>4738</v>
      </c>
      <c r="AR169" t="e">
        <v>#N/A</v>
      </c>
      <c r="AS169" t="e">
        <v>#N/A</v>
      </c>
      <c r="AT169" t="e">
        <v>#N/A</v>
      </c>
      <c r="AU169" t="e">
        <v>#N/A</v>
      </c>
    </row>
    <row r="170" spans="1:47">
      <c r="A170" t="s">
        <v>3258</v>
      </c>
      <c r="B170" t="s">
        <v>3259</v>
      </c>
      <c r="C170" t="s">
        <v>17</v>
      </c>
      <c r="D170" t="s">
        <v>1384</v>
      </c>
      <c r="E170" t="s">
        <v>1385</v>
      </c>
      <c r="F170" t="s">
        <v>1386</v>
      </c>
      <c r="G170" t="s">
        <v>4751</v>
      </c>
      <c r="H170" t="s">
        <v>1379</v>
      </c>
      <c r="I170">
        <v>416.5</v>
      </c>
      <c r="J170">
        <v>0.88635879974462695</v>
      </c>
      <c r="K170">
        <v>63.21</v>
      </c>
      <c r="L170" t="s">
        <v>4738</v>
      </c>
      <c r="N170">
        <v>362.5</v>
      </c>
      <c r="O170">
        <v>0.771440732070653</v>
      </c>
      <c r="P170">
        <v>9.7430000000000003</v>
      </c>
      <c r="Q170" t="s">
        <v>4738</v>
      </c>
      <c r="S170">
        <v>417.4</v>
      </c>
      <c r="T170">
        <v>0.88827410087252601</v>
      </c>
      <c r="U170">
        <v>41.53</v>
      </c>
      <c r="V170" t="s">
        <v>4738</v>
      </c>
      <c r="X170">
        <v>435</v>
      </c>
      <c r="Y170">
        <v>0.92572887848478402</v>
      </c>
      <c r="Z170">
        <v>75.87</v>
      </c>
      <c r="AA170" t="s">
        <v>4738</v>
      </c>
      <c r="AC170">
        <v>439.9</v>
      </c>
      <c r="AD170">
        <v>0.93615662907001496</v>
      </c>
      <c r="AE170">
        <v>299.39999999999998</v>
      </c>
      <c r="AF170" t="s">
        <v>4738</v>
      </c>
      <c r="AH170">
        <v>397.2</v>
      </c>
      <c r="AI170">
        <v>0.84528623111300305</v>
      </c>
      <c r="AJ170">
        <v>14.61</v>
      </c>
      <c r="AK170" t="s">
        <v>4738</v>
      </c>
      <c r="AM170">
        <v>406.5</v>
      </c>
      <c r="AN170">
        <v>0.86507767610129804</v>
      </c>
      <c r="AO170">
        <v>22.8</v>
      </c>
      <c r="AP170" t="s">
        <v>4738</v>
      </c>
      <c r="AR170" t="e">
        <v>#N/A</v>
      </c>
      <c r="AS170" t="e">
        <v>#N/A</v>
      </c>
      <c r="AT170" t="e">
        <v>#N/A</v>
      </c>
      <c r="AU170" t="e">
        <v>#N/A</v>
      </c>
    </row>
    <row r="171" spans="1:47">
      <c r="A171" t="s">
        <v>3261</v>
      </c>
      <c r="B171" t="s">
        <v>3262</v>
      </c>
      <c r="C171" t="s">
        <v>17</v>
      </c>
      <c r="D171" t="s">
        <v>3264</v>
      </c>
      <c r="E171" t="s">
        <v>3265</v>
      </c>
      <c r="F171" t="s">
        <v>3266</v>
      </c>
      <c r="G171" t="s">
        <v>4750</v>
      </c>
      <c r="H171" t="s">
        <v>3267</v>
      </c>
      <c r="I171">
        <v>344.9</v>
      </c>
      <c r="J171">
        <v>0.73398595445839498</v>
      </c>
      <c r="K171">
        <v>3.181</v>
      </c>
      <c r="L171" t="s">
        <v>4738</v>
      </c>
      <c r="N171">
        <v>383.6</v>
      </c>
      <c r="O171">
        <v>0.81634390295807602</v>
      </c>
      <c r="P171">
        <v>8.4030000000000005</v>
      </c>
      <c r="Q171" t="s">
        <v>4738</v>
      </c>
      <c r="S171">
        <v>372.7</v>
      </c>
      <c r="T171">
        <v>0.79314747818684805</v>
      </c>
      <c r="U171">
        <v>5.6840000000000002</v>
      </c>
      <c r="V171" t="s">
        <v>4738</v>
      </c>
      <c r="X171">
        <v>331</v>
      </c>
      <c r="Y171">
        <v>0.70440519259416901</v>
      </c>
      <c r="Z171">
        <v>2.9239999999999999</v>
      </c>
      <c r="AA171" t="s">
        <v>4738</v>
      </c>
      <c r="AC171">
        <v>418.2</v>
      </c>
      <c r="AD171">
        <v>0.88997659076399205</v>
      </c>
      <c r="AE171">
        <v>27.72</v>
      </c>
      <c r="AF171" t="s">
        <v>4738</v>
      </c>
      <c r="AH171">
        <v>327</v>
      </c>
      <c r="AI171">
        <v>0.69589274313683802</v>
      </c>
      <c r="AJ171">
        <v>2.4910000000000001</v>
      </c>
      <c r="AK171" t="s">
        <v>4738</v>
      </c>
      <c r="AM171">
        <v>449.7</v>
      </c>
      <c r="AN171">
        <v>0.95701213024047704</v>
      </c>
      <c r="AO171">
        <v>132.80000000000001</v>
      </c>
      <c r="AP171" t="s">
        <v>4738</v>
      </c>
      <c r="AR171" t="s">
        <v>4739</v>
      </c>
      <c r="AS171" t="s">
        <v>4739</v>
      </c>
      <c r="AT171" t="s">
        <v>4739</v>
      </c>
      <c r="AU171" t="s">
        <v>4739</v>
      </c>
    </row>
    <row r="172" spans="1:47">
      <c r="A172" t="s">
        <v>3269</v>
      </c>
      <c r="B172" t="s">
        <v>3270</v>
      </c>
      <c r="C172" t="s">
        <v>17</v>
      </c>
      <c r="D172" t="s">
        <v>1398</v>
      </c>
      <c r="E172" t="s">
        <v>1399</v>
      </c>
      <c r="F172" t="s">
        <v>1400</v>
      </c>
      <c r="G172" t="s">
        <v>4750</v>
      </c>
      <c r="H172" t="s">
        <v>1402</v>
      </c>
      <c r="I172">
        <v>351.7</v>
      </c>
      <c r="J172">
        <v>0.74845711853585895</v>
      </c>
      <c r="K172">
        <v>7.6639999999999997</v>
      </c>
      <c r="L172" t="s">
        <v>4738</v>
      </c>
      <c r="N172">
        <v>406.3</v>
      </c>
      <c r="O172">
        <v>0.864652053628432</v>
      </c>
      <c r="P172">
        <v>62.69</v>
      </c>
      <c r="Q172" t="s">
        <v>4738</v>
      </c>
      <c r="S172">
        <v>390.8</v>
      </c>
      <c r="T172">
        <v>0.83166631198127305</v>
      </c>
      <c r="U172">
        <v>28.37</v>
      </c>
      <c r="V172" t="s">
        <v>4738</v>
      </c>
      <c r="X172">
        <v>375.5</v>
      </c>
      <c r="Y172">
        <v>0.79910619280698003</v>
      </c>
      <c r="Z172">
        <v>13.58</v>
      </c>
      <c r="AA172" t="s">
        <v>4738</v>
      </c>
      <c r="AC172">
        <v>362.5</v>
      </c>
      <c r="AD172">
        <v>0.771440732070653</v>
      </c>
      <c r="AE172">
        <v>18.61</v>
      </c>
      <c r="AF172" t="s">
        <v>4738</v>
      </c>
      <c r="AH172">
        <v>417.3</v>
      </c>
      <c r="AI172">
        <v>0.88806128963609299</v>
      </c>
      <c r="AJ172">
        <v>58.75</v>
      </c>
      <c r="AK172" t="s">
        <v>4738</v>
      </c>
      <c r="AM172">
        <v>398.3</v>
      </c>
      <c r="AN172">
        <v>0.84762715471376904</v>
      </c>
      <c r="AO172">
        <v>131.1</v>
      </c>
      <c r="AP172" t="s">
        <v>4738</v>
      </c>
      <c r="AR172" t="s">
        <v>4739</v>
      </c>
      <c r="AS172" t="s">
        <v>4739</v>
      </c>
      <c r="AT172" t="s">
        <v>4739</v>
      </c>
      <c r="AU172" t="s">
        <v>4739</v>
      </c>
    </row>
    <row r="173" spans="1:47">
      <c r="A173" t="s">
        <v>3272</v>
      </c>
      <c r="B173" t="s">
        <v>3273</v>
      </c>
      <c r="C173" t="s">
        <v>17</v>
      </c>
      <c r="D173" t="s">
        <v>1407</v>
      </c>
      <c r="E173" t="s">
        <v>1408</v>
      </c>
      <c r="F173" t="s">
        <v>1409</v>
      </c>
      <c r="G173" t="s">
        <v>4750</v>
      </c>
      <c r="H173" t="s">
        <v>1410</v>
      </c>
      <c r="I173">
        <v>306.5</v>
      </c>
      <c r="J173">
        <v>0.65226643966801401</v>
      </c>
      <c r="K173">
        <v>1.339</v>
      </c>
      <c r="L173" t="s">
        <v>4740</v>
      </c>
      <c r="N173">
        <v>395.4</v>
      </c>
      <c r="O173">
        <v>0.84145562885720404</v>
      </c>
      <c r="P173">
        <v>33.08</v>
      </c>
      <c r="Q173" t="s">
        <v>4738</v>
      </c>
      <c r="S173">
        <v>367.2</v>
      </c>
      <c r="T173">
        <v>0.78144286018301801</v>
      </c>
      <c r="U173">
        <v>14.68</v>
      </c>
      <c r="V173" t="s">
        <v>4738</v>
      </c>
      <c r="X173">
        <v>397.1</v>
      </c>
      <c r="Y173">
        <v>0.84507341987657003</v>
      </c>
      <c r="Z173">
        <v>21.54</v>
      </c>
      <c r="AA173" t="s">
        <v>4738</v>
      </c>
      <c r="AC173">
        <v>351.8</v>
      </c>
      <c r="AD173">
        <v>0.74866992977229196</v>
      </c>
      <c r="AE173">
        <v>6.0659999999999998</v>
      </c>
      <c r="AF173" t="s">
        <v>4738</v>
      </c>
      <c r="AH173">
        <v>376.9</v>
      </c>
      <c r="AI173">
        <v>0.80208555011704596</v>
      </c>
      <c r="AJ173">
        <v>13.09</v>
      </c>
      <c r="AK173" t="s">
        <v>4738</v>
      </c>
      <c r="AM173">
        <v>400</v>
      </c>
      <c r="AN173">
        <v>0.85124494573313503</v>
      </c>
      <c r="AO173">
        <v>82.86</v>
      </c>
      <c r="AP173" t="s">
        <v>4738</v>
      </c>
      <c r="AR173" t="s">
        <v>4739</v>
      </c>
      <c r="AS173" t="s">
        <v>4739</v>
      </c>
      <c r="AT173" t="s">
        <v>4739</v>
      </c>
      <c r="AU173" t="s">
        <v>4739</v>
      </c>
    </row>
    <row r="174" spans="1:47">
      <c r="A174" t="s">
        <v>3275</v>
      </c>
      <c r="B174" t="s">
        <v>3276</v>
      </c>
      <c r="C174" t="s">
        <v>17</v>
      </c>
      <c r="D174" t="s">
        <v>1415</v>
      </c>
      <c r="E174" t="s">
        <v>1416</v>
      </c>
      <c r="F174" t="s">
        <v>1417</v>
      </c>
      <c r="G174" t="s">
        <v>4751</v>
      </c>
      <c r="H174" t="s">
        <v>1402</v>
      </c>
      <c r="I174">
        <v>351.7</v>
      </c>
      <c r="J174">
        <v>0.74845711853585895</v>
      </c>
      <c r="K174">
        <v>7.6639999999999997</v>
      </c>
      <c r="L174" t="s">
        <v>4738</v>
      </c>
      <c r="N174">
        <v>406.3</v>
      </c>
      <c r="O174">
        <v>0.864652053628432</v>
      </c>
      <c r="P174">
        <v>62.69</v>
      </c>
      <c r="Q174" t="s">
        <v>4738</v>
      </c>
      <c r="S174">
        <v>390.8</v>
      </c>
      <c r="T174">
        <v>0.83166631198127305</v>
      </c>
      <c r="U174">
        <v>28.37</v>
      </c>
      <c r="V174" t="s">
        <v>4738</v>
      </c>
      <c r="X174">
        <v>375.5</v>
      </c>
      <c r="Y174">
        <v>0.79910619280698003</v>
      </c>
      <c r="Z174">
        <v>13.58</v>
      </c>
      <c r="AA174" t="s">
        <v>4738</v>
      </c>
      <c r="AC174">
        <v>362.5</v>
      </c>
      <c r="AD174">
        <v>0.771440732070653</v>
      </c>
      <c r="AE174">
        <v>18.61</v>
      </c>
      <c r="AF174" t="s">
        <v>4738</v>
      </c>
      <c r="AH174">
        <v>417.3</v>
      </c>
      <c r="AI174">
        <v>0.88806128963609299</v>
      </c>
      <c r="AJ174">
        <v>58.75</v>
      </c>
      <c r="AK174" t="s">
        <v>4738</v>
      </c>
      <c r="AM174">
        <v>398.3</v>
      </c>
      <c r="AN174">
        <v>0.84762715471376904</v>
      </c>
      <c r="AO174">
        <v>131.1</v>
      </c>
      <c r="AP174" t="s">
        <v>4738</v>
      </c>
      <c r="AR174" t="s">
        <v>4739</v>
      </c>
      <c r="AS174" t="s">
        <v>4739</v>
      </c>
      <c r="AT174" t="s">
        <v>4739</v>
      </c>
      <c r="AU174" t="s">
        <v>4739</v>
      </c>
    </row>
    <row r="175" spans="1:47">
      <c r="A175" t="s">
        <v>3278</v>
      </c>
      <c r="B175" t="s">
        <v>3279</v>
      </c>
      <c r="C175" t="s">
        <v>17</v>
      </c>
      <c r="D175" t="s">
        <v>1422</v>
      </c>
      <c r="E175" t="s">
        <v>1423</v>
      </c>
      <c r="F175" t="s">
        <v>1424</v>
      </c>
      <c r="G175" t="s">
        <v>4751</v>
      </c>
      <c r="H175" t="s">
        <v>1410</v>
      </c>
      <c r="I175">
        <v>306.5</v>
      </c>
      <c r="J175">
        <v>0.65226643966801401</v>
      </c>
      <c r="K175">
        <v>1.339</v>
      </c>
      <c r="L175" t="s">
        <v>4740</v>
      </c>
      <c r="N175">
        <v>395.4</v>
      </c>
      <c r="O175">
        <v>0.84145562885720404</v>
      </c>
      <c r="P175">
        <v>33.08</v>
      </c>
      <c r="Q175" t="s">
        <v>4738</v>
      </c>
      <c r="S175">
        <v>367.2</v>
      </c>
      <c r="T175">
        <v>0.78144286018301801</v>
      </c>
      <c r="U175">
        <v>14.68</v>
      </c>
      <c r="V175" t="s">
        <v>4738</v>
      </c>
      <c r="X175">
        <v>397.1</v>
      </c>
      <c r="Y175">
        <v>0.84507341987657003</v>
      </c>
      <c r="Z175">
        <v>21.54</v>
      </c>
      <c r="AA175" t="s">
        <v>4738</v>
      </c>
      <c r="AC175">
        <v>351.8</v>
      </c>
      <c r="AD175">
        <v>0.74866992977229196</v>
      </c>
      <c r="AE175">
        <v>6.0659999999999998</v>
      </c>
      <c r="AF175" t="s">
        <v>4738</v>
      </c>
      <c r="AH175">
        <v>376.9</v>
      </c>
      <c r="AI175">
        <v>0.80208555011704596</v>
      </c>
      <c r="AJ175">
        <v>13.09</v>
      </c>
      <c r="AK175" t="s">
        <v>4738</v>
      </c>
      <c r="AM175">
        <v>400</v>
      </c>
      <c r="AN175">
        <v>0.85124494573313503</v>
      </c>
      <c r="AO175">
        <v>82.86</v>
      </c>
      <c r="AP175" t="s">
        <v>4738</v>
      </c>
      <c r="AR175" t="s">
        <v>4739</v>
      </c>
      <c r="AS175" t="s">
        <v>4739</v>
      </c>
      <c r="AT175" t="s">
        <v>4739</v>
      </c>
      <c r="AU175" t="s">
        <v>4739</v>
      </c>
    </row>
    <row r="176" spans="1:47">
      <c r="A176" t="s">
        <v>3281</v>
      </c>
      <c r="B176" t="s">
        <v>3282</v>
      </c>
      <c r="C176" t="s">
        <v>17</v>
      </c>
      <c r="D176" t="s">
        <v>3284</v>
      </c>
      <c r="E176" t="s">
        <v>3285</v>
      </c>
      <c r="F176" t="s">
        <v>3286</v>
      </c>
      <c r="G176" t="s">
        <v>4752</v>
      </c>
      <c r="H176" t="s">
        <v>1439</v>
      </c>
      <c r="I176" t="e">
        <v>#N/A</v>
      </c>
      <c r="J176" t="e">
        <v>#N/A</v>
      </c>
      <c r="K176" t="e">
        <v>#N/A</v>
      </c>
      <c r="L176" t="e">
        <v>#N/A</v>
      </c>
      <c r="N176" t="e">
        <v>#N/A</v>
      </c>
      <c r="O176" t="e">
        <v>#N/A</v>
      </c>
      <c r="P176" t="e">
        <v>#N/A</v>
      </c>
      <c r="Q176" t="e">
        <v>#N/A</v>
      </c>
      <c r="S176" t="e">
        <v>#N/A</v>
      </c>
      <c r="T176" t="e">
        <v>#N/A</v>
      </c>
      <c r="U176" t="e">
        <v>#N/A</v>
      </c>
      <c r="V176" t="e">
        <v>#N/A</v>
      </c>
      <c r="X176" t="e">
        <v>#N/A</v>
      </c>
      <c r="Y176" t="e">
        <v>#N/A</v>
      </c>
      <c r="Z176" t="e">
        <v>#N/A</v>
      </c>
      <c r="AA176" t="e">
        <v>#N/A</v>
      </c>
      <c r="AC176" t="e">
        <v>#N/A</v>
      </c>
      <c r="AD176" t="e">
        <v>#N/A</v>
      </c>
      <c r="AE176" t="e">
        <v>#N/A</v>
      </c>
      <c r="AF176" t="e">
        <v>#N/A</v>
      </c>
      <c r="AH176" t="e">
        <v>#N/A</v>
      </c>
      <c r="AI176" t="e">
        <v>#N/A</v>
      </c>
      <c r="AJ176" t="e">
        <v>#N/A</v>
      </c>
      <c r="AK176" t="e">
        <v>#N/A</v>
      </c>
      <c r="AM176" t="e">
        <v>#N/A</v>
      </c>
      <c r="AN176" t="e">
        <v>#N/A</v>
      </c>
      <c r="AO176" t="e">
        <v>#N/A</v>
      </c>
      <c r="AP176" t="e">
        <v>#N/A</v>
      </c>
      <c r="AR176" t="s">
        <v>4739</v>
      </c>
      <c r="AS176" t="s">
        <v>4739</v>
      </c>
      <c r="AT176" t="s">
        <v>4739</v>
      </c>
      <c r="AU176" t="s">
        <v>4739</v>
      </c>
    </row>
    <row r="177" spans="1:47">
      <c r="A177" t="s">
        <v>3288</v>
      </c>
      <c r="B177" t="s">
        <v>3289</v>
      </c>
      <c r="C177" t="s">
        <v>17</v>
      </c>
      <c r="D177" t="s">
        <v>3291</v>
      </c>
      <c r="E177" t="s">
        <v>3292</v>
      </c>
      <c r="F177" t="s">
        <v>3293</v>
      </c>
      <c r="G177" t="s">
        <v>4753</v>
      </c>
      <c r="H177" t="s">
        <v>1439</v>
      </c>
      <c r="I177" t="e">
        <v>#N/A</v>
      </c>
      <c r="J177" t="e">
        <v>#N/A</v>
      </c>
      <c r="K177" t="e">
        <v>#N/A</v>
      </c>
      <c r="L177" t="e">
        <v>#N/A</v>
      </c>
      <c r="N177" t="e">
        <v>#N/A</v>
      </c>
      <c r="O177" t="e">
        <v>#N/A</v>
      </c>
      <c r="P177" t="e">
        <v>#N/A</v>
      </c>
      <c r="Q177" t="e">
        <v>#N/A</v>
      </c>
      <c r="S177" t="e">
        <v>#N/A</v>
      </c>
      <c r="T177" t="e">
        <v>#N/A</v>
      </c>
      <c r="U177" t="e">
        <v>#N/A</v>
      </c>
      <c r="V177" t="e">
        <v>#N/A</v>
      </c>
      <c r="X177" t="e">
        <v>#N/A</v>
      </c>
      <c r="Y177" t="e">
        <v>#N/A</v>
      </c>
      <c r="Z177" t="e">
        <v>#N/A</v>
      </c>
      <c r="AA177" t="e">
        <v>#N/A</v>
      </c>
      <c r="AC177" t="e">
        <v>#N/A</v>
      </c>
      <c r="AD177" t="e">
        <v>#N/A</v>
      </c>
      <c r="AE177" t="e">
        <v>#N/A</v>
      </c>
      <c r="AF177" t="e">
        <v>#N/A</v>
      </c>
      <c r="AH177" t="e">
        <v>#N/A</v>
      </c>
      <c r="AI177" t="e">
        <v>#N/A</v>
      </c>
      <c r="AJ177" t="e">
        <v>#N/A</v>
      </c>
      <c r="AK177" t="e">
        <v>#N/A</v>
      </c>
      <c r="AM177" t="e">
        <v>#N/A</v>
      </c>
      <c r="AN177" t="e">
        <v>#N/A</v>
      </c>
      <c r="AO177" t="e">
        <v>#N/A</v>
      </c>
      <c r="AP177" t="e">
        <v>#N/A</v>
      </c>
      <c r="AR177" t="s">
        <v>4739</v>
      </c>
      <c r="AS177" t="s">
        <v>4739</v>
      </c>
      <c r="AT177" t="s">
        <v>4739</v>
      </c>
      <c r="AU177" t="s">
        <v>4739</v>
      </c>
    </row>
    <row r="178" spans="1:47">
      <c r="A178" t="s">
        <v>3295</v>
      </c>
      <c r="B178" t="s">
        <v>3296</v>
      </c>
      <c r="C178" t="s">
        <v>17</v>
      </c>
      <c r="D178" t="s">
        <v>1444</v>
      </c>
      <c r="E178" t="s">
        <v>1445</v>
      </c>
      <c r="F178" t="s">
        <v>1446</v>
      </c>
      <c r="G178" t="s">
        <v>4750</v>
      </c>
      <c r="H178" t="s">
        <v>1447</v>
      </c>
      <c r="I178">
        <v>276.5</v>
      </c>
      <c r="J178">
        <v>0.58842306873802896</v>
      </c>
      <c r="K178">
        <v>0.75770000000000004</v>
      </c>
      <c r="L178" t="s">
        <v>4740</v>
      </c>
      <c r="N178">
        <v>390.5</v>
      </c>
      <c r="O178">
        <v>0.831027878271973</v>
      </c>
      <c r="P178">
        <v>21.43</v>
      </c>
      <c r="Q178" t="s">
        <v>4738</v>
      </c>
      <c r="S178">
        <v>382.4</v>
      </c>
      <c r="T178">
        <v>0.81379016812087701</v>
      </c>
      <c r="U178">
        <v>13.99</v>
      </c>
      <c r="V178" t="s">
        <v>4738</v>
      </c>
      <c r="X178">
        <v>401.6</v>
      </c>
      <c r="Y178">
        <v>0.854649925516067</v>
      </c>
      <c r="Z178">
        <v>35.43</v>
      </c>
      <c r="AA178" t="s">
        <v>4738</v>
      </c>
      <c r="AC178">
        <v>340.8</v>
      </c>
      <c r="AD178">
        <v>0.72526069376463098</v>
      </c>
      <c r="AE178">
        <v>8.0120000000000005</v>
      </c>
      <c r="AF178" t="s">
        <v>4738</v>
      </c>
      <c r="AH178">
        <v>423.9</v>
      </c>
      <c r="AI178">
        <v>0.90210683124068902</v>
      </c>
      <c r="AJ178">
        <v>87.84</v>
      </c>
      <c r="AK178" t="s">
        <v>4738</v>
      </c>
      <c r="AM178">
        <v>381.5</v>
      </c>
      <c r="AN178">
        <v>0.81187486699297695</v>
      </c>
      <c r="AO178">
        <v>38.76</v>
      </c>
      <c r="AP178" t="s">
        <v>4738</v>
      </c>
      <c r="AR178" t="s">
        <v>4739</v>
      </c>
      <c r="AS178" t="s">
        <v>4739</v>
      </c>
      <c r="AT178" t="s">
        <v>4739</v>
      </c>
      <c r="AU178" t="s">
        <v>4739</v>
      </c>
    </row>
    <row r="179" spans="1:47">
      <c r="A179" t="s">
        <v>3298</v>
      </c>
      <c r="B179" t="s">
        <v>3299</v>
      </c>
      <c r="C179" t="s">
        <v>17</v>
      </c>
      <c r="D179" t="s">
        <v>1452</v>
      </c>
      <c r="E179" t="s">
        <v>1453</v>
      </c>
      <c r="F179" t="s">
        <v>1454</v>
      </c>
      <c r="G179" t="s">
        <v>4750</v>
      </c>
      <c r="H179" t="s">
        <v>1455</v>
      </c>
      <c r="I179">
        <v>262.3</v>
      </c>
      <c r="J179">
        <v>0.55820387316450304</v>
      </c>
      <c r="K179">
        <v>0.56269999999999998</v>
      </c>
      <c r="L179" t="s">
        <v>4740</v>
      </c>
      <c r="N179">
        <v>406.6</v>
      </c>
      <c r="O179">
        <v>0.86529048733773195</v>
      </c>
      <c r="P179">
        <v>34.869999999999997</v>
      </c>
      <c r="Q179" t="s">
        <v>4738</v>
      </c>
      <c r="S179">
        <v>321.39999999999998</v>
      </c>
      <c r="T179">
        <v>0.68397531389657396</v>
      </c>
      <c r="U179">
        <v>2.4630000000000001</v>
      </c>
      <c r="V179" t="s">
        <v>4740</v>
      </c>
      <c r="X179">
        <v>390.5</v>
      </c>
      <c r="Y179">
        <v>0.831027878271973</v>
      </c>
      <c r="Z179">
        <v>20.55</v>
      </c>
      <c r="AA179" t="s">
        <v>4738</v>
      </c>
      <c r="AC179">
        <v>359.8</v>
      </c>
      <c r="AD179">
        <v>0.76569482868695504</v>
      </c>
      <c r="AE179">
        <v>9.4489999999999998</v>
      </c>
      <c r="AF179" t="s">
        <v>4738</v>
      </c>
      <c r="AH179">
        <v>393.8</v>
      </c>
      <c r="AI179">
        <v>0.83805064907427096</v>
      </c>
      <c r="AJ179">
        <v>22.88</v>
      </c>
      <c r="AK179" t="s">
        <v>4738</v>
      </c>
      <c r="AM179">
        <v>373.9</v>
      </c>
      <c r="AN179">
        <v>0.79570121302404795</v>
      </c>
      <c r="AO179">
        <v>64.62</v>
      </c>
      <c r="AP179" t="s">
        <v>4738</v>
      </c>
      <c r="AR179" t="s">
        <v>4739</v>
      </c>
      <c r="AS179" t="s">
        <v>4739</v>
      </c>
      <c r="AT179" t="s">
        <v>4739</v>
      </c>
      <c r="AU179" t="s">
        <v>4739</v>
      </c>
    </row>
    <row r="180" spans="1:47">
      <c r="A180" t="s">
        <v>3301</v>
      </c>
      <c r="B180" t="s">
        <v>3302</v>
      </c>
      <c r="C180" t="s">
        <v>17</v>
      </c>
      <c r="D180" t="s">
        <v>1460</v>
      </c>
      <c r="E180" t="s">
        <v>1461</v>
      </c>
      <c r="F180" t="s">
        <v>1462</v>
      </c>
      <c r="G180" t="s">
        <v>4751</v>
      </c>
      <c r="H180" t="s">
        <v>1447</v>
      </c>
      <c r="I180">
        <v>276.5</v>
      </c>
      <c r="J180">
        <v>0.58842306873802896</v>
      </c>
      <c r="K180">
        <v>0.75770000000000004</v>
      </c>
      <c r="L180" t="s">
        <v>4740</v>
      </c>
      <c r="N180">
        <v>390.5</v>
      </c>
      <c r="O180">
        <v>0.831027878271973</v>
      </c>
      <c r="P180">
        <v>21.43</v>
      </c>
      <c r="Q180" t="s">
        <v>4738</v>
      </c>
      <c r="S180">
        <v>382.4</v>
      </c>
      <c r="T180">
        <v>0.81379016812087701</v>
      </c>
      <c r="U180">
        <v>13.99</v>
      </c>
      <c r="V180" t="s">
        <v>4738</v>
      </c>
      <c r="X180">
        <v>401.6</v>
      </c>
      <c r="Y180">
        <v>0.854649925516067</v>
      </c>
      <c r="Z180">
        <v>35.43</v>
      </c>
      <c r="AA180" t="s">
        <v>4738</v>
      </c>
      <c r="AC180">
        <v>340.8</v>
      </c>
      <c r="AD180">
        <v>0.72526069376463098</v>
      </c>
      <c r="AE180">
        <v>8.0120000000000005</v>
      </c>
      <c r="AF180" t="s">
        <v>4738</v>
      </c>
      <c r="AH180">
        <v>423.9</v>
      </c>
      <c r="AI180">
        <v>0.90210683124068902</v>
      </c>
      <c r="AJ180">
        <v>87.84</v>
      </c>
      <c r="AK180" t="s">
        <v>4738</v>
      </c>
      <c r="AM180">
        <v>381.5</v>
      </c>
      <c r="AN180">
        <v>0.81187486699297695</v>
      </c>
      <c r="AO180">
        <v>38.76</v>
      </c>
      <c r="AP180" t="s">
        <v>4738</v>
      </c>
      <c r="AR180" t="s">
        <v>4739</v>
      </c>
      <c r="AS180" t="s">
        <v>4739</v>
      </c>
      <c r="AT180" t="s">
        <v>4739</v>
      </c>
      <c r="AU180" t="s">
        <v>4739</v>
      </c>
    </row>
    <row r="181" spans="1:47">
      <c r="A181" t="s">
        <v>3304</v>
      </c>
      <c r="B181" t="s">
        <v>3305</v>
      </c>
      <c r="C181" t="s">
        <v>17</v>
      </c>
      <c r="D181" t="s">
        <v>1467</v>
      </c>
      <c r="E181" t="s">
        <v>1468</v>
      </c>
      <c r="F181" t="s">
        <v>1469</v>
      </c>
      <c r="G181" t="s">
        <v>4751</v>
      </c>
      <c r="H181" t="s">
        <v>1455</v>
      </c>
      <c r="I181">
        <v>262.3</v>
      </c>
      <c r="J181">
        <v>0.55820387316450304</v>
      </c>
      <c r="K181">
        <v>0.56269999999999998</v>
      </c>
      <c r="L181" t="s">
        <v>4740</v>
      </c>
      <c r="N181">
        <v>406.6</v>
      </c>
      <c r="O181">
        <v>0.86529048733773195</v>
      </c>
      <c r="P181">
        <v>34.869999999999997</v>
      </c>
      <c r="Q181" t="s">
        <v>4738</v>
      </c>
      <c r="S181">
        <v>321.39999999999998</v>
      </c>
      <c r="T181">
        <v>0.68397531389657396</v>
      </c>
      <c r="U181">
        <v>2.4630000000000001</v>
      </c>
      <c r="V181" t="s">
        <v>4740</v>
      </c>
      <c r="X181">
        <v>390.5</v>
      </c>
      <c r="Y181">
        <v>0.831027878271973</v>
      </c>
      <c r="Z181">
        <v>20.55</v>
      </c>
      <c r="AA181" t="s">
        <v>4738</v>
      </c>
      <c r="AC181">
        <v>359.8</v>
      </c>
      <c r="AD181">
        <v>0.76569482868695504</v>
      </c>
      <c r="AE181">
        <v>9.4489999999999998</v>
      </c>
      <c r="AF181" t="s">
        <v>4738</v>
      </c>
      <c r="AH181">
        <v>393.8</v>
      </c>
      <c r="AI181">
        <v>0.83805064907427096</v>
      </c>
      <c r="AJ181">
        <v>22.88</v>
      </c>
      <c r="AK181" t="s">
        <v>4738</v>
      </c>
      <c r="AM181">
        <v>373.9</v>
      </c>
      <c r="AN181">
        <v>0.79570121302404795</v>
      </c>
      <c r="AO181">
        <v>64.62</v>
      </c>
      <c r="AP181" t="s">
        <v>4738</v>
      </c>
      <c r="AR181" t="s">
        <v>4739</v>
      </c>
      <c r="AS181" t="s">
        <v>4739</v>
      </c>
      <c r="AT181" t="s">
        <v>4739</v>
      </c>
      <c r="AU181" t="s">
        <v>4739</v>
      </c>
    </row>
    <row r="182" spans="1:47">
      <c r="A182" t="s">
        <v>3307</v>
      </c>
      <c r="B182" t="s">
        <v>3308</v>
      </c>
      <c r="C182" t="s">
        <v>17</v>
      </c>
      <c r="D182" t="s">
        <v>3310</v>
      </c>
      <c r="E182" t="s">
        <v>3311</v>
      </c>
      <c r="F182" t="s">
        <v>3312</v>
      </c>
      <c r="G182" t="s">
        <v>4752</v>
      </c>
      <c r="H182" t="s">
        <v>1477</v>
      </c>
      <c r="I182" t="e">
        <v>#N/A</v>
      </c>
      <c r="J182" t="e">
        <v>#N/A</v>
      </c>
      <c r="K182" t="e">
        <v>#N/A</v>
      </c>
      <c r="L182" t="e">
        <v>#N/A</v>
      </c>
      <c r="N182" t="e">
        <v>#N/A</v>
      </c>
      <c r="O182" t="e">
        <v>#N/A</v>
      </c>
      <c r="P182" t="e">
        <v>#N/A</v>
      </c>
      <c r="Q182" t="e">
        <v>#N/A</v>
      </c>
      <c r="S182" t="e">
        <v>#N/A</v>
      </c>
      <c r="T182" t="e">
        <v>#N/A</v>
      </c>
      <c r="U182" t="e">
        <v>#N/A</v>
      </c>
      <c r="V182" t="e">
        <v>#N/A</v>
      </c>
      <c r="X182" t="e">
        <v>#N/A</v>
      </c>
      <c r="Y182" t="e">
        <v>#N/A</v>
      </c>
      <c r="Z182" t="e">
        <v>#N/A</v>
      </c>
      <c r="AA182" t="e">
        <v>#N/A</v>
      </c>
      <c r="AC182" t="e">
        <v>#N/A</v>
      </c>
      <c r="AD182" t="e">
        <v>#N/A</v>
      </c>
      <c r="AE182" t="e">
        <v>#N/A</v>
      </c>
      <c r="AF182" t="e">
        <v>#N/A</v>
      </c>
      <c r="AH182" t="e">
        <v>#N/A</v>
      </c>
      <c r="AI182" t="e">
        <v>#N/A</v>
      </c>
      <c r="AJ182" t="e">
        <v>#N/A</v>
      </c>
      <c r="AK182" t="e">
        <v>#N/A</v>
      </c>
      <c r="AM182" t="e">
        <v>#N/A</v>
      </c>
      <c r="AN182" t="e">
        <v>#N/A</v>
      </c>
      <c r="AO182" t="e">
        <v>#N/A</v>
      </c>
      <c r="AP182" t="e">
        <v>#N/A</v>
      </c>
      <c r="AR182" t="s">
        <v>4739</v>
      </c>
      <c r="AS182" t="s">
        <v>4739</v>
      </c>
      <c r="AT182" t="s">
        <v>4739</v>
      </c>
      <c r="AU182" t="s">
        <v>4739</v>
      </c>
    </row>
    <row r="183" spans="1:47">
      <c r="A183" t="s">
        <v>3314</v>
      </c>
      <c r="B183" t="s">
        <v>3315</v>
      </c>
      <c r="C183" t="s">
        <v>17</v>
      </c>
      <c r="D183" t="s">
        <v>3317</v>
      </c>
      <c r="E183" t="s">
        <v>3318</v>
      </c>
      <c r="F183" t="s">
        <v>3319</v>
      </c>
      <c r="G183" t="s">
        <v>4753</v>
      </c>
      <c r="H183" t="s">
        <v>1477</v>
      </c>
      <c r="I183" t="e">
        <v>#N/A</v>
      </c>
      <c r="J183" t="e">
        <v>#N/A</v>
      </c>
      <c r="K183" t="e">
        <v>#N/A</v>
      </c>
      <c r="L183" t="e">
        <v>#N/A</v>
      </c>
      <c r="N183" t="e">
        <v>#N/A</v>
      </c>
      <c r="O183" t="e">
        <v>#N/A</v>
      </c>
      <c r="P183" t="e">
        <v>#N/A</v>
      </c>
      <c r="Q183" t="e">
        <v>#N/A</v>
      </c>
      <c r="S183" t="e">
        <v>#N/A</v>
      </c>
      <c r="T183" t="e">
        <v>#N/A</v>
      </c>
      <c r="U183" t="e">
        <v>#N/A</v>
      </c>
      <c r="V183" t="e">
        <v>#N/A</v>
      </c>
      <c r="X183" t="e">
        <v>#N/A</v>
      </c>
      <c r="Y183" t="e">
        <v>#N/A</v>
      </c>
      <c r="Z183" t="e">
        <v>#N/A</v>
      </c>
      <c r="AA183" t="e">
        <v>#N/A</v>
      </c>
      <c r="AC183" t="e">
        <v>#N/A</v>
      </c>
      <c r="AD183" t="e">
        <v>#N/A</v>
      </c>
      <c r="AE183" t="e">
        <v>#N/A</v>
      </c>
      <c r="AF183" t="e">
        <v>#N/A</v>
      </c>
      <c r="AH183" t="e">
        <v>#N/A</v>
      </c>
      <c r="AI183" t="e">
        <v>#N/A</v>
      </c>
      <c r="AJ183" t="e">
        <v>#N/A</v>
      </c>
      <c r="AK183" t="e">
        <v>#N/A</v>
      </c>
      <c r="AM183" t="e">
        <v>#N/A</v>
      </c>
      <c r="AN183" t="e">
        <v>#N/A</v>
      </c>
      <c r="AO183" t="e">
        <v>#N/A</v>
      </c>
      <c r="AP183" t="e">
        <v>#N/A</v>
      </c>
      <c r="AR183" t="s">
        <v>4739</v>
      </c>
      <c r="AS183" t="s">
        <v>4739</v>
      </c>
      <c r="AT183" t="s">
        <v>4739</v>
      </c>
      <c r="AU183" t="s">
        <v>4739</v>
      </c>
    </row>
    <row r="184" spans="1:47">
      <c r="A184" t="s">
        <v>3321</v>
      </c>
      <c r="B184" t="s">
        <v>3322</v>
      </c>
      <c r="C184" t="s">
        <v>17</v>
      </c>
      <c r="D184" t="s">
        <v>1482</v>
      </c>
      <c r="E184" t="s">
        <v>1483</v>
      </c>
      <c r="F184" t="s">
        <v>1484</v>
      </c>
      <c r="G184" t="s">
        <v>4750</v>
      </c>
      <c r="H184" t="s">
        <v>1485</v>
      </c>
      <c r="I184">
        <v>356.7</v>
      </c>
      <c r="J184">
        <v>0.75909768035752301</v>
      </c>
      <c r="K184">
        <v>5.79</v>
      </c>
      <c r="L184" t="s">
        <v>4738</v>
      </c>
      <c r="N184">
        <v>408.8</v>
      </c>
      <c r="O184">
        <v>0.86997233453926404</v>
      </c>
      <c r="P184">
        <v>40.1</v>
      </c>
      <c r="Q184" t="s">
        <v>4738</v>
      </c>
      <c r="S184">
        <v>423.9</v>
      </c>
      <c r="T184">
        <v>0.90210683124068902</v>
      </c>
      <c r="U184">
        <v>34.82</v>
      </c>
      <c r="V184" t="s">
        <v>4738</v>
      </c>
      <c r="X184">
        <v>408.2</v>
      </c>
      <c r="Y184">
        <v>0.86869546712066403</v>
      </c>
      <c r="Z184">
        <v>26.44</v>
      </c>
      <c r="AA184" t="s">
        <v>4738</v>
      </c>
      <c r="AC184">
        <v>393.8</v>
      </c>
      <c r="AD184">
        <v>0.83805064907427096</v>
      </c>
      <c r="AE184">
        <v>22.98</v>
      </c>
      <c r="AF184" t="s">
        <v>4738</v>
      </c>
      <c r="AH184">
        <v>425.9</v>
      </c>
      <c r="AI184">
        <v>0.90636305596935496</v>
      </c>
      <c r="AJ184">
        <v>91.47</v>
      </c>
      <c r="AK184" t="s">
        <v>4738</v>
      </c>
      <c r="AM184">
        <v>439.5</v>
      </c>
      <c r="AN184">
        <v>0.93530538412428199</v>
      </c>
      <c r="AO184">
        <v>230.7</v>
      </c>
      <c r="AP184" t="s">
        <v>4738</v>
      </c>
      <c r="AR184" t="s">
        <v>4739</v>
      </c>
      <c r="AS184" t="s">
        <v>4739</v>
      </c>
      <c r="AT184" t="s">
        <v>4739</v>
      </c>
      <c r="AU184" t="s">
        <v>4739</v>
      </c>
    </row>
    <row r="185" spans="1:47">
      <c r="A185" t="s">
        <v>3324</v>
      </c>
      <c r="B185" t="s">
        <v>3325</v>
      </c>
      <c r="C185" t="s">
        <v>17</v>
      </c>
      <c r="D185" t="s">
        <v>1490</v>
      </c>
      <c r="E185" t="s">
        <v>1491</v>
      </c>
      <c r="F185" t="s">
        <v>1492</v>
      </c>
      <c r="G185" t="s">
        <v>4750</v>
      </c>
      <c r="H185" t="s">
        <v>1493</v>
      </c>
      <c r="I185">
        <v>370.8</v>
      </c>
      <c r="J185">
        <v>0.78910406469461603</v>
      </c>
      <c r="K185">
        <v>10.35</v>
      </c>
      <c r="L185" t="s">
        <v>4738</v>
      </c>
      <c r="N185">
        <v>414.6</v>
      </c>
      <c r="O185">
        <v>0.88231538625239403</v>
      </c>
      <c r="P185">
        <v>57.39</v>
      </c>
      <c r="Q185" t="s">
        <v>4738</v>
      </c>
      <c r="S185">
        <v>409.6</v>
      </c>
      <c r="T185">
        <v>0.87167482443072997</v>
      </c>
      <c r="U185">
        <v>27.69</v>
      </c>
      <c r="V185" t="s">
        <v>4738</v>
      </c>
      <c r="X185">
        <v>377.6</v>
      </c>
      <c r="Y185">
        <v>0.80357522877207899</v>
      </c>
      <c r="Z185">
        <v>15.59</v>
      </c>
      <c r="AA185" t="s">
        <v>4738</v>
      </c>
      <c r="AC185">
        <v>382.5</v>
      </c>
      <c r="AD185">
        <v>0.81400297935731003</v>
      </c>
      <c r="AE185">
        <v>14.86</v>
      </c>
      <c r="AF185" t="s">
        <v>4738</v>
      </c>
      <c r="AH185">
        <v>424.5</v>
      </c>
      <c r="AI185">
        <v>0.90338369865928903</v>
      </c>
      <c r="AJ185">
        <v>81.72</v>
      </c>
      <c r="AK185" t="s">
        <v>4738</v>
      </c>
      <c r="AM185">
        <v>323.60000000000002</v>
      </c>
      <c r="AN185">
        <v>0.68865716109810604</v>
      </c>
      <c r="AO185">
        <v>2.29</v>
      </c>
      <c r="AP185" t="s">
        <v>4738</v>
      </c>
      <c r="AR185" t="s">
        <v>4739</v>
      </c>
      <c r="AS185" t="s">
        <v>4739</v>
      </c>
      <c r="AT185" t="s">
        <v>4739</v>
      </c>
      <c r="AU185" t="s">
        <v>4739</v>
      </c>
    </row>
    <row r="186" spans="1:47">
      <c r="A186" t="s">
        <v>3327</v>
      </c>
      <c r="B186" t="s">
        <v>3328</v>
      </c>
      <c r="C186" t="s">
        <v>17</v>
      </c>
      <c r="D186" t="s">
        <v>1498</v>
      </c>
      <c r="E186" t="s">
        <v>1499</v>
      </c>
      <c r="F186" t="s">
        <v>1500</v>
      </c>
      <c r="G186" t="s">
        <v>4750</v>
      </c>
      <c r="H186" t="s">
        <v>1501</v>
      </c>
      <c r="I186">
        <v>398.2</v>
      </c>
      <c r="J186">
        <v>0.84741434347733602</v>
      </c>
      <c r="K186">
        <v>19.34</v>
      </c>
      <c r="L186" t="s">
        <v>4738</v>
      </c>
      <c r="N186">
        <v>418.3</v>
      </c>
      <c r="O186">
        <v>0.89018940200042596</v>
      </c>
      <c r="P186">
        <v>68.099999999999994</v>
      </c>
      <c r="Q186" t="s">
        <v>4738</v>
      </c>
      <c r="S186">
        <v>381.1</v>
      </c>
      <c r="T186">
        <v>0.81102362204724399</v>
      </c>
      <c r="U186">
        <v>15.65</v>
      </c>
      <c r="V186" t="s">
        <v>4738</v>
      </c>
      <c r="X186">
        <v>392.2</v>
      </c>
      <c r="Y186">
        <v>0.83464566929133899</v>
      </c>
      <c r="Z186">
        <v>19.29</v>
      </c>
      <c r="AA186" t="s">
        <v>4738</v>
      </c>
      <c r="AC186">
        <v>391</v>
      </c>
      <c r="AD186">
        <v>0.83209193445413898</v>
      </c>
      <c r="AE186">
        <v>18.09</v>
      </c>
      <c r="AF186" t="s">
        <v>4738</v>
      </c>
      <c r="AH186">
        <v>427.2</v>
      </c>
      <c r="AI186">
        <v>0.90912960204298798</v>
      </c>
      <c r="AJ186">
        <v>132.19999999999999</v>
      </c>
      <c r="AK186" t="s">
        <v>4738</v>
      </c>
      <c r="AM186">
        <v>329</v>
      </c>
      <c r="AN186">
        <v>0.70014896786550296</v>
      </c>
      <c r="AO186">
        <v>2.1739999999999999</v>
      </c>
      <c r="AP186" t="s">
        <v>4738</v>
      </c>
      <c r="AR186" t="s">
        <v>4739</v>
      </c>
      <c r="AS186" t="s">
        <v>4739</v>
      </c>
      <c r="AT186" t="s">
        <v>4739</v>
      </c>
      <c r="AU186" t="s">
        <v>4739</v>
      </c>
    </row>
    <row r="187" spans="1:47">
      <c r="A187" t="s">
        <v>3330</v>
      </c>
      <c r="B187" t="s">
        <v>3331</v>
      </c>
      <c r="C187" t="s">
        <v>17</v>
      </c>
      <c r="D187" t="s">
        <v>1506</v>
      </c>
      <c r="E187" t="s">
        <v>1507</v>
      </c>
      <c r="F187" t="s">
        <v>1508</v>
      </c>
      <c r="G187" t="s">
        <v>4751</v>
      </c>
      <c r="H187" t="s">
        <v>1485</v>
      </c>
      <c r="I187">
        <v>356.7</v>
      </c>
      <c r="J187">
        <v>0.75909768035752301</v>
      </c>
      <c r="K187">
        <v>5.79</v>
      </c>
      <c r="L187" t="s">
        <v>4738</v>
      </c>
      <c r="N187">
        <v>408.8</v>
      </c>
      <c r="O187">
        <v>0.86997233453926404</v>
      </c>
      <c r="P187">
        <v>40.1</v>
      </c>
      <c r="Q187" t="s">
        <v>4738</v>
      </c>
      <c r="S187">
        <v>423.9</v>
      </c>
      <c r="T187">
        <v>0.90210683124068902</v>
      </c>
      <c r="U187">
        <v>34.82</v>
      </c>
      <c r="V187" t="s">
        <v>4738</v>
      </c>
      <c r="X187">
        <v>408.2</v>
      </c>
      <c r="Y187">
        <v>0.86869546712066403</v>
      </c>
      <c r="Z187">
        <v>26.44</v>
      </c>
      <c r="AA187" t="s">
        <v>4738</v>
      </c>
      <c r="AC187">
        <v>393.8</v>
      </c>
      <c r="AD187">
        <v>0.83805064907427096</v>
      </c>
      <c r="AE187">
        <v>22.98</v>
      </c>
      <c r="AF187" t="s">
        <v>4738</v>
      </c>
      <c r="AH187">
        <v>425.9</v>
      </c>
      <c r="AI187">
        <v>0.90636305596935496</v>
      </c>
      <c r="AJ187">
        <v>91.47</v>
      </c>
      <c r="AK187" t="s">
        <v>4738</v>
      </c>
      <c r="AM187">
        <v>439.5</v>
      </c>
      <c r="AN187">
        <v>0.93530538412428199</v>
      </c>
      <c r="AO187">
        <v>230.7</v>
      </c>
      <c r="AP187" t="s">
        <v>4738</v>
      </c>
      <c r="AR187" t="s">
        <v>4739</v>
      </c>
      <c r="AS187" t="s">
        <v>4739</v>
      </c>
      <c r="AT187" t="s">
        <v>4739</v>
      </c>
      <c r="AU187" t="s">
        <v>4739</v>
      </c>
    </row>
    <row r="188" spans="1:47">
      <c r="A188" t="s">
        <v>3333</v>
      </c>
      <c r="B188" t="s">
        <v>3334</v>
      </c>
      <c r="C188" t="s">
        <v>17</v>
      </c>
      <c r="D188" t="s">
        <v>1513</v>
      </c>
      <c r="E188" t="s">
        <v>1514</v>
      </c>
      <c r="F188" t="s">
        <v>1515</v>
      </c>
      <c r="G188" t="s">
        <v>4751</v>
      </c>
      <c r="H188" t="s">
        <v>1493</v>
      </c>
      <c r="I188">
        <v>370.8</v>
      </c>
      <c r="J188">
        <v>0.78910406469461603</v>
      </c>
      <c r="K188">
        <v>10.35</v>
      </c>
      <c r="L188" t="s">
        <v>4738</v>
      </c>
      <c r="N188">
        <v>414.6</v>
      </c>
      <c r="O188">
        <v>0.88231538625239403</v>
      </c>
      <c r="P188">
        <v>57.39</v>
      </c>
      <c r="Q188" t="s">
        <v>4738</v>
      </c>
      <c r="S188">
        <v>409.6</v>
      </c>
      <c r="T188">
        <v>0.87167482443072997</v>
      </c>
      <c r="U188">
        <v>27.69</v>
      </c>
      <c r="V188" t="s">
        <v>4738</v>
      </c>
      <c r="X188">
        <v>377.6</v>
      </c>
      <c r="Y188">
        <v>0.80357522877207899</v>
      </c>
      <c r="Z188">
        <v>15.59</v>
      </c>
      <c r="AA188" t="s">
        <v>4738</v>
      </c>
      <c r="AC188">
        <v>382.5</v>
      </c>
      <c r="AD188">
        <v>0.81400297935731003</v>
      </c>
      <c r="AE188">
        <v>14.86</v>
      </c>
      <c r="AF188" t="s">
        <v>4738</v>
      </c>
      <c r="AH188">
        <v>424.5</v>
      </c>
      <c r="AI188">
        <v>0.90338369865928903</v>
      </c>
      <c r="AJ188">
        <v>81.72</v>
      </c>
      <c r="AK188" t="s">
        <v>4738</v>
      </c>
      <c r="AM188">
        <v>323.60000000000002</v>
      </c>
      <c r="AN188">
        <v>0.68865716109810604</v>
      </c>
      <c r="AO188">
        <v>2.29</v>
      </c>
      <c r="AP188" t="s">
        <v>4738</v>
      </c>
      <c r="AR188" t="s">
        <v>4739</v>
      </c>
      <c r="AS188" t="s">
        <v>4739</v>
      </c>
      <c r="AT188" t="s">
        <v>4739</v>
      </c>
      <c r="AU188" t="s">
        <v>4739</v>
      </c>
    </row>
    <row r="189" spans="1:47">
      <c r="A189" t="s">
        <v>3336</v>
      </c>
      <c r="B189" t="s">
        <v>3337</v>
      </c>
      <c r="C189" t="s">
        <v>17</v>
      </c>
      <c r="D189" t="s">
        <v>1520</v>
      </c>
      <c r="E189" t="s">
        <v>1521</v>
      </c>
      <c r="F189" t="s">
        <v>1522</v>
      </c>
      <c r="G189" t="s">
        <v>4751</v>
      </c>
      <c r="H189" t="s">
        <v>1501</v>
      </c>
      <c r="I189">
        <v>398.2</v>
      </c>
      <c r="J189">
        <v>0.84741434347733602</v>
      </c>
      <c r="K189">
        <v>19.34</v>
      </c>
      <c r="L189" t="s">
        <v>4738</v>
      </c>
      <c r="N189">
        <v>418.3</v>
      </c>
      <c r="O189">
        <v>0.89018940200042596</v>
      </c>
      <c r="P189">
        <v>68.099999999999994</v>
      </c>
      <c r="Q189" t="s">
        <v>4738</v>
      </c>
      <c r="S189">
        <v>381.1</v>
      </c>
      <c r="T189">
        <v>0.81102362204724399</v>
      </c>
      <c r="U189">
        <v>15.65</v>
      </c>
      <c r="V189" t="s">
        <v>4738</v>
      </c>
      <c r="X189">
        <v>392.2</v>
      </c>
      <c r="Y189">
        <v>0.83464566929133899</v>
      </c>
      <c r="Z189">
        <v>19.29</v>
      </c>
      <c r="AA189" t="s">
        <v>4738</v>
      </c>
      <c r="AC189">
        <v>391</v>
      </c>
      <c r="AD189">
        <v>0.83209193445413898</v>
      </c>
      <c r="AE189">
        <v>18.09</v>
      </c>
      <c r="AF189" t="s">
        <v>4738</v>
      </c>
      <c r="AH189">
        <v>427.2</v>
      </c>
      <c r="AI189">
        <v>0.90912960204298798</v>
      </c>
      <c r="AJ189">
        <v>132.19999999999999</v>
      </c>
      <c r="AK189" t="s">
        <v>4738</v>
      </c>
      <c r="AM189">
        <v>329</v>
      </c>
      <c r="AN189">
        <v>0.70014896786550296</v>
      </c>
      <c r="AO189">
        <v>2.1739999999999999</v>
      </c>
      <c r="AP189" t="s">
        <v>4738</v>
      </c>
      <c r="AR189" t="s">
        <v>4739</v>
      </c>
      <c r="AS189" t="s">
        <v>4739</v>
      </c>
      <c r="AT189" t="s">
        <v>4739</v>
      </c>
      <c r="AU189" t="s">
        <v>4739</v>
      </c>
    </row>
    <row r="190" spans="1:47">
      <c r="A190" t="s">
        <v>3339</v>
      </c>
      <c r="B190" t="s">
        <v>3340</v>
      </c>
      <c r="C190" t="s">
        <v>17</v>
      </c>
      <c r="D190" t="s">
        <v>1535</v>
      </c>
      <c r="E190" t="s">
        <v>1536</v>
      </c>
      <c r="F190" t="s">
        <v>1537</v>
      </c>
      <c r="G190" t="s">
        <v>4750</v>
      </c>
      <c r="H190" t="s">
        <v>1538</v>
      </c>
      <c r="I190">
        <v>418</v>
      </c>
      <c r="J190">
        <v>0.88955096829112601</v>
      </c>
      <c r="K190">
        <v>84.48</v>
      </c>
      <c r="L190" t="s">
        <v>4738</v>
      </c>
      <c r="N190">
        <v>389.6</v>
      </c>
      <c r="O190">
        <v>0.82911257714407305</v>
      </c>
      <c r="P190">
        <v>16.940000000000001</v>
      </c>
      <c r="Q190" t="s">
        <v>4738</v>
      </c>
      <c r="S190">
        <v>387.4</v>
      </c>
      <c r="T190">
        <v>0.82443072994254096</v>
      </c>
      <c r="U190">
        <v>18.96</v>
      </c>
      <c r="V190" t="s">
        <v>4738</v>
      </c>
      <c r="X190">
        <v>409.4</v>
      </c>
      <c r="Y190">
        <v>0.87124920195786304</v>
      </c>
      <c r="Z190">
        <v>51.78</v>
      </c>
      <c r="AA190" t="s">
        <v>4738</v>
      </c>
      <c r="AC190">
        <v>390.8</v>
      </c>
      <c r="AD190">
        <v>0.83166631198127305</v>
      </c>
      <c r="AE190">
        <v>15.81</v>
      </c>
      <c r="AF190" t="s">
        <v>4738</v>
      </c>
      <c r="AH190">
        <v>438.7</v>
      </c>
      <c r="AI190">
        <v>0.93360289423281595</v>
      </c>
      <c r="AJ190">
        <v>154.6</v>
      </c>
      <c r="AK190" t="s">
        <v>4738</v>
      </c>
      <c r="AM190">
        <v>421</v>
      </c>
      <c r="AN190">
        <v>0.89593530538412403</v>
      </c>
      <c r="AO190">
        <v>129.69999999999999</v>
      </c>
      <c r="AP190" t="s">
        <v>4738</v>
      </c>
      <c r="AR190" t="e">
        <v>#N/A</v>
      </c>
      <c r="AS190" t="e">
        <v>#N/A</v>
      </c>
      <c r="AT190" t="e">
        <v>#N/A</v>
      </c>
      <c r="AU190" t="e">
        <v>#N/A</v>
      </c>
    </row>
    <row r="191" spans="1:47">
      <c r="A191" t="s">
        <v>3342</v>
      </c>
      <c r="B191" t="s">
        <v>3343</v>
      </c>
      <c r="C191" t="s">
        <v>17</v>
      </c>
      <c r="D191" t="s">
        <v>1543</v>
      </c>
      <c r="E191" t="s">
        <v>1544</v>
      </c>
      <c r="F191" t="s">
        <v>1545</v>
      </c>
      <c r="G191" t="s">
        <v>4751</v>
      </c>
      <c r="H191" t="s">
        <v>1538</v>
      </c>
      <c r="I191">
        <v>418</v>
      </c>
      <c r="J191">
        <v>0.88955096829112601</v>
      </c>
      <c r="K191">
        <v>84.48</v>
      </c>
      <c r="L191" t="s">
        <v>4738</v>
      </c>
      <c r="N191">
        <v>389.6</v>
      </c>
      <c r="O191">
        <v>0.82911257714407305</v>
      </c>
      <c r="P191">
        <v>16.940000000000001</v>
      </c>
      <c r="Q191" t="s">
        <v>4738</v>
      </c>
      <c r="S191">
        <v>387.4</v>
      </c>
      <c r="T191">
        <v>0.82443072994254096</v>
      </c>
      <c r="U191">
        <v>18.96</v>
      </c>
      <c r="V191" t="s">
        <v>4738</v>
      </c>
      <c r="X191">
        <v>409.4</v>
      </c>
      <c r="Y191">
        <v>0.87124920195786304</v>
      </c>
      <c r="Z191">
        <v>51.78</v>
      </c>
      <c r="AA191" t="s">
        <v>4738</v>
      </c>
      <c r="AC191">
        <v>390.8</v>
      </c>
      <c r="AD191">
        <v>0.83166631198127305</v>
      </c>
      <c r="AE191">
        <v>15.81</v>
      </c>
      <c r="AF191" t="s">
        <v>4738</v>
      </c>
      <c r="AH191">
        <v>438.7</v>
      </c>
      <c r="AI191">
        <v>0.93360289423281595</v>
      </c>
      <c r="AJ191">
        <v>154.6</v>
      </c>
      <c r="AK191" t="s">
        <v>4738</v>
      </c>
      <c r="AM191">
        <v>421</v>
      </c>
      <c r="AN191">
        <v>0.89593530538412403</v>
      </c>
      <c r="AO191">
        <v>129.69999999999999</v>
      </c>
      <c r="AP191" t="s">
        <v>4738</v>
      </c>
      <c r="AR191" t="e">
        <v>#N/A</v>
      </c>
      <c r="AS191" t="e">
        <v>#N/A</v>
      </c>
      <c r="AT191" t="e">
        <v>#N/A</v>
      </c>
      <c r="AU191" t="e">
        <v>#N/A</v>
      </c>
    </row>
    <row r="192" spans="1:47">
      <c r="A192" t="s">
        <v>3345</v>
      </c>
      <c r="B192" t="s">
        <v>3346</v>
      </c>
      <c r="C192" t="s">
        <v>17</v>
      </c>
      <c r="D192" t="s">
        <v>3348</v>
      </c>
      <c r="E192" t="s">
        <v>3349</v>
      </c>
      <c r="F192" t="s">
        <v>3350</v>
      </c>
      <c r="G192" t="s">
        <v>4751</v>
      </c>
      <c r="H192" t="s">
        <v>3352</v>
      </c>
      <c r="I192">
        <v>368.3</v>
      </c>
      <c r="J192">
        <v>0.78378378378378399</v>
      </c>
      <c r="K192">
        <v>8.0359999999999996</v>
      </c>
      <c r="L192" t="s">
        <v>4738</v>
      </c>
      <c r="N192">
        <v>327.39999999999998</v>
      </c>
      <c r="O192">
        <v>0.69674398808257099</v>
      </c>
      <c r="P192">
        <v>2.343</v>
      </c>
      <c r="Q192" t="s">
        <v>4740</v>
      </c>
      <c r="S192">
        <v>346.4</v>
      </c>
      <c r="T192">
        <v>0.73717812300489505</v>
      </c>
      <c r="U192">
        <v>4.2910000000000004</v>
      </c>
      <c r="V192" t="s">
        <v>4738</v>
      </c>
      <c r="X192">
        <v>319.60000000000002</v>
      </c>
      <c r="Y192">
        <v>0.68014471164077495</v>
      </c>
      <c r="Z192">
        <v>1.69</v>
      </c>
      <c r="AA192" t="s">
        <v>4740</v>
      </c>
      <c r="AC192">
        <v>363.1</v>
      </c>
      <c r="AD192">
        <v>0.772717599489253</v>
      </c>
      <c r="AE192">
        <v>9.9139999999999997</v>
      </c>
      <c r="AF192" t="s">
        <v>4738</v>
      </c>
      <c r="AH192">
        <v>382.4</v>
      </c>
      <c r="AI192">
        <v>0.81379016812087701</v>
      </c>
      <c r="AJ192">
        <v>24.39</v>
      </c>
      <c r="AK192" t="s">
        <v>4738</v>
      </c>
      <c r="AM192">
        <v>403.9</v>
      </c>
      <c r="AN192">
        <v>0.85954458395403299</v>
      </c>
      <c r="AO192">
        <v>30.48</v>
      </c>
      <c r="AP192" t="s">
        <v>4738</v>
      </c>
      <c r="AR192" t="e">
        <v>#N/A</v>
      </c>
      <c r="AS192" t="e">
        <v>#N/A</v>
      </c>
      <c r="AT192" t="e">
        <v>#N/A</v>
      </c>
      <c r="AU192" t="e">
        <v>#N/A</v>
      </c>
    </row>
    <row r="193" spans="1:47">
      <c r="A193" t="s">
        <v>3354</v>
      </c>
      <c r="B193" t="s">
        <v>3355</v>
      </c>
      <c r="C193" t="s">
        <v>17</v>
      </c>
      <c r="D193" t="s">
        <v>3357</v>
      </c>
      <c r="E193" t="s">
        <v>3358</v>
      </c>
      <c r="F193" t="s">
        <v>3359</v>
      </c>
      <c r="G193" t="s">
        <v>4751</v>
      </c>
      <c r="H193" t="s">
        <v>3360</v>
      </c>
      <c r="I193">
        <v>369.1</v>
      </c>
      <c r="J193">
        <v>0.78548627367525004</v>
      </c>
      <c r="K193">
        <v>9.2609999999999992</v>
      </c>
      <c r="L193" t="s">
        <v>4738</v>
      </c>
      <c r="N193">
        <v>357.3</v>
      </c>
      <c r="O193">
        <v>0.76037454777612301</v>
      </c>
      <c r="P193">
        <v>6.54</v>
      </c>
      <c r="Q193" t="s">
        <v>4738</v>
      </c>
      <c r="S193">
        <v>352.1</v>
      </c>
      <c r="T193">
        <v>0.74930836348159202</v>
      </c>
      <c r="U193">
        <v>5.3129999999999997</v>
      </c>
      <c r="V193" t="s">
        <v>4738</v>
      </c>
      <c r="X193">
        <v>375.8</v>
      </c>
      <c r="Y193">
        <v>0.79974462651627998</v>
      </c>
      <c r="Z193">
        <v>12.23</v>
      </c>
      <c r="AA193" t="s">
        <v>4738</v>
      </c>
      <c r="AC193">
        <v>372.6</v>
      </c>
      <c r="AD193">
        <v>0.79293466695041503</v>
      </c>
      <c r="AE193">
        <v>10.82</v>
      </c>
      <c r="AF193" t="s">
        <v>4738</v>
      </c>
      <c r="AH193">
        <v>401.7</v>
      </c>
      <c r="AI193">
        <v>0.85486273675250102</v>
      </c>
      <c r="AJ193">
        <v>35.06</v>
      </c>
      <c r="AK193" t="s">
        <v>4738</v>
      </c>
      <c r="AM193">
        <v>400.8</v>
      </c>
      <c r="AN193">
        <v>0.85294743562460096</v>
      </c>
      <c r="AO193">
        <v>33.44</v>
      </c>
      <c r="AP193" t="s">
        <v>4738</v>
      </c>
      <c r="AR193" t="e">
        <v>#N/A</v>
      </c>
      <c r="AS193" t="e">
        <v>#N/A</v>
      </c>
      <c r="AT193" t="e">
        <v>#N/A</v>
      </c>
      <c r="AU193" t="e">
        <v>#N/A</v>
      </c>
    </row>
    <row r="194" spans="1:47">
      <c r="A194" t="s">
        <v>3362</v>
      </c>
      <c r="B194" t="s">
        <v>3363</v>
      </c>
      <c r="C194" t="s">
        <v>17</v>
      </c>
      <c r="D194" t="s">
        <v>3365</v>
      </c>
      <c r="E194" t="s">
        <v>3366</v>
      </c>
      <c r="F194" t="s">
        <v>3367</v>
      </c>
      <c r="G194" t="s">
        <v>4751</v>
      </c>
      <c r="H194" t="s">
        <v>3369</v>
      </c>
      <c r="I194">
        <v>309</v>
      </c>
      <c r="J194">
        <v>0.65758672057884704</v>
      </c>
      <c r="K194">
        <v>1.633</v>
      </c>
      <c r="L194" t="s">
        <v>4740</v>
      </c>
      <c r="N194">
        <v>326.60000000000002</v>
      </c>
      <c r="O194">
        <v>0.69504149819110495</v>
      </c>
      <c r="P194">
        <v>2.3519999999999999</v>
      </c>
      <c r="Q194" t="s">
        <v>4740</v>
      </c>
      <c r="S194">
        <v>325.89999999999998</v>
      </c>
      <c r="T194">
        <v>0.69355181953607103</v>
      </c>
      <c r="U194">
        <v>2.3210000000000002</v>
      </c>
      <c r="V194" t="s">
        <v>4740</v>
      </c>
      <c r="X194">
        <v>320.8</v>
      </c>
      <c r="Y194">
        <v>0.68269844647797395</v>
      </c>
      <c r="Z194">
        <v>1.909</v>
      </c>
      <c r="AA194" t="s">
        <v>4740</v>
      </c>
      <c r="AC194">
        <v>375.2</v>
      </c>
      <c r="AD194">
        <v>0.79846775909767997</v>
      </c>
      <c r="AE194">
        <v>10.99</v>
      </c>
      <c r="AF194" t="s">
        <v>4738</v>
      </c>
      <c r="AH194">
        <v>382.1</v>
      </c>
      <c r="AI194">
        <v>0.81315173441157695</v>
      </c>
      <c r="AJ194">
        <v>13.24</v>
      </c>
      <c r="AK194" t="s">
        <v>4738</v>
      </c>
      <c r="AM194">
        <v>392.3</v>
      </c>
      <c r="AN194">
        <v>0.83485848052777201</v>
      </c>
      <c r="AO194">
        <v>18.88</v>
      </c>
      <c r="AP194" t="s">
        <v>4738</v>
      </c>
      <c r="AR194" t="e">
        <v>#N/A</v>
      </c>
      <c r="AS194" t="e">
        <v>#N/A</v>
      </c>
      <c r="AT194" t="e">
        <v>#N/A</v>
      </c>
      <c r="AU194" t="e">
        <v>#N/A</v>
      </c>
    </row>
    <row r="195" spans="1:47">
      <c r="A195" t="s">
        <v>3371</v>
      </c>
      <c r="B195" t="s">
        <v>3372</v>
      </c>
      <c r="C195" t="s">
        <v>17</v>
      </c>
      <c r="D195" t="s">
        <v>3374</v>
      </c>
      <c r="E195" t="s">
        <v>3375</v>
      </c>
      <c r="F195" t="s">
        <v>3376</v>
      </c>
      <c r="G195" t="s">
        <v>4751</v>
      </c>
      <c r="H195" t="s">
        <v>3378</v>
      </c>
      <c r="I195">
        <v>331.8</v>
      </c>
      <c r="J195">
        <v>0.70610768248563505</v>
      </c>
      <c r="K195">
        <v>2.2730000000000001</v>
      </c>
      <c r="L195" t="s">
        <v>4738</v>
      </c>
      <c r="N195">
        <v>317</v>
      </c>
      <c r="O195">
        <v>0.67461161949350901</v>
      </c>
      <c r="P195">
        <v>1.621</v>
      </c>
      <c r="Q195" t="s">
        <v>4740</v>
      </c>
      <c r="S195">
        <v>343.1</v>
      </c>
      <c r="T195">
        <v>0.73015535220259598</v>
      </c>
      <c r="U195">
        <v>5.81</v>
      </c>
      <c r="V195" t="s">
        <v>4738</v>
      </c>
      <c r="X195">
        <v>389</v>
      </c>
      <c r="Y195">
        <v>0.82783570972547305</v>
      </c>
      <c r="Z195">
        <v>18.350000000000001</v>
      </c>
      <c r="AA195" t="s">
        <v>4738</v>
      </c>
      <c r="AC195">
        <v>435.7</v>
      </c>
      <c r="AD195">
        <v>0.92721855713981705</v>
      </c>
      <c r="AE195">
        <v>61.58</v>
      </c>
      <c r="AF195" t="s">
        <v>4738</v>
      </c>
      <c r="AH195">
        <v>396.8</v>
      </c>
      <c r="AI195">
        <v>0.84443498616726997</v>
      </c>
      <c r="AJ195">
        <v>110.1</v>
      </c>
      <c r="AK195" t="s">
        <v>4738</v>
      </c>
      <c r="AM195">
        <v>420.8</v>
      </c>
      <c r="AN195">
        <v>0.89550968291125799</v>
      </c>
      <c r="AO195">
        <v>110.6</v>
      </c>
      <c r="AP195" t="s">
        <v>4738</v>
      </c>
      <c r="AR195" t="e">
        <v>#N/A</v>
      </c>
      <c r="AS195" t="e">
        <v>#N/A</v>
      </c>
      <c r="AT195" t="e">
        <v>#N/A</v>
      </c>
      <c r="AU195" t="e">
        <v>#N/A</v>
      </c>
    </row>
    <row r="196" spans="1:47">
      <c r="A196" t="s">
        <v>3380</v>
      </c>
      <c r="B196" t="s">
        <v>3381</v>
      </c>
      <c r="C196" t="s">
        <v>17</v>
      </c>
      <c r="D196" t="s">
        <v>3383</v>
      </c>
      <c r="E196" t="s">
        <v>3384</v>
      </c>
      <c r="F196" t="s">
        <v>3385</v>
      </c>
      <c r="G196" t="s">
        <v>4750</v>
      </c>
      <c r="H196" t="s">
        <v>3387</v>
      </c>
      <c r="I196">
        <v>368.7</v>
      </c>
      <c r="J196">
        <v>0.78463502872951696</v>
      </c>
      <c r="K196">
        <v>7.2679999999999998</v>
      </c>
      <c r="L196" t="s">
        <v>4738</v>
      </c>
      <c r="N196">
        <v>388.3</v>
      </c>
      <c r="O196">
        <v>0.82634603107044102</v>
      </c>
      <c r="P196">
        <v>20.36</v>
      </c>
      <c r="Q196" t="s">
        <v>4738</v>
      </c>
      <c r="S196">
        <v>387.8</v>
      </c>
      <c r="T196">
        <v>0.82528197488827404</v>
      </c>
      <c r="U196">
        <v>12.3</v>
      </c>
      <c r="V196" t="s">
        <v>4738</v>
      </c>
      <c r="X196">
        <v>318.10000000000002</v>
      </c>
      <c r="Y196">
        <v>0.67695254309427499</v>
      </c>
      <c r="Z196">
        <v>1.702</v>
      </c>
      <c r="AA196" t="s">
        <v>4740</v>
      </c>
      <c r="AC196">
        <v>387.6</v>
      </c>
      <c r="AD196">
        <v>0.824856352415408</v>
      </c>
      <c r="AE196">
        <v>13.28</v>
      </c>
      <c r="AF196" t="s">
        <v>4738</v>
      </c>
      <c r="AH196">
        <v>373.8</v>
      </c>
      <c r="AI196">
        <v>0.79548840178761404</v>
      </c>
      <c r="AJ196">
        <v>12.39</v>
      </c>
      <c r="AK196" t="s">
        <v>4738</v>
      </c>
      <c r="AM196">
        <v>387.2</v>
      </c>
      <c r="AN196">
        <v>0.82400510746967404</v>
      </c>
      <c r="AO196">
        <v>12.75</v>
      </c>
      <c r="AP196" t="s">
        <v>4738</v>
      </c>
      <c r="AR196" t="e">
        <v>#N/A</v>
      </c>
      <c r="AS196" t="e">
        <v>#N/A</v>
      </c>
      <c r="AT196" t="e">
        <v>#N/A</v>
      </c>
      <c r="AU196" t="e">
        <v>#N/A</v>
      </c>
    </row>
    <row r="197" spans="1:47">
      <c r="A197" t="s">
        <v>3389</v>
      </c>
      <c r="B197" t="s">
        <v>3390</v>
      </c>
      <c r="C197" t="s">
        <v>17</v>
      </c>
      <c r="D197" t="s">
        <v>3392</v>
      </c>
      <c r="E197" t="s">
        <v>3393</v>
      </c>
      <c r="F197" t="s">
        <v>3394</v>
      </c>
      <c r="G197" t="s">
        <v>4751</v>
      </c>
      <c r="H197" t="s">
        <v>3395</v>
      </c>
      <c r="I197">
        <v>391</v>
      </c>
      <c r="J197">
        <v>0.83209193445413898</v>
      </c>
      <c r="K197">
        <v>11.24</v>
      </c>
      <c r="L197" t="s">
        <v>4738</v>
      </c>
      <c r="N197">
        <v>403.2</v>
      </c>
      <c r="O197">
        <v>0.85805490529899997</v>
      </c>
      <c r="P197">
        <v>29.62</v>
      </c>
      <c r="Q197" t="s">
        <v>4738</v>
      </c>
      <c r="S197">
        <v>385.4</v>
      </c>
      <c r="T197">
        <v>0.82017450521387503</v>
      </c>
      <c r="U197">
        <v>15.13</v>
      </c>
      <c r="V197" t="s">
        <v>4738</v>
      </c>
      <c r="X197">
        <v>313.7</v>
      </c>
      <c r="Y197">
        <v>0.66758884869121105</v>
      </c>
      <c r="Z197">
        <v>2.181</v>
      </c>
      <c r="AA197" t="s">
        <v>4740</v>
      </c>
      <c r="AC197">
        <v>390.4</v>
      </c>
      <c r="AD197">
        <v>0.83081506703553898</v>
      </c>
      <c r="AE197">
        <v>12.95</v>
      </c>
      <c r="AF197" t="s">
        <v>4738</v>
      </c>
      <c r="AH197">
        <v>404.6</v>
      </c>
      <c r="AI197">
        <v>0.86103426260906601</v>
      </c>
      <c r="AJ197">
        <v>25.68</v>
      </c>
      <c r="AK197" t="s">
        <v>4738</v>
      </c>
      <c r="AM197">
        <v>394</v>
      </c>
      <c r="AN197">
        <v>0.838476271547138</v>
      </c>
      <c r="AO197">
        <v>17.73</v>
      </c>
      <c r="AP197" t="s">
        <v>4738</v>
      </c>
      <c r="AR197" t="e">
        <v>#N/A</v>
      </c>
      <c r="AS197" t="e">
        <v>#N/A</v>
      </c>
      <c r="AT197" t="e">
        <v>#N/A</v>
      </c>
      <c r="AU197" t="e">
        <v>#N/A</v>
      </c>
    </row>
    <row r="198" spans="1:47">
      <c r="A198" t="s">
        <v>3397</v>
      </c>
      <c r="B198" t="s">
        <v>3398</v>
      </c>
      <c r="C198" t="s">
        <v>17</v>
      </c>
      <c r="D198" t="s">
        <v>3400</v>
      </c>
      <c r="E198" t="s">
        <v>3401</v>
      </c>
      <c r="F198" t="s">
        <v>3402</v>
      </c>
      <c r="G198" t="s">
        <v>4751</v>
      </c>
      <c r="H198" t="s">
        <v>3403</v>
      </c>
      <c r="I198">
        <v>367.3</v>
      </c>
      <c r="J198">
        <v>0.78165567141945103</v>
      </c>
      <c r="K198">
        <v>9.3219999999999992</v>
      </c>
      <c r="L198" t="s">
        <v>4738</v>
      </c>
      <c r="N198">
        <v>362.4</v>
      </c>
      <c r="O198">
        <v>0.77122792083421998</v>
      </c>
      <c r="P198">
        <v>6.5030000000000001</v>
      </c>
      <c r="Q198" t="s">
        <v>4738</v>
      </c>
      <c r="S198">
        <v>372.8</v>
      </c>
      <c r="T198">
        <v>0.79336028942328196</v>
      </c>
      <c r="U198">
        <v>10.89</v>
      </c>
      <c r="V198" t="s">
        <v>4738</v>
      </c>
      <c r="X198">
        <v>338.4</v>
      </c>
      <c r="Y198">
        <v>0.72015322409023197</v>
      </c>
      <c r="Z198">
        <v>3.83</v>
      </c>
      <c r="AA198" t="s">
        <v>4738</v>
      </c>
      <c r="AC198">
        <v>383.8</v>
      </c>
      <c r="AD198">
        <v>0.81676952543094306</v>
      </c>
      <c r="AE198">
        <v>9.843</v>
      </c>
      <c r="AF198" t="s">
        <v>4738</v>
      </c>
      <c r="AH198">
        <v>370.8</v>
      </c>
      <c r="AI198">
        <v>0.78910406469461603</v>
      </c>
      <c r="AJ198">
        <v>12.17</v>
      </c>
      <c r="AK198" t="s">
        <v>4738</v>
      </c>
      <c r="AM198">
        <v>413.1</v>
      </c>
      <c r="AN198">
        <v>0.87912321770589497</v>
      </c>
      <c r="AO198">
        <v>39.700000000000003</v>
      </c>
      <c r="AP198" t="s">
        <v>4738</v>
      </c>
      <c r="AR198" t="e">
        <v>#N/A</v>
      </c>
      <c r="AS198" t="e">
        <v>#N/A</v>
      </c>
      <c r="AT198" t="e">
        <v>#N/A</v>
      </c>
      <c r="AU198" t="e">
        <v>#N/A</v>
      </c>
    </row>
    <row r="199" spans="1:47">
      <c r="A199" t="s">
        <v>3405</v>
      </c>
      <c r="B199" t="s">
        <v>3406</v>
      </c>
      <c r="C199" t="s">
        <v>17</v>
      </c>
      <c r="D199" t="s">
        <v>3408</v>
      </c>
      <c r="E199" t="s">
        <v>3409</v>
      </c>
      <c r="F199" t="s">
        <v>3410</v>
      </c>
      <c r="G199" t="s">
        <v>4751</v>
      </c>
      <c r="H199" t="s">
        <v>3412</v>
      </c>
      <c r="I199">
        <v>316.10000000000002</v>
      </c>
      <c r="J199">
        <v>0.67269631836560995</v>
      </c>
      <c r="K199">
        <v>1.583</v>
      </c>
      <c r="L199" t="s">
        <v>4740</v>
      </c>
      <c r="N199">
        <v>369.7</v>
      </c>
      <c r="O199">
        <v>0.78676314109385004</v>
      </c>
      <c r="P199">
        <v>9.0250000000000004</v>
      </c>
      <c r="Q199" t="s">
        <v>4738</v>
      </c>
      <c r="S199">
        <v>313.3</v>
      </c>
      <c r="T199">
        <v>0.66673760374547797</v>
      </c>
      <c r="U199">
        <v>5.2670000000000003</v>
      </c>
      <c r="V199" t="s">
        <v>4740</v>
      </c>
      <c r="X199">
        <v>382</v>
      </c>
      <c r="Y199">
        <v>0.81293892317514405</v>
      </c>
      <c r="Z199">
        <v>13.88</v>
      </c>
      <c r="AA199" t="s">
        <v>4738</v>
      </c>
      <c r="AC199">
        <v>329.2</v>
      </c>
      <c r="AD199">
        <v>0.70057459033837</v>
      </c>
      <c r="AE199">
        <v>2.8879999999999999</v>
      </c>
      <c r="AF199" t="s">
        <v>4738</v>
      </c>
      <c r="AH199">
        <v>423.6</v>
      </c>
      <c r="AI199">
        <v>0.90146839753138996</v>
      </c>
      <c r="AJ199">
        <v>114.9</v>
      </c>
      <c r="AK199" t="s">
        <v>4738</v>
      </c>
      <c r="AM199">
        <v>385.5</v>
      </c>
      <c r="AN199">
        <v>0.82038731645030905</v>
      </c>
      <c r="AO199">
        <v>16.920000000000002</v>
      </c>
      <c r="AP199" t="s">
        <v>4738</v>
      </c>
      <c r="AR199" t="e">
        <v>#N/A</v>
      </c>
      <c r="AS199" t="e">
        <v>#N/A</v>
      </c>
      <c r="AT199" t="e">
        <v>#N/A</v>
      </c>
      <c r="AU199" t="e">
        <v>#N/A</v>
      </c>
    </row>
    <row r="200" spans="1:47">
      <c r="A200" t="s">
        <v>3414</v>
      </c>
      <c r="B200" t="s">
        <v>3415</v>
      </c>
      <c r="C200" t="s">
        <v>17</v>
      </c>
      <c r="D200" t="s">
        <v>3417</v>
      </c>
      <c r="E200" t="s">
        <v>3418</v>
      </c>
      <c r="F200" t="s">
        <v>3419</v>
      </c>
      <c r="G200" t="s">
        <v>4751</v>
      </c>
      <c r="H200" t="s">
        <v>3420</v>
      </c>
      <c r="I200">
        <v>252.7</v>
      </c>
      <c r="J200">
        <v>0.53777399446690799</v>
      </c>
      <c r="K200">
        <v>0.24049999999999999</v>
      </c>
      <c r="L200" t="s">
        <v>4740</v>
      </c>
      <c r="N200">
        <v>361.8</v>
      </c>
      <c r="O200">
        <v>0.76995105341561998</v>
      </c>
      <c r="P200">
        <v>7.7450000000000001</v>
      </c>
      <c r="Q200" t="s">
        <v>4738</v>
      </c>
      <c r="S200">
        <v>354.5</v>
      </c>
      <c r="T200">
        <v>0.75441583315599103</v>
      </c>
      <c r="U200">
        <v>12.7</v>
      </c>
      <c r="V200" t="s">
        <v>4738</v>
      </c>
      <c r="X200">
        <v>357.5</v>
      </c>
      <c r="Y200">
        <v>0.76080017024898905</v>
      </c>
      <c r="Z200">
        <v>5.085</v>
      </c>
      <c r="AA200" t="s">
        <v>4738</v>
      </c>
      <c r="AC200">
        <v>318</v>
      </c>
      <c r="AD200">
        <v>0.67673973185784198</v>
      </c>
      <c r="AE200">
        <v>1.825</v>
      </c>
      <c r="AF200" t="s">
        <v>4740</v>
      </c>
      <c r="AH200">
        <v>397.6</v>
      </c>
      <c r="AI200">
        <v>0.84613747605873602</v>
      </c>
      <c r="AJ200">
        <v>51.63</v>
      </c>
      <c r="AK200" t="s">
        <v>4738</v>
      </c>
      <c r="AM200">
        <v>354.5</v>
      </c>
      <c r="AN200">
        <v>0.75441583315599103</v>
      </c>
      <c r="AO200">
        <v>46.6</v>
      </c>
      <c r="AP200" t="s">
        <v>4738</v>
      </c>
      <c r="AR200" t="e">
        <v>#N/A</v>
      </c>
      <c r="AS200" t="e">
        <v>#N/A</v>
      </c>
      <c r="AT200" t="e">
        <v>#N/A</v>
      </c>
      <c r="AU200" t="e">
        <v>#N/A</v>
      </c>
    </row>
    <row r="201" spans="1:47">
      <c r="A201" t="s">
        <v>3422</v>
      </c>
      <c r="B201" t="s">
        <v>3423</v>
      </c>
      <c r="C201" t="s">
        <v>17</v>
      </c>
      <c r="D201" t="s">
        <v>3425</v>
      </c>
      <c r="E201" t="s">
        <v>3426</v>
      </c>
      <c r="F201" t="s">
        <v>3427</v>
      </c>
      <c r="G201" t="s">
        <v>4751</v>
      </c>
      <c r="H201" t="s">
        <v>3428</v>
      </c>
      <c r="I201">
        <v>335.7</v>
      </c>
      <c r="J201">
        <v>0.71440732070653301</v>
      </c>
      <c r="K201">
        <v>2.669</v>
      </c>
      <c r="L201" t="s">
        <v>4738</v>
      </c>
      <c r="N201">
        <v>397.2</v>
      </c>
      <c r="O201">
        <v>0.84528623111300305</v>
      </c>
      <c r="P201">
        <v>26.16</v>
      </c>
      <c r="Q201" t="s">
        <v>4738</v>
      </c>
      <c r="S201">
        <v>329.9</v>
      </c>
      <c r="T201">
        <v>0.70206426899340302</v>
      </c>
      <c r="U201">
        <v>3.0539999999999998</v>
      </c>
      <c r="V201" t="s">
        <v>4738</v>
      </c>
      <c r="X201">
        <v>386.3</v>
      </c>
      <c r="Y201">
        <v>0.82208980634177498</v>
      </c>
      <c r="Z201">
        <v>11.55</v>
      </c>
      <c r="AA201" t="s">
        <v>4738</v>
      </c>
      <c r="AC201">
        <v>397.5</v>
      </c>
      <c r="AD201">
        <v>0.845924664822303</v>
      </c>
      <c r="AE201">
        <v>23.62</v>
      </c>
      <c r="AF201" t="s">
        <v>4738</v>
      </c>
      <c r="AH201">
        <v>430.8</v>
      </c>
      <c r="AI201">
        <v>0.916790806554586</v>
      </c>
      <c r="AJ201">
        <v>115.2</v>
      </c>
      <c r="AK201" t="s">
        <v>4738</v>
      </c>
      <c r="AM201">
        <v>427.5</v>
      </c>
      <c r="AN201">
        <v>0.90976803575228804</v>
      </c>
      <c r="AO201">
        <v>159.9</v>
      </c>
      <c r="AP201" t="s">
        <v>4738</v>
      </c>
      <c r="AR201" t="e">
        <v>#N/A</v>
      </c>
      <c r="AS201" t="e">
        <v>#N/A</v>
      </c>
      <c r="AT201" t="e">
        <v>#N/A</v>
      </c>
      <c r="AU201" t="e">
        <v>#N/A</v>
      </c>
    </row>
    <row r="202" spans="1:47">
      <c r="A202" t="s">
        <v>3430</v>
      </c>
      <c r="B202" t="s">
        <v>3431</v>
      </c>
      <c r="C202" t="s">
        <v>17</v>
      </c>
      <c r="D202" t="s">
        <v>1588</v>
      </c>
      <c r="E202" t="s">
        <v>1589</v>
      </c>
      <c r="F202" t="s">
        <v>1590</v>
      </c>
      <c r="G202" t="s">
        <v>4750</v>
      </c>
      <c r="H202" t="s">
        <v>1592</v>
      </c>
      <c r="I202">
        <v>281.10000000000002</v>
      </c>
      <c r="J202">
        <v>0.59821238561396095</v>
      </c>
      <c r="K202">
        <v>0.63690000000000002</v>
      </c>
      <c r="L202" t="s">
        <v>4740</v>
      </c>
      <c r="N202">
        <v>282.2</v>
      </c>
      <c r="O202">
        <v>0.60055330921472605</v>
      </c>
      <c r="P202">
        <v>0.84440000000000004</v>
      </c>
      <c r="Q202" t="s">
        <v>4740</v>
      </c>
      <c r="S202">
        <v>289.3</v>
      </c>
      <c r="T202">
        <v>0.61566290700148996</v>
      </c>
      <c r="U202">
        <v>0.67879999999999996</v>
      </c>
      <c r="V202" t="s">
        <v>4740</v>
      </c>
      <c r="X202">
        <v>310.10000000000002</v>
      </c>
      <c r="Y202">
        <v>0.65992764417961303</v>
      </c>
      <c r="Z202">
        <v>1.5069999999999999</v>
      </c>
      <c r="AA202" t="s">
        <v>4740</v>
      </c>
      <c r="AC202">
        <v>305.39999999999998</v>
      </c>
      <c r="AD202">
        <v>0.64992551606724802</v>
      </c>
      <c r="AE202">
        <v>1.2450000000000001</v>
      </c>
      <c r="AF202" t="s">
        <v>4740</v>
      </c>
      <c r="AH202">
        <v>388.2</v>
      </c>
      <c r="AI202">
        <v>0.826133219834007</v>
      </c>
      <c r="AJ202">
        <v>49.89</v>
      </c>
      <c r="AK202" t="s">
        <v>4738</v>
      </c>
      <c r="AM202">
        <v>449.2</v>
      </c>
      <c r="AN202">
        <v>0.95594807405830995</v>
      </c>
      <c r="AO202">
        <v>125.1</v>
      </c>
      <c r="AP202" t="s">
        <v>4738</v>
      </c>
      <c r="AR202" t="e">
        <v>#N/A</v>
      </c>
      <c r="AS202" t="e">
        <v>#N/A</v>
      </c>
      <c r="AT202" t="e">
        <v>#N/A</v>
      </c>
      <c r="AU202" t="e">
        <v>#N/A</v>
      </c>
    </row>
    <row r="203" spans="1:47">
      <c r="A203" t="s">
        <v>3433</v>
      </c>
      <c r="B203" t="s">
        <v>3434</v>
      </c>
      <c r="C203" t="s">
        <v>17</v>
      </c>
      <c r="D203" t="s">
        <v>1605</v>
      </c>
      <c r="E203" t="s">
        <v>1606</v>
      </c>
      <c r="F203" t="s">
        <v>1607</v>
      </c>
      <c r="G203" t="s">
        <v>4751</v>
      </c>
      <c r="H203" t="s">
        <v>1592</v>
      </c>
      <c r="I203">
        <v>281.10000000000002</v>
      </c>
      <c r="J203">
        <v>0.59821238561396095</v>
      </c>
      <c r="K203">
        <v>0.63690000000000002</v>
      </c>
      <c r="L203" t="s">
        <v>4740</v>
      </c>
      <c r="N203">
        <v>282.2</v>
      </c>
      <c r="O203">
        <v>0.60055330921472605</v>
      </c>
      <c r="P203">
        <v>0.84440000000000004</v>
      </c>
      <c r="Q203" t="s">
        <v>4740</v>
      </c>
      <c r="S203">
        <v>289.3</v>
      </c>
      <c r="T203">
        <v>0.61566290700148996</v>
      </c>
      <c r="U203">
        <v>0.67879999999999996</v>
      </c>
      <c r="V203" t="s">
        <v>4740</v>
      </c>
      <c r="X203">
        <v>310.10000000000002</v>
      </c>
      <c r="Y203">
        <v>0.65992764417961303</v>
      </c>
      <c r="Z203">
        <v>1.5069999999999999</v>
      </c>
      <c r="AA203" t="s">
        <v>4740</v>
      </c>
      <c r="AC203">
        <v>305.39999999999998</v>
      </c>
      <c r="AD203">
        <v>0.64992551606724802</v>
      </c>
      <c r="AE203">
        <v>1.2450000000000001</v>
      </c>
      <c r="AF203" t="s">
        <v>4740</v>
      </c>
      <c r="AH203">
        <v>388.2</v>
      </c>
      <c r="AI203">
        <v>0.826133219834007</v>
      </c>
      <c r="AJ203">
        <v>49.89</v>
      </c>
      <c r="AK203" t="s">
        <v>4738</v>
      </c>
      <c r="AM203">
        <v>449.2</v>
      </c>
      <c r="AN203">
        <v>0.95594807405830995</v>
      </c>
      <c r="AO203">
        <v>125.1</v>
      </c>
      <c r="AP203" t="s">
        <v>4738</v>
      </c>
      <c r="AR203" t="e">
        <v>#N/A</v>
      </c>
      <c r="AS203" t="e">
        <v>#N/A</v>
      </c>
      <c r="AT203" t="e">
        <v>#N/A</v>
      </c>
      <c r="AU203" t="e">
        <v>#N/A</v>
      </c>
    </row>
    <row r="204" spans="1:47">
      <c r="A204" t="s">
        <v>3436</v>
      </c>
      <c r="B204" t="s">
        <v>3437</v>
      </c>
      <c r="C204" t="s">
        <v>17</v>
      </c>
      <c r="D204" t="s">
        <v>1597</v>
      </c>
      <c r="E204" t="s">
        <v>1598</v>
      </c>
      <c r="F204" t="s">
        <v>1599</v>
      </c>
      <c r="G204" t="s">
        <v>4750</v>
      </c>
      <c r="H204" t="s">
        <v>1600</v>
      </c>
      <c r="I204">
        <v>336.4</v>
      </c>
      <c r="J204">
        <v>0.71589699936156603</v>
      </c>
      <c r="K204">
        <v>2.8969999999999998</v>
      </c>
      <c r="L204" t="s">
        <v>4738</v>
      </c>
      <c r="N204">
        <v>329.9</v>
      </c>
      <c r="O204">
        <v>0.70206426899340302</v>
      </c>
      <c r="P204">
        <v>2.0939999999999999</v>
      </c>
      <c r="Q204" t="s">
        <v>4738</v>
      </c>
      <c r="S204">
        <v>329.3</v>
      </c>
      <c r="T204">
        <v>0.70078740157480301</v>
      </c>
      <c r="U204">
        <v>2.2250000000000001</v>
      </c>
      <c r="V204" t="s">
        <v>4740</v>
      </c>
      <c r="X204">
        <v>342.7</v>
      </c>
      <c r="Y204">
        <v>0.72930410725686301</v>
      </c>
      <c r="Z204">
        <v>5.694</v>
      </c>
      <c r="AA204" t="s">
        <v>4738</v>
      </c>
      <c r="AC204">
        <v>330</v>
      </c>
      <c r="AD204">
        <v>0.70227708022983604</v>
      </c>
      <c r="AE204">
        <v>4.0309999999999997</v>
      </c>
      <c r="AF204" t="s">
        <v>4738</v>
      </c>
      <c r="AH204">
        <v>469.2</v>
      </c>
      <c r="AI204">
        <v>0.99851032134496698</v>
      </c>
      <c r="AJ204">
        <v>330.9</v>
      </c>
      <c r="AK204" t="s">
        <v>4738</v>
      </c>
      <c r="AM204">
        <v>444.4</v>
      </c>
      <c r="AN204">
        <v>0.94573313470951303</v>
      </c>
      <c r="AO204">
        <v>283.8</v>
      </c>
      <c r="AP204" t="s">
        <v>4738</v>
      </c>
      <c r="AR204" t="e">
        <v>#N/A</v>
      </c>
      <c r="AS204" t="e">
        <v>#N/A</v>
      </c>
      <c r="AT204" t="e">
        <v>#N/A</v>
      </c>
      <c r="AU204" t="e">
        <v>#N/A</v>
      </c>
    </row>
    <row r="205" spans="1:47">
      <c r="A205" t="s">
        <v>3439</v>
      </c>
      <c r="B205" t="s">
        <v>3440</v>
      </c>
      <c r="C205" t="s">
        <v>17</v>
      </c>
      <c r="D205" t="s">
        <v>1612</v>
      </c>
      <c r="E205" t="s">
        <v>1613</v>
      </c>
      <c r="F205" t="s">
        <v>1614</v>
      </c>
      <c r="G205" t="s">
        <v>4751</v>
      </c>
      <c r="H205" t="s">
        <v>1600</v>
      </c>
      <c r="I205">
        <v>336.4</v>
      </c>
      <c r="J205">
        <v>0.71589699936156603</v>
      </c>
      <c r="K205">
        <v>2.8969999999999998</v>
      </c>
      <c r="L205" t="s">
        <v>4738</v>
      </c>
      <c r="N205">
        <v>329.9</v>
      </c>
      <c r="O205">
        <v>0.70206426899340302</v>
      </c>
      <c r="P205">
        <v>2.0939999999999999</v>
      </c>
      <c r="Q205" t="s">
        <v>4738</v>
      </c>
      <c r="S205">
        <v>329.3</v>
      </c>
      <c r="T205">
        <v>0.70078740157480301</v>
      </c>
      <c r="U205">
        <v>2.2250000000000001</v>
      </c>
      <c r="V205" t="s">
        <v>4740</v>
      </c>
      <c r="X205">
        <v>342.7</v>
      </c>
      <c r="Y205">
        <v>0.72930410725686301</v>
      </c>
      <c r="Z205">
        <v>5.694</v>
      </c>
      <c r="AA205" t="s">
        <v>4738</v>
      </c>
      <c r="AC205">
        <v>330</v>
      </c>
      <c r="AD205">
        <v>0.70227708022983604</v>
      </c>
      <c r="AE205">
        <v>4.0309999999999997</v>
      </c>
      <c r="AF205" t="s">
        <v>4738</v>
      </c>
      <c r="AH205">
        <v>469.2</v>
      </c>
      <c r="AI205">
        <v>0.99851032134496698</v>
      </c>
      <c r="AJ205">
        <v>330.9</v>
      </c>
      <c r="AK205" t="s">
        <v>4738</v>
      </c>
      <c r="AM205">
        <v>444.4</v>
      </c>
      <c r="AN205">
        <v>0.94573313470951303</v>
      </c>
      <c r="AO205">
        <v>283.8</v>
      </c>
      <c r="AP205" t="s">
        <v>4738</v>
      </c>
      <c r="AR205" t="e">
        <v>#N/A</v>
      </c>
      <c r="AS205" t="e">
        <v>#N/A</v>
      </c>
      <c r="AT205" t="e">
        <v>#N/A</v>
      </c>
      <c r="AU205" t="e">
        <v>#N/A</v>
      </c>
    </row>
    <row r="206" spans="1:47">
      <c r="A206" t="s">
        <v>3442</v>
      </c>
      <c r="B206" t="s">
        <v>3443</v>
      </c>
      <c r="C206" t="s">
        <v>17</v>
      </c>
      <c r="D206" t="s">
        <v>3445</v>
      </c>
      <c r="E206" t="s">
        <v>3446</v>
      </c>
      <c r="F206" t="s">
        <v>3447</v>
      </c>
      <c r="G206" t="s">
        <v>4750</v>
      </c>
      <c r="H206" t="s">
        <v>3449</v>
      </c>
      <c r="I206">
        <v>320.3</v>
      </c>
      <c r="J206">
        <v>0.68163439029580797</v>
      </c>
      <c r="K206">
        <v>1.841</v>
      </c>
      <c r="L206" t="s">
        <v>4740</v>
      </c>
      <c r="N206">
        <v>320</v>
      </c>
      <c r="O206">
        <v>0.68099595658650802</v>
      </c>
      <c r="P206">
        <v>1.9390000000000001</v>
      </c>
      <c r="Q206" t="s">
        <v>4740</v>
      </c>
      <c r="S206">
        <v>346.9</v>
      </c>
      <c r="T206">
        <v>0.73824217918706103</v>
      </c>
      <c r="U206">
        <v>8.375</v>
      </c>
      <c r="V206" t="s">
        <v>4738</v>
      </c>
      <c r="X206">
        <v>342.7</v>
      </c>
      <c r="Y206">
        <v>0.72930410725686301</v>
      </c>
      <c r="Z206">
        <v>4.1399999999999997</v>
      </c>
      <c r="AA206" t="s">
        <v>4738</v>
      </c>
      <c r="AC206">
        <v>313.10000000000002</v>
      </c>
      <c r="AD206">
        <v>0.66631198127261104</v>
      </c>
      <c r="AE206">
        <v>2.669</v>
      </c>
      <c r="AF206" t="s">
        <v>4740</v>
      </c>
      <c r="AH206">
        <v>404.7</v>
      </c>
      <c r="AI206">
        <v>0.86124707384549903</v>
      </c>
      <c r="AJ206">
        <v>86.81</v>
      </c>
      <c r="AK206" t="s">
        <v>4738</v>
      </c>
      <c r="AM206">
        <v>361.2</v>
      </c>
      <c r="AN206">
        <v>0.76867418599702098</v>
      </c>
      <c r="AO206">
        <v>8.5180000000000007</v>
      </c>
      <c r="AP206" t="s">
        <v>4738</v>
      </c>
      <c r="AR206" t="e">
        <v>#N/A</v>
      </c>
      <c r="AS206" t="e">
        <v>#N/A</v>
      </c>
      <c r="AT206" t="e">
        <v>#N/A</v>
      </c>
      <c r="AU206" t="e">
        <v>#N/A</v>
      </c>
    </row>
    <row r="207" spans="1:47">
      <c r="A207" t="s">
        <v>3451</v>
      </c>
      <c r="B207" t="s">
        <v>3452</v>
      </c>
      <c r="C207" t="s">
        <v>17</v>
      </c>
      <c r="D207" t="s">
        <v>3454</v>
      </c>
      <c r="E207" t="s">
        <v>3455</v>
      </c>
      <c r="F207" t="s">
        <v>3456</v>
      </c>
      <c r="G207" t="s">
        <v>4750</v>
      </c>
      <c r="H207" t="s">
        <v>3457</v>
      </c>
      <c r="I207">
        <v>328.9</v>
      </c>
      <c r="J207">
        <v>0.69993615662907005</v>
      </c>
      <c r="K207">
        <v>2.4380000000000002</v>
      </c>
      <c r="L207" t="s">
        <v>4740</v>
      </c>
      <c r="N207">
        <v>322.89999999999998</v>
      </c>
      <c r="O207">
        <v>0.68716748244307302</v>
      </c>
      <c r="P207">
        <v>2.145</v>
      </c>
      <c r="Q207" t="s">
        <v>4740</v>
      </c>
      <c r="S207">
        <v>353.4</v>
      </c>
      <c r="T207">
        <v>0.75207490955522405</v>
      </c>
      <c r="U207">
        <v>5.7969999999999997</v>
      </c>
      <c r="V207" t="s">
        <v>4738</v>
      </c>
      <c r="X207">
        <v>326.39999999999998</v>
      </c>
      <c r="Y207">
        <v>0.69461587571823802</v>
      </c>
      <c r="Z207">
        <v>2.0350000000000001</v>
      </c>
      <c r="AA207" t="s">
        <v>4740</v>
      </c>
      <c r="AC207">
        <v>344.2</v>
      </c>
      <c r="AD207">
        <v>0.73249627580336196</v>
      </c>
      <c r="AE207">
        <v>5.7370000000000001</v>
      </c>
      <c r="AF207" t="s">
        <v>4738</v>
      </c>
      <c r="AH207">
        <v>458.3</v>
      </c>
      <c r="AI207">
        <v>0.97531389657373901</v>
      </c>
      <c r="AJ207">
        <v>330.4</v>
      </c>
      <c r="AK207" t="s">
        <v>4738</v>
      </c>
      <c r="AM207">
        <v>408.8</v>
      </c>
      <c r="AN207">
        <v>0.86997233453926404</v>
      </c>
      <c r="AO207">
        <v>98.43</v>
      </c>
      <c r="AP207" t="s">
        <v>4738</v>
      </c>
      <c r="AR207" t="e">
        <v>#N/A</v>
      </c>
      <c r="AS207" t="e">
        <v>#N/A</v>
      </c>
      <c r="AT207" t="e">
        <v>#N/A</v>
      </c>
      <c r="AU207" t="e">
        <v>#N/A</v>
      </c>
    </row>
    <row r="208" spans="1:47">
      <c r="A208" t="s">
        <v>3459</v>
      </c>
      <c r="B208" t="s">
        <v>3460</v>
      </c>
      <c r="C208" t="s">
        <v>17</v>
      </c>
      <c r="D208" t="s">
        <v>3462</v>
      </c>
      <c r="E208" t="s">
        <v>3463</v>
      </c>
      <c r="F208" t="s">
        <v>3464</v>
      </c>
      <c r="G208" t="s">
        <v>4750</v>
      </c>
      <c r="H208" t="s">
        <v>3466</v>
      </c>
      <c r="I208">
        <v>318.10000000000002</v>
      </c>
      <c r="J208">
        <v>0.67695254309427499</v>
      </c>
      <c r="K208">
        <v>1.1850000000000001</v>
      </c>
      <c r="L208" t="s">
        <v>4740</v>
      </c>
      <c r="N208">
        <v>310</v>
      </c>
      <c r="O208">
        <v>0.65971483294317901</v>
      </c>
      <c r="P208">
        <v>1.1659999999999999</v>
      </c>
      <c r="Q208" t="s">
        <v>4740</v>
      </c>
      <c r="S208">
        <v>311.5</v>
      </c>
      <c r="T208">
        <v>0.66290700148967896</v>
      </c>
      <c r="U208">
        <v>1.3220000000000001</v>
      </c>
      <c r="V208" t="s">
        <v>4740</v>
      </c>
      <c r="X208">
        <v>307.39999999999998</v>
      </c>
      <c r="Y208">
        <v>0.65418174079591396</v>
      </c>
      <c r="Z208">
        <v>1.891</v>
      </c>
      <c r="AA208" t="s">
        <v>4740</v>
      </c>
      <c r="AC208">
        <v>388.3</v>
      </c>
      <c r="AD208">
        <v>0.82634603107044102</v>
      </c>
      <c r="AE208">
        <v>11.58</v>
      </c>
      <c r="AF208" t="s">
        <v>4738</v>
      </c>
      <c r="AH208">
        <v>452.5</v>
      </c>
      <c r="AI208">
        <v>0.96297084486060902</v>
      </c>
      <c r="AJ208">
        <v>124.6</v>
      </c>
      <c r="AK208" t="s">
        <v>4738</v>
      </c>
      <c r="AM208">
        <v>442.7</v>
      </c>
      <c r="AN208">
        <v>0.94211534369014704</v>
      </c>
      <c r="AO208">
        <v>94.59</v>
      </c>
      <c r="AP208" t="s">
        <v>4738</v>
      </c>
      <c r="AR208" t="e">
        <v>#N/A</v>
      </c>
      <c r="AS208" t="e">
        <v>#N/A</v>
      </c>
      <c r="AT208" t="e">
        <v>#N/A</v>
      </c>
      <c r="AU208" t="e">
        <v>#N/A</v>
      </c>
    </row>
    <row r="209" spans="1:47">
      <c r="A209" t="s">
        <v>3468</v>
      </c>
      <c r="B209" t="s">
        <v>3469</v>
      </c>
      <c r="C209" t="s">
        <v>17</v>
      </c>
      <c r="D209" t="s">
        <v>3471</v>
      </c>
      <c r="E209" t="s">
        <v>3472</v>
      </c>
      <c r="F209" t="s">
        <v>3473</v>
      </c>
      <c r="G209" t="s">
        <v>4751</v>
      </c>
      <c r="H209" t="s">
        <v>3475</v>
      </c>
      <c r="I209">
        <v>347.9</v>
      </c>
      <c r="J209">
        <v>0.740370291551394</v>
      </c>
      <c r="K209">
        <v>4.282</v>
      </c>
      <c r="L209" t="s">
        <v>4738</v>
      </c>
      <c r="N209">
        <v>331.1</v>
      </c>
      <c r="O209">
        <v>0.70461800383060202</v>
      </c>
      <c r="P209">
        <v>2.8290000000000002</v>
      </c>
      <c r="Q209" t="s">
        <v>4738</v>
      </c>
      <c r="S209">
        <v>393.8</v>
      </c>
      <c r="T209">
        <v>0.83805064907427096</v>
      </c>
      <c r="U209">
        <v>12.03</v>
      </c>
      <c r="V209" t="s">
        <v>4738</v>
      </c>
      <c r="X209">
        <v>386.7</v>
      </c>
      <c r="Y209">
        <v>0.82294105128750805</v>
      </c>
      <c r="Z209">
        <v>19.420000000000002</v>
      </c>
      <c r="AA209" t="s">
        <v>4738</v>
      </c>
      <c r="AC209">
        <v>325.3</v>
      </c>
      <c r="AD209">
        <v>0.69227495211747203</v>
      </c>
      <c r="AE209">
        <v>2.2749999999999999</v>
      </c>
      <c r="AF209" t="s">
        <v>4738</v>
      </c>
      <c r="AH209">
        <v>416.1</v>
      </c>
      <c r="AI209">
        <v>0.88550755479889298</v>
      </c>
      <c r="AJ209">
        <v>38.71</v>
      </c>
      <c r="AK209" t="s">
        <v>4738</v>
      </c>
      <c r="AM209">
        <v>409</v>
      </c>
      <c r="AN209">
        <v>0.87039795701212996</v>
      </c>
      <c r="AO209">
        <v>36.29</v>
      </c>
      <c r="AP209" t="s">
        <v>4738</v>
      </c>
      <c r="AR209" t="e">
        <v>#N/A</v>
      </c>
      <c r="AS209" t="e">
        <v>#N/A</v>
      </c>
      <c r="AT209" t="e">
        <v>#N/A</v>
      </c>
      <c r="AU209" t="e">
        <v>#N/A</v>
      </c>
    </row>
    <row r="210" spans="1:47">
      <c r="A210" t="s">
        <v>3477</v>
      </c>
      <c r="B210" t="s">
        <v>3478</v>
      </c>
      <c r="C210" t="s">
        <v>17</v>
      </c>
      <c r="D210" t="s">
        <v>3480</v>
      </c>
      <c r="E210" t="s">
        <v>3481</v>
      </c>
      <c r="F210" t="s">
        <v>3482</v>
      </c>
      <c r="G210" t="s">
        <v>4750</v>
      </c>
      <c r="H210" t="s">
        <v>3475</v>
      </c>
      <c r="I210">
        <v>347.9</v>
      </c>
      <c r="J210">
        <v>0.740370291551394</v>
      </c>
      <c r="K210">
        <v>4.282</v>
      </c>
      <c r="L210" t="s">
        <v>4738</v>
      </c>
      <c r="N210">
        <v>331.1</v>
      </c>
      <c r="O210">
        <v>0.70461800383060202</v>
      </c>
      <c r="P210">
        <v>2.8290000000000002</v>
      </c>
      <c r="Q210" t="s">
        <v>4738</v>
      </c>
      <c r="S210">
        <v>393.8</v>
      </c>
      <c r="T210">
        <v>0.83805064907427096</v>
      </c>
      <c r="U210">
        <v>12.03</v>
      </c>
      <c r="V210" t="s">
        <v>4738</v>
      </c>
      <c r="X210">
        <v>386.7</v>
      </c>
      <c r="Y210">
        <v>0.82294105128750805</v>
      </c>
      <c r="Z210">
        <v>19.420000000000002</v>
      </c>
      <c r="AA210" t="s">
        <v>4738</v>
      </c>
      <c r="AC210">
        <v>325.3</v>
      </c>
      <c r="AD210">
        <v>0.69227495211747203</v>
      </c>
      <c r="AE210">
        <v>2.2749999999999999</v>
      </c>
      <c r="AF210" t="s">
        <v>4738</v>
      </c>
      <c r="AH210">
        <v>416.1</v>
      </c>
      <c r="AI210">
        <v>0.88550755479889298</v>
      </c>
      <c r="AJ210">
        <v>38.71</v>
      </c>
      <c r="AK210" t="s">
        <v>4738</v>
      </c>
      <c r="AM210">
        <v>409</v>
      </c>
      <c r="AN210">
        <v>0.87039795701212996</v>
      </c>
      <c r="AO210">
        <v>36.29</v>
      </c>
      <c r="AP210" t="s">
        <v>4738</v>
      </c>
      <c r="AR210" t="e">
        <v>#N/A</v>
      </c>
      <c r="AS210" t="e">
        <v>#N/A</v>
      </c>
      <c r="AT210" t="e">
        <v>#N/A</v>
      </c>
      <c r="AU210" t="e">
        <v>#N/A</v>
      </c>
    </row>
    <row r="211" spans="1:47">
      <c r="A211" t="s">
        <v>3484</v>
      </c>
      <c r="B211" t="s">
        <v>3485</v>
      </c>
      <c r="C211" t="s">
        <v>17</v>
      </c>
      <c r="D211" t="s">
        <v>3487</v>
      </c>
      <c r="E211" t="s">
        <v>3488</v>
      </c>
      <c r="F211" t="s">
        <v>3489</v>
      </c>
      <c r="G211" t="s">
        <v>4750</v>
      </c>
      <c r="H211" t="s">
        <v>3491</v>
      </c>
      <c r="I211">
        <v>312.3</v>
      </c>
      <c r="J211">
        <v>0.664609491381145</v>
      </c>
      <c r="K211">
        <v>1.7070000000000001</v>
      </c>
      <c r="L211" t="s">
        <v>4740</v>
      </c>
      <c r="N211">
        <v>314.10000000000002</v>
      </c>
      <c r="O211">
        <v>0.66844009363694401</v>
      </c>
      <c r="P211">
        <v>1.4279999999999999</v>
      </c>
      <c r="Q211" t="s">
        <v>4740</v>
      </c>
      <c r="S211">
        <v>326.2</v>
      </c>
      <c r="T211">
        <v>0.69419025324537098</v>
      </c>
      <c r="U211">
        <v>2.431</v>
      </c>
      <c r="V211" t="s">
        <v>4740</v>
      </c>
      <c r="X211">
        <v>329.9</v>
      </c>
      <c r="Y211">
        <v>0.70206426899340302</v>
      </c>
      <c r="Z211">
        <v>2.8370000000000002</v>
      </c>
      <c r="AA211" t="s">
        <v>4738</v>
      </c>
      <c r="AC211">
        <v>398.7</v>
      </c>
      <c r="AD211">
        <v>0.848478399659502</v>
      </c>
      <c r="AE211">
        <v>23.91</v>
      </c>
      <c r="AF211" t="s">
        <v>4738</v>
      </c>
      <c r="AH211">
        <v>419.8</v>
      </c>
      <c r="AI211">
        <v>0.89338157054692502</v>
      </c>
      <c r="AJ211">
        <v>65.72</v>
      </c>
      <c r="AK211" t="s">
        <v>4738</v>
      </c>
      <c r="AM211">
        <v>453.5</v>
      </c>
      <c r="AN211">
        <v>0.96509895722494199</v>
      </c>
      <c r="AO211">
        <v>763.2</v>
      </c>
      <c r="AP211" t="s">
        <v>4738</v>
      </c>
      <c r="AR211" t="e">
        <v>#N/A</v>
      </c>
      <c r="AS211" t="e">
        <v>#N/A</v>
      </c>
      <c r="AT211" t="e">
        <v>#N/A</v>
      </c>
      <c r="AU211" t="e">
        <v>#N/A</v>
      </c>
    </row>
    <row r="212" spans="1:47">
      <c r="A212" t="s">
        <v>3493</v>
      </c>
      <c r="B212" t="s">
        <v>3494</v>
      </c>
      <c r="C212" t="s">
        <v>17</v>
      </c>
      <c r="D212" t="s">
        <v>3496</v>
      </c>
      <c r="E212" t="s">
        <v>3497</v>
      </c>
      <c r="F212" t="s">
        <v>3498</v>
      </c>
      <c r="G212" t="s">
        <v>4750</v>
      </c>
      <c r="H212" t="s">
        <v>3499</v>
      </c>
      <c r="I212">
        <v>308</v>
      </c>
      <c r="J212">
        <v>0.65545860821451396</v>
      </c>
      <c r="K212">
        <v>1.0960000000000001</v>
      </c>
      <c r="L212" t="s">
        <v>4740</v>
      </c>
      <c r="N212">
        <v>257.89999999999998</v>
      </c>
      <c r="O212">
        <v>0.54884017876143898</v>
      </c>
      <c r="P212">
        <v>0.32790000000000002</v>
      </c>
      <c r="Q212" t="s">
        <v>4740</v>
      </c>
      <c r="S212">
        <v>296.3</v>
      </c>
      <c r="T212">
        <v>0.63055969355181996</v>
      </c>
      <c r="U212">
        <v>0.97719999999999996</v>
      </c>
      <c r="V212" t="s">
        <v>4740</v>
      </c>
      <c r="X212">
        <v>310.7</v>
      </c>
      <c r="Y212">
        <v>0.66120451159821203</v>
      </c>
      <c r="Z212">
        <v>1.2549999999999999</v>
      </c>
      <c r="AA212" t="s">
        <v>4740</v>
      </c>
      <c r="AC212">
        <v>334.1</v>
      </c>
      <c r="AD212">
        <v>0.71100234092360104</v>
      </c>
      <c r="AE212">
        <v>3.2919999999999998</v>
      </c>
      <c r="AF212" t="s">
        <v>4738</v>
      </c>
      <c r="AH212">
        <v>431.8</v>
      </c>
      <c r="AI212">
        <v>0.91891891891891897</v>
      </c>
      <c r="AJ212">
        <v>162.1</v>
      </c>
      <c r="AK212" t="s">
        <v>4738</v>
      </c>
      <c r="AM212">
        <v>418.6</v>
      </c>
      <c r="AN212">
        <v>0.89082783570972601</v>
      </c>
      <c r="AO212">
        <v>120</v>
      </c>
      <c r="AP212" t="s">
        <v>4738</v>
      </c>
      <c r="AR212" t="e">
        <v>#N/A</v>
      </c>
      <c r="AS212" t="e">
        <v>#N/A</v>
      </c>
      <c r="AT212" t="e">
        <v>#N/A</v>
      </c>
      <c r="AU212" t="e">
        <v>#N/A</v>
      </c>
    </row>
    <row r="213" spans="1:47">
      <c r="A213" t="s">
        <v>3501</v>
      </c>
      <c r="B213" t="s">
        <v>3502</v>
      </c>
      <c r="C213" t="s">
        <v>17</v>
      </c>
      <c r="D213" t="s">
        <v>3504</v>
      </c>
      <c r="E213" t="s">
        <v>3505</v>
      </c>
      <c r="F213" t="s">
        <v>3506</v>
      </c>
      <c r="G213" t="s">
        <v>4750</v>
      </c>
      <c r="H213" t="s">
        <v>3508</v>
      </c>
      <c r="I213">
        <v>389.5</v>
      </c>
      <c r="J213">
        <v>0.82889976590764003</v>
      </c>
      <c r="K213">
        <v>18.37</v>
      </c>
      <c r="L213" t="s">
        <v>4738</v>
      </c>
      <c r="N213">
        <v>384.2</v>
      </c>
      <c r="O213">
        <v>0.81762077037667602</v>
      </c>
      <c r="P213">
        <v>12.12</v>
      </c>
      <c r="Q213" t="s">
        <v>4738</v>
      </c>
      <c r="S213">
        <v>400.7</v>
      </c>
      <c r="T213">
        <v>0.85273462438816805</v>
      </c>
      <c r="U213">
        <v>41.6</v>
      </c>
      <c r="V213" t="s">
        <v>4738</v>
      </c>
      <c r="X213">
        <v>402.4</v>
      </c>
      <c r="Y213">
        <v>0.85635241540753304</v>
      </c>
      <c r="Z213">
        <v>27.36</v>
      </c>
      <c r="AA213" t="s">
        <v>4738</v>
      </c>
      <c r="AC213">
        <v>338.9</v>
      </c>
      <c r="AD213">
        <v>0.72121728027239795</v>
      </c>
      <c r="AE213">
        <v>8.3810000000000002</v>
      </c>
      <c r="AF213" t="s">
        <v>4738</v>
      </c>
      <c r="AH213">
        <v>450.8</v>
      </c>
      <c r="AI213">
        <v>0.95935305384124303</v>
      </c>
      <c r="AJ213">
        <v>286.8</v>
      </c>
      <c r="AK213" t="s">
        <v>4738</v>
      </c>
      <c r="AM213">
        <v>434.1</v>
      </c>
      <c r="AN213">
        <v>0.92381357735688496</v>
      </c>
      <c r="AO213">
        <v>118.8</v>
      </c>
      <c r="AP213" t="s">
        <v>4738</v>
      </c>
      <c r="AR213" t="e">
        <v>#N/A</v>
      </c>
      <c r="AS213" t="e">
        <v>#N/A</v>
      </c>
      <c r="AT213" t="e">
        <v>#N/A</v>
      </c>
      <c r="AU213" t="e">
        <v>#N/A</v>
      </c>
    </row>
    <row r="214" spans="1:47">
      <c r="A214" t="s">
        <v>3510</v>
      </c>
      <c r="B214" t="s">
        <v>3511</v>
      </c>
      <c r="C214" t="s">
        <v>17</v>
      </c>
      <c r="D214" t="s">
        <v>3513</v>
      </c>
      <c r="E214" t="s">
        <v>3514</v>
      </c>
      <c r="F214" t="s">
        <v>3515</v>
      </c>
      <c r="G214" t="s">
        <v>4750</v>
      </c>
      <c r="H214" t="s">
        <v>3516</v>
      </c>
      <c r="I214">
        <v>300.3</v>
      </c>
      <c r="J214">
        <v>0.63907214300915105</v>
      </c>
      <c r="K214">
        <v>1.177</v>
      </c>
      <c r="L214" t="s">
        <v>4740</v>
      </c>
      <c r="N214">
        <v>327.10000000000002</v>
      </c>
      <c r="O214">
        <v>0.69610555437327104</v>
      </c>
      <c r="P214">
        <v>2.5289999999999999</v>
      </c>
      <c r="Q214" t="s">
        <v>4740</v>
      </c>
      <c r="S214">
        <v>390</v>
      </c>
      <c r="T214">
        <v>0.82996382208980601</v>
      </c>
      <c r="U214">
        <v>22.99</v>
      </c>
      <c r="V214" t="s">
        <v>4738</v>
      </c>
      <c r="X214">
        <v>350.4</v>
      </c>
      <c r="Y214">
        <v>0.74569057246222603</v>
      </c>
      <c r="Z214">
        <v>5.6120000000000001</v>
      </c>
      <c r="AA214" t="s">
        <v>4738</v>
      </c>
      <c r="AC214">
        <v>329.1</v>
      </c>
      <c r="AD214">
        <v>0.70036177910193698</v>
      </c>
      <c r="AE214">
        <v>3.5510000000000002</v>
      </c>
      <c r="AF214" t="s">
        <v>4738</v>
      </c>
      <c r="AH214">
        <v>412.2</v>
      </c>
      <c r="AI214">
        <v>0.87720791657799502</v>
      </c>
      <c r="AJ214">
        <v>75.569999999999993</v>
      </c>
      <c r="AK214" t="s">
        <v>4738</v>
      </c>
      <c r="AM214">
        <v>396.1</v>
      </c>
      <c r="AN214">
        <v>0.84294530751223695</v>
      </c>
      <c r="AO214">
        <v>54.96</v>
      </c>
      <c r="AP214" t="s">
        <v>4738</v>
      </c>
      <c r="AR214" t="e">
        <v>#N/A</v>
      </c>
      <c r="AS214" t="e">
        <v>#N/A</v>
      </c>
      <c r="AT214" t="e">
        <v>#N/A</v>
      </c>
      <c r="AU214" t="e">
        <v>#N/A</v>
      </c>
    </row>
    <row r="215" spans="1:47">
      <c r="A215" t="s">
        <v>3518</v>
      </c>
      <c r="B215" t="s">
        <v>3519</v>
      </c>
      <c r="C215" t="s">
        <v>17</v>
      </c>
      <c r="D215" t="s">
        <v>3521</v>
      </c>
      <c r="E215" t="s">
        <v>3522</v>
      </c>
      <c r="F215" t="s">
        <v>3523</v>
      </c>
      <c r="G215" t="s">
        <v>4750</v>
      </c>
      <c r="H215" t="s">
        <v>3525</v>
      </c>
      <c r="I215">
        <v>401</v>
      </c>
      <c r="J215">
        <v>0.853373058097468</v>
      </c>
      <c r="K215">
        <v>28.92</v>
      </c>
      <c r="L215" t="s">
        <v>4738</v>
      </c>
      <c r="N215">
        <v>322.5</v>
      </c>
      <c r="O215">
        <v>0.68631623749734005</v>
      </c>
      <c r="P215">
        <v>2.2200000000000002</v>
      </c>
      <c r="Q215" t="s">
        <v>4740</v>
      </c>
      <c r="S215">
        <v>386.4</v>
      </c>
      <c r="T215">
        <v>0.82230261757820799</v>
      </c>
      <c r="U215">
        <v>16.32</v>
      </c>
      <c r="V215" t="s">
        <v>4738</v>
      </c>
      <c r="X215">
        <v>314.8</v>
      </c>
      <c r="Y215">
        <v>0.66992977229197703</v>
      </c>
      <c r="Z215">
        <v>1.57</v>
      </c>
      <c r="AA215" t="s">
        <v>4740</v>
      </c>
      <c r="AC215">
        <v>404.1</v>
      </c>
      <c r="AD215">
        <v>0.85997020642689903</v>
      </c>
      <c r="AE215">
        <v>38.22</v>
      </c>
      <c r="AF215" t="s">
        <v>4738</v>
      </c>
      <c r="AH215">
        <v>420.6</v>
      </c>
      <c r="AI215">
        <v>0.89508406043839095</v>
      </c>
      <c r="AJ215">
        <v>57.76</v>
      </c>
      <c r="AK215" t="s">
        <v>4738</v>
      </c>
      <c r="AM215">
        <v>395.3</v>
      </c>
      <c r="AN215">
        <v>0.84124281762077002</v>
      </c>
      <c r="AO215">
        <v>22.52</v>
      </c>
      <c r="AP215" t="s">
        <v>4738</v>
      </c>
      <c r="AR215" t="e">
        <v>#N/A</v>
      </c>
      <c r="AS215" t="e">
        <v>#N/A</v>
      </c>
      <c r="AT215" t="e">
        <v>#N/A</v>
      </c>
      <c r="AU215" t="e">
        <v>#N/A</v>
      </c>
    </row>
    <row r="216" spans="1:47">
      <c r="A216" t="s">
        <v>3527</v>
      </c>
      <c r="B216" t="s">
        <v>3528</v>
      </c>
      <c r="C216" t="s">
        <v>17</v>
      </c>
      <c r="D216" t="s">
        <v>3530</v>
      </c>
      <c r="E216" t="s">
        <v>3531</v>
      </c>
      <c r="F216" t="s">
        <v>3532</v>
      </c>
      <c r="G216" t="s">
        <v>4750</v>
      </c>
      <c r="H216" t="s">
        <v>3533</v>
      </c>
      <c r="I216">
        <v>321.3</v>
      </c>
      <c r="J216">
        <v>0.68376250266014005</v>
      </c>
      <c r="K216">
        <v>1.9370000000000001</v>
      </c>
      <c r="L216" t="s">
        <v>4740</v>
      </c>
      <c r="N216">
        <v>327.3</v>
      </c>
      <c r="O216">
        <v>0.69653117684613797</v>
      </c>
      <c r="P216">
        <v>2.34</v>
      </c>
      <c r="Q216" t="s">
        <v>4740</v>
      </c>
      <c r="S216">
        <v>317.7</v>
      </c>
      <c r="T216">
        <v>0.67610129814854203</v>
      </c>
      <c r="U216">
        <v>1.55</v>
      </c>
      <c r="V216" t="s">
        <v>4740</v>
      </c>
      <c r="X216">
        <v>387.5</v>
      </c>
      <c r="Y216">
        <v>0.82464354117897398</v>
      </c>
      <c r="Z216">
        <v>15.59</v>
      </c>
      <c r="AA216" t="s">
        <v>4738</v>
      </c>
      <c r="AC216">
        <v>375.9</v>
      </c>
      <c r="AD216">
        <v>0.799957437752713</v>
      </c>
      <c r="AE216">
        <v>12.5</v>
      </c>
      <c r="AF216" t="s">
        <v>4738</v>
      </c>
      <c r="AH216">
        <v>401.1</v>
      </c>
      <c r="AI216">
        <v>0.85358586933390102</v>
      </c>
      <c r="AJ216">
        <v>28.83</v>
      </c>
      <c r="AK216" t="s">
        <v>4738</v>
      </c>
      <c r="AM216">
        <v>406.7</v>
      </c>
      <c r="AN216">
        <v>0.86550329857416497</v>
      </c>
      <c r="AO216">
        <v>35.659999999999997</v>
      </c>
      <c r="AP216" t="s">
        <v>4738</v>
      </c>
      <c r="AR216" t="e">
        <v>#N/A</v>
      </c>
      <c r="AS216" t="e">
        <v>#N/A</v>
      </c>
      <c r="AT216" t="e">
        <v>#N/A</v>
      </c>
      <c r="AU216" t="e">
        <v>#N/A</v>
      </c>
    </row>
    <row r="217" spans="1:47">
      <c r="A217" t="s">
        <v>3535</v>
      </c>
      <c r="B217" t="s">
        <v>3536</v>
      </c>
      <c r="C217" t="s">
        <v>17</v>
      </c>
      <c r="D217" t="s">
        <v>3538</v>
      </c>
      <c r="E217" t="s">
        <v>3539</v>
      </c>
      <c r="F217" t="s">
        <v>3540</v>
      </c>
      <c r="G217" t="s">
        <v>4750</v>
      </c>
      <c r="H217" t="s">
        <v>3541</v>
      </c>
      <c r="I217">
        <v>339.2</v>
      </c>
      <c r="J217">
        <v>0.72185571398169801</v>
      </c>
      <c r="K217">
        <v>4.2160000000000002</v>
      </c>
      <c r="L217" t="s">
        <v>4738</v>
      </c>
      <c r="N217">
        <v>380.6</v>
      </c>
      <c r="O217">
        <v>0.809959565865078</v>
      </c>
      <c r="P217">
        <v>15.66</v>
      </c>
      <c r="Q217" t="s">
        <v>4738</v>
      </c>
      <c r="S217">
        <v>372.4</v>
      </c>
      <c r="T217">
        <v>0.792509044477548</v>
      </c>
      <c r="U217">
        <v>10.98</v>
      </c>
      <c r="V217" t="s">
        <v>4738</v>
      </c>
      <c r="X217">
        <v>325.7</v>
      </c>
      <c r="Y217">
        <v>0.693126197063205</v>
      </c>
      <c r="Z217">
        <v>2.2999999999999998</v>
      </c>
      <c r="AA217" t="s">
        <v>4740</v>
      </c>
      <c r="AC217">
        <v>383.1</v>
      </c>
      <c r="AD217">
        <v>0.81527984677591003</v>
      </c>
      <c r="AE217">
        <v>16.64</v>
      </c>
      <c r="AF217" t="s">
        <v>4738</v>
      </c>
      <c r="AH217">
        <v>414.5</v>
      </c>
      <c r="AI217">
        <v>0.88210257501596101</v>
      </c>
      <c r="AJ217">
        <v>46.56</v>
      </c>
      <c r="AK217" t="s">
        <v>4738</v>
      </c>
      <c r="AM217">
        <v>415.4</v>
      </c>
      <c r="AN217">
        <v>0.88401787614385996</v>
      </c>
      <c r="AO217">
        <v>50.78</v>
      </c>
      <c r="AP217" t="s">
        <v>4738</v>
      </c>
      <c r="AR217" t="e">
        <v>#N/A</v>
      </c>
      <c r="AS217" t="e">
        <v>#N/A</v>
      </c>
      <c r="AT217" t="e">
        <v>#N/A</v>
      </c>
      <c r="AU217" t="e">
        <v>#N/A</v>
      </c>
    </row>
    <row r="218" spans="1:47">
      <c r="A218" t="s">
        <v>3543</v>
      </c>
      <c r="B218" t="s">
        <v>3544</v>
      </c>
      <c r="C218" t="s">
        <v>17</v>
      </c>
      <c r="D218" t="s">
        <v>3546</v>
      </c>
      <c r="E218" t="s">
        <v>3547</v>
      </c>
      <c r="F218" t="s">
        <v>3548</v>
      </c>
      <c r="G218" t="s">
        <v>4750</v>
      </c>
      <c r="H218" t="s">
        <v>3549</v>
      </c>
      <c r="I218">
        <v>334</v>
      </c>
      <c r="J218">
        <v>0.71078952968716702</v>
      </c>
      <c r="K218">
        <v>3.18</v>
      </c>
      <c r="L218" t="s">
        <v>4738</v>
      </c>
      <c r="N218">
        <v>335.3</v>
      </c>
      <c r="O218">
        <v>0.71355607576080005</v>
      </c>
      <c r="P218">
        <v>3.35</v>
      </c>
      <c r="Q218" t="s">
        <v>4738</v>
      </c>
      <c r="S218">
        <v>309.2</v>
      </c>
      <c r="T218">
        <v>0.65801234305171297</v>
      </c>
      <c r="U218">
        <v>1.069</v>
      </c>
      <c r="V218" t="s">
        <v>4740</v>
      </c>
      <c r="X218">
        <v>358.8</v>
      </c>
      <c r="Y218">
        <v>0.76356671632262196</v>
      </c>
      <c r="Z218">
        <v>7.11</v>
      </c>
      <c r="AA218" t="s">
        <v>4738</v>
      </c>
      <c r="AC218">
        <v>398.8</v>
      </c>
      <c r="AD218">
        <v>0.84869121089593502</v>
      </c>
      <c r="AE218">
        <v>27.79</v>
      </c>
      <c r="AF218" t="s">
        <v>4738</v>
      </c>
      <c r="AH218">
        <v>379.9</v>
      </c>
      <c r="AI218">
        <v>0.80846988721004498</v>
      </c>
      <c r="AJ218">
        <v>12.87</v>
      </c>
      <c r="AK218" t="s">
        <v>4738</v>
      </c>
      <c r="AM218">
        <v>409.5</v>
      </c>
      <c r="AN218">
        <v>0.87146201319429695</v>
      </c>
      <c r="AO218">
        <v>43.38</v>
      </c>
      <c r="AP218" t="s">
        <v>4738</v>
      </c>
      <c r="AR218" t="e">
        <v>#N/A</v>
      </c>
      <c r="AS218" t="e">
        <v>#N/A</v>
      </c>
      <c r="AT218" t="e">
        <v>#N/A</v>
      </c>
      <c r="AU218" t="e">
        <v>#N/A</v>
      </c>
    </row>
    <row r="219" spans="1:47">
      <c r="A219" t="s">
        <v>3551</v>
      </c>
      <c r="B219" t="s">
        <v>3552</v>
      </c>
      <c r="C219" t="s">
        <v>17</v>
      </c>
      <c r="D219" t="s">
        <v>3554</v>
      </c>
      <c r="E219" t="s">
        <v>3555</v>
      </c>
      <c r="F219" t="s">
        <v>3556</v>
      </c>
      <c r="G219" t="s">
        <v>4750</v>
      </c>
      <c r="H219" t="s">
        <v>3558</v>
      </c>
      <c r="I219">
        <v>349.6</v>
      </c>
      <c r="J219">
        <v>0.74398808257075999</v>
      </c>
      <c r="K219">
        <v>5.3310000000000004</v>
      </c>
      <c r="L219" t="s">
        <v>4738</v>
      </c>
      <c r="N219">
        <v>327.10000000000002</v>
      </c>
      <c r="O219">
        <v>0.69610555437327104</v>
      </c>
      <c r="P219">
        <v>2.3759999999999999</v>
      </c>
      <c r="Q219" t="s">
        <v>4740</v>
      </c>
      <c r="S219">
        <v>313.60000000000002</v>
      </c>
      <c r="T219">
        <v>0.66737603745477803</v>
      </c>
      <c r="U219">
        <v>1.109</v>
      </c>
      <c r="V219" t="s">
        <v>4740</v>
      </c>
      <c r="X219">
        <v>322.39999999999998</v>
      </c>
      <c r="Y219">
        <v>0.68610342626090703</v>
      </c>
      <c r="Z219">
        <v>2.34</v>
      </c>
      <c r="AA219" t="s">
        <v>4740</v>
      </c>
      <c r="AC219">
        <v>375.6</v>
      </c>
      <c r="AD219">
        <v>0.79931900404341405</v>
      </c>
      <c r="AE219">
        <v>11.28</v>
      </c>
      <c r="AF219" t="s">
        <v>4738</v>
      </c>
      <c r="AH219">
        <v>422.9</v>
      </c>
      <c r="AI219">
        <v>0.89997871887635705</v>
      </c>
      <c r="AJ219">
        <v>80.510000000000005</v>
      </c>
      <c r="AK219" t="s">
        <v>4738</v>
      </c>
      <c r="AM219">
        <v>428.2</v>
      </c>
      <c r="AN219">
        <v>0.91125771440732095</v>
      </c>
      <c r="AO219">
        <v>89.64</v>
      </c>
      <c r="AP219" t="s">
        <v>4738</v>
      </c>
      <c r="AR219" t="e">
        <v>#N/A</v>
      </c>
      <c r="AS219" t="e">
        <v>#N/A</v>
      </c>
      <c r="AT219" t="e">
        <v>#N/A</v>
      </c>
      <c r="AU219" t="e">
        <v>#N/A</v>
      </c>
    </row>
    <row r="220" spans="1:47">
      <c r="A220" t="s">
        <v>3560</v>
      </c>
      <c r="B220" t="s">
        <v>3561</v>
      </c>
      <c r="C220" t="s">
        <v>17</v>
      </c>
      <c r="D220" t="s">
        <v>3563</v>
      </c>
      <c r="E220" t="s">
        <v>3564</v>
      </c>
      <c r="F220" t="s">
        <v>3565</v>
      </c>
      <c r="G220" t="s">
        <v>4750</v>
      </c>
      <c r="H220" t="s">
        <v>3566</v>
      </c>
      <c r="I220">
        <v>372.2</v>
      </c>
      <c r="J220">
        <v>0.79208342200468196</v>
      </c>
      <c r="K220">
        <v>10.25</v>
      </c>
      <c r="L220" t="s">
        <v>4738</v>
      </c>
      <c r="N220">
        <v>329.7</v>
      </c>
      <c r="O220">
        <v>0.70163864652053598</v>
      </c>
      <c r="P220">
        <v>2.8660000000000001</v>
      </c>
      <c r="Q220" t="s">
        <v>4738</v>
      </c>
      <c r="S220">
        <v>316.89999999999998</v>
      </c>
      <c r="T220">
        <v>0.67439880825707599</v>
      </c>
      <c r="U220">
        <v>1.587</v>
      </c>
      <c r="V220" t="s">
        <v>4740</v>
      </c>
      <c r="X220">
        <v>342.5</v>
      </c>
      <c r="Y220">
        <v>0.72887848478399697</v>
      </c>
      <c r="Z220">
        <v>4.55</v>
      </c>
      <c r="AA220" t="s">
        <v>4738</v>
      </c>
      <c r="AC220">
        <v>391.3</v>
      </c>
      <c r="AD220">
        <v>0.83273036816343904</v>
      </c>
      <c r="AE220">
        <v>18.940000000000001</v>
      </c>
      <c r="AF220" t="s">
        <v>4738</v>
      </c>
      <c r="AH220">
        <v>407.4</v>
      </c>
      <c r="AI220">
        <v>0.86699297722919799</v>
      </c>
      <c r="AJ220">
        <v>36.68</v>
      </c>
      <c r="AK220" t="s">
        <v>4738</v>
      </c>
      <c r="AM220">
        <v>423</v>
      </c>
      <c r="AN220">
        <v>0.90019153011278996</v>
      </c>
      <c r="AO220">
        <v>91.01</v>
      </c>
      <c r="AP220" t="s">
        <v>4738</v>
      </c>
      <c r="AR220" t="e">
        <v>#N/A</v>
      </c>
      <c r="AS220" t="e">
        <v>#N/A</v>
      </c>
      <c r="AT220" t="e">
        <v>#N/A</v>
      </c>
      <c r="AU220" t="e">
        <v>#N/A</v>
      </c>
    </row>
    <row r="221" spans="1:47">
      <c r="A221" t="s">
        <v>3568</v>
      </c>
      <c r="B221" t="s">
        <v>3569</v>
      </c>
      <c r="C221" t="s">
        <v>17</v>
      </c>
      <c r="D221" t="s">
        <v>3571</v>
      </c>
      <c r="E221" t="s">
        <v>3572</v>
      </c>
      <c r="F221" t="s">
        <v>3573</v>
      </c>
      <c r="G221" t="s">
        <v>4750</v>
      </c>
      <c r="H221" t="s">
        <v>3574</v>
      </c>
      <c r="I221">
        <v>363.1</v>
      </c>
      <c r="J221">
        <v>0.772717599489253</v>
      </c>
      <c r="K221">
        <v>7.3680000000000003</v>
      </c>
      <c r="L221" t="s">
        <v>4738</v>
      </c>
      <c r="N221">
        <v>362</v>
      </c>
      <c r="O221">
        <v>0.77037667588848702</v>
      </c>
      <c r="P221">
        <v>6.98</v>
      </c>
      <c r="Q221" t="s">
        <v>4738</v>
      </c>
      <c r="S221">
        <v>374.3</v>
      </c>
      <c r="T221">
        <v>0.79655245796978102</v>
      </c>
      <c r="U221">
        <v>10.94</v>
      </c>
      <c r="V221" t="s">
        <v>4738</v>
      </c>
      <c r="X221">
        <v>311.60000000000002</v>
      </c>
      <c r="Y221">
        <v>0.66311981272611198</v>
      </c>
      <c r="Z221">
        <v>1.111</v>
      </c>
      <c r="AA221" t="s">
        <v>4740</v>
      </c>
      <c r="AC221">
        <v>419.8</v>
      </c>
      <c r="AD221">
        <v>0.89338157054692502</v>
      </c>
      <c r="AE221">
        <v>73.34</v>
      </c>
      <c r="AF221" t="s">
        <v>4738</v>
      </c>
      <c r="AH221">
        <v>392.2</v>
      </c>
      <c r="AI221">
        <v>0.83464566929133899</v>
      </c>
      <c r="AJ221">
        <v>21.99</v>
      </c>
      <c r="AK221" t="s">
        <v>4738</v>
      </c>
      <c r="AM221">
        <v>416.9</v>
      </c>
      <c r="AN221">
        <v>0.88721004469036002</v>
      </c>
      <c r="AO221">
        <v>66.25</v>
      </c>
      <c r="AP221" t="s">
        <v>4738</v>
      </c>
      <c r="AR221" t="e">
        <v>#N/A</v>
      </c>
      <c r="AS221" t="e">
        <v>#N/A</v>
      </c>
      <c r="AT221" t="e">
        <v>#N/A</v>
      </c>
      <c r="AU221" t="e">
        <v>#N/A</v>
      </c>
    </row>
    <row r="222" spans="1:47">
      <c r="A222" t="s">
        <v>3576</v>
      </c>
      <c r="B222" t="s">
        <v>3577</v>
      </c>
      <c r="C222" t="s">
        <v>17</v>
      </c>
      <c r="D222" t="s">
        <v>3579</v>
      </c>
      <c r="E222" t="s">
        <v>3580</v>
      </c>
      <c r="F222" t="s">
        <v>3581</v>
      </c>
      <c r="G222" t="s">
        <v>4750</v>
      </c>
      <c r="H222" t="s">
        <v>3582</v>
      </c>
      <c r="I222">
        <v>374.6</v>
      </c>
      <c r="J222">
        <v>0.79719089167908097</v>
      </c>
      <c r="K222">
        <v>10.89</v>
      </c>
      <c r="L222" t="s">
        <v>4738</v>
      </c>
      <c r="N222">
        <v>368.5</v>
      </c>
      <c r="O222">
        <v>0.78420940625665003</v>
      </c>
      <c r="P222">
        <v>8.8249999999999993</v>
      </c>
      <c r="Q222" t="s">
        <v>4738</v>
      </c>
      <c r="S222">
        <v>357.6</v>
      </c>
      <c r="T222">
        <v>0.76101298148542296</v>
      </c>
      <c r="U222">
        <v>6.9690000000000003</v>
      </c>
      <c r="V222" t="s">
        <v>4738</v>
      </c>
      <c r="X222">
        <v>403.6</v>
      </c>
      <c r="Y222">
        <v>0.85890615024473305</v>
      </c>
      <c r="Z222">
        <v>29.89</v>
      </c>
      <c r="AA222" t="s">
        <v>4738</v>
      </c>
      <c r="AC222">
        <v>395.6</v>
      </c>
      <c r="AD222">
        <v>0.84188125133006997</v>
      </c>
      <c r="AE222">
        <v>24.33</v>
      </c>
      <c r="AF222" t="s">
        <v>4738</v>
      </c>
      <c r="AH222">
        <v>422.3</v>
      </c>
      <c r="AI222">
        <v>0.89870185145775705</v>
      </c>
      <c r="AJ222">
        <v>69.98</v>
      </c>
      <c r="AK222" t="s">
        <v>4738</v>
      </c>
      <c r="AM222">
        <v>417.4</v>
      </c>
      <c r="AN222">
        <v>0.88827410087252601</v>
      </c>
      <c r="AO222">
        <v>56.45</v>
      </c>
      <c r="AP222" t="s">
        <v>4738</v>
      </c>
      <c r="AR222" t="e">
        <v>#N/A</v>
      </c>
      <c r="AS222" t="e">
        <v>#N/A</v>
      </c>
      <c r="AT222" t="e">
        <v>#N/A</v>
      </c>
      <c r="AU222" t="e">
        <v>#N/A</v>
      </c>
    </row>
    <row r="223" spans="1:47">
      <c r="A223" t="s">
        <v>3584</v>
      </c>
      <c r="B223" t="s">
        <v>3585</v>
      </c>
      <c r="C223" t="s">
        <v>17</v>
      </c>
      <c r="D223" t="s">
        <v>3587</v>
      </c>
      <c r="E223" t="s">
        <v>3588</v>
      </c>
      <c r="F223" t="s">
        <v>3589</v>
      </c>
      <c r="G223" t="s">
        <v>4750</v>
      </c>
      <c r="H223" t="s">
        <v>3590</v>
      </c>
      <c r="I223">
        <v>366.2</v>
      </c>
      <c r="J223">
        <v>0.77931474781868504</v>
      </c>
      <c r="K223">
        <v>8.3659999999999997</v>
      </c>
      <c r="L223" t="s">
        <v>4738</v>
      </c>
      <c r="N223">
        <v>353.5</v>
      </c>
      <c r="O223">
        <v>0.75228772079165795</v>
      </c>
      <c r="P223">
        <v>5.8410000000000002</v>
      </c>
      <c r="Q223" t="s">
        <v>4738</v>
      </c>
      <c r="S223">
        <v>347.2</v>
      </c>
      <c r="T223">
        <v>0.73888061289636098</v>
      </c>
      <c r="U223">
        <v>4.8899999999999997</v>
      </c>
      <c r="V223" t="s">
        <v>4738</v>
      </c>
      <c r="X223">
        <v>336</v>
      </c>
      <c r="Y223">
        <v>0.71504575441583296</v>
      </c>
      <c r="Z223">
        <v>3.17</v>
      </c>
      <c r="AA223" t="s">
        <v>4738</v>
      </c>
      <c r="AC223">
        <v>412.3</v>
      </c>
      <c r="AD223">
        <v>0.87742072781442904</v>
      </c>
      <c r="AE223">
        <v>50.36</v>
      </c>
      <c r="AF223" t="s">
        <v>4738</v>
      </c>
      <c r="AH223">
        <v>417.6</v>
      </c>
      <c r="AI223">
        <v>0.88869972334539304</v>
      </c>
      <c r="AJ223">
        <v>57.74</v>
      </c>
      <c r="AK223" t="s">
        <v>4738</v>
      </c>
      <c r="AM223">
        <v>403.5</v>
      </c>
      <c r="AN223">
        <v>0.85869333900830003</v>
      </c>
      <c r="AO223">
        <v>34.409999999999997</v>
      </c>
      <c r="AP223" t="s">
        <v>4738</v>
      </c>
      <c r="AR223" t="e">
        <v>#N/A</v>
      </c>
      <c r="AS223" t="e">
        <v>#N/A</v>
      </c>
      <c r="AT223" t="e">
        <v>#N/A</v>
      </c>
      <c r="AU223" t="e">
        <v>#N/A</v>
      </c>
    </row>
    <row r="224" spans="1:47">
      <c r="A224" t="s">
        <v>3592</v>
      </c>
      <c r="B224" t="s">
        <v>3593</v>
      </c>
      <c r="C224" t="s">
        <v>17</v>
      </c>
      <c r="D224" t="s">
        <v>3595</v>
      </c>
      <c r="E224" t="s">
        <v>3596</v>
      </c>
      <c r="F224" t="s">
        <v>3597</v>
      </c>
      <c r="G224" t="s">
        <v>4750</v>
      </c>
      <c r="H224" t="s">
        <v>3599</v>
      </c>
      <c r="I224">
        <v>322.2</v>
      </c>
      <c r="J224">
        <v>0.68567780378804</v>
      </c>
      <c r="K224">
        <v>2.0880000000000001</v>
      </c>
      <c r="L224" t="s">
        <v>4740</v>
      </c>
      <c r="N224">
        <v>325</v>
      </c>
      <c r="O224">
        <v>0.69163651840817197</v>
      </c>
      <c r="P224">
        <v>2.4510000000000001</v>
      </c>
      <c r="Q224" t="s">
        <v>4740</v>
      </c>
      <c r="S224">
        <v>349</v>
      </c>
      <c r="T224">
        <v>0.74271121515215999</v>
      </c>
      <c r="U224">
        <v>4.984</v>
      </c>
      <c r="V224" t="s">
        <v>4738</v>
      </c>
      <c r="X224">
        <v>381.5</v>
      </c>
      <c r="Y224">
        <v>0.81187486699297695</v>
      </c>
      <c r="Z224">
        <v>13.24</v>
      </c>
      <c r="AA224" t="s">
        <v>4738</v>
      </c>
      <c r="AC224">
        <v>402</v>
      </c>
      <c r="AD224">
        <v>0.85550117046179996</v>
      </c>
      <c r="AE224">
        <v>31.92</v>
      </c>
      <c r="AF224" t="s">
        <v>4738</v>
      </c>
      <c r="AH224">
        <v>413</v>
      </c>
      <c r="AI224">
        <v>0.87891040646946195</v>
      </c>
      <c r="AJ224">
        <v>55.5</v>
      </c>
      <c r="AK224" t="s">
        <v>4738</v>
      </c>
      <c r="AM224">
        <v>405.7</v>
      </c>
      <c r="AN224">
        <v>0.863375186209832</v>
      </c>
      <c r="AO224">
        <v>33.44</v>
      </c>
      <c r="AP224" t="s">
        <v>4738</v>
      </c>
      <c r="AR224" t="e">
        <v>#N/A</v>
      </c>
      <c r="AS224" t="e">
        <v>#N/A</v>
      </c>
      <c r="AT224" t="e">
        <v>#N/A</v>
      </c>
      <c r="AU224" t="e">
        <v>#N/A</v>
      </c>
    </row>
    <row r="225" spans="1:47">
      <c r="A225" t="s">
        <v>3601</v>
      </c>
      <c r="B225" t="s">
        <v>3602</v>
      </c>
      <c r="C225" t="s">
        <v>17</v>
      </c>
      <c r="D225" t="s">
        <v>3604</v>
      </c>
      <c r="E225" t="s">
        <v>3605</v>
      </c>
      <c r="F225" t="s">
        <v>3606</v>
      </c>
      <c r="G225" t="s">
        <v>4750</v>
      </c>
      <c r="H225" t="s">
        <v>3607</v>
      </c>
      <c r="I225">
        <v>327.5</v>
      </c>
      <c r="J225">
        <v>0.69695679931900401</v>
      </c>
      <c r="K225">
        <v>2.34</v>
      </c>
      <c r="L225" t="s">
        <v>4740</v>
      </c>
      <c r="N225">
        <v>326.8</v>
      </c>
      <c r="O225">
        <v>0.69546712066397098</v>
      </c>
      <c r="P225">
        <v>2.4590000000000001</v>
      </c>
      <c r="Q225" t="s">
        <v>4740</v>
      </c>
      <c r="S225">
        <v>329.5</v>
      </c>
      <c r="T225">
        <v>0.70121302404767005</v>
      </c>
      <c r="U225">
        <v>2.448</v>
      </c>
      <c r="V225" t="s">
        <v>4738</v>
      </c>
      <c r="X225">
        <v>342.3</v>
      </c>
      <c r="Y225">
        <v>0.72845286231113004</v>
      </c>
      <c r="Z225">
        <v>3.8290000000000002</v>
      </c>
      <c r="AA225" t="s">
        <v>4738</v>
      </c>
      <c r="AC225">
        <v>392.3</v>
      </c>
      <c r="AD225">
        <v>0.83485848052777201</v>
      </c>
      <c r="AE225">
        <v>20.9</v>
      </c>
      <c r="AF225" t="s">
        <v>4738</v>
      </c>
      <c r="AH225">
        <v>422.5</v>
      </c>
      <c r="AI225">
        <v>0.89912747393062398</v>
      </c>
      <c r="AJ225">
        <v>69.23</v>
      </c>
      <c r="AK225" t="s">
        <v>4738</v>
      </c>
      <c r="AM225">
        <v>392.2</v>
      </c>
      <c r="AN225">
        <v>0.83464566929133899</v>
      </c>
      <c r="AO225">
        <v>20.52</v>
      </c>
      <c r="AP225" t="s">
        <v>4738</v>
      </c>
      <c r="AR225" t="e">
        <v>#N/A</v>
      </c>
      <c r="AS225" t="e">
        <v>#N/A</v>
      </c>
      <c r="AT225" t="e">
        <v>#N/A</v>
      </c>
      <c r="AU225" t="e">
        <v>#N/A</v>
      </c>
    </row>
    <row r="226" spans="1:47">
      <c r="A226" t="s">
        <v>3609</v>
      </c>
      <c r="B226" t="s">
        <v>3610</v>
      </c>
      <c r="C226" t="s">
        <v>17</v>
      </c>
      <c r="D226" t="s">
        <v>3612</v>
      </c>
      <c r="E226" t="s">
        <v>3613</v>
      </c>
      <c r="F226" t="s">
        <v>3614</v>
      </c>
      <c r="G226" t="s">
        <v>4750</v>
      </c>
      <c r="H226" t="s">
        <v>3615</v>
      </c>
      <c r="I226">
        <v>394.9</v>
      </c>
      <c r="J226">
        <v>0.84039157267503695</v>
      </c>
      <c r="K226">
        <v>23.49</v>
      </c>
      <c r="L226" t="s">
        <v>4738</v>
      </c>
      <c r="N226">
        <v>389.3</v>
      </c>
      <c r="O226">
        <v>0.82847414343477299</v>
      </c>
      <c r="P226">
        <v>20.88</v>
      </c>
      <c r="Q226" t="s">
        <v>4738</v>
      </c>
      <c r="S226">
        <v>368.9</v>
      </c>
      <c r="T226">
        <v>0.785060651202383</v>
      </c>
      <c r="U226">
        <v>9.7319999999999993</v>
      </c>
      <c r="V226" t="s">
        <v>4738</v>
      </c>
      <c r="X226">
        <v>386.5</v>
      </c>
      <c r="Y226">
        <v>0.82251542881464101</v>
      </c>
      <c r="Z226">
        <v>15.33</v>
      </c>
      <c r="AA226" t="s">
        <v>4738</v>
      </c>
      <c r="AC226">
        <v>389.1</v>
      </c>
      <c r="AD226">
        <v>0.82804852096190695</v>
      </c>
      <c r="AE226">
        <v>20.56</v>
      </c>
      <c r="AF226" t="s">
        <v>4738</v>
      </c>
      <c r="AH226">
        <v>425</v>
      </c>
      <c r="AI226">
        <v>0.90444775484145601</v>
      </c>
      <c r="AJ226">
        <v>87.41</v>
      </c>
      <c r="AK226" t="s">
        <v>4738</v>
      </c>
      <c r="AM226">
        <v>400.2</v>
      </c>
      <c r="AN226">
        <v>0.85167056820600096</v>
      </c>
      <c r="AO226">
        <v>28.81</v>
      </c>
      <c r="AP226" t="s">
        <v>4738</v>
      </c>
      <c r="AR226" t="e">
        <v>#N/A</v>
      </c>
      <c r="AS226" t="e">
        <v>#N/A</v>
      </c>
      <c r="AT226" t="e">
        <v>#N/A</v>
      </c>
      <c r="AU226" t="e">
        <v>#N/A</v>
      </c>
    </row>
    <row r="227" spans="1:47">
      <c r="A227" t="s">
        <v>3617</v>
      </c>
      <c r="B227" t="s">
        <v>3618</v>
      </c>
      <c r="C227" t="s">
        <v>17</v>
      </c>
      <c r="D227" t="s">
        <v>3620</v>
      </c>
      <c r="E227" t="s">
        <v>3621</v>
      </c>
      <c r="F227" t="s">
        <v>3622</v>
      </c>
      <c r="G227" t="s">
        <v>4750</v>
      </c>
      <c r="H227" t="s">
        <v>1630</v>
      </c>
      <c r="I227">
        <v>395.6</v>
      </c>
      <c r="J227">
        <v>0.84188125133006997</v>
      </c>
      <c r="K227">
        <v>19.91</v>
      </c>
      <c r="L227" t="s">
        <v>4738</v>
      </c>
      <c r="N227">
        <v>324.7</v>
      </c>
      <c r="O227">
        <v>0.69099808469887203</v>
      </c>
      <c r="P227">
        <v>2.109</v>
      </c>
      <c r="Q227" t="s">
        <v>4740</v>
      </c>
      <c r="S227">
        <v>326.60000000000002</v>
      </c>
      <c r="T227">
        <v>0.69504149819110495</v>
      </c>
      <c r="U227">
        <v>2.3380000000000001</v>
      </c>
      <c r="V227" t="s">
        <v>4740</v>
      </c>
      <c r="X227">
        <v>321.5</v>
      </c>
      <c r="Y227">
        <v>0.68418812513300697</v>
      </c>
      <c r="Z227">
        <v>1.81</v>
      </c>
      <c r="AA227" t="s">
        <v>4740</v>
      </c>
      <c r="AC227">
        <v>404.9</v>
      </c>
      <c r="AD227">
        <v>0.86167269631836596</v>
      </c>
      <c r="AE227">
        <v>36.71</v>
      </c>
      <c r="AF227" t="s">
        <v>4738</v>
      </c>
      <c r="AH227">
        <v>413.1</v>
      </c>
      <c r="AI227">
        <v>0.87912321770589497</v>
      </c>
      <c r="AJ227">
        <v>58.85</v>
      </c>
      <c r="AK227" t="s">
        <v>4738</v>
      </c>
      <c r="AM227">
        <v>411.3</v>
      </c>
      <c r="AN227">
        <v>0.87529261545009596</v>
      </c>
      <c r="AO227">
        <v>45.32</v>
      </c>
      <c r="AP227" t="s">
        <v>4738</v>
      </c>
      <c r="AR227" t="e">
        <v>#N/A</v>
      </c>
      <c r="AS227" t="e">
        <v>#N/A</v>
      </c>
      <c r="AT227" t="e">
        <v>#N/A</v>
      </c>
      <c r="AU227" t="e">
        <v>#N/A</v>
      </c>
    </row>
    <row r="228" spans="1:47">
      <c r="A228" t="s">
        <v>3624</v>
      </c>
      <c r="B228" t="s">
        <v>3625</v>
      </c>
      <c r="C228" t="s">
        <v>17</v>
      </c>
      <c r="D228" t="s">
        <v>3627</v>
      </c>
      <c r="E228" t="s">
        <v>3628</v>
      </c>
      <c r="F228" t="s">
        <v>3629</v>
      </c>
      <c r="G228" t="s">
        <v>4750</v>
      </c>
      <c r="H228" t="s">
        <v>1652</v>
      </c>
      <c r="I228">
        <v>397</v>
      </c>
      <c r="J228">
        <v>0.84486060864013601</v>
      </c>
      <c r="K228">
        <v>23.04</v>
      </c>
      <c r="L228" t="s">
        <v>4738</v>
      </c>
      <c r="N228">
        <v>393.4</v>
      </c>
      <c r="O228">
        <v>0.83719940412853799</v>
      </c>
      <c r="P228">
        <v>20.97</v>
      </c>
      <c r="Q228" t="s">
        <v>4738</v>
      </c>
      <c r="S228">
        <v>388.3</v>
      </c>
      <c r="T228">
        <v>0.82634603107044102</v>
      </c>
      <c r="U228">
        <v>15.9</v>
      </c>
      <c r="V228" t="s">
        <v>4738</v>
      </c>
      <c r="X228">
        <v>379.9</v>
      </c>
      <c r="Y228">
        <v>0.80846988721004498</v>
      </c>
      <c r="Z228">
        <v>14.56</v>
      </c>
      <c r="AA228" t="s">
        <v>4738</v>
      </c>
      <c r="AC228">
        <v>411</v>
      </c>
      <c r="AD228">
        <v>0.87465418174079601</v>
      </c>
      <c r="AE228">
        <v>49.34</v>
      </c>
      <c r="AF228" t="s">
        <v>4738</v>
      </c>
      <c r="AH228">
        <v>417.5</v>
      </c>
      <c r="AI228">
        <v>0.88848691210895903</v>
      </c>
      <c r="AJ228">
        <v>63.33</v>
      </c>
      <c r="AK228" t="s">
        <v>4738</v>
      </c>
      <c r="AM228">
        <v>385.4</v>
      </c>
      <c r="AN228">
        <v>0.82017450521387503</v>
      </c>
      <c r="AO228">
        <v>17.11</v>
      </c>
      <c r="AP228" t="s">
        <v>4738</v>
      </c>
      <c r="AR228" t="e">
        <v>#N/A</v>
      </c>
      <c r="AS228" t="e">
        <v>#N/A</v>
      </c>
      <c r="AT228" t="e">
        <v>#N/A</v>
      </c>
      <c r="AU228" t="e">
        <v>#N/A</v>
      </c>
    </row>
    <row r="229" spans="1:47">
      <c r="A229" t="s">
        <v>3631</v>
      </c>
      <c r="B229" t="s">
        <v>3632</v>
      </c>
      <c r="C229" t="s">
        <v>17</v>
      </c>
      <c r="D229" t="s">
        <v>1626</v>
      </c>
      <c r="E229" t="s">
        <v>1627</v>
      </c>
      <c r="F229" t="s">
        <v>1628</v>
      </c>
      <c r="G229" t="s">
        <v>4754</v>
      </c>
      <c r="H229" t="s">
        <v>1630</v>
      </c>
      <c r="I229">
        <v>395.6</v>
      </c>
      <c r="J229">
        <v>0.84188125133006997</v>
      </c>
      <c r="K229">
        <v>19.91</v>
      </c>
      <c r="L229" t="s">
        <v>4738</v>
      </c>
      <c r="N229">
        <v>324.7</v>
      </c>
      <c r="O229">
        <v>0.69099808469887203</v>
      </c>
      <c r="P229">
        <v>2.109</v>
      </c>
      <c r="Q229" t="s">
        <v>4740</v>
      </c>
      <c r="S229">
        <v>326.60000000000002</v>
      </c>
      <c r="T229">
        <v>0.69504149819110495</v>
      </c>
      <c r="U229">
        <v>2.3380000000000001</v>
      </c>
      <c r="V229" t="s">
        <v>4740</v>
      </c>
      <c r="X229">
        <v>321.5</v>
      </c>
      <c r="Y229">
        <v>0.68418812513300697</v>
      </c>
      <c r="Z229">
        <v>1.81</v>
      </c>
      <c r="AA229" t="s">
        <v>4740</v>
      </c>
      <c r="AC229">
        <v>404.9</v>
      </c>
      <c r="AD229">
        <v>0.86167269631836596</v>
      </c>
      <c r="AE229">
        <v>36.71</v>
      </c>
      <c r="AF229" t="s">
        <v>4738</v>
      </c>
      <c r="AH229">
        <v>413.1</v>
      </c>
      <c r="AI229">
        <v>0.87912321770589497</v>
      </c>
      <c r="AJ229">
        <v>58.85</v>
      </c>
      <c r="AK229" t="s">
        <v>4738</v>
      </c>
      <c r="AM229">
        <v>411.3</v>
      </c>
      <c r="AN229">
        <v>0.87529261545009596</v>
      </c>
      <c r="AO229">
        <v>45.32</v>
      </c>
      <c r="AP229" t="s">
        <v>4738</v>
      </c>
      <c r="AR229" t="e">
        <v>#N/A</v>
      </c>
      <c r="AS229" t="e">
        <v>#N/A</v>
      </c>
      <c r="AT229" t="e">
        <v>#N/A</v>
      </c>
      <c r="AU229" t="e">
        <v>#N/A</v>
      </c>
    </row>
    <row r="230" spans="1:47">
      <c r="A230" t="s">
        <v>3634</v>
      </c>
      <c r="B230" t="s">
        <v>3635</v>
      </c>
      <c r="C230" t="s">
        <v>17</v>
      </c>
      <c r="D230" t="s">
        <v>1635</v>
      </c>
      <c r="E230" t="s">
        <v>1636</v>
      </c>
      <c r="F230" t="s">
        <v>1637</v>
      </c>
      <c r="G230" t="s">
        <v>4755</v>
      </c>
      <c r="H230" t="s">
        <v>1630</v>
      </c>
      <c r="I230">
        <v>395.6</v>
      </c>
      <c r="J230">
        <v>0.84188125133006997</v>
      </c>
      <c r="K230">
        <v>19.91</v>
      </c>
      <c r="L230" t="s">
        <v>4738</v>
      </c>
      <c r="N230">
        <v>324.7</v>
      </c>
      <c r="O230">
        <v>0.69099808469887203</v>
      </c>
      <c r="P230">
        <v>2.109</v>
      </c>
      <c r="Q230" t="s">
        <v>4740</v>
      </c>
      <c r="S230">
        <v>326.60000000000002</v>
      </c>
      <c r="T230">
        <v>0.69504149819110495</v>
      </c>
      <c r="U230">
        <v>2.3380000000000001</v>
      </c>
      <c r="V230" t="s">
        <v>4740</v>
      </c>
      <c r="X230">
        <v>321.5</v>
      </c>
      <c r="Y230">
        <v>0.68418812513300697</v>
      </c>
      <c r="Z230">
        <v>1.81</v>
      </c>
      <c r="AA230" t="s">
        <v>4740</v>
      </c>
      <c r="AC230">
        <v>404.9</v>
      </c>
      <c r="AD230">
        <v>0.86167269631836596</v>
      </c>
      <c r="AE230">
        <v>36.71</v>
      </c>
      <c r="AF230" t="s">
        <v>4738</v>
      </c>
      <c r="AH230">
        <v>413.1</v>
      </c>
      <c r="AI230">
        <v>0.87912321770589497</v>
      </c>
      <c r="AJ230">
        <v>58.85</v>
      </c>
      <c r="AK230" t="s">
        <v>4738</v>
      </c>
      <c r="AM230">
        <v>411.3</v>
      </c>
      <c r="AN230">
        <v>0.87529261545009596</v>
      </c>
      <c r="AO230">
        <v>45.32</v>
      </c>
      <c r="AP230" t="s">
        <v>4738</v>
      </c>
      <c r="AR230" t="e">
        <v>#N/A</v>
      </c>
      <c r="AS230" t="e">
        <v>#N/A</v>
      </c>
      <c r="AT230" t="e">
        <v>#N/A</v>
      </c>
      <c r="AU230" t="e">
        <v>#N/A</v>
      </c>
    </row>
    <row r="231" spans="1:47">
      <c r="A231" t="s">
        <v>3637</v>
      </c>
      <c r="B231" t="s">
        <v>3638</v>
      </c>
      <c r="C231" t="s">
        <v>17</v>
      </c>
      <c r="D231" t="s">
        <v>1642</v>
      </c>
      <c r="E231" t="s">
        <v>1643</v>
      </c>
      <c r="F231" t="s">
        <v>1644</v>
      </c>
      <c r="G231" t="s">
        <v>4751</v>
      </c>
      <c r="H231" t="s">
        <v>1630</v>
      </c>
      <c r="I231">
        <v>395.6</v>
      </c>
      <c r="J231">
        <v>0.84188125133006997</v>
      </c>
      <c r="K231">
        <v>19.91</v>
      </c>
      <c r="L231" t="s">
        <v>4738</v>
      </c>
      <c r="N231">
        <v>324.7</v>
      </c>
      <c r="O231">
        <v>0.69099808469887203</v>
      </c>
      <c r="P231">
        <v>2.109</v>
      </c>
      <c r="Q231" t="s">
        <v>4740</v>
      </c>
      <c r="S231">
        <v>326.60000000000002</v>
      </c>
      <c r="T231">
        <v>0.69504149819110495</v>
      </c>
      <c r="U231">
        <v>2.3380000000000001</v>
      </c>
      <c r="V231" t="s">
        <v>4740</v>
      </c>
      <c r="X231">
        <v>321.5</v>
      </c>
      <c r="Y231">
        <v>0.68418812513300697</v>
      </c>
      <c r="Z231">
        <v>1.81</v>
      </c>
      <c r="AA231" t="s">
        <v>4740</v>
      </c>
      <c r="AC231">
        <v>404.9</v>
      </c>
      <c r="AD231">
        <v>0.86167269631836596</v>
      </c>
      <c r="AE231">
        <v>36.71</v>
      </c>
      <c r="AF231" t="s">
        <v>4738</v>
      </c>
      <c r="AH231">
        <v>413.1</v>
      </c>
      <c r="AI231">
        <v>0.87912321770589497</v>
      </c>
      <c r="AJ231">
        <v>58.85</v>
      </c>
      <c r="AK231" t="s">
        <v>4738</v>
      </c>
      <c r="AM231">
        <v>411.3</v>
      </c>
      <c r="AN231">
        <v>0.87529261545009596</v>
      </c>
      <c r="AO231">
        <v>45.32</v>
      </c>
      <c r="AP231" t="s">
        <v>4738</v>
      </c>
      <c r="AR231" t="e">
        <v>#N/A</v>
      </c>
      <c r="AS231" t="e">
        <v>#N/A</v>
      </c>
      <c r="AT231" t="e">
        <v>#N/A</v>
      </c>
      <c r="AU231" t="e">
        <v>#N/A</v>
      </c>
    </row>
    <row r="232" spans="1:47">
      <c r="A232" t="s">
        <v>3640</v>
      </c>
      <c r="B232" t="s">
        <v>3641</v>
      </c>
      <c r="C232" t="s">
        <v>17</v>
      </c>
      <c r="D232" t="s">
        <v>1649</v>
      </c>
      <c r="E232" t="s">
        <v>1650</v>
      </c>
      <c r="F232" t="s">
        <v>1651</v>
      </c>
      <c r="G232" t="s">
        <v>4754</v>
      </c>
      <c r="H232" t="s">
        <v>1652</v>
      </c>
      <c r="I232">
        <v>397</v>
      </c>
      <c r="J232">
        <v>0.84486060864013601</v>
      </c>
      <c r="K232">
        <v>23.04</v>
      </c>
      <c r="L232" t="s">
        <v>4738</v>
      </c>
      <c r="N232">
        <v>393.4</v>
      </c>
      <c r="O232">
        <v>0.83719940412853799</v>
      </c>
      <c r="P232">
        <v>20.97</v>
      </c>
      <c r="Q232" t="s">
        <v>4738</v>
      </c>
      <c r="S232">
        <v>388.3</v>
      </c>
      <c r="T232">
        <v>0.82634603107044102</v>
      </c>
      <c r="U232">
        <v>15.9</v>
      </c>
      <c r="V232" t="s">
        <v>4738</v>
      </c>
      <c r="X232">
        <v>379.9</v>
      </c>
      <c r="Y232">
        <v>0.80846988721004498</v>
      </c>
      <c r="Z232">
        <v>14.56</v>
      </c>
      <c r="AA232" t="s">
        <v>4738</v>
      </c>
      <c r="AC232">
        <v>411</v>
      </c>
      <c r="AD232">
        <v>0.87465418174079601</v>
      </c>
      <c r="AE232">
        <v>49.34</v>
      </c>
      <c r="AF232" t="s">
        <v>4738</v>
      </c>
      <c r="AH232">
        <v>417.5</v>
      </c>
      <c r="AI232">
        <v>0.88848691210895903</v>
      </c>
      <c r="AJ232">
        <v>63.33</v>
      </c>
      <c r="AK232" t="s">
        <v>4738</v>
      </c>
      <c r="AM232">
        <v>385.4</v>
      </c>
      <c r="AN232">
        <v>0.82017450521387503</v>
      </c>
      <c r="AO232">
        <v>17.11</v>
      </c>
      <c r="AP232" t="s">
        <v>4738</v>
      </c>
      <c r="AR232" t="e">
        <v>#N/A</v>
      </c>
      <c r="AS232" t="e">
        <v>#N/A</v>
      </c>
      <c r="AT232" t="e">
        <v>#N/A</v>
      </c>
      <c r="AU232" t="e">
        <v>#N/A</v>
      </c>
    </row>
    <row r="233" spans="1:47">
      <c r="A233" t="s">
        <v>3643</v>
      </c>
      <c r="B233" t="s">
        <v>3644</v>
      </c>
      <c r="C233" t="s">
        <v>17</v>
      </c>
      <c r="D233" t="s">
        <v>1657</v>
      </c>
      <c r="E233" t="s">
        <v>1658</v>
      </c>
      <c r="F233" t="s">
        <v>1659</v>
      </c>
      <c r="G233" t="s">
        <v>4755</v>
      </c>
      <c r="H233" t="s">
        <v>1652</v>
      </c>
      <c r="I233">
        <v>397</v>
      </c>
      <c r="J233">
        <v>0.84486060864013601</v>
      </c>
      <c r="K233">
        <v>23.04</v>
      </c>
      <c r="L233" t="s">
        <v>4738</v>
      </c>
      <c r="N233">
        <v>393.4</v>
      </c>
      <c r="O233">
        <v>0.83719940412853799</v>
      </c>
      <c r="P233">
        <v>20.97</v>
      </c>
      <c r="Q233" t="s">
        <v>4738</v>
      </c>
      <c r="S233">
        <v>388.3</v>
      </c>
      <c r="T233">
        <v>0.82634603107044102</v>
      </c>
      <c r="U233">
        <v>15.9</v>
      </c>
      <c r="V233" t="s">
        <v>4738</v>
      </c>
      <c r="X233">
        <v>379.9</v>
      </c>
      <c r="Y233">
        <v>0.80846988721004498</v>
      </c>
      <c r="Z233">
        <v>14.56</v>
      </c>
      <c r="AA233" t="s">
        <v>4738</v>
      </c>
      <c r="AC233">
        <v>411</v>
      </c>
      <c r="AD233">
        <v>0.87465418174079601</v>
      </c>
      <c r="AE233">
        <v>49.34</v>
      </c>
      <c r="AF233" t="s">
        <v>4738</v>
      </c>
      <c r="AH233">
        <v>417.5</v>
      </c>
      <c r="AI233">
        <v>0.88848691210895903</v>
      </c>
      <c r="AJ233">
        <v>63.33</v>
      </c>
      <c r="AK233" t="s">
        <v>4738</v>
      </c>
      <c r="AM233">
        <v>385.4</v>
      </c>
      <c r="AN233">
        <v>0.82017450521387503</v>
      </c>
      <c r="AO233">
        <v>17.11</v>
      </c>
      <c r="AP233" t="s">
        <v>4738</v>
      </c>
      <c r="AR233" t="e">
        <v>#N/A</v>
      </c>
      <c r="AS233" t="e">
        <v>#N/A</v>
      </c>
      <c r="AT233" t="e">
        <v>#N/A</v>
      </c>
      <c r="AU233" t="e">
        <v>#N/A</v>
      </c>
    </row>
    <row r="234" spans="1:47">
      <c r="A234" t="s">
        <v>3646</v>
      </c>
      <c r="B234" t="s">
        <v>3647</v>
      </c>
      <c r="C234" t="s">
        <v>17</v>
      </c>
      <c r="D234" t="s">
        <v>1664</v>
      </c>
      <c r="E234" t="s">
        <v>1665</v>
      </c>
      <c r="F234" t="s">
        <v>1666</v>
      </c>
      <c r="G234" t="s">
        <v>4751</v>
      </c>
      <c r="H234" t="s">
        <v>1652</v>
      </c>
      <c r="I234">
        <v>397</v>
      </c>
      <c r="J234">
        <v>0.84486060864013601</v>
      </c>
      <c r="K234">
        <v>23.04</v>
      </c>
      <c r="L234" t="s">
        <v>4738</v>
      </c>
      <c r="N234">
        <v>393.4</v>
      </c>
      <c r="O234">
        <v>0.83719940412853799</v>
      </c>
      <c r="P234">
        <v>20.97</v>
      </c>
      <c r="Q234" t="s">
        <v>4738</v>
      </c>
      <c r="S234">
        <v>388.3</v>
      </c>
      <c r="T234">
        <v>0.82634603107044102</v>
      </c>
      <c r="U234">
        <v>15.9</v>
      </c>
      <c r="V234" t="s">
        <v>4738</v>
      </c>
      <c r="X234">
        <v>379.9</v>
      </c>
      <c r="Y234">
        <v>0.80846988721004498</v>
      </c>
      <c r="Z234">
        <v>14.56</v>
      </c>
      <c r="AA234" t="s">
        <v>4738</v>
      </c>
      <c r="AC234">
        <v>411</v>
      </c>
      <c r="AD234">
        <v>0.87465418174079601</v>
      </c>
      <c r="AE234">
        <v>49.34</v>
      </c>
      <c r="AF234" t="s">
        <v>4738</v>
      </c>
      <c r="AH234">
        <v>417.5</v>
      </c>
      <c r="AI234">
        <v>0.88848691210895903</v>
      </c>
      <c r="AJ234">
        <v>63.33</v>
      </c>
      <c r="AK234" t="s">
        <v>4738</v>
      </c>
      <c r="AM234">
        <v>385.4</v>
      </c>
      <c r="AN234">
        <v>0.82017450521387503</v>
      </c>
      <c r="AO234">
        <v>17.11</v>
      </c>
      <c r="AP234" t="s">
        <v>4738</v>
      </c>
      <c r="AR234" t="e">
        <v>#N/A</v>
      </c>
      <c r="AS234" t="e">
        <v>#N/A</v>
      </c>
      <c r="AT234" t="e">
        <v>#N/A</v>
      </c>
      <c r="AU234" t="e">
        <v>#N/A</v>
      </c>
    </row>
    <row r="235" spans="1:47">
      <c r="A235" t="s">
        <v>3649</v>
      </c>
      <c r="B235" t="s">
        <v>3650</v>
      </c>
      <c r="C235" t="s">
        <v>17</v>
      </c>
      <c r="D235" t="s">
        <v>3652</v>
      </c>
      <c r="E235" t="s">
        <v>3653</v>
      </c>
      <c r="F235" t="s">
        <v>3654</v>
      </c>
      <c r="G235" t="s">
        <v>4750</v>
      </c>
      <c r="H235" t="s">
        <v>3655</v>
      </c>
      <c r="I235">
        <v>324.10000000000002</v>
      </c>
      <c r="J235">
        <v>0.68972121728027203</v>
      </c>
      <c r="K235">
        <v>2.2109999999999999</v>
      </c>
      <c r="L235" t="s">
        <v>4740</v>
      </c>
      <c r="N235">
        <v>330.3</v>
      </c>
      <c r="O235">
        <v>0.70291551393913598</v>
      </c>
      <c r="P235">
        <v>2.59</v>
      </c>
      <c r="Q235" t="s">
        <v>4738</v>
      </c>
      <c r="S235">
        <v>337.5</v>
      </c>
      <c r="T235">
        <v>0.71823792296233202</v>
      </c>
      <c r="U235">
        <v>3.2290000000000001</v>
      </c>
      <c r="V235" t="s">
        <v>4738</v>
      </c>
      <c r="X235">
        <v>324.10000000000002</v>
      </c>
      <c r="Y235">
        <v>0.68972121728027203</v>
      </c>
      <c r="Z235">
        <v>2.17</v>
      </c>
      <c r="AA235" t="s">
        <v>4740</v>
      </c>
      <c r="AC235">
        <v>407.9</v>
      </c>
      <c r="AD235">
        <v>0.86805703341136398</v>
      </c>
      <c r="AE235">
        <v>37.89</v>
      </c>
      <c r="AF235" t="s">
        <v>4738</v>
      </c>
      <c r="AH235">
        <v>418.4</v>
      </c>
      <c r="AI235">
        <v>0.89040221323685897</v>
      </c>
      <c r="AJ235">
        <v>57.49</v>
      </c>
      <c r="AK235" t="s">
        <v>4738</v>
      </c>
      <c r="AM235">
        <v>373.7</v>
      </c>
      <c r="AN235">
        <v>0.79527559055118102</v>
      </c>
      <c r="AO235">
        <v>11.09</v>
      </c>
      <c r="AP235" t="s">
        <v>4738</v>
      </c>
      <c r="AR235" t="e">
        <v>#N/A</v>
      </c>
      <c r="AS235" t="e">
        <v>#N/A</v>
      </c>
      <c r="AT235" t="e">
        <v>#N/A</v>
      </c>
      <c r="AU235" t="e">
        <v>#N/A</v>
      </c>
    </row>
    <row r="236" spans="1:47">
      <c r="A236" t="s">
        <v>3657</v>
      </c>
      <c r="B236" t="s">
        <v>3658</v>
      </c>
      <c r="C236" t="s">
        <v>17</v>
      </c>
      <c r="D236" t="s">
        <v>3660</v>
      </c>
      <c r="E236" t="s">
        <v>3661</v>
      </c>
      <c r="F236" t="s">
        <v>3662</v>
      </c>
      <c r="G236" t="s">
        <v>4750</v>
      </c>
      <c r="H236" t="s">
        <v>3663</v>
      </c>
      <c r="I236">
        <v>336.7</v>
      </c>
      <c r="J236">
        <v>0.71653543307086598</v>
      </c>
      <c r="K236">
        <v>3.569</v>
      </c>
      <c r="L236" t="s">
        <v>4738</v>
      </c>
      <c r="N236">
        <v>325.3</v>
      </c>
      <c r="O236">
        <v>0.69227495211747203</v>
      </c>
      <c r="P236">
        <v>2.2200000000000002</v>
      </c>
      <c r="Q236" t="s">
        <v>4740</v>
      </c>
      <c r="S236">
        <v>312.60000000000002</v>
      </c>
      <c r="T236">
        <v>0.66524792509044495</v>
      </c>
      <c r="U236">
        <v>1.341</v>
      </c>
      <c r="V236" t="s">
        <v>4740</v>
      </c>
      <c r="X236">
        <v>387</v>
      </c>
      <c r="Y236">
        <v>0.823579484996808</v>
      </c>
      <c r="Z236">
        <v>16.329999999999998</v>
      </c>
      <c r="AA236" t="s">
        <v>4738</v>
      </c>
      <c r="AC236">
        <v>396.1</v>
      </c>
      <c r="AD236">
        <v>0.84294530751223695</v>
      </c>
      <c r="AE236">
        <v>22.54</v>
      </c>
      <c r="AF236" t="s">
        <v>4738</v>
      </c>
      <c r="AH236">
        <v>396.5</v>
      </c>
      <c r="AI236">
        <v>0.84379655245797003</v>
      </c>
      <c r="AJ236">
        <v>22.48</v>
      </c>
      <c r="AK236" t="s">
        <v>4738</v>
      </c>
      <c r="AM236">
        <v>401</v>
      </c>
      <c r="AN236">
        <v>0.853373058097468</v>
      </c>
      <c r="AO236">
        <v>28.55</v>
      </c>
      <c r="AP236" t="s">
        <v>4738</v>
      </c>
      <c r="AR236" t="e">
        <v>#N/A</v>
      </c>
      <c r="AS236" t="e">
        <v>#N/A</v>
      </c>
      <c r="AT236" t="e">
        <v>#N/A</v>
      </c>
      <c r="AU236" t="e">
        <v>#N/A</v>
      </c>
    </row>
    <row r="237" spans="1:47">
      <c r="A237" t="s">
        <v>3665</v>
      </c>
      <c r="B237" t="s">
        <v>3666</v>
      </c>
      <c r="C237" t="s">
        <v>17</v>
      </c>
      <c r="D237" t="s">
        <v>3668</v>
      </c>
      <c r="E237" t="s">
        <v>3669</v>
      </c>
      <c r="F237" t="s">
        <v>3670</v>
      </c>
      <c r="G237" t="s">
        <v>4750</v>
      </c>
      <c r="H237" t="s">
        <v>1682</v>
      </c>
      <c r="I237">
        <v>398.5</v>
      </c>
      <c r="J237">
        <v>0.84805277718663596</v>
      </c>
      <c r="K237">
        <v>24.52</v>
      </c>
      <c r="L237" t="s">
        <v>4738</v>
      </c>
      <c r="N237">
        <v>361.9</v>
      </c>
      <c r="O237">
        <v>0.770163864652054</v>
      </c>
      <c r="P237">
        <v>7.8929999999999998</v>
      </c>
      <c r="Q237" t="s">
        <v>4738</v>
      </c>
      <c r="S237">
        <v>397.2</v>
      </c>
      <c r="T237">
        <v>0.84528623111300305</v>
      </c>
      <c r="U237">
        <v>26.74</v>
      </c>
      <c r="V237" t="s">
        <v>4738</v>
      </c>
      <c r="X237">
        <v>397.4</v>
      </c>
      <c r="Y237">
        <v>0.84571185358586898</v>
      </c>
      <c r="Z237">
        <v>25.13</v>
      </c>
      <c r="AA237" t="s">
        <v>4738</v>
      </c>
      <c r="AC237">
        <v>383.7</v>
      </c>
      <c r="AD237">
        <v>0.81655671419450904</v>
      </c>
      <c r="AE237">
        <v>15.65</v>
      </c>
      <c r="AF237" t="s">
        <v>4738</v>
      </c>
      <c r="AH237">
        <v>405.1</v>
      </c>
      <c r="AI237">
        <v>0.862098318791232</v>
      </c>
      <c r="AJ237">
        <v>37.85</v>
      </c>
      <c r="AK237" t="s">
        <v>4738</v>
      </c>
      <c r="AM237">
        <v>390.2</v>
      </c>
      <c r="AN237">
        <v>0.83038944456267305</v>
      </c>
      <c r="AO237">
        <v>17.93</v>
      </c>
      <c r="AP237" t="s">
        <v>4738</v>
      </c>
      <c r="AR237" t="e">
        <v>#N/A</v>
      </c>
      <c r="AS237" t="e">
        <v>#N/A</v>
      </c>
      <c r="AT237" t="e">
        <v>#N/A</v>
      </c>
      <c r="AU237" t="e">
        <v>#N/A</v>
      </c>
    </row>
    <row r="238" spans="1:47">
      <c r="A238" t="s">
        <v>3672</v>
      </c>
      <c r="B238" t="s">
        <v>3673</v>
      </c>
      <c r="C238" t="s">
        <v>17</v>
      </c>
      <c r="D238" t="s">
        <v>1678</v>
      </c>
      <c r="E238" t="s">
        <v>1679</v>
      </c>
      <c r="F238" t="s">
        <v>1680</v>
      </c>
      <c r="G238" t="s">
        <v>4754</v>
      </c>
      <c r="H238" t="s">
        <v>1682</v>
      </c>
      <c r="I238">
        <v>398.5</v>
      </c>
      <c r="J238">
        <v>0.84805277718663596</v>
      </c>
      <c r="K238">
        <v>24.52</v>
      </c>
      <c r="L238" t="s">
        <v>4738</v>
      </c>
      <c r="N238">
        <v>361.9</v>
      </c>
      <c r="O238">
        <v>0.770163864652054</v>
      </c>
      <c r="P238">
        <v>7.8929999999999998</v>
      </c>
      <c r="Q238" t="s">
        <v>4738</v>
      </c>
      <c r="S238">
        <v>397.2</v>
      </c>
      <c r="T238">
        <v>0.84528623111300305</v>
      </c>
      <c r="U238">
        <v>26.74</v>
      </c>
      <c r="V238" t="s">
        <v>4738</v>
      </c>
      <c r="X238">
        <v>397.4</v>
      </c>
      <c r="Y238">
        <v>0.84571185358586898</v>
      </c>
      <c r="Z238">
        <v>25.13</v>
      </c>
      <c r="AA238" t="s">
        <v>4738</v>
      </c>
      <c r="AC238">
        <v>383.7</v>
      </c>
      <c r="AD238">
        <v>0.81655671419450904</v>
      </c>
      <c r="AE238">
        <v>15.65</v>
      </c>
      <c r="AF238" t="s">
        <v>4738</v>
      </c>
      <c r="AH238">
        <v>405.1</v>
      </c>
      <c r="AI238">
        <v>0.862098318791232</v>
      </c>
      <c r="AJ238">
        <v>37.85</v>
      </c>
      <c r="AK238" t="s">
        <v>4738</v>
      </c>
      <c r="AM238">
        <v>390.2</v>
      </c>
      <c r="AN238">
        <v>0.83038944456267305</v>
      </c>
      <c r="AO238">
        <v>17.93</v>
      </c>
      <c r="AP238" t="s">
        <v>4738</v>
      </c>
      <c r="AR238" t="e">
        <v>#N/A</v>
      </c>
      <c r="AS238" t="e">
        <v>#N/A</v>
      </c>
      <c r="AT238" t="e">
        <v>#N/A</v>
      </c>
      <c r="AU238" t="e">
        <v>#N/A</v>
      </c>
    </row>
    <row r="239" spans="1:47">
      <c r="A239" t="s">
        <v>3675</v>
      </c>
      <c r="B239" t="s">
        <v>3676</v>
      </c>
      <c r="C239" t="s">
        <v>17</v>
      </c>
      <c r="D239" t="s">
        <v>1687</v>
      </c>
      <c r="E239" t="s">
        <v>1688</v>
      </c>
      <c r="F239" t="s">
        <v>1689</v>
      </c>
      <c r="G239" t="s">
        <v>4755</v>
      </c>
      <c r="H239" t="s">
        <v>1682</v>
      </c>
      <c r="I239">
        <v>398.5</v>
      </c>
      <c r="J239">
        <v>0.84805277718663596</v>
      </c>
      <c r="K239">
        <v>24.52</v>
      </c>
      <c r="L239" t="s">
        <v>4738</v>
      </c>
      <c r="N239">
        <v>361.9</v>
      </c>
      <c r="O239">
        <v>0.770163864652054</v>
      </c>
      <c r="P239">
        <v>7.8929999999999998</v>
      </c>
      <c r="Q239" t="s">
        <v>4738</v>
      </c>
      <c r="S239">
        <v>397.2</v>
      </c>
      <c r="T239">
        <v>0.84528623111300305</v>
      </c>
      <c r="U239">
        <v>26.74</v>
      </c>
      <c r="V239" t="s">
        <v>4738</v>
      </c>
      <c r="X239">
        <v>397.4</v>
      </c>
      <c r="Y239">
        <v>0.84571185358586898</v>
      </c>
      <c r="Z239">
        <v>25.13</v>
      </c>
      <c r="AA239" t="s">
        <v>4738</v>
      </c>
      <c r="AC239">
        <v>383.7</v>
      </c>
      <c r="AD239">
        <v>0.81655671419450904</v>
      </c>
      <c r="AE239">
        <v>15.65</v>
      </c>
      <c r="AF239" t="s">
        <v>4738</v>
      </c>
      <c r="AH239">
        <v>405.1</v>
      </c>
      <c r="AI239">
        <v>0.862098318791232</v>
      </c>
      <c r="AJ239">
        <v>37.85</v>
      </c>
      <c r="AK239" t="s">
        <v>4738</v>
      </c>
      <c r="AM239">
        <v>390.2</v>
      </c>
      <c r="AN239">
        <v>0.83038944456267305</v>
      </c>
      <c r="AO239">
        <v>17.93</v>
      </c>
      <c r="AP239" t="s">
        <v>4738</v>
      </c>
      <c r="AR239" t="e">
        <v>#N/A</v>
      </c>
      <c r="AS239" t="e">
        <v>#N/A</v>
      </c>
      <c r="AT239" t="e">
        <v>#N/A</v>
      </c>
      <c r="AU239" t="e">
        <v>#N/A</v>
      </c>
    </row>
    <row r="240" spans="1:47">
      <c r="A240" t="s">
        <v>3678</v>
      </c>
      <c r="B240" t="s">
        <v>3679</v>
      </c>
      <c r="C240" t="s">
        <v>17</v>
      </c>
      <c r="D240" t="s">
        <v>1694</v>
      </c>
      <c r="E240" t="s">
        <v>1695</v>
      </c>
      <c r="F240" t="s">
        <v>1696</v>
      </c>
      <c r="G240" t="s">
        <v>4751</v>
      </c>
      <c r="H240" t="s">
        <v>1682</v>
      </c>
      <c r="I240">
        <v>398.5</v>
      </c>
      <c r="J240">
        <v>0.84805277718663596</v>
      </c>
      <c r="K240">
        <v>24.52</v>
      </c>
      <c r="L240" t="s">
        <v>4738</v>
      </c>
      <c r="N240">
        <v>361.9</v>
      </c>
      <c r="O240">
        <v>0.770163864652054</v>
      </c>
      <c r="P240">
        <v>7.8929999999999998</v>
      </c>
      <c r="Q240" t="s">
        <v>4738</v>
      </c>
      <c r="S240">
        <v>397.2</v>
      </c>
      <c r="T240">
        <v>0.84528623111300305</v>
      </c>
      <c r="U240">
        <v>26.74</v>
      </c>
      <c r="V240" t="s">
        <v>4738</v>
      </c>
      <c r="X240">
        <v>397.4</v>
      </c>
      <c r="Y240">
        <v>0.84571185358586898</v>
      </c>
      <c r="Z240">
        <v>25.13</v>
      </c>
      <c r="AA240" t="s">
        <v>4738</v>
      </c>
      <c r="AC240">
        <v>383.7</v>
      </c>
      <c r="AD240">
        <v>0.81655671419450904</v>
      </c>
      <c r="AE240">
        <v>15.65</v>
      </c>
      <c r="AF240" t="s">
        <v>4738</v>
      </c>
      <c r="AH240">
        <v>405.1</v>
      </c>
      <c r="AI240">
        <v>0.862098318791232</v>
      </c>
      <c r="AJ240">
        <v>37.85</v>
      </c>
      <c r="AK240" t="s">
        <v>4738</v>
      </c>
      <c r="AM240">
        <v>390.2</v>
      </c>
      <c r="AN240">
        <v>0.83038944456267305</v>
      </c>
      <c r="AO240">
        <v>17.93</v>
      </c>
      <c r="AP240" t="s">
        <v>4738</v>
      </c>
      <c r="AR240" t="e">
        <v>#N/A</v>
      </c>
      <c r="AS240" t="e">
        <v>#N/A</v>
      </c>
      <c r="AT240" t="e">
        <v>#N/A</v>
      </c>
      <c r="AU240" t="e">
        <v>#N/A</v>
      </c>
    </row>
    <row r="241" spans="1:47">
      <c r="A241" t="s">
        <v>3681</v>
      </c>
      <c r="B241" t="s">
        <v>3682</v>
      </c>
      <c r="C241" t="s">
        <v>17</v>
      </c>
      <c r="D241" t="s">
        <v>3684</v>
      </c>
      <c r="E241" t="s">
        <v>3685</v>
      </c>
      <c r="F241" t="s">
        <v>3686</v>
      </c>
      <c r="G241" t="s">
        <v>4750</v>
      </c>
      <c r="H241" t="s">
        <v>3688</v>
      </c>
      <c r="I241">
        <v>320</v>
      </c>
      <c r="J241">
        <v>0.68099595658650802</v>
      </c>
      <c r="K241">
        <v>1.978</v>
      </c>
      <c r="L241" t="s">
        <v>4740</v>
      </c>
      <c r="N241">
        <v>326.10000000000002</v>
      </c>
      <c r="O241">
        <v>0.69397744200893796</v>
      </c>
      <c r="P241">
        <v>2.258</v>
      </c>
      <c r="Q241" t="s">
        <v>4740</v>
      </c>
      <c r="S241">
        <v>318.5</v>
      </c>
      <c r="T241">
        <v>0.67780378804000896</v>
      </c>
      <c r="U241">
        <v>1.98</v>
      </c>
      <c r="V241" t="s">
        <v>4740</v>
      </c>
      <c r="X241">
        <v>329.1</v>
      </c>
      <c r="Y241">
        <v>0.70036177910193698</v>
      </c>
      <c r="Z241">
        <v>2.4580000000000002</v>
      </c>
      <c r="AA241" t="s">
        <v>4738</v>
      </c>
      <c r="AC241">
        <v>313.3</v>
      </c>
      <c r="AD241">
        <v>0.66673760374547797</v>
      </c>
      <c r="AE241">
        <v>1.2490000000000001</v>
      </c>
      <c r="AF241" t="s">
        <v>4740</v>
      </c>
      <c r="AH241">
        <v>412.2</v>
      </c>
      <c r="AI241">
        <v>0.87720791657799502</v>
      </c>
      <c r="AJ241">
        <v>45.6</v>
      </c>
      <c r="AK241" t="s">
        <v>4738</v>
      </c>
      <c r="AM241">
        <v>416.7</v>
      </c>
      <c r="AN241">
        <v>0.88678442221749298</v>
      </c>
      <c r="AO241">
        <v>65.23</v>
      </c>
      <c r="AP241" t="s">
        <v>4738</v>
      </c>
      <c r="AR241" t="e">
        <v>#N/A</v>
      </c>
      <c r="AS241" t="e">
        <v>#N/A</v>
      </c>
      <c r="AT241" t="e">
        <v>#N/A</v>
      </c>
      <c r="AU241" t="e">
        <v>#N/A</v>
      </c>
    </row>
    <row r="242" spans="1:47">
      <c r="A242" t="s">
        <v>3690</v>
      </c>
      <c r="B242" t="s">
        <v>3691</v>
      </c>
      <c r="C242" t="s">
        <v>17</v>
      </c>
      <c r="D242" t="s">
        <v>3693</v>
      </c>
      <c r="E242" t="s">
        <v>3694</v>
      </c>
      <c r="F242" t="s">
        <v>3695</v>
      </c>
      <c r="G242" t="s">
        <v>4750</v>
      </c>
      <c r="H242" t="s">
        <v>3696</v>
      </c>
      <c r="I242">
        <v>312</v>
      </c>
      <c r="J242">
        <v>0.66397105767184506</v>
      </c>
      <c r="K242">
        <v>0.95269999999999999</v>
      </c>
      <c r="L242" t="s">
        <v>4740</v>
      </c>
      <c r="N242">
        <v>320.7</v>
      </c>
      <c r="O242">
        <v>0.68248563524154104</v>
      </c>
      <c r="P242">
        <v>1.9079999999999999</v>
      </c>
      <c r="Q242" t="s">
        <v>4740</v>
      </c>
      <c r="S242">
        <v>331.2</v>
      </c>
      <c r="T242">
        <v>0.70483081506703604</v>
      </c>
      <c r="U242">
        <v>2.87</v>
      </c>
      <c r="V242" t="s">
        <v>4738</v>
      </c>
      <c r="X242">
        <v>316.2</v>
      </c>
      <c r="Y242">
        <v>0.67290912960204297</v>
      </c>
      <c r="Z242">
        <v>1.5589999999999999</v>
      </c>
      <c r="AA242" t="s">
        <v>4740</v>
      </c>
      <c r="AC242">
        <v>315</v>
      </c>
      <c r="AD242">
        <v>0.67035539476484396</v>
      </c>
      <c r="AE242">
        <v>1.5529999999999999</v>
      </c>
      <c r="AF242" t="s">
        <v>4740</v>
      </c>
      <c r="AH242">
        <v>394.3</v>
      </c>
      <c r="AI242">
        <v>0.83911470525643805</v>
      </c>
      <c r="AJ242">
        <v>22.35</v>
      </c>
      <c r="AK242" t="s">
        <v>4738</v>
      </c>
      <c r="AM242">
        <v>412.8</v>
      </c>
      <c r="AN242">
        <v>0.87848478399659502</v>
      </c>
      <c r="AO242">
        <v>49.42</v>
      </c>
      <c r="AP242" t="s">
        <v>4738</v>
      </c>
      <c r="AR242" t="e">
        <v>#N/A</v>
      </c>
      <c r="AS242" t="e">
        <v>#N/A</v>
      </c>
      <c r="AT242" t="e">
        <v>#N/A</v>
      </c>
      <c r="AU242" t="e">
        <v>#N/A</v>
      </c>
    </row>
    <row r="243" spans="1:47">
      <c r="A243" t="s">
        <v>3698</v>
      </c>
      <c r="B243" t="s">
        <v>3699</v>
      </c>
      <c r="C243" t="s">
        <v>17</v>
      </c>
      <c r="D243" t="s">
        <v>3701</v>
      </c>
      <c r="E243" t="s">
        <v>3702</v>
      </c>
      <c r="F243" t="s">
        <v>3703</v>
      </c>
      <c r="G243" t="s">
        <v>4750</v>
      </c>
      <c r="H243" t="s">
        <v>3704</v>
      </c>
      <c r="I243">
        <v>322.10000000000002</v>
      </c>
      <c r="J243">
        <v>0.68546499255160698</v>
      </c>
      <c r="K243">
        <v>1.83</v>
      </c>
      <c r="L243" t="s">
        <v>4740</v>
      </c>
      <c r="N243">
        <v>344.5</v>
      </c>
      <c r="O243">
        <v>0.73313470951266202</v>
      </c>
      <c r="P243">
        <v>4.5609999999999999</v>
      </c>
      <c r="Q243" t="s">
        <v>4738</v>
      </c>
      <c r="S243">
        <v>360.1</v>
      </c>
      <c r="T243">
        <v>0.76633326239625499</v>
      </c>
      <c r="U243">
        <v>6.8220000000000001</v>
      </c>
      <c r="V243" t="s">
        <v>4738</v>
      </c>
      <c r="X243">
        <v>326.89999999999998</v>
      </c>
      <c r="Y243">
        <v>0.695679931900404</v>
      </c>
      <c r="Z243">
        <v>2.2120000000000002</v>
      </c>
      <c r="AA243" t="s">
        <v>4738</v>
      </c>
      <c r="AC243">
        <v>324.8</v>
      </c>
      <c r="AD243">
        <v>0.69121089593530505</v>
      </c>
      <c r="AE243">
        <v>2.2450000000000001</v>
      </c>
      <c r="AF243" t="s">
        <v>4738</v>
      </c>
      <c r="AH243">
        <v>403.9</v>
      </c>
      <c r="AI243">
        <v>0.85954458395403299</v>
      </c>
      <c r="AJ243">
        <v>31.56</v>
      </c>
      <c r="AK243" t="s">
        <v>4738</v>
      </c>
      <c r="AM243">
        <v>411.4</v>
      </c>
      <c r="AN243">
        <v>0.87550542668652898</v>
      </c>
      <c r="AO243">
        <v>41.32</v>
      </c>
      <c r="AP243" t="s">
        <v>4738</v>
      </c>
      <c r="AR243" t="e">
        <v>#N/A</v>
      </c>
      <c r="AS243" t="e">
        <v>#N/A</v>
      </c>
      <c r="AT243" t="e">
        <v>#N/A</v>
      </c>
      <c r="AU243" t="e">
        <v>#N/A</v>
      </c>
    </row>
    <row r="244" spans="1:47">
      <c r="A244" t="s">
        <v>3706</v>
      </c>
      <c r="B244" t="s">
        <v>3707</v>
      </c>
      <c r="C244" t="s">
        <v>17</v>
      </c>
      <c r="D244" t="s">
        <v>3709</v>
      </c>
      <c r="E244" t="s">
        <v>3710</v>
      </c>
      <c r="F244" t="s">
        <v>3711</v>
      </c>
      <c r="G244" t="s">
        <v>4750</v>
      </c>
      <c r="H244" t="s">
        <v>3713</v>
      </c>
      <c r="I244">
        <v>338.3</v>
      </c>
      <c r="J244">
        <v>0.71994041285379895</v>
      </c>
      <c r="K244">
        <v>3.4020000000000001</v>
      </c>
      <c r="L244" t="s">
        <v>4738</v>
      </c>
      <c r="N244">
        <v>353.6</v>
      </c>
      <c r="O244">
        <v>0.75250053202809097</v>
      </c>
      <c r="P244">
        <v>5.5609999999999999</v>
      </c>
      <c r="Q244" t="s">
        <v>4738</v>
      </c>
      <c r="S244">
        <v>320.5</v>
      </c>
      <c r="T244">
        <v>0.68206001276867401</v>
      </c>
      <c r="U244">
        <v>1.75</v>
      </c>
      <c r="V244" t="s">
        <v>4740</v>
      </c>
      <c r="X244">
        <v>391.9</v>
      </c>
      <c r="Y244">
        <v>0.83400723558203904</v>
      </c>
      <c r="Z244">
        <v>18.12</v>
      </c>
      <c r="AA244" t="s">
        <v>4738</v>
      </c>
      <c r="AC244">
        <v>400.7</v>
      </c>
      <c r="AD244">
        <v>0.85273462438816805</v>
      </c>
      <c r="AE244">
        <v>29.54</v>
      </c>
      <c r="AF244" t="s">
        <v>4738</v>
      </c>
      <c r="AH244">
        <v>344.4</v>
      </c>
      <c r="AI244">
        <v>0.732921898276229</v>
      </c>
      <c r="AJ244">
        <v>4.5529999999999999</v>
      </c>
      <c r="AK244" t="s">
        <v>4738</v>
      </c>
      <c r="AM244">
        <v>389.2</v>
      </c>
      <c r="AN244">
        <v>0.82826133219833997</v>
      </c>
      <c r="AO244">
        <v>19.559999999999999</v>
      </c>
      <c r="AP244" t="s">
        <v>4738</v>
      </c>
      <c r="AR244" t="e">
        <v>#N/A</v>
      </c>
      <c r="AS244" t="e">
        <v>#N/A</v>
      </c>
      <c r="AT244" t="e">
        <v>#N/A</v>
      </c>
      <c r="AU244" t="e">
        <v>#N/A</v>
      </c>
    </row>
    <row r="245" spans="1:47">
      <c r="A245" t="s">
        <v>3715</v>
      </c>
      <c r="B245" t="s">
        <v>3716</v>
      </c>
      <c r="C245" t="s">
        <v>17</v>
      </c>
      <c r="D245" t="s">
        <v>3718</v>
      </c>
      <c r="E245" t="s">
        <v>3719</v>
      </c>
      <c r="F245" t="s">
        <v>3720</v>
      </c>
      <c r="G245" t="s">
        <v>4750</v>
      </c>
      <c r="H245" t="s">
        <v>3721</v>
      </c>
      <c r="I245">
        <v>348.1</v>
      </c>
      <c r="J245">
        <v>0.74079591402426104</v>
      </c>
      <c r="K245">
        <v>4.8739999999999997</v>
      </c>
      <c r="L245" t="s">
        <v>4738</v>
      </c>
      <c r="N245">
        <v>366.6</v>
      </c>
      <c r="O245">
        <v>0.780165992764418</v>
      </c>
      <c r="P245">
        <v>8.4429999999999996</v>
      </c>
      <c r="Q245" t="s">
        <v>4738</v>
      </c>
      <c r="S245">
        <v>372.2</v>
      </c>
      <c r="T245">
        <v>0.79208342200468196</v>
      </c>
      <c r="U245">
        <v>10.57</v>
      </c>
      <c r="V245" t="s">
        <v>4738</v>
      </c>
      <c r="X245">
        <v>387.5</v>
      </c>
      <c r="Y245">
        <v>0.82464354117897398</v>
      </c>
      <c r="Z245">
        <v>19.21</v>
      </c>
      <c r="AA245" t="s">
        <v>4738</v>
      </c>
      <c r="AC245">
        <v>403.1</v>
      </c>
      <c r="AD245">
        <v>0.85784209406256695</v>
      </c>
      <c r="AE245">
        <v>31.4</v>
      </c>
      <c r="AF245" t="s">
        <v>4738</v>
      </c>
      <c r="AH245">
        <v>390.7</v>
      </c>
      <c r="AI245">
        <v>0.83145350074483904</v>
      </c>
      <c r="AJ245">
        <v>18.53</v>
      </c>
      <c r="AK245" t="s">
        <v>4738</v>
      </c>
      <c r="AM245">
        <v>402.8</v>
      </c>
      <c r="AN245">
        <v>0.85720366035326701</v>
      </c>
      <c r="AO245">
        <v>26.65</v>
      </c>
      <c r="AP245" t="s">
        <v>4738</v>
      </c>
      <c r="AR245" t="e">
        <v>#N/A</v>
      </c>
      <c r="AS245" t="e">
        <v>#N/A</v>
      </c>
      <c r="AT245" t="e">
        <v>#N/A</v>
      </c>
      <c r="AU245" t="e">
        <v>#N/A</v>
      </c>
    </row>
    <row r="246" spans="1:47">
      <c r="A246" t="s">
        <v>3723</v>
      </c>
      <c r="B246" t="s">
        <v>3724</v>
      </c>
      <c r="C246" t="s">
        <v>17</v>
      </c>
      <c r="D246" t="s">
        <v>3726</v>
      </c>
      <c r="E246" t="s">
        <v>3727</v>
      </c>
      <c r="F246" t="s">
        <v>3728</v>
      </c>
      <c r="G246" t="s">
        <v>4750</v>
      </c>
      <c r="H246" t="s">
        <v>3729</v>
      </c>
      <c r="I246">
        <v>333</v>
      </c>
      <c r="J246">
        <v>0.70866141732283505</v>
      </c>
      <c r="K246">
        <v>2.85</v>
      </c>
      <c r="L246" t="s">
        <v>4738</v>
      </c>
      <c r="N246">
        <v>354.2</v>
      </c>
      <c r="O246">
        <v>0.75377739944669098</v>
      </c>
      <c r="P246">
        <v>6.3150000000000004</v>
      </c>
      <c r="Q246" t="s">
        <v>4738</v>
      </c>
      <c r="S246">
        <v>335.5</v>
      </c>
      <c r="T246">
        <v>0.71398169823366697</v>
      </c>
      <c r="U246">
        <v>3.33</v>
      </c>
      <c r="V246" t="s">
        <v>4738</v>
      </c>
      <c r="X246">
        <v>381.4</v>
      </c>
      <c r="Y246">
        <v>0.81166205575654404</v>
      </c>
      <c r="Z246">
        <v>13.47</v>
      </c>
      <c r="AA246" t="s">
        <v>4738</v>
      </c>
      <c r="AC246">
        <v>389.1</v>
      </c>
      <c r="AD246">
        <v>0.82804852096190695</v>
      </c>
      <c r="AE246">
        <v>17.72</v>
      </c>
      <c r="AF246" t="s">
        <v>4738</v>
      </c>
      <c r="AH246">
        <v>396.4</v>
      </c>
      <c r="AI246">
        <v>0.84358374122153601</v>
      </c>
      <c r="AJ246">
        <v>22.79</v>
      </c>
      <c r="AK246" t="s">
        <v>4738</v>
      </c>
      <c r="AM246">
        <v>408</v>
      </c>
      <c r="AN246">
        <v>0.868269844647797</v>
      </c>
      <c r="AO246">
        <v>33.71</v>
      </c>
      <c r="AP246" t="s">
        <v>4738</v>
      </c>
      <c r="AR246" t="e">
        <v>#N/A</v>
      </c>
      <c r="AS246" t="e">
        <v>#N/A</v>
      </c>
      <c r="AT246" t="e">
        <v>#N/A</v>
      </c>
      <c r="AU246" t="e">
        <v>#N/A</v>
      </c>
    </row>
    <row r="247" spans="1:47">
      <c r="A247" t="s">
        <v>3731</v>
      </c>
      <c r="B247" t="s">
        <v>3732</v>
      </c>
      <c r="C247" t="s">
        <v>17</v>
      </c>
      <c r="D247" t="s">
        <v>3734</v>
      </c>
      <c r="E247" t="s">
        <v>3735</v>
      </c>
      <c r="F247" t="s">
        <v>3736</v>
      </c>
      <c r="G247" t="s">
        <v>4750</v>
      </c>
      <c r="H247" t="s">
        <v>3738</v>
      </c>
      <c r="I247">
        <v>312.2</v>
      </c>
      <c r="J247">
        <v>0.66439668014471198</v>
      </c>
      <c r="K247">
        <v>1.1739999999999999</v>
      </c>
      <c r="L247" t="s">
        <v>4740</v>
      </c>
      <c r="N247">
        <v>348.1</v>
      </c>
      <c r="O247">
        <v>0.74079591402426104</v>
      </c>
      <c r="P247">
        <v>5.3319999999999999</v>
      </c>
      <c r="Q247" t="s">
        <v>4738</v>
      </c>
      <c r="S247">
        <v>354.8</v>
      </c>
      <c r="T247">
        <v>0.75505426686529098</v>
      </c>
      <c r="U247">
        <v>6.4240000000000004</v>
      </c>
      <c r="V247" t="s">
        <v>4738</v>
      </c>
      <c r="X247">
        <v>378.3</v>
      </c>
      <c r="Y247">
        <v>0.80506490742711201</v>
      </c>
      <c r="Z247">
        <v>13.11</v>
      </c>
      <c r="AA247" t="s">
        <v>4738</v>
      </c>
      <c r="AC247">
        <v>415</v>
      </c>
      <c r="AD247">
        <v>0.88316663119812699</v>
      </c>
      <c r="AE247">
        <v>47.84</v>
      </c>
      <c r="AF247" t="s">
        <v>4738</v>
      </c>
      <c r="AH247">
        <v>406.7</v>
      </c>
      <c r="AI247">
        <v>0.86550329857416497</v>
      </c>
      <c r="AJ247">
        <v>33.54</v>
      </c>
      <c r="AK247" t="s">
        <v>4738</v>
      </c>
      <c r="AM247">
        <v>381.5</v>
      </c>
      <c r="AN247">
        <v>0.81187486699297695</v>
      </c>
      <c r="AO247">
        <v>16.5</v>
      </c>
      <c r="AP247" t="s">
        <v>4738</v>
      </c>
      <c r="AR247" t="e">
        <v>#N/A</v>
      </c>
      <c r="AS247" t="e">
        <v>#N/A</v>
      </c>
      <c r="AT247" t="e">
        <v>#N/A</v>
      </c>
      <c r="AU247" t="e">
        <v>#N/A</v>
      </c>
    </row>
    <row r="248" spans="1:47">
      <c r="A248" t="s">
        <v>3740</v>
      </c>
      <c r="B248" t="s">
        <v>3741</v>
      </c>
      <c r="C248" t="s">
        <v>17</v>
      </c>
      <c r="D248" t="s">
        <v>3743</v>
      </c>
      <c r="E248" t="s">
        <v>3744</v>
      </c>
      <c r="F248" t="s">
        <v>3745</v>
      </c>
      <c r="G248" t="s">
        <v>4750</v>
      </c>
      <c r="H248" t="s">
        <v>3746</v>
      </c>
      <c r="I248">
        <v>309.39999999999998</v>
      </c>
      <c r="J248">
        <v>0.65843796552458</v>
      </c>
      <c r="K248">
        <v>1.0720000000000001</v>
      </c>
      <c r="L248" t="s">
        <v>4740</v>
      </c>
      <c r="N248">
        <v>329.8</v>
      </c>
      <c r="O248">
        <v>0.70185145775697</v>
      </c>
      <c r="P248">
        <v>2.66</v>
      </c>
      <c r="Q248" t="s">
        <v>4738</v>
      </c>
      <c r="S248">
        <v>316.5</v>
      </c>
      <c r="T248">
        <v>0.67354756331134302</v>
      </c>
      <c r="U248">
        <v>1.629</v>
      </c>
      <c r="V248" t="s">
        <v>4740</v>
      </c>
      <c r="X248">
        <v>326.10000000000002</v>
      </c>
      <c r="Y248">
        <v>0.69397744200893796</v>
      </c>
      <c r="Z248">
        <v>2.2799999999999998</v>
      </c>
      <c r="AA248" t="s">
        <v>4740</v>
      </c>
      <c r="AC248">
        <v>397.7</v>
      </c>
      <c r="AD248">
        <v>0.84635028729516903</v>
      </c>
      <c r="AE248">
        <v>25.31</v>
      </c>
      <c r="AF248" t="s">
        <v>4738</v>
      </c>
      <c r="AH248">
        <v>405.9</v>
      </c>
      <c r="AI248">
        <v>0.86380080868269804</v>
      </c>
      <c r="AJ248">
        <v>31.11</v>
      </c>
      <c r="AK248" t="s">
        <v>4738</v>
      </c>
      <c r="AM248">
        <v>361.7</v>
      </c>
      <c r="AN248">
        <v>0.76973824217918696</v>
      </c>
      <c r="AO248">
        <v>7.8449999999999998</v>
      </c>
      <c r="AP248" t="s">
        <v>4738</v>
      </c>
      <c r="AR248" t="e">
        <v>#N/A</v>
      </c>
      <c r="AS248" t="e">
        <v>#N/A</v>
      </c>
      <c r="AT248" t="e">
        <v>#N/A</v>
      </c>
      <c r="AU248" t="e">
        <v>#N/A</v>
      </c>
    </row>
    <row r="249" spans="1:47">
      <c r="A249" t="s">
        <v>3748</v>
      </c>
      <c r="B249" t="s">
        <v>3749</v>
      </c>
      <c r="C249" t="s">
        <v>17</v>
      </c>
      <c r="D249" t="s">
        <v>3751</v>
      </c>
      <c r="E249" t="s">
        <v>3752</v>
      </c>
      <c r="F249" t="s">
        <v>3753</v>
      </c>
      <c r="G249" t="s">
        <v>4750</v>
      </c>
      <c r="H249" t="s">
        <v>3754</v>
      </c>
      <c r="I249">
        <v>314.10000000000002</v>
      </c>
      <c r="J249">
        <v>0.66844009363694401</v>
      </c>
      <c r="K249">
        <v>1.1819999999999999</v>
      </c>
      <c r="L249" t="s">
        <v>4740</v>
      </c>
      <c r="N249">
        <v>338.2</v>
      </c>
      <c r="O249">
        <v>0.71972760161736504</v>
      </c>
      <c r="P249">
        <v>3.57</v>
      </c>
      <c r="Q249" t="s">
        <v>4738</v>
      </c>
      <c r="S249">
        <v>308.7</v>
      </c>
      <c r="T249">
        <v>0.65694828686954698</v>
      </c>
      <c r="U249">
        <v>1.1100000000000001</v>
      </c>
      <c r="V249" t="s">
        <v>4740</v>
      </c>
      <c r="X249">
        <v>344.7</v>
      </c>
      <c r="Y249">
        <v>0.73356033198552895</v>
      </c>
      <c r="Z249">
        <v>4.5419999999999998</v>
      </c>
      <c r="AA249" t="s">
        <v>4738</v>
      </c>
      <c r="AC249">
        <v>399.8</v>
      </c>
      <c r="AD249">
        <v>0.85081932326026799</v>
      </c>
      <c r="AE249">
        <v>28.96</v>
      </c>
      <c r="AF249" t="s">
        <v>4738</v>
      </c>
      <c r="AH249">
        <v>387.7</v>
      </c>
      <c r="AI249">
        <v>0.82506916365184102</v>
      </c>
      <c r="AJ249">
        <v>15.58</v>
      </c>
      <c r="AK249" t="s">
        <v>4738</v>
      </c>
      <c r="AM249">
        <v>408.4</v>
      </c>
      <c r="AN249">
        <v>0.86912108959353096</v>
      </c>
      <c r="AO249">
        <v>38.42</v>
      </c>
      <c r="AP249" t="s">
        <v>4738</v>
      </c>
      <c r="AR249" t="e">
        <v>#N/A</v>
      </c>
      <c r="AS249" t="e">
        <v>#N/A</v>
      </c>
      <c r="AT249" t="e">
        <v>#N/A</v>
      </c>
      <c r="AU249" t="e">
        <v>#N/A</v>
      </c>
    </row>
    <row r="250" spans="1:47">
      <c r="A250" t="s">
        <v>3756</v>
      </c>
      <c r="B250" t="s">
        <v>3757</v>
      </c>
      <c r="C250" t="s">
        <v>17</v>
      </c>
      <c r="D250" t="s">
        <v>3759</v>
      </c>
      <c r="E250" t="s">
        <v>3760</v>
      </c>
      <c r="F250" t="s">
        <v>3761</v>
      </c>
      <c r="G250" t="s">
        <v>4750</v>
      </c>
      <c r="H250" t="s">
        <v>1712</v>
      </c>
      <c r="I250">
        <v>379.3</v>
      </c>
      <c r="J250">
        <v>0.80719301979144498</v>
      </c>
      <c r="K250">
        <v>13.15</v>
      </c>
      <c r="L250" t="s">
        <v>4738</v>
      </c>
      <c r="N250">
        <v>400.4</v>
      </c>
      <c r="O250">
        <v>0.85209619067886799</v>
      </c>
      <c r="P250">
        <v>28.42</v>
      </c>
      <c r="Q250" t="s">
        <v>4738</v>
      </c>
      <c r="S250">
        <v>408.9</v>
      </c>
      <c r="T250">
        <v>0.87018514577569706</v>
      </c>
      <c r="U250">
        <v>33.5</v>
      </c>
      <c r="V250" t="s">
        <v>4738</v>
      </c>
      <c r="X250">
        <v>376.9</v>
      </c>
      <c r="Y250">
        <v>0.80208555011704596</v>
      </c>
      <c r="Z250">
        <v>12.58</v>
      </c>
      <c r="AA250" t="s">
        <v>4738</v>
      </c>
      <c r="AC250">
        <v>388.6</v>
      </c>
      <c r="AD250">
        <v>0.82698446477973997</v>
      </c>
      <c r="AE250">
        <v>18.55</v>
      </c>
      <c r="AF250" t="s">
        <v>4738</v>
      </c>
      <c r="AH250">
        <v>392.5</v>
      </c>
      <c r="AI250">
        <v>0.83528410300063805</v>
      </c>
      <c r="AJ250">
        <v>21.55</v>
      </c>
      <c r="AK250" t="s">
        <v>4738</v>
      </c>
      <c r="AM250">
        <v>399.2</v>
      </c>
      <c r="AN250">
        <v>0.84954245584166799</v>
      </c>
      <c r="AO250">
        <v>33.76</v>
      </c>
      <c r="AP250" t="s">
        <v>4738</v>
      </c>
      <c r="AR250" t="e">
        <v>#N/A</v>
      </c>
      <c r="AS250" t="e">
        <v>#N/A</v>
      </c>
      <c r="AT250" t="e">
        <v>#N/A</v>
      </c>
      <c r="AU250" t="e">
        <v>#N/A</v>
      </c>
    </row>
    <row r="251" spans="1:47">
      <c r="A251" t="s">
        <v>3763</v>
      </c>
      <c r="B251" t="s">
        <v>3764</v>
      </c>
      <c r="C251" t="s">
        <v>17</v>
      </c>
      <c r="D251" t="s">
        <v>3766</v>
      </c>
      <c r="E251" t="s">
        <v>3767</v>
      </c>
      <c r="F251" t="s">
        <v>3768</v>
      </c>
      <c r="G251" t="s">
        <v>4750</v>
      </c>
      <c r="H251" t="s">
        <v>3769</v>
      </c>
      <c r="I251">
        <v>400.1</v>
      </c>
      <c r="J251">
        <v>0.85145775696956805</v>
      </c>
      <c r="K251">
        <v>36.54</v>
      </c>
      <c r="L251" t="s">
        <v>4738</v>
      </c>
      <c r="N251">
        <v>326</v>
      </c>
      <c r="O251">
        <v>0.69376463077250505</v>
      </c>
      <c r="P251">
        <v>2.3290000000000002</v>
      </c>
      <c r="Q251" t="s">
        <v>4740</v>
      </c>
      <c r="S251">
        <v>317.39999999999998</v>
      </c>
      <c r="T251">
        <v>0.67546286443924197</v>
      </c>
      <c r="U251">
        <v>1.839</v>
      </c>
      <c r="V251" t="s">
        <v>4740</v>
      </c>
      <c r="X251">
        <v>358.3</v>
      </c>
      <c r="Y251">
        <v>0.76250266014045498</v>
      </c>
      <c r="Z251">
        <v>6.5090000000000003</v>
      </c>
      <c r="AA251" t="s">
        <v>4738</v>
      </c>
      <c r="AC251">
        <v>348.4</v>
      </c>
      <c r="AD251">
        <v>0.74143434773355998</v>
      </c>
      <c r="AE251">
        <v>4.57</v>
      </c>
      <c r="AF251" t="s">
        <v>4738</v>
      </c>
      <c r="AH251">
        <v>335.8</v>
      </c>
      <c r="AI251">
        <v>0.71462013194296703</v>
      </c>
      <c r="AJ251">
        <v>3.3319999999999999</v>
      </c>
      <c r="AK251" t="s">
        <v>4738</v>
      </c>
      <c r="AM251">
        <v>412.4</v>
      </c>
      <c r="AN251">
        <v>0.87763353905086205</v>
      </c>
      <c r="AO251">
        <v>40.11</v>
      </c>
      <c r="AP251" t="s">
        <v>4738</v>
      </c>
      <c r="AR251" t="e">
        <v>#N/A</v>
      </c>
      <c r="AS251" t="e">
        <v>#N/A</v>
      </c>
      <c r="AT251" t="e">
        <v>#N/A</v>
      </c>
      <c r="AU251" t="e">
        <v>#N/A</v>
      </c>
    </row>
    <row r="252" spans="1:47">
      <c r="A252" t="s">
        <v>3771</v>
      </c>
      <c r="B252" t="s">
        <v>3772</v>
      </c>
      <c r="C252" t="s">
        <v>17</v>
      </c>
      <c r="D252" t="s">
        <v>3774</v>
      </c>
      <c r="E252" t="s">
        <v>3775</v>
      </c>
      <c r="F252" t="s">
        <v>3776</v>
      </c>
      <c r="G252" t="s">
        <v>4750</v>
      </c>
      <c r="H252" t="s">
        <v>3777</v>
      </c>
      <c r="I252">
        <v>390</v>
      </c>
      <c r="J252">
        <v>0.82996382208980601</v>
      </c>
      <c r="K252">
        <v>17.14</v>
      </c>
      <c r="L252" t="s">
        <v>4738</v>
      </c>
      <c r="N252">
        <v>343</v>
      </c>
      <c r="O252">
        <v>0.72994254096616296</v>
      </c>
      <c r="P252">
        <v>4.25</v>
      </c>
      <c r="Q252" t="s">
        <v>4738</v>
      </c>
      <c r="S252">
        <v>372.3</v>
      </c>
      <c r="T252">
        <v>0.79229623324111498</v>
      </c>
      <c r="U252">
        <v>10.3</v>
      </c>
      <c r="V252" t="s">
        <v>4738</v>
      </c>
      <c r="X252">
        <v>359</v>
      </c>
      <c r="Y252">
        <v>0.763992338795488</v>
      </c>
      <c r="Z252">
        <v>6.7709999999999999</v>
      </c>
      <c r="AA252" t="s">
        <v>4738</v>
      </c>
      <c r="AC252">
        <v>414.5</v>
      </c>
      <c r="AD252">
        <v>0.88210257501596101</v>
      </c>
      <c r="AE252">
        <v>57.1</v>
      </c>
      <c r="AF252" t="s">
        <v>4738</v>
      </c>
      <c r="AH252">
        <v>390</v>
      </c>
      <c r="AI252">
        <v>0.82996382208980601</v>
      </c>
      <c r="AJ252">
        <v>19.41</v>
      </c>
      <c r="AK252" t="s">
        <v>4738</v>
      </c>
      <c r="AM252">
        <v>399.6</v>
      </c>
      <c r="AN252">
        <v>0.85039370078740195</v>
      </c>
      <c r="AO252">
        <v>26.66</v>
      </c>
      <c r="AP252" t="s">
        <v>4738</v>
      </c>
      <c r="AR252" t="e">
        <v>#N/A</v>
      </c>
      <c r="AS252" t="e">
        <v>#N/A</v>
      </c>
      <c r="AT252" t="e">
        <v>#N/A</v>
      </c>
      <c r="AU252" t="e">
        <v>#N/A</v>
      </c>
    </row>
    <row r="253" spans="1:47">
      <c r="A253" t="s">
        <v>3779</v>
      </c>
      <c r="B253" t="s">
        <v>3780</v>
      </c>
      <c r="C253" t="s">
        <v>17</v>
      </c>
      <c r="D253" t="s">
        <v>1708</v>
      </c>
      <c r="E253" t="s">
        <v>1709</v>
      </c>
      <c r="F253" t="s">
        <v>1710</v>
      </c>
      <c r="G253" t="s">
        <v>4754</v>
      </c>
      <c r="H253" t="s">
        <v>1712</v>
      </c>
      <c r="I253">
        <v>379.3</v>
      </c>
      <c r="J253">
        <v>0.80719301979144498</v>
      </c>
      <c r="K253">
        <v>13.15</v>
      </c>
      <c r="L253" t="s">
        <v>4738</v>
      </c>
      <c r="N253">
        <v>400.4</v>
      </c>
      <c r="O253">
        <v>0.85209619067886799</v>
      </c>
      <c r="P253">
        <v>28.42</v>
      </c>
      <c r="Q253" t="s">
        <v>4738</v>
      </c>
      <c r="S253">
        <v>408.9</v>
      </c>
      <c r="T253">
        <v>0.87018514577569706</v>
      </c>
      <c r="U253">
        <v>33.5</v>
      </c>
      <c r="V253" t="s">
        <v>4738</v>
      </c>
      <c r="X253">
        <v>376.9</v>
      </c>
      <c r="Y253">
        <v>0.80208555011704596</v>
      </c>
      <c r="Z253">
        <v>12.58</v>
      </c>
      <c r="AA253" t="s">
        <v>4738</v>
      </c>
      <c r="AC253">
        <v>388.6</v>
      </c>
      <c r="AD253">
        <v>0.82698446477973997</v>
      </c>
      <c r="AE253">
        <v>18.55</v>
      </c>
      <c r="AF253" t="s">
        <v>4738</v>
      </c>
      <c r="AH253">
        <v>392.5</v>
      </c>
      <c r="AI253">
        <v>0.83528410300063805</v>
      </c>
      <c r="AJ253">
        <v>21.55</v>
      </c>
      <c r="AK253" t="s">
        <v>4738</v>
      </c>
      <c r="AM253">
        <v>399.2</v>
      </c>
      <c r="AN253">
        <v>0.84954245584166799</v>
      </c>
      <c r="AO253">
        <v>33.76</v>
      </c>
      <c r="AP253" t="s">
        <v>4738</v>
      </c>
      <c r="AR253" t="e">
        <v>#N/A</v>
      </c>
      <c r="AS253" t="e">
        <v>#N/A</v>
      </c>
      <c r="AT253" t="e">
        <v>#N/A</v>
      </c>
      <c r="AU253" t="e">
        <v>#N/A</v>
      </c>
    </row>
    <row r="254" spans="1:47">
      <c r="A254" t="s">
        <v>3782</v>
      </c>
      <c r="B254" t="s">
        <v>3783</v>
      </c>
      <c r="C254" t="s">
        <v>17</v>
      </c>
      <c r="D254" t="s">
        <v>1717</v>
      </c>
      <c r="E254" t="s">
        <v>1718</v>
      </c>
      <c r="F254" t="s">
        <v>1719</v>
      </c>
      <c r="G254" t="s">
        <v>4755</v>
      </c>
      <c r="H254" t="s">
        <v>1712</v>
      </c>
      <c r="I254">
        <v>379.3</v>
      </c>
      <c r="J254">
        <v>0.80719301979144498</v>
      </c>
      <c r="K254">
        <v>13.15</v>
      </c>
      <c r="L254" t="s">
        <v>4738</v>
      </c>
      <c r="N254">
        <v>400.4</v>
      </c>
      <c r="O254">
        <v>0.85209619067886799</v>
      </c>
      <c r="P254">
        <v>28.42</v>
      </c>
      <c r="Q254" t="s">
        <v>4738</v>
      </c>
      <c r="S254">
        <v>408.9</v>
      </c>
      <c r="T254">
        <v>0.87018514577569706</v>
      </c>
      <c r="U254">
        <v>33.5</v>
      </c>
      <c r="V254" t="s">
        <v>4738</v>
      </c>
      <c r="X254">
        <v>376.9</v>
      </c>
      <c r="Y254">
        <v>0.80208555011704596</v>
      </c>
      <c r="Z254">
        <v>12.58</v>
      </c>
      <c r="AA254" t="s">
        <v>4738</v>
      </c>
      <c r="AC254">
        <v>388.6</v>
      </c>
      <c r="AD254">
        <v>0.82698446477973997</v>
      </c>
      <c r="AE254">
        <v>18.55</v>
      </c>
      <c r="AF254" t="s">
        <v>4738</v>
      </c>
      <c r="AH254">
        <v>392.5</v>
      </c>
      <c r="AI254">
        <v>0.83528410300063805</v>
      </c>
      <c r="AJ254">
        <v>21.55</v>
      </c>
      <c r="AK254" t="s">
        <v>4738</v>
      </c>
      <c r="AM254">
        <v>399.2</v>
      </c>
      <c r="AN254">
        <v>0.84954245584166799</v>
      </c>
      <c r="AO254">
        <v>33.76</v>
      </c>
      <c r="AP254" t="s">
        <v>4738</v>
      </c>
      <c r="AR254" t="e">
        <v>#N/A</v>
      </c>
      <c r="AS254" t="e">
        <v>#N/A</v>
      </c>
      <c r="AT254" t="e">
        <v>#N/A</v>
      </c>
      <c r="AU254" t="e">
        <v>#N/A</v>
      </c>
    </row>
    <row r="255" spans="1:47">
      <c r="A255" t="s">
        <v>3785</v>
      </c>
      <c r="B255" t="s">
        <v>3786</v>
      </c>
      <c r="C255" t="s">
        <v>17</v>
      </c>
      <c r="D255" t="s">
        <v>1724</v>
      </c>
      <c r="E255" t="s">
        <v>1725</v>
      </c>
      <c r="F255" t="s">
        <v>1726</v>
      </c>
      <c r="G255" t="s">
        <v>4751</v>
      </c>
      <c r="H255" t="s">
        <v>1712</v>
      </c>
      <c r="I255">
        <v>379.3</v>
      </c>
      <c r="J255">
        <v>0.80719301979144498</v>
      </c>
      <c r="K255">
        <v>13.15</v>
      </c>
      <c r="L255" t="s">
        <v>4738</v>
      </c>
      <c r="N255">
        <v>400.4</v>
      </c>
      <c r="O255">
        <v>0.85209619067886799</v>
      </c>
      <c r="P255">
        <v>28.42</v>
      </c>
      <c r="Q255" t="s">
        <v>4738</v>
      </c>
      <c r="S255">
        <v>408.9</v>
      </c>
      <c r="T255">
        <v>0.87018514577569706</v>
      </c>
      <c r="U255">
        <v>33.5</v>
      </c>
      <c r="V255" t="s">
        <v>4738</v>
      </c>
      <c r="X255">
        <v>376.9</v>
      </c>
      <c r="Y255">
        <v>0.80208555011704596</v>
      </c>
      <c r="Z255">
        <v>12.58</v>
      </c>
      <c r="AA255" t="s">
        <v>4738</v>
      </c>
      <c r="AC255">
        <v>388.6</v>
      </c>
      <c r="AD255">
        <v>0.82698446477973997</v>
      </c>
      <c r="AE255">
        <v>18.55</v>
      </c>
      <c r="AF255" t="s">
        <v>4738</v>
      </c>
      <c r="AH255">
        <v>392.5</v>
      </c>
      <c r="AI255">
        <v>0.83528410300063805</v>
      </c>
      <c r="AJ255">
        <v>21.55</v>
      </c>
      <c r="AK255" t="s">
        <v>4738</v>
      </c>
      <c r="AM255">
        <v>399.2</v>
      </c>
      <c r="AN255">
        <v>0.84954245584166799</v>
      </c>
      <c r="AO255">
        <v>33.76</v>
      </c>
      <c r="AP255" t="s">
        <v>4738</v>
      </c>
      <c r="AR255" t="e">
        <v>#N/A</v>
      </c>
      <c r="AS255" t="e">
        <v>#N/A</v>
      </c>
      <c r="AT255" t="e">
        <v>#N/A</v>
      </c>
      <c r="AU255" t="e">
        <v>#N/A</v>
      </c>
    </row>
    <row r="256" spans="1:47">
      <c r="A256" t="s">
        <v>3788</v>
      </c>
      <c r="B256" t="s">
        <v>3789</v>
      </c>
      <c r="C256" t="s">
        <v>17</v>
      </c>
      <c r="D256" t="s">
        <v>3791</v>
      </c>
      <c r="E256" t="s">
        <v>3792</v>
      </c>
      <c r="F256" t="s">
        <v>3793</v>
      </c>
      <c r="G256" t="s">
        <v>4750</v>
      </c>
      <c r="H256" t="s">
        <v>1742</v>
      </c>
      <c r="I256">
        <v>354</v>
      </c>
      <c r="J256">
        <v>0.75335177697382405</v>
      </c>
      <c r="K256">
        <v>5.6849999999999996</v>
      </c>
      <c r="L256" t="s">
        <v>4738</v>
      </c>
      <c r="N256">
        <v>404.5</v>
      </c>
      <c r="O256">
        <v>0.860821451372633</v>
      </c>
      <c r="P256">
        <v>34.31</v>
      </c>
      <c r="Q256" t="s">
        <v>4738</v>
      </c>
      <c r="S256">
        <v>336.7</v>
      </c>
      <c r="T256">
        <v>0.71653543307086598</v>
      </c>
      <c r="U256">
        <v>3.2090000000000001</v>
      </c>
      <c r="V256" t="s">
        <v>4738</v>
      </c>
      <c r="X256">
        <v>337</v>
      </c>
      <c r="Y256">
        <v>0.71717386678016604</v>
      </c>
      <c r="Z256">
        <v>3.581</v>
      </c>
      <c r="AA256" t="s">
        <v>4738</v>
      </c>
      <c r="AC256">
        <v>406.7</v>
      </c>
      <c r="AD256">
        <v>0.86550329857416497</v>
      </c>
      <c r="AE256">
        <v>35.590000000000003</v>
      </c>
      <c r="AF256" t="s">
        <v>4738</v>
      </c>
      <c r="AH256">
        <v>406</v>
      </c>
      <c r="AI256">
        <v>0.86401361991913195</v>
      </c>
      <c r="AJ256">
        <v>35.159999999999997</v>
      </c>
      <c r="AK256" t="s">
        <v>4738</v>
      </c>
      <c r="AM256">
        <v>395.1</v>
      </c>
      <c r="AN256">
        <v>0.84081719514790398</v>
      </c>
      <c r="AO256">
        <v>25.01</v>
      </c>
      <c r="AP256" t="s">
        <v>4738</v>
      </c>
      <c r="AR256" t="e">
        <v>#N/A</v>
      </c>
      <c r="AS256" t="e">
        <v>#N/A</v>
      </c>
      <c r="AT256" t="e">
        <v>#N/A</v>
      </c>
      <c r="AU256" t="e">
        <v>#N/A</v>
      </c>
    </row>
    <row r="257" spans="1:47">
      <c r="A257" t="s">
        <v>3795</v>
      </c>
      <c r="B257" t="s">
        <v>3796</v>
      </c>
      <c r="C257" t="s">
        <v>17</v>
      </c>
      <c r="D257" t="s">
        <v>3798</v>
      </c>
      <c r="E257" t="s">
        <v>3799</v>
      </c>
      <c r="F257" t="s">
        <v>3800</v>
      </c>
      <c r="G257" t="s">
        <v>4750</v>
      </c>
      <c r="H257" t="s">
        <v>1764</v>
      </c>
      <c r="I257">
        <v>338</v>
      </c>
      <c r="J257">
        <v>0.719301979144499</v>
      </c>
      <c r="K257">
        <v>3.6880000000000002</v>
      </c>
      <c r="L257" t="s">
        <v>4738</v>
      </c>
      <c r="N257">
        <v>400.8</v>
      </c>
      <c r="O257">
        <v>0.85294743562460096</v>
      </c>
      <c r="P257">
        <v>32.46</v>
      </c>
      <c r="Q257" t="s">
        <v>4738</v>
      </c>
      <c r="S257">
        <v>314.8</v>
      </c>
      <c r="T257">
        <v>0.66992977229197703</v>
      </c>
      <c r="U257">
        <v>1.69</v>
      </c>
      <c r="V257" t="s">
        <v>4740</v>
      </c>
      <c r="X257">
        <v>377.6</v>
      </c>
      <c r="Y257">
        <v>0.80357522877207899</v>
      </c>
      <c r="Z257">
        <v>12.17</v>
      </c>
      <c r="AA257" t="s">
        <v>4738</v>
      </c>
      <c r="AC257">
        <v>395.6</v>
      </c>
      <c r="AD257">
        <v>0.84188125133006997</v>
      </c>
      <c r="AE257">
        <v>25.05</v>
      </c>
      <c r="AF257" t="s">
        <v>4738</v>
      </c>
      <c r="AH257">
        <v>420.5</v>
      </c>
      <c r="AI257">
        <v>0.89487124920195804</v>
      </c>
      <c r="AJ257">
        <v>63.93</v>
      </c>
      <c r="AK257" t="s">
        <v>4738</v>
      </c>
      <c r="AM257">
        <v>400.6</v>
      </c>
      <c r="AN257">
        <v>0.85252181315173403</v>
      </c>
      <c r="AO257">
        <v>27.04</v>
      </c>
      <c r="AP257" t="s">
        <v>4738</v>
      </c>
      <c r="AR257" t="e">
        <v>#N/A</v>
      </c>
      <c r="AS257" t="e">
        <v>#N/A</v>
      </c>
      <c r="AT257" t="e">
        <v>#N/A</v>
      </c>
      <c r="AU257" t="e">
        <v>#N/A</v>
      </c>
    </row>
    <row r="258" spans="1:47">
      <c r="A258" t="s">
        <v>3802</v>
      </c>
      <c r="B258" t="s">
        <v>3803</v>
      </c>
      <c r="C258" t="s">
        <v>17</v>
      </c>
      <c r="D258" t="s">
        <v>3805</v>
      </c>
      <c r="E258" t="s">
        <v>3806</v>
      </c>
      <c r="F258" t="s">
        <v>3807</v>
      </c>
      <c r="G258" t="s">
        <v>4750</v>
      </c>
      <c r="H258" t="s">
        <v>1786</v>
      </c>
      <c r="I258">
        <v>394.9</v>
      </c>
      <c r="J258">
        <v>0.84039157267503695</v>
      </c>
      <c r="K258">
        <v>25.17</v>
      </c>
      <c r="L258" t="s">
        <v>4738</v>
      </c>
      <c r="N258">
        <v>407.9</v>
      </c>
      <c r="O258">
        <v>0.86805703341136398</v>
      </c>
      <c r="P258">
        <v>42.59</v>
      </c>
      <c r="Q258" t="s">
        <v>4738</v>
      </c>
      <c r="S258">
        <v>378.8</v>
      </c>
      <c r="T258">
        <v>0.80612896360927899</v>
      </c>
      <c r="U258">
        <v>12.3</v>
      </c>
      <c r="V258" t="s">
        <v>4738</v>
      </c>
      <c r="X258">
        <v>352</v>
      </c>
      <c r="Y258">
        <v>0.749095552245159</v>
      </c>
      <c r="Z258">
        <v>5.9779999999999998</v>
      </c>
      <c r="AA258" t="s">
        <v>4738</v>
      </c>
      <c r="AC258">
        <v>377.1</v>
      </c>
      <c r="AD258">
        <v>0.802511172589913</v>
      </c>
      <c r="AE258">
        <v>11.72</v>
      </c>
      <c r="AF258" t="s">
        <v>4738</v>
      </c>
      <c r="AH258">
        <v>410.6</v>
      </c>
      <c r="AI258">
        <v>0.87380293679506305</v>
      </c>
      <c r="AJ258">
        <v>50.77</v>
      </c>
      <c r="AK258" t="s">
        <v>4738</v>
      </c>
      <c r="AM258">
        <v>338.9</v>
      </c>
      <c r="AN258">
        <v>0.72121728027239795</v>
      </c>
      <c r="AO258">
        <v>3.4740000000000002</v>
      </c>
      <c r="AP258" t="s">
        <v>4738</v>
      </c>
      <c r="AR258" t="e">
        <v>#N/A</v>
      </c>
      <c r="AS258" t="e">
        <v>#N/A</v>
      </c>
      <c r="AT258" t="e">
        <v>#N/A</v>
      </c>
      <c r="AU258" t="e">
        <v>#N/A</v>
      </c>
    </row>
    <row r="259" spans="1:47">
      <c r="A259" t="s">
        <v>3809</v>
      </c>
      <c r="B259" t="s">
        <v>3810</v>
      </c>
      <c r="C259" t="s">
        <v>17</v>
      </c>
      <c r="D259" t="s">
        <v>1738</v>
      </c>
      <c r="E259" t="s">
        <v>1739</v>
      </c>
      <c r="F259" t="s">
        <v>1740</v>
      </c>
      <c r="G259" t="s">
        <v>4754</v>
      </c>
      <c r="H259" t="s">
        <v>1742</v>
      </c>
      <c r="I259">
        <v>354</v>
      </c>
      <c r="J259">
        <v>0.75335177697382405</v>
      </c>
      <c r="K259">
        <v>5.6849999999999996</v>
      </c>
      <c r="L259" t="s">
        <v>4738</v>
      </c>
      <c r="N259">
        <v>404.5</v>
      </c>
      <c r="O259">
        <v>0.860821451372633</v>
      </c>
      <c r="P259">
        <v>34.31</v>
      </c>
      <c r="Q259" t="s">
        <v>4738</v>
      </c>
      <c r="S259">
        <v>336.7</v>
      </c>
      <c r="T259">
        <v>0.71653543307086598</v>
      </c>
      <c r="U259">
        <v>3.2090000000000001</v>
      </c>
      <c r="V259" t="s">
        <v>4738</v>
      </c>
      <c r="X259">
        <v>337</v>
      </c>
      <c r="Y259">
        <v>0.71717386678016604</v>
      </c>
      <c r="Z259">
        <v>3.581</v>
      </c>
      <c r="AA259" t="s">
        <v>4738</v>
      </c>
      <c r="AC259">
        <v>406.7</v>
      </c>
      <c r="AD259">
        <v>0.86550329857416497</v>
      </c>
      <c r="AE259">
        <v>35.590000000000003</v>
      </c>
      <c r="AF259" t="s">
        <v>4738</v>
      </c>
      <c r="AH259">
        <v>406</v>
      </c>
      <c r="AI259">
        <v>0.86401361991913195</v>
      </c>
      <c r="AJ259">
        <v>35.159999999999997</v>
      </c>
      <c r="AK259" t="s">
        <v>4738</v>
      </c>
      <c r="AM259">
        <v>395.1</v>
      </c>
      <c r="AN259">
        <v>0.84081719514790398</v>
      </c>
      <c r="AO259">
        <v>25.01</v>
      </c>
      <c r="AP259" t="s">
        <v>4738</v>
      </c>
      <c r="AR259" t="e">
        <v>#N/A</v>
      </c>
      <c r="AS259" t="e">
        <v>#N/A</v>
      </c>
      <c r="AT259" t="e">
        <v>#N/A</v>
      </c>
      <c r="AU259" t="e">
        <v>#N/A</v>
      </c>
    </row>
    <row r="260" spans="1:47">
      <c r="A260" t="s">
        <v>3812</v>
      </c>
      <c r="B260" t="s">
        <v>3813</v>
      </c>
      <c r="C260" t="s">
        <v>17</v>
      </c>
      <c r="D260" t="s">
        <v>1747</v>
      </c>
      <c r="E260" t="s">
        <v>1748</v>
      </c>
      <c r="F260" t="s">
        <v>1749</v>
      </c>
      <c r="G260" t="s">
        <v>4755</v>
      </c>
      <c r="H260" t="s">
        <v>1742</v>
      </c>
      <c r="I260">
        <v>354</v>
      </c>
      <c r="J260">
        <v>0.75335177697382405</v>
      </c>
      <c r="K260">
        <v>5.6849999999999996</v>
      </c>
      <c r="L260" t="s">
        <v>4738</v>
      </c>
      <c r="N260">
        <v>404.5</v>
      </c>
      <c r="O260">
        <v>0.860821451372633</v>
      </c>
      <c r="P260">
        <v>34.31</v>
      </c>
      <c r="Q260" t="s">
        <v>4738</v>
      </c>
      <c r="S260">
        <v>336.7</v>
      </c>
      <c r="T260">
        <v>0.71653543307086598</v>
      </c>
      <c r="U260">
        <v>3.2090000000000001</v>
      </c>
      <c r="V260" t="s">
        <v>4738</v>
      </c>
      <c r="X260">
        <v>337</v>
      </c>
      <c r="Y260">
        <v>0.71717386678016604</v>
      </c>
      <c r="Z260">
        <v>3.581</v>
      </c>
      <c r="AA260" t="s">
        <v>4738</v>
      </c>
      <c r="AC260">
        <v>406.7</v>
      </c>
      <c r="AD260">
        <v>0.86550329857416497</v>
      </c>
      <c r="AE260">
        <v>35.590000000000003</v>
      </c>
      <c r="AF260" t="s">
        <v>4738</v>
      </c>
      <c r="AH260">
        <v>406</v>
      </c>
      <c r="AI260">
        <v>0.86401361991913195</v>
      </c>
      <c r="AJ260">
        <v>35.159999999999997</v>
      </c>
      <c r="AK260" t="s">
        <v>4738</v>
      </c>
      <c r="AM260">
        <v>395.1</v>
      </c>
      <c r="AN260">
        <v>0.84081719514790398</v>
      </c>
      <c r="AO260">
        <v>25.01</v>
      </c>
      <c r="AP260" t="s">
        <v>4738</v>
      </c>
      <c r="AR260" t="e">
        <v>#N/A</v>
      </c>
      <c r="AS260" t="e">
        <v>#N/A</v>
      </c>
      <c r="AT260" t="e">
        <v>#N/A</v>
      </c>
      <c r="AU260" t="e">
        <v>#N/A</v>
      </c>
    </row>
    <row r="261" spans="1:47">
      <c r="A261" t="s">
        <v>3815</v>
      </c>
      <c r="B261" t="s">
        <v>3816</v>
      </c>
      <c r="C261" t="s">
        <v>17</v>
      </c>
      <c r="D261" t="s">
        <v>1754</v>
      </c>
      <c r="E261" t="s">
        <v>1755</v>
      </c>
      <c r="F261" t="s">
        <v>1756</v>
      </c>
      <c r="G261" t="s">
        <v>4751</v>
      </c>
      <c r="H261" t="s">
        <v>1742</v>
      </c>
      <c r="I261">
        <v>354</v>
      </c>
      <c r="J261">
        <v>0.75335177697382405</v>
      </c>
      <c r="K261">
        <v>5.6849999999999996</v>
      </c>
      <c r="L261" t="s">
        <v>4738</v>
      </c>
      <c r="N261">
        <v>404.5</v>
      </c>
      <c r="O261">
        <v>0.860821451372633</v>
      </c>
      <c r="P261">
        <v>34.31</v>
      </c>
      <c r="Q261" t="s">
        <v>4738</v>
      </c>
      <c r="S261">
        <v>336.7</v>
      </c>
      <c r="T261">
        <v>0.71653543307086598</v>
      </c>
      <c r="U261">
        <v>3.2090000000000001</v>
      </c>
      <c r="V261" t="s">
        <v>4738</v>
      </c>
      <c r="X261">
        <v>337</v>
      </c>
      <c r="Y261">
        <v>0.71717386678016604</v>
      </c>
      <c r="Z261">
        <v>3.581</v>
      </c>
      <c r="AA261" t="s">
        <v>4738</v>
      </c>
      <c r="AC261">
        <v>406.7</v>
      </c>
      <c r="AD261">
        <v>0.86550329857416497</v>
      </c>
      <c r="AE261">
        <v>35.590000000000003</v>
      </c>
      <c r="AF261" t="s">
        <v>4738</v>
      </c>
      <c r="AH261">
        <v>406</v>
      </c>
      <c r="AI261">
        <v>0.86401361991913195</v>
      </c>
      <c r="AJ261">
        <v>35.159999999999997</v>
      </c>
      <c r="AK261" t="s">
        <v>4738</v>
      </c>
      <c r="AM261">
        <v>395.1</v>
      </c>
      <c r="AN261">
        <v>0.84081719514790398</v>
      </c>
      <c r="AO261">
        <v>25.01</v>
      </c>
      <c r="AP261" t="s">
        <v>4738</v>
      </c>
      <c r="AR261" t="e">
        <v>#N/A</v>
      </c>
      <c r="AS261" t="e">
        <v>#N/A</v>
      </c>
      <c r="AT261" t="e">
        <v>#N/A</v>
      </c>
      <c r="AU261" t="e">
        <v>#N/A</v>
      </c>
    </row>
    <row r="262" spans="1:47">
      <c r="A262" t="s">
        <v>3818</v>
      </c>
      <c r="B262" t="s">
        <v>3819</v>
      </c>
      <c r="C262" t="s">
        <v>17</v>
      </c>
      <c r="D262" t="s">
        <v>1761</v>
      </c>
      <c r="E262" t="s">
        <v>1762</v>
      </c>
      <c r="F262" t="s">
        <v>1763</v>
      </c>
      <c r="G262" t="s">
        <v>4754</v>
      </c>
      <c r="H262" t="s">
        <v>1764</v>
      </c>
      <c r="I262">
        <v>338</v>
      </c>
      <c r="J262">
        <v>0.719301979144499</v>
      </c>
      <c r="K262">
        <v>3.6880000000000002</v>
      </c>
      <c r="L262" t="s">
        <v>4738</v>
      </c>
      <c r="N262">
        <v>400.8</v>
      </c>
      <c r="O262">
        <v>0.85294743562460096</v>
      </c>
      <c r="P262">
        <v>32.46</v>
      </c>
      <c r="Q262" t="s">
        <v>4738</v>
      </c>
      <c r="S262">
        <v>314.8</v>
      </c>
      <c r="T262">
        <v>0.66992977229197703</v>
      </c>
      <c r="U262">
        <v>1.69</v>
      </c>
      <c r="V262" t="s">
        <v>4740</v>
      </c>
      <c r="X262">
        <v>377.6</v>
      </c>
      <c r="Y262">
        <v>0.80357522877207899</v>
      </c>
      <c r="Z262">
        <v>12.17</v>
      </c>
      <c r="AA262" t="s">
        <v>4738</v>
      </c>
      <c r="AC262">
        <v>395.6</v>
      </c>
      <c r="AD262">
        <v>0.84188125133006997</v>
      </c>
      <c r="AE262">
        <v>25.05</v>
      </c>
      <c r="AF262" t="s">
        <v>4738</v>
      </c>
      <c r="AH262">
        <v>420.5</v>
      </c>
      <c r="AI262">
        <v>0.89487124920195804</v>
      </c>
      <c r="AJ262">
        <v>63.93</v>
      </c>
      <c r="AK262" t="s">
        <v>4738</v>
      </c>
      <c r="AM262">
        <v>400.6</v>
      </c>
      <c r="AN262">
        <v>0.85252181315173403</v>
      </c>
      <c r="AO262">
        <v>27.04</v>
      </c>
      <c r="AP262" t="s">
        <v>4738</v>
      </c>
      <c r="AR262" t="e">
        <v>#N/A</v>
      </c>
      <c r="AS262" t="e">
        <v>#N/A</v>
      </c>
      <c r="AT262" t="e">
        <v>#N/A</v>
      </c>
      <c r="AU262" t="e">
        <v>#N/A</v>
      </c>
    </row>
    <row r="263" spans="1:47">
      <c r="A263" t="s">
        <v>3821</v>
      </c>
      <c r="B263" t="s">
        <v>3822</v>
      </c>
      <c r="C263" t="s">
        <v>17</v>
      </c>
      <c r="D263" t="s">
        <v>1769</v>
      </c>
      <c r="E263" t="s">
        <v>1770</v>
      </c>
      <c r="F263" t="s">
        <v>1771</v>
      </c>
      <c r="G263" t="s">
        <v>4755</v>
      </c>
      <c r="H263" t="s">
        <v>1764</v>
      </c>
      <c r="I263">
        <v>338</v>
      </c>
      <c r="J263">
        <v>0.719301979144499</v>
      </c>
      <c r="K263">
        <v>3.6880000000000002</v>
      </c>
      <c r="L263" t="s">
        <v>4738</v>
      </c>
      <c r="N263">
        <v>400.8</v>
      </c>
      <c r="O263">
        <v>0.85294743562460096</v>
      </c>
      <c r="P263">
        <v>32.46</v>
      </c>
      <c r="Q263" t="s">
        <v>4738</v>
      </c>
      <c r="S263">
        <v>314.8</v>
      </c>
      <c r="T263">
        <v>0.66992977229197703</v>
      </c>
      <c r="U263">
        <v>1.69</v>
      </c>
      <c r="V263" t="s">
        <v>4740</v>
      </c>
      <c r="X263">
        <v>377.6</v>
      </c>
      <c r="Y263">
        <v>0.80357522877207899</v>
      </c>
      <c r="Z263">
        <v>12.17</v>
      </c>
      <c r="AA263" t="s">
        <v>4738</v>
      </c>
      <c r="AC263">
        <v>395.6</v>
      </c>
      <c r="AD263">
        <v>0.84188125133006997</v>
      </c>
      <c r="AE263">
        <v>25.05</v>
      </c>
      <c r="AF263" t="s">
        <v>4738</v>
      </c>
      <c r="AH263">
        <v>420.5</v>
      </c>
      <c r="AI263">
        <v>0.89487124920195804</v>
      </c>
      <c r="AJ263">
        <v>63.93</v>
      </c>
      <c r="AK263" t="s">
        <v>4738</v>
      </c>
      <c r="AM263">
        <v>400.6</v>
      </c>
      <c r="AN263">
        <v>0.85252181315173403</v>
      </c>
      <c r="AO263">
        <v>27.04</v>
      </c>
      <c r="AP263" t="s">
        <v>4738</v>
      </c>
      <c r="AR263" t="e">
        <v>#N/A</v>
      </c>
      <c r="AS263" t="e">
        <v>#N/A</v>
      </c>
      <c r="AT263" t="e">
        <v>#N/A</v>
      </c>
      <c r="AU263" t="e">
        <v>#N/A</v>
      </c>
    </row>
    <row r="264" spans="1:47">
      <c r="A264" t="s">
        <v>3824</v>
      </c>
      <c r="B264" t="s">
        <v>3825</v>
      </c>
      <c r="C264" t="s">
        <v>17</v>
      </c>
      <c r="D264" t="s">
        <v>1776</v>
      </c>
      <c r="E264" t="s">
        <v>1777</v>
      </c>
      <c r="F264" t="s">
        <v>1778</v>
      </c>
      <c r="G264" t="s">
        <v>4751</v>
      </c>
      <c r="H264" t="s">
        <v>1764</v>
      </c>
      <c r="I264">
        <v>338</v>
      </c>
      <c r="J264">
        <v>0.719301979144499</v>
      </c>
      <c r="K264">
        <v>3.6880000000000002</v>
      </c>
      <c r="L264" t="s">
        <v>4738</v>
      </c>
      <c r="N264">
        <v>400.8</v>
      </c>
      <c r="O264">
        <v>0.85294743562460096</v>
      </c>
      <c r="P264">
        <v>32.46</v>
      </c>
      <c r="Q264" t="s">
        <v>4738</v>
      </c>
      <c r="S264">
        <v>314.8</v>
      </c>
      <c r="T264">
        <v>0.66992977229197703</v>
      </c>
      <c r="U264">
        <v>1.69</v>
      </c>
      <c r="V264" t="s">
        <v>4740</v>
      </c>
      <c r="X264">
        <v>377.6</v>
      </c>
      <c r="Y264">
        <v>0.80357522877207899</v>
      </c>
      <c r="Z264">
        <v>12.17</v>
      </c>
      <c r="AA264" t="s">
        <v>4738</v>
      </c>
      <c r="AC264">
        <v>395.6</v>
      </c>
      <c r="AD264">
        <v>0.84188125133006997</v>
      </c>
      <c r="AE264">
        <v>25.05</v>
      </c>
      <c r="AF264" t="s">
        <v>4738</v>
      </c>
      <c r="AH264">
        <v>420.5</v>
      </c>
      <c r="AI264">
        <v>0.89487124920195804</v>
      </c>
      <c r="AJ264">
        <v>63.93</v>
      </c>
      <c r="AK264" t="s">
        <v>4738</v>
      </c>
      <c r="AM264">
        <v>400.6</v>
      </c>
      <c r="AN264">
        <v>0.85252181315173403</v>
      </c>
      <c r="AO264">
        <v>27.04</v>
      </c>
      <c r="AP264" t="s">
        <v>4738</v>
      </c>
      <c r="AR264" t="e">
        <v>#N/A</v>
      </c>
      <c r="AS264" t="e">
        <v>#N/A</v>
      </c>
      <c r="AT264" t="e">
        <v>#N/A</v>
      </c>
      <c r="AU264" t="e">
        <v>#N/A</v>
      </c>
    </row>
    <row r="265" spans="1:47">
      <c r="A265" t="s">
        <v>3827</v>
      </c>
      <c r="B265" t="s">
        <v>3828</v>
      </c>
      <c r="C265" t="s">
        <v>17</v>
      </c>
      <c r="D265" t="s">
        <v>1783</v>
      </c>
      <c r="E265" t="s">
        <v>1784</v>
      </c>
      <c r="F265" t="s">
        <v>1785</v>
      </c>
      <c r="G265" t="s">
        <v>4754</v>
      </c>
      <c r="H265" t="s">
        <v>1786</v>
      </c>
      <c r="I265">
        <v>394.9</v>
      </c>
      <c r="J265">
        <v>0.84039157267503695</v>
      </c>
      <c r="K265">
        <v>25.17</v>
      </c>
      <c r="L265" t="s">
        <v>4738</v>
      </c>
      <c r="N265">
        <v>407.9</v>
      </c>
      <c r="O265">
        <v>0.86805703341136398</v>
      </c>
      <c r="P265">
        <v>42.59</v>
      </c>
      <c r="Q265" t="s">
        <v>4738</v>
      </c>
      <c r="S265">
        <v>378.8</v>
      </c>
      <c r="T265">
        <v>0.80612896360927899</v>
      </c>
      <c r="U265">
        <v>12.3</v>
      </c>
      <c r="V265" t="s">
        <v>4738</v>
      </c>
      <c r="X265">
        <v>352</v>
      </c>
      <c r="Y265">
        <v>0.749095552245159</v>
      </c>
      <c r="Z265">
        <v>5.9779999999999998</v>
      </c>
      <c r="AA265" t="s">
        <v>4738</v>
      </c>
      <c r="AC265">
        <v>377.1</v>
      </c>
      <c r="AD265">
        <v>0.802511172589913</v>
      </c>
      <c r="AE265">
        <v>11.72</v>
      </c>
      <c r="AF265" t="s">
        <v>4738</v>
      </c>
      <c r="AH265">
        <v>410.6</v>
      </c>
      <c r="AI265">
        <v>0.87380293679506305</v>
      </c>
      <c r="AJ265">
        <v>50.77</v>
      </c>
      <c r="AK265" t="s">
        <v>4738</v>
      </c>
      <c r="AM265">
        <v>338.9</v>
      </c>
      <c r="AN265">
        <v>0.72121728027239795</v>
      </c>
      <c r="AO265">
        <v>3.4740000000000002</v>
      </c>
      <c r="AP265" t="s">
        <v>4738</v>
      </c>
      <c r="AR265" t="e">
        <v>#N/A</v>
      </c>
      <c r="AS265" t="e">
        <v>#N/A</v>
      </c>
      <c r="AT265" t="e">
        <v>#N/A</v>
      </c>
      <c r="AU265" t="e">
        <v>#N/A</v>
      </c>
    </row>
    <row r="266" spans="1:47">
      <c r="A266" t="s">
        <v>3830</v>
      </c>
      <c r="B266" t="s">
        <v>3831</v>
      </c>
      <c r="C266" t="s">
        <v>17</v>
      </c>
      <c r="D266" t="s">
        <v>1791</v>
      </c>
      <c r="E266" t="s">
        <v>1792</v>
      </c>
      <c r="F266" t="s">
        <v>1793</v>
      </c>
      <c r="G266" t="s">
        <v>4755</v>
      </c>
      <c r="H266" t="s">
        <v>1786</v>
      </c>
      <c r="I266">
        <v>394.9</v>
      </c>
      <c r="J266">
        <v>0.84039157267503695</v>
      </c>
      <c r="K266">
        <v>25.17</v>
      </c>
      <c r="L266" t="s">
        <v>4738</v>
      </c>
      <c r="N266">
        <v>407.9</v>
      </c>
      <c r="O266">
        <v>0.86805703341136398</v>
      </c>
      <c r="P266">
        <v>42.59</v>
      </c>
      <c r="Q266" t="s">
        <v>4738</v>
      </c>
      <c r="S266">
        <v>378.8</v>
      </c>
      <c r="T266">
        <v>0.80612896360927899</v>
      </c>
      <c r="U266">
        <v>12.3</v>
      </c>
      <c r="V266" t="s">
        <v>4738</v>
      </c>
      <c r="X266">
        <v>352</v>
      </c>
      <c r="Y266">
        <v>0.749095552245159</v>
      </c>
      <c r="Z266">
        <v>5.9779999999999998</v>
      </c>
      <c r="AA266" t="s">
        <v>4738</v>
      </c>
      <c r="AC266">
        <v>377.1</v>
      </c>
      <c r="AD266">
        <v>0.802511172589913</v>
      </c>
      <c r="AE266">
        <v>11.72</v>
      </c>
      <c r="AF266" t="s">
        <v>4738</v>
      </c>
      <c r="AH266">
        <v>410.6</v>
      </c>
      <c r="AI266">
        <v>0.87380293679506305</v>
      </c>
      <c r="AJ266">
        <v>50.77</v>
      </c>
      <c r="AK266" t="s">
        <v>4738</v>
      </c>
      <c r="AM266">
        <v>338.9</v>
      </c>
      <c r="AN266">
        <v>0.72121728027239795</v>
      </c>
      <c r="AO266">
        <v>3.4740000000000002</v>
      </c>
      <c r="AP266" t="s">
        <v>4738</v>
      </c>
      <c r="AR266" t="e">
        <v>#N/A</v>
      </c>
      <c r="AS266" t="e">
        <v>#N/A</v>
      </c>
      <c r="AT266" t="e">
        <v>#N/A</v>
      </c>
      <c r="AU266" t="e">
        <v>#N/A</v>
      </c>
    </row>
    <row r="267" spans="1:47">
      <c r="A267" t="s">
        <v>3833</v>
      </c>
      <c r="B267" t="s">
        <v>3834</v>
      </c>
      <c r="C267" t="s">
        <v>17</v>
      </c>
      <c r="D267" t="s">
        <v>1798</v>
      </c>
      <c r="E267" t="s">
        <v>1799</v>
      </c>
      <c r="F267" t="s">
        <v>1800</v>
      </c>
      <c r="G267" t="s">
        <v>4751</v>
      </c>
      <c r="H267" t="s">
        <v>1786</v>
      </c>
      <c r="I267">
        <v>394.9</v>
      </c>
      <c r="J267">
        <v>0.84039157267503695</v>
      </c>
      <c r="K267">
        <v>25.17</v>
      </c>
      <c r="L267" t="s">
        <v>4738</v>
      </c>
      <c r="N267">
        <v>407.9</v>
      </c>
      <c r="O267">
        <v>0.86805703341136398</v>
      </c>
      <c r="P267">
        <v>42.59</v>
      </c>
      <c r="Q267" t="s">
        <v>4738</v>
      </c>
      <c r="S267">
        <v>378.8</v>
      </c>
      <c r="T267">
        <v>0.80612896360927899</v>
      </c>
      <c r="U267">
        <v>12.3</v>
      </c>
      <c r="V267" t="s">
        <v>4738</v>
      </c>
      <c r="X267">
        <v>352</v>
      </c>
      <c r="Y267">
        <v>0.749095552245159</v>
      </c>
      <c r="Z267">
        <v>5.9779999999999998</v>
      </c>
      <c r="AA267" t="s">
        <v>4738</v>
      </c>
      <c r="AC267">
        <v>377.1</v>
      </c>
      <c r="AD267">
        <v>0.802511172589913</v>
      </c>
      <c r="AE267">
        <v>11.72</v>
      </c>
      <c r="AF267" t="s">
        <v>4738</v>
      </c>
      <c r="AH267">
        <v>410.6</v>
      </c>
      <c r="AI267">
        <v>0.87380293679506305</v>
      </c>
      <c r="AJ267">
        <v>50.77</v>
      </c>
      <c r="AK267" t="s">
        <v>4738</v>
      </c>
      <c r="AM267">
        <v>338.9</v>
      </c>
      <c r="AN267">
        <v>0.72121728027239795</v>
      </c>
      <c r="AO267">
        <v>3.4740000000000002</v>
      </c>
      <c r="AP267" t="s">
        <v>4738</v>
      </c>
      <c r="AR267" t="e">
        <v>#N/A</v>
      </c>
      <c r="AS267" t="e">
        <v>#N/A</v>
      </c>
      <c r="AT267" t="e">
        <v>#N/A</v>
      </c>
      <c r="AU267" t="e">
        <v>#N/A</v>
      </c>
    </row>
    <row r="268" spans="1:47">
      <c r="A268" t="s">
        <v>3836</v>
      </c>
      <c r="B268" t="s">
        <v>3837</v>
      </c>
      <c r="C268" t="s">
        <v>17</v>
      </c>
      <c r="D268" t="s">
        <v>3839</v>
      </c>
      <c r="E268" t="s">
        <v>3840</v>
      </c>
      <c r="F268" t="s">
        <v>3841</v>
      </c>
      <c r="G268" t="s">
        <v>4750</v>
      </c>
      <c r="H268" t="s">
        <v>3843</v>
      </c>
      <c r="I268">
        <v>394.5</v>
      </c>
      <c r="J268">
        <v>0.83954032772930398</v>
      </c>
      <c r="K268">
        <v>21.38</v>
      </c>
      <c r="L268" t="s">
        <v>4738</v>
      </c>
      <c r="N268">
        <v>333.7</v>
      </c>
      <c r="O268">
        <v>0.71015109597786796</v>
      </c>
      <c r="P268">
        <v>3.1989999999999998</v>
      </c>
      <c r="Q268" t="s">
        <v>4738</v>
      </c>
      <c r="S268">
        <v>328.1</v>
      </c>
      <c r="T268">
        <v>0.69823366673760401</v>
      </c>
      <c r="U268">
        <v>2.399</v>
      </c>
      <c r="V268" t="s">
        <v>4740</v>
      </c>
      <c r="X268">
        <v>387.7</v>
      </c>
      <c r="Y268">
        <v>0.82506916365184102</v>
      </c>
      <c r="Z268">
        <v>19.32</v>
      </c>
      <c r="AA268" t="s">
        <v>4738</v>
      </c>
      <c r="AC268">
        <v>335.1</v>
      </c>
      <c r="AD268">
        <v>0.71313045328793401</v>
      </c>
      <c r="AE268">
        <v>3.4079999999999999</v>
      </c>
      <c r="AF268" t="s">
        <v>4738</v>
      </c>
      <c r="AH268">
        <v>413.4</v>
      </c>
      <c r="AI268">
        <v>0.87976165141519502</v>
      </c>
      <c r="AJ268">
        <v>44.06</v>
      </c>
      <c r="AK268" t="s">
        <v>4738</v>
      </c>
      <c r="AM268">
        <v>416.9</v>
      </c>
      <c r="AN268">
        <v>0.88721004469036002</v>
      </c>
      <c r="AO268">
        <v>55.32</v>
      </c>
      <c r="AP268" t="s">
        <v>4738</v>
      </c>
      <c r="AR268" t="e">
        <v>#N/A</v>
      </c>
      <c r="AS268" t="e">
        <v>#N/A</v>
      </c>
      <c r="AT268" t="e">
        <v>#N/A</v>
      </c>
      <c r="AU268" t="e">
        <v>#N/A</v>
      </c>
    </row>
    <row r="269" spans="1:47">
      <c r="A269" t="s">
        <v>3845</v>
      </c>
      <c r="B269" t="s">
        <v>3846</v>
      </c>
      <c r="C269" t="s">
        <v>17</v>
      </c>
      <c r="D269" t="s">
        <v>3848</v>
      </c>
      <c r="E269" t="s">
        <v>3849</v>
      </c>
      <c r="F269" t="s">
        <v>3850</v>
      </c>
      <c r="G269" t="s">
        <v>4750</v>
      </c>
      <c r="H269" t="s">
        <v>3851</v>
      </c>
      <c r="I269">
        <v>397.9</v>
      </c>
      <c r="J269">
        <v>0.84677590976803596</v>
      </c>
      <c r="K269">
        <v>23.81</v>
      </c>
      <c r="L269" t="s">
        <v>4738</v>
      </c>
      <c r="N269">
        <v>346.2</v>
      </c>
      <c r="O269">
        <v>0.73675250053202801</v>
      </c>
      <c r="P269">
        <v>4.4729999999999999</v>
      </c>
      <c r="Q269" t="s">
        <v>4738</v>
      </c>
      <c r="S269">
        <v>320.89999999999998</v>
      </c>
      <c r="T269">
        <v>0.68291125771440697</v>
      </c>
      <c r="U269">
        <v>1.929</v>
      </c>
      <c r="V269" t="s">
        <v>4740</v>
      </c>
      <c r="X269">
        <v>365.5</v>
      </c>
      <c r="Y269">
        <v>0.77782506916365202</v>
      </c>
      <c r="Z269">
        <v>8.218</v>
      </c>
      <c r="AA269" t="s">
        <v>4738</v>
      </c>
      <c r="AC269">
        <v>390.5</v>
      </c>
      <c r="AD269">
        <v>0.831027878271973</v>
      </c>
      <c r="AE269">
        <v>18.95</v>
      </c>
      <c r="AF269" t="s">
        <v>4738</v>
      </c>
      <c r="AH269">
        <v>390.2</v>
      </c>
      <c r="AI269">
        <v>0.83038944456267305</v>
      </c>
      <c r="AJ269">
        <v>21.58</v>
      </c>
      <c r="AK269" t="s">
        <v>4738</v>
      </c>
      <c r="AM269">
        <v>404.4</v>
      </c>
      <c r="AN269">
        <v>0.86060864013619898</v>
      </c>
      <c r="AO269">
        <v>31.96</v>
      </c>
      <c r="AP269" t="s">
        <v>4738</v>
      </c>
      <c r="AR269" t="e">
        <v>#N/A</v>
      </c>
      <c r="AS269" t="e">
        <v>#N/A</v>
      </c>
      <c r="AT269" t="e">
        <v>#N/A</v>
      </c>
      <c r="AU269" t="e">
        <v>#N/A</v>
      </c>
    </row>
    <row r="270" spans="1:47">
      <c r="A270" t="s">
        <v>3853</v>
      </c>
      <c r="B270" t="s">
        <v>3854</v>
      </c>
      <c r="C270" t="s">
        <v>17</v>
      </c>
      <c r="D270" t="s">
        <v>3856</v>
      </c>
      <c r="E270" t="s">
        <v>3857</v>
      </c>
      <c r="F270" t="s">
        <v>3858</v>
      </c>
      <c r="G270" t="s">
        <v>4750</v>
      </c>
      <c r="H270" t="s">
        <v>3859</v>
      </c>
      <c r="I270">
        <v>407.4</v>
      </c>
      <c r="J270">
        <v>0.86699297722919799</v>
      </c>
      <c r="K270">
        <v>30.37</v>
      </c>
      <c r="L270" t="s">
        <v>4738</v>
      </c>
      <c r="N270">
        <v>348.2</v>
      </c>
      <c r="O270">
        <v>0.74100872526069395</v>
      </c>
      <c r="P270">
        <v>4.8620000000000001</v>
      </c>
      <c r="Q270" t="s">
        <v>4738</v>
      </c>
      <c r="S270">
        <v>317.39999999999998</v>
      </c>
      <c r="T270">
        <v>0.67546286443924197</v>
      </c>
      <c r="U270">
        <v>1.65</v>
      </c>
      <c r="V270" t="s">
        <v>4740</v>
      </c>
      <c r="X270">
        <v>401.6</v>
      </c>
      <c r="Y270">
        <v>0.854649925516067</v>
      </c>
      <c r="Z270">
        <v>27.94</v>
      </c>
      <c r="AA270" t="s">
        <v>4738</v>
      </c>
      <c r="AC270">
        <v>405.1</v>
      </c>
      <c r="AD270">
        <v>0.862098318791232</v>
      </c>
      <c r="AE270">
        <v>34.61</v>
      </c>
      <c r="AF270" t="s">
        <v>4738</v>
      </c>
      <c r="AH270">
        <v>406.6</v>
      </c>
      <c r="AI270">
        <v>0.86529048733773195</v>
      </c>
      <c r="AJ270">
        <v>36.200000000000003</v>
      </c>
      <c r="AK270" t="s">
        <v>4738</v>
      </c>
      <c r="AM270">
        <v>403.3</v>
      </c>
      <c r="AN270">
        <v>0.85826771653543299</v>
      </c>
      <c r="AO270">
        <v>26.56</v>
      </c>
      <c r="AP270" t="s">
        <v>4738</v>
      </c>
      <c r="AR270" t="e">
        <v>#N/A</v>
      </c>
      <c r="AS270" t="e">
        <v>#N/A</v>
      </c>
      <c r="AT270" t="e">
        <v>#N/A</v>
      </c>
      <c r="AU270" t="e">
        <v>#N/A</v>
      </c>
    </row>
    <row r="271" spans="1:47">
      <c r="A271" t="s">
        <v>3861</v>
      </c>
      <c r="B271" t="s">
        <v>3862</v>
      </c>
      <c r="C271" t="s">
        <v>17</v>
      </c>
      <c r="D271" t="s">
        <v>3864</v>
      </c>
      <c r="E271" t="s">
        <v>3865</v>
      </c>
      <c r="F271" t="s">
        <v>3866</v>
      </c>
      <c r="G271" t="s">
        <v>4750</v>
      </c>
      <c r="H271" t="s">
        <v>3868</v>
      </c>
      <c r="I271">
        <v>386.9</v>
      </c>
      <c r="J271">
        <v>0.82336667376037498</v>
      </c>
      <c r="K271">
        <v>16.41</v>
      </c>
      <c r="L271" t="s">
        <v>4738</v>
      </c>
      <c r="N271">
        <v>409.6</v>
      </c>
      <c r="O271">
        <v>0.87167482443072997</v>
      </c>
      <c r="P271">
        <v>54.14</v>
      </c>
      <c r="Q271" t="s">
        <v>4738</v>
      </c>
      <c r="S271">
        <v>401</v>
      </c>
      <c r="T271">
        <v>0.853373058097468</v>
      </c>
      <c r="U271">
        <v>31.19</v>
      </c>
      <c r="V271" t="s">
        <v>4738</v>
      </c>
      <c r="X271">
        <v>409.9</v>
      </c>
      <c r="Y271">
        <v>0.87231325814003002</v>
      </c>
      <c r="Z271">
        <v>46.61</v>
      </c>
      <c r="AA271" t="s">
        <v>4738</v>
      </c>
      <c r="AC271">
        <v>415.3</v>
      </c>
      <c r="AD271">
        <v>0.88380506490742705</v>
      </c>
      <c r="AE271">
        <v>51.17</v>
      </c>
      <c r="AF271" t="s">
        <v>4738</v>
      </c>
      <c r="AH271">
        <v>417.8</v>
      </c>
      <c r="AI271">
        <v>0.88912534581825897</v>
      </c>
      <c r="AJ271">
        <v>69.349999999999994</v>
      </c>
      <c r="AK271" t="s">
        <v>4738</v>
      </c>
      <c r="AM271">
        <v>411.9</v>
      </c>
      <c r="AN271">
        <v>0.87656948286869596</v>
      </c>
      <c r="AO271">
        <v>46.12</v>
      </c>
      <c r="AP271" t="s">
        <v>4738</v>
      </c>
      <c r="AR271" t="e">
        <v>#N/A</v>
      </c>
      <c r="AS271" t="e">
        <v>#N/A</v>
      </c>
      <c r="AT271" t="e">
        <v>#N/A</v>
      </c>
      <c r="AU271" t="e">
        <v>#N/A</v>
      </c>
    </row>
    <row r="272" spans="1:47">
      <c r="A272" t="s">
        <v>3870</v>
      </c>
      <c r="B272" t="s">
        <v>3871</v>
      </c>
      <c r="C272" t="s">
        <v>17</v>
      </c>
      <c r="D272" t="s">
        <v>3873</v>
      </c>
      <c r="E272" t="s">
        <v>3874</v>
      </c>
      <c r="F272" t="s">
        <v>3875</v>
      </c>
      <c r="G272" t="s">
        <v>4750</v>
      </c>
      <c r="H272" t="s">
        <v>3876</v>
      </c>
      <c r="I272">
        <v>391.6</v>
      </c>
      <c r="J272">
        <v>0.83336880187273898</v>
      </c>
      <c r="K272">
        <v>17.97</v>
      </c>
      <c r="L272" t="s">
        <v>4738</v>
      </c>
      <c r="N272">
        <v>402.2</v>
      </c>
      <c r="O272">
        <v>0.855926792934667</v>
      </c>
      <c r="P272">
        <v>33.28</v>
      </c>
      <c r="Q272" t="s">
        <v>4738</v>
      </c>
      <c r="S272">
        <v>396.6</v>
      </c>
      <c r="T272">
        <v>0.84400936369440305</v>
      </c>
      <c r="U272">
        <v>22.47</v>
      </c>
      <c r="V272" t="s">
        <v>4738</v>
      </c>
      <c r="X272">
        <v>386.3</v>
      </c>
      <c r="Y272">
        <v>0.82208980634177498</v>
      </c>
      <c r="Z272">
        <v>17.11</v>
      </c>
      <c r="AA272" t="s">
        <v>4738</v>
      </c>
      <c r="AC272">
        <v>412.1</v>
      </c>
      <c r="AD272">
        <v>0.876995105341562</v>
      </c>
      <c r="AE272">
        <v>48.87</v>
      </c>
      <c r="AF272" t="s">
        <v>4738</v>
      </c>
      <c r="AH272">
        <v>395.5</v>
      </c>
      <c r="AI272">
        <v>0.84166844009363695</v>
      </c>
      <c r="AJ272">
        <v>24.32</v>
      </c>
      <c r="AK272" t="s">
        <v>4738</v>
      </c>
      <c r="AM272">
        <v>407</v>
      </c>
      <c r="AN272">
        <v>0.86614173228346503</v>
      </c>
      <c r="AO272">
        <v>36.69</v>
      </c>
      <c r="AP272" t="s">
        <v>4738</v>
      </c>
      <c r="AR272" t="e">
        <v>#N/A</v>
      </c>
      <c r="AS272" t="e">
        <v>#N/A</v>
      </c>
      <c r="AT272" t="e">
        <v>#N/A</v>
      </c>
      <c r="AU272" t="e">
        <v>#N/A</v>
      </c>
    </row>
    <row r="273" spans="1:47">
      <c r="A273" t="s">
        <v>3878</v>
      </c>
      <c r="B273" t="s">
        <v>3879</v>
      </c>
      <c r="C273" t="s">
        <v>17</v>
      </c>
      <c r="D273" t="s">
        <v>3881</v>
      </c>
      <c r="E273" t="s">
        <v>3882</v>
      </c>
      <c r="F273" t="s">
        <v>3883</v>
      </c>
      <c r="G273" t="s">
        <v>4750</v>
      </c>
      <c r="H273" t="s">
        <v>3884</v>
      </c>
      <c r="I273">
        <v>396.1</v>
      </c>
      <c r="J273">
        <v>0.84294530751223695</v>
      </c>
      <c r="K273">
        <v>22.75</v>
      </c>
      <c r="L273" t="s">
        <v>4738</v>
      </c>
      <c r="N273">
        <v>423</v>
      </c>
      <c r="O273">
        <v>0.90019153011278996</v>
      </c>
      <c r="P273">
        <v>88.33</v>
      </c>
      <c r="Q273" t="s">
        <v>4738</v>
      </c>
      <c r="S273">
        <v>416.9</v>
      </c>
      <c r="T273">
        <v>0.88721004469036002</v>
      </c>
      <c r="U273">
        <v>62.46</v>
      </c>
      <c r="V273" t="s">
        <v>4738</v>
      </c>
      <c r="X273">
        <v>415.6</v>
      </c>
      <c r="Y273">
        <v>0.884443498616727</v>
      </c>
      <c r="Z273">
        <v>53.99</v>
      </c>
      <c r="AA273" t="s">
        <v>4738</v>
      </c>
      <c r="AC273">
        <v>419.3</v>
      </c>
      <c r="AD273">
        <v>0.89231751436475804</v>
      </c>
      <c r="AE273">
        <v>76.28</v>
      </c>
      <c r="AF273" t="s">
        <v>4738</v>
      </c>
      <c r="AH273">
        <v>399.5</v>
      </c>
      <c r="AI273">
        <v>0.85018088955096804</v>
      </c>
      <c r="AJ273">
        <v>26.65</v>
      </c>
      <c r="AK273" t="s">
        <v>4738</v>
      </c>
      <c r="AM273">
        <v>419.4</v>
      </c>
      <c r="AN273">
        <v>0.89253032560119205</v>
      </c>
      <c r="AO273">
        <v>53.5</v>
      </c>
      <c r="AP273" t="s">
        <v>4738</v>
      </c>
      <c r="AR273" t="e">
        <v>#N/A</v>
      </c>
      <c r="AS273" t="e">
        <v>#N/A</v>
      </c>
      <c r="AT273" t="e">
        <v>#N/A</v>
      </c>
      <c r="AU273" t="e">
        <v>#N/A</v>
      </c>
    </row>
    <row r="274" spans="1:47">
      <c r="A274" t="s">
        <v>3886</v>
      </c>
      <c r="B274" t="s">
        <v>3887</v>
      </c>
      <c r="C274" t="s">
        <v>17</v>
      </c>
      <c r="D274" t="s">
        <v>3889</v>
      </c>
      <c r="E274" t="s">
        <v>3890</v>
      </c>
      <c r="F274" t="s">
        <v>3891</v>
      </c>
      <c r="G274" t="s">
        <v>4750</v>
      </c>
      <c r="H274" t="s">
        <v>3893</v>
      </c>
      <c r="I274">
        <v>378.1</v>
      </c>
      <c r="J274">
        <v>0.80463928495424597</v>
      </c>
      <c r="K274">
        <v>12.6</v>
      </c>
      <c r="L274" t="s">
        <v>4738</v>
      </c>
      <c r="N274">
        <v>324.7</v>
      </c>
      <c r="O274">
        <v>0.69099808469887203</v>
      </c>
      <c r="P274">
        <v>2.34</v>
      </c>
      <c r="Q274" t="s">
        <v>4740</v>
      </c>
      <c r="S274">
        <v>321.39999999999998</v>
      </c>
      <c r="T274">
        <v>0.68397531389657396</v>
      </c>
      <c r="U274">
        <v>2.11</v>
      </c>
      <c r="V274" t="s">
        <v>4740</v>
      </c>
      <c r="X274">
        <v>385.9</v>
      </c>
      <c r="Y274">
        <v>0.82123856139604201</v>
      </c>
      <c r="Z274">
        <v>16.47</v>
      </c>
      <c r="AA274" t="s">
        <v>4738</v>
      </c>
      <c r="AC274">
        <v>372.3</v>
      </c>
      <c r="AD274">
        <v>0.79229623324111498</v>
      </c>
      <c r="AE274">
        <v>9.8390000000000004</v>
      </c>
      <c r="AF274" t="s">
        <v>4738</v>
      </c>
      <c r="AH274">
        <v>387.3</v>
      </c>
      <c r="AI274">
        <v>0.82421791870610805</v>
      </c>
      <c r="AJ274">
        <v>19.3</v>
      </c>
      <c r="AK274" t="s">
        <v>4738</v>
      </c>
      <c r="AM274">
        <v>408</v>
      </c>
      <c r="AN274">
        <v>0.868269844647797</v>
      </c>
      <c r="AO274">
        <v>34.229999999999997</v>
      </c>
      <c r="AP274" t="s">
        <v>4738</v>
      </c>
      <c r="AR274" t="e">
        <v>#N/A</v>
      </c>
      <c r="AS274" t="e">
        <v>#N/A</v>
      </c>
      <c r="AT274" t="e">
        <v>#N/A</v>
      </c>
      <c r="AU274" t="e">
        <v>#N/A</v>
      </c>
    </row>
    <row r="275" spans="1:47">
      <c r="A275" t="s">
        <v>3895</v>
      </c>
      <c r="B275" t="s">
        <v>3896</v>
      </c>
      <c r="C275" t="s">
        <v>17</v>
      </c>
      <c r="D275" t="s">
        <v>3898</v>
      </c>
      <c r="E275" t="s">
        <v>3899</v>
      </c>
      <c r="F275" t="s">
        <v>3900</v>
      </c>
      <c r="G275" t="s">
        <v>4750</v>
      </c>
      <c r="H275" t="s">
        <v>3901</v>
      </c>
      <c r="I275">
        <v>326.10000000000002</v>
      </c>
      <c r="J275">
        <v>0.69397744200893796</v>
      </c>
      <c r="K275">
        <v>2.1080000000000001</v>
      </c>
      <c r="L275" t="s">
        <v>4740</v>
      </c>
      <c r="N275">
        <v>361.1</v>
      </c>
      <c r="O275">
        <v>0.76846137476058696</v>
      </c>
      <c r="P275">
        <v>8.3330000000000002</v>
      </c>
      <c r="Q275" t="s">
        <v>4738</v>
      </c>
      <c r="S275">
        <v>327.10000000000002</v>
      </c>
      <c r="T275">
        <v>0.69610555437327104</v>
      </c>
      <c r="U275">
        <v>2.4260000000000002</v>
      </c>
      <c r="V275" t="s">
        <v>4740</v>
      </c>
      <c r="X275">
        <v>379.3</v>
      </c>
      <c r="Y275">
        <v>0.80719301979144498</v>
      </c>
      <c r="Z275">
        <v>12.51</v>
      </c>
      <c r="AA275" t="s">
        <v>4738</v>
      </c>
      <c r="AC275">
        <v>380.5</v>
      </c>
      <c r="AD275">
        <v>0.80974675462864398</v>
      </c>
      <c r="AE275">
        <v>13.23</v>
      </c>
      <c r="AF275" t="s">
        <v>4738</v>
      </c>
      <c r="AH275">
        <v>385.2</v>
      </c>
      <c r="AI275">
        <v>0.81974888274100899</v>
      </c>
      <c r="AJ275">
        <v>15.34</v>
      </c>
      <c r="AK275" t="s">
        <v>4738</v>
      </c>
      <c r="AM275">
        <v>401.8</v>
      </c>
      <c r="AN275">
        <v>0.85507554798893404</v>
      </c>
      <c r="AO275">
        <v>27.62</v>
      </c>
      <c r="AP275" t="s">
        <v>4738</v>
      </c>
      <c r="AR275" t="e">
        <v>#N/A</v>
      </c>
      <c r="AS275" t="e">
        <v>#N/A</v>
      </c>
      <c r="AT275" t="e">
        <v>#N/A</v>
      </c>
      <c r="AU275" t="e">
        <v>#N/A</v>
      </c>
    </row>
    <row r="276" spans="1:47">
      <c r="A276" t="s">
        <v>3903</v>
      </c>
      <c r="B276" t="s">
        <v>3904</v>
      </c>
      <c r="C276" t="s">
        <v>17</v>
      </c>
      <c r="D276" t="s">
        <v>3906</v>
      </c>
      <c r="E276" t="s">
        <v>3907</v>
      </c>
      <c r="F276" t="s">
        <v>3908</v>
      </c>
      <c r="G276" t="s">
        <v>4750</v>
      </c>
      <c r="H276" t="s">
        <v>3909</v>
      </c>
      <c r="I276">
        <v>325.7</v>
      </c>
      <c r="J276">
        <v>0.693126197063205</v>
      </c>
      <c r="K276">
        <v>2.347</v>
      </c>
      <c r="L276" t="s">
        <v>4740</v>
      </c>
      <c r="N276">
        <v>351.5</v>
      </c>
      <c r="O276">
        <v>0.74803149606299202</v>
      </c>
      <c r="P276">
        <v>5.6680000000000001</v>
      </c>
      <c r="Q276" t="s">
        <v>4738</v>
      </c>
      <c r="S276">
        <v>389.6</v>
      </c>
      <c r="T276">
        <v>0.82911257714407305</v>
      </c>
      <c r="U276">
        <v>18.45</v>
      </c>
      <c r="V276" t="s">
        <v>4738</v>
      </c>
      <c r="X276">
        <v>334.7</v>
      </c>
      <c r="Y276">
        <v>0.71227920834220004</v>
      </c>
      <c r="Z276">
        <v>3.2109999999999999</v>
      </c>
      <c r="AA276" t="s">
        <v>4738</v>
      </c>
      <c r="AC276">
        <v>326.5</v>
      </c>
      <c r="AD276">
        <v>0.69482868695467104</v>
      </c>
      <c r="AE276">
        <v>2.29</v>
      </c>
      <c r="AF276" t="s">
        <v>4738</v>
      </c>
      <c r="AH276">
        <v>393.7</v>
      </c>
      <c r="AI276">
        <v>0.83783783783783805</v>
      </c>
      <c r="AJ276">
        <v>22.6</v>
      </c>
      <c r="AK276" t="s">
        <v>4738</v>
      </c>
      <c r="AM276">
        <v>391.6</v>
      </c>
      <c r="AN276">
        <v>0.83336880187273898</v>
      </c>
      <c r="AO276">
        <v>18.27</v>
      </c>
      <c r="AP276" t="s">
        <v>4738</v>
      </c>
      <c r="AR276" t="e">
        <v>#N/A</v>
      </c>
      <c r="AS276" t="e">
        <v>#N/A</v>
      </c>
      <c r="AT276" t="e">
        <v>#N/A</v>
      </c>
      <c r="AU276" t="e">
        <v>#N/A</v>
      </c>
    </row>
    <row r="277" spans="1:47">
      <c r="A277" t="s">
        <v>3911</v>
      </c>
      <c r="B277" t="s">
        <v>3912</v>
      </c>
      <c r="C277" t="s">
        <v>17</v>
      </c>
      <c r="D277" t="s">
        <v>3914</v>
      </c>
      <c r="E277" t="s">
        <v>3915</v>
      </c>
      <c r="F277" t="s">
        <v>3916</v>
      </c>
      <c r="G277" t="s">
        <v>4750</v>
      </c>
      <c r="H277" t="s">
        <v>3918</v>
      </c>
      <c r="I277">
        <v>318.5</v>
      </c>
      <c r="J277">
        <v>0.67780378804000896</v>
      </c>
      <c r="K277">
        <v>1.5149999999999999</v>
      </c>
      <c r="L277" t="s">
        <v>4740</v>
      </c>
      <c r="N277">
        <v>325.3</v>
      </c>
      <c r="O277">
        <v>0.69227495211747203</v>
      </c>
      <c r="P277">
        <v>2.4350000000000001</v>
      </c>
      <c r="Q277" t="s">
        <v>4740</v>
      </c>
      <c r="S277">
        <v>319.5</v>
      </c>
      <c r="T277">
        <v>0.67993190040434104</v>
      </c>
      <c r="U277">
        <v>1.65</v>
      </c>
      <c r="V277" t="s">
        <v>4740</v>
      </c>
      <c r="X277">
        <v>370.6</v>
      </c>
      <c r="Y277">
        <v>0.78867844222174899</v>
      </c>
      <c r="Z277">
        <v>9.8789999999999996</v>
      </c>
      <c r="AA277" t="s">
        <v>4738</v>
      </c>
      <c r="AC277">
        <v>398.3</v>
      </c>
      <c r="AD277">
        <v>0.84762715471376904</v>
      </c>
      <c r="AE277">
        <v>29.33</v>
      </c>
      <c r="AF277" t="s">
        <v>4738</v>
      </c>
      <c r="AH277">
        <v>380.9</v>
      </c>
      <c r="AI277">
        <v>0.81059799957437795</v>
      </c>
      <c r="AJ277">
        <v>14.52</v>
      </c>
      <c r="AK277" t="s">
        <v>4738</v>
      </c>
      <c r="AM277">
        <v>367.7</v>
      </c>
      <c r="AN277">
        <v>0.78250691636518399</v>
      </c>
      <c r="AO277">
        <v>9.875</v>
      </c>
      <c r="AP277" t="s">
        <v>4738</v>
      </c>
      <c r="AR277" t="e">
        <v>#N/A</v>
      </c>
      <c r="AS277" t="e">
        <v>#N/A</v>
      </c>
      <c r="AT277" t="e">
        <v>#N/A</v>
      </c>
      <c r="AU277" t="e">
        <v>#N/A</v>
      </c>
    </row>
    <row r="278" spans="1:47">
      <c r="A278" t="s">
        <v>3920</v>
      </c>
      <c r="B278" t="s">
        <v>3921</v>
      </c>
      <c r="C278" t="s">
        <v>17</v>
      </c>
      <c r="D278" t="s">
        <v>3923</v>
      </c>
      <c r="E278" t="s">
        <v>3924</v>
      </c>
      <c r="F278" t="s">
        <v>3925</v>
      </c>
      <c r="G278" t="s">
        <v>4750</v>
      </c>
      <c r="H278" t="s">
        <v>3926</v>
      </c>
      <c r="I278">
        <v>332.6</v>
      </c>
      <c r="J278">
        <v>0.70781017237710198</v>
      </c>
      <c r="K278">
        <v>2.9750000000000001</v>
      </c>
      <c r="L278" t="s">
        <v>4738</v>
      </c>
      <c r="N278">
        <v>348.1</v>
      </c>
      <c r="O278">
        <v>0.74079591402426104</v>
      </c>
      <c r="P278">
        <v>5.3689999999999998</v>
      </c>
      <c r="Q278" t="s">
        <v>4738</v>
      </c>
      <c r="S278">
        <v>381.4</v>
      </c>
      <c r="T278">
        <v>0.81166205575654404</v>
      </c>
      <c r="U278">
        <v>16.29</v>
      </c>
      <c r="V278" t="s">
        <v>4738</v>
      </c>
      <c r="X278">
        <v>325.8</v>
      </c>
      <c r="Y278">
        <v>0.69333900829963802</v>
      </c>
      <c r="Z278">
        <v>2.202</v>
      </c>
      <c r="AA278" t="s">
        <v>4740</v>
      </c>
      <c r="AC278">
        <v>416</v>
      </c>
      <c r="AD278">
        <v>0.88529474356245996</v>
      </c>
      <c r="AE278">
        <v>53.05</v>
      </c>
      <c r="AF278" t="s">
        <v>4738</v>
      </c>
      <c r="AH278">
        <v>350</v>
      </c>
      <c r="AI278">
        <v>0.74483932751649296</v>
      </c>
      <c r="AJ278">
        <v>5.39</v>
      </c>
      <c r="AK278" t="s">
        <v>4738</v>
      </c>
      <c r="AM278">
        <v>397.3</v>
      </c>
      <c r="AN278">
        <v>0.84549904234943596</v>
      </c>
      <c r="AO278">
        <v>24.77</v>
      </c>
      <c r="AP278" t="s">
        <v>4738</v>
      </c>
      <c r="AR278" t="e">
        <v>#N/A</v>
      </c>
      <c r="AS278" t="e">
        <v>#N/A</v>
      </c>
      <c r="AT278" t="e">
        <v>#N/A</v>
      </c>
      <c r="AU278" t="e">
        <v>#N/A</v>
      </c>
    </row>
    <row r="279" spans="1:47">
      <c r="A279" t="s">
        <v>3928</v>
      </c>
      <c r="B279" t="s">
        <v>3929</v>
      </c>
      <c r="C279" t="s">
        <v>17</v>
      </c>
      <c r="D279" t="s">
        <v>3931</v>
      </c>
      <c r="E279" t="s">
        <v>3932</v>
      </c>
      <c r="F279" t="s">
        <v>3933</v>
      </c>
      <c r="G279" t="s">
        <v>4750</v>
      </c>
      <c r="H279" t="s">
        <v>3934</v>
      </c>
      <c r="I279">
        <v>323.60000000000002</v>
      </c>
      <c r="J279">
        <v>0.68865716109810604</v>
      </c>
      <c r="K279">
        <v>2.0779999999999998</v>
      </c>
      <c r="L279" t="s">
        <v>4740</v>
      </c>
      <c r="N279">
        <v>362.6</v>
      </c>
      <c r="O279">
        <v>0.77165354330708702</v>
      </c>
      <c r="P279">
        <v>8.5749999999999993</v>
      </c>
      <c r="Q279" t="s">
        <v>4738</v>
      </c>
      <c r="S279">
        <v>379.8</v>
      </c>
      <c r="T279">
        <v>0.80825707597361196</v>
      </c>
      <c r="U279">
        <v>14.45</v>
      </c>
      <c r="V279" t="s">
        <v>4738</v>
      </c>
      <c r="X279">
        <v>379.4</v>
      </c>
      <c r="Y279">
        <v>0.807405831027878</v>
      </c>
      <c r="Z279">
        <v>13.11</v>
      </c>
      <c r="AA279" t="s">
        <v>4738</v>
      </c>
      <c r="AC279">
        <v>408.1</v>
      </c>
      <c r="AD279">
        <v>0.86848265588423101</v>
      </c>
      <c r="AE279">
        <v>38.43</v>
      </c>
      <c r="AF279" t="s">
        <v>4738</v>
      </c>
      <c r="AH279">
        <v>413.4</v>
      </c>
      <c r="AI279">
        <v>0.87976165141519502</v>
      </c>
      <c r="AJ279">
        <v>42.86</v>
      </c>
      <c r="AK279" t="s">
        <v>4738</v>
      </c>
      <c r="AM279">
        <v>407.6</v>
      </c>
      <c r="AN279">
        <v>0.86741859970206403</v>
      </c>
      <c r="AO279">
        <v>34.51</v>
      </c>
      <c r="AP279" t="s">
        <v>4738</v>
      </c>
      <c r="AR279" t="e">
        <v>#N/A</v>
      </c>
      <c r="AS279" t="e">
        <v>#N/A</v>
      </c>
      <c r="AT279" t="e">
        <v>#N/A</v>
      </c>
      <c r="AU279" t="e">
        <v>#N/A</v>
      </c>
    </row>
    <row r="280" spans="1:47">
      <c r="A280" t="s">
        <v>3936</v>
      </c>
      <c r="B280" t="s">
        <v>3937</v>
      </c>
      <c r="C280" t="s">
        <v>17</v>
      </c>
      <c r="D280" t="s">
        <v>3939</v>
      </c>
      <c r="E280" t="s">
        <v>3940</v>
      </c>
      <c r="F280" t="s">
        <v>3941</v>
      </c>
      <c r="G280" t="s">
        <v>4750</v>
      </c>
      <c r="H280" t="s">
        <v>3943</v>
      </c>
      <c r="I280">
        <v>353</v>
      </c>
      <c r="J280">
        <v>0.75122366460949097</v>
      </c>
      <c r="K280">
        <v>5.8159999999999998</v>
      </c>
      <c r="L280" t="s">
        <v>4738</v>
      </c>
      <c r="N280">
        <v>367.7</v>
      </c>
      <c r="O280">
        <v>0.78250691636518399</v>
      </c>
      <c r="P280">
        <v>10.17</v>
      </c>
      <c r="Q280" t="s">
        <v>4738</v>
      </c>
      <c r="S280">
        <v>347.1</v>
      </c>
      <c r="T280">
        <v>0.73866780165992796</v>
      </c>
      <c r="U280">
        <v>4.6689999999999996</v>
      </c>
      <c r="V280" t="s">
        <v>4738</v>
      </c>
      <c r="X280">
        <v>325.5</v>
      </c>
      <c r="Y280">
        <v>0.69270057459033796</v>
      </c>
      <c r="Z280">
        <v>2.3109999999999999</v>
      </c>
      <c r="AA280" t="s">
        <v>4740</v>
      </c>
      <c r="AC280">
        <v>397.2</v>
      </c>
      <c r="AD280">
        <v>0.84528623111300305</v>
      </c>
      <c r="AE280">
        <v>23.45</v>
      </c>
      <c r="AF280" t="s">
        <v>4738</v>
      </c>
      <c r="AH280">
        <v>402.8</v>
      </c>
      <c r="AI280">
        <v>0.85720366035326701</v>
      </c>
      <c r="AJ280">
        <v>30</v>
      </c>
      <c r="AK280" t="s">
        <v>4738</v>
      </c>
      <c r="AM280">
        <v>397.9</v>
      </c>
      <c r="AN280">
        <v>0.84677590976803596</v>
      </c>
      <c r="AO280">
        <v>24.49</v>
      </c>
      <c r="AP280" t="s">
        <v>4738</v>
      </c>
      <c r="AR280" t="e">
        <v>#N/A</v>
      </c>
      <c r="AS280" t="e">
        <v>#N/A</v>
      </c>
      <c r="AT280" t="e">
        <v>#N/A</v>
      </c>
      <c r="AU280" t="e">
        <v>#N/A</v>
      </c>
    </row>
    <row r="281" spans="1:47">
      <c r="A281" t="s">
        <v>3945</v>
      </c>
      <c r="B281" t="s">
        <v>3946</v>
      </c>
      <c r="C281" t="s">
        <v>17</v>
      </c>
      <c r="D281" t="s">
        <v>3948</v>
      </c>
      <c r="E281" t="s">
        <v>3949</v>
      </c>
      <c r="F281" t="s">
        <v>3950</v>
      </c>
      <c r="G281" t="s">
        <v>4750</v>
      </c>
      <c r="H281" t="s">
        <v>3951</v>
      </c>
      <c r="I281">
        <v>375.7</v>
      </c>
      <c r="J281">
        <v>0.79953181527984696</v>
      </c>
      <c r="K281">
        <v>11.01</v>
      </c>
      <c r="L281" t="s">
        <v>4738</v>
      </c>
      <c r="N281">
        <v>345.4</v>
      </c>
      <c r="O281">
        <v>0.73505001064056197</v>
      </c>
      <c r="P281">
        <v>4.6589999999999998</v>
      </c>
      <c r="Q281" t="s">
        <v>4738</v>
      </c>
      <c r="S281">
        <v>320.10000000000002</v>
      </c>
      <c r="T281">
        <v>0.68120876782294104</v>
      </c>
      <c r="U281">
        <v>1.982</v>
      </c>
      <c r="V281" t="s">
        <v>4740</v>
      </c>
      <c r="X281">
        <v>314.60000000000002</v>
      </c>
      <c r="Y281">
        <v>0.66950414981911099</v>
      </c>
      <c r="Z281">
        <v>1.5429999999999999</v>
      </c>
      <c r="AA281" t="s">
        <v>4740</v>
      </c>
      <c r="AC281">
        <v>384</v>
      </c>
      <c r="AD281">
        <v>0.81719514790380898</v>
      </c>
      <c r="AE281">
        <v>14.36</v>
      </c>
      <c r="AF281" t="s">
        <v>4738</v>
      </c>
      <c r="AH281">
        <v>388</v>
      </c>
      <c r="AI281">
        <v>0.82570759736114097</v>
      </c>
      <c r="AJ281">
        <v>17.79</v>
      </c>
      <c r="AK281" t="s">
        <v>4738</v>
      </c>
      <c r="AM281">
        <v>392.3</v>
      </c>
      <c r="AN281">
        <v>0.83485848052777201</v>
      </c>
      <c r="AO281">
        <v>20.37</v>
      </c>
      <c r="AP281" t="s">
        <v>4738</v>
      </c>
      <c r="AR281" t="e">
        <v>#N/A</v>
      </c>
      <c r="AS281" t="e">
        <v>#N/A</v>
      </c>
      <c r="AT281" t="e">
        <v>#N/A</v>
      </c>
      <c r="AU281" t="e">
        <v>#N/A</v>
      </c>
    </row>
    <row r="282" spans="1:47">
      <c r="A282" t="s">
        <v>3953</v>
      </c>
      <c r="B282" t="s">
        <v>3954</v>
      </c>
      <c r="C282" t="s">
        <v>17</v>
      </c>
      <c r="D282" t="s">
        <v>3956</v>
      </c>
      <c r="E282" t="s">
        <v>3957</v>
      </c>
      <c r="F282" t="s">
        <v>3958</v>
      </c>
      <c r="G282" t="s">
        <v>4750</v>
      </c>
      <c r="H282" t="s">
        <v>3959</v>
      </c>
      <c r="I282">
        <v>375.7</v>
      </c>
      <c r="J282">
        <v>0.79953181527984696</v>
      </c>
      <c r="K282">
        <v>11.98</v>
      </c>
      <c r="L282" t="s">
        <v>4738</v>
      </c>
      <c r="N282">
        <v>382.7</v>
      </c>
      <c r="O282">
        <v>0.81442860183017696</v>
      </c>
      <c r="P282">
        <v>15.82</v>
      </c>
      <c r="Q282" t="s">
        <v>4738</v>
      </c>
      <c r="S282">
        <v>367.4</v>
      </c>
      <c r="T282">
        <v>0.78186848265588405</v>
      </c>
      <c r="U282">
        <v>9.2680000000000007</v>
      </c>
      <c r="V282" t="s">
        <v>4738</v>
      </c>
      <c r="X282">
        <v>382.7</v>
      </c>
      <c r="Y282">
        <v>0.81442860183017696</v>
      </c>
      <c r="Z282">
        <v>15.66</v>
      </c>
      <c r="AA282" t="s">
        <v>4738</v>
      </c>
      <c r="AC282">
        <v>371.8</v>
      </c>
      <c r="AD282">
        <v>0.79123217705894899</v>
      </c>
      <c r="AE282">
        <v>10.95</v>
      </c>
      <c r="AF282" t="s">
        <v>4738</v>
      </c>
      <c r="AH282">
        <v>397.9</v>
      </c>
      <c r="AI282">
        <v>0.84677590976803596</v>
      </c>
      <c r="AJ282">
        <v>25.33</v>
      </c>
      <c r="AK282" t="s">
        <v>4738</v>
      </c>
      <c r="AM282">
        <v>406.8</v>
      </c>
      <c r="AN282">
        <v>0.86571610981059799</v>
      </c>
      <c r="AO282">
        <v>41.15</v>
      </c>
      <c r="AP282" t="s">
        <v>4738</v>
      </c>
      <c r="AR282" t="e">
        <v>#N/A</v>
      </c>
      <c r="AS282" t="e">
        <v>#N/A</v>
      </c>
      <c r="AT282" t="e">
        <v>#N/A</v>
      </c>
      <c r="AU282" t="e">
        <v>#N/A</v>
      </c>
    </row>
    <row r="283" spans="1:47">
      <c r="A283" t="s">
        <v>3961</v>
      </c>
      <c r="B283" t="s">
        <v>3962</v>
      </c>
      <c r="C283" t="s">
        <v>17</v>
      </c>
      <c r="D283" t="s">
        <v>3964</v>
      </c>
      <c r="E283" t="s">
        <v>3965</v>
      </c>
      <c r="F283" t="s">
        <v>3966</v>
      </c>
      <c r="G283" t="s">
        <v>4750</v>
      </c>
      <c r="H283" t="s">
        <v>3968</v>
      </c>
      <c r="I283">
        <v>331.8</v>
      </c>
      <c r="J283">
        <v>0.70610768248563505</v>
      </c>
      <c r="K283">
        <v>2.782</v>
      </c>
      <c r="L283" t="s">
        <v>4738</v>
      </c>
      <c r="N283">
        <v>340.7</v>
      </c>
      <c r="O283">
        <v>0.72504788252819796</v>
      </c>
      <c r="P283">
        <v>4.4219999999999997</v>
      </c>
      <c r="Q283" t="s">
        <v>4738</v>
      </c>
      <c r="S283">
        <v>397.9</v>
      </c>
      <c r="T283">
        <v>0.84677590976803596</v>
      </c>
      <c r="U283">
        <v>23.13</v>
      </c>
      <c r="V283" t="s">
        <v>4738</v>
      </c>
      <c r="X283">
        <v>397.5</v>
      </c>
      <c r="Y283">
        <v>0.845924664822303</v>
      </c>
      <c r="Z283">
        <v>21.51</v>
      </c>
      <c r="AA283" t="s">
        <v>4738</v>
      </c>
      <c r="AC283">
        <v>411.3</v>
      </c>
      <c r="AD283">
        <v>0.87529261545009596</v>
      </c>
      <c r="AE283">
        <v>46.09</v>
      </c>
      <c r="AF283" t="s">
        <v>4738</v>
      </c>
      <c r="AH283">
        <v>320.8</v>
      </c>
      <c r="AI283">
        <v>0.68269844647797395</v>
      </c>
      <c r="AJ283">
        <v>2.089</v>
      </c>
      <c r="AK283" t="s">
        <v>4738</v>
      </c>
      <c r="AM283">
        <v>325.2</v>
      </c>
      <c r="AN283">
        <v>0.69206214088103901</v>
      </c>
      <c r="AO283">
        <v>2.2490000000000001</v>
      </c>
      <c r="AP283" t="s">
        <v>4738</v>
      </c>
      <c r="AR283" t="e">
        <v>#N/A</v>
      </c>
      <c r="AS283" t="e">
        <v>#N/A</v>
      </c>
      <c r="AT283" t="e">
        <v>#N/A</v>
      </c>
      <c r="AU283" t="e">
        <v>#N/A</v>
      </c>
    </row>
    <row r="284" spans="1:47">
      <c r="A284" t="s">
        <v>3970</v>
      </c>
      <c r="B284" t="s">
        <v>3971</v>
      </c>
      <c r="C284" t="s">
        <v>17</v>
      </c>
      <c r="D284" t="s">
        <v>3973</v>
      </c>
      <c r="E284" t="s">
        <v>3974</v>
      </c>
      <c r="F284" t="s">
        <v>3975</v>
      </c>
      <c r="G284" t="s">
        <v>4750</v>
      </c>
      <c r="H284" t="s">
        <v>3976</v>
      </c>
      <c r="I284">
        <v>373.9</v>
      </c>
      <c r="J284">
        <v>0.79570121302404795</v>
      </c>
      <c r="K284">
        <v>11.12</v>
      </c>
      <c r="L284" t="s">
        <v>4738</v>
      </c>
      <c r="N284">
        <v>388.4</v>
      </c>
      <c r="O284">
        <v>0.82655884230687404</v>
      </c>
      <c r="P284">
        <v>18.89</v>
      </c>
      <c r="Q284" t="s">
        <v>4738</v>
      </c>
      <c r="S284">
        <v>396.9</v>
      </c>
      <c r="T284">
        <v>0.84464779740370299</v>
      </c>
      <c r="U284">
        <v>21.22</v>
      </c>
      <c r="V284" t="s">
        <v>4738</v>
      </c>
      <c r="X284">
        <v>378.5</v>
      </c>
      <c r="Y284">
        <v>0.80549052989997905</v>
      </c>
      <c r="Z284">
        <v>12.47</v>
      </c>
      <c r="AA284" t="s">
        <v>4738</v>
      </c>
      <c r="AC284">
        <v>375</v>
      </c>
      <c r="AD284">
        <v>0.79804213662481405</v>
      </c>
      <c r="AE284">
        <v>12.46</v>
      </c>
      <c r="AF284" t="s">
        <v>4738</v>
      </c>
      <c r="AH284">
        <v>390.1</v>
      </c>
      <c r="AI284">
        <v>0.83017663332624003</v>
      </c>
      <c r="AJ284">
        <v>17.89</v>
      </c>
      <c r="AK284" t="s">
        <v>4738</v>
      </c>
      <c r="AM284">
        <v>319.7</v>
      </c>
      <c r="AN284">
        <v>0.68035752287720797</v>
      </c>
      <c r="AO284">
        <v>1.831</v>
      </c>
      <c r="AP284" t="s">
        <v>4738</v>
      </c>
      <c r="AR284" t="e">
        <v>#N/A</v>
      </c>
      <c r="AS284" t="e">
        <v>#N/A</v>
      </c>
      <c r="AT284" t="e">
        <v>#N/A</v>
      </c>
      <c r="AU284" t="e">
        <v>#N/A</v>
      </c>
    </row>
    <row r="285" spans="1:47">
      <c r="A285" t="s">
        <v>3978</v>
      </c>
      <c r="B285" t="s">
        <v>3979</v>
      </c>
      <c r="C285" t="s">
        <v>17</v>
      </c>
      <c r="D285" t="s">
        <v>3981</v>
      </c>
      <c r="E285" t="s">
        <v>3982</v>
      </c>
      <c r="F285" t="s">
        <v>3983</v>
      </c>
      <c r="G285" t="s">
        <v>4750</v>
      </c>
      <c r="H285" t="s">
        <v>3984</v>
      </c>
      <c r="I285">
        <v>418.2</v>
      </c>
      <c r="J285">
        <v>0.88997659076399205</v>
      </c>
      <c r="K285">
        <v>58.93</v>
      </c>
      <c r="L285" t="s">
        <v>4738</v>
      </c>
      <c r="N285">
        <v>418.6</v>
      </c>
      <c r="O285">
        <v>0.89082783570972601</v>
      </c>
      <c r="P285">
        <v>56.38</v>
      </c>
      <c r="Q285" t="s">
        <v>4738</v>
      </c>
      <c r="S285">
        <v>397.9</v>
      </c>
      <c r="T285">
        <v>0.84677590976803596</v>
      </c>
      <c r="U285">
        <v>34.68</v>
      </c>
      <c r="V285" t="s">
        <v>4738</v>
      </c>
      <c r="X285">
        <v>406.6</v>
      </c>
      <c r="Y285">
        <v>0.86529048733773195</v>
      </c>
      <c r="Z285">
        <v>43.31</v>
      </c>
      <c r="AA285" t="s">
        <v>4738</v>
      </c>
      <c r="AC285">
        <v>417.7</v>
      </c>
      <c r="AD285">
        <v>0.88891253458182595</v>
      </c>
      <c r="AE285">
        <v>59.33</v>
      </c>
      <c r="AF285" t="s">
        <v>4738</v>
      </c>
      <c r="AH285">
        <v>352.1</v>
      </c>
      <c r="AI285">
        <v>0.74930836348159202</v>
      </c>
      <c r="AJ285">
        <v>5.673</v>
      </c>
      <c r="AK285" t="s">
        <v>4738</v>
      </c>
      <c r="AM285">
        <v>311.60000000000002</v>
      </c>
      <c r="AN285">
        <v>0.66311981272611198</v>
      </c>
      <c r="AO285">
        <v>1.0389999999999999</v>
      </c>
      <c r="AP285" t="s">
        <v>4740</v>
      </c>
      <c r="AR285" t="e">
        <v>#N/A</v>
      </c>
      <c r="AS285" t="e">
        <v>#N/A</v>
      </c>
      <c r="AT285" t="e">
        <v>#N/A</v>
      </c>
      <c r="AU285" t="e">
        <v>#N/A</v>
      </c>
    </row>
    <row r="286" spans="1:47">
      <c r="A286" t="s">
        <v>3986</v>
      </c>
      <c r="B286" t="s">
        <v>3987</v>
      </c>
      <c r="C286" t="s">
        <v>17</v>
      </c>
      <c r="D286" t="s">
        <v>3989</v>
      </c>
      <c r="E286" t="s">
        <v>3990</v>
      </c>
      <c r="F286" t="s">
        <v>3991</v>
      </c>
      <c r="G286" t="s">
        <v>4750</v>
      </c>
      <c r="H286" t="s">
        <v>3993</v>
      </c>
      <c r="I286">
        <v>313.39999999999998</v>
      </c>
      <c r="J286">
        <v>0.66695041498191099</v>
      </c>
      <c r="K286">
        <v>1.5049999999999999</v>
      </c>
      <c r="L286" t="s">
        <v>4740</v>
      </c>
      <c r="N286">
        <v>359.9</v>
      </c>
      <c r="O286">
        <v>0.76590763992338795</v>
      </c>
      <c r="P286">
        <v>7.1849999999999996</v>
      </c>
      <c r="Q286" t="s">
        <v>4738</v>
      </c>
      <c r="S286">
        <v>321.89999999999998</v>
      </c>
      <c r="T286">
        <v>0.68503937007874005</v>
      </c>
      <c r="U286">
        <v>2.17</v>
      </c>
      <c r="V286" t="s">
        <v>4740</v>
      </c>
      <c r="X286">
        <v>382</v>
      </c>
      <c r="Y286">
        <v>0.81293892317514405</v>
      </c>
      <c r="Z286">
        <v>13.2</v>
      </c>
      <c r="AA286" t="s">
        <v>4738</v>
      </c>
      <c r="AC286">
        <v>327</v>
      </c>
      <c r="AD286">
        <v>0.69589274313683802</v>
      </c>
      <c r="AE286">
        <v>2.5579999999999998</v>
      </c>
      <c r="AF286" t="s">
        <v>4738</v>
      </c>
      <c r="AH286">
        <v>393.8</v>
      </c>
      <c r="AI286">
        <v>0.83805064907427096</v>
      </c>
      <c r="AJ286">
        <v>23.43</v>
      </c>
      <c r="AK286" t="s">
        <v>4738</v>
      </c>
      <c r="AM286">
        <v>383.9</v>
      </c>
      <c r="AN286">
        <v>0.81698233666737596</v>
      </c>
      <c r="AO286">
        <v>17.57</v>
      </c>
      <c r="AP286" t="s">
        <v>4738</v>
      </c>
      <c r="AR286" t="e">
        <v>#N/A</v>
      </c>
      <c r="AS286" t="e">
        <v>#N/A</v>
      </c>
      <c r="AT286" t="e">
        <v>#N/A</v>
      </c>
      <c r="AU286" t="e">
        <v>#N/A</v>
      </c>
    </row>
    <row r="287" spans="1:47">
      <c r="A287" t="s">
        <v>3995</v>
      </c>
      <c r="B287" t="s">
        <v>3996</v>
      </c>
      <c r="C287" t="s">
        <v>17</v>
      </c>
      <c r="D287" t="s">
        <v>3998</v>
      </c>
      <c r="E287" t="s">
        <v>3999</v>
      </c>
      <c r="F287" t="s">
        <v>4000</v>
      </c>
      <c r="G287" t="s">
        <v>4750</v>
      </c>
      <c r="H287" t="s">
        <v>4001</v>
      </c>
      <c r="I287">
        <v>319.3</v>
      </c>
      <c r="J287">
        <v>0.679506277931475</v>
      </c>
      <c r="K287">
        <v>1.7809999999999999</v>
      </c>
      <c r="L287" t="s">
        <v>4740</v>
      </c>
      <c r="N287">
        <v>362</v>
      </c>
      <c r="O287">
        <v>0.77037667588848702</v>
      </c>
      <c r="P287">
        <v>8.2210000000000001</v>
      </c>
      <c r="Q287" t="s">
        <v>4738</v>
      </c>
      <c r="S287">
        <v>350.3</v>
      </c>
      <c r="T287">
        <v>0.74547776122579301</v>
      </c>
      <c r="U287">
        <v>5.68</v>
      </c>
      <c r="V287" t="s">
        <v>4738</v>
      </c>
      <c r="X287">
        <v>327</v>
      </c>
      <c r="Y287">
        <v>0.69589274313683802</v>
      </c>
      <c r="Z287">
        <v>2.31</v>
      </c>
      <c r="AA287" t="s">
        <v>4738</v>
      </c>
      <c r="AC287">
        <v>391.7</v>
      </c>
      <c r="AD287">
        <v>0.833581613109172</v>
      </c>
      <c r="AE287">
        <v>19.97</v>
      </c>
      <c r="AF287" t="s">
        <v>4738</v>
      </c>
      <c r="AH287">
        <v>406</v>
      </c>
      <c r="AI287">
        <v>0.86401361991913195</v>
      </c>
      <c r="AJ287">
        <v>33.47</v>
      </c>
      <c r="AK287" t="s">
        <v>4738</v>
      </c>
      <c r="AM287">
        <v>375.2</v>
      </c>
      <c r="AN287">
        <v>0.79846775909767997</v>
      </c>
      <c r="AO287">
        <v>11.35</v>
      </c>
      <c r="AP287" t="s">
        <v>4738</v>
      </c>
      <c r="AR287" t="e">
        <v>#N/A</v>
      </c>
      <c r="AS287" t="e">
        <v>#N/A</v>
      </c>
      <c r="AT287" t="e">
        <v>#N/A</v>
      </c>
      <c r="AU287" t="e">
        <v>#N/A</v>
      </c>
    </row>
    <row r="288" spans="1:47">
      <c r="A288" t="s">
        <v>4003</v>
      </c>
      <c r="B288" t="s">
        <v>4004</v>
      </c>
      <c r="C288" t="s">
        <v>17</v>
      </c>
      <c r="D288" t="s">
        <v>4006</v>
      </c>
      <c r="E288" t="s">
        <v>4007</v>
      </c>
      <c r="F288" t="s">
        <v>4008</v>
      </c>
      <c r="G288" t="s">
        <v>4750</v>
      </c>
      <c r="H288" t="s">
        <v>4009</v>
      </c>
      <c r="I288">
        <v>320.10000000000002</v>
      </c>
      <c r="J288">
        <v>0.68120876782294104</v>
      </c>
      <c r="K288">
        <v>1.792</v>
      </c>
      <c r="L288" t="s">
        <v>4740</v>
      </c>
      <c r="N288">
        <v>327.10000000000002</v>
      </c>
      <c r="O288">
        <v>0.69610555437327104</v>
      </c>
      <c r="P288">
        <v>2.331</v>
      </c>
      <c r="Q288" t="s">
        <v>4740</v>
      </c>
      <c r="S288">
        <v>367.6</v>
      </c>
      <c r="T288">
        <v>0.78229410512875097</v>
      </c>
      <c r="U288">
        <v>9.3940000000000001</v>
      </c>
      <c r="V288" t="s">
        <v>4738</v>
      </c>
      <c r="X288">
        <v>321.10000000000002</v>
      </c>
      <c r="Y288">
        <v>0.68333688018727401</v>
      </c>
      <c r="Z288">
        <v>1.79</v>
      </c>
      <c r="AA288" t="s">
        <v>4740</v>
      </c>
      <c r="AC288">
        <v>402.1</v>
      </c>
      <c r="AD288">
        <v>0.85571398169823398</v>
      </c>
      <c r="AE288">
        <v>32.18</v>
      </c>
      <c r="AF288" t="s">
        <v>4738</v>
      </c>
      <c r="AH288">
        <v>367.5</v>
      </c>
      <c r="AI288">
        <v>0.78208129389231795</v>
      </c>
      <c r="AJ288">
        <v>8.8780000000000001</v>
      </c>
      <c r="AK288" t="s">
        <v>4738</v>
      </c>
      <c r="AM288">
        <v>389.3</v>
      </c>
      <c r="AN288">
        <v>0.82847414343477299</v>
      </c>
      <c r="AO288">
        <v>19.190000000000001</v>
      </c>
      <c r="AP288" t="s">
        <v>4738</v>
      </c>
      <c r="AR288" t="e">
        <v>#N/A</v>
      </c>
      <c r="AS288" t="e">
        <v>#N/A</v>
      </c>
      <c r="AT288" t="e">
        <v>#N/A</v>
      </c>
      <c r="AU288" t="e">
        <v>#N/A</v>
      </c>
    </row>
    <row r="289" spans="1:47">
      <c r="A289" t="s">
        <v>4011</v>
      </c>
      <c r="B289" t="s">
        <v>4012</v>
      </c>
      <c r="C289" t="s">
        <v>17</v>
      </c>
      <c r="D289" t="s">
        <v>4014</v>
      </c>
      <c r="E289" t="s">
        <v>4015</v>
      </c>
      <c r="F289" t="s">
        <v>4016</v>
      </c>
      <c r="G289" t="s">
        <v>4750</v>
      </c>
      <c r="H289" t="s">
        <v>4017</v>
      </c>
      <c r="I289">
        <v>328.3</v>
      </c>
      <c r="J289">
        <v>0.69865928921047005</v>
      </c>
      <c r="K289">
        <v>2.3839999999999999</v>
      </c>
      <c r="L289" t="s">
        <v>4740</v>
      </c>
      <c r="N289">
        <v>320.60000000000002</v>
      </c>
      <c r="O289">
        <v>0.68227282400510803</v>
      </c>
      <c r="P289">
        <v>1.68</v>
      </c>
      <c r="Q289" t="s">
        <v>4740</v>
      </c>
      <c r="S289">
        <v>324.10000000000002</v>
      </c>
      <c r="T289">
        <v>0.68972121728027203</v>
      </c>
      <c r="U289">
        <v>2.4609999999999999</v>
      </c>
      <c r="V289" t="s">
        <v>4740</v>
      </c>
      <c r="X289">
        <v>335.6</v>
      </c>
      <c r="Y289">
        <v>0.71419450947009999</v>
      </c>
      <c r="Z289">
        <v>3.1989999999999998</v>
      </c>
      <c r="AA289" t="s">
        <v>4738</v>
      </c>
      <c r="AC289">
        <v>410.7</v>
      </c>
      <c r="AD289">
        <v>0.87401574803149595</v>
      </c>
      <c r="AE289">
        <v>45.18</v>
      </c>
      <c r="AF289" t="s">
        <v>4738</v>
      </c>
      <c r="AH289">
        <v>404.5</v>
      </c>
      <c r="AI289">
        <v>0.860821451372633</v>
      </c>
      <c r="AJ289">
        <v>38.409999999999997</v>
      </c>
      <c r="AK289" t="s">
        <v>4738</v>
      </c>
      <c r="AM289">
        <v>414</v>
      </c>
      <c r="AN289">
        <v>0.88103851883379403</v>
      </c>
      <c r="AO289">
        <v>54.29</v>
      </c>
      <c r="AP289" t="s">
        <v>4738</v>
      </c>
      <c r="AR289" t="e">
        <v>#N/A</v>
      </c>
      <c r="AS289" t="e">
        <v>#N/A</v>
      </c>
      <c r="AT289" t="e">
        <v>#N/A</v>
      </c>
      <c r="AU289" t="e">
        <v>#N/A</v>
      </c>
    </row>
    <row r="290" spans="1:47">
      <c r="A290" t="s">
        <v>4019</v>
      </c>
      <c r="B290" t="s">
        <v>4020</v>
      </c>
      <c r="C290" t="s">
        <v>17</v>
      </c>
      <c r="D290" t="s">
        <v>4022</v>
      </c>
      <c r="E290" t="s">
        <v>4023</v>
      </c>
      <c r="F290" t="s">
        <v>4024</v>
      </c>
      <c r="G290" t="s">
        <v>4750</v>
      </c>
      <c r="H290" t="s">
        <v>4025</v>
      </c>
      <c r="I290">
        <v>324.8</v>
      </c>
      <c r="J290">
        <v>0.69121089593530505</v>
      </c>
      <c r="K290">
        <v>2.2349999999999999</v>
      </c>
      <c r="L290" t="s">
        <v>4740</v>
      </c>
      <c r="N290">
        <v>321.89999999999998</v>
      </c>
      <c r="O290">
        <v>0.68503937007874005</v>
      </c>
      <c r="P290">
        <v>1.91</v>
      </c>
      <c r="Q290" t="s">
        <v>4740</v>
      </c>
      <c r="S290">
        <v>329.4</v>
      </c>
      <c r="T290">
        <v>0.70100021281123603</v>
      </c>
      <c r="U290">
        <v>2.5510000000000002</v>
      </c>
      <c r="V290" t="s">
        <v>4738</v>
      </c>
      <c r="X290">
        <v>311.5</v>
      </c>
      <c r="Y290">
        <v>0.66290700148967896</v>
      </c>
      <c r="Z290">
        <v>1.1679999999999999</v>
      </c>
      <c r="AA290" t="s">
        <v>4740</v>
      </c>
      <c r="AC290">
        <v>370.1</v>
      </c>
      <c r="AD290">
        <v>0.787614386039583</v>
      </c>
      <c r="AE290">
        <v>10.4</v>
      </c>
      <c r="AF290" t="s">
        <v>4738</v>
      </c>
      <c r="AH290">
        <v>395.4</v>
      </c>
      <c r="AI290">
        <v>0.84145562885720404</v>
      </c>
      <c r="AJ290">
        <v>22.98</v>
      </c>
      <c r="AK290" t="s">
        <v>4738</v>
      </c>
      <c r="AM290">
        <v>415.9</v>
      </c>
      <c r="AN290">
        <v>0.88508193232602705</v>
      </c>
      <c r="AO290">
        <v>65.19</v>
      </c>
      <c r="AP290" t="s">
        <v>4738</v>
      </c>
      <c r="AR290" t="e">
        <v>#N/A</v>
      </c>
      <c r="AS290" t="e">
        <v>#N/A</v>
      </c>
      <c r="AT290" t="e">
        <v>#N/A</v>
      </c>
      <c r="AU290" t="e">
        <v>#N/A</v>
      </c>
    </row>
    <row r="291" spans="1:47">
      <c r="A291" t="s">
        <v>4027</v>
      </c>
      <c r="B291" t="s">
        <v>4028</v>
      </c>
      <c r="C291" t="s">
        <v>17</v>
      </c>
      <c r="D291" t="s">
        <v>4030</v>
      </c>
      <c r="E291" t="s">
        <v>4031</v>
      </c>
      <c r="F291" t="s">
        <v>4032</v>
      </c>
      <c r="G291" t="s">
        <v>4750</v>
      </c>
      <c r="H291" t="s">
        <v>1816</v>
      </c>
      <c r="I291">
        <v>353.1</v>
      </c>
      <c r="J291">
        <v>0.75143647584592499</v>
      </c>
      <c r="K291">
        <v>6.13</v>
      </c>
      <c r="L291" t="s">
        <v>4738</v>
      </c>
      <c r="N291">
        <v>352.1</v>
      </c>
      <c r="O291">
        <v>0.74930836348159202</v>
      </c>
      <c r="P291">
        <v>5.86</v>
      </c>
      <c r="Q291" t="s">
        <v>4738</v>
      </c>
      <c r="S291">
        <v>380.2</v>
      </c>
      <c r="T291">
        <v>0.80910832091934504</v>
      </c>
      <c r="U291">
        <v>14.39</v>
      </c>
      <c r="V291" t="s">
        <v>4738</v>
      </c>
      <c r="X291">
        <v>379.4</v>
      </c>
      <c r="Y291">
        <v>0.807405831027878</v>
      </c>
      <c r="Z291">
        <v>12.83</v>
      </c>
      <c r="AA291" t="s">
        <v>4738</v>
      </c>
      <c r="AC291">
        <v>399.2</v>
      </c>
      <c r="AD291">
        <v>0.84954245584166799</v>
      </c>
      <c r="AE291">
        <v>29.84</v>
      </c>
      <c r="AF291" t="s">
        <v>4738</v>
      </c>
      <c r="AH291">
        <v>411.8</v>
      </c>
      <c r="AI291">
        <v>0.87635667163226205</v>
      </c>
      <c r="AJ291">
        <v>43.58</v>
      </c>
      <c r="AK291" t="s">
        <v>4738</v>
      </c>
      <c r="AM291">
        <v>396.8</v>
      </c>
      <c r="AN291">
        <v>0.84443498616726997</v>
      </c>
      <c r="AO291">
        <v>21.5</v>
      </c>
      <c r="AP291" t="s">
        <v>4738</v>
      </c>
      <c r="AR291" t="e">
        <v>#N/A</v>
      </c>
      <c r="AS291" t="e">
        <v>#N/A</v>
      </c>
      <c r="AT291" t="e">
        <v>#N/A</v>
      </c>
      <c r="AU291" t="e">
        <v>#N/A</v>
      </c>
    </row>
    <row r="292" spans="1:47">
      <c r="A292" t="s">
        <v>4034</v>
      </c>
      <c r="B292" t="s">
        <v>4035</v>
      </c>
      <c r="C292" t="s">
        <v>17</v>
      </c>
      <c r="D292" t="s">
        <v>1812</v>
      </c>
      <c r="E292" t="s">
        <v>1813</v>
      </c>
      <c r="F292" t="s">
        <v>1814</v>
      </c>
      <c r="G292" t="s">
        <v>4754</v>
      </c>
      <c r="H292" t="s">
        <v>1816</v>
      </c>
      <c r="I292">
        <v>353.1</v>
      </c>
      <c r="J292">
        <v>0.75143647584592499</v>
      </c>
      <c r="K292">
        <v>6.13</v>
      </c>
      <c r="L292" t="s">
        <v>4738</v>
      </c>
      <c r="N292">
        <v>352.1</v>
      </c>
      <c r="O292">
        <v>0.74930836348159202</v>
      </c>
      <c r="P292">
        <v>5.86</v>
      </c>
      <c r="Q292" t="s">
        <v>4738</v>
      </c>
      <c r="S292">
        <v>380.2</v>
      </c>
      <c r="T292">
        <v>0.80910832091934504</v>
      </c>
      <c r="U292">
        <v>14.39</v>
      </c>
      <c r="V292" t="s">
        <v>4738</v>
      </c>
      <c r="X292">
        <v>379.4</v>
      </c>
      <c r="Y292">
        <v>0.807405831027878</v>
      </c>
      <c r="Z292">
        <v>12.83</v>
      </c>
      <c r="AA292" t="s">
        <v>4738</v>
      </c>
      <c r="AC292">
        <v>399.2</v>
      </c>
      <c r="AD292">
        <v>0.84954245584166799</v>
      </c>
      <c r="AE292">
        <v>29.84</v>
      </c>
      <c r="AF292" t="s">
        <v>4738</v>
      </c>
      <c r="AH292">
        <v>411.8</v>
      </c>
      <c r="AI292">
        <v>0.87635667163226205</v>
      </c>
      <c r="AJ292">
        <v>43.58</v>
      </c>
      <c r="AK292" t="s">
        <v>4738</v>
      </c>
      <c r="AM292">
        <v>396.8</v>
      </c>
      <c r="AN292">
        <v>0.84443498616726997</v>
      </c>
      <c r="AO292">
        <v>21.5</v>
      </c>
      <c r="AP292" t="s">
        <v>4738</v>
      </c>
      <c r="AR292" t="e">
        <v>#N/A</v>
      </c>
      <c r="AS292" t="e">
        <v>#N/A</v>
      </c>
      <c r="AT292" t="e">
        <v>#N/A</v>
      </c>
      <c r="AU292" t="e">
        <v>#N/A</v>
      </c>
    </row>
    <row r="293" spans="1:47">
      <c r="A293" t="s">
        <v>4037</v>
      </c>
      <c r="B293" t="s">
        <v>4038</v>
      </c>
      <c r="C293" t="s">
        <v>17</v>
      </c>
      <c r="D293" t="s">
        <v>1821</v>
      </c>
      <c r="E293" t="s">
        <v>1822</v>
      </c>
      <c r="F293" t="s">
        <v>1823</v>
      </c>
      <c r="G293" t="s">
        <v>4755</v>
      </c>
      <c r="H293" t="s">
        <v>1816</v>
      </c>
      <c r="I293">
        <v>353.1</v>
      </c>
      <c r="J293">
        <v>0.75143647584592499</v>
      </c>
      <c r="K293">
        <v>6.13</v>
      </c>
      <c r="L293" t="s">
        <v>4738</v>
      </c>
      <c r="N293">
        <v>352.1</v>
      </c>
      <c r="O293">
        <v>0.74930836348159202</v>
      </c>
      <c r="P293">
        <v>5.86</v>
      </c>
      <c r="Q293" t="s">
        <v>4738</v>
      </c>
      <c r="S293">
        <v>380.2</v>
      </c>
      <c r="T293">
        <v>0.80910832091934504</v>
      </c>
      <c r="U293">
        <v>14.39</v>
      </c>
      <c r="V293" t="s">
        <v>4738</v>
      </c>
      <c r="X293">
        <v>379.4</v>
      </c>
      <c r="Y293">
        <v>0.807405831027878</v>
      </c>
      <c r="Z293">
        <v>12.83</v>
      </c>
      <c r="AA293" t="s">
        <v>4738</v>
      </c>
      <c r="AC293">
        <v>399.2</v>
      </c>
      <c r="AD293">
        <v>0.84954245584166799</v>
      </c>
      <c r="AE293">
        <v>29.84</v>
      </c>
      <c r="AF293" t="s">
        <v>4738</v>
      </c>
      <c r="AH293">
        <v>411.8</v>
      </c>
      <c r="AI293">
        <v>0.87635667163226205</v>
      </c>
      <c r="AJ293">
        <v>43.58</v>
      </c>
      <c r="AK293" t="s">
        <v>4738</v>
      </c>
      <c r="AM293">
        <v>396.8</v>
      </c>
      <c r="AN293">
        <v>0.84443498616726997</v>
      </c>
      <c r="AO293">
        <v>21.5</v>
      </c>
      <c r="AP293" t="s">
        <v>4738</v>
      </c>
      <c r="AR293" t="e">
        <v>#N/A</v>
      </c>
      <c r="AS293" t="e">
        <v>#N/A</v>
      </c>
      <c r="AT293" t="e">
        <v>#N/A</v>
      </c>
      <c r="AU293" t="e">
        <v>#N/A</v>
      </c>
    </row>
    <row r="294" spans="1:47">
      <c r="A294" t="s">
        <v>4040</v>
      </c>
      <c r="B294" t="s">
        <v>4041</v>
      </c>
      <c r="C294" t="s">
        <v>17</v>
      </c>
      <c r="D294" t="s">
        <v>1828</v>
      </c>
      <c r="E294" t="s">
        <v>1829</v>
      </c>
      <c r="F294" t="s">
        <v>1830</v>
      </c>
      <c r="G294" t="s">
        <v>4751</v>
      </c>
      <c r="H294" t="s">
        <v>1816</v>
      </c>
      <c r="I294">
        <v>353.1</v>
      </c>
      <c r="J294">
        <v>0.75143647584592499</v>
      </c>
      <c r="K294">
        <v>6.13</v>
      </c>
      <c r="L294" t="s">
        <v>4738</v>
      </c>
      <c r="N294">
        <v>352.1</v>
      </c>
      <c r="O294">
        <v>0.74930836348159202</v>
      </c>
      <c r="P294">
        <v>5.86</v>
      </c>
      <c r="Q294" t="s">
        <v>4738</v>
      </c>
      <c r="S294">
        <v>380.2</v>
      </c>
      <c r="T294">
        <v>0.80910832091934504</v>
      </c>
      <c r="U294">
        <v>14.39</v>
      </c>
      <c r="V294" t="s">
        <v>4738</v>
      </c>
      <c r="X294">
        <v>379.4</v>
      </c>
      <c r="Y294">
        <v>0.807405831027878</v>
      </c>
      <c r="Z294">
        <v>12.83</v>
      </c>
      <c r="AA294" t="s">
        <v>4738</v>
      </c>
      <c r="AC294">
        <v>399.2</v>
      </c>
      <c r="AD294">
        <v>0.84954245584166799</v>
      </c>
      <c r="AE294">
        <v>29.84</v>
      </c>
      <c r="AF294" t="s">
        <v>4738</v>
      </c>
      <c r="AH294">
        <v>411.8</v>
      </c>
      <c r="AI294">
        <v>0.87635667163226205</v>
      </c>
      <c r="AJ294">
        <v>43.58</v>
      </c>
      <c r="AK294" t="s">
        <v>4738</v>
      </c>
      <c r="AM294">
        <v>396.8</v>
      </c>
      <c r="AN294">
        <v>0.84443498616726997</v>
      </c>
      <c r="AO294">
        <v>21.5</v>
      </c>
      <c r="AP294" t="s">
        <v>4738</v>
      </c>
      <c r="AR294" t="e">
        <v>#N/A</v>
      </c>
      <c r="AS294" t="e">
        <v>#N/A</v>
      </c>
      <c r="AT294" t="e">
        <v>#N/A</v>
      </c>
      <c r="AU294" t="e">
        <v>#N/A</v>
      </c>
    </row>
    <row r="295" spans="1:47">
      <c r="A295" t="s">
        <v>4043</v>
      </c>
      <c r="B295" t="s">
        <v>4044</v>
      </c>
      <c r="C295" t="s">
        <v>17</v>
      </c>
      <c r="D295" t="s">
        <v>4046</v>
      </c>
      <c r="E295" t="s">
        <v>4047</v>
      </c>
      <c r="F295" t="s">
        <v>4048</v>
      </c>
      <c r="G295" t="s">
        <v>4750</v>
      </c>
      <c r="H295" t="s">
        <v>4049</v>
      </c>
      <c r="I295">
        <v>357.8</v>
      </c>
      <c r="J295">
        <v>0.761438603958289</v>
      </c>
      <c r="K295">
        <v>6.7919999999999998</v>
      </c>
      <c r="L295" t="s">
        <v>4738</v>
      </c>
      <c r="N295">
        <v>370.2</v>
      </c>
      <c r="O295">
        <v>0.78782719727601602</v>
      </c>
      <c r="P295">
        <v>10.31</v>
      </c>
      <c r="Q295" t="s">
        <v>4738</v>
      </c>
      <c r="S295">
        <v>352</v>
      </c>
      <c r="T295">
        <v>0.749095552245159</v>
      </c>
      <c r="U295">
        <v>5.9009999999999998</v>
      </c>
      <c r="V295" t="s">
        <v>4738</v>
      </c>
      <c r="X295">
        <v>318.8</v>
      </c>
      <c r="Y295">
        <v>0.67844222174930802</v>
      </c>
      <c r="Z295">
        <v>1.7989999999999999</v>
      </c>
      <c r="AA295" t="s">
        <v>4740</v>
      </c>
      <c r="AC295">
        <v>328.1</v>
      </c>
      <c r="AD295">
        <v>0.69823366673760401</v>
      </c>
      <c r="AE295">
        <v>2.552</v>
      </c>
      <c r="AF295" t="s">
        <v>4738</v>
      </c>
      <c r="AH295">
        <v>367.5</v>
      </c>
      <c r="AI295">
        <v>0.78208129389231795</v>
      </c>
      <c r="AJ295">
        <v>8.8219999999999992</v>
      </c>
      <c r="AK295" t="s">
        <v>4738</v>
      </c>
      <c r="AM295">
        <v>417.7</v>
      </c>
      <c r="AN295">
        <v>0.88891253458182595</v>
      </c>
      <c r="AO295">
        <v>54.28</v>
      </c>
      <c r="AP295" t="s">
        <v>4738</v>
      </c>
      <c r="AR295" t="e">
        <v>#N/A</v>
      </c>
      <c r="AS295" t="e">
        <v>#N/A</v>
      </c>
      <c r="AT295" t="e">
        <v>#N/A</v>
      </c>
      <c r="AU295" t="e">
        <v>#N/A</v>
      </c>
    </row>
    <row r="296" spans="1:47">
      <c r="A296" t="s">
        <v>4051</v>
      </c>
      <c r="B296" t="s">
        <v>4052</v>
      </c>
      <c r="C296" t="s">
        <v>17</v>
      </c>
      <c r="D296" t="s">
        <v>4054</v>
      </c>
      <c r="E296" t="s">
        <v>4055</v>
      </c>
      <c r="F296" t="s">
        <v>4056</v>
      </c>
      <c r="G296" t="s">
        <v>4750</v>
      </c>
      <c r="H296" t="s">
        <v>4057</v>
      </c>
      <c r="I296">
        <v>309.3</v>
      </c>
      <c r="J296">
        <v>0.65822515428814599</v>
      </c>
      <c r="K296">
        <v>1.1879999999999999</v>
      </c>
      <c r="L296" t="s">
        <v>4740</v>
      </c>
      <c r="N296">
        <v>377.4</v>
      </c>
      <c r="O296">
        <v>0.80314960629921295</v>
      </c>
      <c r="P296">
        <v>12.21</v>
      </c>
      <c r="Q296" t="s">
        <v>4738</v>
      </c>
      <c r="S296">
        <v>322.39999999999998</v>
      </c>
      <c r="T296">
        <v>0.68610342626090703</v>
      </c>
      <c r="U296">
        <v>2.09</v>
      </c>
      <c r="V296" t="s">
        <v>4740</v>
      </c>
      <c r="X296">
        <v>312.7</v>
      </c>
      <c r="Y296">
        <v>0.66546073632687797</v>
      </c>
      <c r="Z296">
        <v>1.45</v>
      </c>
      <c r="AA296" t="s">
        <v>4740</v>
      </c>
      <c r="AC296">
        <v>393</v>
      </c>
      <c r="AD296">
        <v>0.83634815918280503</v>
      </c>
      <c r="AE296">
        <v>19.72</v>
      </c>
      <c r="AF296" t="s">
        <v>4738</v>
      </c>
      <c r="AH296">
        <v>407.6</v>
      </c>
      <c r="AI296">
        <v>0.86741859970206403</v>
      </c>
      <c r="AJ296">
        <v>38.19</v>
      </c>
      <c r="AK296" t="s">
        <v>4738</v>
      </c>
      <c r="AM296">
        <v>408</v>
      </c>
      <c r="AN296">
        <v>0.868269844647797</v>
      </c>
      <c r="AO296">
        <v>44.94</v>
      </c>
      <c r="AP296" t="s">
        <v>4738</v>
      </c>
      <c r="AR296" t="e">
        <v>#N/A</v>
      </c>
      <c r="AS296" t="e">
        <v>#N/A</v>
      </c>
      <c r="AT296" t="e">
        <v>#N/A</v>
      </c>
      <c r="AU296" t="e">
        <v>#N/A</v>
      </c>
    </row>
    <row r="297" spans="1:47">
      <c r="A297" t="s">
        <v>4059</v>
      </c>
      <c r="B297" t="s">
        <v>4060</v>
      </c>
      <c r="C297" t="s">
        <v>17</v>
      </c>
      <c r="D297" t="s">
        <v>4062</v>
      </c>
      <c r="E297" t="s">
        <v>4063</v>
      </c>
      <c r="F297" t="s">
        <v>4064</v>
      </c>
      <c r="G297" t="s">
        <v>4750</v>
      </c>
      <c r="H297" t="s">
        <v>1846</v>
      </c>
      <c r="I297">
        <v>368.3</v>
      </c>
      <c r="J297">
        <v>0.78378378378378399</v>
      </c>
      <c r="K297">
        <v>9.5289999999999999</v>
      </c>
      <c r="L297" t="s">
        <v>4738</v>
      </c>
      <c r="N297">
        <v>376.4</v>
      </c>
      <c r="O297">
        <v>0.80102149393487998</v>
      </c>
      <c r="P297">
        <v>13.22</v>
      </c>
      <c r="Q297" t="s">
        <v>4738</v>
      </c>
      <c r="S297">
        <v>389.9</v>
      </c>
      <c r="T297">
        <v>0.82975101085337299</v>
      </c>
      <c r="U297">
        <v>17.64</v>
      </c>
      <c r="V297" t="s">
        <v>4738</v>
      </c>
      <c r="X297">
        <v>379.9</v>
      </c>
      <c r="Y297">
        <v>0.80846988721004498</v>
      </c>
      <c r="Z297">
        <v>13.1</v>
      </c>
      <c r="AA297" t="s">
        <v>4738</v>
      </c>
      <c r="AC297">
        <v>327.9</v>
      </c>
      <c r="AD297">
        <v>0.69780804426473697</v>
      </c>
      <c r="AE297">
        <v>2.4980000000000002</v>
      </c>
      <c r="AF297" t="s">
        <v>4738</v>
      </c>
      <c r="AH297">
        <v>399.3</v>
      </c>
      <c r="AI297">
        <v>0.84975526707810201</v>
      </c>
      <c r="AJ297">
        <v>27.7</v>
      </c>
      <c r="AK297" t="s">
        <v>4738</v>
      </c>
      <c r="AM297">
        <v>397.9</v>
      </c>
      <c r="AN297">
        <v>0.84677590976803596</v>
      </c>
      <c r="AO297">
        <v>23.59</v>
      </c>
      <c r="AP297" t="s">
        <v>4738</v>
      </c>
      <c r="AR297" t="e">
        <v>#N/A</v>
      </c>
      <c r="AS297" t="e">
        <v>#N/A</v>
      </c>
      <c r="AT297" t="e">
        <v>#N/A</v>
      </c>
      <c r="AU297" t="e">
        <v>#N/A</v>
      </c>
    </row>
    <row r="298" spans="1:47">
      <c r="A298" t="s">
        <v>4066</v>
      </c>
      <c r="B298" t="s">
        <v>4067</v>
      </c>
      <c r="C298" t="s">
        <v>17</v>
      </c>
      <c r="D298" t="s">
        <v>1842</v>
      </c>
      <c r="E298" t="s">
        <v>1843</v>
      </c>
      <c r="F298" t="s">
        <v>1844</v>
      </c>
      <c r="G298" t="s">
        <v>4754</v>
      </c>
      <c r="H298" t="s">
        <v>1846</v>
      </c>
      <c r="I298">
        <v>368.3</v>
      </c>
      <c r="J298">
        <v>0.78378378378378399</v>
      </c>
      <c r="K298">
        <v>9.5289999999999999</v>
      </c>
      <c r="L298" t="s">
        <v>4738</v>
      </c>
      <c r="N298">
        <v>376.4</v>
      </c>
      <c r="O298">
        <v>0.80102149393487998</v>
      </c>
      <c r="P298">
        <v>13.22</v>
      </c>
      <c r="Q298" t="s">
        <v>4738</v>
      </c>
      <c r="S298">
        <v>389.9</v>
      </c>
      <c r="T298">
        <v>0.82975101085337299</v>
      </c>
      <c r="U298">
        <v>17.64</v>
      </c>
      <c r="V298" t="s">
        <v>4738</v>
      </c>
      <c r="X298">
        <v>379.9</v>
      </c>
      <c r="Y298">
        <v>0.80846988721004498</v>
      </c>
      <c r="Z298">
        <v>13.1</v>
      </c>
      <c r="AA298" t="s">
        <v>4738</v>
      </c>
      <c r="AC298">
        <v>327.9</v>
      </c>
      <c r="AD298">
        <v>0.69780804426473697</v>
      </c>
      <c r="AE298">
        <v>2.4980000000000002</v>
      </c>
      <c r="AF298" t="s">
        <v>4738</v>
      </c>
      <c r="AH298">
        <v>399.3</v>
      </c>
      <c r="AI298">
        <v>0.84975526707810201</v>
      </c>
      <c r="AJ298">
        <v>27.7</v>
      </c>
      <c r="AK298" t="s">
        <v>4738</v>
      </c>
      <c r="AM298">
        <v>397.9</v>
      </c>
      <c r="AN298">
        <v>0.84677590976803596</v>
      </c>
      <c r="AO298">
        <v>23.59</v>
      </c>
      <c r="AP298" t="s">
        <v>4738</v>
      </c>
      <c r="AR298" t="e">
        <v>#N/A</v>
      </c>
      <c r="AS298" t="e">
        <v>#N/A</v>
      </c>
      <c r="AT298" t="e">
        <v>#N/A</v>
      </c>
      <c r="AU298" t="e">
        <v>#N/A</v>
      </c>
    </row>
    <row r="299" spans="1:47">
      <c r="A299" t="s">
        <v>4069</v>
      </c>
      <c r="B299" t="s">
        <v>4070</v>
      </c>
      <c r="C299" t="s">
        <v>17</v>
      </c>
      <c r="D299" t="s">
        <v>1851</v>
      </c>
      <c r="E299" t="s">
        <v>1852</v>
      </c>
      <c r="F299" t="s">
        <v>1853</v>
      </c>
      <c r="G299" t="s">
        <v>4755</v>
      </c>
      <c r="H299" t="s">
        <v>1846</v>
      </c>
      <c r="I299">
        <v>368.3</v>
      </c>
      <c r="J299">
        <v>0.78378378378378399</v>
      </c>
      <c r="K299">
        <v>9.5289999999999999</v>
      </c>
      <c r="L299" t="s">
        <v>4738</v>
      </c>
      <c r="N299">
        <v>376.4</v>
      </c>
      <c r="O299">
        <v>0.80102149393487998</v>
      </c>
      <c r="P299">
        <v>13.22</v>
      </c>
      <c r="Q299" t="s">
        <v>4738</v>
      </c>
      <c r="S299">
        <v>389.9</v>
      </c>
      <c r="T299">
        <v>0.82975101085337299</v>
      </c>
      <c r="U299">
        <v>17.64</v>
      </c>
      <c r="V299" t="s">
        <v>4738</v>
      </c>
      <c r="X299">
        <v>379.9</v>
      </c>
      <c r="Y299">
        <v>0.80846988721004498</v>
      </c>
      <c r="Z299">
        <v>13.1</v>
      </c>
      <c r="AA299" t="s">
        <v>4738</v>
      </c>
      <c r="AC299">
        <v>327.9</v>
      </c>
      <c r="AD299">
        <v>0.69780804426473697</v>
      </c>
      <c r="AE299">
        <v>2.4980000000000002</v>
      </c>
      <c r="AF299" t="s">
        <v>4738</v>
      </c>
      <c r="AH299">
        <v>399.3</v>
      </c>
      <c r="AI299">
        <v>0.84975526707810201</v>
      </c>
      <c r="AJ299">
        <v>27.7</v>
      </c>
      <c r="AK299" t="s">
        <v>4738</v>
      </c>
      <c r="AM299">
        <v>397.9</v>
      </c>
      <c r="AN299">
        <v>0.84677590976803596</v>
      </c>
      <c r="AO299">
        <v>23.59</v>
      </c>
      <c r="AP299" t="s">
        <v>4738</v>
      </c>
      <c r="AR299" t="e">
        <v>#N/A</v>
      </c>
      <c r="AS299" t="e">
        <v>#N/A</v>
      </c>
      <c r="AT299" t="e">
        <v>#N/A</v>
      </c>
      <c r="AU299" t="e">
        <v>#N/A</v>
      </c>
    </row>
    <row r="300" spans="1:47">
      <c r="A300" t="s">
        <v>4072</v>
      </c>
      <c r="B300" t="s">
        <v>4073</v>
      </c>
      <c r="C300" t="s">
        <v>17</v>
      </c>
      <c r="D300" t="s">
        <v>1858</v>
      </c>
      <c r="E300" t="s">
        <v>1859</v>
      </c>
      <c r="F300" t="s">
        <v>1860</v>
      </c>
      <c r="G300" t="s">
        <v>4751</v>
      </c>
      <c r="H300" t="s">
        <v>1846</v>
      </c>
      <c r="I300">
        <v>368.3</v>
      </c>
      <c r="J300">
        <v>0.78378378378378399</v>
      </c>
      <c r="K300">
        <v>9.5289999999999999</v>
      </c>
      <c r="L300" t="s">
        <v>4738</v>
      </c>
      <c r="N300">
        <v>376.4</v>
      </c>
      <c r="O300">
        <v>0.80102149393487998</v>
      </c>
      <c r="P300">
        <v>13.22</v>
      </c>
      <c r="Q300" t="s">
        <v>4738</v>
      </c>
      <c r="S300">
        <v>389.9</v>
      </c>
      <c r="T300">
        <v>0.82975101085337299</v>
      </c>
      <c r="U300">
        <v>17.64</v>
      </c>
      <c r="V300" t="s">
        <v>4738</v>
      </c>
      <c r="X300">
        <v>379.9</v>
      </c>
      <c r="Y300">
        <v>0.80846988721004498</v>
      </c>
      <c r="Z300">
        <v>13.1</v>
      </c>
      <c r="AA300" t="s">
        <v>4738</v>
      </c>
      <c r="AC300">
        <v>327.9</v>
      </c>
      <c r="AD300">
        <v>0.69780804426473697</v>
      </c>
      <c r="AE300">
        <v>2.4980000000000002</v>
      </c>
      <c r="AF300" t="s">
        <v>4738</v>
      </c>
      <c r="AH300">
        <v>399.3</v>
      </c>
      <c r="AI300">
        <v>0.84975526707810201</v>
      </c>
      <c r="AJ300">
        <v>27.7</v>
      </c>
      <c r="AK300" t="s">
        <v>4738</v>
      </c>
      <c r="AM300">
        <v>397.9</v>
      </c>
      <c r="AN300">
        <v>0.84677590976803596</v>
      </c>
      <c r="AO300">
        <v>23.59</v>
      </c>
      <c r="AP300" t="s">
        <v>4738</v>
      </c>
      <c r="AR300" t="e">
        <v>#N/A</v>
      </c>
      <c r="AS300" t="e">
        <v>#N/A</v>
      </c>
      <c r="AT300" t="e">
        <v>#N/A</v>
      </c>
      <c r="AU300" t="e">
        <v>#N/A</v>
      </c>
    </row>
    <row r="301" spans="1:47">
      <c r="A301" t="s">
        <v>4075</v>
      </c>
      <c r="B301" t="s">
        <v>4076</v>
      </c>
      <c r="C301" t="s">
        <v>17</v>
      </c>
      <c r="D301" t="s">
        <v>4078</v>
      </c>
      <c r="E301" t="s">
        <v>4079</v>
      </c>
      <c r="F301" t="s">
        <v>4080</v>
      </c>
      <c r="G301" t="s">
        <v>4750</v>
      </c>
      <c r="H301" t="s">
        <v>4081</v>
      </c>
      <c r="I301">
        <v>329.1</v>
      </c>
      <c r="J301">
        <v>0.70036177910193698</v>
      </c>
      <c r="K301">
        <v>2.7349999999999999</v>
      </c>
      <c r="L301" t="s">
        <v>4740</v>
      </c>
      <c r="N301">
        <v>360.4</v>
      </c>
      <c r="O301">
        <v>0.76697169610555405</v>
      </c>
      <c r="P301">
        <v>7.4630000000000001</v>
      </c>
      <c r="Q301" t="s">
        <v>4738</v>
      </c>
      <c r="S301">
        <v>343.2</v>
      </c>
      <c r="T301">
        <v>0.73036816343902999</v>
      </c>
      <c r="U301">
        <v>4.3209999999999997</v>
      </c>
      <c r="V301" t="s">
        <v>4738</v>
      </c>
      <c r="X301">
        <v>363.5</v>
      </c>
      <c r="Y301">
        <v>0.77356884443498597</v>
      </c>
      <c r="Z301">
        <v>7.6609999999999996</v>
      </c>
      <c r="AA301" t="s">
        <v>4738</v>
      </c>
      <c r="AC301">
        <v>415.2</v>
      </c>
      <c r="AD301">
        <v>0.88359225367099403</v>
      </c>
      <c r="AE301">
        <v>67.25</v>
      </c>
      <c r="AF301" t="s">
        <v>4738</v>
      </c>
      <c r="AH301">
        <v>385</v>
      </c>
      <c r="AI301">
        <v>0.81932326026814195</v>
      </c>
      <c r="AJ301">
        <v>18.91</v>
      </c>
      <c r="AK301" t="s">
        <v>4738</v>
      </c>
      <c r="AM301">
        <v>410.9</v>
      </c>
      <c r="AN301">
        <v>0.87444137050436299</v>
      </c>
      <c r="AO301">
        <v>47.37</v>
      </c>
      <c r="AP301" t="s">
        <v>4738</v>
      </c>
      <c r="AR301" t="e">
        <v>#N/A</v>
      </c>
      <c r="AS301" t="e">
        <v>#N/A</v>
      </c>
      <c r="AT301" t="e">
        <v>#N/A</v>
      </c>
      <c r="AU301" t="e">
        <v>#N/A</v>
      </c>
    </row>
    <row r="302" spans="1:47">
      <c r="A302" t="s">
        <v>4083</v>
      </c>
      <c r="B302" t="s">
        <v>4084</v>
      </c>
      <c r="C302" t="s">
        <v>17</v>
      </c>
      <c r="D302" t="s">
        <v>4086</v>
      </c>
      <c r="E302" t="s">
        <v>4087</v>
      </c>
      <c r="F302" t="s">
        <v>4088</v>
      </c>
      <c r="G302" t="s">
        <v>4750</v>
      </c>
      <c r="H302" t="s">
        <v>1876</v>
      </c>
      <c r="I302">
        <v>347.5</v>
      </c>
      <c r="J302">
        <v>0.73951904660566103</v>
      </c>
      <c r="K302">
        <v>4.9109999999999996</v>
      </c>
      <c r="L302" t="s">
        <v>4738</v>
      </c>
      <c r="N302">
        <v>341.8</v>
      </c>
      <c r="O302">
        <v>0.72738880612896395</v>
      </c>
      <c r="P302">
        <v>3.91</v>
      </c>
      <c r="Q302" t="s">
        <v>4738</v>
      </c>
      <c r="S302">
        <v>322.7</v>
      </c>
      <c r="T302">
        <v>0.68674185997020598</v>
      </c>
      <c r="U302">
        <v>1.9810000000000001</v>
      </c>
      <c r="V302" t="s">
        <v>4740</v>
      </c>
      <c r="X302">
        <v>322.60000000000002</v>
      </c>
      <c r="Y302">
        <v>0.68652904873377296</v>
      </c>
      <c r="Z302">
        <v>2.21</v>
      </c>
      <c r="AA302" t="s">
        <v>4740</v>
      </c>
      <c r="AC302">
        <v>427.5</v>
      </c>
      <c r="AD302">
        <v>0.90976803575228804</v>
      </c>
      <c r="AE302">
        <v>98.19</v>
      </c>
      <c r="AF302" t="s">
        <v>4738</v>
      </c>
      <c r="AH302">
        <v>425.2</v>
      </c>
      <c r="AI302">
        <v>0.90487337731432205</v>
      </c>
      <c r="AJ302">
        <v>72.319999999999993</v>
      </c>
      <c r="AK302" t="s">
        <v>4738</v>
      </c>
      <c r="AM302">
        <v>419.7</v>
      </c>
      <c r="AN302">
        <v>0.893168759310492</v>
      </c>
      <c r="AO302">
        <v>67.319999999999993</v>
      </c>
      <c r="AP302" t="s">
        <v>4738</v>
      </c>
      <c r="AR302" t="e">
        <v>#N/A</v>
      </c>
      <c r="AS302" t="e">
        <v>#N/A</v>
      </c>
      <c r="AT302" t="e">
        <v>#N/A</v>
      </c>
      <c r="AU302" t="e">
        <v>#N/A</v>
      </c>
    </row>
    <row r="303" spans="1:47">
      <c r="A303" t="s">
        <v>4090</v>
      </c>
      <c r="B303" t="s">
        <v>4091</v>
      </c>
      <c r="C303" t="s">
        <v>17</v>
      </c>
      <c r="D303" t="s">
        <v>4093</v>
      </c>
      <c r="E303" t="s">
        <v>4094</v>
      </c>
      <c r="F303" t="s">
        <v>4095</v>
      </c>
      <c r="G303" t="s">
        <v>4750</v>
      </c>
      <c r="H303" t="s">
        <v>4096</v>
      </c>
      <c r="I303">
        <v>392.6</v>
      </c>
      <c r="J303">
        <v>0.83549691423707195</v>
      </c>
      <c r="K303">
        <v>20.11</v>
      </c>
      <c r="L303" t="s">
        <v>4738</v>
      </c>
      <c r="N303">
        <v>396.6</v>
      </c>
      <c r="O303">
        <v>0.84400936369440305</v>
      </c>
      <c r="P303">
        <v>22.54</v>
      </c>
      <c r="Q303" t="s">
        <v>4738</v>
      </c>
      <c r="S303">
        <v>370.1</v>
      </c>
      <c r="T303">
        <v>0.787614386039583</v>
      </c>
      <c r="U303">
        <v>9.7349999999999994</v>
      </c>
      <c r="V303" t="s">
        <v>4738</v>
      </c>
      <c r="X303">
        <v>385.8</v>
      </c>
      <c r="Y303">
        <v>0.82102575015960799</v>
      </c>
      <c r="Z303">
        <v>15.57</v>
      </c>
      <c r="AA303" t="s">
        <v>4738</v>
      </c>
      <c r="AC303">
        <v>418.4</v>
      </c>
      <c r="AD303">
        <v>0.89040221323685897</v>
      </c>
      <c r="AE303">
        <v>76.62</v>
      </c>
      <c r="AF303" t="s">
        <v>4738</v>
      </c>
      <c r="AH303">
        <v>397.2</v>
      </c>
      <c r="AI303">
        <v>0.84528623111300305</v>
      </c>
      <c r="AJ303">
        <v>23.43</v>
      </c>
      <c r="AK303" t="s">
        <v>4738</v>
      </c>
      <c r="AM303">
        <v>392.5</v>
      </c>
      <c r="AN303">
        <v>0.83528410300063805</v>
      </c>
      <c r="AO303">
        <v>18.809999999999999</v>
      </c>
      <c r="AP303" t="s">
        <v>4738</v>
      </c>
      <c r="AR303" t="e">
        <v>#N/A</v>
      </c>
      <c r="AS303" t="e">
        <v>#N/A</v>
      </c>
      <c r="AT303" t="e">
        <v>#N/A</v>
      </c>
      <c r="AU303" t="e">
        <v>#N/A</v>
      </c>
    </row>
    <row r="304" spans="1:47">
      <c r="A304" t="s">
        <v>4098</v>
      </c>
      <c r="B304" t="s">
        <v>4099</v>
      </c>
      <c r="C304" t="s">
        <v>17</v>
      </c>
      <c r="D304" t="s">
        <v>1872</v>
      </c>
      <c r="E304" t="s">
        <v>1873</v>
      </c>
      <c r="F304" t="s">
        <v>1874</v>
      </c>
      <c r="G304" t="s">
        <v>4754</v>
      </c>
      <c r="H304" t="s">
        <v>1876</v>
      </c>
      <c r="I304">
        <v>347.5</v>
      </c>
      <c r="J304">
        <v>0.73951904660566103</v>
      </c>
      <c r="K304">
        <v>4.9109999999999996</v>
      </c>
      <c r="L304" t="s">
        <v>4738</v>
      </c>
      <c r="N304">
        <v>341.8</v>
      </c>
      <c r="O304">
        <v>0.72738880612896395</v>
      </c>
      <c r="P304">
        <v>3.91</v>
      </c>
      <c r="Q304" t="s">
        <v>4738</v>
      </c>
      <c r="S304">
        <v>322.7</v>
      </c>
      <c r="T304">
        <v>0.68674185997020598</v>
      </c>
      <c r="U304">
        <v>1.9810000000000001</v>
      </c>
      <c r="V304" t="s">
        <v>4740</v>
      </c>
      <c r="X304">
        <v>322.60000000000002</v>
      </c>
      <c r="Y304">
        <v>0.68652904873377296</v>
      </c>
      <c r="Z304">
        <v>2.21</v>
      </c>
      <c r="AA304" t="s">
        <v>4740</v>
      </c>
      <c r="AC304">
        <v>427.5</v>
      </c>
      <c r="AD304">
        <v>0.90976803575228804</v>
      </c>
      <c r="AE304">
        <v>98.19</v>
      </c>
      <c r="AF304" t="s">
        <v>4738</v>
      </c>
      <c r="AH304">
        <v>425.2</v>
      </c>
      <c r="AI304">
        <v>0.90487337731432205</v>
      </c>
      <c r="AJ304">
        <v>72.319999999999993</v>
      </c>
      <c r="AK304" t="s">
        <v>4738</v>
      </c>
      <c r="AM304">
        <v>419.7</v>
      </c>
      <c r="AN304">
        <v>0.893168759310492</v>
      </c>
      <c r="AO304">
        <v>67.319999999999993</v>
      </c>
      <c r="AP304" t="s">
        <v>4738</v>
      </c>
      <c r="AR304" t="e">
        <v>#N/A</v>
      </c>
      <c r="AS304" t="e">
        <v>#N/A</v>
      </c>
      <c r="AT304" t="e">
        <v>#N/A</v>
      </c>
      <c r="AU304" t="e">
        <v>#N/A</v>
      </c>
    </row>
    <row r="305" spans="1:47">
      <c r="A305" t="s">
        <v>4101</v>
      </c>
      <c r="B305" t="s">
        <v>4102</v>
      </c>
      <c r="C305" t="s">
        <v>17</v>
      </c>
      <c r="D305" t="s">
        <v>1881</v>
      </c>
      <c r="E305" t="s">
        <v>1882</v>
      </c>
      <c r="F305" t="s">
        <v>1883</v>
      </c>
      <c r="G305" t="s">
        <v>4755</v>
      </c>
      <c r="H305" t="s">
        <v>1876</v>
      </c>
      <c r="I305">
        <v>347.5</v>
      </c>
      <c r="J305">
        <v>0.73951904660566103</v>
      </c>
      <c r="K305">
        <v>4.9109999999999996</v>
      </c>
      <c r="L305" t="s">
        <v>4738</v>
      </c>
      <c r="N305">
        <v>341.8</v>
      </c>
      <c r="O305">
        <v>0.72738880612896395</v>
      </c>
      <c r="P305">
        <v>3.91</v>
      </c>
      <c r="Q305" t="s">
        <v>4738</v>
      </c>
      <c r="S305">
        <v>322.7</v>
      </c>
      <c r="T305">
        <v>0.68674185997020598</v>
      </c>
      <c r="U305">
        <v>1.9810000000000001</v>
      </c>
      <c r="V305" t="s">
        <v>4740</v>
      </c>
      <c r="X305">
        <v>322.60000000000002</v>
      </c>
      <c r="Y305">
        <v>0.68652904873377296</v>
      </c>
      <c r="Z305">
        <v>2.21</v>
      </c>
      <c r="AA305" t="s">
        <v>4740</v>
      </c>
      <c r="AC305">
        <v>427.5</v>
      </c>
      <c r="AD305">
        <v>0.90976803575228804</v>
      </c>
      <c r="AE305">
        <v>98.19</v>
      </c>
      <c r="AF305" t="s">
        <v>4738</v>
      </c>
      <c r="AH305">
        <v>425.2</v>
      </c>
      <c r="AI305">
        <v>0.90487337731432205</v>
      </c>
      <c r="AJ305">
        <v>72.319999999999993</v>
      </c>
      <c r="AK305" t="s">
        <v>4738</v>
      </c>
      <c r="AM305">
        <v>419.7</v>
      </c>
      <c r="AN305">
        <v>0.893168759310492</v>
      </c>
      <c r="AO305">
        <v>67.319999999999993</v>
      </c>
      <c r="AP305" t="s">
        <v>4738</v>
      </c>
      <c r="AR305" t="e">
        <v>#N/A</v>
      </c>
      <c r="AS305" t="e">
        <v>#N/A</v>
      </c>
      <c r="AT305" t="e">
        <v>#N/A</v>
      </c>
      <c r="AU305" t="e">
        <v>#N/A</v>
      </c>
    </row>
    <row r="306" spans="1:47">
      <c r="A306" t="s">
        <v>4104</v>
      </c>
      <c r="B306" t="s">
        <v>4105</v>
      </c>
      <c r="C306" t="s">
        <v>17</v>
      </c>
      <c r="D306" t="s">
        <v>1888</v>
      </c>
      <c r="E306" t="s">
        <v>1889</v>
      </c>
      <c r="F306" t="s">
        <v>1890</v>
      </c>
      <c r="G306" t="s">
        <v>4751</v>
      </c>
      <c r="H306" t="s">
        <v>1876</v>
      </c>
      <c r="I306">
        <v>347.5</v>
      </c>
      <c r="J306">
        <v>0.73951904660566103</v>
      </c>
      <c r="K306">
        <v>4.9109999999999996</v>
      </c>
      <c r="L306" t="s">
        <v>4738</v>
      </c>
      <c r="N306">
        <v>341.8</v>
      </c>
      <c r="O306">
        <v>0.72738880612896395</v>
      </c>
      <c r="P306">
        <v>3.91</v>
      </c>
      <c r="Q306" t="s">
        <v>4738</v>
      </c>
      <c r="S306">
        <v>322.7</v>
      </c>
      <c r="T306">
        <v>0.68674185997020598</v>
      </c>
      <c r="U306">
        <v>1.9810000000000001</v>
      </c>
      <c r="V306" t="s">
        <v>4740</v>
      </c>
      <c r="X306">
        <v>322.60000000000002</v>
      </c>
      <c r="Y306">
        <v>0.68652904873377296</v>
      </c>
      <c r="Z306">
        <v>2.21</v>
      </c>
      <c r="AA306" t="s">
        <v>4740</v>
      </c>
      <c r="AC306">
        <v>427.5</v>
      </c>
      <c r="AD306">
        <v>0.90976803575228804</v>
      </c>
      <c r="AE306">
        <v>98.19</v>
      </c>
      <c r="AF306" t="s">
        <v>4738</v>
      </c>
      <c r="AH306">
        <v>425.2</v>
      </c>
      <c r="AI306">
        <v>0.90487337731432205</v>
      </c>
      <c r="AJ306">
        <v>72.319999999999993</v>
      </c>
      <c r="AK306" t="s">
        <v>4738</v>
      </c>
      <c r="AM306">
        <v>419.7</v>
      </c>
      <c r="AN306">
        <v>0.893168759310492</v>
      </c>
      <c r="AO306">
        <v>67.319999999999993</v>
      </c>
      <c r="AP306" t="s">
        <v>4738</v>
      </c>
      <c r="AR306" t="e">
        <v>#N/A</v>
      </c>
      <c r="AS306" t="e">
        <v>#N/A</v>
      </c>
      <c r="AT306" t="e">
        <v>#N/A</v>
      </c>
      <c r="AU306" t="e">
        <v>#N/A</v>
      </c>
    </row>
    <row r="307" spans="1:47">
      <c r="A307" t="s">
        <v>4107</v>
      </c>
      <c r="B307" t="s">
        <v>4108</v>
      </c>
      <c r="C307" t="s">
        <v>17</v>
      </c>
      <c r="D307" t="s">
        <v>4110</v>
      </c>
      <c r="E307" t="s">
        <v>4111</v>
      </c>
      <c r="F307" t="s">
        <v>4112</v>
      </c>
      <c r="G307" t="s">
        <v>4750</v>
      </c>
      <c r="H307" t="s">
        <v>4114</v>
      </c>
      <c r="I307">
        <v>338.7</v>
      </c>
      <c r="J307">
        <v>0.72079165779953203</v>
      </c>
      <c r="K307">
        <v>3.5609999999999999</v>
      </c>
      <c r="L307" t="s">
        <v>4738</v>
      </c>
      <c r="N307">
        <v>347.9</v>
      </c>
      <c r="O307">
        <v>0.740370291551394</v>
      </c>
      <c r="P307">
        <v>4.8310000000000004</v>
      </c>
      <c r="Q307" t="s">
        <v>4738</v>
      </c>
      <c r="S307">
        <v>322</v>
      </c>
      <c r="T307">
        <v>0.68525218131517396</v>
      </c>
      <c r="U307">
        <v>2.16</v>
      </c>
      <c r="V307" t="s">
        <v>4740</v>
      </c>
      <c r="X307">
        <v>324.39999999999998</v>
      </c>
      <c r="Y307">
        <v>0.69035965098957197</v>
      </c>
      <c r="Z307">
        <v>2.2509999999999999</v>
      </c>
      <c r="AA307" t="s">
        <v>4740</v>
      </c>
      <c r="AC307">
        <v>407.5</v>
      </c>
      <c r="AD307">
        <v>0.86720578846563101</v>
      </c>
      <c r="AE307">
        <v>39.82</v>
      </c>
      <c r="AF307" t="s">
        <v>4738</v>
      </c>
      <c r="AH307">
        <v>367.7</v>
      </c>
      <c r="AI307">
        <v>0.78250691636518399</v>
      </c>
      <c r="AJ307">
        <v>10.32</v>
      </c>
      <c r="AK307" t="s">
        <v>4738</v>
      </c>
      <c r="AM307">
        <v>403.8</v>
      </c>
      <c r="AN307">
        <v>0.85933177271759997</v>
      </c>
      <c r="AO307">
        <v>30</v>
      </c>
      <c r="AP307" t="s">
        <v>4738</v>
      </c>
      <c r="AR307" t="e">
        <v>#N/A</v>
      </c>
      <c r="AS307" t="e">
        <v>#N/A</v>
      </c>
      <c r="AT307" t="e">
        <v>#N/A</v>
      </c>
      <c r="AU307" t="e">
        <v>#N/A</v>
      </c>
    </row>
    <row r="308" spans="1:47">
      <c r="A308" t="s">
        <v>4116</v>
      </c>
      <c r="B308" t="s">
        <v>4117</v>
      </c>
      <c r="C308" t="s">
        <v>17</v>
      </c>
      <c r="D308" t="s">
        <v>4119</v>
      </c>
      <c r="E308" t="s">
        <v>4120</v>
      </c>
      <c r="F308" t="s">
        <v>4121</v>
      </c>
      <c r="G308" t="s">
        <v>4750</v>
      </c>
      <c r="H308" t="s">
        <v>4122</v>
      </c>
      <c r="I308">
        <v>417.4</v>
      </c>
      <c r="J308">
        <v>0.88827410087252601</v>
      </c>
      <c r="K308">
        <v>73.28</v>
      </c>
      <c r="L308" t="s">
        <v>4738</v>
      </c>
      <c r="N308">
        <v>380.2</v>
      </c>
      <c r="O308">
        <v>0.80910832091934504</v>
      </c>
      <c r="P308">
        <v>14.2</v>
      </c>
      <c r="Q308" t="s">
        <v>4738</v>
      </c>
      <c r="S308">
        <v>391.7</v>
      </c>
      <c r="T308">
        <v>0.833581613109172</v>
      </c>
      <c r="U308">
        <v>19.09</v>
      </c>
      <c r="V308" t="s">
        <v>4738</v>
      </c>
      <c r="X308">
        <v>352.7</v>
      </c>
      <c r="Y308">
        <v>0.75058523090019202</v>
      </c>
      <c r="Z308">
        <v>6.0330000000000004</v>
      </c>
      <c r="AA308" t="s">
        <v>4738</v>
      </c>
      <c r="AC308">
        <v>413.1</v>
      </c>
      <c r="AD308">
        <v>0.87912321770589497</v>
      </c>
      <c r="AE308">
        <v>42.95</v>
      </c>
      <c r="AF308" t="s">
        <v>4738</v>
      </c>
      <c r="AH308">
        <v>323.7</v>
      </c>
      <c r="AI308">
        <v>0.68886997233453895</v>
      </c>
      <c r="AJ308">
        <v>2.19</v>
      </c>
      <c r="AK308" t="s">
        <v>4738</v>
      </c>
      <c r="AM308">
        <v>405.4</v>
      </c>
      <c r="AN308">
        <v>0.86273675250053194</v>
      </c>
      <c r="AO308">
        <v>33.46</v>
      </c>
      <c r="AP308" t="s">
        <v>4738</v>
      </c>
      <c r="AR308" t="e">
        <v>#N/A</v>
      </c>
      <c r="AS308" t="e">
        <v>#N/A</v>
      </c>
      <c r="AT308" t="e">
        <v>#N/A</v>
      </c>
      <c r="AU308" t="e">
        <v>#N/A</v>
      </c>
    </row>
    <row r="309" spans="1:47">
      <c r="A309" t="s">
        <v>4124</v>
      </c>
      <c r="B309" t="s">
        <v>4125</v>
      </c>
      <c r="C309" t="s">
        <v>17</v>
      </c>
      <c r="D309" t="s">
        <v>4127</v>
      </c>
      <c r="E309" t="s">
        <v>4128</v>
      </c>
      <c r="F309" t="s">
        <v>4129</v>
      </c>
      <c r="G309" t="s">
        <v>4750</v>
      </c>
      <c r="H309" t="s">
        <v>1913</v>
      </c>
      <c r="I309">
        <v>325</v>
      </c>
      <c r="J309">
        <v>0.69163651840817197</v>
      </c>
      <c r="K309">
        <v>2.3159999999999998</v>
      </c>
      <c r="L309" t="s">
        <v>4740</v>
      </c>
      <c r="N309">
        <v>323.5</v>
      </c>
      <c r="O309">
        <v>0.68844434986167302</v>
      </c>
      <c r="P309">
        <v>2.133</v>
      </c>
      <c r="Q309" t="s">
        <v>4740</v>
      </c>
      <c r="S309">
        <v>341.6</v>
      </c>
      <c r="T309">
        <v>0.72696318365609702</v>
      </c>
      <c r="U309">
        <v>5.2990000000000004</v>
      </c>
      <c r="V309" t="s">
        <v>4738</v>
      </c>
      <c r="X309">
        <v>326.60000000000002</v>
      </c>
      <c r="Y309">
        <v>0.69504149819110495</v>
      </c>
      <c r="Z309">
        <v>2.3660000000000001</v>
      </c>
      <c r="AA309" t="s">
        <v>4738</v>
      </c>
      <c r="AC309">
        <v>368</v>
      </c>
      <c r="AD309">
        <v>0.78314535007448405</v>
      </c>
      <c r="AE309">
        <v>20.9</v>
      </c>
      <c r="AF309" t="s">
        <v>4738</v>
      </c>
      <c r="AH309">
        <v>400.4</v>
      </c>
      <c r="AI309">
        <v>0.85209619067886799</v>
      </c>
      <c r="AJ309">
        <v>78.099999999999994</v>
      </c>
      <c r="AK309" t="s">
        <v>4738</v>
      </c>
      <c r="AM309">
        <v>372.8</v>
      </c>
      <c r="AN309">
        <v>0.79336028942328196</v>
      </c>
      <c r="AO309">
        <v>68.849999999999994</v>
      </c>
      <c r="AP309" t="s">
        <v>4738</v>
      </c>
      <c r="AR309" t="e">
        <v>#N/A</v>
      </c>
      <c r="AS309" t="e">
        <v>#N/A</v>
      </c>
      <c r="AT309" t="e">
        <v>#N/A</v>
      </c>
      <c r="AU309" t="e">
        <v>#N/A</v>
      </c>
    </row>
    <row r="310" spans="1:47">
      <c r="A310" t="s">
        <v>4131</v>
      </c>
      <c r="B310" t="s">
        <v>4132</v>
      </c>
      <c r="C310" t="s">
        <v>17</v>
      </c>
      <c r="D310" t="s">
        <v>4134</v>
      </c>
      <c r="E310" t="s">
        <v>4135</v>
      </c>
      <c r="F310" t="s">
        <v>4136</v>
      </c>
      <c r="G310" t="s">
        <v>4750</v>
      </c>
      <c r="H310" t="s">
        <v>4138</v>
      </c>
      <c r="I310">
        <v>347.5</v>
      </c>
      <c r="J310">
        <v>0.73951904660566103</v>
      </c>
      <c r="K310">
        <v>4.5789999999999997</v>
      </c>
      <c r="L310" t="s">
        <v>4738</v>
      </c>
      <c r="N310">
        <v>361.6</v>
      </c>
      <c r="O310">
        <v>0.76952543094275405</v>
      </c>
      <c r="P310">
        <v>7.819</v>
      </c>
      <c r="Q310" t="s">
        <v>4738</v>
      </c>
      <c r="S310">
        <v>369.3</v>
      </c>
      <c r="T310">
        <v>0.78591189614811696</v>
      </c>
      <c r="U310">
        <v>8.8550000000000004</v>
      </c>
      <c r="V310" t="s">
        <v>4738</v>
      </c>
      <c r="X310">
        <v>357.4</v>
      </c>
      <c r="Y310">
        <v>0.76058735901255603</v>
      </c>
      <c r="Z310">
        <v>10.98</v>
      </c>
      <c r="AA310" t="s">
        <v>4738</v>
      </c>
      <c r="AC310">
        <v>321.89999999999998</v>
      </c>
      <c r="AD310">
        <v>0.68503937007874005</v>
      </c>
      <c r="AE310">
        <v>2.573</v>
      </c>
      <c r="AF310" t="s">
        <v>4740</v>
      </c>
      <c r="AH310">
        <v>290.10000000000002</v>
      </c>
      <c r="AI310">
        <v>0.617365396892956</v>
      </c>
      <c r="AJ310">
        <v>0.88500000000000001</v>
      </c>
      <c r="AK310" t="s">
        <v>4740</v>
      </c>
      <c r="AM310">
        <v>313</v>
      </c>
      <c r="AN310">
        <v>0.66609917003617802</v>
      </c>
      <c r="AO310">
        <v>2.8</v>
      </c>
      <c r="AP310" t="s">
        <v>4740</v>
      </c>
      <c r="AR310" t="e">
        <v>#N/A</v>
      </c>
      <c r="AS310" t="e">
        <v>#N/A</v>
      </c>
      <c r="AT310" t="e">
        <v>#N/A</v>
      </c>
      <c r="AU310" t="e">
        <v>#N/A</v>
      </c>
    </row>
    <row r="311" spans="1:47">
      <c r="A311" t="s">
        <v>4140</v>
      </c>
      <c r="B311" t="s">
        <v>4141</v>
      </c>
      <c r="C311" t="s">
        <v>17</v>
      </c>
      <c r="D311" t="s">
        <v>4143</v>
      </c>
      <c r="E311" t="s">
        <v>4144</v>
      </c>
      <c r="F311" t="s">
        <v>4145</v>
      </c>
      <c r="G311" t="s">
        <v>4750</v>
      </c>
      <c r="H311" t="s">
        <v>4147</v>
      </c>
      <c r="I311">
        <v>371.1</v>
      </c>
      <c r="J311">
        <v>0.78974249840391597</v>
      </c>
      <c r="K311">
        <v>6.9729999999999999</v>
      </c>
      <c r="L311" t="s">
        <v>4738</v>
      </c>
      <c r="N311">
        <v>323.7</v>
      </c>
      <c r="O311">
        <v>0.68886997233453895</v>
      </c>
      <c r="P311">
        <v>2.3769999999999998</v>
      </c>
      <c r="Q311" t="s">
        <v>4740</v>
      </c>
      <c r="S311">
        <v>345.1</v>
      </c>
      <c r="T311">
        <v>0.73441157693126202</v>
      </c>
      <c r="U311">
        <v>4.6070000000000002</v>
      </c>
      <c r="V311" t="s">
        <v>4738</v>
      </c>
      <c r="X311">
        <v>345.8</v>
      </c>
      <c r="Y311">
        <v>0.73590125558629504</v>
      </c>
      <c r="Z311">
        <v>3.8490000000000002</v>
      </c>
      <c r="AA311" t="s">
        <v>4738</v>
      </c>
      <c r="AC311">
        <v>372.9</v>
      </c>
      <c r="AD311">
        <v>0.79357310065971498</v>
      </c>
      <c r="AE311">
        <v>13.38</v>
      </c>
      <c r="AF311" t="s">
        <v>4738</v>
      </c>
      <c r="AH311">
        <v>413.8</v>
      </c>
      <c r="AI311">
        <v>0.88061289636092799</v>
      </c>
      <c r="AJ311">
        <v>48.61</v>
      </c>
      <c r="AK311" t="s">
        <v>4738</v>
      </c>
      <c r="AM311">
        <v>404.6</v>
      </c>
      <c r="AN311">
        <v>0.86103426260906601</v>
      </c>
      <c r="AO311">
        <v>41.96</v>
      </c>
      <c r="AP311" t="s">
        <v>4738</v>
      </c>
      <c r="AR311" t="e">
        <v>#N/A</v>
      </c>
      <c r="AS311" t="e">
        <v>#N/A</v>
      </c>
      <c r="AT311" t="e">
        <v>#N/A</v>
      </c>
      <c r="AU311" t="e">
        <v>#N/A</v>
      </c>
    </row>
    <row r="312" spans="1:47">
      <c r="A312" t="s">
        <v>4149</v>
      </c>
      <c r="B312" t="s">
        <v>4150</v>
      </c>
      <c r="C312" t="s">
        <v>17</v>
      </c>
      <c r="D312" t="s">
        <v>4152</v>
      </c>
      <c r="E312" t="s">
        <v>4153</v>
      </c>
      <c r="F312" t="s">
        <v>4154</v>
      </c>
      <c r="G312" t="s">
        <v>4750</v>
      </c>
      <c r="H312" t="s">
        <v>4156</v>
      </c>
      <c r="I312">
        <v>403.1</v>
      </c>
      <c r="J312">
        <v>0.85784209406256695</v>
      </c>
      <c r="K312">
        <v>17.260000000000002</v>
      </c>
      <c r="L312" t="s">
        <v>4738</v>
      </c>
      <c r="N312">
        <v>389.2</v>
      </c>
      <c r="O312">
        <v>0.82826133219833997</v>
      </c>
      <c r="P312">
        <v>9.5749999999999993</v>
      </c>
      <c r="Q312" t="s">
        <v>4738</v>
      </c>
      <c r="S312">
        <v>322</v>
      </c>
      <c r="T312">
        <v>0.68525218131517396</v>
      </c>
      <c r="U312">
        <v>2.1120000000000001</v>
      </c>
      <c r="V312" t="s">
        <v>4740</v>
      </c>
      <c r="X312">
        <v>326</v>
      </c>
      <c r="Y312">
        <v>0.69376463077250505</v>
      </c>
      <c r="Z312">
        <v>2.2759999999999998</v>
      </c>
      <c r="AA312" t="s">
        <v>4740</v>
      </c>
      <c r="AC312">
        <v>392.2</v>
      </c>
      <c r="AD312">
        <v>0.83464566929133899</v>
      </c>
      <c r="AE312">
        <v>17.850000000000001</v>
      </c>
      <c r="AF312" t="s">
        <v>4738</v>
      </c>
      <c r="AH312">
        <v>426.9</v>
      </c>
      <c r="AI312">
        <v>0.90849116833368804</v>
      </c>
      <c r="AJ312">
        <v>31.95</v>
      </c>
      <c r="AK312" t="s">
        <v>4738</v>
      </c>
      <c r="AM312">
        <v>456.3</v>
      </c>
      <c r="AN312">
        <v>0.97105767184507397</v>
      </c>
      <c r="AO312">
        <v>133.9</v>
      </c>
      <c r="AP312" t="s">
        <v>4738</v>
      </c>
      <c r="AR312" t="e">
        <v>#N/A</v>
      </c>
      <c r="AS312" t="e">
        <v>#N/A</v>
      </c>
      <c r="AT312" t="e">
        <v>#N/A</v>
      </c>
      <c r="AU312" t="e">
        <v>#N/A</v>
      </c>
    </row>
    <row r="313" spans="1:47">
      <c r="A313" t="s">
        <v>4158</v>
      </c>
      <c r="B313" t="s">
        <v>4159</v>
      </c>
      <c r="C313" t="s">
        <v>17</v>
      </c>
      <c r="D313" t="s">
        <v>4161</v>
      </c>
      <c r="E313" t="s">
        <v>4162</v>
      </c>
      <c r="F313" t="s">
        <v>4163</v>
      </c>
      <c r="G313" t="s">
        <v>4750</v>
      </c>
      <c r="H313" t="s">
        <v>4165</v>
      </c>
      <c r="I313">
        <v>302.60000000000002</v>
      </c>
      <c r="J313">
        <v>0.64396680144711604</v>
      </c>
      <c r="K313">
        <v>1.3919999999999999</v>
      </c>
      <c r="L313" t="s">
        <v>4740</v>
      </c>
      <c r="N313">
        <v>311.3</v>
      </c>
      <c r="O313">
        <v>0.66248137901681203</v>
      </c>
      <c r="P313">
        <v>1.06</v>
      </c>
      <c r="Q313" t="s">
        <v>4740</v>
      </c>
      <c r="S313">
        <v>347.7</v>
      </c>
      <c r="T313">
        <v>0.73994466907852696</v>
      </c>
      <c r="U313">
        <v>4.9790000000000001</v>
      </c>
      <c r="V313" t="s">
        <v>4738</v>
      </c>
      <c r="X313">
        <v>353.1</v>
      </c>
      <c r="Y313">
        <v>0.75143647584592499</v>
      </c>
      <c r="Z313">
        <v>6.3559999999999999</v>
      </c>
      <c r="AA313" t="s">
        <v>4738</v>
      </c>
      <c r="AC313">
        <v>353.5</v>
      </c>
      <c r="AD313">
        <v>0.75228772079165795</v>
      </c>
      <c r="AE313">
        <v>8.6950000000000003</v>
      </c>
      <c r="AF313" t="s">
        <v>4738</v>
      </c>
      <c r="AH313">
        <v>430.7</v>
      </c>
      <c r="AI313">
        <v>0.91657799531815298</v>
      </c>
      <c r="AJ313">
        <v>171.6</v>
      </c>
      <c r="AK313" t="s">
        <v>4738</v>
      </c>
      <c r="AM313">
        <v>391</v>
      </c>
      <c r="AN313">
        <v>0.83209193445413898</v>
      </c>
      <c r="AO313">
        <v>57.03</v>
      </c>
      <c r="AP313" t="s">
        <v>4738</v>
      </c>
      <c r="AR313" t="e">
        <v>#N/A</v>
      </c>
      <c r="AS313" t="e">
        <v>#N/A</v>
      </c>
      <c r="AT313" t="e">
        <v>#N/A</v>
      </c>
      <c r="AU313" t="e">
        <v>#N/A</v>
      </c>
    </row>
    <row r="314" spans="1:47">
      <c r="A314" t="s">
        <v>4167</v>
      </c>
      <c r="B314" t="s">
        <v>4168</v>
      </c>
      <c r="C314" t="s">
        <v>17</v>
      </c>
      <c r="D314" t="s">
        <v>2047</v>
      </c>
      <c r="E314" t="s">
        <v>2048</v>
      </c>
      <c r="F314" t="s">
        <v>2049</v>
      </c>
      <c r="G314" t="s">
        <v>4751</v>
      </c>
      <c r="H314" t="s">
        <v>2042</v>
      </c>
      <c r="I314">
        <v>359.6</v>
      </c>
      <c r="J314">
        <v>0.765269206214088</v>
      </c>
      <c r="K314">
        <v>6.2859999999999996</v>
      </c>
      <c r="L314" t="s">
        <v>4738</v>
      </c>
      <c r="N314">
        <v>354.2</v>
      </c>
      <c r="O314">
        <v>0.75377739944669098</v>
      </c>
      <c r="P314">
        <v>6.992</v>
      </c>
      <c r="Q314" t="s">
        <v>4738</v>
      </c>
      <c r="S314">
        <v>381.7</v>
      </c>
      <c r="T314">
        <v>0.81230048946584399</v>
      </c>
      <c r="U314">
        <v>8.7309999999999999</v>
      </c>
      <c r="V314" t="s">
        <v>4738</v>
      </c>
      <c r="X314">
        <v>395.2</v>
      </c>
      <c r="Y314">
        <v>0.841030006384337</v>
      </c>
      <c r="Z314">
        <v>24.62</v>
      </c>
      <c r="AA314" t="s">
        <v>4738</v>
      </c>
      <c r="AC314">
        <v>383</v>
      </c>
      <c r="AD314">
        <v>0.81506703553947701</v>
      </c>
      <c r="AE314">
        <v>14.69</v>
      </c>
      <c r="AF314" t="s">
        <v>4738</v>
      </c>
      <c r="AH314">
        <v>422.6</v>
      </c>
      <c r="AI314">
        <v>0.899340285167057</v>
      </c>
      <c r="AJ314">
        <v>90.72</v>
      </c>
      <c r="AK314" t="s">
        <v>4738</v>
      </c>
      <c r="AM314">
        <v>433.8</v>
      </c>
      <c r="AN314">
        <v>0.92317514364758502</v>
      </c>
      <c r="AO314">
        <v>110.2</v>
      </c>
      <c r="AP314" t="s">
        <v>4738</v>
      </c>
      <c r="AR314" t="e">
        <v>#N/A</v>
      </c>
      <c r="AS314" t="e">
        <v>#N/A</v>
      </c>
      <c r="AT314" t="e">
        <v>#N/A</v>
      </c>
      <c r="AU314" t="e">
        <v>#N/A</v>
      </c>
    </row>
    <row r="315" spans="1:47">
      <c r="A315" t="s">
        <v>4170</v>
      </c>
      <c r="B315" t="s">
        <v>4171</v>
      </c>
      <c r="C315" t="s">
        <v>17</v>
      </c>
      <c r="D315" t="s">
        <v>2054</v>
      </c>
      <c r="E315" t="s">
        <v>2055</v>
      </c>
      <c r="F315" t="s">
        <v>2056</v>
      </c>
      <c r="G315" t="s">
        <v>4754</v>
      </c>
      <c r="H315" t="s">
        <v>2042</v>
      </c>
      <c r="I315">
        <v>359.6</v>
      </c>
      <c r="J315">
        <v>0.765269206214088</v>
      </c>
      <c r="K315">
        <v>6.2859999999999996</v>
      </c>
      <c r="L315" t="s">
        <v>4738</v>
      </c>
      <c r="N315">
        <v>354.2</v>
      </c>
      <c r="O315">
        <v>0.75377739944669098</v>
      </c>
      <c r="P315">
        <v>6.992</v>
      </c>
      <c r="Q315" t="s">
        <v>4738</v>
      </c>
      <c r="S315">
        <v>381.7</v>
      </c>
      <c r="T315">
        <v>0.81230048946584399</v>
      </c>
      <c r="U315">
        <v>8.7309999999999999</v>
      </c>
      <c r="V315" t="s">
        <v>4738</v>
      </c>
      <c r="X315">
        <v>395.2</v>
      </c>
      <c r="Y315">
        <v>0.841030006384337</v>
      </c>
      <c r="Z315">
        <v>24.62</v>
      </c>
      <c r="AA315" t="s">
        <v>4738</v>
      </c>
      <c r="AC315">
        <v>383</v>
      </c>
      <c r="AD315">
        <v>0.81506703553947701</v>
      </c>
      <c r="AE315">
        <v>14.69</v>
      </c>
      <c r="AF315" t="s">
        <v>4738</v>
      </c>
      <c r="AH315">
        <v>422.6</v>
      </c>
      <c r="AI315">
        <v>0.899340285167057</v>
      </c>
      <c r="AJ315">
        <v>90.72</v>
      </c>
      <c r="AK315" t="s">
        <v>4738</v>
      </c>
      <c r="AM315">
        <v>433.8</v>
      </c>
      <c r="AN315">
        <v>0.92317514364758502</v>
      </c>
      <c r="AO315">
        <v>110.2</v>
      </c>
      <c r="AP315" t="s">
        <v>4738</v>
      </c>
      <c r="AR315" t="e">
        <v>#N/A</v>
      </c>
      <c r="AS315" t="e">
        <v>#N/A</v>
      </c>
      <c r="AT315" t="e">
        <v>#N/A</v>
      </c>
      <c r="AU315" t="e">
        <v>#N/A</v>
      </c>
    </row>
    <row r="316" spans="1:47">
      <c r="A316" t="s">
        <v>4173</v>
      </c>
      <c r="B316" t="s">
        <v>4174</v>
      </c>
      <c r="C316" t="s">
        <v>17</v>
      </c>
      <c r="D316" t="s">
        <v>2061</v>
      </c>
      <c r="E316" t="s">
        <v>2062</v>
      </c>
      <c r="F316" t="s">
        <v>2063</v>
      </c>
      <c r="G316" t="s">
        <v>4755</v>
      </c>
      <c r="H316" t="s">
        <v>2042</v>
      </c>
      <c r="I316">
        <v>359.6</v>
      </c>
      <c r="J316">
        <v>0.765269206214088</v>
      </c>
      <c r="K316">
        <v>6.2859999999999996</v>
      </c>
      <c r="L316" t="s">
        <v>4738</v>
      </c>
      <c r="N316">
        <v>354.2</v>
      </c>
      <c r="O316">
        <v>0.75377739944669098</v>
      </c>
      <c r="P316">
        <v>6.992</v>
      </c>
      <c r="Q316" t="s">
        <v>4738</v>
      </c>
      <c r="S316">
        <v>381.7</v>
      </c>
      <c r="T316">
        <v>0.81230048946584399</v>
      </c>
      <c r="U316">
        <v>8.7309999999999999</v>
      </c>
      <c r="V316" t="s">
        <v>4738</v>
      </c>
      <c r="X316">
        <v>395.2</v>
      </c>
      <c r="Y316">
        <v>0.841030006384337</v>
      </c>
      <c r="Z316">
        <v>24.62</v>
      </c>
      <c r="AA316" t="s">
        <v>4738</v>
      </c>
      <c r="AC316">
        <v>383</v>
      </c>
      <c r="AD316">
        <v>0.81506703553947701</v>
      </c>
      <c r="AE316">
        <v>14.69</v>
      </c>
      <c r="AF316" t="s">
        <v>4738</v>
      </c>
      <c r="AH316">
        <v>422.6</v>
      </c>
      <c r="AI316">
        <v>0.899340285167057</v>
      </c>
      <c r="AJ316">
        <v>90.72</v>
      </c>
      <c r="AK316" t="s">
        <v>4738</v>
      </c>
      <c r="AM316">
        <v>433.8</v>
      </c>
      <c r="AN316">
        <v>0.92317514364758502</v>
      </c>
      <c r="AO316">
        <v>110.2</v>
      </c>
      <c r="AP316" t="s">
        <v>4738</v>
      </c>
      <c r="AR316" t="e">
        <v>#N/A</v>
      </c>
      <c r="AS316" t="e">
        <v>#N/A</v>
      </c>
      <c r="AT316" t="e">
        <v>#N/A</v>
      </c>
      <c r="AU316" t="e">
        <v>#N/A</v>
      </c>
    </row>
    <row r="317" spans="1:47">
      <c r="A317" t="s">
        <v>4176</v>
      </c>
      <c r="B317" t="s">
        <v>4177</v>
      </c>
      <c r="C317" t="s">
        <v>17</v>
      </c>
      <c r="D317" t="s">
        <v>4179</v>
      </c>
      <c r="E317" t="s">
        <v>4180</v>
      </c>
      <c r="F317" t="s">
        <v>4181</v>
      </c>
      <c r="G317" t="s">
        <v>4750</v>
      </c>
      <c r="H317" t="s">
        <v>4183</v>
      </c>
      <c r="I317">
        <v>315.89999999999998</v>
      </c>
      <c r="J317">
        <v>0.67227069589274302</v>
      </c>
      <c r="K317">
        <v>2.7309999999999999</v>
      </c>
      <c r="L317" t="s">
        <v>4740</v>
      </c>
      <c r="N317">
        <v>328.5</v>
      </c>
      <c r="O317">
        <v>0.69908491168333697</v>
      </c>
      <c r="P317">
        <v>2.7949999999999999</v>
      </c>
      <c r="Q317" t="s">
        <v>4738</v>
      </c>
      <c r="S317">
        <v>358.1</v>
      </c>
      <c r="T317">
        <v>0.76207703766758905</v>
      </c>
      <c r="U317">
        <v>5.8789999999999996</v>
      </c>
      <c r="V317" t="s">
        <v>4738</v>
      </c>
      <c r="X317">
        <v>347.6</v>
      </c>
      <c r="Y317">
        <v>0.73973185784209405</v>
      </c>
      <c r="Z317">
        <v>4.5999999999999996</v>
      </c>
      <c r="AA317" t="s">
        <v>4738</v>
      </c>
      <c r="AC317">
        <v>365.9</v>
      </c>
      <c r="AD317">
        <v>0.77867631410938498</v>
      </c>
      <c r="AE317">
        <v>12.4</v>
      </c>
      <c r="AF317" t="s">
        <v>4738</v>
      </c>
      <c r="AH317">
        <v>389</v>
      </c>
      <c r="AI317">
        <v>0.82783570972547305</v>
      </c>
      <c r="AJ317">
        <v>18.02</v>
      </c>
      <c r="AK317" t="s">
        <v>4738</v>
      </c>
      <c r="AM317">
        <v>410.6</v>
      </c>
      <c r="AN317">
        <v>0.87380293679506305</v>
      </c>
      <c r="AO317">
        <v>21.91</v>
      </c>
      <c r="AP317" t="s">
        <v>4738</v>
      </c>
      <c r="AR317" t="e">
        <v>#N/A</v>
      </c>
      <c r="AS317" t="e">
        <v>#N/A</v>
      </c>
      <c r="AT317" t="e">
        <v>#N/A</v>
      </c>
      <c r="AU317" t="e">
        <v>#N/A</v>
      </c>
    </row>
    <row r="318" spans="1:47">
      <c r="A318" t="s">
        <v>4185</v>
      </c>
      <c r="B318" t="s">
        <v>4186</v>
      </c>
      <c r="C318" t="s">
        <v>17</v>
      </c>
      <c r="D318" t="s">
        <v>2076</v>
      </c>
      <c r="E318" t="s">
        <v>2077</v>
      </c>
      <c r="F318" t="s">
        <v>2078</v>
      </c>
      <c r="G318" t="s">
        <v>4750</v>
      </c>
      <c r="H318" t="s">
        <v>2071</v>
      </c>
      <c r="I318" t="e">
        <v>#N/A</v>
      </c>
      <c r="J318" t="e">
        <v>#N/A</v>
      </c>
      <c r="K318" t="e">
        <v>#N/A</v>
      </c>
      <c r="L318" t="e">
        <v>#N/A</v>
      </c>
      <c r="N318" t="e">
        <v>#N/A</v>
      </c>
      <c r="O318" t="e">
        <v>#N/A</v>
      </c>
      <c r="P318" t="e">
        <v>#N/A</v>
      </c>
      <c r="Q318" t="e">
        <v>#N/A</v>
      </c>
      <c r="S318" t="e">
        <v>#N/A</v>
      </c>
      <c r="T318" t="e">
        <v>#N/A</v>
      </c>
      <c r="U318" t="e">
        <v>#N/A</v>
      </c>
      <c r="V318" t="e">
        <v>#N/A</v>
      </c>
      <c r="X318" t="e">
        <v>#N/A</v>
      </c>
      <c r="Y318" t="e">
        <v>#N/A</v>
      </c>
      <c r="Z318" t="e">
        <v>#N/A</v>
      </c>
      <c r="AA318" t="e">
        <v>#N/A</v>
      </c>
      <c r="AC318" t="e">
        <v>#N/A</v>
      </c>
      <c r="AD318" t="e">
        <v>#N/A</v>
      </c>
      <c r="AE318" t="e">
        <v>#N/A</v>
      </c>
      <c r="AF318" t="e">
        <v>#N/A</v>
      </c>
      <c r="AH318" t="e">
        <v>#N/A</v>
      </c>
      <c r="AI318" t="e">
        <v>#N/A</v>
      </c>
      <c r="AJ318" t="e">
        <v>#N/A</v>
      </c>
      <c r="AK318" t="e">
        <v>#N/A</v>
      </c>
      <c r="AM318" t="e">
        <v>#N/A</v>
      </c>
      <c r="AN318" t="e">
        <v>#N/A</v>
      </c>
      <c r="AO318" t="e">
        <v>#N/A</v>
      </c>
      <c r="AP318" t="e">
        <v>#N/A</v>
      </c>
      <c r="AR318" t="e">
        <v>#N/A</v>
      </c>
      <c r="AS318" t="e">
        <v>#N/A</v>
      </c>
      <c r="AT318" t="e">
        <v>#N/A</v>
      </c>
      <c r="AU318" t="e">
        <v>#N/A</v>
      </c>
    </row>
    <row r="319" spans="1:47">
      <c r="A319" t="s">
        <v>4188</v>
      </c>
      <c r="B319" t="s">
        <v>4189</v>
      </c>
      <c r="C319" t="s">
        <v>17</v>
      </c>
      <c r="D319" t="s">
        <v>2091</v>
      </c>
      <c r="E319" t="s">
        <v>2092</v>
      </c>
      <c r="F319" t="s">
        <v>2093</v>
      </c>
      <c r="G319" t="s">
        <v>4750</v>
      </c>
      <c r="H319" t="s">
        <v>2086</v>
      </c>
      <c r="I319" t="e">
        <v>#N/A</v>
      </c>
      <c r="J319" t="e">
        <v>#N/A</v>
      </c>
      <c r="K319" t="e">
        <v>#N/A</v>
      </c>
      <c r="L319" t="e">
        <v>#N/A</v>
      </c>
      <c r="N319" t="e">
        <v>#N/A</v>
      </c>
      <c r="O319" t="e">
        <v>#N/A</v>
      </c>
      <c r="P319" t="e">
        <v>#N/A</v>
      </c>
      <c r="Q319" t="e">
        <v>#N/A</v>
      </c>
      <c r="S319" t="e">
        <v>#N/A</v>
      </c>
      <c r="T319" t="e">
        <v>#N/A</v>
      </c>
      <c r="U319" t="e">
        <v>#N/A</v>
      </c>
      <c r="V319" t="e">
        <v>#N/A</v>
      </c>
      <c r="X319" t="e">
        <v>#N/A</v>
      </c>
      <c r="Y319" t="e">
        <v>#N/A</v>
      </c>
      <c r="Z319" t="e">
        <v>#N/A</v>
      </c>
      <c r="AA319" t="e">
        <v>#N/A</v>
      </c>
      <c r="AC319" t="e">
        <v>#N/A</v>
      </c>
      <c r="AD319" t="e">
        <v>#N/A</v>
      </c>
      <c r="AE319" t="e">
        <v>#N/A</v>
      </c>
      <c r="AF319" t="e">
        <v>#N/A</v>
      </c>
      <c r="AH319" t="e">
        <v>#N/A</v>
      </c>
      <c r="AI319" t="e">
        <v>#N/A</v>
      </c>
      <c r="AJ319" t="e">
        <v>#N/A</v>
      </c>
      <c r="AK319" t="e">
        <v>#N/A</v>
      </c>
      <c r="AM319" t="e">
        <v>#N/A</v>
      </c>
      <c r="AN319" t="e">
        <v>#N/A</v>
      </c>
      <c r="AO319" t="e">
        <v>#N/A</v>
      </c>
      <c r="AP319" t="e">
        <v>#N/A</v>
      </c>
      <c r="AR319" t="e">
        <v>#N/A</v>
      </c>
      <c r="AS319" t="e">
        <v>#N/A</v>
      </c>
      <c r="AT319" t="e">
        <v>#N/A</v>
      </c>
      <c r="AU319" t="e">
        <v>#N/A</v>
      </c>
    </row>
    <row r="320" spans="1:47">
      <c r="A320" t="s">
        <v>4191</v>
      </c>
      <c r="B320" t="s">
        <v>4192</v>
      </c>
      <c r="C320" t="s">
        <v>17</v>
      </c>
      <c r="D320" t="s">
        <v>2106</v>
      </c>
      <c r="E320" t="s">
        <v>2107</v>
      </c>
      <c r="F320" t="s">
        <v>2108</v>
      </c>
      <c r="G320" t="s">
        <v>4750</v>
      </c>
      <c r="H320" t="s">
        <v>2101</v>
      </c>
      <c r="I320" t="e">
        <v>#N/A</v>
      </c>
      <c r="J320" t="e">
        <v>#N/A</v>
      </c>
      <c r="K320" t="e">
        <v>#N/A</v>
      </c>
      <c r="L320" t="e">
        <v>#N/A</v>
      </c>
      <c r="N320" t="e">
        <v>#N/A</v>
      </c>
      <c r="O320" t="e">
        <v>#N/A</v>
      </c>
      <c r="P320" t="e">
        <v>#N/A</v>
      </c>
      <c r="Q320" t="e">
        <v>#N/A</v>
      </c>
      <c r="S320" t="e">
        <v>#N/A</v>
      </c>
      <c r="T320" t="e">
        <v>#N/A</v>
      </c>
      <c r="U320" t="e">
        <v>#N/A</v>
      </c>
      <c r="V320" t="e">
        <v>#N/A</v>
      </c>
      <c r="X320" t="e">
        <v>#N/A</v>
      </c>
      <c r="Y320" t="e">
        <v>#N/A</v>
      </c>
      <c r="Z320" t="e">
        <v>#N/A</v>
      </c>
      <c r="AA320" t="e">
        <v>#N/A</v>
      </c>
      <c r="AC320" t="e">
        <v>#N/A</v>
      </c>
      <c r="AD320" t="e">
        <v>#N/A</v>
      </c>
      <c r="AE320" t="e">
        <v>#N/A</v>
      </c>
      <c r="AF320" t="e">
        <v>#N/A</v>
      </c>
      <c r="AH320" t="e">
        <v>#N/A</v>
      </c>
      <c r="AI320" t="e">
        <v>#N/A</v>
      </c>
      <c r="AJ320" t="e">
        <v>#N/A</v>
      </c>
      <c r="AK320" t="e">
        <v>#N/A</v>
      </c>
      <c r="AM320" t="e">
        <v>#N/A</v>
      </c>
      <c r="AN320" t="e">
        <v>#N/A</v>
      </c>
      <c r="AO320" t="e">
        <v>#N/A</v>
      </c>
      <c r="AP320" t="e">
        <v>#N/A</v>
      </c>
      <c r="AR320" t="e">
        <v>#N/A</v>
      </c>
      <c r="AS320" t="e">
        <v>#N/A</v>
      </c>
      <c r="AT320" t="e">
        <v>#N/A</v>
      </c>
      <c r="AU320" t="e">
        <v>#N/A</v>
      </c>
    </row>
    <row r="321" spans="1:47">
      <c r="A321" t="s">
        <v>4194</v>
      </c>
      <c r="B321" t="s">
        <v>4195</v>
      </c>
      <c r="C321" t="s">
        <v>17</v>
      </c>
      <c r="D321" t="s">
        <v>2113</v>
      </c>
      <c r="E321" t="s">
        <v>2114</v>
      </c>
      <c r="F321" t="s">
        <v>2115</v>
      </c>
      <c r="G321" t="s">
        <v>4750</v>
      </c>
      <c r="H321" t="s">
        <v>2116</v>
      </c>
      <c r="I321" t="e">
        <v>#N/A</v>
      </c>
      <c r="J321" t="e">
        <v>#N/A</v>
      </c>
      <c r="K321" t="e">
        <v>#N/A</v>
      </c>
      <c r="L321" t="e">
        <v>#N/A</v>
      </c>
      <c r="N321" t="e">
        <v>#N/A</v>
      </c>
      <c r="O321" t="e">
        <v>#N/A</v>
      </c>
      <c r="P321" t="e">
        <v>#N/A</v>
      </c>
      <c r="Q321" t="e">
        <v>#N/A</v>
      </c>
      <c r="S321" t="e">
        <v>#N/A</v>
      </c>
      <c r="T321" t="e">
        <v>#N/A</v>
      </c>
      <c r="U321" t="e">
        <v>#N/A</v>
      </c>
      <c r="V321" t="e">
        <v>#N/A</v>
      </c>
      <c r="X321" t="e">
        <v>#N/A</v>
      </c>
      <c r="Y321" t="e">
        <v>#N/A</v>
      </c>
      <c r="Z321" t="e">
        <v>#N/A</v>
      </c>
      <c r="AA321" t="e">
        <v>#N/A</v>
      </c>
      <c r="AC321" t="e">
        <v>#N/A</v>
      </c>
      <c r="AD321" t="e">
        <v>#N/A</v>
      </c>
      <c r="AE321" t="e">
        <v>#N/A</v>
      </c>
      <c r="AF321" t="e">
        <v>#N/A</v>
      </c>
      <c r="AH321" t="e">
        <v>#N/A</v>
      </c>
      <c r="AI321" t="e">
        <v>#N/A</v>
      </c>
      <c r="AJ321" t="e">
        <v>#N/A</v>
      </c>
      <c r="AK321" t="e">
        <v>#N/A</v>
      </c>
      <c r="AM321" t="e">
        <v>#N/A</v>
      </c>
      <c r="AN321" t="e">
        <v>#N/A</v>
      </c>
      <c r="AO321" t="e">
        <v>#N/A</v>
      </c>
      <c r="AP321" t="e">
        <v>#N/A</v>
      </c>
      <c r="AR321" t="e">
        <v>#N/A</v>
      </c>
      <c r="AS321" t="e">
        <v>#N/A</v>
      </c>
      <c r="AT321" t="e">
        <v>#N/A</v>
      </c>
      <c r="AU321" t="e">
        <v>#N/A</v>
      </c>
    </row>
    <row r="322" spans="1:47">
      <c r="A322" t="s">
        <v>4197</v>
      </c>
      <c r="B322" t="s">
        <v>4198</v>
      </c>
      <c r="C322" t="s">
        <v>17</v>
      </c>
      <c r="D322" t="s">
        <v>2128</v>
      </c>
      <c r="E322" t="s">
        <v>2129</v>
      </c>
      <c r="F322" t="s">
        <v>2130</v>
      </c>
      <c r="G322" t="s">
        <v>4750</v>
      </c>
      <c r="H322" t="s">
        <v>2131</v>
      </c>
      <c r="I322" t="e">
        <v>#N/A</v>
      </c>
      <c r="J322" t="e">
        <v>#N/A</v>
      </c>
      <c r="K322" t="e">
        <v>#N/A</v>
      </c>
      <c r="L322" t="e">
        <v>#N/A</v>
      </c>
      <c r="N322" t="e">
        <v>#N/A</v>
      </c>
      <c r="O322" t="e">
        <v>#N/A</v>
      </c>
      <c r="P322" t="e">
        <v>#N/A</v>
      </c>
      <c r="Q322" t="e">
        <v>#N/A</v>
      </c>
      <c r="S322" t="e">
        <v>#N/A</v>
      </c>
      <c r="T322" t="e">
        <v>#N/A</v>
      </c>
      <c r="U322" t="e">
        <v>#N/A</v>
      </c>
      <c r="V322" t="e">
        <v>#N/A</v>
      </c>
      <c r="X322" t="e">
        <v>#N/A</v>
      </c>
      <c r="Y322" t="e">
        <v>#N/A</v>
      </c>
      <c r="Z322" t="e">
        <v>#N/A</v>
      </c>
      <c r="AA322" t="e">
        <v>#N/A</v>
      </c>
      <c r="AC322" t="e">
        <v>#N/A</v>
      </c>
      <c r="AD322" t="e">
        <v>#N/A</v>
      </c>
      <c r="AE322" t="e">
        <v>#N/A</v>
      </c>
      <c r="AF322" t="e">
        <v>#N/A</v>
      </c>
      <c r="AH322" t="e">
        <v>#N/A</v>
      </c>
      <c r="AI322" t="e">
        <v>#N/A</v>
      </c>
      <c r="AJ322" t="e">
        <v>#N/A</v>
      </c>
      <c r="AK322" t="e">
        <v>#N/A</v>
      </c>
      <c r="AM322" t="e">
        <v>#N/A</v>
      </c>
      <c r="AN322" t="e">
        <v>#N/A</v>
      </c>
      <c r="AO322" t="e">
        <v>#N/A</v>
      </c>
      <c r="AP322" t="e">
        <v>#N/A</v>
      </c>
      <c r="AR322" t="e">
        <v>#N/A</v>
      </c>
      <c r="AS322" t="e">
        <v>#N/A</v>
      </c>
      <c r="AT322" t="e">
        <v>#N/A</v>
      </c>
      <c r="AU322" t="e">
        <v>#N/A</v>
      </c>
    </row>
    <row r="323" spans="1:47">
      <c r="A323" t="s">
        <v>4200</v>
      </c>
      <c r="B323" t="s">
        <v>4201</v>
      </c>
      <c r="C323" t="s">
        <v>17</v>
      </c>
      <c r="D323" t="s">
        <v>2143</v>
      </c>
      <c r="E323" t="s">
        <v>2144</v>
      </c>
      <c r="F323" t="s">
        <v>2145</v>
      </c>
      <c r="G323" t="s">
        <v>4750</v>
      </c>
      <c r="H323" t="s">
        <v>2146</v>
      </c>
      <c r="I323" t="e">
        <v>#N/A</v>
      </c>
      <c r="J323" t="e">
        <v>#N/A</v>
      </c>
      <c r="K323" t="e">
        <v>#N/A</v>
      </c>
      <c r="L323" t="e">
        <v>#N/A</v>
      </c>
      <c r="N323" t="e">
        <v>#N/A</v>
      </c>
      <c r="O323" t="e">
        <v>#N/A</v>
      </c>
      <c r="P323" t="e">
        <v>#N/A</v>
      </c>
      <c r="Q323" t="e">
        <v>#N/A</v>
      </c>
      <c r="S323" t="e">
        <v>#N/A</v>
      </c>
      <c r="T323" t="e">
        <v>#N/A</v>
      </c>
      <c r="U323" t="e">
        <v>#N/A</v>
      </c>
      <c r="V323" t="e">
        <v>#N/A</v>
      </c>
      <c r="X323" t="e">
        <v>#N/A</v>
      </c>
      <c r="Y323" t="e">
        <v>#N/A</v>
      </c>
      <c r="Z323" t="e">
        <v>#N/A</v>
      </c>
      <c r="AA323" t="e">
        <v>#N/A</v>
      </c>
      <c r="AC323" t="e">
        <v>#N/A</v>
      </c>
      <c r="AD323" t="e">
        <v>#N/A</v>
      </c>
      <c r="AE323" t="e">
        <v>#N/A</v>
      </c>
      <c r="AF323" t="e">
        <v>#N/A</v>
      </c>
      <c r="AH323" t="e">
        <v>#N/A</v>
      </c>
      <c r="AI323" t="e">
        <v>#N/A</v>
      </c>
      <c r="AJ323" t="e">
        <v>#N/A</v>
      </c>
      <c r="AK323" t="e">
        <v>#N/A</v>
      </c>
      <c r="AM323" t="e">
        <v>#N/A</v>
      </c>
      <c r="AN323" t="e">
        <v>#N/A</v>
      </c>
      <c r="AO323" t="e">
        <v>#N/A</v>
      </c>
      <c r="AP323" t="e">
        <v>#N/A</v>
      </c>
      <c r="AR323" t="e">
        <v>#N/A</v>
      </c>
      <c r="AS323" t="e">
        <v>#N/A</v>
      </c>
      <c r="AT323" t="e">
        <v>#N/A</v>
      </c>
      <c r="AU323" t="e">
        <v>#N/A</v>
      </c>
    </row>
    <row r="324" spans="1:47">
      <c r="A324" t="s">
        <v>4203</v>
      </c>
      <c r="B324" t="s">
        <v>4204</v>
      </c>
      <c r="C324" t="s">
        <v>17</v>
      </c>
      <c r="D324" t="s">
        <v>2166</v>
      </c>
      <c r="E324" t="s">
        <v>2167</v>
      </c>
      <c r="F324" t="s">
        <v>2168</v>
      </c>
      <c r="G324" t="s">
        <v>4750</v>
      </c>
      <c r="H324" t="s">
        <v>2161</v>
      </c>
      <c r="I324" t="e">
        <v>#N/A</v>
      </c>
      <c r="J324" t="e">
        <v>#N/A</v>
      </c>
      <c r="K324" t="e">
        <v>#N/A</v>
      </c>
      <c r="L324" t="e">
        <v>#N/A</v>
      </c>
      <c r="N324" t="e">
        <v>#N/A</v>
      </c>
      <c r="O324" t="e">
        <v>#N/A</v>
      </c>
      <c r="P324" t="e">
        <v>#N/A</v>
      </c>
      <c r="Q324" t="e">
        <v>#N/A</v>
      </c>
      <c r="S324" t="e">
        <v>#N/A</v>
      </c>
      <c r="T324" t="e">
        <v>#N/A</v>
      </c>
      <c r="U324" t="e">
        <v>#N/A</v>
      </c>
      <c r="V324" t="e">
        <v>#N/A</v>
      </c>
      <c r="X324" t="e">
        <v>#N/A</v>
      </c>
      <c r="Y324" t="e">
        <v>#N/A</v>
      </c>
      <c r="Z324" t="e">
        <v>#N/A</v>
      </c>
      <c r="AA324" t="e">
        <v>#N/A</v>
      </c>
      <c r="AC324" t="e">
        <v>#N/A</v>
      </c>
      <c r="AD324" t="e">
        <v>#N/A</v>
      </c>
      <c r="AE324" t="e">
        <v>#N/A</v>
      </c>
      <c r="AF324" t="e">
        <v>#N/A</v>
      </c>
      <c r="AH324" t="e">
        <v>#N/A</v>
      </c>
      <c r="AI324" t="e">
        <v>#N/A</v>
      </c>
      <c r="AJ324" t="e">
        <v>#N/A</v>
      </c>
      <c r="AK324" t="e">
        <v>#N/A</v>
      </c>
      <c r="AM324" t="e">
        <v>#N/A</v>
      </c>
      <c r="AN324" t="e">
        <v>#N/A</v>
      </c>
      <c r="AO324" t="e">
        <v>#N/A</v>
      </c>
      <c r="AP324" t="e">
        <v>#N/A</v>
      </c>
      <c r="AR324" t="e">
        <v>#N/A</v>
      </c>
      <c r="AS324" t="e">
        <v>#N/A</v>
      </c>
      <c r="AT324" t="e">
        <v>#N/A</v>
      </c>
      <c r="AU324" t="e">
        <v>#N/A</v>
      </c>
    </row>
    <row r="325" spans="1:47">
      <c r="A325" t="s">
        <v>4206</v>
      </c>
      <c r="B325" t="s">
        <v>4207</v>
      </c>
      <c r="C325" t="s">
        <v>17</v>
      </c>
      <c r="D325" t="s">
        <v>2173</v>
      </c>
      <c r="E325" t="s">
        <v>2174</v>
      </c>
      <c r="F325" t="s">
        <v>2175</v>
      </c>
      <c r="G325" t="s">
        <v>4750</v>
      </c>
      <c r="H325" t="s">
        <v>2176</v>
      </c>
      <c r="I325" t="e">
        <v>#N/A</v>
      </c>
      <c r="J325" t="e">
        <v>#N/A</v>
      </c>
      <c r="K325" t="e">
        <v>#N/A</v>
      </c>
      <c r="L325" t="e">
        <v>#N/A</v>
      </c>
      <c r="N325" t="e">
        <v>#N/A</v>
      </c>
      <c r="O325" t="e">
        <v>#N/A</v>
      </c>
      <c r="P325" t="e">
        <v>#N/A</v>
      </c>
      <c r="Q325" t="e">
        <v>#N/A</v>
      </c>
      <c r="S325" t="e">
        <v>#N/A</v>
      </c>
      <c r="T325" t="e">
        <v>#N/A</v>
      </c>
      <c r="U325" t="e">
        <v>#N/A</v>
      </c>
      <c r="V325" t="e">
        <v>#N/A</v>
      </c>
      <c r="X325" t="e">
        <v>#N/A</v>
      </c>
      <c r="Y325" t="e">
        <v>#N/A</v>
      </c>
      <c r="Z325" t="e">
        <v>#N/A</v>
      </c>
      <c r="AA325" t="e">
        <v>#N/A</v>
      </c>
      <c r="AC325" t="e">
        <v>#N/A</v>
      </c>
      <c r="AD325" t="e">
        <v>#N/A</v>
      </c>
      <c r="AE325" t="e">
        <v>#N/A</v>
      </c>
      <c r="AF325" t="e">
        <v>#N/A</v>
      </c>
      <c r="AH325" t="e">
        <v>#N/A</v>
      </c>
      <c r="AI325" t="e">
        <v>#N/A</v>
      </c>
      <c r="AJ325" t="e">
        <v>#N/A</v>
      </c>
      <c r="AK325" t="e">
        <v>#N/A</v>
      </c>
      <c r="AM325" t="e">
        <v>#N/A</v>
      </c>
      <c r="AN325" t="e">
        <v>#N/A</v>
      </c>
      <c r="AO325" t="e">
        <v>#N/A</v>
      </c>
      <c r="AP325" t="e">
        <v>#N/A</v>
      </c>
      <c r="AR325" t="e">
        <v>#N/A</v>
      </c>
      <c r="AS325" t="e">
        <v>#N/A</v>
      </c>
      <c r="AT325" t="e">
        <v>#N/A</v>
      </c>
      <c r="AU325" t="e">
        <v>#N/A</v>
      </c>
    </row>
    <row r="326" spans="1:47">
      <c r="A326" t="s">
        <v>4209</v>
      </c>
      <c r="B326" t="s">
        <v>4210</v>
      </c>
      <c r="C326" t="s">
        <v>17</v>
      </c>
      <c r="D326" t="s">
        <v>2188</v>
      </c>
      <c r="E326" t="s">
        <v>2189</v>
      </c>
      <c r="F326" t="s">
        <v>2190</v>
      </c>
      <c r="G326" t="s">
        <v>4750</v>
      </c>
      <c r="H326" t="s">
        <v>2191</v>
      </c>
      <c r="I326" t="e">
        <v>#N/A</v>
      </c>
      <c r="J326" t="e">
        <v>#N/A</v>
      </c>
      <c r="K326" t="e">
        <v>#N/A</v>
      </c>
      <c r="L326" t="e">
        <v>#N/A</v>
      </c>
      <c r="N326" t="e">
        <v>#N/A</v>
      </c>
      <c r="O326" t="e">
        <v>#N/A</v>
      </c>
      <c r="P326" t="e">
        <v>#N/A</v>
      </c>
      <c r="Q326" t="e">
        <v>#N/A</v>
      </c>
      <c r="S326" t="e">
        <v>#N/A</v>
      </c>
      <c r="T326" t="e">
        <v>#N/A</v>
      </c>
      <c r="U326" t="e">
        <v>#N/A</v>
      </c>
      <c r="V326" t="e">
        <v>#N/A</v>
      </c>
      <c r="X326" t="e">
        <v>#N/A</v>
      </c>
      <c r="Y326" t="e">
        <v>#N/A</v>
      </c>
      <c r="Z326" t="e">
        <v>#N/A</v>
      </c>
      <c r="AA326" t="e">
        <v>#N/A</v>
      </c>
      <c r="AC326" t="e">
        <v>#N/A</v>
      </c>
      <c r="AD326" t="e">
        <v>#N/A</v>
      </c>
      <c r="AE326" t="e">
        <v>#N/A</v>
      </c>
      <c r="AF326" t="e">
        <v>#N/A</v>
      </c>
      <c r="AH326" t="e">
        <v>#N/A</v>
      </c>
      <c r="AI326" t="e">
        <v>#N/A</v>
      </c>
      <c r="AJ326" t="e">
        <v>#N/A</v>
      </c>
      <c r="AK326" t="e">
        <v>#N/A</v>
      </c>
      <c r="AM326" t="e">
        <v>#N/A</v>
      </c>
      <c r="AN326" t="e">
        <v>#N/A</v>
      </c>
      <c r="AO326" t="e">
        <v>#N/A</v>
      </c>
      <c r="AP326" t="e">
        <v>#N/A</v>
      </c>
      <c r="AR326" t="e">
        <v>#N/A</v>
      </c>
      <c r="AS326" t="e">
        <v>#N/A</v>
      </c>
      <c r="AT326" t="e">
        <v>#N/A</v>
      </c>
      <c r="AU326" t="e">
        <v>#N/A</v>
      </c>
    </row>
    <row r="327" spans="1:47">
      <c r="A327" t="s">
        <v>4212</v>
      </c>
      <c r="B327" t="s">
        <v>4213</v>
      </c>
      <c r="C327" t="s">
        <v>17</v>
      </c>
      <c r="D327" t="s">
        <v>2203</v>
      </c>
      <c r="E327" t="s">
        <v>2204</v>
      </c>
      <c r="F327" t="s">
        <v>2205</v>
      </c>
      <c r="G327" t="s">
        <v>4750</v>
      </c>
      <c r="H327" t="s">
        <v>2206</v>
      </c>
      <c r="I327" t="e">
        <v>#N/A</v>
      </c>
      <c r="J327" t="e">
        <v>#N/A</v>
      </c>
      <c r="K327" t="e">
        <v>#N/A</v>
      </c>
      <c r="L327" t="e">
        <v>#N/A</v>
      </c>
      <c r="N327" t="e">
        <v>#N/A</v>
      </c>
      <c r="O327" t="e">
        <v>#N/A</v>
      </c>
      <c r="P327" t="e">
        <v>#N/A</v>
      </c>
      <c r="Q327" t="e">
        <v>#N/A</v>
      </c>
      <c r="S327" t="e">
        <v>#N/A</v>
      </c>
      <c r="T327" t="e">
        <v>#N/A</v>
      </c>
      <c r="U327" t="e">
        <v>#N/A</v>
      </c>
      <c r="V327" t="e">
        <v>#N/A</v>
      </c>
      <c r="X327" t="e">
        <v>#N/A</v>
      </c>
      <c r="Y327" t="e">
        <v>#N/A</v>
      </c>
      <c r="Z327" t="e">
        <v>#N/A</v>
      </c>
      <c r="AA327" t="e">
        <v>#N/A</v>
      </c>
      <c r="AC327" t="e">
        <v>#N/A</v>
      </c>
      <c r="AD327" t="e">
        <v>#N/A</v>
      </c>
      <c r="AE327" t="e">
        <v>#N/A</v>
      </c>
      <c r="AF327" t="e">
        <v>#N/A</v>
      </c>
      <c r="AH327" t="e">
        <v>#N/A</v>
      </c>
      <c r="AI327" t="e">
        <v>#N/A</v>
      </c>
      <c r="AJ327" t="e">
        <v>#N/A</v>
      </c>
      <c r="AK327" t="e">
        <v>#N/A</v>
      </c>
      <c r="AM327" t="e">
        <v>#N/A</v>
      </c>
      <c r="AN327" t="e">
        <v>#N/A</v>
      </c>
      <c r="AO327" t="e">
        <v>#N/A</v>
      </c>
      <c r="AP327" t="e">
        <v>#N/A</v>
      </c>
      <c r="AR327" t="e">
        <v>#N/A</v>
      </c>
      <c r="AS327" t="e">
        <v>#N/A</v>
      </c>
      <c r="AT327" t="e">
        <v>#N/A</v>
      </c>
      <c r="AU327" t="e">
        <v>#N/A</v>
      </c>
    </row>
    <row r="328" spans="1:47">
      <c r="A328" t="s">
        <v>4215</v>
      </c>
      <c r="B328" t="s">
        <v>4216</v>
      </c>
      <c r="C328" t="s">
        <v>17</v>
      </c>
      <c r="D328" t="s">
        <v>2218</v>
      </c>
      <c r="E328" t="s">
        <v>2219</v>
      </c>
      <c r="F328" t="s">
        <v>2220</v>
      </c>
      <c r="G328" t="s">
        <v>4750</v>
      </c>
      <c r="H328" t="s">
        <v>2221</v>
      </c>
      <c r="I328" t="e">
        <v>#N/A</v>
      </c>
      <c r="J328" t="e">
        <v>#N/A</v>
      </c>
      <c r="K328" t="e">
        <v>#N/A</v>
      </c>
      <c r="L328" t="e">
        <v>#N/A</v>
      </c>
      <c r="N328" t="e">
        <v>#N/A</v>
      </c>
      <c r="O328" t="e">
        <v>#N/A</v>
      </c>
      <c r="P328" t="e">
        <v>#N/A</v>
      </c>
      <c r="Q328" t="e">
        <v>#N/A</v>
      </c>
      <c r="S328" t="e">
        <v>#N/A</v>
      </c>
      <c r="T328" t="e">
        <v>#N/A</v>
      </c>
      <c r="U328" t="e">
        <v>#N/A</v>
      </c>
      <c r="V328" t="e">
        <v>#N/A</v>
      </c>
      <c r="X328" t="e">
        <v>#N/A</v>
      </c>
      <c r="Y328" t="e">
        <v>#N/A</v>
      </c>
      <c r="Z328" t="e">
        <v>#N/A</v>
      </c>
      <c r="AA328" t="e">
        <v>#N/A</v>
      </c>
      <c r="AC328" t="e">
        <v>#N/A</v>
      </c>
      <c r="AD328" t="e">
        <v>#N/A</v>
      </c>
      <c r="AE328" t="e">
        <v>#N/A</v>
      </c>
      <c r="AF328" t="e">
        <v>#N/A</v>
      </c>
      <c r="AH328" t="e">
        <v>#N/A</v>
      </c>
      <c r="AI328" t="e">
        <v>#N/A</v>
      </c>
      <c r="AJ328" t="e">
        <v>#N/A</v>
      </c>
      <c r="AK328" t="e">
        <v>#N/A</v>
      </c>
      <c r="AM328" t="e">
        <v>#N/A</v>
      </c>
      <c r="AN328" t="e">
        <v>#N/A</v>
      </c>
      <c r="AO328" t="e">
        <v>#N/A</v>
      </c>
      <c r="AP328" t="e">
        <v>#N/A</v>
      </c>
      <c r="AR328" t="e">
        <v>#N/A</v>
      </c>
      <c r="AS328" t="e">
        <v>#N/A</v>
      </c>
      <c r="AT328" t="e">
        <v>#N/A</v>
      </c>
      <c r="AU328" t="e">
        <v>#N/A</v>
      </c>
    </row>
    <row r="329" spans="1:47">
      <c r="A329" t="s">
        <v>4218</v>
      </c>
      <c r="B329" t="s">
        <v>4219</v>
      </c>
      <c r="C329" t="s">
        <v>17</v>
      </c>
      <c r="D329" t="s">
        <v>2241</v>
      </c>
      <c r="E329" t="s">
        <v>2242</v>
      </c>
      <c r="F329" t="s">
        <v>2243</v>
      </c>
      <c r="G329" t="s">
        <v>4750</v>
      </c>
      <c r="H329" t="s">
        <v>2236</v>
      </c>
      <c r="I329" t="e">
        <v>#N/A</v>
      </c>
      <c r="J329" t="e">
        <v>#N/A</v>
      </c>
      <c r="K329" t="e">
        <v>#N/A</v>
      </c>
      <c r="L329" t="e">
        <v>#N/A</v>
      </c>
      <c r="N329" t="e">
        <v>#N/A</v>
      </c>
      <c r="O329" t="e">
        <v>#N/A</v>
      </c>
      <c r="P329" t="e">
        <v>#N/A</v>
      </c>
      <c r="Q329" t="e">
        <v>#N/A</v>
      </c>
      <c r="S329" t="e">
        <v>#N/A</v>
      </c>
      <c r="T329" t="e">
        <v>#N/A</v>
      </c>
      <c r="U329" t="e">
        <v>#N/A</v>
      </c>
      <c r="V329" t="e">
        <v>#N/A</v>
      </c>
      <c r="X329" t="e">
        <v>#N/A</v>
      </c>
      <c r="Y329" t="e">
        <v>#N/A</v>
      </c>
      <c r="Z329" t="e">
        <v>#N/A</v>
      </c>
      <c r="AA329" t="e">
        <v>#N/A</v>
      </c>
      <c r="AC329" t="e">
        <v>#N/A</v>
      </c>
      <c r="AD329" t="e">
        <v>#N/A</v>
      </c>
      <c r="AE329" t="e">
        <v>#N/A</v>
      </c>
      <c r="AF329" t="e">
        <v>#N/A</v>
      </c>
      <c r="AH329" t="e">
        <v>#N/A</v>
      </c>
      <c r="AI329" t="e">
        <v>#N/A</v>
      </c>
      <c r="AJ329" t="e">
        <v>#N/A</v>
      </c>
      <c r="AK329" t="e">
        <v>#N/A</v>
      </c>
      <c r="AM329" t="e">
        <v>#N/A</v>
      </c>
      <c r="AN329" t="e">
        <v>#N/A</v>
      </c>
      <c r="AO329" t="e">
        <v>#N/A</v>
      </c>
      <c r="AP329" t="e">
        <v>#N/A</v>
      </c>
      <c r="AR329" t="e">
        <v>#N/A</v>
      </c>
      <c r="AS329" t="e">
        <v>#N/A</v>
      </c>
      <c r="AT329" t="e">
        <v>#N/A</v>
      </c>
      <c r="AU329" t="e">
        <v>#N/A</v>
      </c>
    </row>
    <row r="330" spans="1:47">
      <c r="A330" t="s">
        <v>4221</v>
      </c>
      <c r="B330" t="s">
        <v>4222</v>
      </c>
      <c r="C330" t="s">
        <v>17</v>
      </c>
      <c r="D330" t="s">
        <v>2248</v>
      </c>
      <c r="E330" t="s">
        <v>2249</v>
      </c>
      <c r="F330" t="s">
        <v>2250</v>
      </c>
      <c r="G330" t="s">
        <v>4750</v>
      </c>
      <c r="H330" t="s">
        <v>2251</v>
      </c>
      <c r="I330" t="e">
        <v>#N/A</v>
      </c>
      <c r="J330" t="e">
        <v>#N/A</v>
      </c>
      <c r="K330" t="e">
        <v>#N/A</v>
      </c>
      <c r="L330" t="e">
        <v>#N/A</v>
      </c>
      <c r="N330" t="e">
        <v>#N/A</v>
      </c>
      <c r="O330" t="e">
        <v>#N/A</v>
      </c>
      <c r="P330" t="e">
        <v>#N/A</v>
      </c>
      <c r="Q330" t="e">
        <v>#N/A</v>
      </c>
      <c r="S330" t="e">
        <v>#N/A</v>
      </c>
      <c r="T330" t="e">
        <v>#N/A</v>
      </c>
      <c r="U330" t="e">
        <v>#N/A</v>
      </c>
      <c r="V330" t="e">
        <v>#N/A</v>
      </c>
      <c r="X330" t="e">
        <v>#N/A</v>
      </c>
      <c r="Y330" t="e">
        <v>#N/A</v>
      </c>
      <c r="Z330" t="e">
        <v>#N/A</v>
      </c>
      <c r="AA330" t="e">
        <v>#N/A</v>
      </c>
      <c r="AC330" t="e">
        <v>#N/A</v>
      </c>
      <c r="AD330" t="e">
        <v>#N/A</v>
      </c>
      <c r="AE330" t="e">
        <v>#N/A</v>
      </c>
      <c r="AF330" t="e">
        <v>#N/A</v>
      </c>
      <c r="AH330" t="e">
        <v>#N/A</v>
      </c>
      <c r="AI330" t="e">
        <v>#N/A</v>
      </c>
      <c r="AJ330" t="e">
        <v>#N/A</v>
      </c>
      <c r="AK330" t="e">
        <v>#N/A</v>
      </c>
      <c r="AM330" t="e">
        <v>#N/A</v>
      </c>
      <c r="AN330" t="e">
        <v>#N/A</v>
      </c>
      <c r="AO330" t="e">
        <v>#N/A</v>
      </c>
      <c r="AP330" t="e">
        <v>#N/A</v>
      </c>
      <c r="AR330" t="e">
        <v>#N/A</v>
      </c>
      <c r="AS330" t="e">
        <v>#N/A</v>
      </c>
      <c r="AT330" t="e">
        <v>#N/A</v>
      </c>
      <c r="AU330" t="e">
        <v>#N/A</v>
      </c>
    </row>
    <row r="331" spans="1:47">
      <c r="A331" t="s">
        <v>4224</v>
      </c>
      <c r="B331" t="s">
        <v>4225</v>
      </c>
      <c r="C331" t="s">
        <v>17</v>
      </c>
      <c r="D331" t="s">
        <v>2271</v>
      </c>
      <c r="E331" t="s">
        <v>2272</v>
      </c>
      <c r="F331" t="s">
        <v>2273</v>
      </c>
      <c r="G331" t="s">
        <v>4751</v>
      </c>
      <c r="H331" t="s">
        <v>2266</v>
      </c>
      <c r="I331" t="e">
        <v>#N/A</v>
      </c>
      <c r="J331" t="e">
        <v>#N/A</v>
      </c>
      <c r="K331" t="e">
        <v>#N/A</v>
      </c>
      <c r="L331" t="e">
        <v>#N/A</v>
      </c>
      <c r="N331" t="e">
        <v>#N/A</v>
      </c>
      <c r="O331" t="e">
        <v>#N/A</v>
      </c>
      <c r="P331" t="e">
        <v>#N/A</v>
      </c>
      <c r="Q331" t="e">
        <v>#N/A</v>
      </c>
      <c r="S331" t="e">
        <v>#N/A</v>
      </c>
      <c r="T331" t="e">
        <v>#N/A</v>
      </c>
      <c r="U331" t="e">
        <v>#N/A</v>
      </c>
      <c r="V331" t="e">
        <v>#N/A</v>
      </c>
      <c r="X331" t="e">
        <v>#N/A</v>
      </c>
      <c r="Y331" t="e">
        <v>#N/A</v>
      </c>
      <c r="Z331" t="e">
        <v>#N/A</v>
      </c>
      <c r="AA331" t="e">
        <v>#N/A</v>
      </c>
      <c r="AC331" t="e">
        <v>#N/A</v>
      </c>
      <c r="AD331" t="e">
        <v>#N/A</v>
      </c>
      <c r="AE331" t="e">
        <v>#N/A</v>
      </c>
      <c r="AF331" t="e">
        <v>#N/A</v>
      </c>
      <c r="AH331" t="e">
        <v>#N/A</v>
      </c>
      <c r="AI331" t="e">
        <v>#N/A</v>
      </c>
      <c r="AJ331" t="e">
        <v>#N/A</v>
      </c>
      <c r="AK331" t="e">
        <v>#N/A</v>
      </c>
      <c r="AM331" t="e">
        <v>#N/A</v>
      </c>
      <c r="AN331" t="e">
        <v>#N/A</v>
      </c>
      <c r="AO331" t="e">
        <v>#N/A</v>
      </c>
      <c r="AP331" t="e">
        <v>#N/A</v>
      </c>
      <c r="AR331" t="e">
        <v>#N/A</v>
      </c>
      <c r="AS331" t="e">
        <v>#N/A</v>
      </c>
      <c r="AT331" t="e">
        <v>#N/A</v>
      </c>
      <c r="AU331" t="e">
        <v>#N/A</v>
      </c>
    </row>
    <row r="332" spans="1:47">
      <c r="A332" t="s">
        <v>4227</v>
      </c>
      <c r="B332" t="s">
        <v>4228</v>
      </c>
      <c r="C332" t="s">
        <v>17</v>
      </c>
      <c r="D332" t="s">
        <v>2278</v>
      </c>
      <c r="E332" t="s">
        <v>2279</v>
      </c>
      <c r="F332" t="s">
        <v>2280</v>
      </c>
      <c r="G332" t="s">
        <v>4754</v>
      </c>
      <c r="H332" t="s">
        <v>2266</v>
      </c>
      <c r="I332" t="e">
        <v>#N/A</v>
      </c>
      <c r="J332" t="e">
        <v>#N/A</v>
      </c>
      <c r="K332" t="e">
        <v>#N/A</v>
      </c>
      <c r="L332" t="e">
        <v>#N/A</v>
      </c>
      <c r="N332" t="e">
        <v>#N/A</v>
      </c>
      <c r="O332" t="e">
        <v>#N/A</v>
      </c>
      <c r="P332" t="e">
        <v>#N/A</v>
      </c>
      <c r="Q332" t="e">
        <v>#N/A</v>
      </c>
      <c r="S332" t="e">
        <v>#N/A</v>
      </c>
      <c r="T332" t="e">
        <v>#N/A</v>
      </c>
      <c r="U332" t="e">
        <v>#N/A</v>
      </c>
      <c r="V332" t="e">
        <v>#N/A</v>
      </c>
      <c r="X332" t="e">
        <v>#N/A</v>
      </c>
      <c r="Y332" t="e">
        <v>#N/A</v>
      </c>
      <c r="Z332" t="e">
        <v>#N/A</v>
      </c>
      <c r="AA332" t="e">
        <v>#N/A</v>
      </c>
      <c r="AC332" t="e">
        <v>#N/A</v>
      </c>
      <c r="AD332" t="e">
        <v>#N/A</v>
      </c>
      <c r="AE332" t="e">
        <v>#N/A</v>
      </c>
      <c r="AF332" t="e">
        <v>#N/A</v>
      </c>
      <c r="AH332" t="e">
        <v>#N/A</v>
      </c>
      <c r="AI332" t="e">
        <v>#N/A</v>
      </c>
      <c r="AJ332" t="e">
        <v>#N/A</v>
      </c>
      <c r="AK332" t="e">
        <v>#N/A</v>
      </c>
      <c r="AM332" t="e">
        <v>#N/A</v>
      </c>
      <c r="AN332" t="e">
        <v>#N/A</v>
      </c>
      <c r="AO332" t="e">
        <v>#N/A</v>
      </c>
      <c r="AP332" t="e">
        <v>#N/A</v>
      </c>
      <c r="AR332" t="e">
        <v>#N/A</v>
      </c>
      <c r="AS332" t="e">
        <v>#N/A</v>
      </c>
      <c r="AT332" t="e">
        <v>#N/A</v>
      </c>
      <c r="AU332" t="e">
        <v>#N/A</v>
      </c>
    </row>
    <row r="333" spans="1:47">
      <c r="A333" t="s">
        <v>4230</v>
      </c>
      <c r="B333" t="s">
        <v>4231</v>
      </c>
      <c r="C333" t="s">
        <v>17</v>
      </c>
      <c r="D333" t="s">
        <v>2285</v>
      </c>
      <c r="E333" t="s">
        <v>2286</v>
      </c>
      <c r="F333" t="s">
        <v>2287</v>
      </c>
      <c r="G333" t="s">
        <v>4755</v>
      </c>
      <c r="H333" t="s">
        <v>2266</v>
      </c>
      <c r="I333" t="e">
        <v>#N/A</v>
      </c>
      <c r="J333" t="e">
        <v>#N/A</v>
      </c>
      <c r="K333" t="e">
        <v>#N/A</v>
      </c>
      <c r="L333" t="e">
        <v>#N/A</v>
      </c>
      <c r="N333" t="e">
        <v>#N/A</v>
      </c>
      <c r="O333" t="e">
        <v>#N/A</v>
      </c>
      <c r="P333" t="e">
        <v>#N/A</v>
      </c>
      <c r="Q333" t="e">
        <v>#N/A</v>
      </c>
      <c r="S333" t="e">
        <v>#N/A</v>
      </c>
      <c r="T333" t="e">
        <v>#N/A</v>
      </c>
      <c r="U333" t="e">
        <v>#N/A</v>
      </c>
      <c r="V333" t="e">
        <v>#N/A</v>
      </c>
      <c r="X333" t="e">
        <v>#N/A</v>
      </c>
      <c r="Y333" t="e">
        <v>#N/A</v>
      </c>
      <c r="Z333" t="e">
        <v>#N/A</v>
      </c>
      <c r="AA333" t="e">
        <v>#N/A</v>
      </c>
      <c r="AC333" t="e">
        <v>#N/A</v>
      </c>
      <c r="AD333" t="e">
        <v>#N/A</v>
      </c>
      <c r="AE333" t="e">
        <v>#N/A</v>
      </c>
      <c r="AF333" t="e">
        <v>#N/A</v>
      </c>
      <c r="AH333" t="e">
        <v>#N/A</v>
      </c>
      <c r="AI333" t="e">
        <v>#N/A</v>
      </c>
      <c r="AJ333" t="e">
        <v>#N/A</v>
      </c>
      <c r="AK333" t="e">
        <v>#N/A</v>
      </c>
      <c r="AM333" t="e">
        <v>#N/A</v>
      </c>
      <c r="AN333" t="e">
        <v>#N/A</v>
      </c>
      <c r="AO333" t="e">
        <v>#N/A</v>
      </c>
      <c r="AP333" t="e">
        <v>#N/A</v>
      </c>
      <c r="AR333" t="e">
        <v>#N/A</v>
      </c>
      <c r="AS333" t="e">
        <v>#N/A</v>
      </c>
      <c r="AT333" t="e">
        <v>#N/A</v>
      </c>
      <c r="AU333" t="e">
        <v>#N/A</v>
      </c>
    </row>
    <row r="334" spans="1:47">
      <c r="A334" t="s">
        <v>4233</v>
      </c>
      <c r="B334" t="s">
        <v>4234</v>
      </c>
      <c r="C334" t="s">
        <v>17</v>
      </c>
      <c r="D334" t="s">
        <v>2300</v>
      </c>
      <c r="E334" t="s">
        <v>2301</v>
      </c>
      <c r="F334" t="s">
        <v>2302</v>
      </c>
      <c r="G334" t="s">
        <v>4751</v>
      </c>
      <c r="H334" t="s">
        <v>2295</v>
      </c>
      <c r="I334" t="e">
        <v>#N/A</v>
      </c>
      <c r="J334" t="e">
        <v>#N/A</v>
      </c>
      <c r="K334" t="e">
        <v>#N/A</v>
      </c>
      <c r="L334" t="e">
        <v>#N/A</v>
      </c>
      <c r="N334" t="e">
        <v>#N/A</v>
      </c>
      <c r="O334" t="e">
        <v>#N/A</v>
      </c>
      <c r="P334" t="e">
        <v>#N/A</v>
      </c>
      <c r="Q334" t="e">
        <v>#N/A</v>
      </c>
      <c r="S334" t="e">
        <v>#N/A</v>
      </c>
      <c r="T334" t="e">
        <v>#N/A</v>
      </c>
      <c r="U334" t="e">
        <v>#N/A</v>
      </c>
      <c r="V334" t="e">
        <v>#N/A</v>
      </c>
      <c r="X334" t="e">
        <v>#N/A</v>
      </c>
      <c r="Y334" t="e">
        <v>#N/A</v>
      </c>
      <c r="Z334" t="e">
        <v>#N/A</v>
      </c>
      <c r="AA334" t="e">
        <v>#N/A</v>
      </c>
      <c r="AC334" t="e">
        <v>#N/A</v>
      </c>
      <c r="AD334" t="e">
        <v>#N/A</v>
      </c>
      <c r="AE334" t="e">
        <v>#N/A</v>
      </c>
      <c r="AF334" t="e">
        <v>#N/A</v>
      </c>
      <c r="AH334" t="e">
        <v>#N/A</v>
      </c>
      <c r="AI334" t="e">
        <v>#N/A</v>
      </c>
      <c r="AJ334" t="e">
        <v>#N/A</v>
      </c>
      <c r="AK334" t="e">
        <v>#N/A</v>
      </c>
      <c r="AM334" t="e">
        <v>#N/A</v>
      </c>
      <c r="AN334" t="e">
        <v>#N/A</v>
      </c>
      <c r="AO334" t="e">
        <v>#N/A</v>
      </c>
      <c r="AP334" t="e">
        <v>#N/A</v>
      </c>
      <c r="AR334" t="e">
        <v>#N/A</v>
      </c>
      <c r="AS334" t="e">
        <v>#N/A</v>
      </c>
      <c r="AT334" t="e">
        <v>#N/A</v>
      </c>
      <c r="AU334" t="e">
        <v>#N/A</v>
      </c>
    </row>
    <row r="335" spans="1:47">
      <c r="A335" t="s">
        <v>4236</v>
      </c>
      <c r="B335" t="s">
        <v>4237</v>
      </c>
      <c r="C335" t="s">
        <v>17</v>
      </c>
      <c r="D335" t="s">
        <v>2307</v>
      </c>
      <c r="E335" t="s">
        <v>2308</v>
      </c>
      <c r="F335" t="s">
        <v>2309</v>
      </c>
      <c r="G335" t="s">
        <v>4754</v>
      </c>
      <c r="H335" t="s">
        <v>2295</v>
      </c>
      <c r="I335" t="e">
        <v>#N/A</v>
      </c>
      <c r="J335" t="e">
        <v>#N/A</v>
      </c>
      <c r="K335" t="e">
        <v>#N/A</v>
      </c>
      <c r="L335" t="e">
        <v>#N/A</v>
      </c>
      <c r="N335" t="e">
        <v>#N/A</v>
      </c>
      <c r="O335" t="e">
        <v>#N/A</v>
      </c>
      <c r="P335" t="e">
        <v>#N/A</v>
      </c>
      <c r="Q335" t="e">
        <v>#N/A</v>
      </c>
      <c r="S335" t="e">
        <v>#N/A</v>
      </c>
      <c r="T335" t="e">
        <v>#N/A</v>
      </c>
      <c r="U335" t="e">
        <v>#N/A</v>
      </c>
      <c r="V335" t="e">
        <v>#N/A</v>
      </c>
      <c r="X335" t="e">
        <v>#N/A</v>
      </c>
      <c r="Y335" t="e">
        <v>#N/A</v>
      </c>
      <c r="Z335" t="e">
        <v>#N/A</v>
      </c>
      <c r="AA335" t="e">
        <v>#N/A</v>
      </c>
      <c r="AC335" t="e">
        <v>#N/A</v>
      </c>
      <c r="AD335" t="e">
        <v>#N/A</v>
      </c>
      <c r="AE335" t="e">
        <v>#N/A</v>
      </c>
      <c r="AF335" t="e">
        <v>#N/A</v>
      </c>
      <c r="AH335" t="e">
        <v>#N/A</v>
      </c>
      <c r="AI335" t="e">
        <v>#N/A</v>
      </c>
      <c r="AJ335" t="e">
        <v>#N/A</v>
      </c>
      <c r="AK335" t="e">
        <v>#N/A</v>
      </c>
      <c r="AM335" t="e">
        <v>#N/A</v>
      </c>
      <c r="AN335" t="e">
        <v>#N/A</v>
      </c>
      <c r="AO335" t="e">
        <v>#N/A</v>
      </c>
      <c r="AP335" t="e">
        <v>#N/A</v>
      </c>
      <c r="AR335" t="e">
        <v>#N/A</v>
      </c>
      <c r="AS335" t="e">
        <v>#N/A</v>
      </c>
      <c r="AT335" t="e">
        <v>#N/A</v>
      </c>
      <c r="AU335" t="e">
        <v>#N/A</v>
      </c>
    </row>
    <row r="336" spans="1:47">
      <c r="A336" t="s">
        <v>4239</v>
      </c>
      <c r="B336" t="s">
        <v>4240</v>
      </c>
      <c r="C336" t="s">
        <v>17</v>
      </c>
      <c r="D336" t="s">
        <v>2314</v>
      </c>
      <c r="E336" t="s">
        <v>2315</v>
      </c>
      <c r="F336" t="s">
        <v>2316</v>
      </c>
      <c r="G336" t="s">
        <v>4755</v>
      </c>
      <c r="H336" t="s">
        <v>2295</v>
      </c>
      <c r="I336" t="e">
        <v>#N/A</v>
      </c>
      <c r="J336" t="e">
        <v>#N/A</v>
      </c>
      <c r="K336" t="e">
        <v>#N/A</v>
      </c>
      <c r="L336" t="e">
        <v>#N/A</v>
      </c>
      <c r="N336" t="e">
        <v>#N/A</v>
      </c>
      <c r="O336" t="e">
        <v>#N/A</v>
      </c>
      <c r="P336" t="e">
        <v>#N/A</v>
      </c>
      <c r="Q336" t="e">
        <v>#N/A</v>
      </c>
      <c r="S336" t="e">
        <v>#N/A</v>
      </c>
      <c r="T336" t="e">
        <v>#N/A</v>
      </c>
      <c r="U336" t="e">
        <v>#N/A</v>
      </c>
      <c r="V336" t="e">
        <v>#N/A</v>
      </c>
      <c r="X336" t="e">
        <v>#N/A</v>
      </c>
      <c r="Y336" t="e">
        <v>#N/A</v>
      </c>
      <c r="Z336" t="e">
        <v>#N/A</v>
      </c>
      <c r="AA336" t="e">
        <v>#N/A</v>
      </c>
      <c r="AC336" t="e">
        <v>#N/A</v>
      </c>
      <c r="AD336" t="e">
        <v>#N/A</v>
      </c>
      <c r="AE336" t="e">
        <v>#N/A</v>
      </c>
      <c r="AF336" t="e">
        <v>#N/A</v>
      </c>
      <c r="AH336" t="e">
        <v>#N/A</v>
      </c>
      <c r="AI336" t="e">
        <v>#N/A</v>
      </c>
      <c r="AJ336" t="e">
        <v>#N/A</v>
      </c>
      <c r="AK336" t="e">
        <v>#N/A</v>
      </c>
      <c r="AM336" t="e">
        <v>#N/A</v>
      </c>
      <c r="AN336" t="e">
        <v>#N/A</v>
      </c>
      <c r="AO336" t="e">
        <v>#N/A</v>
      </c>
      <c r="AP336" t="e">
        <v>#N/A</v>
      </c>
      <c r="AR336" t="e">
        <v>#N/A</v>
      </c>
      <c r="AS336" t="e">
        <v>#N/A</v>
      </c>
      <c r="AT336" t="e">
        <v>#N/A</v>
      </c>
      <c r="AU336" t="e">
        <v>#N/A</v>
      </c>
    </row>
    <row r="337" spans="1:47">
      <c r="A337" t="s">
        <v>4242</v>
      </c>
      <c r="B337" t="s">
        <v>4243</v>
      </c>
      <c r="C337" t="s">
        <v>17</v>
      </c>
      <c r="D337" t="s">
        <v>2321</v>
      </c>
      <c r="E337" t="s">
        <v>2322</v>
      </c>
      <c r="F337" t="s">
        <v>2323</v>
      </c>
      <c r="G337" t="s">
        <v>4751</v>
      </c>
      <c r="H337" t="s">
        <v>2324</v>
      </c>
      <c r="I337" t="e">
        <v>#N/A</v>
      </c>
      <c r="J337" t="e">
        <v>#N/A</v>
      </c>
      <c r="K337" t="e">
        <v>#N/A</v>
      </c>
      <c r="L337" t="e">
        <v>#N/A</v>
      </c>
      <c r="N337" t="e">
        <v>#N/A</v>
      </c>
      <c r="O337" t="e">
        <v>#N/A</v>
      </c>
      <c r="P337" t="e">
        <v>#N/A</v>
      </c>
      <c r="Q337" t="e">
        <v>#N/A</v>
      </c>
      <c r="S337" t="e">
        <v>#N/A</v>
      </c>
      <c r="T337" t="e">
        <v>#N/A</v>
      </c>
      <c r="U337" t="e">
        <v>#N/A</v>
      </c>
      <c r="V337" t="e">
        <v>#N/A</v>
      </c>
      <c r="X337" t="e">
        <v>#N/A</v>
      </c>
      <c r="Y337" t="e">
        <v>#N/A</v>
      </c>
      <c r="Z337" t="e">
        <v>#N/A</v>
      </c>
      <c r="AA337" t="e">
        <v>#N/A</v>
      </c>
      <c r="AC337" t="e">
        <v>#N/A</v>
      </c>
      <c r="AD337" t="e">
        <v>#N/A</v>
      </c>
      <c r="AE337" t="e">
        <v>#N/A</v>
      </c>
      <c r="AF337" t="e">
        <v>#N/A</v>
      </c>
      <c r="AH337" t="e">
        <v>#N/A</v>
      </c>
      <c r="AI337" t="e">
        <v>#N/A</v>
      </c>
      <c r="AJ337" t="e">
        <v>#N/A</v>
      </c>
      <c r="AK337" t="e">
        <v>#N/A</v>
      </c>
      <c r="AM337" t="e">
        <v>#N/A</v>
      </c>
      <c r="AN337" t="e">
        <v>#N/A</v>
      </c>
      <c r="AO337" t="e">
        <v>#N/A</v>
      </c>
      <c r="AP337" t="e">
        <v>#N/A</v>
      </c>
      <c r="AR337" t="e">
        <v>#N/A</v>
      </c>
      <c r="AS337" t="e">
        <v>#N/A</v>
      </c>
      <c r="AT337" t="e">
        <v>#N/A</v>
      </c>
      <c r="AU337" t="e">
        <v>#N/A</v>
      </c>
    </row>
    <row r="338" spans="1:47">
      <c r="A338" t="s">
        <v>4245</v>
      </c>
      <c r="B338" t="s">
        <v>4246</v>
      </c>
      <c r="C338" t="s">
        <v>17</v>
      </c>
      <c r="D338" t="s">
        <v>2329</v>
      </c>
      <c r="E338" t="s">
        <v>2330</v>
      </c>
      <c r="F338" t="s">
        <v>2331</v>
      </c>
      <c r="G338" t="s">
        <v>4754</v>
      </c>
      <c r="H338" t="s">
        <v>2324</v>
      </c>
      <c r="I338" t="e">
        <v>#N/A</v>
      </c>
      <c r="J338" t="e">
        <v>#N/A</v>
      </c>
      <c r="K338" t="e">
        <v>#N/A</v>
      </c>
      <c r="L338" t="e">
        <v>#N/A</v>
      </c>
      <c r="N338" t="e">
        <v>#N/A</v>
      </c>
      <c r="O338" t="e">
        <v>#N/A</v>
      </c>
      <c r="P338" t="e">
        <v>#N/A</v>
      </c>
      <c r="Q338" t="e">
        <v>#N/A</v>
      </c>
      <c r="S338" t="e">
        <v>#N/A</v>
      </c>
      <c r="T338" t="e">
        <v>#N/A</v>
      </c>
      <c r="U338" t="e">
        <v>#N/A</v>
      </c>
      <c r="V338" t="e">
        <v>#N/A</v>
      </c>
      <c r="X338" t="e">
        <v>#N/A</v>
      </c>
      <c r="Y338" t="e">
        <v>#N/A</v>
      </c>
      <c r="Z338" t="e">
        <v>#N/A</v>
      </c>
      <c r="AA338" t="e">
        <v>#N/A</v>
      </c>
      <c r="AC338" t="e">
        <v>#N/A</v>
      </c>
      <c r="AD338" t="e">
        <v>#N/A</v>
      </c>
      <c r="AE338" t="e">
        <v>#N/A</v>
      </c>
      <c r="AF338" t="e">
        <v>#N/A</v>
      </c>
      <c r="AH338" t="e">
        <v>#N/A</v>
      </c>
      <c r="AI338" t="e">
        <v>#N/A</v>
      </c>
      <c r="AJ338" t="e">
        <v>#N/A</v>
      </c>
      <c r="AK338" t="e">
        <v>#N/A</v>
      </c>
      <c r="AM338" t="e">
        <v>#N/A</v>
      </c>
      <c r="AN338" t="e">
        <v>#N/A</v>
      </c>
      <c r="AO338" t="e">
        <v>#N/A</v>
      </c>
      <c r="AP338" t="e">
        <v>#N/A</v>
      </c>
      <c r="AR338" t="e">
        <v>#N/A</v>
      </c>
      <c r="AS338" t="e">
        <v>#N/A</v>
      </c>
      <c r="AT338" t="e">
        <v>#N/A</v>
      </c>
      <c r="AU338" t="e">
        <v>#N/A</v>
      </c>
    </row>
    <row r="339" spans="1:47">
      <c r="A339" t="s">
        <v>4248</v>
      </c>
      <c r="B339" t="s">
        <v>4249</v>
      </c>
      <c r="C339" t="s">
        <v>17</v>
      </c>
      <c r="D339" t="s">
        <v>2336</v>
      </c>
      <c r="E339" t="s">
        <v>2337</v>
      </c>
      <c r="F339" t="s">
        <v>2338</v>
      </c>
      <c r="G339" t="s">
        <v>4755</v>
      </c>
      <c r="H339" t="s">
        <v>2324</v>
      </c>
      <c r="I339" t="e">
        <v>#N/A</v>
      </c>
      <c r="J339" t="e">
        <v>#N/A</v>
      </c>
      <c r="K339" t="e">
        <v>#N/A</v>
      </c>
      <c r="L339" t="e">
        <v>#N/A</v>
      </c>
      <c r="N339" t="e">
        <v>#N/A</v>
      </c>
      <c r="O339" t="e">
        <v>#N/A</v>
      </c>
      <c r="P339" t="e">
        <v>#N/A</v>
      </c>
      <c r="Q339" t="e">
        <v>#N/A</v>
      </c>
      <c r="S339" t="e">
        <v>#N/A</v>
      </c>
      <c r="T339" t="e">
        <v>#N/A</v>
      </c>
      <c r="U339" t="e">
        <v>#N/A</v>
      </c>
      <c r="V339" t="e">
        <v>#N/A</v>
      </c>
      <c r="X339" t="e">
        <v>#N/A</v>
      </c>
      <c r="Y339" t="e">
        <v>#N/A</v>
      </c>
      <c r="Z339" t="e">
        <v>#N/A</v>
      </c>
      <c r="AA339" t="e">
        <v>#N/A</v>
      </c>
      <c r="AC339" t="e">
        <v>#N/A</v>
      </c>
      <c r="AD339" t="e">
        <v>#N/A</v>
      </c>
      <c r="AE339" t="e">
        <v>#N/A</v>
      </c>
      <c r="AF339" t="e">
        <v>#N/A</v>
      </c>
      <c r="AH339" t="e">
        <v>#N/A</v>
      </c>
      <c r="AI339" t="e">
        <v>#N/A</v>
      </c>
      <c r="AJ339" t="e">
        <v>#N/A</v>
      </c>
      <c r="AK339" t="e">
        <v>#N/A</v>
      </c>
      <c r="AM339" t="e">
        <v>#N/A</v>
      </c>
      <c r="AN339" t="e">
        <v>#N/A</v>
      </c>
      <c r="AO339" t="e">
        <v>#N/A</v>
      </c>
      <c r="AP339" t="e">
        <v>#N/A</v>
      </c>
      <c r="AR339" t="e">
        <v>#N/A</v>
      </c>
      <c r="AS339" t="e">
        <v>#N/A</v>
      </c>
      <c r="AT339" t="e">
        <v>#N/A</v>
      </c>
      <c r="AU339" t="e">
        <v>#N/A</v>
      </c>
    </row>
    <row r="340" spans="1:47">
      <c r="A340" t="s">
        <v>4251</v>
      </c>
      <c r="B340" t="s">
        <v>4252</v>
      </c>
      <c r="C340" t="s">
        <v>17</v>
      </c>
      <c r="D340" t="s">
        <v>2351</v>
      </c>
      <c r="E340" t="s">
        <v>2352</v>
      </c>
      <c r="F340" t="s">
        <v>2353</v>
      </c>
      <c r="G340" t="s">
        <v>4751</v>
      </c>
      <c r="H340" t="s">
        <v>2346</v>
      </c>
      <c r="I340" t="e">
        <v>#N/A</v>
      </c>
      <c r="J340" t="e">
        <v>#N/A</v>
      </c>
      <c r="K340" t="e">
        <v>#N/A</v>
      </c>
      <c r="L340" t="e">
        <v>#N/A</v>
      </c>
      <c r="N340" t="e">
        <v>#N/A</v>
      </c>
      <c r="O340" t="e">
        <v>#N/A</v>
      </c>
      <c r="P340" t="e">
        <v>#N/A</v>
      </c>
      <c r="Q340" t="e">
        <v>#N/A</v>
      </c>
      <c r="S340" t="e">
        <v>#N/A</v>
      </c>
      <c r="T340" t="e">
        <v>#N/A</v>
      </c>
      <c r="U340" t="e">
        <v>#N/A</v>
      </c>
      <c r="V340" t="e">
        <v>#N/A</v>
      </c>
      <c r="X340" t="e">
        <v>#N/A</v>
      </c>
      <c r="Y340" t="e">
        <v>#N/A</v>
      </c>
      <c r="Z340" t="e">
        <v>#N/A</v>
      </c>
      <c r="AA340" t="e">
        <v>#N/A</v>
      </c>
      <c r="AC340" t="e">
        <v>#N/A</v>
      </c>
      <c r="AD340" t="e">
        <v>#N/A</v>
      </c>
      <c r="AE340" t="e">
        <v>#N/A</v>
      </c>
      <c r="AF340" t="e">
        <v>#N/A</v>
      </c>
      <c r="AH340" t="e">
        <v>#N/A</v>
      </c>
      <c r="AI340" t="e">
        <v>#N/A</v>
      </c>
      <c r="AJ340" t="e">
        <v>#N/A</v>
      </c>
      <c r="AK340" t="e">
        <v>#N/A</v>
      </c>
      <c r="AM340" t="e">
        <v>#N/A</v>
      </c>
      <c r="AN340" t="e">
        <v>#N/A</v>
      </c>
      <c r="AO340" t="e">
        <v>#N/A</v>
      </c>
      <c r="AP340" t="e">
        <v>#N/A</v>
      </c>
      <c r="AR340" t="e">
        <v>#N/A</v>
      </c>
      <c r="AS340" t="e">
        <v>#N/A</v>
      </c>
      <c r="AT340" t="e">
        <v>#N/A</v>
      </c>
      <c r="AU340" t="e">
        <v>#N/A</v>
      </c>
    </row>
    <row r="341" spans="1:47">
      <c r="A341" t="s">
        <v>4254</v>
      </c>
      <c r="B341" t="s">
        <v>4255</v>
      </c>
      <c r="C341" t="s">
        <v>17</v>
      </c>
      <c r="D341" t="s">
        <v>2358</v>
      </c>
      <c r="E341" t="s">
        <v>2359</v>
      </c>
      <c r="F341" t="s">
        <v>2360</v>
      </c>
      <c r="G341" t="s">
        <v>4754</v>
      </c>
      <c r="H341" t="s">
        <v>2346</v>
      </c>
      <c r="I341" t="e">
        <v>#N/A</v>
      </c>
      <c r="J341" t="e">
        <v>#N/A</v>
      </c>
      <c r="K341" t="e">
        <v>#N/A</v>
      </c>
      <c r="L341" t="e">
        <v>#N/A</v>
      </c>
      <c r="N341" t="e">
        <v>#N/A</v>
      </c>
      <c r="O341" t="e">
        <v>#N/A</v>
      </c>
      <c r="P341" t="e">
        <v>#N/A</v>
      </c>
      <c r="Q341" t="e">
        <v>#N/A</v>
      </c>
      <c r="S341" t="e">
        <v>#N/A</v>
      </c>
      <c r="T341" t="e">
        <v>#N/A</v>
      </c>
      <c r="U341" t="e">
        <v>#N/A</v>
      </c>
      <c r="V341" t="e">
        <v>#N/A</v>
      </c>
      <c r="X341" t="e">
        <v>#N/A</v>
      </c>
      <c r="Y341" t="e">
        <v>#N/A</v>
      </c>
      <c r="Z341" t="e">
        <v>#N/A</v>
      </c>
      <c r="AA341" t="e">
        <v>#N/A</v>
      </c>
      <c r="AC341" t="e">
        <v>#N/A</v>
      </c>
      <c r="AD341" t="e">
        <v>#N/A</v>
      </c>
      <c r="AE341" t="e">
        <v>#N/A</v>
      </c>
      <c r="AF341" t="e">
        <v>#N/A</v>
      </c>
      <c r="AH341" t="e">
        <v>#N/A</v>
      </c>
      <c r="AI341" t="e">
        <v>#N/A</v>
      </c>
      <c r="AJ341" t="e">
        <v>#N/A</v>
      </c>
      <c r="AK341" t="e">
        <v>#N/A</v>
      </c>
      <c r="AM341" t="e">
        <v>#N/A</v>
      </c>
      <c r="AN341" t="e">
        <v>#N/A</v>
      </c>
      <c r="AO341" t="e">
        <v>#N/A</v>
      </c>
      <c r="AP341" t="e">
        <v>#N/A</v>
      </c>
      <c r="AR341" t="e">
        <v>#N/A</v>
      </c>
      <c r="AS341" t="e">
        <v>#N/A</v>
      </c>
      <c r="AT341" t="e">
        <v>#N/A</v>
      </c>
      <c r="AU341" t="e">
        <v>#N/A</v>
      </c>
    </row>
    <row r="342" spans="1:47">
      <c r="A342" t="s">
        <v>4257</v>
      </c>
      <c r="B342" t="s">
        <v>4258</v>
      </c>
      <c r="C342" t="s">
        <v>17</v>
      </c>
      <c r="D342" t="s">
        <v>2365</v>
      </c>
      <c r="E342" t="s">
        <v>2366</v>
      </c>
      <c r="F342" t="s">
        <v>2367</v>
      </c>
      <c r="G342" t="s">
        <v>4755</v>
      </c>
      <c r="H342" t="s">
        <v>2346</v>
      </c>
      <c r="I342" t="e">
        <v>#N/A</v>
      </c>
      <c r="J342" t="e">
        <v>#N/A</v>
      </c>
      <c r="K342" t="e">
        <v>#N/A</v>
      </c>
      <c r="L342" t="e">
        <v>#N/A</v>
      </c>
      <c r="N342" t="e">
        <v>#N/A</v>
      </c>
      <c r="O342" t="e">
        <v>#N/A</v>
      </c>
      <c r="P342" t="e">
        <v>#N/A</v>
      </c>
      <c r="Q342" t="e">
        <v>#N/A</v>
      </c>
      <c r="S342" t="e">
        <v>#N/A</v>
      </c>
      <c r="T342" t="e">
        <v>#N/A</v>
      </c>
      <c r="U342" t="e">
        <v>#N/A</v>
      </c>
      <c r="V342" t="e">
        <v>#N/A</v>
      </c>
      <c r="X342" t="e">
        <v>#N/A</v>
      </c>
      <c r="Y342" t="e">
        <v>#N/A</v>
      </c>
      <c r="Z342" t="e">
        <v>#N/A</v>
      </c>
      <c r="AA342" t="e">
        <v>#N/A</v>
      </c>
      <c r="AC342" t="e">
        <v>#N/A</v>
      </c>
      <c r="AD342" t="e">
        <v>#N/A</v>
      </c>
      <c r="AE342" t="e">
        <v>#N/A</v>
      </c>
      <c r="AF342" t="e">
        <v>#N/A</v>
      </c>
      <c r="AH342" t="e">
        <v>#N/A</v>
      </c>
      <c r="AI342" t="e">
        <v>#N/A</v>
      </c>
      <c r="AJ342" t="e">
        <v>#N/A</v>
      </c>
      <c r="AK342" t="e">
        <v>#N/A</v>
      </c>
      <c r="AM342" t="e">
        <v>#N/A</v>
      </c>
      <c r="AN342" t="e">
        <v>#N/A</v>
      </c>
      <c r="AO342" t="e">
        <v>#N/A</v>
      </c>
      <c r="AP342" t="e">
        <v>#N/A</v>
      </c>
      <c r="AR342" t="e">
        <v>#N/A</v>
      </c>
      <c r="AS342" t="e">
        <v>#N/A</v>
      </c>
      <c r="AT342" t="e">
        <v>#N/A</v>
      </c>
      <c r="AU342" t="e">
        <v>#N/A</v>
      </c>
    </row>
    <row r="343" spans="1:47">
      <c r="A343" t="s">
        <v>4260</v>
      </c>
      <c r="B343" t="s">
        <v>4261</v>
      </c>
      <c r="C343" t="s">
        <v>17</v>
      </c>
      <c r="D343" t="s">
        <v>2380</v>
      </c>
      <c r="E343" t="s">
        <v>2381</v>
      </c>
      <c r="F343" t="s">
        <v>2382</v>
      </c>
      <c r="G343" t="s">
        <v>4751</v>
      </c>
      <c r="H343" t="s">
        <v>2375</v>
      </c>
      <c r="I343" t="e">
        <v>#N/A</v>
      </c>
      <c r="J343" t="e">
        <v>#N/A</v>
      </c>
      <c r="K343" t="e">
        <v>#N/A</v>
      </c>
      <c r="L343" t="e">
        <v>#N/A</v>
      </c>
      <c r="N343" t="e">
        <v>#N/A</v>
      </c>
      <c r="O343" t="e">
        <v>#N/A</v>
      </c>
      <c r="P343" t="e">
        <v>#N/A</v>
      </c>
      <c r="Q343" t="e">
        <v>#N/A</v>
      </c>
      <c r="S343" t="e">
        <v>#N/A</v>
      </c>
      <c r="T343" t="e">
        <v>#N/A</v>
      </c>
      <c r="U343" t="e">
        <v>#N/A</v>
      </c>
      <c r="V343" t="e">
        <v>#N/A</v>
      </c>
      <c r="X343" t="e">
        <v>#N/A</v>
      </c>
      <c r="Y343" t="e">
        <v>#N/A</v>
      </c>
      <c r="Z343" t="e">
        <v>#N/A</v>
      </c>
      <c r="AA343" t="e">
        <v>#N/A</v>
      </c>
      <c r="AC343" t="e">
        <v>#N/A</v>
      </c>
      <c r="AD343" t="e">
        <v>#N/A</v>
      </c>
      <c r="AE343" t="e">
        <v>#N/A</v>
      </c>
      <c r="AF343" t="e">
        <v>#N/A</v>
      </c>
      <c r="AH343" t="e">
        <v>#N/A</v>
      </c>
      <c r="AI343" t="e">
        <v>#N/A</v>
      </c>
      <c r="AJ343" t="e">
        <v>#N/A</v>
      </c>
      <c r="AK343" t="e">
        <v>#N/A</v>
      </c>
      <c r="AM343" t="e">
        <v>#N/A</v>
      </c>
      <c r="AN343" t="e">
        <v>#N/A</v>
      </c>
      <c r="AO343" t="e">
        <v>#N/A</v>
      </c>
      <c r="AP343" t="e">
        <v>#N/A</v>
      </c>
      <c r="AR343" t="e">
        <v>#N/A</v>
      </c>
      <c r="AS343" t="e">
        <v>#N/A</v>
      </c>
      <c r="AT343" t="e">
        <v>#N/A</v>
      </c>
      <c r="AU343" t="e">
        <v>#N/A</v>
      </c>
    </row>
    <row r="344" spans="1:47">
      <c r="A344" t="s">
        <v>4263</v>
      </c>
      <c r="B344" t="s">
        <v>4264</v>
      </c>
      <c r="C344" t="s">
        <v>17</v>
      </c>
      <c r="D344" t="s">
        <v>2387</v>
      </c>
      <c r="E344" t="s">
        <v>2388</v>
      </c>
      <c r="F344" t="s">
        <v>2389</v>
      </c>
      <c r="G344" t="s">
        <v>4754</v>
      </c>
      <c r="H344" t="s">
        <v>2375</v>
      </c>
      <c r="I344" t="e">
        <v>#N/A</v>
      </c>
      <c r="J344" t="e">
        <v>#N/A</v>
      </c>
      <c r="K344" t="e">
        <v>#N/A</v>
      </c>
      <c r="L344" t="e">
        <v>#N/A</v>
      </c>
      <c r="N344" t="e">
        <v>#N/A</v>
      </c>
      <c r="O344" t="e">
        <v>#N/A</v>
      </c>
      <c r="P344" t="e">
        <v>#N/A</v>
      </c>
      <c r="Q344" t="e">
        <v>#N/A</v>
      </c>
      <c r="S344" t="e">
        <v>#N/A</v>
      </c>
      <c r="T344" t="e">
        <v>#N/A</v>
      </c>
      <c r="U344" t="e">
        <v>#N/A</v>
      </c>
      <c r="V344" t="e">
        <v>#N/A</v>
      </c>
      <c r="X344" t="e">
        <v>#N/A</v>
      </c>
      <c r="Y344" t="e">
        <v>#N/A</v>
      </c>
      <c r="Z344" t="e">
        <v>#N/A</v>
      </c>
      <c r="AA344" t="e">
        <v>#N/A</v>
      </c>
      <c r="AC344" t="e">
        <v>#N/A</v>
      </c>
      <c r="AD344" t="e">
        <v>#N/A</v>
      </c>
      <c r="AE344" t="e">
        <v>#N/A</v>
      </c>
      <c r="AF344" t="e">
        <v>#N/A</v>
      </c>
      <c r="AH344" t="e">
        <v>#N/A</v>
      </c>
      <c r="AI344" t="e">
        <v>#N/A</v>
      </c>
      <c r="AJ344" t="e">
        <v>#N/A</v>
      </c>
      <c r="AK344" t="e">
        <v>#N/A</v>
      </c>
      <c r="AM344" t="e">
        <v>#N/A</v>
      </c>
      <c r="AN344" t="e">
        <v>#N/A</v>
      </c>
      <c r="AO344" t="e">
        <v>#N/A</v>
      </c>
      <c r="AP344" t="e">
        <v>#N/A</v>
      </c>
      <c r="AR344" t="e">
        <v>#N/A</v>
      </c>
      <c r="AS344" t="e">
        <v>#N/A</v>
      </c>
      <c r="AT344" t="e">
        <v>#N/A</v>
      </c>
      <c r="AU344" t="e">
        <v>#N/A</v>
      </c>
    </row>
    <row r="345" spans="1:47">
      <c r="A345" t="s">
        <v>4266</v>
      </c>
      <c r="B345" t="s">
        <v>4267</v>
      </c>
      <c r="C345" t="s">
        <v>17</v>
      </c>
      <c r="D345" t="s">
        <v>2394</v>
      </c>
      <c r="E345" t="s">
        <v>2395</v>
      </c>
      <c r="F345" t="s">
        <v>2396</v>
      </c>
      <c r="G345" t="s">
        <v>4755</v>
      </c>
      <c r="H345" t="s">
        <v>2375</v>
      </c>
      <c r="I345" t="e">
        <v>#N/A</v>
      </c>
      <c r="J345" t="e">
        <v>#N/A</v>
      </c>
      <c r="K345" t="e">
        <v>#N/A</v>
      </c>
      <c r="L345" t="e">
        <v>#N/A</v>
      </c>
      <c r="N345" t="e">
        <v>#N/A</v>
      </c>
      <c r="O345" t="e">
        <v>#N/A</v>
      </c>
      <c r="P345" t="e">
        <v>#N/A</v>
      </c>
      <c r="Q345" t="e">
        <v>#N/A</v>
      </c>
      <c r="S345" t="e">
        <v>#N/A</v>
      </c>
      <c r="T345" t="e">
        <v>#N/A</v>
      </c>
      <c r="U345" t="e">
        <v>#N/A</v>
      </c>
      <c r="V345" t="e">
        <v>#N/A</v>
      </c>
      <c r="X345" t="e">
        <v>#N/A</v>
      </c>
      <c r="Y345" t="e">
        <v>#N/A</v>
      </c>
      <c r="Z345" t="e">
        <v>#N/A</v>
      </c>
      <c r="AA345" t="e">
        <v>#N/A</v>
      </c>
      <c r="AC345" t="e">
        <v>#N/A</v>
      </c>
      <c r="AD345" t="e">
        <v>#N/A</v>
      </c>
      <c r="AE345" t="e">
        <v>#N/A</v>
      </c>
      <c r="AF345" t="e">
        <v>#N/A</v>
      </c>
      <c r="AH345" t="e">
        <v>#N/A</v>
      </c>
      <c r="AI345" t="e">
        <v>#N/A</v>
      </c>
      <c r="AJ345" t="e">
        <v>#N/A</v>
      </c>
      <c r="AK345" t="e">
        <v>#N/A</v>
      </c>
      <c r="AM345" t="e">
        <v>#N/A</v>
      </c>
      <c r="AN345" t="e">
        <v>#N/A</v>
      </c>
      <c r="AO345" t="e">
        <v>#N/A</v>
      </c>
      <c r="AP345" t="e">
        <v>#N/A</v>
      </c>
      <c r="AR345" t="e">
        <v>#N/A</v>
      </c>
      <c r="AS345" t="e">
        <v>#N/A</v>
      </c>
      <c r="AT345" t="e">
        <v>#N/A</v>
      </c>
      <c r="AU345" t="e">
        <v>#N/A</v>
      </c>
    </row>
    <row r="346" spans="1:47">
      <c r="A346" t="s">
        <v>4269</v>
      </c>
      <c r="B346" t="s">
        <v>4270</v>
      </c>
      <c r="C346" t="s">
        <v>17</v>
      </c>
      <c r="D346" t="s">
        <v>2401</v>
      </c>
      <c r="E346" t="s">
        <v>2402</v>
      </c>
      <c r="F346" t="s">
        <v>2403</v>
      </c>
      <c r="G346" t="s">
        <v>4750</v>
      </c>
      <c r="H346" t="s">
        <v>2404</v>
      </c>
      <c r="I346" t="e">
        <v>#N/A</v>
      </c>
      <c r="J346" t="e">
        <v>#N/A</v>
      </c>
      <c r="K346" t="e">
        <v>#N/A</v>
      </c>
      <c r="L346" t="e">
        <v>#N/A</v>
      </c>
      <c r="N346" t="e">
        <v>#N/A</v>
      </c>
      <c r="O346" t="e">
        <v>#N/A</v>
      </c>
      <c r="P346" t="e">
        <v>#N/A</v>
      </c>
      <c r="Q346" t="e">
        <v>#N/A</v>
      </c>
      <c r="S346" t="e">
        <v>#N/A</v>
      </c>
      <c r="T346" t="e">
        <v>#N/A</v>
      </c>
      <c r="U346" t="e">
        <v>#N/A</v>
      </c>
      <c r="V346" t="e">
        <v>#N/A</v>
      </c>
      <c r="X346" t="e">
        <v>#N/A</v>
      </c>
      <c r="Y346" t="e">
        <v>#N/A</v>
      </c>
      <c r="Z346" t="e">
        <v>#N/A</v>
      </c>
      <c r="AA346" t="e">
        <v>#N/A</v>
      </c>
      <c r="AC346" t="e">
        <v>#N/A</v>
      </c>
      <c r="AD346" t="e">
        <v>#N/A</v>
      </c>
      <c r="AE346" t="e">
        <v>#N/A</v>
      </c>
      <c r="AF346" t="e">
        <v>#N/A</v>
      </c>
      <c r="AH346" t="e">
        <v>#N/A</v>
      </c>
      <c r="AI346" t="e">
        <v>#N/A</v>
      </c>
      <c r="AJ346" t="e">
        <v>#N/A</v>
      </c>
      <c r="AK346" t="e">
        <v>#N/A</v>
      </c>
      <c r="AM346" t="e">
        <v>#N/A</v>
      </c>
      <c r="AN346" t="e">
        <v>#N/A</v>
      </c>
      <c r="AO346" t="e">
        <v>#N/A</v>
      </c>
      <c r="AP346" t="e">
        <v>#N/A</v>
      </c>
      <c r="AR346" t="e">
        <v>#N/A</v>
      </c>
      <c r="AS346" t="e">
        <v>#N/A</v>
      </c>
      <c r="AT346" t="e">
        <v>#N/A</v>
      </c>
      <c r="AU346" t="e">
        <v>#N/A</v>
      </c>
    </row>
    <row r="347" spans="1:47">
      <c r="A347" t="s">
        <v>4272</v>
      </c>
      <c r="B347" t="s">
        <v>4273</v>
      </c>
      <c r="C347" t="s">
        <v>17</v>
      </c>
      <c r="D347" t="s">
        <v>2416</v>
      </c>
      <c r="E347" t="s">
        <v>2417</v>
      </c>
      <c r="F347" t="s">
        <v>2418</v>
      </c>
      <c r="G347" t="s">
        <v>4750</v>
      </c>
      <c r="H347" t="s">
        <v>2419</v>
      </c>
      <c r="I347" t="e">
        <v>#N/A</v>
      </c>
      <c r="J347" t="e">
        <v>#N/A</v>
      </c>
      <c r="K347" t="e">
        <v>#N/A</v>
      </c>
      <c r="L347" t="e">
        <v>#N/A</v>
      </c>
      <c r="N347" t="e">
        <v>#N/A</v>
      </c>
      <c r="O347" t="e">
        <v>#N/A</v>
      </c>
      <c r="P347" t="e">
        <v>#N/A</v>
      </c>
      <c r="Q347" t="e">
        <v>#N/A</v>
      </c>
      <c r="S347" t="e">
        <v>#N/A</v>
      </c>
      <c r="T347" t="e">
        <v>#N/A</v>
      </c>
      <c r="U347" t="e">
        <v>#N/A</v>
      </c>
      <c r="V347" t="e">
        <v>#N/A</v>
      </c>
      <c r="X347" t="e">
        <v>#N/A</v>
      </c>
      <c r="Y347" t="e">
        <v>#N/A</v>
      </c>
      <c r="Z347" t="e">
        <v>#N/A</v>
      </c>
      <c r="AA347" t="e">
        <v>#N/A</v>
      </c>
      <c r="AC347" t="e">
        <v>#N/A</v>
      </c>
      <c r="AD347" t="e">
        <v>#N/A</v>
      </c>
      <c r="AE347" t="e">
        <v>#N/A</v>
      </c>
      <c r="AF347" t="e">
        <v>#N/A</v>
      </c>
      <c r="AH347" t="e">
        <v>#N/A</v>
      </c>
      <c r="AI347" t="e">
        <v>#N/A</v>
      </c>
      <c r="AJ347" t="e">
        <v>#N/A</v>
      </c>
      <c r="AK347" t="e">
        <v>#N/A</v>
      </c>
      <c r="AM347" t="e">
        <v>#N/A</v>
      </c>
      <c r="AN347" t="e">
        <v>#N/A</v>
      </c>
      <c r="AO347" t="e">
        <v>#N/A</v>
      </c>
      <c r="AP347" t="e">
        <v>#N/A</v>
      </c>
      <c r="AR347" t="e">
        <v>#N/A</v>
      </c>
      <c r="AS347" t="e">
        <v>#N/A</v>
      </c>
      <c r="AT347" t="e">
        <v>#N/A</v>
      </c>
      <c r="AU347" t="e">
        <v>#N/A</v>
      </c>
    </row>
    <row r="348" spans="1:47">
      <c r="A348" t="s">
        <v>4275</v>
      </c>
      <c r="B348" t="s">
        <v>4276</v>
      </c>
      <c r="C348" t="s">
        <v>17</v>
      </c>
      <c r="D348" t="s">
        <v>2431</v>
      </c>
      <c r="E348" t="s">
        <v>2432</v>
      </c>
      <c r="F348" t="s">
        <v>2433</v>
      </c>
      <c r="G348" t="s">
        <v>4750</v>
      </c>
      <c r="H348" t="s">
        <v>2434</v>
      </c>
      <c r="I348" t="e">
        <v>#N/A</v>
      </c>
      <c r="J348" t="e">
        <v>#N/A</v>
      </c>
      <c r="K348" t="e">
        <v>#N/A</v>
      </c>
      <c r="L348" t="e">
        <v>#N/A</v>
      </c>
      <c r="N348" t="e">
        <v>#N/A</v>
      </c>
      <c r="O348" t="e">
        <v>#N/A</v>
      </c>
      <c r="P348" t="e">
        <v>#N/A</v>
      </c>
      <c r="Q348" t="e">
        <v>#N/A</v>
      </c>
      <c r="S348" t="e">
        <v>#N/A</v>
      </c>
      <c r="T348" t="e">
        <v>#N/A</v>
      </c>
      <c r="U348" t="e">
        <v>#N/A</v>
      </c>
      <c r="V348" t="e">
        <v>#N/A</v>
      </c>
      <c r="X348" t="e">
        <v>#N/A</v>
      </c>
      <c r="Y348" t="e">
        <v>#N/A</v>
      </c>
      <c r="Z348" t="e">
        <v>#N/A</v>
      </c>
      <c r="AA348" t="e">
        <v>#N/A</v>
      </c>
      <c r="AC348" t="e">
        <v>#N/A</v>
      </c>
      <c r="AD348" t="e">
        <v>#N/A</v>
      </c>
      <c r="AE348" t="e">
        <v>#N/A</v>
      </c>
      <c r="AF348" t="e">
        <v>#N/A</v>
      </c>
      <c r="AH348" t="e">
        <v>#N/A</v>
      </c>
      <c r="AI348" t="e">
        <v>#N/A</v>
      </c>
      <c r="AJ348" t="e">
        <v>#N/A</v>
      </c>
      <c r="AK348" t="e">
        <v>#N/A</v>
      </c>
      <c r="AM348" t="e">
        <v>#N/A</v>
      </c>
      <c r="AN348" t="e">
        <v>#N/A</v>
      </c>
      <c r="AO348" t="e">
        <v>#N/A</v>
      </c>
      <c r="AP348" t="e">
        <v>#N/A</v>
      </c>
      <c r="AR348" t="e">
        <v>#N/A</v>
      </c>
      <c r="AS348" t="e">
        <v>#N/A</v>
      </c>
      <c r="AT348" t="e">
        <v>#N/A</v>
      </c>
      <c r="AU348" t="e">
        <v>#N/A</v>
      </c>
    </row>
    <row r="349" spans="1:47">
      <c r="A349" t="s">
        <v>4278</v>
      </c>
      <c r="B349" t="s">
        <v>4279</v>
      </c>
      <c r="C349" t="s">
        <v>17</v>
      </c>
      <c r="D349" t="s">
        <v>2454</v>
      </c>
      <c r="E349" t="s">
        <v>2455</v>
      </c>
      <c r="F349" t="s">
        <v>2456</v>
      </c>
      <c r="G349" t="s">
        <v>4750</v>
      </c>
      <c r="H349" t="s">
        <v>2449</v>
      </c>
      <c r="I349" t="e">
        <v>#N/A</v>
      </c>
      <c r="J349" t="e">
        <v>#N/A</v>
      </c>
      <c r="K349" t="e">
        <v>#N/A</v>
      </c>
      <c r="L349" t="e">
        <v>#N/A</v>
      </c>
      <c r="N349" t="e">
        <v>#N/A</v>
      </c>
      <c r="O349" t="e">
        <v>#N/A</v>
      </c>
      <c r="P349" t="e">
        <v>#N/A</v>
      </c>
      <c r="Q349" t="e">
        <v>#N/A</v>
      </c>
      <c r="S349" t="e">
        <v>#N/A</v>
      </c>
      <c r="T349" t="e">
        <v>#N/A</v>
      </c>
      <c r="U349" t="e">
        <v>#N/A</v>
      </c>
      <c r="V349" t="e">
        <v>#N/A</v>
      </c>
      <c r="X349" t="e">
        <v>#N/A</v>
      </c>
      <c r="Y349" t="e">
        <v>#N/A</v>
      </c>
      <c r="Z349" t="e">
        <v>#N/A</v>
      </c>
      <c r="AA349" t="e">
        <v>#N/A</v>
      </c>
      <c r="AC349" t="e">
        <v>#N/A</v>
      </c>
      <c r="AD349" t="e">
        <v>#N/A</v>
      </c>
      <c r="AE349" t="e">
        <v>#N/A</v>
      </c>
      <c r="AF349" t="e">
        <v>#N/A</v>
      </c>
      <c r="AH349" t="e">
        <v>#N/A</v>
      </c>
      <c r="AI349" t="e">
        <v>#N/A</v>
      </c>
      <c r="AJ349" t="e">
        <v>#N/A</v>
      </c>
      <c r="AK349" t="e">
        <v>#N/A</v>
      </c>
      <c r="AM349" t="e">
        <v>#N/A</v>
      </c>
      <c r="AN349" t="e">
        <v>#N/A</v>
      </c>
      <c r="AO349" t="e">
        <v>#N/A</v>
      </c>
      <c r="AP349" t="e">
        <v>#N/A</v>
      </c>
      <c r="AR349" t="e">
        <v>#N/A</v>
      </c>
      <c r="AS349" t="e">
        <v>#N/A</v>
      </c>
      <c r="AT349" t="e">
        <v>#N/A</v>
      </c>
      <c r="AU349" t="e">
        <v>#N/A</v>
      </c>
    </row>
    <row r="350" spans="1:47">
      <c r="A350" t="s">
        <v>4281</v>
      </c>
      <c r="B350" t="s">
        <v>4282</v>
      </c>
      <c r="C350" t="s">
        <v>17</v>
      </c>
      <c r="D350" t="s">
        <v>2461</v>
      </c>
      <c r="E350" t="s">
        <v>2462</v>
      </c>
      <c r="F350" t="s">
        <v>2463</v>
      </c>
      <c r="G350" t="s">
        <v>4750</v>
      </c>
      <c r="H350" t="s">
        <v>2464</v>
      </c>
      <c r="I350" t="e">
        <v>#N/A</v>
      </c>
      <c r="J350" t="e">
        <v>#N/A</v>
      </c>
      <c r="K350" t="e">
        <v>#N/A</v>
      </c>
      <c r="L350" t="e">
        <v>#N/A</v>
      </c>
      <c r="N350" t="e">
        <v>#N/A</v>
      </c>
      <c r="O350" t="e">
        <v>#N/A</v>
      </c>
      <c r="P350" t="e">
        <v>#N/A</v>
      </c>
      <c r="Q350" t="e">
        <v>#N/A</v>
      </c>
      <c r="S350" t="e">
        <v>#N/A</v>
      </c>
      <c r="T350" t="e">
        <v>#N/A</v>
      </c>
      <c r="U350" t="e">
        <v>#N/A</v>
      </c>
      <c r="V350" t="e">
        <v>#N/A</v>
      </c>
      <c r="X350" t="e">
        <v>#N/A</v>
      </c>
      <c r="Y350" t="e">
        <v>#N/A</v>
      </c>
      <c r="Z350" t="e">
        <v>#N/A</v>
      </c>
      <c r="AA350" t="e">
        <v>#N/A</v>
      </c>
      <c r="AC350" t="e">
        <v>#N/A</v>
      </c>
      <c r="AD350" t="e">
        <v>#N/A</v>
      </c>
      <c r="AE350" t="e">
        <v>#N/A</v>
      </c>
      <c r="AF350" t="e">
        <v>#N/A</v>
      </c>
      <c r="AH350" t="e">
        <v>#N/A</v>
      </c>
      <c r="AI350" t="e">
        <v>#N/A</v>
      </c>
      <c r="AJ350" t="e">
        <v>#N/A</v>
      </c>
      <c r="AK350" t="e">
        <v>#N/A</v>
      </c>
      <c r="AM350" t="e">
        <v>#N/A</v>
      </c>
      <c r="AN350" t="e">
        <v>#N/A</v>
      </c>
      <c r="AO350" t="e">
        <v>#N/A</v>
      </c>
      <c r="AP350" t="e">
        <v>#N/A</v>
      </c>
      <c r="AR350" t="e">
        <v>#N/A</v>
      </c>
      <c r="AS350" t="e">
        <v>#N/A</v>
      </c>
      <c r="AT350" t="e">
        <v>#N/A</v>
      </c>
      <c r="AU350" t="e">
        <v>#N/A</v>
      </c>
    </row>
    <row r="351" spans="1:47">
      <c r="A351" t="s">
        <v>4284</v>
      </c>
      <c r="B351" t="s">
        <v>4285</v>
      </c>
      <c r="C351" t="s">
        <v>17</v>
      </c>
      <c r="D351" t="s">
        <v>2469</v>
      </c>
      <c r="E351" t="s">
        <v>2470</v>
      </c>
      <c r="F351" t="s">
        <v>2471</v>
      </c>
      <c r="G351" t="s">
        <v>4750</v>
      </c>
      <c r="H351" t="s">
        <v>2472</v>
      </c>
      <c r="I351" t="e">
        <v>#N/A</v>
      </c>
      <c r="J351" t="e">
        <v>#N/A</v>
      </c>
      <c r="K351" t="e">
        <v>#N/A</v>
      </c>
      <c r="L351" t="e">
        <v>#N/A</v>
      </c>
      <c r="N351" t="e">
        <v>#N/A</v>
      </c>
      <c r="O351" t="e">
        <v>#N/A</v>
      </c>
      <c r="P351" t="e">
        <v>#N/A</v>
      </c>
      <c r="Q351" t="e">
        <v>#N/A</v>
      </c>
      <c r="S351" t="e">
        <v>#N/A</v>
      </c>
      <c r="T351" t="e">
        <v>#N/A</v>
      </c>
      <c r="U351" t="e">
        <v>#N/A</v>
      </c>
      <c r="V351" t="e">
        <v>#N/A</v>
      </c>
      <c r="X351" t="e">
        <v>#N/A</v>
      </c>
      <c r="Y351" t="e">
        <v>#N/A</v>
      </c>
      <c r="Z351" t="e">
        <v>#N/A</v>
      </c>
      <c r="AA351" t="e">
        <v>#N/A</v>
      </c>
      <c r="AC351" t="e">
        <v>#N/A</v>
      </c>
      <c r="AD351" t="e">
        <v>#N/A</v>
      </c>
      <c r="AE351" t="e">
        <v>#N/A</v>
      </c>
      <c r="AF351" t="e">
        <v>#N/A</v>
      </c>
      <c r="AH351" t="e">
        <v>#N/A</v>
      </c>
      <c r="AI351" t="e">
        <v>#N/A</v>
      </c>
      <c r="AJ351" t="e">
        <v>#N/A</v>
      </c>
      <c r="AK351" t="e">
        <v>#N/A</v>
      </c>
      <c r="AM351" t="e">
        <v>#N/A</v>
      </c>
      <c r="AN351" t="e">
        <v>#N/A</v>
      </c>
      <c r="AO351" t="e">
        <v>#N/A</v>
      </c>
      <c r="AP351" t="e">
        <v>#N/A</v>
      </c>
      <c r="AR351" t="e">
        <v>#N/A</v>
      </c>
      <c r="AS351" t="e">
        <v>#N/A</v>
      </c>
      <c r="AT351" t="e">
        <v>#N/A</v>
      </c>
      <c r="AU351" t="e">
        <v>#N/A</v>
      </c>
    </row>
    <row r="352" spans="1:47">
      <c r="A352" t="s">
        <v>4287</v>
      </c>
      <c r="B352" t="s">
        <v>4288</v>
      </c>
      <c r="C352" t="s">
        <v>17</v>
      </c>
      <c r="D352" t="s">
        <v>2477</v>
      </c>
      <c r="E352" t="s">
        <v>2478</v>
      </c>
      <c r="F352" t="s">
        <v>2479</v>
      </c>
      <c r="G352" t="s">
        <v>4750</v>
      </c>
      <c r="H352" t="s">
        <v>2480</v>
      </c>
      <c r="I352" t="e">
        <v>#N/A</v>
      </c>
      <c r="J352" t="e">
        <v>#N/A</v>
      </c>
      <c r="K352" t="e">
        <v>#N/A</v>
      </c>
      <c r="L352" t="e">
        <v>#N/A</v>
      </c>
      <c r="N352" t="e">
        <v>#N/A</v>
      </c>
      <c r="O352" t="e">
        <v>#N/A</v>
      </c>
      <c r="P352" t="e">
        <v>#N/A</v>
      </c>
      <c r="Q352" t="e">
        <v>#N/A</v>
      </c>
      <c r="S352" t="e">
        <v>#N/A</v>
      </c>
      <c r="T352" t="e">
        <v>#N/A</v>
      </c>
      <c r="U352" t="e">
        <v>#N/A</v>
      </c>
      <c r="V352" t="e">
        <v>#N/A</v>
      </c>
      <c r="X352" t="e">
        <v>#N/A</v>
      </c>
      <c r="Y352" t="e">
        <v>#N/A</v>
      </c>
      <c r="Z352" t="e">
        <v>#N/A</v>
      </c>
      <c r="AA352" t="e">
        <v>#N/A</v>
      </c>
      <c r="AC352" t="e">
        <v>#N/A</v>
      </c>
      <c r="AD352" t="e">
        <v>#N/A</v>
      </c>
      <c r="AE352" t="e">
        <v>#N/A</v>
      </c>
      <c r="AF352" t="e">
        <v>#N/A</v>
      </c>
      <c r="AH352" t="e">
        <v>#N/A</v>
      </c>
      <c r="AI352" t="e">
        <v>#N/A</v>
      </c>
      <c r="AJ352" t="e">
        <v>#N/A</v>
      </c>
      <c r="AK352" t="e">
        <v>#N/A</v>
      </c>
      <c r="AM352" t="e">
        <v>#N/A</v>
      </c>
      <c r="AN352" t="e">
        <v>#N/A</v>
      </c>
      <c r="AO352" t="e">
        <v>#N/A</v>
      </c>
      <c r="AP352" t="e">
        <v>#N/A</v>
      </c>
      <c r="AR352" t="e">
        <v>#N/A</v>
      </c>
      <c r="AS352" t="e">
        <v>#N/A</v>
      </c>
      <c r="AT352" t="e">
        <v>#N/A</v>
      </c>
      <c r="AU352" t="e">
        <v>#N/A</v>
      </c>
    </row>
    <row r="353" spans="1:47">
      <c r="A353" t="s">
        <v>4290</v>
      </c>
      <c r="B353" t="s">
        <v>4291</v>
      </c>
      <c r="C353" t="s">
        <v>17</v>
      </c>
      <c r="D353" t="s">
        <v>2485</v>
      </c>
      <c r="E353" t="s">
        <v>2486</v>
      </c>
      <c r="F353" t="s">
        <v>2487</v>
      </c>
      <c r="G353" t="s">
        <v>4750</v>
      </c>
      <c r="H353" t="s">
        <v>2488</v>
      </c>
      <c r="I353" t="e">
        <v>#N/A</v>
      </c>
      <c r="J353" t="e">
        <v>#N/A</v>
      </c>
      <c r="K353" t="e">
        <v>#N/A</v>
      </c>
      <c r="L353" t="e">
        <v>#N/A</v>
      </c>
      <c r="N353" t="e">
        <v>#N/A</v>
      </c>
      <c r="O353" t="e">
        <v>#N/A</v>
      </c>
      <c r="P353" t="e">
        <v>#N/A</v>
      </c>
      <c r="Q353" t="e">
        <v>#N/A</v>
      </c>
      <c r="S353" t="e">
        <v>#N/A</v>
      </c>
      <c r="T353" t="e">
        <v>#N/A</v>
      </c>
      <c r="U353" t="e">
        <v>#N/A</v>
      </c>
      <c r="V353" t="e">
        <v>#N/A</v>
      </c>
      <c r="X353" t="e">
        <v>#N/A</v>
      </c>
      <c r="Y353" t="e">
        <v>#N/A</v>
      </c>
      <c r="Z353" t="e">
        <v>#N/A</v>
      </c>
      <c r="AA353" t="e">
        <v>#N/A</v>
      </c>
      <c r="AC353" t="e">
        <v>#N/A</v>
      </c>
      <c r="AD353" t="e">
        <v>#N/A</v>
      </c>
      <c r="AE353" t="e">
        <v>#N/A</v>
      </c>
      <c r="AF353" t="e">
        <v>#N/A</v>
      </c>
      <c r="AH353" t="e">
        <v>#N/A</v>
      </c>
      <c r="AI353" t="e">
        <v>#N/A</v>
      </c>
      <c r="AJ353" t="e">
        <v>#N/A</v>
      </c>
      <c r="AK353" t="e">
        <v>#N/A</v>
      </c>
      <c r="AM353" t="e">
        <v>#N/A</v>
      </c>
      <c r="AN353" t="e">
        <v>#N/A</v>
      </c>
      <c r="AO353" t="e">
        <v>#N/A</v>
      </c>
      <c r="AP353" t="e">
        <v>#N/A</v>
      </c>
      <c r="AR353" t="e">
        <v>#N/A</v>
      </c>
      <c r="AS353" t="e">
        <v>#N/A</v>
      </c>
      <c r="AT353" t="e">
        <v>#N/A</v>
      </c>
      <c r="AU353" t="e">
        <v>#N/A</v>
      </c>
    </row>
    <row r="354" spans="1:47">
      <c r="A354" t="s">
        <v>4293</v>
      </c>
      <c r="B354" t="s">
        <v>4294</v>
      </c>
      <c r="C354" t="s">
        <v>17</v>
      </c>
      <c r="D354" t="s">
        <v>2500</v>
      </c>
      <c r="E354" t="s">
        <v>2501</v>
      </c>
      <c r="F354" t="s">
        <v>2502</v>
      </c>
      <c r="G354" t="s">
        <v>4750</v>
      </c>
      <c r="H354" t="s">
        <v>2503</v>
      </c>
      <c r="I354" t="e">
        <v>#N/A</v>
      </c>
      <c r="J354" t="e">
        <v>#N/A</v>
      </c>
      <c r="K354" t="e">
        <v>#N/A</v>
      </c>
      <c r="L354" t="e">
        <v>#N/A</v>
      </c>
      <c r="N354" t="e">
        <v>#N/A</v>
      </c>
      <c r="O354" t="e">
        <v>#N/A</v>
      </c>
      <c r="P354" t="e">
        <v>#N/A</v>
      </c>
      <c r="Q354" t="e">
        <v>#N/A</v>
      </c>
      <c r="S354" t="e">
        <v>#N/A</v>
      </c>
      <c r="T354" t="e">
        <v>#N/A</v>
      </c>
      <c r="U354" t="e">
        <v>#N/A</v>
      </c>
      <c r="V354" t="e">
        <v>#N/A</v>
      </c>
      <c r="X354" t="e">
        <v>#N/A</v>
      </c>
      <c r="Y354" t="e">
        <v>#N/A</v>
      </c>
      <c r="Z354" t="e">
        <v>#N/A</v>
      </c>
      <c r="AA354" t="e">
        <v>#N/A</v>
      </c>
      <c r="AC354" t="e">
        <v>#N/A</v>
      </c>
      <c r="AD354" t="e">
        <v>#N/A</v>
      </c>
      <c r="AE354" t="e">
        <v>#N/A</v>
      </c>
      <c r="AF354" t="e">
        <v>#N/A</v>
      </c>
      <c r="AH354" t="e">
        <v>#N/A</v>
      </c>
      <c r="AI354" t="e">
        <v>#N/A</v>
      </c>
      <c r="AJ354" t="e">
        <v>#N/A</v>
      </c>
      <c r="AK354" t="e">
        <v>#N/A</v>
      </c>
      <c r="AM354" t="e">
        <v>#N/A</v>
      </c>
      <c r="AN354" t="e">
        <v>#N/A</v>
      </c>
      <c r="AO354" t="e">
        <v>#N/A</v>
      </c>
      <c r="AP354" t="e">
        <v>#N/A</v>
      </c>
      <c r="AR354" t="e">
        <v>#N/A</v>
      </c>
      <c r="AS354" t="e">
        <v>#N/A</v>
      </c>
      <c r="AT354" t="e">
        <v>#N/A</v>
      </c>
      <c r="AU354" t="e">
        <v>#N/A</v>
      </c>
    </row>
    <row r="355" spans="1:47">
      <c r="A355" t="s">
        <v>4296</v>
      </c>
      <c r="B355" t="s">
        <v>4297</v>
      </c>
      <c r="C355" t="s">
        <v>17</v>
      </c>
      <c r="D355" t="s">
        <v>4299</v>
      </c>
      <c r="E355" t="s">
        <v>4300</v>
      </c>
      <c r="F355" t="s">
        <v>4301</v>
      </c>
      <c r="G355" t="s">
        <v>4750</v>
      </c>
      <c r="H355" t="s">
        <v>4302</v>
      </c>
      <c r="I355" t="e">
        <v>#N/A</v>
      </c>
      <c r="J355" t="e">
        <v>#N/A</v>
      </c>
      <c r="K355" t="e">
        <v>#N/A</v>
      </c>
      <c r="L355" t="e">
        <v>#N/A</v>
      </c>
      <c r="N355" t="e">
        <v>#N/A</v>
      </c>
      <c r="O355" t="e">
        <v>#N/A</v>
      </c>
      <c r="P355" t="e">
        <v>#N/A</v>
      </c>
      <c r="Q355" t="e">
        <v>#N/A</v>
      </c>
      <c r="S355" t="e">
        <v>#N/A</v>
      </c>
      <c r="T355" t="e">
        <v>#N/A</v>
      </c>
      <c r="U355" t="e">
        <v>#N/A</v>
      </c>
      <c r="V355" t="e">
        <v>#N/A</v>
      </c>
      <c r="X355" t="e">
        <v>#N/A</v>
      </c>
      <c r="Y355" t="e">
        <v>#N/A</v>
      </c>
      <c r="Z355" t="e">
        <v>#N/A</v>
      </c>
      <c r="AA355" t="e">
        <v>#N/A</v>
      </c>
      <c r="AC355" t="e">
        <v>#N/A</v>
      </c>
      <c r="AD355" t="e">
        <v>#N/A</v>
      </c>
      <c r="AE355" t="e">
        <v>#N/A</v>
      </c>
      <c r="AF355" t="e">
        <v>#N/A</v>
      </c>
      <c r="AH355" t="e">
        <v>#N/A</v>
      </c>
      <c r="AI355" t="e">
        <v>#N/A</v>
      </c>
      <c r="AJ355" t="e">
        <v>#N/A</v>
      </c>
      <c r="AK355" t="e">
        <v>#N/A</v>
      </c>
      <c r="AM355" t="e">
        <v>#N/A</v>
      </c>
      <c r="AN355" t="e">
        <v>#N/A</v>
      </c>
      <c r="AO355" t="e">
        <v>#N/A</v>
      </c>
      <c r="AP355" t="e">
        <v>#N/A</v>
      </c>
      <c r="AR355" t="e">
        <v>#N/A</v>
      </c>
      <c r="AS355" t="e">
        <v>#N/A</v>
      </c>
      <c r="AT355" t="e">
        <v>#N/A</v>
      </c>
      <c r="AU355" t="e">
        <v>#N/A</v>
      </c>
    </row>
    <row r="356" spans="1:47">
      <c r="A356" t="s">
        <v>4304</v>
      </c>
      <c r="B356" t="s">
        <v>4305</v>
      </c>
      <c r="C356" t="s">
        <v>17</v>
      </c>
      <c r="D356" t="s">
        <v>4307</v>
      </c>
      <c r="E356" t="s">
        <v>4308</v>
      </c>
      <c r="F356" t="s">
        <v>4309</v>
      </c>
      <c r="G356" t="s">
        <v>4750</v>
      </c>
      <c r="H356" t="s">
        <v>4310</v>
      </c>
      <c r="I356" t="e">
        <v>#N/A</v>
      </c>
      <c r="J356" t="e">
        <v>#N/A</v>
      </c>
      <c r="K356" t="e">
        <v>#N/A</v>
      </c>
      <c r="L356" t="e">
        <v>#N/A</v>
      </c>
      <c r="N356" t="e">
        <v>#N/A</v>
      </c>
      <c r="O356" t="e">
        <v>#N/A</v>
      </c>
      <c r="P356" t="e">
        <v>#N/A</v>
      </c>
      <c r="Q356" t="e">
        <v>#N/A</v>
      </c>
      <c r="S356" t="e">
        <v>#N/A</v>
      </c>
      <c r="T356" t="e">
        <v>#N/A</v>
      </c>
      <c r="U356" t="e">
        <v>#N/A</v>
      </c>
      <c r="V356" t="e">
        <v>#N/A</v>
      </c>
      <c r="X356" t="e">
        <v>#N/A</v>
      </c>
      <c r="Y356" t="e">
        <v>#N/A</v>
      </c>
      <c r="Z356" t="e">
        <v>#N/A</v>
      </c>
      <c r="AA356" t="e">
        <v>#N/A</v>
      </c>
      <c r="AC356" t="e">
        <v>#N/A</v>
      </c>
      <c r="AD356" t="e">
        <v>#N/A</v>
      </c>
      <c r="AE356" t="e">
        <v>#N/A</v>
      </c>
      <c r="AF356" t="e">
        <v>#N/A</v>
      </c>
      <c r="AH356" t="e">
        <v>#N/A</v>
      </c>
      <c r="AI356" t="e">
        <v>#N/A</v>
      </c>
      <c r="AJ356" t="e">
        <v>#N/A</v>
      </c>
      <c r="AK356" t="e">
        <v>#N/A</v>
      </c>
      <c r="AM356" t="e">
        <v>#N/A</v>
      </c>
      <c r="AN356" t="e">
        <v>#N/A</v>
      </c>
      <c r="AO356" t="e">
        <v>#N/A</v>
      </c>
      <c r="AP356" t="e">
        <v>#N/A</v>
      </c>
      <c r="AR356" t="e">
        <v>#N/A</v>
      </c>
      <c r="AS356" t="e">
        <v>#N/A</v>
      </c>
      <c r="AT356" t="e">
        <v>#N/A</v>
      </c>
      <c r="AU356" t="e">
        <v>#N/A</v>
      </c>
    </row>
    <row r="357" spans="1:47">
      <c r="A357" t="s">
        <v>4312</v>
      </c>
      <c r="B357" t="s">
        <v>4313</v>
      </c>
      <c r="C357" t="s">
        <v>17</v>
      </c>
      <c r="D357" t="s">
        <v>4315</v>
      </c>
      <c r="E357" t="s">
        <v>4316</v>
      </c>
      <c r="F357" t="s">
        <v>4317</v>
      </c>
      <c r="G357" t="s">
        <v>4750</v>
      </c>
      <c r="H357" t="s">
        <v>4318</v>
      </c>
      <c r="I357" t="e">
        <v>#N/A</v>
      </c>
      <c r="J357" t="e">
        <v>#N/A</v>
      </c>
      <c r="K357" t="e">
        <v>#N/A</v>
      </c>
      <c r="L357" t="e">
        <v>#N/A</v>
      </c>
      <c r="N357" t="e">
        <v>#N/A</v>
      </c>
      <c r="O357" t="e">
        <v>#N/A</v>
      </c>
      <c r="P357" t="e">
        <v>#N/A</v>
      </c>
      <c r="Q357" t="e">
        <v>#N/A</v>
      </c>
      <c r="S357" t="e">
        <v>#N/A</v>
      </c>
      <c r="T357" t="e">
        <v>#N/A</v>
      </c>
      <c r="U357" t="e">
        <v>#N/A</v>
      </c>
      <c r="V357" t="e">
        <v>#N/A</v>
      </c>
      <c r="X357" t="e">
        <v>#N/A</v>
      </c>
      <c r="Y357" t="e">
        <v>#N/A</v>
      </c>
      <c r="Z357" t="e">
        <v>#N/A</v>
      </c>
      <c r="AA357" t="e">
        <v>#N/A</v>
      </c>
      <c r="AC357" t="e">
        <v>#N/A</v>
      </c>
      <c r="AD357" t="e">
        <v>#N/A</v>
      </c>
      <c r="AE357" t="e">
        <v>#N/A</v>
      </c>
      <c r="AF357" t="e">
        <v>#N/A</v>
      </c>
      <c r="AH357" t="e">
        <v>#N/A</v>
      </c>
      <c r="AI357" t="e">
        <v>#N/A</v>
      </c>
      <c r="AJ357" t="e">
        <v>#N/A</v>
      </c>
      <c r="AK357" t="e">
        <v>#N/A</v>
      </c>
      <c r="AM357" t="e">
        <v>#N/A</v>
      </c>
      <c r="AN357" t="e">
        <v>#N/A</v>
      </c>
      <c r="AO357" t="e">
        <v>#N/A</v>
      </c>
      <c r="AP357" t="e">
        <v>#N/A</v>
      </c>
      <c r="AR357" t="e">
        <v>#N/A</v>
      </c>
      <c r="AS357" t="e">
        <v>#N/A</v>
      </c>
      <c r="AT357" t="e">
        <v>#N/A</v>
      </c>
      <c r="AU357" t="e">
        <v>#N/A</v>
      </c>
    </row>
    <row r="358" spans="1:47">
      <c r="A358" t="s">
        <v>4320</v>
      </c>
      <c r="B358" t="s">
        <v>4321</v>
      </c>
      <c r="C358" t="s">
        <v>17</v>
      </c>
      <c r="D358" t="s">
        <v>4323</v>
      </c>
      <c r="E358" t="s">
        <v>4324</v>
      </c>
      <c r="F358" t="s">
        <v>4325</v>
      </c>
      <c r="G358" t="s">
        <v>4751</v>
      </c>
      <c r="H358" t="s">
        <v>4318</v>
      </c>
      <c r="I358" t="e">
        <v>#N/A</v>
      </c>
      <c r="J358" t="e">
        <v>#N/A</v>
      </c>
      <c r="K358" t="e">
        <v>#N/A</v>
      </c>
      <c r="L358" t="e">
        <v>#N/A</v>
      </c>
      <c r="N358" t="e">
        <v>#N/A</v>
      </c>
      <c r="O358" t="e">
        <v>#N/A</v>
      </c>
      <c r="P358" t="e">
        <v>#N/A</v>
      </c>
      <c r="Q358" t="e">
        <v>#N/A</v>
      </c>
      <c r="S358" t="e">
        <v>#N/A</v>
      </c>
      <c r="T358" t="e">
        <v>#N/A</v>
      </c>
      <c r="U358" t="e">
        <v>#N/A</v>
      </c>
      <c r="V358" t="e">
        <v>#N/A</v>
      </c>
      <c r="X358" t="e">
        <v>#N/A</v>
      </c>
      <c r="Y358" t="e">
        <v>#N/A</v>
      </c>
      <c r="Z358" t="e">
        <v>#N/A</v>
      </c>
      <c r="AA358" t="e">
        <v>#N/A</v>
      </c>
      <c r="AC358" t="e">
        <v>#N/A</v>
      </c>
      <c r="AD358" t="e">
        <v>#N/A</v>
      </c>
      <c r="AE358" t="e">
        <v>#N/A</v>
      </c>
      <c r="AF358" t="e">
        <v>#N/A</v>
      </c>
      <c r="AH358" t="e">
        <v>#N/A</v>
      </c>
      <c r="AI358" t="e">
        <v>#N/A</v>
      </c>
      <c r="AJ358" t="e">
        <v>#N/A</v>
      </c>
      <c r="AK358" t="e">
        <v>#N/A</v>
      </c>
      <c r="AM358" t="e">
        <v>#N/A</v>
      </c>
      <c r="AN358" t="e">
        <v>#N/A</v>
      </c>
      <c r="AO358" t="e">
        <v>#N/A</v>
      </c>
      <c r="AP358" t="e">
        <v>#N/A</v>
      </c>
      <c r="AR358" t="e">
        <v>#N/A</v>
      </c>
      <c r="AS358" t="e">
        <v>#N/A</v>
      </c>
      <c r="AT358" t="e">
        <v>#N/A</v>
      </c>
      <c r="AU358" t="e">
        <v>#N/A</v>
      </c>
    </row>
    <row r="359" spans="1:47">
      <c r="A359" t="s">
        <v>4327</v>
      </c>
      <c r="B359" t="s">
        <v>4328</v>
      </c>
      <c r="C359" t="s">
        <v>17</v>
      </c>
      <c r="D359" t="s">
        <v>4330</v>
      </c>
      <c r="E359" t="s">
        <v>4331</v>
      </c>
      <c r="F359" t="s">
        <v>4332</v>
      </c>
      <c r="G359" t="s">
        <v>4750</v>
      </c>
      <c r="H359" t="s">
        <v>4333</v>
      </c>
      <c r="I359" t="e">
        <v>#N/A</v>
      </c>
      <c r="J359" t="e">
        <v>#N/A</v>
      </c>
      <c r="K359" t="e">
        <v>#N/A</v>
      </c>
      <c r="L359" t="e">
        <v>#N/A</v>
      </c>
      <c r="N359" t="e">
        <v>#N/A</v>
      </c>
      <c r="O359" t="e">
        <v>#N/A</v>
      </c>
      <c r="P359" t="e">
        <v>#N/A</v>
      </c>
      <c r="Q359" t="e">
        <v>#N/A</v>
      </c>
      <c r="S359" t="e">
        <v>#N/A</v>
      </c>
      <c r="T359" t="e">
        <v>#N/A</v>
      </c>
      <c r="U359" t="e">
        <v>#N/A</v>
      </c>
      <c r="V359" t="e">
        <v>#N/A</v>
      </c>
      <c r="X359" t="e">
        <v>#N/A</v>
      </c>
      <c r="Y359" t="e">
        <v>#N/A</v>
      </c>
      <c r="Z359" t="e">
        <v>#N/A</v>
      </c>
      <c r="AA359" t="e">
        <v>#N/A</v>
      </c>
      <c r="AC359" t="e">
        <v>#N/A</v>
      </c>
      <c r="AD359" t="e">
        <v>#N/A</v>
      </c>
      <c r="AE359" t="e">
        <v>#N/A</v>
      </c>
      <c r="AF359" t="e">
        <v>#N/A</v>
      </c>
      <c r="AH359" t="e">
        <v>#N/A</v>
      </c>
      <c r="AI359" t="e">
        <v>#N/A</v>
      </c>
      <c r="AJ359" t="e">
        <v>#N/A</v>
      </c>
      <c r="AK359" t="e">
        <v>#N/A</v>
      </c>
      <c r="AM359" t="e">
        <v>#N/A</v>
      </c>
      <c r="AN359" t="e">
        <v>#N/A</v>
      </c>
      <c r="AO359" t="e">
        <v>#N/A</v>
      </c>
      <c r="AP359" t="e">
        <v>#N/A</v>
      </c>
      <c r="AR359" t="e">
        <v>#N/A</v>
      </c>
      <c r="AS359" t="e">
        <v>#N/A</v>
      </c>
      <c r="AT359" t="e">
        <v>#N/A</v>
      </c>
      <c r="AU359" t="e">
        <v>#N/A</v>
      </c>
    </row>
    <row r="360" spans="1:47">
      <c r="A360" t="s">
        <v>4335</v>
      </c>
      <c r="B360" t="s">
        <v>4336</v>
      </c>
      <c r="C360" t="s">
        <v>17</v>
      </c>
      <c r="D360" t="s">
        <v>4338</v>
      </c>
      <c r="E360" t="s">
        <v>4339</v>
      </c>
      <c r="F360" t="s">
        <v>4340</v>
      </c>
      <c r="G360" t="s">
        <v>4751</v>
      </c>
      <c r="H360" t="s">
        <v>4333</v>
      </c>
      <c r="I360" t="e">
        <v>#N/A</v>
      </c>
      <c r="J360" t="e">
        <v>#N/A</v>
      </c>
      <c r="K360" t="e">
        <v>#N/A</v>
      </c>
      <c r="L360" t="e">
        <v>#N/A</v>
      </c>
      <c r="N360" t="e">
        <v>#N/A</v>
      </c>
      <c r="O360" t="e">
        <v>#N/A</v>
      </c>
      <c r="P360" t="e">
        <v>#N/A</v>
      </c>
      <c r="Q360" t="e">
        <v>#N/A</v>
      </c>
      <c r="S360" t="e">
        <v>#N/A</v>
      </c>
      <c r="T360" t="e">
        <v>#N/A</v>
      </c>
      <c r="U360" t="e">
        <v>#N/A</v>
      </c>
      <c r="V360" t="e">
        <v>#N/A</v>
      </c>
      <c r="X360" t="e">
        <v>#N/A</v>
      </c>
      <c r="Y360" t="e">
        <v>#N/A</v>
      </c>
      <c r="Z360" t="e">
        <v>#N/A</v>
      </c>
      <c r="AA360" t="e">
        <v>#N/A</v>
      </c>
      <c r="AC360" t="e">
        <v>#N/A</v>
      </c>
      <c r="AD360" t="e">
        <v>#N/A</v>
      </c>
      <c r="AE360" t="e">
        <v>#N/A</v>
      </c>
      <c r="AF360" t="e">
        <v>#N/A</v>
      </c>
      <c r="AH360" t="e">
        <v>#N/A</v>
      </c>
      <c r="AI360" t="e">
        <v>#N/A</v>
      </c>
      <c r="AJ360" t="e">
        <v>#N/A</v>
      </c>
      <c r="AK360" t="e">
        <v>#N/A</v>
      </c>
      <c r="AM360" t="e">
        <v>#N/A</v>
      </c>
      <c r="AN360" t="e">
        <v>#N/A</v>
      </c>
      <c r="AO360" t="e">
        <v>#N/A</v>
      </c>
      <c r="AP360" t="e">
        <v>#N/A</v>
      </c>
      <c r="AR360" t="e">
        <v>#N/A</v>
      </c>
      <c r="AS360" t="e">
        <v>#N/A</v>
      </c>
      <c r="AT360" t="e">
        <v>#N/A</v>
      </c>
      <c r="AU360" t="e">
        <v>#N/A</v>
      </c>
    </row>
    <row r="361" spans="1:47">
      <c r="A361" t="s">
        <v>4342</v>
      </c>
      <c r="B361" t="s">
        <v>4343</v>
      </c>
      <c r="C361" t="s">
        <v>17</v>
      </c>
      <c r="D361" t="s">
        <v>4345</v>
      </c>
      <c r="E361" t="s">
        <v>4346</v>
      </c>
      <c r="F361" t="s">
        <v>4347</v>
      </c>
      <c r="G361" t="s">
        <v>4750</v>
      </c>
      <c r="H361" t="s">
        <v>4348</v>
      </c>
      <c r="I361" t="e">
        <v>#N/A</v>
      </c>
      <c r="J361" t="e">
        <v>#N/A</v>
      </c>
      <c r="K361" t="e">
        <v>#N/A</v>
      </c>
      <c r="L361" t="e">
        <v>#N/A</v>
      </c>
      <c r="N361" t="e">
        <v>#N/A</v>
      </c>
      <c r="O361" t="e">
        <v>#N/A</v>
      </c>
      <c r="P361" t="e">
        <v>#N/A</v>
      </c>
      <c r="Q361" t="e">
        <v>#N/A</v>
      </c>
      <c r="S361" t="e">
        <v>#N/A</v>
      </c>
      <c r="T361" t="e">
        <v>#N/A</v>
      </c>
      <c r="U361" t="e">
        <v>#N/A</v>
      </c>
      <c r="V361" t="e">
        <v>#N/A</v>
      </c>
      <c r="X361" t="e">
        <v>#N/A</v>
      </c>
      <c r="Y361" t="e">
        <v>#N/A</v>
      </c>
      <c r="Z361" t="e">
        <v>#N/A</v>
      </c>
      <c r="AA361" t="e">
        <v>#N/A</v>
      </c>
      <c r="AC361" t="e">
        <v>#N/A</v>
      </c>
      <c r="AD361" t="e">
        <v>#N/A</v>
      </c>
      <c r="AE361" t="e">
        <v>#N/A</v>
      </c>
      <c r="AF361" t="e">
        <v>#N/A</v>
      </c>
      <c r="AH361" t="e">
        <v>#N/A</v>
      </c>
      <c r="AI361" t="e">
        <v>#N/A</v>
      </c>
      <c r="AJ361" t="e">
        <v>#N/A</v>
      </c>
      <c r="AK361" t="e">
        <v>#N/A</v>
      </c>
      <c r="AM361" t="e">
        <v>#N/A</v>
      </c>
      <c r="AN361" t="e">
        <v>#N/A</v>
      </c>
      <c r="AO361" t="e">
        <v>#N/A</v>
      </c>
      <c r="AP361" t="e">
        <v>#N/A</v>
      </c>
      <c r="AR361" t="e">
        <v>#N/A</v>
      </c>
      <c r="AS361" t="e">
        <v>#N/A</v>
      </c>
      <c r="AT361" t="e">
        <v>#N/A</v>
      </c>
      <c r="AU361" t="e">
        <v>#N/A</v>
      </c>
    </row>
    <row r="362" spans="1:47">
      <c r="A362" t="s">
        <v>4350</v>
      </c>
      <c r="B362" t="s">
        <v>4351</v>
      </c>
      <c r="C362" t="s">
        <v>17</v>
      </c>
      <c r="D362" t="s">
        <v>4353</v>
      </c>
      <c r="E362" t="s">
        <v>4354</v>
      </c>
      <c r="F362" t="s">
        <v>4355</v>
      </c>
      <c r="G362" t="s">
        <v>4751</v>
      </c>
      <c r="H362" t="s">
        <v>4348</v>
      </c>
      <c r="I362" t="e">
        <v>#N/A</v>
      </c>
      <c r="J362" t="e">
        <v>#N/A</v>
      </c>
      <c r="K362" t="e">
        <v>#N/A</v>
      </c>
      <c r="L362" t="e">
        <v>#N/A</v>
      </c>
      <c r="N362" t="e">
        <v>#N/A</v>
      </c>
      <c r="O362" t="e">
        <v>#N/A</v>
      </c>
      <c r="P362" t="e">
        <v>#N/A</v>
      </c>
      <c r="Q362" t="e">
        <v>#N/A</v>
      </c>
      <c r="S362" t="e">
        <v>#N/A</v>
      </c>
      <c r="T362" t="e">
        <v>#N/A</v>
      </c>
      <c r="U362" t="e">
        <v>#N/A</v>
      </c>
      <c r="V362" t="e">
        <v>#N/A</v>
      </c>
      <c r="X362" t="e">
        <v>#N/A</v>
      </c>
      <c r="Y362" t="e">
        <v>#N/A</v>
      </c>
      <c r="Z362" t="e">
        <v>#N/A</v>
      </c>
      <c r="AA362" t="e">
        <v>#N/A</v>
      </c>
      <c r="AC362" t="e">
        <v>#N/A</v>
      </c>
      <c r="AD362" t="e">
        <v>#N/A</v>
      </c>
      <c r="AE362" t="e">
        <v>#N/A</v>
      </c>
      <c r="AF362" t="e">
        <v>#N/A</v>
      </c>
      <c r="AH362" t="e">
        <v>#N/A</v>
      </c>
      <c r="AI362" t="e">
        <v>#N/A</v>
      </c>
      <c r="AJ362" t="e">
        <v>#N/A</v>
      </c>
      <c r="AK362" t="e">
        <v>#N/A</v>
      </c>
      <c r="AM362" t="e">
        <v>#N/A</v>
      </c>
      <c r="AN362" t="e">
        <v>#N/A</v>
      </c>
      <c r="AO362" t="e">
        <v>#N/A</v>
      </c>
      <c r="AP362" t="e">
        <v>#N/A</v>
      </c>
      <c r="AR362" t="e">
        <v>#N/A</v>
      </c>
      <c r="AS362" t="e">
        <v>#N/A</v>
      </c>
      <c r="AT362" t="e">
        <v>#N/A</v>
      </c>
      <c r="AU362" t="e">
        <v>#N/A</v>
      </c>
    </row>
    <row r="363" spans="1:47">
      <c r="A363" t="s">
        <v>4357</v>
      </c>
      <c r="B363" t="s">
        <v>4358</v>
      </c>
      <c r="C363" t="s">
        <v>17</v>
      </c>
      <c r="D363" t="s">
        <v>4360</v>
      </c>
      <c r="E363" t="s">
        <v>4361</v>
      </c>
      <c r="F363" t="s">
        <v>4362</v>
      </c>
      <c r="G363" t="s">
        <v>4750</v>
      </c>
      <c r="H363" t="s">
        <v>4363</v>
      </c>
      <c r="I363" t="e">
        <v>#N/A</v>
      </c>
      <c r="J363" t="e">
        <v>#N/A</v>
      </c>
      <c r="K363" t="e">
        <v>#N/A</v>
      </c>
      <c r="L363" t="e">
        <v>#N/A</v>
      </c>
      <c r="N363" t="e">
        <v>#N/A</v>
      </c>
      <c r="O363" t="e">
        <v>#N/A</v>
      </c>
      <c r="P363" t="e">
        <v>#N/A</v>
      </c>
      <c r="Q363" t="e">
        <v>#N/A</v>
      </c>
      <c r="S363" t="e">
        <v>#N/A</v>
      </c>
      <c r="T363" t="e">
        <v>#N/A</v>
      </c>
      <c r="U363" t="e">
        <v>#N/A</v>
      </c>
      <c r="V363" t="e">
        <v>#N/A</v>
      </c>
      <c r="X363" t="e">
        <v>#N/A</v>
      </c>
      <c r="Y363" t="e">
        <v>#N/A</v>
      </c>
      <c r="Z363" t="e">
        <v>#N/A</v>
      </c>
      <c r="AA363" t="e">
        <v>#N/A</v>
      </c>
      <c r="AC363" t="e">
        <v>#N/A</v>
      </c>
      <c r="AD363" t="e">
        <v>#N/A</v>
      </c>
      <c r="AE363" t="e">
        <v>#N/A</v>
      </c>
      <c r="AF363" t="e">
        <v>#N/A</v>
      </c>
      <c r="AH363" t="e">
        <v>#N/A</v>
      </c>
      <c r="AI363" t="e">
        <v>#N/A</v>
      </c>
      <c r="AJ363" t="e">
        <v>#N/A</v>
      </c>
      <c r="AK363" t="e">
        <v>#N/A</v>
      </c>
      <c r="AM363" t="e">
        <v>#N/A</v>
      </c>
      <c r="AN363" t="e">
        <v>#N/A</v>
      </c>
      <c r="AO363" t="e">
        <v>#N/A</v>
      </c>
      <c r="AP363" t="e">
        <v>#N/A</v>
      </c>
      <c r="AR363" t="e">
        <v>#N/A</v>
      </c>
      <c r="AS363" t="e">
        <v>#N/A</v>
      </c>
      <c r="AT363" t="e">
        <v>#N/A</v>
      </c>
      <c r="AU363" t="e">
        <v>#N/A</v>
      </c>
    </row>
    <row r="364" spans="1:47">
      <c r="A364" t="s">
        <v>4365</v>
      </c>
      <c r="B364" t="s">
        <v>4366</v>
      </c>
      <c r="C364" t="s">
        <v>17</v>
      </c>
      <c r="D364" t="s">
        <v>4368</v>
      </c>
      <c r="E364" t="s">
        <v>4369</v>
      </c>
      <c r="F364" t="s">
        <v>4370</v>
      </c>
      <c r="G364" t="s">
        <v>4751</v>
      </c>
      <c r="H364" t="s">
        <v>4363</v>
      </c>
      <c r="I364" t="e">
        <v>#N/A</v>
      </c>
      <c r="J364" t="e">
        <v>#N/A</v>
      </c>
      <c r="K364" t="e">
        <v>#N/A</v>
      </c>
      <c r="L364" t="e">
        <v>#N/A</v>
      </c>
      <c r="N364" t="e">
        <v>#N/A</v>
      </c>
      <c r="O364" t="e">
        <v>#N/A</v>
      </c>
      <c r="P364" t="e">
        <v>#N/A</v>
      </c>
      <c r="Q364" t="e">
        <v>#N/A</v>
      </c>
      <c r="S364" t="e">
        <v>#N/A</v>
      </c>
      <c r="T364" t="e">
        <v>#N/A</v>
      </c>
      <c r="U364" t="e">
        <v>#N/A</v>
      </c>
      <c r="V364" t="e">
        <v>#N/A</v>
      </c>
      <c r="X364" t="e">
        <v>#N/A</v>
      </c>
      <c r="Y364" t="e">
        <v>#N/A</v>
      </c>
      <c r="Z364" t="e">
        <v>#N/A</v>
      </c>
      <c r="AA364" t="e">
        <v>#N/A</v>
      </c>
      <c r="AC364" t="e">
        <v>#N/A</v>
      </c>
      <c r="AD364" t="e">
        <v>#N/A</v>
      </c>
      <c r="AE364" t="e">
        <v>#N/A</v>
      </c>
      <c r="AF364" t="e">
        <v>#N/A</v>
      </c>
      <c r="AH364" t="e">
        <v>#N/A</v>
      </c>
      <c r="AI364" t="e">
        <v>#N/A</v>
      </c>
      <c r="AJ364" t="e">
        <v>#N/A</v>
      </c>
      <c r="AK364" t="e">
        <v>#N/A</v>
      </c>
      <c r="AM364" t="e">
        <v>#N/A</v>
      </c>
      <c r="AN364" t="e">
        <v>#N/A</v>
      </c>
      <c r="AO364" t="e">
        <v>#N/A</v>
      </c>
      <c r="AP364" t="e">
        <v>#N/A</v>
      </c>
      <c r="AR364" t="e">
        <v>#N/A</v>
      </c>
      <c r="AS364" t="e">
        <v>#N/A</v>
      </c>
      <c r="AT364" t="e">
        <v>#N/A</v>
      </c>
      <c r="AU364" t="e">
        <v>#N/A</v>
      </c>
    </row>
    <row r="365" spans="1:47">
      <c r="A365" t="s">
        <v>4372</v>
      </c>
      <c r="B365" t="s">
        <v>4373</v>
      </c>
      <c r="C365" t="s">
        <v>17</v>
      </c>
      <c r="D365" t="s">
        <v>4375</v>
      </c>
      <c r="E365" t="s">
        <v>4376</v>
      </c>
      <c r="F365" t="s">
        <v>4377</v>
      </c>
      <c r="G365" t="s">
        <v>4750</v>
      </c>
      <c r="H365" t="s">
        <v>4378</v>
      </c>
      <c r="I365" t="e">
        <v>#N/A</v>
      </c>
      <c r="J365" t="e">
        <v>#N/A</v>
      </c>
      <c r="K365" t="e">
        <v>#N/A</v>
      </c>
      <c r="L365" t="e">
        <v>#N/A</v>
      </c>
      <c r="N365" t="e">
        <v>#N/A</v>
      </c>
      <c r="O365" t="e">
        <v>#N/A</v>
      </c>
      <c r="P365" t="e">
        <v>#N/A</v>
      </c>
      <c r="Q365" t="e">
        <v>#N/A</v>
      </c>
      <c r="S365" t="e">
        <v>#N/A</v>
      </c>
      <c r="T365" t="e">
        <v>#N/A</v>
      </c>
      <c r="U365" t="e">
        <v>#N/A</v>
      </c>
      <c r="V365" t="e">
        <v>#N/A</v>
      </c>
      <c r="X365" t="e">
        <v>#N/A</v>
      </c>
      <c r="Y365" t="e">
        <v>#N/A</v>
      </c>
      <c r="Z365" t="e">
        <v>#N/A</v>
      </c>
      <c r="AA365" t="e">
        <v>#N/A</v>
      </c>
      <c r="AC365" t="e">
        <v>#N/A</v>
      </c>
      <c r="AD365" t="e">
        <v>#N/A</v>
      </c>
      <c r="AE365" t="e">
        <v>#N/A</v>
      </c>
      <c r="AF365" t="e">
        <v>#N/A</v>
      </c>
      <c r="AH365" t="e">
        <v>#N/A</v>
      </c>
      <c r="AI365" t="e">
        <v>#N/A</v>
      </c>
      <c r="AJ365" t="e">
        <v>#N/A</v>
      </c>
      <c r="AK365" t="e">
        <v>#N/A</v>
      </c>
      <c r="AM365" t="e">
        <v>#N/A</v>
      </c>
      <c r="AN365" t="e">
        <v>#N/A</v>
      </c>
      <c r="AO365" t="e">
        <v>#N/A</v>
      </c>
      <c r="AP365" t="e">
        <v>#N/A</v>
      </c>
      <c r="AR365" t="e">
        <v>#N/A</v>
      </c>
      <c r="AS365" t="e">
        <v>#N/A</v>
      </c>
      <c r="AT365" t="e">
        <v>#N/A</v>
      </c>
      <c r="AU365" t="e">
        <v>#N/A</v>
      </c>
    </row>
    <row r="366" spans="1:47">
      <c r="A366" t="s">
        <v>4380</v>
      </c>
      <c r="B366" t="s">
        <v>4381</v>
      </c>
      <c r="C366" t="s">
        <v>17</v>
      </c>
      <c r="D366" t="s">
        <v>4383</v>
      </c>
      <c r="E366" t="s">
        <v>4384</v>
      </c>
      <c r="F366" t="s">
        <v>4385</v>
      </c>
      <c r="G366" t="s">
        <v>4751</v>
      </c>
      <c r="H366" t="s">
        <v>4378</v>
      </c>
      <c r="I366" t="e">
        <v>#N/A</v>
      </c>
      <c r="J366" t="e">
        <v>#N/A</v>
      </c>
      <c r="K366" t="e">
        <v>#N/A</v>
      </c>
      <c r="L366" t="e">
        <v>#N/A</v>
      </c>
      <c r="N366" t="e">
        <v>#N/A</v>
      </c>
      <c r="O366" t="e">
        <v>#N/A</v>
      </c>
      <c r="P366" t="e">
        <v>#N/A</v>
      </c>
      <c r="Q366" t="e">
        <v>#N/A</v>
      </c>
      <c r="S366" t="e">
        <v>#N/A</v>
      </c>
      <c r="T366" t="e">
        <v>#N/A</v>
      </c>
      <c r="U366" t="e">
        <v>#N/A</v>
      </c>
      <c r="V366" t="e">
        <v>#N/A</v>
      </c>
      <c r="X366" t="e">
        <v>#N/A</v>
      </c>
      <c r="Y366" t="e">
        <v>#N/A</v>
      </c>
      <c r="Z366" t="e">
        <v>#N/A</v>
      </c>
      <c r="AA366" t="e">
        <v>#N/A</v>
      </c>
      <c r="AC366" t="e">
        <v>#N/A</v>
      </c>
      <c r="AD366" t="e">
        <v>#N/A</v>
      </c>
      <c r="AE366" t="e">
        <v>#N/A</v>
      </c>
      <c r="AF366" t="e">
        <v>#N/A</v>
      </c>
      <c r="AH366" t="e">
        <v>#N/A</v>
      </c>
      <c r="AI366" t="e">
        <v>#N/A</v>
      </c>
      <c r="AJ366" t="e">
        <v>#N/A</v>
      </c>
      <c r="AK366" t="e">
        <v>#N/A</v>
      </c>
      <c r="AM366" t="e">
        <v>#N/A</v>
      </c>
      <c r="AN366" t="e">
        <v>#N/A</v>
      </c>
      <c r="AO366" t="e">
        <v>#N/A</v>
      </c>
      <c r="AP366" t="e">
        <v>#N/A</v>
      </c>
      <c r="AR366" t="e">
        <v>#N/A</v>
      </c>
      <c r="AS366" t="e">
        <v>#N/A</v>
      </c>
      <c r="AT366" t="e">
        <v>#N/A</v>
      </c>
      <c r="AU366" t="e">
        <v>#N/A</v>
      </c>
    </row>
    <row r="367" spans="1:47">
      <c r="A367" t="s">
        <v>4387</v>
      </c>
      <c r="B367" t="s">
        <v>4388</v>
      </c>
      <c r="C367" t="s">
        <v>17</v>
      </c>
      <c r="D367" t="s">
        <v>4390</v>
      </c>
      <c r="E367" t="s">
        <v>4391</v>
      </c>
      <c r="F367" t="s">
        <v>4392</v>
      </c>
      <c r="G367" t="s">
        <v>4750</v>
      </c>
      <c r="H367" t="s">
        <v>4393</v>
      </c>
      <c r="I367" t="e">
        <v>#N/A</v>
      </c>
      <c r="J367" t="e">
        <v>#N/A</v>
      </c>
      <c r="K367" t="e">
        <v>#N/A</v>
      </c>
      <c r="L367" t="e">
        <v>#N/A</v>
      </c>
      <c r="N367" t="e">
        <v>#N/A</v>
      </c>
      <c r="O367" t="e">
        <v>#N/A</v>
      </c>
      <c r="P367" t="e">
        <v>#N/A</v>
      </c>
      <c r="Q367" t="e">
        <v>#N/A</v>
      </c>
      <c r="S367" t="e">
        <v>#N/A</v>
      </c>
      <c r="T367" t="e">
        <v>#N/A</v>
      </c>
      <c r="U367" t="e">
        <v>#N/A</v>
      </c>
      <c r="V367" t="e">
        <v>#N/A</v>
      </c>
      <c r="X367" t="e">
        <v>#N/A</v>
      </c>
      <c r="Y367" t="e">
        <v>#N/A</v>
      </c>
      <c r="Z367" t="e">
        <v>#N/A</v>
      </c>
      <c r="AA367" t="e">
        <v>#N/A</v>
      </c>
      <c r="AC367" t="e">
        <v>#N/A</v>
      </c>
      <c r="AD367" t="e">
        <v>#N/A</v>
      </c>
      <c r="AE367" t="e">
        <v>#N/A</v>
      </c>
      <c r="AF367" t="e">
        <v>#N/A</v>
      </c>
      <c r="AH367" t="e">
        <v>#N/A</v>
      </c>
      <c r="AI367" t="e">
        <v>#N/A</v>
      </c>
      <c r="AJ367" t="e">
        <v>#N/A</v>
      </c>
      <c r="AK367" t="e">
        <v>#N/A</v>
      </c>
      <c r="AM367" t="e">
        <v>#N/A</v>
      </c>
      <c r="AN367" t="e">
        <v>#N/A</v>
      </c>
      <c r="AO367" t="e">
        <v>#N/A</v>
      </c>
      <c r="AP367" t="e">
        <v>#N/A</v>
      </c>
      <c r="AR367" t="e">
        <v>#N/A</v>
      </c>
      <c r="AS367" t="e">
        <v>#N/A</v>
      </c>
      <c r="AT367" t="e">
        <v>#N/A</v>
      </c>
      <c r="AU367" t="e">
        <v>#N/A</v>
      </c>
    </row>
    <row r="368" spans="1:47">
      <c r="A368" t="s">
        <v>4395</v>
      </c>
      <c r="B368" t="s">
        <v>4396</v>
      </c>
      <c r="C368" t="s">
        <v>17</v>
      </c>
      <c r="D368" t="s">
        <v>4398</v>
      </c>
      <c r="E368" t="s">
        <v>4399</v>
      </c>
      <c r="F368" t="s">
        <v>4400</v>
      </c>
      <c r="G368" t="s">
        <v>4751</v>
      </c>
      <c r="H368" t="s">
        <v>4393</v>
      </c>
      <c r="I368" t="e">
        <v>#N/A</v>
      </c>
      <c r="J368" t="e">
        <v>#N/A</v>
      </c>
      <c r="K368" t="e">
        <v>#N/A</v>
      </c>
      <c r="L368" t="e">
        <v>#N/A</v>
      </c>
      <c r="N368" t="e">
        <v>#N/A</v>
      </c>
      <c r="O368" t="e">
        <v>#N/A</v>
      </c>
      <c r="P368" t="e">
        <v>#N/A</v>
      </c>
      <c r="Q368" t="e">
        <v>#N/A</v>
      </c>
      <c r="S368" t="e">
        <v>#N/A</v>
      </c>
      <c r="T368" t="e">
        <v>#N/A</v>
      </c>
      <c r="U368" t="e">
        <v>#N/A</v>
      </c>
      <c r="V368" t="e">
        <v>#N/A</v>
      </c>
      <c r="X368" t="e">
        <v>#N/A</v>
      </c>
      <c r="Y368" t="e">
        <v>#N/A</v>
      </c>
      <c r="Z368" t="e">
        <v>#N/A</v>
      </c>
      <c r="AA368" t="e">
        <v>#N/A</v>
      </c>
      <c r="AC368" t="e">
        <v>#N/A</v>
      </c>
      <c r="AD368" t="e">
        <v>#N/A</v>
      </c>
      <c r="AE368" t="e">
        <v>#N/A</v>
      </c>
      <c r="AF368" t="e">
        <v>#N/A</v>
      </c>
      <c r="AH368" t="e">
        <v>#N/A</v>
      </c>
      <c r="AI368" t="e">
        <v>#N/A</v>
      </c>
      <c r="AJ368" t="e">
        <v>#N/A</v>
      </c>
      <c r="AK368" t="e">
        <v>#N/A</v>
      </c>
      <c r="AM368" t="e">
        <v>#N/A</v>
      </c>
      <c r="AN368" t="e">
        <v>#N/A</v>
      </c>
      <c r="AO368" t="e">
        <v>#N/A</v>
      </c>
      <c r="AP368" t="e">
        <v>#N/A</v>
      </c>
      <c r="AR368" t="e">
        <v>#N/A</v>
      </c>
      <c r="AS368" t="e">
        <v>#N/A</v>
      </c>
      <c r="AT368" t="e">
        <v>#N/A</v>
      </c>
      <c r="AU368" t="e">
        <v>#N/A</v>
      </c>
    </row>
    <row r="369" spans="1:47">
      <c r="A369" t="s">
        <v>4402</v>
      </c>
      <c r="B369" t="s">
        <v>4403</v>
      </c>
      <c r="C369" t="s">
        <v>17</v>
      </c>
      <c r="D369" t="s">
        <v>4405</v>
      </c>
      <c r="E369" t="s">
        <v>4406</v>
      </c>
      <c r="F369" t="s">
        <v>4407</v>
      </c>
      <c r="G369" t="s">
        <v>4750</v>
      </c>
      <c r="H369" t="s">
        <v>4408</v>
      </c>
      <c r="I369" t="e">
        <v>#N/A</v>
      </c>
      <c r="J369" t="e">
        <v>#N/A</v>
      </c>
      <c r="K369" t="e">
        <v>#N/A</v>
      </c>
      <c r="L369" t="e">
        <v>#N/A</v>
      </c>
      <c r="N369" t="e">
        <v>#N/A</v>
      </c>
      <c r="O369" t="e">
        <v>#N/A</v>
      </c>
      <c r="P369" t="e">
        <v>#N/A</v>
      </c>
      <c r="Q369" t="e">
        <v>#N/A</v>
      </c>
      <c r="S369" t="e">
        <v>#N/A</v>
      </c>
      <c r="T369" t="e">
        <v>#N/A</v>
      </c>
      <c r="U369" t="e">
        <v>#N/A</v>
      </c>
      <c r="V369" t="e">
        <v>#N/A</v>
      </c>
      <c r="X369" t="e">
        <v>#N/A</v>
      </c>
      <c r="Y369" t="e">
        <v>#N/A</v>
      </c>
      <c r="Z369" t="e">
        <v>#N/A</v>
      </c>
      <c r="AA369" t="e">
        <v>#N/A</v>
      </c>
      <c r="AC369" t="e">
        <v>#N/A</v>
      </c>
      <c r="AD369" t="e">
        <v>#N/A</v>
      </c>
      <c r="AE369" t="e">
        <v>#N/A</v>
      </c>
      <c r="AF369" t="e">
        <v>#N/A</v>
      </c>
      <c r="AH369" t="e">
        <v>#N/A</v>
      </c>
      <c r="AI369" t="e">
        <v>#N/A</v>
      </c>
      <c r="AJ369" t="e">
        <v>#N/A</v>
      </c>
      <c r="AK369" t="e">
        <v>#N/A</v>
      </c>
      <c r="AM369" t="e">
        <v>#N/A</v>
      </c>
      <c r="AN369" t="e">
        <v>#N/A</v>
      </c>
      <c r="AO369" t="e">
        <v>#N/A</v>
      </c>
      <c r="AP369" t="e">
        <v>#N/A</v>
      </c>
      <c r="AR369" t="e">
        <v>#N/A</v>
      </c>
      <c r="AS369" t="e">
        <v>#N/A</v>
      </c>
      <c r="AT369" t="e">
        <v>#N/A</v>
      </c>
      <c r="AU369" t="e">
        <v>#N/A</v>
      </c>
    </row>
    <row r="370" spans="1:47">
      <c r="A370" t="s">
        <v>4410</v>
      </c>
      <c r="B370" t="s">
        <v>4411</v>
      </c>
      <c r="C370" t="s">
        <v>17</v>
      </c>
      <c r="D370" t="s">
        <v>4413</v>
      </c>
      <c r="E370" t="s">
        <v>4414</v>
      </c>
      <c r="F370" t="s">
        <v>4415</v>
      </c>
      <c r="G370" t="s">
        <v>4751</v>
      </c>
      <c r="H370" t="s">
        <v>4408</v>
      </c>
      <c r="I370" t="e">
        <v>#N/A</v>
      </c>
      <c r="J370" t="e">
        <v>#N/A</v>
      </c>
      <c r="K370" t="e">
        <v>#N/A</v>
      </c>
      <c r="L370" t="e">
        <v>#N/A</v>
      </c>
      <c r="N370" t="e">
        <v>#N/A</v>
      </c>
      <c r="O370" t="e">
        <v>#N/A</v>
      </c>
      <c r="P370" t="e">
        <v>#N/A</v>
      </c>
      <c r="Q370" t="e">
        <v>#N/A</v>
      </c>
      <c r="S370" t="e">
        <v>#N/A</v>
      </c>
      <c r="T370" t="e">
        <v>#N/A</v>
      </c>
      <c r="U370" t="e">
        <v>#N/A</v>
      </c>
      <c r="V370" t="e">
        <v>#N/A</v>
      </c>
      <c r="X370" t="e">
        <v>#N/A</v>
      </c>
      <c r="Y370" t="e">
        <v>#N/A</v>
      </c>
      <c r="Z370" t="e">
        <v>#N/A</v>
      </c>
      <c r="AA370" t="e">
        <v>#N/A</v>
      </c>
      <c r="AC370" t="e">
        <v>#N/A</v>
      </c>
      <c r="AD370" t="e">
        <v>#N/A</v>
      </c>
      <c r="AE370" t="e">
        <v>#N/A</v>
      </c>
      <c r="AF370" t="e">
        <v>#N/A</v>
      </c>
      <c r="AH370" t="e">
        <v>#N/A</v>
      </c>
      <c r="AI370" t="e">
        <v>#N/A</v>
      </c>
      <c r="AJ370" t="e">
        <v>#N/A</v>
      </c>
      <c r="AK370" t="e">
        <v>#N/A</v>
      </c>
      <c r="AM370" t="e">
        <v>#N/A</v>
      </c>
      <c r="AN370" t="e">
        <v>#N/A</v>
      </c>
      <c r="AO370" t="e">
        <v>#N/A</v>
      </c>
      <c r="AP370" t="e">
        <v>#N/A</v>
      </c>
      <c r="AR370" t="e">
        <v>#N/A</v>
      </c>
      <c r="AS370" t="e">
        <v>#N/A</v>
      </c>
      <c r="AT370" t="e">
        <v>#N/A</v>
      </c>
      <c r="AU370" t="e">
        <v>#N/A</v>
      </c>
    </row>
    <row r="371" spans="1:47">
      <c r="A371" t="s">
        <v>4417</v>
      </c>
      <c r="B371" t="s">
        <v>4418</v>
      </c>
      <c r="C371" t="s">
        <v>17</v>
      </c>
      <c r="D371" t="s">
        <v>4420</v>
      </c>
      <c r="E371" t="s">
        <v>4421</v>
      </c>
      <c r="F371" t="s">
        <v>4422</v>
      </c>
      <c r="G371" t="s">
        <v>4750</v>
      </c>
      <c r="H371" t="s">
        <v>4423</v>
      </c>
      <c r="I371" t="e">
        <v>#N/A</v>
      </c>
      <c r="J371" t="e">
        <v>#N/A</v>
      </c>
      <c r="K371" t="e">
        <v>#N/A</v>
      </c>
      <c r="L371" t="e">
        <v>#N/A</v>
      </c>
      <c r="N371" t="e">
        <v>#N/A</v>
      </c>
      <c r="O371" t="e">
        <v>#N/A</v>
      </c>
      <c r="P371" t="e">
        <v>#N/A</v>
      </c>
      <c r="Q371" t="e">
        <v>#N/A</v>
      </c>
      <c r="S371" t="e">
        <v>#N/A</v>
      </c>
      <c r="T371" t="e">
        <v>#N/A</v>
      </c>
      <c r="U371" t="e">
        <v>#N/A</v>
      </c>
      <c r="V371" t="e">
        <v>#N/A</v>
      </c>
      <c r="X371" t="e">
        <v>#N/A</v>
      </c>
      <c r="Y371" t="e">
        <v>#N/A</v>
      </c>
      <c r="Z371" t="e">
        <v>#N/A</v>
      </c>
      <c r="AA371" t="e">
        <v>#N/A</v>
      </c>
      <c r="AC371" t="e">
        <v>#N/A</v>
      </c>
      <c r="AD371" t="e">
        <v>#N/A</v>
      </c>
      <c r="AE371" t="e">
        <v>#N/A</v>
      </c>
      <c r="AF371" t="e">
        <v>#N/A</v>
      </c>
      <c r="AH371" t="e">
        <v>#N/A</v>
      </c>
      <c r="AI371" t="e">
        <v>#N/A</v>
      </c>
      <c r="AJ371" t="e">
        <v>#N/A</v>
      </c>
      <c r="AK371" t="e">
        <v>#N/A</v>
      </c>
      <c r="AM371" t="e">
        <v>#N/A</v>
      </c>
      <c r="AN371" t="e">
        <v>#N/A</v>
      </c>
      <c r="AO371" t="e">
        <v>#N/A</v>
      </c>
      <c r="AP371" t="e">
        <v>#N/A</v>
      </c>
      <c r="AR371" t="e">
        <v>#N/A</v>
      </c>
      <c r="AS371" t="e">
        <v>#N/A</v>
      </c>
      <c r="AT371" t="e">
        <v>#N/A</v>
      </c>
      <c r="AU371" t="e">
        <v>#N/A</v>
      </c>
    </row>
    <row r="372" spans="1:47">
      <c r="A372" t="s">
        <v>4425</v>
      </c>
      <c r="B372" t="s">
        <v>4426</v>
      </c>
      <c r="C372" t="s">
        <v>17</v>
      </c>
      <c r="D372" t="s">
        <v>4428</v>
      </c>
      <c r="E372" t="s">
        <v>4429</v>
      </c>
      <c r="F372" t="s">
        <v>4430</v>
      </c>
      <c r="G372" t="s">
        <v>4751</v>
      </c>
      <c r="H372" t="s">
        <v>4423</v>
      </c>
      <c r="I372" t="e">
        <v>#N/A</v>
      </c>
      <c r="J372" t="e">
        <v>#N/A</v>
      </c>
      <c r="K372" t="e">
        <v>#N/A</v>
      </c>
      <c r="L372" t="e">
        <v>#N/A</v>
      </c>
      <c r="N372" t="e">
        <v>#N/A</v>
      </c>
      <c r="O372" t="e">
        <v>#N/A</v>
      </c>
      <c r="P372" t="e">
        <v>#N/A</v>
      </c>
      <c r="Q372" t="e">
        <v>#N/A</v>
      </c>
      <c r="S372" t="e">
        <v>#N/A</v>
      </c>
      <c r="T372" t="e">
        <v>#N/A</v>
      </c>
      <c r="U372" t="e">
        <v>#N/A</v>
      </c>
      <c r="V372" t="e">
        <v>#N/A</v>
      </c>
      <c r="X372" t="e">
        <v>#N/A</v>
      </c>
      <c r="Y372" t="e">
        <v>#N/A</v>
      </c>
      <c r="Z372" t="e">
        <v>#N/A</v>
      </c>
      <c r="AA372" t="e">
        <v>#N/A</v>
      </c>
      <c r="AC372" t="e">
        <v>#N/A</v>
      </c>
      <c r="AD372" t="e">
        <v>#N/A</v>
      </c>
      <c r="AE372" t="e">
        <v>#N/A</v>
      </c>
      <c r="AF372" t="e">
        <v>#N/A</v>
      </c>
      <c r="AH372" t="e">
        <v>#N/A</v>
      </c>
      <c r="AI372" t="e">
        <v>#N/A</v>
      </c>
      <c r="AJ372" t="e">
        <v>#N/A</v>
      </c>
      <c r="AK372" t="e">
        <v>#N/A</v>
      </c>
      <c r="AM372" t="e">
        <v>#N/A</v>
      </c>
      <c r="AN372" t="e">
        <v>#N/A</v>
      </c>
      <c r="AO372" t="e">
        <v>#N/A</v>
      </c>
      <c r="AP372" t="e">
        <v>#N/A</v>
      </c>
      <c r="AR372" t="e">
        <v>#N/A</v>
      </c>
      <c r="AS372" t="e">
        <v>#N/A</v>
      </c>
      <c r="AT372" t="e">
        <v>#N/A</v>
      </c>
      <c r="AU372" t="e">
        <v>#N/A</v>
      </c>
    </row>
    <row r="373" spans="1:47">
      <c r="A373" t="s">
        <v>4432</v>
      </c>
      <c r="B373" t="s">
        <v>4433</v>
      </c>
      <c r="C373" t="s">
        <v>17</v>
      </c>
      <c r="D373" t="s">
        <v>4435</v>
      </c>
      <c r="E373" t="s">
        <v>4436</v>
      </c>
      <c r="F373" t="s">
        <v>4437</v>
      </c>
      <c r="G373" t="s">
        <v>4750</v>
      </c>
      <c r="H373" t="s">
        <v>4438</v>
      </c>
      <c r="I373" t="e">
        <v>#N/A</v>
      </c>
      <c r="J373" t="e">
        <v>#N/A</v>
      </c>
      <c r="K373" t="e">
        <v>#N/A</v>
      </c>
      <c r="L373" t="e">
        <v>#N/A</v>
      </c>
      <c r="N373" t="e">
        <v>#N/A</v>
      </c>
      <c r="O373" t="e">
        <v>#N/A</v>
      </c>
      <c r="P373" t="e">
        <v>#N/A</v>
      </c>
      <c r="Q373" t="e">
        <v>#N/A</v>
      </c>
      <c r="S373" t="e">
        <v>#N/A</v>
      </c>
      <c r="T373" t="e">
        <v>#N/A</v>
      </c>
      <c r="U373" t="e">
        <v>#N/A</v>
      </c>
      <c r="V373" t="e">
        <v>#N/A</v>
      </c>
      <c r="X373" t="e">
        <v>#N/A</v>
      </c>
      <c r="Y373" t="e">
        <v>#N/A</v>
      </c>
      <c r="Z373" t="e">
        <v>#N/A</v>
      </c>
      <c r="AA373" t="e">
        <v>#N/A</v>
      </c>
      <c r="AC373" t="e">
        <v>#N/A</v>
      </c>
      <c r="AD373" t="e">
        <v>#N/A</v>
      </c>
      <c r="AE373" t="e">
        <v>#N/A</v>
      </c>
      <c r="AF373" t="e">
        <v>#N/A</v>
      </c>
      <c r="AH373" t="e">
        <v>#N/A</v>
      </c>
      <c r="AI373" t="e">
        <v>#N/A</v>
      </c>
      <c r="AJ373" t="e">
        <v>#N/A</v>
      </c>
      <c r="AK373" t="e">
        <v>#N/A</v>
      </c>
      <c r="AM373" t="e">
        <v>#N/A</v>
      </c>
      <c r="AN373" t="e">
        <v>#N/A</v>
      </c>
      <c r="AO373" t="e">
        <v>#N/A</v>
      </c>
      <c r="AP373" t="e">
        <v>#N/A</v>
      </c>
      <c r="AR373" t="e">
        <v>#N/A</v>
      </c>
      <c r="AS373" t="e">
        <v>#N/A</v>
      </c>
      <c r="AT373" t="e">
        <v>#N/A</v>
      </c>
      <c r="AU373" t="e">
        <v>#N/A</v>
      </c>
    </row>
    <row r="374" spans="1:47">
      <c r="A374" t="s">
        <v>4440</v>
      </c>
      <c r="B374" t="s">
        <v>4441</v>
      </c>
      <c r="C374" t="s">
        <v>17</v>
      </c>
      <c r="D374" t="s">
        <v>4443</v>
      </c>
      <c r="E374" t="s">
        <v>4444</v>
      </c>
      <c r="F374" t="s">
        <v>4445</v>
      </c>
      <c r="G374" t="s">
        <v>4751</v>
      </c>
      <c r="H374" t="s">
        <v>4438</v>
      </c>
      <c r="I374" t="e">
        <v>#N/A</v>
      </c>
      <c r="J374" t="e">
        <v>#N/A</v>
      </c>
      <c r="K374" t="e">
        <v>#N/A</v>
      </c>
      <c r="L374" t="e">
        <v>#N/A</v>
      </c>
      <c r="N374" t="e">
        <v>#N/A</v>
      </c>
      <c r="O374" t="e">
        <v>#N/A</v>
      </c>
      <c r="P374" t="e">
        <v>#N/A</v>
      </c>
      <c r="Q374" t="e">
        <v>#N/A</v>
      </c>
      <c r="S374" t="e">
        <v>#N/A</v>
      </c>
      <c r="T374" t="e">
        <v>#N/A</v>
      </c>
      <c r="U374" t="e">
        <v>#N/A</v>
      </c>
      <c r="V374" t="e">
        <v>#N/A</v>
      </c>
      <c r="X374" t="e">
        <v>#N/A</v>
      </c>
      <c r="Y374" t="e">
        <v>#N/A</v>
      </c>
      <c r="Z374" t="e">
        <v>#N/A</v>
      </c>
      <c r="AA374" t="e">
        <v>#N/A</v>
      </c>
      <c r="AC374" t="e">
        <v>#N/A</v>
      </c>
      <c r="AD374" t="e">
        <v>#N/A</v>
      </c>
      <c r="AE374" t="e">
        <v>#N/A</v>
      </c>
      <c r="AF374" t="e">
        <v>#N/A</v>
      </c>
      <c r="AH374" t="e">
        <v>#N/A</v>
      </c>
      <c r="AI374" t="e">
        <v>#N/A</v>
      </c>
      <c r="AJ374" t="e">
        <v>#N/A</v>
      </c>
      <c r="AK374" t="e">
        <v>#N/A</v>
      </c>
      <c r="AM374" t="e">
        <v>#N/A</v>
      </c>
      <c r="AN374" t="e">
        <v>#N/A</v>
      </c>
      <c r="AO374" t="e">
        <v>#N/A</v>
      </c>
      <c r="AP374" t="e">
        <v>#N/A</v>
      </c>
      <c r="AR374" t="e">
        <v>#N/A</v>
      </c>
      <c r="AS374" t="e">
        <v>#N/A</v>
      </c>
      <c r="AT374" t="e">
        <v>#N/A</v>
      </c>
      <c r="AU374" t="e">
        <v>#N/A</v>
      </c>
    </row>
    <row r="375" spans="1:47">
      <c r="A375" t="s">
        <v>4447</v>
      </c>
      <c r="B375" t="s">
        <v>4448</v>
      </c>
      <c r="C375" t="s">
        <v>17</v>
      </c>
      <c r="D375" t="s">
        <v>4450</v>
      </c>
      <c r="E375" t="s">
        <v>4451</v>
      </c>
      <c r="F375" t="s">
        <v>4452</v>
      </c>
      <c r="G375" t="s">
        <v>4750</v>
      </c>
      <c r="H375" t="s">
        <v>4453</v>
      </c>
      <c r="I375" t="e">
        <v>#N/A</v>
      </c>
      <c r="J375" t="e">
        <v>#N/A</v>
      </c>
      <c r="K375" t="e">
        <v>#N/A</v>
      </c>
      <c r="L375" t="e">
        <v>#N/A</v>
      </c>
      <c r="N375" t="e">
        <v>#N/A</v>
      </c>
      <c r="O375" t="e">
        <v>#N/A</v>
      </c>
      <c r="P375" t="e">
        <v>#N/A</v>
      </c>
      <c r="Q375" t="e">
        <v>#N/A</v>
      </c>
      <c r="S375" t="e">
        <v>#N/A</v>
      </c>
      <c r="T375" t="e">
        <v>#N/A</v>
      </c>
      <c r="U375" t="e">
        <v>#N/A</v>
      </c>
      <c r="V375" t="e">
        <v>#N/A</v>
      </c>
      <c r="X375" t="e">
        <v>#N/A</v>
      </c>
      <c r="Y375" t="e">
        <v>#N/A</v>
      </c>
      <c r="Z375" t="e">
        <v>#N/A</v>
      </c>
      <c r="AA375" t="e">
        <v>#N/A</v>
      </c>
      <c r="AC375" t="e">
        <v>#N/A</v>
      </c>
      <c r="AD375" t="e">
        <v>#N/A</v>
      </c>
      <c r="AE375" t="e">
        <v>#N/A</v>
      </c>
      <c r="AF375" t="e">
        <v>#N/A</v>
      </c>
      <c r="AH375" t="e">
        <v>#N/A</v>
      </c>
      <c r="AI375" t="e">
        <v>#N/A</v>
      </c>
      <c r="AJ375" t="e">
        <v>#N/A</v>
      </c>
      <c r="AK375" t="e">
        <v>#N/A</v>
      </c>
      <c r="AM375" t="e">
        <v>#N/A</v>
      </c>
      <c r="AN375" t="e">
        <v>#N/A</v>
      </c>
      <c r="AO375" t="e">
        <v>#N/A</v>
      </c>
      <c r="AP375" t="e">
        <v>#N/A</v>
      </c>
      <c r="AR375" t="e">
        <v>#N/A</v>
      </c>
      <c r="AS375" t="e">
        <v>#N/A</v>
      </c>
      <c r="AT375" t="e">
        <v>#N/A</v>
      </c>
      <c r="AU375" t="e">
        <v>#N/A</v>
      </c>
    </row>
    <row r="376" spans="1:47">
      <c r="A376" t="s">
        <v>4455</v>
      </c>
      <c r="B376" t="s">
        <v>4456</v>
      </c>
      <c r="C376" t="s">
        <v>17</v>
      </c>
      <c r="D376" t="s">
        <v>4458</v>
      </c>
      <c r="E376" t="s">
        <v>4459</v>
      </c>
      <c r="F376" t="s">
        <v>4460</v>
      </c>
      <c r="G376" t="s">
        <v>4751</v>
      </c>
      <c r="H376" t="s">
        <v>4453</v>
      </c>
      <c r="I376" t="e">
        <v>#N/A</v>
      </c>
      <c r="J376" t="e">
        <v>#N/A</v>
      </c>
      <c r="K376" t="e">
        <v>#N/A</v>
      </c>
      <c r="L376" t="e">
        <v>#N/A</v>
      </c>
      <c r="N376" t="e">
        <v>#N/A</v>
      </c>
      <c r="O376" t="e">
        <v>#N/A</v>
      </c>
      <c r="P376" t="e">
        <v>#N/A</v>
      </c>
      <c r="Q376" t="e">
        <v>#N/A</v>
      </c>
      <c r="S376" t="e">
        <v>#N/A</v>
      </c>
      <c r="T376" t="e">
        <v>#N/A</v>
      </c>
      <c r="U376" t="e">
        <v>#N/A</v>
      </c>
      <c r="V376" t="e">
        <v>#N/A</v>
      </c>
      <c r="X376" t="e">
        <v>#N/A</v>
      </c>
      <c r="Y376" t="e">
        <v>#N/A</v>
      </c>
      <c r="Z376" t="e">
        <v>#N/A</v>
      </c>
      <c r="AA376" t="e">
        <v>#N/A</v>
      </c>
      <c r="AC376" t="e">
        <v>#N/A</v>
      </c>
      <c r="AD376" t="e">
        <v>#N/A</v>
      </c>
      <c r="AE376" t="e">
        <v>#N/A</v>
      </c>
      <c r="AF376" t="e">
        <v>#N/A</v>
      </c>
      <c r="AH376" t="e">
        <v>#N/A</v>
      </c>
      <c r="AI376" t="e">
        <v>#N/A</v>
      </c>
      <c r="AJ376" t="e">
        <v>#N/A</v>
      </c>
      <c r="AK376" t="e">
        <v>#N/A</v>
      </c>
      <c r="AM376" t="e">
        <v>#N/A</v>
      </c>
      <c r="AN376" t="e">
        <v>#N/A</v>
      </c>
      <c r="AO376" t="e">
        <v>#N/A</v>
      </c>
      <c r="AP376" t="e">
        <v>#N/A</v>
      </c>
      <c r="AR376" t="e">
        <v>#N/A</v>
      </c>
      <c r="AS376" t="e">
        <v>#N/A</v>
      </c>
      <c r="AT376" t="e">
        <v>#N/A</v>
      </c>
      <c r="AU376" t="e">
        <v>#N/A</v>
      </c>
    </row>
    <row r="377" spans="1:47">
      <c r="A377" t="s">
        <v>4462</v>
      </c>
      <c r="B377" t="s">
        <v>4463</v>
      </c>
      <c r="C377" t="s">
        <v>17</v>
      </c>
      <c r="D377" t="s">
        <v>4465</v>
      </c>
      <c r="E377" t="s">
        <v>4466</v>
      </c>
      <c r="F377" t="s">
        <v>4467</v>
      </c>
      <c r="G377" t="s">
        <v>4750</v>
      </c>
      <c r="H377" t="s">
        <v>4468</v>
      </c>
      <c r="I377" t="e">
        <v>#N/A</v>
      </c>
      <c r="J377" t="e">
        <v>#N/A</v>
      </c>
      <c r="K377" t="e">
        <v>#N/A</v>
      </c>
      <c r="L377" t="e">
        <v>#N/A</v>
      </c>
      <c r="N377" t="e">
        <v>#N/A</v>
      </c>
      <c r="O377" t="e">
        <v>#N/A</v>
      </c>
      <c r="P377" t="e">
        <v>#N/A</v>
      </c>
      <c r="Q377" t="e">
        <v>#N/A</v>
      </c>
      <c r="S377" t="e">
        <v>#N/A</v>
      </c>
      <c r="T377" t="e">
        <v>#N/A</v>
      </c>
      <c r="U377" t="e">
        <v>#N/A</v>
      </c>
      <c r="V377" t="e">
        <v>#N/A</v>
      </c>
      <c r="X377" t="e">
        <v>#N/A</v>
      </c>
      <c r="Y377" t="e">
        <v>#N/A</v>
      </c>
      <c r="Z377" t="e">
        <v>#N/A</v>
      </c>
      <c r="AA377" t="e">
        <v>#N/A</v>
      </c>
      <c r="AC377" t="e">
        <v>#N/A</v>
      </c>
      <c r="AD377" t="e">
        <v>#N/A</v>
      </c>
      <c r="AE377" t="e">
        <v>#N/A</v>
      </c>
      <c r="AF377" t="e">
        <v>#N/A</v>
      </c>
      <c r="AH377" t="e">
        <v>#N/A</v>
      </c>
      <c r="AI377" t="e">
        <v>#N/A</v>
      </c>
      <c r="AJ377" t="e">
        <v>#N/A</v>
      </c>
      <c r="AK377" t="e">
        <v>#N/A</v>
      </c>
      <c r="AM377" t="e">
        <v>#N/A</v>
      </c>
      <c r="AN377" t="e">
        <v>#N/A</v>
      </c>
      <c r="AO377" t="e">
        <v>#N/A</v>
      </c>
      <c r="AP377" t="e">
        <v>#N/A</v>
      </c>
      <c r="AR377" t="e">
        <v>#N/A</v>
      </c>
      <c r="AS377" t="e">
        <v>#N/A</v>
      </c>
      <c r="AT377" t="e">
        <v>#N/A</v>
      </c>
      <c r="AU377" t="e">
        <v>#N/A</v>
      </c>
    </row>
    <row r="378" spans="1:47">
      <c r="A378" t="s">
        <v>4470</v>
      </c>
      <c r="B378" t="s">
        <v>4471</v>
      </c>
      <c r="C378" t="s">
        <v>17</v>
      </c>
      <c r="D378" t="s">
        <v>4473</v>
      </c>
      <c r="E378" t="s">
        <v>4474</v>
      </c>
      <c r="F378" t="s">
        <v>4475</v>
      </c>
      <c r="G378" t="s">
        <v>4751</v>
      </c>
      <c r="H378" t="s">
        <v>4468</v>
      </c>
      <c r="I378" t="e">
        <v>#N/A</v>
      </c>
      <c r="J378" t="e">
        <v>#N/A</v>
      </c>
      <c r="K378" t="e">
        <v>#N/A</v>
      </c>
      <c r="L378" t="e">
        <v>#N/A</v>
      </c>
      <c r="N378" t="e">
        <v>#N/A</v>
      </c>
      <c r="O378" t="e">
        <v>#N/A</v>
      </c>
      <c r="P378" t="e">
        <v>#N/A</v>
      </c>
      <c r="Q378" t="e">
        <v>#N/A</v>
      </c>
      <c r="S378" t="e">
        <v>#N/A</v>
      </c>
      <c r="T378" t="e">
        <v>#N/A</v>
      </c>
      <c r="U378" t="e">
        <v>#N/A</v>
      </c>
      <c r="V378" t="e">
        <v>#N/A</v>
      </c>
      <c r="X378" t="e">
        <v>#N/A</v>
      </c>
      <c r="Y378" t="e">
        <v>#N/A</v>
      </c>
      <c r="Z378" t="e">
        <v>#N/A</v>
      </c>
      <c r="AA378" t="e">
        <v>#N/A</v>
      </c>
      <c r="AC378" t="e">
        <v>#N/A</v>
      </c>
      <c r="AD378" t="e">
        <v>#N/A</v>
      </c>
      <c r="AE378" t="e">
        <v>#N/A</v>
      </c>
      <c r="AF378" t="e">
        <v>#N/A</v>
      </c>
      <c r="AH378" t="e">
        <v>#N/A</v>
      </c>
      <c r="AI378" t="e">
        <v>#N/A</v>
      </c>
      <c r="AJ378" t="e">
        <v>#N/A</v>
      </c>
      <c r="AK378" t="e">
        <v>#N/A</v>
      </c>
      <c r="AM378" t="e">
        <v>#N/A</v>
      </c>
      <c r="AN378" t="e">
        <v>#N/A</v>
      </c>
      <c r="AO378" t="e">
        <v>#N/A</v>
      </c>
      <c r="AP378" t="e">
        <v>#N/A</v>
      </c>
      <c r="AR378" t="e">
        <v>#N/A</v>
      </c>
      <c r="AS378" t="e">
        <v>#N/A</v>
      </c>
      <c r="AT378" t="e">
        <v>#N/A</v>
      </c>
      <c r="AU378" t="e">
        <v>#N/A</v>
      </c>
    </row>
    <row r="379" spans="1:47">
      <c r="A379" t="s">
        <v>4477</v>
      </c>
      <c r="B379" t="s">
        <v>4478</v>
      </c>
      <c r="C379" t="s">
        <v>17</v>
      </c>
      <c r="D379" t="s">
        <v>4480</v>
      </c>
      <c r="E379" t="s">
        <v>4481</v>
      </c>
      <c r="F379" t="s">
        <v>4482</v>
      </c>
      <c r="G379" t="s">
        <v>4750</v>
      </c>
      <c r="H379" t="s">
        <v>4483</v>
      </c>
      <c r="I379" t="e">
        <v>#N/A</v>
      </c>
      <c r="J379" t="e">
        <v>#N/A</v>
      </c>
      <c r="K379" t="e">
        <v>#N/A</v>
      </c>
      <c r="L379" t="e">
        <v>#N/A</v>
      </c>
      <c r="N379" t="e">
        <v>#N/A</v>
      </c>
      <c r="O379" t="e">
        <v>#N/A</v>
      </c>
      <c r="P379" t="e">
        <v>#N/A</v>
      </c>
      <c r="Q379" t="e">
        <v>#N/A</v>
      </c>
      <c r="S379" t="e">
        <v>#N/A</v>
      </c>
      <c r="T379" t="e">
        <v>#N/A</v>
      </c>
      <c r="U379" t="e">
        <v>#N/A</v>
      </c>
      <c r="V379" t="e">
        <v>#N/A</v>
      </c>
      <c r="X379" t="e">
        <v>#N/A</v>
      </c>
      <c r="Y379" t="e">
        <v>#N/A</v>
      </c>
      <c r="Z379" t="e">
        <v>#N/A</v>
      </c>
      <c r="AA379" t="e">
        <v>#N/A</v>
      </c>
      <c r="AC379" t="e">
        <v>#N/A</v>
      </c>
      <c r="AD379" t="e">
        <v>#N/A</v>
      </c>
      <c r="AE379" t="e">
        <v>#N/A</v>
      </c>
      <c r="AF379" t="e">
        <v>#N/A</v>
      </c>
      <c r="AH379" t="e">
        <v>#N/A</v>
      </c>
      <c r="AI379" t="e">
        <v>#N/A</v>
      </c>
      <c r="AJ379" t="e">
        <v>#N/A</v>
      </c>
      <c r="AK379" t="e">
        <v>#N/A</v>
      </c>
      <c r="AM379" t="e">
        <v>#N/A</v>
      </c>
      <c r="AN379" t="e">
        <v>#N/A</v>
      </c>
      <c r="AO379" t="e">
        <v>#N/A</v>
      </c>
      <c r="AP379" t="e">
        <v>#N/A</v>
      </c>
      <c r="AR379" t="e">
        <v>#N/A</v>
      </c>
      <c r="AS379" t="e">
        <v>#N/A</v>
      </c>
      <c r="AT379" t="e">
        <v>#N/A</v>
      </c>
      <c r="AU379" t="e">
        <v>#N/A</v>
      </c>
    </row>
    <row r="380" spans="1:47">
      <c r="A380" t="s">
        <v>4485</v>
      </c>
      <c r="B380" t="s">
        <v>4486</v>
      </c>
      <c r="C380" t="s">
        <v>17</v>
      </c>
      <c r="D380" t="s">
        <v>4488</v>
      </c>
      <c r="E380" t="s">
        <v>4489</v>
      </c>
      <c r="F380" t="s">
        <v>4490</v>
      </c>
      <c r="G380" t="s">
        <v>4751</v>
      </c>
      <c r="H380" t="s">
        <v>4483</v>
      </c>
      <c r="I380" t="e">
        <v>#N/A</v>
      </c>
      <c r="J380" t="e">
        <v>#N/A</v>
      </c>
      <c r="K380" t="e">
        <v>#N/A</v>
      </c>
      <c r="L380" t="e">
        <v>#N/A</v>
      </c>
      <c r="N380" t="e">
        <v>#N/A</v>
      </c>
      <c r="O380" t="e">
        <v>#N/A</v>
      </c>
      <c r="P380" t="e">
        <v>#N/A</v>
      </c>
      <c r="Q380" t="e">
        <v>#N/A</v>
      </c>
      <c r="S380" t="e">
        <v>#N/A</v>
      </c>
      <c r="T380" t="e">
        <v>#N/A</v>
      </c>
      <c r="U380" t="e">
        <v>#N/A</v>
      </c>
      <c r="V380" t="e">
        <v>#N/A</v>
      </c>
      <c r="X380" t="e">
        <v>#N/A</v>
      </c>
      <c r="Y380" t="e">
        <v>#N/A</v>
      </c>
      <c r="Z380" t="e">
        <v>#N/A</v>
      </c>
      <c r="AA380" t="e">
        <v>#N/A</v>
      </c>
      <c r="AC380" t="e">
        <v>#N/A</v>
      </c>
      <c r="AD380" t="e">
        <v>#N/A</v>
      </c>
      <c r="AE380" t="e">
        <v>#N/A</v>
      </c>
      <c r="AF380" t="e">
        <v>#N/A</v>
      </c>
      <c r="AH380" t="e">
        <v>#N/A</v>
      </c>
      <c r="AI380" t="e">
        <v>#N/A</v>
      </c>
      <c r="AJ380" t="e">
        <v>#N/A</v>
      </c>
      <c r="AK380" t="e">
        <v>#N/A</v>
      </c>
      <c r="AM380" t="e">
        <v>#N/A</v>
      </c>
      <c r="AN380" t="e">
        <v>#N/A</v>
      </c>
      <c r="AO380" t="e">
        <v>#N/A</v>
      </c>
      <c r="AP380" t="e">
        <v>#N/A</v>
      </c>
      <c r="AR380" t="e">
        <v>#N/A</v>
      </c>
      <c r="AS380" t="e">
        <v>#N/A</v>
      </c>
      <c r="AT380" t="e">
        <v>#N/A</v>
      </c>
      <c r="AU380" t="e">
        <v>#N/A</v>
      </c>
    </row>
    <row r="381" spans="1:47">
      <c r="A381" t="s">
        <v>4492</v>
      </c>
      <c r="B381" t="s">
        <v>4493</v>
      </c>
      <c r="C381" t="s">
        <v>17</v>
      </c>
      <c r="D381" t="s">
        <v>2508</v>
      </c>
      <c r="E381" t="s">
        <v>2509</v>
      </c>
      <c r="F381" t="s">
        <v>2510</v>
      </c>
      <c r="G381" t="s">
        <v>4754</v>
      </c>
      <c r="H381" t="s">
        <v>2511</v>
      </c>
      <c r="I381" t="e">
        <v>#N/A</v>
      </c>
      <c r="J381" t="e">
        <v>#N/A</v>
      </c>
      <c r="K381" t="e">
        <v>#N/A</v>
      </c>
      <c r="L381" t="e">
        <v>#N/A</v>
      </c>
      <c r="N381" t="e">
        <v>#N/A</v>
      </c>
      <c r="O381" t="e">
        <v>#N/A</v>
      </c>
      <c r="P381" t="e">
        <v>#N/A</v>
      </c>
      <c r="Q381" t="e">
        <v>#N/A</v>
      </c>
      <c r="S381" t="e">
        <v>#N/A</v>
      </c>
      <c r="T381" t="e">
        <v>#N/A</v>
      </c>
      <c r="U381" t="e">
        <v>#N/A</v>
      </c>
      <c r="V381" t="e">
        <v>#N/A</v>
      </c>
      <c r="X381" t="e">
        <v>#N/A</v>
      </c>
      <c r="Y381" t="e">
        <v>#N/A</v>
      </c>
      <c r="Z381" t="e">
        <v>#N/A</v>
      </c>
      <c r="AA381" t="e">
        <v>#N/A</v>
      </c>
      <c r="AC381" t="e">
        <v>#N/A</v>
      </c>
      <c r="AD381" t="e">
        <v>#N/A</v>
      </c>
      <c r="AE381" t="e">
        <v>#N/A</v>
      </c>
      <c r="AF381" t="e">
        <v>#N/A</v>
      </c>
      <c r="AH381" t="e">
        <v>#N/A</v>
      </c>
      <c r="AI381" t="e">
        <v>#N/A</v>
      </c>
      <c r="AJ381" t="e">
        <v>#N/A</v>
      </c>
      <c r="AK381" t="e">
        <v>#N/A</v>
      </c>
      <c r="AM381" t="e">
        <v>#N/A</v>
      </c>
      <c r="AN381" t="e">
        <v>#N/A</v>
      </c>
      <c r="AO381" t="e">
        <v>#N/A</v>
      </c>
      <c r="AP381" t="e">
        <v>#N/A</v>
      </c>
      <c r="AR381" t="e">
        <v>#N/A</v>
      </c>
      <c r="AS381" t="e">
        <v>#N/A</v>
      </c>
      <c r="AT381" t="e">
        <v>#N/A</v>
      </c>
      <c r="AU381" t="e">
        <v>#N/A</v>
      </c>
    </row>
    <row r="382" spans="1:47">
      <c r="A382" t="s">
        <v>4495</v>
      </c>
      <c r="B382" t="s">
        <v>4496</v>
      </c>
      <c r="C382" t="s">
        <v>17</v>
      </c>
      <c r="D382" t="s">
        <v>4498</v>
      </c>
      <c r="E382" t="s">
        <v>4499</v>
      </c>
      <c r="F382" t="s">
        <v>4500</v>
      </c>
      <c r="G382" t="s">
        <v>4751</v>
      </c>
      <c r="H382" t="s">
        <v>2511</v>
      </c>
      <c r="I382" t="e">
        <v>#N/A</v>
      </c>
      <c r="J382" t="e">
        <v>#N/A</v>
      </c>
      <c r="K382" t="e">
        <v>#N/A</v>
      </c>
      <c r="L382" t="e">
        <v>#N/A</v>
      </c>
      <c r="N382" t="e">
        <v>#N/A</v>
      </c>
      <c r="O382" t="e">
        <v>#N/A</v>
      </c>
      <c r="P382" t="e">
        <v>#N/A</v>
      </c>
      <c r="Q382" t="e">
        <v>#N/A</v>
      </c>
      <c r="S382" t="e">
        <v>#N/A</v>
      </c>
      <c r="T382" t="e">
        <v>#N/A</v>
      </c>
      <c r="U382" t="e">
        <v>#N/A</v>
      </c>
      <c r="V382" t="e">
        <v>#N/A</v>
      </c>
      <c r="X382" t="e">
        <v>#N/A</v>
      </c>
      <c r="Y382" t="e">
        <v>#N/A</v>
      </c>
      <c r="Z382" t="e">
        <v>#N/A</v>
      </c>
      <c r="AA382" t="e">
        <v>#N/A</v>
      </c>
      <c r="AC382" t="e">
        <v>#N/A</v>
      </c>
      <c r="AD382" t="e">
        <v>#N/A</v>
      </c>
      <c r="AE382" t="e">
        <v>#N/A</v>
      </c>
      <c r="AF382" t="e">
        <v>#N/A</v>
      </c>
      <c r="AH382" t="e">
        <v>#N/A</v>
      </c>
      <c r="AI382" t="e">
        <v>#N/A</v>
      </c>
      <c r="AJ382" t="e">
        <v>#N/A</v>
      </c>
      <c r="AK382" t="e">
        <v>#N/A</v>
      </c>
      <c r="AM382" t="e">
        <v>#N/A</v>
      </c>
      <c r="AN382" t="e">
        <v>#N/A</v>
      </c>
      <c r="AO382" t="e">
        <v>#N/A</v>
      </c>
      <c r="AP382" t="e">
        <v>#N/A</v>
      </c>
      <c r="AR382" t="e">
        <v>#N/A</v>
      </c>
      <c r="AS382" t="e">
        <v>#N/A</v>
      </c>
      <c r="AT382" t="e">
        <v>#N/A</v>
      </c>
      <c r="AU382" t="e">
        <v>#N/A</v>
      </c>
    </row>
    <row r="383" spans="1:47">
      <c r="A383" t="s">
        <v>4502</v>
      </c>
      <c r="B383" t="s">
        <v>4503</v>
      </c>
      <c r="C383" t="s">
        <v>17</v>
      </c>
      <c r="D383" t="s">
        <v>4505</v>
      </c>
      <c r="E383" t="s">
        <v>4506</v>
      </c>
      <c r="F383" t="s">
        <v>4507</v>
      </c>
      <c r="G383" t="s">
        <v>4751</v>
      </c>
      <c r="H383" t="s">
        <v>2533</v>
      </c>
      <c r="I383" t="e">
        <v>#N/A</v>
      </c>
      <c r="J383" t="e">
        <v>#N/A</v>
      </c>
      <c r="K383" t="e">
        <v>#N/A</v>
      </c>
      <c r="L383" t="e">
        <v>#N/A</v>
      </c>
      <c r="N383" t="e">
        <v>#N/A</v>
      </c>
      <c r="O383" t="e">
        <v>#N/A</v>
      </c>
      <c r="P383" t="e">
        <v>#N/A</v>
      </c>
      <c r="Q383" t="e">
        <v>#N/A</v>
      </c>
      <c r="S383" t="e">
        <v>#N/A</v>
      </c>
      <c r="T383" t="e">
        <v>#N/A</v>
      </c>
      <c r="U383" t="e">
        <v>#N/A</v>
      </c>
      <c r="V383" t="e">
        <v>#N/A</v>
      </c>
      <c r="X383" t="e">
        <v>#N/A</v>
      </c>
      <c r="Y383" t="e">
        <v>#N/A</v>
      </c>
      <c r="Z383" t="e">
        <v>#N/A</v>
      </c>
      <c r="AA383" t="e">
        <v>#N/A</v>
      </c>
      <c r="AC383" t="e">
        <v>#N/A</v>
      </c>
      <c r="AD383" t="e">
        <v>#N/A</v>
      </c>
      <c r="AE383" t="e">
        <v>#N/A</v>
      </c>
      <c r="AF383" t="e">
        <v>#N/A</v>
      </c>
      <c r="AH383" t="e">
        <v>#N/A</v>
      </c>
      <c r="AI383" t="e">
        <v>#N/A</v>
      </c>
      <c r="AJ383" t="e">
        <v>#N/A</v>
      </c>
      <c r="AK383" t="e">
        <v>#N/A</v>
      </c>
      <c r="AM383" t="e">
        <v>#N/A</v>
      </c>
      <c r="AN383" t="e">
        <v>#N/A</v>
      </c>
      <c r="AO383" t="e">
        <v>#N/A</v>
      </c>
      <c r="AP383" t="e">
        <v>#N/A</v>
      </c>
      <c r="AR383" t="e">
        <v>#N/A</v>
      </c>
      <c r="AS383" t="e">
        <v>#N/A</v>
      </c>
      <c r="AT383" t="e">
        <v>#N/A</v>
      </c>
      <c r="AU383" t="e">
        <v>#N/A</v>
      </c>
    </row>
    <row r="384" spans="1:47">
      <c r="A384" t="s">
        <v>4509</v>
      </c>
      <c r="B384" t="s">
        <v>4510</v>
      </c>
      <c r="C384" t="s">
        <v>17</v>
      </c>
      <c r="D384" t="s">
        <v>2530</v>
      </c>
      <c r="E384" t="s">
        <v>2531</v>
      </c>
      <c r="F384" t="s">
        <v>2532</v>
      </c>
      <c r="G384" t="s">
        <v>4754</v>
      </c>
      <c r="H384" t="s">
        <v>2533</v>
      </c>
      <c r="I384" t="e">
        <v>#N/A</v>
      </c>
      <c r="J384" t="e">
        <v>#N/A</v>
      </c>
      <c r="K384" t="e">
        <v>#N/A</v>
      </c>
      <c r="L384" t="e">
        <v>#N/A</v>
      </c>
      <c r="N384" t="e">
        <v>#N/A</v>
      </c>
      <c r="O384" t="e">
        <v>#N/A</v>
      </c>
      <c r="P384" t="e">
        <v>#N/A</v>
      </c>
      <c r="Q384" t="e">
        <v>#N/A</v>
      </c>
      <c r="S384" t="e">
        <v>#N/A</v>
      </c>
      <c r="T384" t="e">
        <v>#N/A</v>
      </c>
      <c r="U384" t="e">
        <v>#N/A</v>
      </c>
      <c r="V384" t="e">
        <v>#N/A</v>
      </c>
      <c r="X384" t="e">
        <v>#N/A</v>
      </c>
      <c r="Y384" t="e">
        <v>#N/A</v>
      </c>
      <c r="Z384" t="e">
        <v>#N/A</v>
      </c>
      <c r="AA384" t="e">
        <v>#N/A</v>
      </c>
      <c r="AC384" t="e">
        <v>#N/A</v>
      </c>
      <c r="AD384" t="e">
        <v>#N/A</v>
      </c>
      <c r="AE384" t="e">
        <v>#N/A</v>
      </c>
      <c r="AF384" t="e">
        <v>#N/A</v>
      </c>
      <c r="AH384" t="e">
        <v>#N/A</v>
      </c>
      <c r="AI384" t="e">
        <v>#N/A</v>
      </c>
      <c r="AJ384" t="e">
        <v>#N/A</v>
      </c>
      <c r="AK384" t="e">
        <v>#N/A</v>
      </c>
      <c r="AM384" t="e">
        <v>#N/A</v>
      </c>
      <c r="AN384" t="e">
        <v>#N/A</v>
      </c>
      <c r="AO384" t="e">
        <v>#N/A</v>
      </c>
      <c r="AP384" t="e">
        <v>#N/A</v>
      </c>
      <c r="AR384" t="e">
        <v>#N/A</v>
      </c>
      <c r="AS384" t="e">
        <v>#N/A</v>
      </c>
      <c r="AT384" t="e">
        <v>#N/A</v>
      </c>
      <c r="AU384" t="e">
        <v>#N/A</v>
      </c>
    </row>
    <row r="385" spans="1:47">
      <c r="A385" t="s">
        <v>4512</v>
      </c>
      <c r="B385" t="s">
        <v>4513</v>
      </c>
      <c r="C385" t="s">
        <v>17</v>
      </c>
      <c r="D385" t="s">
        <v>2552</v>
      </c>
      <c r="E385" t="s">
        <v>2553</v>
      </c>
      <c r="F385" t="s">
        <v>2554</v>
      </c>
      <c r="G385" t="s">
        <v>4750</v>
      </c>
      <c r="H385" t="s">
        <v>2556</v>
      </c>
      <c r="I385" t="e">
        <v>#N/A</v>
      </c>
      <c r="J385" t="e">
        <v>#N/A</v>
      </c>
      <c r="K385" t="e">
        <v>#N/A</v>
      </c>
      <c r="L385" t="e">
        <v>#N/A</v>
      </c>
      <c r="N385" t="e">
        <v>#N/A</v>
      </c>
      <c r="O385" t="e">
        <v>#N/A</v>
      </c>
      <c r="P385" t="e">
        <v>#N/A</v>
      </c>
      <c r="Q385" t="e">
        <v>#N/A</v>
      </c>
      <c r="S385" t="e">
        <v>#N/A</v>
      </c>
      <c r="T385" t="e">
        <v>#N/A</v>
      </c>
      <c r="U385" t="e">
        <v>#N/A</v>
      </c>
      <c r="V385" t="e">
        <v>#N/A</v>
      </c>
      <c r="X385" t="e">
        <v>#N/A</v>
      </c>
      <c r="Y385" t="e">
        <v>#N/A</v>
      </c>
      <c r="Z385" t="e">
        <v>#N/A</v>
      </c>
      <c r="AA385" t="e">
        <v>#N/A</v>
      </c>
      <c r="AC385" t="e">
        <v>#N/A</v>
      </c>
      <c r="AD385" t="e">
        <v>#N/A</v>
      </c>
      <c r="AE385" t="e">
        <v>#N/A</v>
      </c>
      <c r="AF385" t="e">
        <v>#N/A</v>
      </c>
      <c r="AH385" t="e">
        <v>#N/A</v>
      </c>
      <c r="AI385" t="e">
        <v>#N/A</v>
      </c>
      <c r="AJ385" t="e">
        <v>#N/A</v>
      </c>
      <c r="AK385" t="e">
        <v>#N/A</v>
      </c>
      <c r="AM385" t="e">
        <v>#N/A</v>
      </c>
      <c r="AN385" t="e">
        <v>#N/A</v>
      </c>
      <c r="AO385" t="e">
        <v>#N/A</v>
      </c>
      <c r="AP385" t="e">
        <v>#N/A</v>
      </c>
      <c r="AR385" t="e">
        <v>#N/A</v>
      </c>
      <c r="AS385" t="e">
        <v>#N/A</v>
      </c>
      <c r="AT385" t="e">
        <v>#N/A</v>
      </c>
      <c r="AU385" t="e">
        <v>#N/A</v>
      </c>
    </row>
    <row r="386" spans="1:47">
      <c r="A386" t="s">
        <v>4515</v>
      </c>
      <c r="B386" t="s">
        <v>4516</v>
      </c>
      <c r="C386" t="s">
        <v>17</v>
      </c>
      <c r="D386" t="s">
        <v>4518</v>
      </c>
      <c r="E386" t="s">
        <v>4519</v>
      </c>
      <c r="F386" t="s">
        <v>4520</v>
      </c>
      <c r="G386" t="s">
        <v>4750</v>
      </c>
      <c r="H386" t="s">
        <v>4521</v>
      </c>
      <c r="I386" t="e">
        <v>#N/A</v>
      </c>
      <c r="J386" t="e">
        <v>#N/A</v>
      </c>
      <c r="K386" t="e">
        <v>#N/A</v>
      </c>
      <c r="L386" t="e">
        <v>#N/A</v>
      </c>
      <c r="N386" t="e">
        <v>#N/A</v>
      </c>
      <c r="O386" t="e">
        <v>#N/A</v>
      </c>
      <c r="P386" t="e">
        <v>#N/A</v>
      </c>
      <c r="Q386" t="e">
        <v>#N/A</v>
      </c>
      <c r="S386" t="e">
        <v>#N/A</v>
      </c>
      <c r="T386" t="e">
        <v>#N/A</v>
      </c>
      <c r="U386" t="e">
        <v>#N/A</v>
      </c>
      <c r="V386" t="e">
        <v>#N/A</v>
      </c>
      <c r="X386" t="e">
        <v>#N/A</v>
      </c>
      <c r="Y386" t="e">
        <v>#N/A</v>
      </c>
      <c r="Z386" t="e">
        <v>#N/A</v>
      </c>
      <c r="AA386" t="e">
        <v>#N/A</v>
      </c>
      <c r="AC386" t="e">
        <v>#N/A</v>
      </c>
      <c r="AD386" t="e">
        <v>#N/A</v>
      </c>
      <c r="AE386" t="e">
        <v>#N/A</v>
      </c>
      <c r="AF386" t="e">
        <v>#N/A</v>
      </c>
      <c r="AH386" t="e">
        <v>#N/A</v>
      </c>
      <c r="AI386" t="e">
        <v>#N/A</v>
      </c>
      <c r="AJ386" t="e">
        <v>#N/A</v>
      </c>
      <c r="AK386" t="e">
        <v>#N/A</v>
      </c>
      <c r="AM386" t="e">
        <v>#N/A</v>
      </c>
      <c r="AN386" t="e">
        <v>#N/A</v>
      </c>
      <c r="AO386" t="e">
        <v>#N/A</v>
      </c>
      <c r="AP386" t="e">
        <v>#N/A</v>
      </c>
      <c r="AR386" t="e">
        <v>#N/A</v>
      </c>
      <c r="AS386" t="e">
        <v>#N/A</v>
      </c>
      <c r="AT386" t="e">
        <v>#N/A</v>
      </c>
      <c r="AU386" t="e">
        <v>#N/A</v>
      </c>
    </row>
    <row r="387" spans="1:47">
      <c r="A387" t="s">
        <v>4523</v>
      </c>
      <c r="B387" t="s">
        <v>4524</v>
      </c>
      <c r="C387" t="s">
        <v>17</v>
      </c>
      <c r="D387" t="s">
        <v>2561</v>
      </c>
      <c r="E387" t="s">
        <v>2562</v>
      </c>
      <c r="F387" t="s">
        <v>2563</v>
      </c>
      <c r="G387" t="s">
        <v>4750</v>
      </c>
      <c r="H387" t="s">
        <v>2564</v>
      </c>
      <c r="I387" t="e">
        <v>#N/A</v>
      </c>
      <c r="J387" t="e">
        <v>#N/A</v>
      </c>
      <c r="K387" t="e">
        <v>#N/A</v>
      </c>
      <c r="L387" t="e">
        <v>#N/A</v>
      </c>
      <c r="N387" t="e">
        <v>#N/A</v>
      </c>
      <c r="O387" t="e">
        <v>#N/A</v>
      </c>
      <c r="P387" t="e">
        <v>#N/A</v>
      </c>
      <c r="Q387" t="e">
        <v>#N/A</v>
      </c>
      <c r="S387" t="e">
        <v>#N/A</v>
      </c>
      <c r="T387" t="e">
        <v>#N/A</v>
      </c>
      <c r="U387" t="e">
        <v>#N/A</v>
      </c>
      <c r="V387" t="e">
        <v>#N/A</v>
      </c>
      <c r="X387" t="e">
        <v>#N/A</v>
      </c>
      <c r="Y387" t="e">
        <v>#N/A</v>
      </c>
      <c r="Z387" t="e">
        <v>#N/A</v>
      </c>
      <c r="AA387" t="e">
        <v>#N/A</v>
      </c>
      <c r="AC387" t="e">
        <v>#N/A</v>
      </c>
      <c r="AD387" t="e">
        <v>#N/A</v>
      </c>
      <c r="AE387" t="e">
        <v>#N/A</v>
      </c>
      <c r="AF387" t="e">
        <v>#N/A</v>
      </c>
      <c r="AH387" t="e">
        <v>#N/A</v>
      </c>
      <c r="AI387" t="e">
        <v>#N/A</v>
      </c>
      <c r="AJ387" t="e">
        <v>#N/A</v>
      </c>
      <c r="AK387" t="e">
        <v>#N/A</v>
      </c>
      <c r="AM387" t="e">
        <v>#N/A</v>
      </c>
      <c r="AN387" t="e">
        <v>#N/A</v>
      </c>
      <c r="AO387" t="e">
        <v>#N/A</v>
      </c>
      <c r="AP387" t="e">
        <v>#N/A</v>
      </c>
      <c r="AR387" t="e">
        <v>#N/A</v>
      </c>
      <c r="AS387" t="e">
        <v>#N/A</v>
      </c>
      <c r="AT387" t="e">
        <v>#N/A</v>
      </c>
      <c r="AU387" t="e">
        <v>#N/A</v>
      </c>
    </row>
    <row r="388" spans="1:47">
      <c r="A388" t="s">
        <v>4526</v>
      </c>
      <c r="B388" t="s">
        <v>4527</v>
      </c>
      <c r="C388" t="s">
        <v>17</v>
      </c>
      <c r="D388" t="s">
        <v>4529</v>
      </c>
      <c r="E388" t="s">
        <v>4530</v>
      </c>
      <c r="F388" t="s">
        <v>4531</v>
      </c>
      <c r="G388" t="s">
        <v>4751</v>
      </c>
      <c r="H388" t="s">
        <v>2556</v>
      </c>
      <c r="I388" t="e">
        <v>#N/A</v>
      </c>
      <c r="J388" t="e">
        <v>#N/A</v>
      </c>
      <c r="K388" t="e">
        <v>#N/A</v>
      </c>
      <c r="L388" t="e">
        <v>#N/A</v>
      </c>
      <c r="N388" t="e">
        <v>#N/A</v>
      </c>
      <c r="O388" t="e">
        <v>#N/A</v>
      </c>
      <c r="P388" t="e">
        <v>#N/A</v>
      </c>
      <c r="Q388" t="e">
        <v>#N/A</v>
      </c>
      <c r="S388" t="e">
        <v>#N/A</v>
      </c>
      <c r="T388" t="e">
        <v>#N/A</v>
      </c>
      <c r="U388" t="e">
        <v>#N/A</v>
      </c>
      <c r="V388" t="e">
        <v>#N/A</v>
      </c>
      <c r="X388" t="e">
        <v>#N/A</v>
      </c>
      <c r="Y388" t="e">
        <v>#N/A</v>
      </c>
      <c r="Z388" t="e">
        <v>#N/A</v>
      </c>
      <c r="AA388" t="e">
        <v>#N/A</v>
      </c>
      <c r="AC388" t="e">
        <v>#N/A</v>
      </c>
      <c r="AD388" t="e">
        <v>#N/A</v>
      </c>
      <c r="AE388" t="e">
        <v>#N/A</v>
      </c>
      <c r="AF388" t="e">
        <v>#N/A</v>
      </c>
      <c r="AH388" t="e">
        <v>#N/A</v>
      </c>
      <c r="AI388" t="e">
        <v>#N/A</v>
      </c>
      <c r="AJ388" t="e">
        <v>#N/A</v>
      </c>
      <c r="AK388" t="e">
        <v>#N/A</v>
      </c>
      <c r="AM388" t="e">
        <v>#N/A</v>
      </c>
      <c r="AN388" t="e">
        <v>#N/A</v>
      </c>
      <c r="AO388" t="e">
        <v>#N/A</v>
      </c>
      <c r="AP388" t="e">
        <v>#N/A</v>
      </c>
      <c r="AR388" t="e">
        <v>#N/A</v>
      </c>
      <c r="AS388" t="e">
        <v>#N/A</v>
      </c>
      <c r="AT388" t="e">
        <v>#N/A</v>
      </c>
      <c r="AU388" t="e">
        <v>#N/A</v>
      </c>
    </row>
    <row r="389" spans="1:47">
      <c r="A389" t="s">
        <v>4533</v>
      </c>
      <c r="B389" t="s">
        <v>4534</v>
      </c>
      <c r="C389" t="s">
        <v>17</v>
      </c>
      <c r="D389" t="s">
        <v>4536</v>
      </c>
      <c r="E389" t="s">
        <v>4537</v>
      </c>
      <c r="F389" t="s">
        <v>4538</v>
      </c>
      <c r="G389" t="s">
        <v>4750</v>
      </c>
      <c r="H389" t="s">
        <v>2572</v>
      </c>
      <c r="I389" t="e">
        <v>#N/A</v>
      </c>
      <c r="J389" t="e">
        <v>#N/A</v>
      </c>
      <c r="K389" t="e">
        <v>#N/A</v>
      </c>
      <c r="L389" t="e">
        <v>#N/A</v>
      </c>
      <c r="N389" t="e">
        <v>#N/A</v>
      </c>
      <c r="O389" t="e">
        <v>#N/A</v>
      </c>
      <c r="P389" t="e">
        <v>#N/A</v>
      </c>
      <c r="Q389" t="e">
        <v>#N/A</v>
      </c>
      <c r="S389" t="e">
        <v>#N/A</v>
      </c>
      <c r="T389" t="e">
        <v>#N/A</v>
      </c>
      <c r="U389" t="e">
        <v>#N/A</v>
      </c>
      <c r="V389" t="e">
        <v>#N/A</v>
      </c>
      <c r="X389" t="e">
        <v>#N/A</v>
      </c>
      <c r="Y389" t="e">
        <v>#N/A</v>
      </c>
      <c r="Z389" t="e">
        <v>#N/A</v>
      </c>
      <c r="AA389" t="e">
        <v>#N/A</v>
      </c>
      <c r="AC389" t="e">
        <v>#N/A</v>
      </c>
      <c r="AD389" t="e">
        <v>#N/A</v>
      </c>
      <c r="AE389" t="e">
        <v>#N/A</v>
      </c>
      <c r="AF389" t="e">
        <v>#N/A</v>
      </c>
      <c r="AH389" t="e">
        <v>#N/A</v>
      </c>
      <c r="AI389" t="e">
        <v>#N/A</v>
      </c>
      <c r="AJ389" t="e">
        <v>#N/A</v>
      </c>
      <c r="AK389" t="e">
        <v>#N/A</v>
      </c>
      <c r="AM389" t="e">
        <v>#N/A</v>
      </c>
      <c r="AN389" t="e">
        <v>#N/A</v>
      </c>
      <c r="AO389" t="e">
        <v>#N/A</v>
      </c>
      <c r="AP389" t="e">
        <v>#N/A</v>
      </c>
      <c r="AR389" t="e">
        <v>#N/A</v>
      </c>
      <c r="AS389" t="e">
        <v>#N/A</v>
      </c>
      <c r="AT389" t="e">
        <v>#N/A</v>
      </c>
      <c r="AU389" t="e">
        <v>#N/A</v>
      </c>
    </row>
  </sheetData>
  <autoFilter ref="A2:AU389" xr:uid="{F9009003-0E37-BF4F-934C-89422064F666}"/>
  <mergeCells count="8">
    <mergeCell ref="AR1:AU1"/>
    <mergeCell ref="AH1:AK1"/>
    <mergeCell ref="AM1:AP1"/>
    <mergeCell ref="I1:L1"/>
    <mergeCell ref="N1:Q1"/>
    <mergeCell ref="S1:V1"/>
    <mergeCell ref="X1:AA1"/>
    <mergeCell ref="AC1:AF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</vt:lpstr>
      <vt:lpstr>WES</vt:lpstr>
      <vt:lpstr>RNA-seq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huilin zheng</cp:lastModifiedBy>
  <dcterms:created xsi:type="dcterms:W3CDTF">2024-10-17T09:03:00Z</dcterms:created>
  <dcterms:modified xsi:type="dcterms:W3CDTF">2024-11-18T03:06:40Z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569FD5B2693B4EED9B7BEC851CB4E2FF_12</vt:lpwstr>
  </property>
  <property fmtid="{D5CDD505-2E9C-101B-9397-08002B2CF9AE}" pid="3" name="KSOProductBuildVer">
    <vt:lpwstr>2052-12.1.0.18276</vt:lpwstr>
  </property>
</Properties>
</file>